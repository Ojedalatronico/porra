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Trabajo_found.002\Altia\Toyota\PorraMundial\"/>
    </mc:Choice>
  </mc:AlternateContent>
  <bookViews>
    <workbookView xWindow="0" yWindow="0" windowWidth="19350" windowHeight="7515" firstSheet="1" activeTab="2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 s="1"/>
  <c r="J80" i="3"/>
  <c r="CR38" i="3" l="1"/>
  <c r="CK68" i="3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 s="1"/>
  <c r="T87" i="3" a="1"/>
  <c r="T87" i="3" s="1"/>
  <c r="T88" i="3" a="1"/>
  <c r="T88" i="3" s="1"/>
  <c r="T89" i="3" a="1"/>
  <c r="T89" i="3" s="1"/>
  <c r="T90" i="3" a="1"/>
  <c r="T90" i="3" s="1"/>
  <c r="T91" i="3" a="1"/>
  <c r="T91" i="3" s="1"/>
  <c r="T96" i="3" a="1"/>
  <c r="T96" i="3" s="1"/>
  <c r="T97" i="3" a="1"/>
  <c r="T97" i="3" s="1"/>
  <c r="T98" i="3" a="1"/>
  <c r="T98" i="3" s="1"/>
  <c r="T102" i="3" a="1"/>
  <c r="T102" i="3" s="1"/>
  <c r="AC102" i="3" a="1"/>
  <c r="AC102" i="3" s="1"/>
  <c r="T103" i="3" a="1"/>
  <c r="T103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T27" i="3" s="1"/>
  <c r="S74" i="3"/>
  <c r="T74" i="3" s="1"/>
  <c r="S28" i="3"/>
  <c r="S51" i="3"/>
  <c r="S30" i="3"/>
  <c r="T30" i="3" s="1"/>
  <c r="S78" i="3"/>
  <c r="S26" i="3"/>
  <c r="T26" i="3" s="1"/>
  <c r="S75" i="3"/>
  <c r="T75" i="3" s="1"/>
  <c r="S25" i="3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S21" i="3"/>
  <c r="T21" i="3" s="1"/>
  <c r="S45" i="3"/>
  <c r="T45" i="3" s="1"/>
  <c r="S18" i="3"/>
  <c r="S63" i="3"/>
  <c r="S17" i="3"/>
  <c r="T17" i="3" s="1"/>
  <c r="S41" i="3"/>
  <c r="S15" i="3"/>
  <c r="T15" i="3" s="1"/>
  <c r="S61" i="3"/>
  <c r="S16" i="3"/>
  <c r="S39" i="3"/>
  <c r="T39" i="3" s="1"/>
  <c r="S66" i="3"/>
  <c r="T66" i="3" s="1"/>
  <c r="S10" i="3"/>
  <c r="T10" i="3" s="1"/>
  <c r="S37" i="3"/>
  <c r="T37" i="3" s="1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T12" i="3"/>
  <c r="S24" i="3"/>
  <c r="S69" i="3"/>
  <c r="S58" i="3"/>
  <c r="S31" i="3"/>
  <c r="S59" i="3"/>
  <c r="S71" i="3"/>
  <c r="S52" i="3"/>
  <c r="S73" i="3"/>
  <c r="T28" i="3"/>
  <c r="T51" i="3"/>
  <c r="S54" i="3"/>
  <c r="S77" i="3"/>
  <c r="T78" i="3"/>
  <c r="S50" i="3"/>
  <c r="S76" i="3"/>
  <c r="T25" i="3"/>
  <c r="S47" i="3"/>
  <c r="S67" i="3"/>
  <c r="T23" i="3"/>
  <c r="T48" i="3"/>
  <c r="T43" i="3"/>
  <c r="S72" i="3"/>
  <c r="T19" i="3"/>
  <c r="T46" i="3"/>
  <c r="S70" i="3"/>
  <c r="S42" i="3"/>
  <c r="S64" i="3"/>
  <c r="T18" i="3"/>
  <c r="T63" i="3"/>
  <c r="T41" i="3"/>
  <c r="S40" i="3"/>
  <c r="S62" i="3"/>
  <c r="T61" i="3"/>
  <c r="T16" i="3"/>
  <c r="S38" i="3"/>
  <c r="S65" i="3"/>
  <c r="S55" i="3"/>
  <c r="T56" i="3"/>
  <c r="S57" i="3"/>
  <c r="T8" i="3"/>
  <c r="T3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 s="1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BS28" i="3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38" i="3"/>
  <c r="CN49" i="3"/>
  <c r="BS37" i="3"/>
  <c r="BS36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s="1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/>
  <c r="AP26" i="3" s="1"/>
  <c r="BI20" i="3" l="1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R35" i="3"/>
  <c r="AR33" i="3" l="1"/>
  <c r="AR21" i="3"/>
  <c r="AR10" i="3"/>
  <c r="AR9" i="3"/>
  <c r="AR11" i="3"/>
  <c r="AR34" i="3"/>
  <c r="AD58" i="3"/>
  <c r="AR28" i="3"/>
  <c r="AR22" i="3"/>
  <c r="AD57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D44" i="3" s="1"/>
  <c r="AR64" i="3"/>
  <c r="AR39" i="3"/>
  <c r="AD56" i="3"/>
  <c r="AR16" i="3"/>
  <c r="AR17" i="3"/>
  <c r="AD59" i="3"/>
  <c r="AD33" i="3" l="1"/>
  <c r="AD9" i="3"/>
  <c r="AD35" i="3"/>
  <c r="AD32" i="3"/>
  <c r="L33" i="3" s="1"/>
  <c r="AD8" i="3"/>
  <c r="O9" i="3" s="1"/>
  <c r="AD10" i="3"/>
  <c r="AD11" i="3"/>
  <c r="AD34" i="3"/>
  <c r="AD27" i="3"/>
  <c r="AD68" i="3"/>
  <c r="AD47" i="3"/>
  <c r="M58" i="3"/>
  <c r="AD28" i="3"/>
  <c r="AD21" i="3"/>
  <c r="N58" i="3"/>
  <c r="O60" i="3"/>
  <c r="AD15" i="3"/>
  <c r="L58" i="3"/>
  <c r="L59" i="3"/>
  <c r="AD26" i="3"/>
  <c r="J27" i="3" s="1"/>
  <c r="AS26" i="3" s="1"/>
  <c r="BL34" i="3" s="1"/>
  <c r="M59" i="3"/>
  <c r="AD22" i="3"/>
  <c r="AD75" i="3"/>
  <c r="AD70" i="3"/>
  <c r="AD41" i="3"/>
  <c r="AD20" i="3"/>
  <c r="AD14" i="3"/>
  <c r="AD62" i="3"/>
  <c r="L63" i="3" s="1"/>
  <c r="AD53" i="3"/>
  <c r="AD77" i="3"/>
  <c r="AD71" i="3"/>
  <c r="AD76" i="3"/>
  <c r="AD63" i="3"/>
  <c r="AD29" i="3"/>
  <c r="AD74" i="3"/>
  <c r="L75" i="3" s="1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P57" i="3" s="1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P58" i="3"/>
  <c r="P59" i="3"/>
  <c r="J45" i="3"/>
  <c r="AS44" i="3" s="1"/>
  <c r="BL38" i="3" s="1"/>
  <c r="M45" i="3"/>
  <c r="N45" i="3"/>
  <c r="L45" i="3"/>
  <c r="O45" i="3"/>
  <c r="L9" i="3" l="1"/>
  <c r="M39" i="3"/>
  <c r="L69" i="3"/>
  <c r="J47" i="3"/>
  <c r="AE86" i="3" s="1"/>
  <c r="AQ86" i="3" s="1"/>
  <c r="J33" i="3"/>
  <c r="AS32" i="3" s="1"/>
  <c r="BL10" i="3" s="1"/>
  <c r="O12" i="3"/>
  <c r="M33" i="3"/>
  <c r="O11" i="3"/>
  <c r="L12" i="3"/>
  <c r="M34" i="3"/>
  <c r="M11" i="3"/>
  <c r="N72" i="3"/>
  <c r="J12" i="3"/>
  <c r="J36" i="3"/>
  <c r="N34" i="3"/>
  <c r="O36" i="3"/>
  <c r="L10" i="3"/>
  <c r="L11" i="3"/>
  <c r="J9" i="3"/>
  <c r="AS8" i="3" s="1"/>
  <c r="BL50" i="3" s="1"/>
  <c r="M9" i="3"/>
  <c r="N9" i="3"/>
  <c r="J24" i="3"/>
  <c r="J34" i="3"/>
  <c r="AS33" i="3" s="1"/>
  <c r="BL46" i="3" s="1"/>
  <c r="M16" i="3"/>
  <c r="J35" i="3"/>
  <c r="AE84" i="3" s="1"/>
  <c r="AQ84" i="3" s="1"/>
  <c r="N12" i="3"/>
  <c r="N36" i="3"/>
  <c r="M36" i="3"/>
  <c r="L36" i="3"/>
  <c r="O33" i="3"/>
  <c r="N33" i="3"/>
  <c r="L30" i="3"/>
  <c r="J10" i="3"/>
  <c r="AS9" i="3" s="1"/>
  <c r="BL18" i="3" s="1"/>
  <c r="N11" i="3"/>
  <c r="J11" i="3"/>
  <c r="AE80" i="3" s="1"/>
  <c r="AQ80" i="3" s="1"/>
  <c r="M10" i="3"/>
  <c r="M12" i="3"/>
  <c r="J22" i="3"/>
  <c r="AS21" i="3" s="1"/>
  <c r="BL23" i="3" s="1"/>
  <c r="J63" i="3"/>
  <c r="AS62" i="3" s="1"/>
  <c r="BL58" i="3" s="1"/>
  <c r="BS60" i="3" s="1"/>
  <c r="BZ64" i="3" s="1"/>
  <c r="O21" i="3"/>
  <c r="N10" i="3"/>
  <c r="O10" i="3"/>
  <c r="M29" i="3"/>
  <c r="O69" i="3"/>
  <c r="M63" i="3"/>
  <c r="P63" i="3" s="1"/>
  <c r="M30" i="3"/>
  <c r="P30" i="3" s="1"/>
  <c r="O22" i="3"/>
  <c r="M22" i="3"/>
  <c r="J69" i="3"/>
  <c r="AS68" i="3" s="1"/>
  <c r="BL70" i="3" s="1"/>
  <c r="N71" i="3"/>
  <c r="M69" i="3"/>
  <c r="O63" i="3"/>
  <c r="O35" i="3"/>
  <c r="O27" i="3"/>
  <c r="N22" i="3"/>
  <c r="O24" i="3"/>
  <c r="M24" i="3"/>
  <c r="J21" i="3"/>
  <c r="AS20" i="3" s="1"/>
  <c r="BL42" i="3" s="1"/>
  <c r="BS44" i="3" s="1"/>
  <c r="O75" i="3"/>
  <c r="N29" i="3"/>
  <c r="M78" i="3"/>
  <c r="J30" i="3"/>
  <c r="J72" i="3"/>
  <c r="L72" i="3"/>
  <c r="L71" i="3"/>
  <c r="N69" i="3"/>
  <c r="O65" i="3"/>
  <c r="N63" i="3"/>
  <c r="J39" i="3"/>
  <c r="AS38" i="3" s="1"/>
  <c r="BL22" i="3" s="1"/>
  <c r="N35" i="3"/>
  <c r="L35" i="3"/>
  <c r="L34" i="3"/>
  <c r="P34" i="3" s="1"/>
  <c r="O34" i="3"/>
  <c r="M35" i="3"/>
  <c r="N30" i="3"/>
  <c r="O30" i="3"/>
  <c r="L27" i="3"/>
  <c r="M27" i="3"/>
  <c r="N27" i="3"/>
  <c r="M21" i="3"/>
  <c r="N21" i="3"/>
  <c r="L22" i="3"/>
  <c r="N24" i="3"/>
  <c r="L24" i="3"/>
  <c r="L21" i="3"/>
  <c r="L54" i="3"/>
  <c r="O54" i="3"/>
  <c r="L23" i="3"/>
  <c r="L70" i="3"/>
  <c r="J29" i="3"/>
  <c r="AE83" i="3" s="1"/>
  <c r="AQ83" i="3" s="1"/>
  <c r="M64" i="3"/>
  <c r="O77" i="3"/>
  <c r="N76" i="3"/>
  <c r="O64" i="3"/>
  <c r="N47" i="3"/>
  <c r="J46" i="3"/>
  <c r="AS45" i="3" s="1"/>
  <c r="BL63" i="3" s="1"/>
  <c r="N28" i="3"/>
  <c r="L28" i="3"/>
  <c r="O29" i="3"/>
  <c r="L16" i="3"/>
  <c r="P16" i="3" s="1"/>
  <c r="O76" i="3"/>
  <c r="M76" i="3"/>
  <c r="J75" i="3"/>
  <c r="AS74" i="3" s="1"/>
  <c r="BL54" i="3" s="1"/>
  <c r="J64" i="3"/>
  <c r="AS63" i="3" s="1"/>
  <c r="BL31" i="3" s="1"/>
  <c r="M65" i="3"/>
  <c r="M51" i="3"/>
  <c r="L29" i="3"/>
  <c r="P29" i="3" s="1"/>
  <c r="M18" i="3"/>
  <c r="J66" i="3"/>
  <c r="J28" i="3"/>
  <c r="AS27" i="3" s="1"/>
  <c r="BL62" i="3" s="1"/>
  <c r="BS61" i="3" s="1"/>
  <c r="L42" i="3"/>
  <c r="N70" i="3"/>
  <c r="K58" i="3"/>
  <c r="L64" i="3"/>
  <c r="J52" i="3"/>
  <c r="AS51" i="3" s="1"/>
  <c r="BL59" i="3" s="1"/>
  <c r="N48" i="3"/>
  <c r="N18" i="3"/>
  <c r="O16" i="3"/>
  <c r="L17" i="3"/>
  <c r="AJ88" i="3"/>
  <c r="M77" i="3"/>
  <c r="J76" i="3"/>
  <c r="AS75" i="3" s="1"/>
  <c r="BL27" i="3" s="1"/>
  <c r="O78" i="3"/>
  <c r="L76" i="3"/>
  <c r="P76" i="3" s="1"/>
  <c r="J78" i="3"/>
  <c r="M75" i="3"/>
  <c r="N75" i="3"/>
  <c r="J70" i="3"/>
  <c r="AS69" i="3" s="1"/>
  <c r="BL26" i="3" s="1"/>
  <c r="J65" i="3"/>
  <c r="AE89" i="3" s="1"/>
  <c r="AQ89" i="3" s="1"/>
  <c r="L66" i="3"/>
  <c r="N65" i="3"/>
  <c r="L65" i="3"/>
  <c r="N64" i="3"/>
  <c r="O51" i="3"/>
  <c r="N51" i="3"/>
  <c r="M48" i="3"/>
  <c r="M46" i="3"/>
  <c r="O48" i="3"/>
  <c r="N46" i="3"/>
  <c r="J48" i="3"/>
  <c r="L18" i="3"/>
  <c r="O18" i="3"/>
  <c r="J18" i="3"/>
  <c r="N16" i="3"/>
  <c r="J16" i="3"/>
  <c r="AS15" i="3" s="1"/>
  <c r="BL19" i="3" s="1"/>
  <c r="AT88" i="3"/>
  <c r="AG88" i="3"/>
  <c r="K59" i="3"/>
  <c r="N52" i="3"/>
  <c r="N54" i="3"/>
  <c r="J51" i="3"/>
  <c r="AS50" i="3" s="1"/>
  <c r="BL30" i="3" s="1"/>
  <c r="L51" i="3"/>
  <c r="P51" i="3" s="1"/>
  <c r="M54" i="3"/>
  <c r="M47" i="3"/>
  <c r="O47" i="3"/>
  <c r="L47" i="3"/>
  <c r="P47" i="3" s="1"/>
  <c r="O23" i="3"/>
  <c r="AN88" i="3"/>
  <c r="AI88" i="3"/>
  <c r="AF88" i="3"/>
  <c r="J42" i="3"/>
  <c r="N66" i="3"/>
  <c r="L46" i="3"/>
  <c r="K46" i="3" s="1"/>
  <c r="L15" i="3"/>
  <c r="M70" i="3"/>
  <c r="N78" i="3"/>
  <c r="N77" i="3"/>
  <c r="J77" i="3"/>
  <c r="AE91" i="3" s="1"/>
  <c r="AQ91" i="3" s="1"/>
  <c r="L77" i="3"/>
  <c r="K77" i="3" s="1"/>
  <c r="L78" i="3"/>
  <c r="J71" i="3"/>
  <c r="AE90" i="3" s="1"/>
  <c r="AQ90" i="3" s="1"/>
  <c r="O72" i="3"/>
  <c r="M72" i="3"/>
  <c r="O71" i="3"/>
  <c r="M71" i="3"/>
  <c r="P71" i="3" s="1"/>
  <c r="O70" i="3"/>
  <c r="L48" i="3"/>
  <c r="O46" i="3"/>
  <c r="N40" i="3"/>
  <c r="L40" i="3"/>
  <c r="O40" i="3"/>
  <c r="J41" i="3"/>
  <c r="AE85" i="3" s="1"/>
  <c r="AQ85" i="3" s="1"/>
  <c r="M28" i="3"/>
  <c r="O28" i="3"/>
  <c r="M17" i="3"/>
  <c r="P17" i="3" s="1"/>
  <c r="O17" i="3"/>
  <c r="M66" i="3"/>
  <c r="N17" i="3"/>
  <c r="M41" i="3"/>
  <c r="O66" i="3"/>
  <c r="M42" i="3"/>
  <c r="P42" i="3" s="1"/>
  <c r="O39" i="3"/>
  <c r="O42" i="3"/>
  <c r="M40" i="3"/>
  <c r="L39" i="3"/>
  <c r="N39" i="3"/>
  <c r="J40" i="3"/>
  <c r="AS39" i="3" s="1"/>
  <c r="BL43" i="3" s="1"/>
  <c r="N53" i="3"/>
  <c r="K57" i="3"/>
  <c r="J54" i="3"/>
  <c r="O52" i="3"/>
  <c r="O41" i="3"/>
  <c r="L41" i="3"/>
  <c r="P41" i="3" s="1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75" i="3"/>
  <c r="K45" i="3"/>
  <c r="P45" i="3"/>
  <c r="AF86" i="3"/>
  <c r="AG86" i="3"/>
  <c r="AH86" i="3"/>
  <c r="AI86" i="3"/>
  <c r="AJ86" i="3"/>
  <c r="AL86" i="3"/>
  <c r="AN86" i="3"/>
  <c r="AT86" i="3"/>
  <c r="P33" i="3"/>
  <c r="AL84" i="3"/>
  <c r="AF83" i="3"/>
  <c r="P22" i="3"/>
  <c r="AH80" i="3"/>
  <c r="P12" i="3"/>
  <c r="P39" i="3" l="1"/>
  <c r="P10" i="3"/>
  <c r="AN80" i="3"/>
  <c r="AG84" i="3"/>
  <c r="P9" i="3"/>
  <c r="K9" i="3"/>
  <c r="K33" i="3"/>
  <c r="AJ80" i="3"/>
  <c r="AF80" i="3"/>
  <c r="AT84" i="3"/>
  <c r="AI84" i="3"/>
  <c r="AJ83" i="3"/>
  <c r="P70" i="3"/>
  <c r="K11" i="3"/>
  <c r="K16" i="3"/>
  <c r="AN83" i="3"/>
  <c r="AH83" i="3"/>
  <c r="K34" i="3"/>
  <c r="AH85" i="3"/>
  <c r="AI82" i="3"/>
  <c r="K22" i="3"/>
  <c r="P11" i="3"/>
  <c r="K10" i="3"/>
  <c r="K36" i="3"/>
  <c r="AT83" i="3"/>
  <c r="AL83" i="3"/>
  <c r="AI83" i="3"/>
  <c r="AG83" i="3"/>
  <c r="P23" i="3"/>
  <c r="P72" i="3"/>
  <c r="K21" i="3"/>
  <c r="P35" i="3"/>
  <c r="P27" i="3"/>
  <c r="K30" i="3"/>
  <c r="P24" i="3"/>
  <c r="K12" i="3"/>
  <c r="P36" i="3"/>
  <c r="AT80" i="3"/>
  <c r="AL80" i="3"/>
  <c r="AI80" i="3"/>
  <c r="AG80" i="3"/>
  <c r="AN84" i="3"/>
  <c r="AJ84" i="3"/>
  <c r="AH84" i="3"/>
  <c r="AF84" i="3"/>
  <c r="AG89" i="3"/>
  <c r="K54" i="3"/>
  <c r="P65" i="3"/>
  <c r="K47" i="3"/>
  <c r="AF81" i="3"/>
  <c r="AG90" i="3"/>
  <c r="AT91" i="3"/>
  <c r="P15" i="3"/>
  <c r="K28" i="3"/>
  <c r="K18" i="3"/>
  <c r="K29" i="3"/>
  <c r="K76" i="3"/>
  <c r="P64" i="3"/>
  <c r="P21" i="3"/>
  <c r="K24" i="3"/>
  <c r="K35" i="3"/>
  <c r="K69" i="3"/>
  <c r="K63" i="3"/>
  <c r="P18" i="3"/>
  <c r="AL89" i="3"/>
  <c r="P69" i="3"/>
  <c r="K70" i="3"/>
  <c r="K27" i="3"/>
  <c r="AJ81" i="3"/>
  <c r="P46" i="3"/>
  <c r="AL87" i="3"/>
  <c r="AT89" i="3"/>
  <c r="AI89" i="3"/>
  <c r="P77" i="3"/>
  <c r="AN82" i="3"/>
  <c r="AG82" i="3"/>
  <c r="AN85" i="3"/>
  <c r="K53" i="3"/>
  <c r="AJ85" i="3"/>
  <c r="AF85" i="3"/>
  <c r="AI91" i="3"/>
  <c r="P28" i="3"/>
  <c r="K66" i="3"/>
  <c r="K40" i="3"/>
  <c r="K48" i="3"/>
  <c r="K51" i="3"/>
  <c r="K64" i="3"/>
  <c r="K65" i="3"/>
  <c r="K75" i="3"/>
  <c r="AN81" i="3"/>
  <c r="AH81" i="3"/>
  <c r="AN89" i="3"/>
  <c r="AJ89" i="3"/>
  <c r="AH89" i="3"/>
  <c r="AF89" i="3"/>
  <c r="K72" i="3"/>
  <c r="K78" i="3"/>
  <c r="AF87" i="3"/>
  <c r="AL90" i="3"/>
  <c r="AL91" i="3"/>
  <c r="AG91" i="3"/>
  <c r="K42" i="3"/>
  <c r="P66" i="3"/>
  <c r="P48" i="3"/>
  <c r="P54" i="3"/>
  <c r="AT81" i="3"/>
  <c r="AL81" i="3"/>
  <c r="AI81" i="3"/>
  <c r="AG81" i="3"/>
  <c r="AT87" i="3"/>
  <c r="AH87" i="3"/>
  <c r="K71" i="3"/>
  <c r="AT90" i="3"/>
  <c r="AI90" i="3"/>
  <c r="AN87" i="3"/>
  <c r="AJ87" i="3"/>
  <c r="AG87" i="3"/>
  <c r="AN90" i="3"/>
  <c r="AJ90" i="3"/>
  <c r="AH90" i="3"/>
  <c r="AF90" i="3"/>
  <c r="P78" i="3"/>
  <c r="AN91" i="3"/>
  <c r="AJ91" i="3"/>
  <c r="AH91" i="3"/>
  <c r="AF91" i="3"/>
  <c r="K41" i="3"/>
  <c r="K15" i="3"/>
  <c r="K23" i="3"/>
  <c r="K39" i="3"/>
  <c r="K17" i="3"/>
  <c r="P40" i="3"/>
  <c r="AT82" i="3"/>
  <c r="AJ82" i="3"/>
  <c r="AH82" i="3"/>
  <c r="AF82" i="3"/>
  <c r="AT85" i="3"/>
  <c r="AL85" i="3"/>
  <c r="AI85" i="3"/>
  <c r="AG85" i="3"/>
  <c r="P53" i="3"/>
  <c r="P52" i="3"/>
  <c r="AL82" i="3"/>
  <c r="AI87" i="3"/>
  <c r="K52" i="3"/>
  <c r="AJ92" i="3" l="1"/>
  <c r="AG92" i="3"/>
  <c r="AN92" i="3"/>
  <c r="AF92" i="3"/>
  <c r="AH92" i="3"/>
  <c r="AS92" i="3"/>
  <c r="AI92" i="3"/>
  <c r="AL92" i="3"/>
  <c r="AM88" i="3" s="1"/>
  <c r="AM84" i="3" l="1"/>
  <c r="AM81" i="3"/>
  <c r="AM86" i="3"/>
  <c r="AM90" i="3"/>
  <c r="AM85" i="3"/>
  <c r="AM87" i="3"/>
  <c r="AM80" i="3"/>
  <c r="AM91" i="3"/>
  <c r="AM89" i="3"/>
  <c r="AM82" i="3"/>
  <c r="AM83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AP81" i="3"/>
  <c r="AP84" i="3"/>
  <c r="AP86" i="3"/>
  <c r="AP89" i="3"/>
  <c r="AP90" i="3"/>
  <c r="AP88" i="3"/>
  <c r="AP82" i="3"/>
  <c r="AP83" i="3"/>
  <c r="AP91" i="3"/>
  <c r="AP85" i="3"/>
  <c r="AP80" i="3"/>
  <c r="AD85" i="3" l="1"/>
  <c r="AS85" i="3" s="1"/>
  <c r="AD89" i="3"/>
  <c r="AS89" i="3" s="1"/>
  <c r="AD86" i="3"/>
  <c r="AS86" i="3" s="1"/>
  <c r="AD84" i="3"/>
  <c r="AS84" i="3" s="1"/>
  <c r="AD83" i="3"/>
  <c r="AS83" i="3" s="1"/>
  <c r="AD91" i="3"/>
  <c r="AS91" i="3" s="1"/>
  <c r="AD82" i="3"/>
  <c r="AS82" i="3" s="1"/>
  <c r="AD90" i="3"/>
  <c r="AS90" i="3" s="1"/>
  <c r="AD88" i="3"/>
  <c r="AS88" i="3" s="1"/>
  <c r="AD87" i="3"/>
  <c r="AS87" i="3" s="1"/>
  <c r="AD80" i="3"/>
  <c r="AD81" i="3"/>
  <c r="AS81" i="3" s="1"/>
  <c r="J92" i="3" l="1"/>
  <c r="M88" i="3"/>
  <c r="O87" i="3"/>
  <c r="AS80" i="3"/>
  <c r="O83" i="3"/>
  <c r="L83" i="3"/>
  <c r="N84" i="3"/>
  <c r="M87" i="3"/>
  <c r="M85" i="3"/>
  <c r="L88" i="3"/>
  <c r="J87" i="3"/>
  <c r="N85" i="3"/>
  <c r="L84" i="3"/>
  <c r="J85" i="3"/>
  <c r="L91" i="3"/>
  <c r="N82" i="3"/>
  <c r="J86" i="3"/>
  <c r="N81" i="3"/>
  <c r="J88" i="3"/>
  <c r="L81" i="3"/>
  <c r="N90" i="3"/>
  <c r="O91" i="3"/>
  <c r="O90" i="3"/>
  <c r="O88" i="3"/>
  <c r="O86" i="3"/>
  <c r="M91" i="3"/>
  <c r="L90" i="3"/>
  <c r="L82" i="3"/>
  <c r="O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7" i="3"/>
  <c r="M83" i="3"/>
  <c r="N91" i="3"/>
  <c r="O89" i="3"/>
  <c r="N89" i="3"/>
  <c r="L92" i="3"/>
  <c r="J81" i="3"/>
  <c r="J89" i="3"/>
  <c r="O81" i="3"/>
  <c r="M90" i="3"/>
  <c r="L86" i="3"/>
  <c r="N83" i="3"/>
  <c r="O82" i="3"/>
  <c r="M84" i="3"/>
  <c r="N92" i="3"/>
  <c r="J82" i="3"/>
  <c r="J90" i="3"/>
  <c r="M82" i="3"/>
  <c r="M86" i="3"/>
  <c r="N86" i="3"/>
  <c r="L87" i="3"/>
  <c r="M92" i="3"/>
  <c r="J83" i="3"/>
  <c r="J91" i="3"/>
  <c r="M81" i="3"/>
  <c r="L85" i="3"/>
  <c r="O84" i="3"/>
  <c r="L89" i="3"/>
  <c r="M89" i="3"/>
  <c r="O85" i="3"/>
  <c r="N88" i="3"/>
  <c r="J84" i="3"/>
  <c r="P88" i="3" l="1"/>
  <c r="P92" i="3"/>
  <c r="K91" i="3"/>
  <c r="K82" i="3"/>
  <c r="P81" i="3"/>
  <c r="K84" i="3"/>
  <c r="K90" i="3"/>
  <c r="K83" i="3"/>
  <c r="K81" i="3"/>
  <c r="K87" i="3"/>
  <c r="P86" i="3"/>
  <c r="K92" i="3"/>
  <c r="P84" i="3"/>
  <c r="P87" i="3"/>
  <c r="K85" i="3"/>
  <c r="P82" i="3"/>
  <c r="P85" i="3"/>
  <c r="P83" i="3"/>
  <c r="P90" i="3"/>
  <c r="K89" i="3"/>
  <c r="K86" i="3"/>
  <c r="P91" i="3"/>
  <c r="K88" i="3"/>
  <c r="E3" i="4"/>
  <c r="H3" i="4"/>
  <c r="BL39" i="3" s="1"/>
  <c r="I3" i="4"/>
  <c r="BL15" i="3" s="1"/>
  <c r="P89" i="3"/>
  <c r="G3" i="4"/>
  <c r="BL11" i="3" s="1"/>
  <c r="J3" i="4"/>
  <c r="B3" i="4"/>
  <c r="D3" i="4"/>
  <c r="K3" i="4"/>
  <c r="BS53" i="3" l="1"/>
  <c r="BL55" i="3"/>
  <c r="BS52" i="3"/>
  <c r="BZ49" i="3" s="1"/>
  <c r="CG55" i="3" s="1"/>
  <c r="BL51" i="3"/>
  <c r="BS69" i="3"/>
  <c r="BL71" i="3"/>
  <c r="BS68" i="3"/>
  <c r="BL67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<sst xmlns="http://schemas.openxmlformats.org/spreadsheetml/2006/main" count="9785" uniqueCount="3699">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</sst>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9" Type="http://schemas.openxmlformats.org/officeDocument/2006/relationships/image" Target="../media/image22.jpeg"/><Relationship Id="rId21" Type="http://schemas.openxmlformats.org/officeDocument/2006/relationships/image" Target="../media/image11.png"/><Relationship Id="rId34" Type="http://schemas.openxmlformats.org/officeDocument/2006/relationships/image" Target="../media/image34.svg"/><Relationship Id="rId42" Type="http://schemas.openxmlformats.org/officeDocument/2006/relationships/image" Target="../media/image25.jpeg"/><Relationship Id="rId47" Type="http://schemas.openxmlformats.org/officeDocument/2006/relationships/image" Target="../media/image30.jpeg"/><Relationship Id="rId50" Type="http://schemas.openxmlformats.org/officeDocument/2006/relationships/image" Target="../media/image33.jpeg"/><Relationship Id="rId55" Type="http://schemas.openxmlformats.org/officeDocument/2006/relationships/image" Target="../media/image38.jpeg"/><Relationship Id="rId63" Type="http://schemas.openxmlformats.org/officeDocument/2006/relationships/image" Target="../media/image46.jpeg"/><Relationship Id="rId7" Type="http://schemas.openxmlformats.org/officeDocument/2006/relationships/image" Target="../media/image4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29" Type="http://schemas.openxmlformats.org/officeDocument/2006/relationships/image" Target="../media/image15.png"/><Relationship Id="rId41" Type="http://schemas.openxmlformats.org/officeDocument/2006/relationships/image" Target="../media/image24.jpeg"/><Relationship Id="rId54" Type="http://schemas.openxmlformats.org/officeDocument/2006/relationships/image" Target="../media/image37.jpeg"/><Relationship Id="rId62" Type="http://schemas.openxmlformats.org/officeDocument/2006/relationships/image" Target="../media/image45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6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20.jpeg"/><Relationship Id="rId40" Type="http://schemas.openxmlformats.org/officeDocument/2006/relationships/image" Target="../media/image23.jpeg"/><Relationship Id="rId45" Type="http://schemas.openxmlformats.org/officeDocument/2006/relationships/image" Target="../media/image28.jpeg"/><Relationship Id="rId53" Type="http://schemas.openxmlformats.org/officeDocument/2006/relationships/image" Target="../media/image36.jpeg"/><Relationship Id="rId58" Type="http://schemas.openxmlformats.org/officeDocument/2006/relationships/image" Target="../media/image41.jpeg"/><Relationship Id="rId66" Type="http://schemas.openxmlformats.org/officeDocument/2006/relationships/image" Target="../media/image49.jpeg"/><Relationship Id="rId5" Type="http://schemas.openxmlformats.org/officeDocument/2006/relationships/image" Target="../media/image3.png"/><Relationship Id="rId15" Type="http://schemas.openxmlformats.org/officeDocument/2006/relationships/image" Target="../media/image8.png"/><Relationship Id="rId23" Type="http://schemas.openxmlformats.org/officeDocument/2006/relationships/image" Target="../media/image12.png"/><Relationship Id="rId28" Type="http://schemas.openxmlformats.org/officeDocument/2006/relationships/image" Target="../media/image28.svg"/><Relationship Id="rId36" Type="http://schemas.openxmlformats.org/officeDocument/2006/relationships/image" Target="../media/image19.png"/><Relationship Id="rId49" Type="http://schemas.openxmlformats.org/officeDocument/2006/relationships/image" Target="../media/image32.jpeg"/><Relationship Id="rId57" Type="http://schemas.openxmlformats.org/officeDocument/2006/relationships/image" Target="../media/image40.jpeg"/><Relationship Id="rId61" Type="http://schemas.openxmlformats.org/officeDocument/2006/relationships/image" Target="../media/image44.jpeg"/><Relationship Id="rId10" Type="http://schemas.openxmlformats.org/officeDocument/2006/relationships/image" Target="../media/image10.svg"/><Relationship Id="rId19" Type="http://schemas.openxmlformats.org/officeDocument/2006/relationships/image" Target="../media/image10.png"/><Relationship Id="rId31" Type="http://schemas.openxmlformats.org/officeDocument/2006/relationships/image" Target="../media/image16.png"/><Relationship Id="rId44" Type="http://schemas.openxmlformats.org/officeDocument/2006/relationships/image" Target="../media/image27.jpeg"/><Relationship Id="rId52" Type="http://schemas.openxmlformats.org/officeDocument/2006/relationships/image" Target="../media/image35.jpeg"/><Relationship Id="rId60" Type="http://schemas.openxmlformats.org/officeDocument/2006/relationships/image" Target="../media/image43.jpeg"/><Relationship Id="rId65" Type="http://schemas.openxmlformats.org/officeDocument/2006/relationships/image" Target="../media/image48.jpeg"/><Relationship Id="rId4" Type="http://schemas.openxmlformats.org/officeDocument/2006/relationships/image" Target="../media/image4.svg"/><Relationship Id="rId9" Type="http://schemas.openxmlformats.org/officeDocument/2006/relationships/image" Target="../media/image5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14.png"/><Relationship Id="rId30" Type="http://schemas.openxmlformats.org/officeDocument/2006/relationships/image" Target="../media/image30.svg"/><Relationship Id="rId35" Type="http://schemas.openxmlformats.org/officeDocument/2006/relationships/image" Target="../media/image18.png"/><Relationship Id="rId43" Type="http://schemas.openxmlformats.org/officeDocument/2006/relationships/image" Target="../media/image26.jpeg"/><Relationship Id="rId48" Type="http://schemas.openxmlformats.org/officeDocument/2006/relationships/image" Target="../media/image31.jpeg"/><Relationship Id="rId56" Type="http://schemas.openxmlformats.org/officeDocument/2006/relationships/image" Target="../media/image39.jpeg"/><Relationship Id="rId64" Type="http://schemas.openxmlformats.org/officeDocument/2006/relationships/image" Target="../media/image47.jpeg"/><Relationship Id="rId8" Type="http://schemas.openxmlformats.org/officeDocument/2006/relationships/image" Target="../media/image8.svg"/><Relationship Id="rId51" Type="http://schemas.openxmlformats.org/officeDocument/2006/relationships/image" Target="../media/image34.jpeg"/><Relationship Id="rId3" Type="http://schemas.openxmlformats.org/officeDocument/2006/relationships/image" Target="../media/image2.png"/><Relationship Id="rId12" Type="http://schemas.openxmlformats.org/officeDocument/2006/relationships/image" Target="../media/image12.svg"/><Relationship Id="rId17" Type="http://schemas.openxmlformats.org/officeDocument/2006/relationships/image" Target="../media/image9.png"/><Relationship Id="rId25" Type="http://schemas.openxmlformats.org/officeDocument/2006/relationships/image" Target="../media/image13.png"/><Relationship Id="rId33" Type="http://schemas.openxmlformats.org/officeDocument/2006/relationships/image" Target="../media/image17.png"/><Relationship Id="rId38" Type="http://schemas.openxmlformats.org/officeDocument/2006/relationships/image" Target="../media/image21.jpeg"/><Relationship Id="rId46" Type="http://schemas.openxmlformats.org/officeDocument/2006/relationships/image" Target="../media/image29.jpeg"/><Relationship Id="rId59" Type="http://schemas.openxmlformats.org/officeDocument/2006/relationships/image" Target="../media/image4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72"/>
  <sheetViews>
    <sheetView showGridLines="0" workbookViewId="0">
      <selection activeCell="B2" sqref="B2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ref="I17:I64">
    <sortCondition ref="I17:I64"/>
  </sortState>
  <dataValidations count="6">
    <dataValidation type="list" allowBlank="1" showInputMessage="1" showErrorMessage="1" promptTitle="Select Language" prompt="Use drop-down List" sqref="C4">
      <formula1>lang_list</formula1>
    </dataValidation>
    <dataValidation type="list" allowBlank="1" showInputMessage="1" showErrorMessage="1" promptTitle="Select Summer Time" prompt="Use drop-down List" sqref="C6">
      <formula1>"Yes,No"</formula1>
    </dataValidation>
    <dataValidation type="list" allowBlank="1" showInputMessage="1" showErrorMessage="1" promptTitle="Select Minutes" prompt="Use drop-down List" sqref="C10">
      <formula1>$F$44:$F$47</formula1>
    </dataValidation>
    <dataValidation type="list" allowBlank="1" showInputMessage="1" showErrorMessage="1" promptTitle="Select Your Favorite Team" prompt="Use drop-down List" sqref="C12">
      <formula1>teams</formula1>
    </dataValidation>
    <dataValidation type="list" allowBlank="1" showInputMessage="1" showErrorMessage="1" promptTitle="Select GTM-time" prompt="Use drop-down List" sqref="C8">
      <formula1>$F$18:$F$42</formula1>
    </dataValidation>
    <dataValidation type="list" allowBlank="1" showInputMessage="1" showErrorMessage="1" promptTitle="Highlight Group Matches" prompt="Include all group-stage matches for your selected team" sqref="C14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R111"/>
  <sheetViews>
    <sheetView showGridLines="0" tabSelected="1" zoomScaleNormal="100" workbookViewId="0">
      <selection sqref="A1:P1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2</v>
      </c>
      <c r="AL8" s="123">
        <f>AI8-AJ8</f>
        <v>3</v>
      </c>
      <c r="AM8" s="123">
        <f>AL8-AL12</f>
        <v>9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87500009.834173843</v>
      </c>
      <c r="AQ8" s="126">
        <f>VLOOKUP(AE8,db_fifarank,2,FALSE)</f>
        <v>1681.03</v>
      </c>
      <c r="AR8" s="125">
        <f>AP8/AP12</f>
        <v>0.99999998857143002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5 - 2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0</v>
      </c>
      <c r="AJ9" s="123">
        <f>SUMIF($E$7:$E$78,$AE9,$G$7:$G$78) + SUMIF($H$7:$H$78,$AE9,$F$7:$F$78)</f>
        <v>6</v>
      </c>
      <c r="AL9" s="123">
        <f>AI9-AJ9</f>
        <v>-6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7.1486499999999997E-4</v>
      </c>
      <c r="AQ9" s="126">
        <f>VLOOKUP(AE9,db_fifarank,2,FALSE)</f>
        <v>1429.73</v>
      </c>
      <c r="AR9" s="125">
        <f>AP9/AP12</f>
        <v>8.1698847026977015E-12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4 - 2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3</v>
      </c>
      <c r="AL10" s="123">
        <f>AI10-AJ10</f>
        <v>1</v>
      </c>
      <c r="AM10" s="123">
        <f>AL10-AL12</f>
        <v>7</v>
      </c>
      <c r="AN10" s="123">
        <f>AF10*3+AG10</f>
        <v>4</v>
      </c>
      <c r="AO10" s="123">
        <f>AN10/AN12*10+BA10</f>
        <v>5</v>
      </c>
      <c r="AP10" s="123">
        <f>AO10*10000000+BI10*100+AM10/AM12*10+AI10/AI12*1++IF(AQ10=0,ROW(),AQ10)/2000000</f>
        <v>50000007.667460993</v>
      </c>
      <c r="AQ10" s="126">
        <f>VLOOKUP(AE10,db_fifarank,2,FALSE)</f>
        <v>1588.66</v>
      </c>
      <c r="AR10" s="125">
        <f>AP10/AP12</f>
        <v>0.57142858830290666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4 - 3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2</v>
      </c>
      <c r="AH11" s="123">
        <f>COUNTIF($S$7:$T$78,"=" &amp; AE11 &amp; "_lose")</f>
        <v>0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2</v>
      </c>
      <c r="AL11" s="123">
        <f>AI11-AJ11</f>
        <v>2</v>
      </c>
      <c r="AM11" s="123">
        <f>AL11-AL12</f>
        <v>8</v>
      </c>
      <c r="AN11" s="123">
        <f>AF11*3+AG11</f>
        <v>5</v>
      </c>
      <c r="AO11" s="123">
        <f>AN11/AN12*10+BA11</f>
        <v>6.25</v>
      </c>
      <c r="AP11" s="123">
        <f>AO11*10000000+BI11*100+AM11/AM12*10+AI11/AI12*1++IF(AQ11=0,ROW(),AQ11)/2000000</f>
        <v>62500008.667417355</v>
      </c>
      <c r="AQ11" s="126">
        <f>VLOOKUP(AE11,db_fifarank,2,FALSE)</f>
        <v>1501.38</v>
      </c>
      <c r="AR11" s="125">
        <f>AP11/AP12</f>
        <v>0.7142857248996759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1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0 - 6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4</v>
      </c>
      <c r="AI12" s="123">
        <f>MAX(AI8:AI11)+1</f>
        <v>6</v>
      </c>
      <c r="AL12" s="123">
        <f>MIN(AL8:AL11)</f>
        <v>-6</v>
      </c>
      <c r="AM12" s="123">
        <f>MAX(AM8:AM11)+1</f>
        <v>10</v>
      </c>
      <c r="AN12" s="123">
        <f>MAX(AN8:AN11)+1</f>
        <v>8</v>
      </c>
      <c r="AO12" s="123">
        <f>MAX(AO8:AO11)+1</f>
        <v>9.75</v>
      </c>
      <c r="AP12" s="123">
        <f>MAX(AP8:AP11)+1</f>
        <v>87500010.834173843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6</v>
      </c>
      <c r="AJ14" s="123">
        <f>SUMIF($E$7:$E$78,$AE14,$G$7:$G$78) + SUMIF($H$7:$H$78,$AE14,$F$7:$F$78)</f>
        <v>3</v>
      </c>
      <c r="AL14" s="123">
        <f>AI14-AJ14</f>
        <v>3</v>
      </c>
      <c r="AM14" s="123">
        <f>AL14-AL18</f>
        <v>9</v>
      </c>
      <c r="AN14" s="123">
        <f>AF14*3+AG14</f>
        <v>7</v>
      </c>
      <c r="AO14" s="123">
        <f>AN14/AN18*10+BA14</f>
        <v>9.7305825242718456</v>
      </c>
      <c r="AP14" s="123">
        <f>AO14*10000000+BI14*100+AM14/AM18*10+AI14/AI18*1++IF(AQ14=0,ROW(),AQ14)/2000000</f>
        <v>97305933.158891976</v>
      </c>
      <c r="AQ14" s="126">
        <f>VLOOKUP(AE14,db_fifarank,2,FALSE)</f>
        <v>1556.48</v>
      </c>
      <c r="AR14" s="125">
        <f>AP14/AP18</f>
        <v>0.99999998972313453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50.5</v>
      </c>
      <c r="BA14" s="126">
        <f>AZ14/AZ18</f>
        <v>0.98058252427184467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1</v>
      </c>
      <c r="BE14" s="126" cm="1">
        <f t="array" ref="BE14">SUMPRODUCT(($E$7:$E$78=AE14)*($X$7:$X$78)*($G$7:$G$78))+SUMPRODUCT(($H$7:$H$78=AE14)*($X$7:$X$78)*($F$7:$F$78))</f>
        <v>1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50.5</v>
      </c>
      <c r="BI14" s="126">
        <f>BH14/BH18</f>
        <v>0.98058252427184467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6 - 3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0</v>
      </c>
      <c r="AH15" s="123">
        <f>COUNTIF($S$7:$T$78,"=" &amp; AE15 &amp; "_lose")</f>
        <v>2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3</v>
      </c>
      <c r="AL15" s="123">
        <f>AI15-AJ15</f>
        <v>0</v>
      </c>
      <c r="AM15" s="123">
        <f>AL15-AL18</f>
        <v>6</v>
      </c>
      <c r="AN15" s="123">
        <f>AF15*3+AG15</f>
        <v>3</v>
      </c>
      <c r="AO15" s="123">
        <f>AN15/AN18*10+BA15</f>
        <v>3.75</v>
      </c>
      <c r="AP15" s="123">
        <f>AO15*10000000+BI15*100+AM15/AM18*10+AI15/AI18*1++IF(AQ15=0,ROW(),AQ15)/2000000</f>
        <v>37500006.429264344</v>
      </c>
      <c r="AQ15" s="126">
        <f>VLOOKUP(AE15,db_fifarank,2,FALSE)</f>
        <v>1385.84</v>
      </c>
      <c r="AR15" s="125">
        <f>AP15/AP18</f>
        <v>0.3853825232079901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5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2</v>
      </c>
      <c r="M16" s="23">
        <f>VLOOKUP(2,AD14:AN17,4,FALSE)</f>
        <v>1</v>
      </c>
      <c r="N16" s="23">
        <f>VLOOKUP(2,AD14:AN17,5,FALSE)</f>
        <v>0</v>
      </c>
      <c r="O16" s="23" t="str">
        <f>VLOOKUP(2,AD14:AN17,6,FALSE) &amp; " - " &amp; VLOOKUP(2,AD14:AN17,7,FALSE)</f>
        <v>4 - 1</v>
      </c>
      <c r="P16" s="34">
        <f>L16*3+M16</f>
        <v>7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7</v>
      </c>
      <c r="AL16" s="123">
        <f>AI16-AJ16</f>
        <v>-6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0.14358462285714285</v>
      </c>
      <c r="AQ16" s="126">
        <f>VLOOKUP(AE16,db_fifarank,2,FALSE)</f>
        <v>1454.96</v>
      </c>
      <c r="AR16" s="125">
        <f>AP16/AP18</f>
        <v>1.4755998603608478E-9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1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3 - 3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1</v>
      </c>
      <c r="AL17" s="123">
        <f>AI17-AJ17</f>
        <v>3</v>
      </c>
      <c r="AM17" s="123">
        <f>AL17-AL18</f>
        <v>9</v>
      </c>
      <c r="AN17" s="123">
        <f>AF17*3+AG17</f>
        <v>7</v>
      </c>
      <c r="AO17" s="123">
        <f>AN17/AN18*10+BA17</f>
        <v>9.7305825242718456</v>
      </c>
      <c r="AP17" s="123">
        <f>AO17*10000000+BI17*100+AM17/AM18*10+AI17/AI18*1++IF(AQ17=0,ROW(),AQ17)/2000000</f>
        <v>97305932.873224154</v>
      </c>
      <c r="AQ17" s="126">
        <f>VLOOKUP(AE17,db_fifarank,2,FALSE)</f>
        <v>1649.4</v>
      </c>
      <c r="AR17" s="125">
        <f>AP17/AP18</f>
        <v>0.99999998678736468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1</v>
      </c>
      <c r="AW17" s="126" cm="1">
        <f t="array" ref="AW17">SUMPRODUCT(($E$7:$E$78=AE17)*($U$7:$U$78)*($G$7:$G$78))+SUMPRODUCT(($H$7:$H$78=AE17)*($U$7:$U$78)*($F$7:$F$78))</f>
        <v>1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50.5</v>
      </c>
      <c r="BA17" s="126">
        <f>AZ17/AZ18</f>
        <v>0.98058252427184467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1</v>
      </c>
      <c r="BE17" s="126" cm="1">
        <f t="array" ref="BE17">SUMPRODUCT(($E$7:$E$78=AE17)*($X$7:$X$78)*($G$7:$G$78))+SUMPRODUCT(($H$7:$H$78=AE17)*($X$7:$X$78)*($F$7:$F$78))</f>
        <v>1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50.5</v>
      </c>
      <c r="BI17" s="126">
        <f>BH17/BH18</f>
        <v>0.98058252427184467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1 - 7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4</v>
      </c>
      <c r="AI18" s="123">
        <f>MAX(AI14:AI17)+1</f>
        <v>7</v>
      </c>
      <c r="AL18" s="123">
        <f>MIN(AL14:AL17)</f>
        <v>-6</v>
      </c>
      <c r="AM18" s="123">
        <f>MAX(AM14:AM17)+1</f>
        <v>10</v>
      </c>
      <c r="AN18" s="123">
        <f>MAX(AN14:AN17)+1</f>
        <v>8</v>
      </c>
      <c r="AO18" s="123">
        <f>MAX(AO14:AO17)+1</f>
        <v>10.730582524271846</v>
      </c>
      <c r="AP18" s="123">
        <f>MAX(AP14:AP17)+1</f>
        <v>97305934.158891976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31">
        <v>73</v>
      </c>
      <c r="BL18" s="24" t="str">
        <f>AS9</f>
        <v>Czech Republic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Switzerland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1</v>
      </c>
      <c r="AL20" s="123">
        <f>AI20-AJ20</f>
        <v>7</v>
      </c>
      <c r="AM20" s="123">
        <f>AL20-AL24</f>
        <v>16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90000010.301534191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Switzerland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8 - 1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1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3</v>
      </c>
      <c r="AL21" s="123">
        <f>AI21-AJ21</f>
        <v>2</v>
      </c>
      <c r="AM21" s="123">
        <f>AL21-AL24</f>
        <v>11</v>
      </c>
      <c r="AN21" s="123">
        <f>AF21*3+AG21</f>
        <v>4</v>
      </c>
      <c r="AO21" s="123">
        <f>AN21/AN24*10+BA21</f>
        <v>4.9805825242718447</v>
      </c>
      <c r="AP21" s="123">
        <f>AO21*10000000+BI21*100+AM21/AM24*10+AI21/AI24*1++IF(AQ21=0,ROW(),AQ21)/2000000</f>
        <v>49805930.327992588</v>
      </c>
      <c r="AQ21" s="126">
        <f>VLOOKUP(AE21,db_fifarank,2,FALSE)</f>
        <v>1755.87</v>
      </c>
      <c r="AR21" s="125">
        <f>AP21/AP24</f>
        <v>0.55339915637481218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1</v>
      </c>
      <c r="M22" s="23">
        <f>VLOOKUP(2,AD20:AN23,4,FALSE)</f>
        <v>1</v>
      </c>
      <c r="N22" s="23">
        <f>VLOOKUP(2,AD20:AN23,5,FALSE)</f>
        <v>1</v>
      </c>
      <c r="O22" s="23" t="str">
        <f>VLOOKUP(2,AD20:AN23,6,FALSE) &amp; " - " &amp; VLOOKUP(2,AD20:AN23,7,FALSE)</f>
        <v>5 - 3</v>
      </c>
      <c r="P22" s="34">
        <f>L22*3+M22</f>
        <v>4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9</v>
      </c>
      <c r="AL22" s="123">
        <f>AI22-AJ22</f>
        <v>-9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7.176165765536858E-12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3 - 3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3</v>
      </c>
      <c r="AL23" s="123">
        <f>AI23-AJ23</f>
        <v>0</v>
      </c>
      <c r="AM23" s="123">
        <f>AL23-AL24</f>
        <v>9</v>
      </c>
      <c r="AN23" s="123">
        <f>AF23*3+AG23</f>
        <v>4</v>
      </c>
      <c r="AO23" s="123">
        <f>AN23/AN24*10+BA23</f>
        <v>4.9805825242718447</v>
      </c>
      <c r="AP23" s="123">
        <f>AO23*10000000+BI23*100+AM23/AM24*10+AI23/AI24*1++IF(AQ23=0,ROW(),AQ23)/2000000</f>
        <v>49805928.929171026</v>
      </c>
      <c r="AQ23" s="126">
        <f>VLOOKUP(AE23,db_fifarank,2,FALSE)</f>
        <v>1498.35</v>
      </c>
      <c r="AR23" s="125">
        <f>AP23/AP24</f>
        <v>0.55339914083235242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1</v>
      </c>
      <c r="AW23" s="126" cm="1">
        <f t="array" ref="AW23">SUMPRODUCT(($E$7:$E$78=AE23)*($U$7:$U$78)*($G$7:$G$78))+SUMPRODUCT(($H$7:$H$78=AE23)*($U$7:$U$78)*($F$7:$F$78))</f>
        <v>1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50.5</v>
      </c>
      <c r="BA23" s="126">
        <f>AZ23/AZ24</f>
        <v>0.98058252427184467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1</v>
      </c>
      <c r="BE23" s="126" cm="1">
        <f t="array" ref="BE23">SUMPRODUCT(($E$7:$E$78=AE23)*($X$7:$X$78)*($G$7:$G$78))+SUMPRODUCT(($H$7:$H$78=AE23)*($X$7:$X$78)*($F$7:$F$78))</f>
        <v>1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50.5</v>
      </c>
      <c r="BI23" s="126">
        <f>BH23/BH24</f>
        <v>0.98058252427184467</v>
      </c>
      <c r="BK23" s="132"/>
      <c r="BL23" s="26" t="str">
        <f>AS21</f>
        <v>Morocco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0 - 9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2</v>
      </c>
      <c r="AH24" s="123">
        <f t="shared" si="14"/>
        <v>4</v>
      </c>
      <c r="AI24" s="123">
        <f>MAX(AI20:AI23)+1</f>
        <v>9</v>
      </c>
      <c r="AL24" s="123">
        <f>MIN(AL20:AL23)</f>
        <v>-9</v>
      </c>
      <c r="AM24" s="123">
        <f>MAX(AM20:AM23)+1</f>
        <v>17</v>
      </c>
      <c r="AN24" s="123">
        <f>MAX(AN20:AN23)+1</f>
        <v>10</v>
      </c>
      <c r="AO24" s="123">
        <f>MAX(AO20:AO23)+1</f>
        <v>10</v>
      </c>
      <c r="AP24" s="123">
        <f>MAX(AP20:AP23)+1</f>
        <v>90000011.301534191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0</v>
      </c>
      <c r="CI24" s="64"/>
      <c r="CJ24" s="27"/>
      <c r="CK24" s="113">
        <f>IF(CK23="","",CH24*1000+CI24*10+CJ24)</f>
        <v>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2</v>
      </c>
      <c r="AL26" s="123">
        <f>AI26-AJ26</f>
        <v>3</v>
      </c>
      <c r="AM26" s="123">
        <f>AL26-AL30</f>
        <v>5</v>
      </c>
      <c r="AN26" s="123">
        <f>AF26*3+AG26</f>
        <v>7</v>
      </c>
      <c r="AO26" s="123">
        <f>AN26/AN30*10+BA26</f>
        <v>8.75</v>
      </c>
      <c r="AP26" s="123">
        <f>AO26*10000000+BI26*100+AM26/AM30*10+AI26/AI30*1++IF(AQ26=0,ROW(),AQ26)/2000000</f>
        <v>87500009.167503223</v>
      </c>
      <c r="AQ26" s="126">
        <f>VLOOKUP(AE26,db_fifarank,2,FALSE)</f>
        <v>1673.13</v>
      </c>
      <c r="AR26" s="125">
        <f>AP26/AP30</f>
        <v>0.99999998857142991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5 - 2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1</v>
      </c>
      <c r="W27" s="123">
        <f t="shared" si="4"/>
        <v>1</v>
      </c>
      <c r="X27" s="123">
        <f t="shared" si="9"/>
        <v>1</v>
      </c>
      <c r="Y27" s="123">
        <f t="shared" si="10"/>
        <v>1</v>
      </c>
      <c r="Z27" s="123">
        <f t="shared" si="11"/>
        <v>1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4</v>
      </c>
      <c r="AL27" s="123">
        <f>AI27-AJ27</f>
        <v>-2</v>
      </c>
      <c r="AM27" s="123">
        <f>AL27-AL30</f>
        <v>0</v>
      </c>
      <c r="AN27" s="123">
        <f>AF27*3+AG27</f>
        <v>1</v>
      </c>
      <c r="AO27" s="123">
        <f>AN27/AN30*10+BA27</f>
        <v>1.25</v>
      </c>
      <c r="AP27" s="123">
        <f>AO27*10000000+BI27*100+AM27/AM30*10+AI27/AI30*1++IF(AQ27=0,ROW(),AQ27)/2000000</f>
        <v>12500000.334085084</v>
      </c>
      <c r="AQ27" s="126">
        <f>VLOOKUP(AE27,db_fifarank,2,FALSE)</f>
        <v>1503.5</v>
      </c>
      <c r="AR27" s="125">
        <f>AP27/AP30</f>
        <v>0.14285713007525433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3 - 2</v>
      </c>
      <c r="P28" s="34">
        <f>L28*3+M28</f>
        <v>5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2</v>
      </c>
      <c r="AH28" s="123">
        <f>COUNTIF($S$7:$T$78,"=" &amp; AE28 &amp; "_lose")</f>
        <v>1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4</v>
      </c>
      <c r="AL28" s="123">
        <f>AI28-AJ28</f>
        <v>-2</v>
      </c>
      <c r="AM28" s="123">
        <f>AL28-AL30</f>
        <v>0</v>
      </c>
      <c r="AN28" s="123">
        <f>AF28*3+AG28</f>
        <v>2</v>
      </c>
      <c r="AO28" s="123">
        <f>AN28/AN30*10+BA28</f>
        <v>2.5</v>
      </c>
      <c r="AP28" s="123">
        <f>AO28*10000000+BI28*100+AM28/AM30*10+AI28/AI30*1++IF(AQ28=0,ROW(),AQ28)/2000000</f>
        <v>25000000.334123667</v>
      </c>
      <c r="AQ28" s="126">
        <f>VLOOKUP(AE28,db_fifarank,2,FALSE)</f>
        <v>1580.67</v>
      </c>
      <c r="AR28" s="125">
        <f>AP28/AP30</f>
        <v>0.28571425633283482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2 - 4</v>
      </c>
      <c r="P29" s="34">
        <f>L29*3+M29</f>
        <v>2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2</v>
      </c>
      <c r="AH29" s="123">
        <f>COUNTIF($S$7:$T$78,"=" &amp; AE29 &amp; "_lose")</f>
        <v>0</v>
      </c>
      <c r="AI29" s="123">
        <f>SUMIF($E$7:$E$78,$AE29,$F$7:$F$78) + SUMIF($H$7:$H$78,$AE29,$G$7:$G$78)</f>
        <v>3</v>
      </c>
      <c r="AJ29" s="123">
        <f>SUMIF($E$7:$E$78,$AE29,$G$7:$G$78) + SUMIF($H$7:$H$78,$AE29,$F$7:$F$78)</f>
        <v>2</v>
      </c>
      <c r="AL29" s="123">
        <f>AI29-AJ29</f>
        <v>1</v>
      </c>
      <c r="AM29" s="123">
        <f>AL29-AL30</f>
        <v>3</v>
      </c>
      <c r="AN29" s="123">
        <f>AF29*3+AG29</f>
        <v>5</v>
      </c>
      <c r="AO29" s="123">
        <f>AN29/AN30*10+BA29</f>
        <v>6.25</v>
      </c>
      <c r="AP29" s="123">
        <f>AO29*10000000+BI29*100+AM29/AM30*10+AI29/AI30*1++IF(AQ29=0,ROW(),AQ29)/2000000</f>
        <v>62500005.500799522</v>
      </c>
      <c r="AQ29" s="126">
        <f>VLOOKUP(AE29,db_fifarank,2,FALSE)</f>
        <v>1599.04</v>
      </c>
      <c r="AR29" s="125">
        <f>AP29/AP30</f>
        <v>0.71428569415197052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2 - 4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3</v>
      </c>
      <c r="AI30" s="123">
        <f>MAX(AI26:AI29)+1</f>
        <v>6</v>
      </c>
      <c r="AL30" s="123">
        <f>MIN(AL26:AL29)</f>
        <v>-2</v>
      </c>
      <c r="AM30" s="123">
        <f>MAX(AM26:AM29)+1</f>
        <v>6</v>
      </c>
      <c r="AN30" s="123">
        <f>MAX(AN26:AN29)+1</f>
        <v>8</v>
      </c>
      <c r="AO30" s="123">
        <f>MAX(AO26:AO29)+1</f>
        <v>9.75</v>
      </c>
      <c r="AP30" s="123">
        <f>MAX(AP26:AP29)+1</f>
        <v>87500010.167503223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10</v>
      </c>
      <c r="AJ32" s="123">
        <f>SUMIF($E$7:$E$78,$AE32,$G$7:$G$78) + SUMIF($H$7:$H$78,$AE32,$F$7:$F$78)</f>
        <v>2</v>
      </c>
      <c r="AL32" s="123">
        <f>AI32-AJ32</f>
        <v>8</v>
      </c>
      <c r="AM32" s="123">
        <f>AL32-AL36</f>
        <v>19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90000010.409956098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3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10 - 2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11</v>
      </c>
      <c r="AL33" s="123">
        <f>AI33-AJ33</f>
        <v>-11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7.1924990881544576E-12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United States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5 - 3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5</v>
      </c>
      <c r="AJ34" s="123">
        <f>SUMIF($E$7:$E$78,$AE34,$G$7:$G$78) + SUMIF($H$7:$H$78,$AE34,$F$7:$F$78)</f>
        <v>4</v>
      </c>
      <c r="AL34" s="123">
        <f>AI34-AJ34</f>
        <v>1</v>
      </c>
      <c r="AM34" s="123">
        <f>AL34-AL36</f>
        <v>12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49805929.756282814</v>
      </c>
      <c r="AQ34" s="126">
        <f>VLOOKUP(AE34,db_fifarank,2,FALSE)</f>
        <v>1532.98</v>
      </c>
      <c r="AR34" s="125">
        <f>AP34/AP36</f>
        <v>0.55339914935580903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5 - 4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3</v>
      </c>
      <c r="AL35" s="123">
        <f>AI35-AJ35</f>
        <v>2</v>
      </c>
      <c r="AM35" s="123">
        <f>AL35-AL36</f>
        <v>13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49805930.256313711</v>
      </c>
      <c r="AQ35" s="126">
        <f>VLOOKUP(AE35,db_fifarank,2,FALSE)</f>
        <v>1594.78</v>
      </c>
      <c r="AR35" s="125">
        <f>AP35/AP36</f>
        <v>0.55339915491170721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3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0 - 11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Scotland_draw</v>
      </c>
      <c r="T36" s="127" t="str">
        <f t="shared" si="2"/>
        <v>Morocco_draw</v>
      </c>
      <c r="U36" s="123">
        <f t="shared" si="8"/>
        <v>1</v>
      </c>
      <c r="V36" s="123">
        <f t="shared" si="3"/>
        <v>1</v>
      </c>
      <c r="W36" s="123">
        <f t="shared" si="4"/>
        <v>1</v>
      </c>
      <c r="X36" s="123">
        <f t="shared" si="9"/>
        <v>1</v>
      </c>
      <c r="Y36" s="123">
        <f t="shared" si="10"/>
        <v>1</v>
      </c>
      <c r="Z36" s="123">
        <f t="shared" si="11"/>
        <v>1</v>
      </c>
      <c r="AA36" s="123">
        <f t="shared" si="5"/>
        <v>0</v>
      </c>
      <c r="AB36" s="123">
        <f t="shared" si="6"/>
        <v>0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11</v>
      </c>
      <c r="AL36" s="123">
        <f>MIN(AL32:AL35)</f>
        <v>-11</v>
      </c>
      <c r="AM36" s="123">
        <f>MAX(AM32:AM35)+1</f>
        <v>20</v>
      </c>
      <c r="AN36" s="123">
        <f>MAX(AN32:AN35)+1</f>
        <v>10</v>
      </c>
      <c r="AO36" s="123">
        <f>MAX(AO32:AO35)+1</f>
        <v>10</v>
      </c>
      <c r="AP36" s="123">
        <f>MAX(AP32:AP35)+1</f>
        <v>90000011.409956098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5</v>
      </c>
      <c r="AJ38" s="123">
        <f>SUMIF($E$7:$E$78,$AE38,$G$7:$G$78) + SUMIF($H$7:$H$78,$AE38,$F$7:$F$78)</f>
        <v>2</v>
      </c>
      <c r="AL38" s="123">
        <f>AI38-AJ38</f>
        <v>3</v>
      </c>
      <c r="AM38" s="123">
        <f>AL38-AL42</f>
        <v>9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87500009.834212258</v>
      </c>
      <c r="AQ38" s="126">
        <f>VLOOKUP(AE38,db_fifarank,2,FALSE)</f>
        <v>1757.87</v>
      </c>
      <c r="AR38" s="125">
        <f>AP38/AP42</f>
        <v>0.99999998857143002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Argentina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5 - 2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2</v>
      </c>
      <c r="AH39" s="123">
        <f>COUNTIF($S$7:$T$78,"=" &amp; AE39 &amp; "_lose")</f>
        <v>0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2</v>
      </c>
      <c r="AL39" s="123">
        <f>AI39-AJ39</f>
        <v>2</v>
      </c>
      <c r="AM39" s="123">
        <f>AL39-AL42</f>
        <v>8</v>
      </c>
      <c r="AN39" s="123">
        <f>AF39*3+AG39</f>
        <v>5</v>
      </c>
      <c r="AO39" s="123">
        <f>AN39/AN42*10+BA39</f>
        <v>6.25</v>
      </c>
      <c r="AP39" s="123">
        <f>AO39*10000000+BI39*100+AM39/AM42*10+AI39/AI42*1++IF(AQ39=0,ROW(),AQ39)/2000000</f>
        <v>62500008.667496882</v>
      </c>
      <c r="AQ39" s="126">
        <f>VLOOKUP(AE39,db_fifarank,2,FALSE)</f>
        <v>1660.43</v>
      </c>
      <c r="AR39" s="125">
        <f>AP39/AP42</f>
        <v>0.7142857249002712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Korea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4 - 2</v>
      </c>
      <c r="P40" s="34">
        <f>L40*3+M40</f>
        <v>5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3</v>
      </c>
      <c r="AL40" s="123">
        <f>AI40-AJ40</f>
        <v>1</v>
      </c>
      <c r="AM40" s="123">
        <f>AL40-AL42</f>
        <v>7</v>
      </c>
      <c r="AN40" s="123">
        <f>AF40*3+AG40</f>
        <v>4</v>
      </c>
      <c r="AO40" s="123">
        <f>AN40/AN42*10+BA40</f>
        <v>5</v>
      </c>
      <c r="AP40" s="123">
        <f>AO40*10000000+BI40*100+AM40/AM42*10+AI40/AI42*1++IF(AQ40=0,ROW(),AQ40)/2000000</f>
        <v>50000007.667424046</v>
      </c>
      <c r="AQ40" s="126">
        <f>VLOOKUP(AE40,db_fifarank,2,FALSE)</f>
        <v>1514.77</v>
      </c>
      <c r="AR40" s="125">
        <f>AP40/AP42</f>
        <v>0.57142858830223353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4 - 3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6</v>
      </c>
      <c r="AL41" s="123">
        <f>AI41-AJ41</f>
        <v>-6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8.474570379253778E-12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0 - 6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3</v>
      </c>
      <c r="AH42" s="123">
        <f t="shared" si="18"/>
        <v>4</v>
      </c>
      <c r="AI42" s="123">
        <f>MAX(AI38:AI41)+1</f>
        <v>6</v>
      </c>
      <c r="AL42" s="123">
        <f>MIN(AL38:AL41)</f>
        <v>-6</v>
      </c>
      <c r="AM42" s="123">
        <f>MAX(AM38:AM41)+1</f>
        <v>10</v>
      </c>
      <c r="AN42" s="123">
        <f>MAX(AN38:AN41)+1</f>
        <v>8</v>
      </c>
      <c r="AO42" s="123">
        <f>MAX(AO38:AO41)+1</f>
        <v>9.75</v>
      </c>
      <c r="AP42" s="123">
        <f>MAX(AP38:AP41)+1</f>
        <v>87500010.834212258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1</v>
      </c>
      <c r="AL44" s="123">
        <f>AI44-AJ44</f>
        <v>6</v>
      </c>
      <c r="AM44" s="123">
        <f>AL44-AL48</f>
        <v>12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90000010.106636584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3</v>
      </c>
      <c r="AL45" s="123">
        <f>AI45-AJ45</f>
        <v>2</v>
      </c>
      <c r="AM45" s="123">
        <f>AL45-AL48</f>
        <v>8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60000006.77962777</v>
      </c>
      <c r="AQ45" s="126">
        <f>VLOOKUP(AE45,db_fifarank,2,FALSE)</f>
        <v>1563.24</v>
      </c>
      <c r="AR45" s="125">
        <f>AP45/AP48</f>
        <v>0.66666665972448291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5 - 3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4</v>
      </c>
      <c r="AL46" s="123">
        <f>AI46-AJ46</f>
        <v>-2</v>
      </c>
      <c r="AM46" s="123">
        <f>AL46-AL48</f>
        <v>4</v>
      </c>
      <c r="AN46" s="123">
        <f>AF46*3+AG46</f>
        <v>3</v>
      </c>
      <c r="AO46" s="123">
        <f>AN46/AN48*10+BA46</f>
        <v>3</v>
      </c>
      <c r="AP46" s="123">
        <f>AO46*10000000+BI46*100+AM46/AM48*10+AI46/AI48*1++IF(AQ46=0,ROW(),AQ46)/2000000</f>
        <v>30000003.327730726</v>
      </c>
      <c r="AQ46" s="126">
        <f>VLOOKUP(AE46,db_fifarank,2,FALSE)</f>
        <v>1615.3</v>
      </c>
      <c r="AR46" s="125">
        <f>AP46/AP48</f>
        <v>0.33333332917242864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2 - 4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6</v>
      </c>
      <c r="AL47" s="123">
        <f>AI47-AJ47</f>
        <v>-6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7.119832454695648E-12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0 - 6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8</v>
      </c>
      <c r="AL48" s="123">
        <f>MIN(AL44:AL47)</f>
        <v>-6</v>
      </c>
      <c r="AM48" s="123">
        <f>MAX(AM44:AM47)+1</f>
        <v>13</v>
      </c>
      <c r="AN48" s="123">
        <f>MAX(AN44:AN47)+1</f>
        <v>10</v>
      </c>
      <c r="AO48" s="123">
        <f>MAX(AO44:AO47)+1</f>
        <v>10</v>
      </c>
      <c r="AP48" s="123">
        <f>MAX(AP44:AP47)+1</f>
        <v>90000011.106636584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Brazil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1</v>
      </c>
      <c r="W50" s="123">
        <f t="shared" si="22"/>
        <v>1</v>
      </c>
      <c r="X50" s="123">
        <f t="shared" si="9"/>
        <v>1</v>
      </c>
      <c r="Y50" s="123">
        <f t="shared" si="10"/>
        <v>1</v>
      </c>
      <c r="Z50" s="123">
        <f t="shared" si="11"/>
        <v>1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8</v>
      </c>
      <c r="AJ50" s="123">
        <f>SUMIF($E$7:$E$78,$AE50,$G$7:$G$78) + SUMIF($H$7:$H$78,$AE50,$F$7:$F$78)</f>
        <v>1</v>
      </c>
      <c r="AL50" s="123">
        <f>AI50-AJ50</f>
        <v>7</v>
      </c>
      <c r="AM50" s="123">
        <f>AL50-AL54</f>
        <v>13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90000010.175541386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8 - 1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1</v>
      </c>
      <c r="AG51" s="123">
        <f>COUNTIF($S$7:$T$78,"=" &amp; AE51 &amp; "_draw")</f>
        <v>0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5</v>
      </c>
      <c r="AL51" s="123">
        <f>AI51-AJ51</f>
        <v>-4</v>
      </c>
      <c r="AM51" s="123">
        <f>AL51-AL54</f>
        <v>2</v>
      </c>
      <c r="AN51" s="123">
        <f>AF51*3+AG51</f>
        <v>3</v>
      </c>
      <c r="AO51" s="123">
        <f>AN51/AN54*10+BA51</f>
        <v>3</v>
      </c>
      <c r="AP51" s="123">
        <f>AO51*10000000+BI51*100+AM51/AM54*10+AI51/AI54*1++IF(AQ51=0,ROW(),AQ51)/2000000</f>
        <v>30000001.540365607</v>
      </c>
      <c r="AQ51" s="126">
        <f>VLOOKUP(AE51,db_fifarank,2,FALSE)</f>
        <v>1366.13</v>
      </c>
      <c r="AR51" s="125">
        <f>AP51/AP54</f>
        <v>0.33333330905761571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Ivory Coast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5 - 2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0</v>
      </c>
      <c r="AH52" s="123">
        <f>COUNTIF($S$7:$T$78,"=" &amp; AE52 &amp; "_lose")</f>
        <v>3</v>
      </c>
      <c r="AI52" s="123">
        <f>SUMIF($E$7:$E$78,$AE52,$F$7:$F$78) + SUMIF($H$7:$H$78,$AE52,$G$7:$G$78)</f>
        <v>0</v>
      </c>
      <c r="AJ52" s="123">
        <f>SUMIF($E$7:$E$78,$AE52,$G$7:$G$78) + SUMIF($H$7:$H$78,$AE52,$F$7:$F$78)</f>
        <v>6</v>
      </c>
      <c r="AL52" s="123">
        <f>AI52-AJ52</f>
        <v>-6</v>
      </c>
      <c r="AM52" s="123">
        <f>AL52-AL54</f>
        <v>0</v>
      </c>
      <c r="AN52" s="123">
        <f>AF52*3+AG52</f>
        <v>0</v>
      </c>
      <c r="AO52" s="123">
        <f>AN52/AN54*10+BA52</f>
        <v>0</v>
      </c>
      <c r="AP52" s="123">
        <f>AO52*10000000+BI52*100+AM52/AM54*10+AI52/AI54*1++IF(AQ52=0,ROW(),AQ52)/2000000</f>
        <v>7.10715E-4</v>
      </c>
      <c r="AQ52" s="126">
        <f>VLOOKUP(AE52,db_fifarank,2,FALSE)</f>
        <v>1421.43</v>
      </c>
      <c r="AR52" s="125">
        <f>AP52/AP54</f>
        <v>7.8968323527624796E-12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1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1 - 5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2</v>
      </c>
      <c r="AL53" s="123">
        <f>AI53-AJ53</f>
        <v>3</v>
      </c>
      <c r="AM53" s="123">
        <f>AL53-AL54</f>
        <v>9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60000006.984963514</v>
      </c>
      <c r="AQ53" s="126">
        <f>VLOOKUP(AE53,db_fifarank,2,FALSE)</f>
        <v>1673.07</v>
      </c>
      <c r="AR53" s="125">
        <f>AP53/AP54</f>
        <v>0.66666666149558496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0 - 6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9</v>
      </c>
      <c r="AL54" s="123">
        <f>MIN(AL50:AL53)</f>
        <v>-6</v>
      </c>
      <c r="AM54" s="123">
        <f>MAX(AM50:AM53)+1</f>
        <v>14</v>
      </c>
      <c r="AN54" s="123">
        <f>MAX(AN50:AN53)+1</f>
        <v>10</v>
      </c>
      <c r="AO54" s="123">
        <f>MAX(AO50:AO53)+1</f>
        <v>10</v>
      </c>
      <c r="AP54" s="123">
        <f>MAX(AP50:AP53)+1</f>
        <v>90000011.175541386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DR Congo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3</v>
      </c>
      <c r="AL56" s="123">
        <f>AI56-AJ56</f>
        <v>4</v>
      </c>
      <c r="AM56" s="123">
        <f>AL56-AL60</f>
        <v>12</v>
      </c>
      <c r="AN56" s="123">
        <f>AF56*3+AG56</f>
        <v>7</v>
      </c>
      <c r="AO56" s="123">
        <f>AN56/AN60*10+BA56</f>
        <v>9.7306451612903224</v>
      </c>
      <c r="AP56" s="123">
        <f>AO56*10000000+BI56*100+AM56/AM60*10+AI56/AI60*1++IF(AQ56=0,ROW(),AQ56)/2000000</f>
        <v>97306559.784127235</v>
      </c>
      <c r="AQ56" s="126">
        <f>VLOOKUP(AE56,db_fifarank,2,FALSE)</f>
        <v>1877.32</v>
      </c>
      <c r="AR56" s="125">
        <f>AP56/AP60</f>
        <v>0.9999999897232007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1</v>
      </c>
      <c r="AV56" s="126" cm="1">
        <f t="array" ref="AV56">SUMPRODUCT(($E$7:$E$78=AE56)*($U$7:$U$78)*($F$7:$F$78))+SUMPRODUCT(($H$7:$H$78=AE56)*($U$7:$U$78)*($G$7:$G$78))</f>
        <v>2</v>
      </c>
      <c r="AW56" s="126" cm="1">
        <f t="array" ref="AW56">SUMPRODUCT(($E$7:$E$78=AE56)*($U$7:$U$78)*($G$7:$G$78))+SUMPRODUCT(($H$7:$H$78=AE56)*($U$7:$U$78)*($F$7:$F$78))</f>
        <v>2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50.666666666666664</v>
      </c>
      <c r="BA56" s="126">
        <f>AZ56/AZ60</f>
        <v>0.98064516129032253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1</v>
      </c>
      <c r="BD56" s="126" cm="1">
        <f t="array" ref="BD56">SUMPRODUCT(($E$7:$E$78=AE56)*($X$7:$X$78)*($F$7:$F$78))+SUMPRODUCT(($H$7:$H$78=AE56)*($X$7:$X$78)*($G$7:$G$78))</f>
        <v>2</v>
      </c>
      <c r="BE56" s="126" cm="1">
        <f t="array" ref="BE56">SUMPRODUCT(($E$7:$E$78=AE56)*($X$7:$X$78)*($G$7:$G$78))+SUMPRODUCT(($H$7:$H$78=AE56)*($X$7:$X$78)*($F$7:$F$78))</f>
        <v>2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50.666666666666664</v>
      </c>
      <c r="BI56" s="126">
        <f>BH56/BH60</f>
        <v>0.98064516129032253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7 - 3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1</v>
      </c>
      <c r="V57" s="123">
        <f t="shared" si="21"/>
        <v>1</v>
      </c>
      <c r="W57" s="123">
        <f t="shared" si="22"/>
        <v>1</v>
      </c>
      <c r="X57" s="123">
        <f t="shared" si="9"/>
        <v>1</v>
      </c>
      <c r="Y57" s="123">
        <f t="shared" si="10"/>
        <v>1</v>
      </c>
      <c r="Z57" s="123">
        <f t="shared" si="11"/>
        <v>1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4</v>
      </c>
      <c r="AL57" s="123">
        <f>AI57-AJ57</f>
        <v>0</v>
      </c>
      <c r="AM57" s="123">
        <f>AL57-AL60</f>
        <v>8</v>
      </c>
      <c r="AN57" s="123">
        <f>AF57*3+AG57</f>
        <v>3</v>
      </c>
      <c r="AO57" s="123">
        <f>AN57/AN60*10+BA57</f>
        <v>3.75</v>
      </c>
      <c r="AP57" s="123">
        <f>AO57*10000000+BI57*100+AM57/AM60*10+AI57/AI60*1++IF(AQ57=0,ROW(),AQ57)/2000000</f>
        <v>37500006.654690646</v>
      </c>
      <c r="AQ57" s="126">
        <f>VLOOKUP(AE57,db_fifarank,2,FALSE)</f>
        <v>1688.99</v>
      </c>
      <c r="AR57" s="125">
        <f>AP57/AP60</f>
        <v>0.38538004377612012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1</v>
      </c>
      <c r="N58" s="23">
        <f>VLOOKUP(2,AD56:AN59,5,FALSE)</f>
        <v>0</v>
      </c>
      <c r="O58" s="23" t="str">
        <f>VLOOKUP(2,AD56:AN59,6,FALSE) &amp; " - " &amp; VLOOKUP(2,AD56:AN59,7,FALSE)</f>
        <v>7 - 3</v>
      </c>
      <c r="P58" s="34">
        <f>L58*3+M58</f>
        <v>7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8</v>
      </c>
      <c r="AL58" s="123">
        <f>AI58-AJ58</f>
        <v>-8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7.4359837010910954E-12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4 - 4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1</v>
      </c>
      <c r="AH59" s="123">
        <f>COUNTIF($S$7:$T$78,"=" &amp; AE59 &amp; "_lose")</f>
        <v>0</v>
      </c>
      <c r="AI59" s="123">
        <f>SUMIF($E$7:$E$78,$AE59,$F$7:$F$78) + SUMIF($H$7:$H$78,$AE59,$G$7:$G$78)</f>
        <v>7</v>
      </c>
      <c r="AJ59" s="123">
        <f>SUMIF($E$7:$E$78,$AE59,$G$7:$G$78) + SUMIF($H$7:$H$78,$AE59,$F$7:$F$78)</f>
        <v>3</v>
      </c>
      <c r="AL59" s="123">
        <f>AI59-AJ59</f>
        <v>4</v>
      </c>
      <c r="AM59" s="123">
        <f>AL59-AL60</f>
        <v>12</v>
      </c>
      <c r="AN59" s="123">
        <f>AF59*3+AG59</f>
        <v>7</v>
      </c>
      <c r="AO59" s="123">
        <f>AN59/AN60*10+BA59</f>
        <v>9.7306451612903224</v>
      </c>
      <c r="AP59" s="123">
        <f>AO59*10000000+BI59*100+AM59/AM60*10+AI59/AI60*1++IF(AQ59=0,ROW(),AQ59)/2000000</f>
        <v>97306559.783964053</v>
      </c>
      <c r="AQ59" s="126">
        <f>VLOOKUP(AE59,db_fifarank,2,FALSE)</f>
        <v>1550.94</v>
      </c>
      <c r="AR59" s="125">
        <f>AP59/AP60</f>
        <v>0.99999998972152371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2</v>
      </c>
      <c r="AW59" s="126" cm="1">
        <f t="array" ref="AW59">SUMPRODUCT(($E$7:$E$78=AE59)*($U$7:$U$78)*($G$7:$G$78))+SUMPRODUCT(($H$7:$H$78=AE59)*($U$7:$U$78)*($F$7:$F$78))</f>
        <v>2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50.666666666666664</v>
      </c>
      <c r="BA59" s="126">
        <f>AZ59/AZ60</f>
        <v>0.98064516129032253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2</v>
      </c>
      <c r="BE59" s="126" cm="1">
        <f t="array" ref="BE59">SUMPRODUCT(($E$7:$E$78=AE59)*($X$7:$X$78)*($G$7:$G$78))+SUMPRODUCT(($H$7:$H$78=AE59)*($X$7:$X$78)*($F$7:$F$78))</f>
        <v>2</v>
      </c>
      <c r="BF59" s="126">
        <f>BD59-BE59</f>
        <v>0</v>
      </c>
      <c r="BG59" s="126">
        <f>BF59-MIN(BF56:BF59)</f>
        <v>0</v>
      </c>
      <c r="BH59" s="126">
        <f t="shared" si="26"/>
        <v>50.666666666666664</v>
      </c>
      <c r="BI59" s="126">
        <f>BH59/BH60</f>
        <v>0.98064516129032253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0 - 8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2</v>
      </c>
      <c r="AH60" s="123">
        <f t="shared" si="27"/>
        <v>4</v>
      </c>
      <c r="AI60" s="123">
        <f>MAX(AI56:AI59)+1</f>
        <v>8</v>
      </c>
      <c r="AL60" s="123">
        <f>MIN(AL56:AL59)</f>
        <v>-8</v>
      </c>
      <c r="AM60" s="123">
        <f>MAX(AM56:AM59)+1</f>
        <v>13</v>
      </c>
      <c r="AN60" s="123">
        <f>MAX(AN56:AN59)+1</f>
        <v>8</v>
      </c>
      <c r="AO60" s="123">
        <f>MAX(AO56:AO59)+1</f>
        <v>10.730645161290322</v>
      </c>
      <c r="AP60" s="123">
        <f>MAX(AP56:AP59)+1</f>
        <v>97306560.784127235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3</v>
      </c>
      <c r="AW60" s="126">
        <f>MAX(AW56:AW59)-MIN(AW56:AW59)+1</f>
        <v>3</v>
      </c>
      <c r="AY60" s="126">
        <f>MAX(AY56:AY59)-MIN(AY56:AY59)+1</f>
        <v>1</v>
      </c>
      <c r="AZ60" s="126">
        <f>MAX(AZ56:AZ59)+1</f>
        <v>51.666666666666664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3</v>
      </c>
      <c r="BE60" s="126">
        <f>MAX(BE56:BE59)-MIN(BE56:BE59)+1</f>
        <v>3</v>
      </c>
      <c r="BG60" s="126">
        <f>MAX(BG56:BG59)-MIN(BG56:BG59)+1</f>
        <v>1</v>
      </c>
      <c r="BH60" s="126">
        <f>MAX(BH56:BH59)+1</f>
        <v>51.666666666666664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Egypt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1</v>
      </c>
      <c r="AL62" s="123">
        <f>AI62-AJ62</f>
        <v>7</v>
      </c>
      <c r="AM62" s="123">
        <f>AL62-AL66</f>
        <v>12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90000010.120595545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6</v>
      </c>
      <c r="AL63" s="123">
        <f>AI63-AJ63</f>
        <v>-4</v>
      </c>
      <c r="AM63" s="123">
        <f>AL63-AL66</f>
        <v>1</v>
      </c>
      <c r="AN63" s="123">
        <f>AF63*3+AG63</f>
        <v>1</v>
      </c>
      <c r="AO63" s="123">
        <f>AN63/AN66*10+BA63</f>
        <v>1.9805825242718447</v>
      </c>
      <c r="AP63" s="123">
        <f>AO63*10000000+BI63*100+AM63/AM66*10+AI63/AI66*1++IF(AQ63=0,ROW(),AQ63)/2000000</f>
        <v>19805924.293205995</v>
      </c>
      <c r="AQ63" s="126">
        <f>VLOOKUP(AE63,db_fifarank,2,FALSE)</f>
        <v>1564.26</v>
      </c>
      <c r="AR63" s="125">
        <f>AP63/AP66</f>
        <v>0.22006579828825842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32"/>
      <c r="BL63" s="26" t="str">
        <f>AS45</f>
        <v>Egypt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5 - 3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5</v>
      </c>
      <c r="AJ64" s="123">
        <f>SUMIF($E$7:$E$78,$AE64,$G$7:$G$78) + SUMIF($H$7:$H$78,$AE64,$F$7:$F$78)</f>
        <v>3</v>
      </c>
      <c r="AL64" s="123">
        <f>AI64-AJ64</f>
        <v>2</v>
      </c>
      <c r="AM64" s="123">
        <f>AL64-AL66</f>
        <v>7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60000005.940967664</v>
      </c>
      <c r="AQ64" s="126">
        <f>VLOOKUP(AE64,db_fifarank,2,FALSE)</f>
        <v>1593.45</v>
      </c>
      <c r="AR64" s="125">
        <f>AP64/AP66</f>
        <v>0.66666665030263872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1</v>
      </c>
      <c r="N65" s="23">
        <f>VLOOKUP(3,AD62:AN65,5,FALSE)</f>
        <v>2</v>
      </c>
      <c r="O65" s="23" t="str">
        <f>VLOOKUP(3,AD62:AN65,6,FALSE) &amp; " - " &amp; VLOOKUP(3,AD62:AN65,7,FALSE)</f>
        <v>2 - 6</v>
      </c>
      <c r="P65" s="34">
        <f>L65*3+M65</f>
        <v>1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6</v>
      </c>
      <c r="AL65" s="123">
        <f>AI65-AJ65</f>
        <v>-5</v>
      </c>
      <c r="AM65" s="123">
        <f>AL65-AL66</f>
        <v>0</v>
      </c>
      <c r="AN65" s="123">
        <f>AF65*3+AG65</f>
        <v>1</v>
      </c>
      <c r="AO65" s="123">
        <f>AN65/AN66*10+BA65</f>
        <v>1.9805825242718447</v>
      </c>
      <c r="AP65" s="123">
        <f>AO65*10000000+BI65*100+AM65/AM66*10+AI65/AI66*1++IF(AQ65=0,ROW(),AQ65)/2000000</f>
        <v>19805923.412777711</v>
      </c>
      <c r="AQ65" s="126">
        <f>VLOOKUP(AE65,db_fifarank,2,FALSE)</f>
        <v>1391.45</v>
      </c>
      <c r="AR65" s="125">
        <f>AP65/AP66</f>
        <v>0.22006578850572314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1</v>
      </c>
      <c r="AV65" s="126" cm="1">
        <f t="array" ref="AV65">SUMPRODUCT(($E$7:$E$78=AE65)*($U$7:$U$78)*($F$7:$F$78))+SUMPRODUCT(($H$7:$H$78=AE65)*($U$7:$U$78)*($G$7:$G$78))</f>
        <v>1</v>
      </c>
      <c r="AW65" s="126" cm="1">
        <f t="array" ref="AW65">SUMPRODUCT(($E$7:$E$78=AE65)*($U$7:$U$78)*($G$7:$G$78))+SUMPRODUCT(($H$7:$H$78=AE65)*($U$7:$U$78)*($F$7:$F$78))</f>
        <v>1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50.5</v>
      </c>
      <c r="BA65" s="126">
        <f>AZ65/AZ66</f>
        <v>0.98058252427184467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1</v>
      </c>
      <c r="BE65" s="126" cm="1">
        <f t="array" ref="BE65">SUMPRODUCT(($E$7:$E$78=AE65)*($X$7:$X$78)*($G$7:$G$78))+SUMPRODUCT(($H$7:$H$78=AE65)*($X$7:$X$78)*($F$7:$F$78))</f>
        <v>1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50.5</v>
      </c>
      <c r="BI65" s="126">
        <f>BH65/BH66</f>
        <v>0.98058252427184467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1 - 6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9</v>
      </c>
      <c r="AL66" s="123">
        <f>MIN(AL62:AL65)</f>
        <v>-5</v>
      </c>
      <c r="AM66" s="123">
        <f>MAX(AM62:AM65)+1</f>
        <v>13</v>
      </c>
      <c r="AN66" s="123">
        <f>MAX(AN62:AN65)+1</f>
        <v>10</v>
      </c>
      <c r="AO66" s="123">
        <f>MAX(AO62:AO65)+1</f>
        <v>10</v>
      </c>
      <c r="AP66" s="123">
        <f>MAX(AP62:AP65)+1</f>
        <v>90000011.120595545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31">
        <v>85</v>
      </c>
      <c r="BL66" s="24" t="str">
        <f>AS14</f>
        <v>Canada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2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1</v>
      </c>
      <c r="V67" s="123">
        <f t="shared" si="21"/>
        <v>2</v>
      </c>
      <c r="W67" s="123">
        <f t="shared" si="22"/>
        <v>2</v>
      </c>
      <c r="X67" s="123">
        <f t="shared" si="9"/>
        <v>1</v>
      </c>
      <c r="Y67" s="123">
        <f t="shared" si="10"/>
        <v>2</v>
      </c>
      <c r="Z67" s="123">
        <f t="shared" si="11"/>
        <v>2</v>
      </c>
      <c r="AA67" s="123">
        <f t="shared" si="17"/>
        <v>0</v>
      </c>
      <c r="AB67" s="123">
        <f t="shared" si="23"/>
        <v>0</v>
      </c>
      <c r="BK67" s="132"/>
      <c r="BL67" s="26" t="str">
        <f>IF(group_round_completed,VLOOKUP('3rd places'!E3,AK80:AS91,9,FALSE),"3rd Group E/F/G/I/J")</f>
        <v>Iran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2</v>
      </c>
      <c r="AL68" s="123">
        <f>AI68-AJ68</f>
        <v>6</v>
      </c>
      <c r="AM68" s="123">
        <f>AL68-AL72</f>
        <v>11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90000010.056437477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Canada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France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8 - 2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5</v>
      </c>
      <c r="AL69" s="123">
        <f>AI69-AJ69</f>
        <v>-4</v>
      </c>
      <c r="AM69" s="123">
        <f>AL69-AL72</f>
        <v>1</v>
      </c>
      <c r="AN69" s="123">
        <f>AF69*3+AG69</f>
        <v>3</v>
      </c>
      <c r="AO69" s="123">
        <f>AN69/AN72*10+BA69</f>
        <v>3</v>
      </c>
      <c r="AP69" s="123">
        <f>AO69*10000000+BI69*100+AM69/AM72*10+AI69/AI72*1++IF(AQ69=0,ROW(),AQ69)/2000000</f>
        <v>30000000.94518362</v>
      </c>
      <c r="AQ69" s="126">
        <f>VLOOKUP(AE69,db_fifarank,2,FALSE)</f>
        <v>1478.35</v>
      </c>
      <c r="AR69" s="125">
        <f>AP69/AP72</f>
        <v>0.33333330288560886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5 - 2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6</v>
      </c>
      <c r="AL70" s="123">
        <f>AI70-AJ70</f>
        <v>-5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0.11184378111111111</v>
      </c>
      <c r="AQ70" s="126">
        <f>VLOOKUP(AE70,db_fifarank,2,FALSE)</f>
        <v>1465.34</v>
      </c>
      <c r="AR70" s="125">
        <f>AP70/AP72</f>
        <v>1.2427085263464665E-9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0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1 - 5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Verde_win</v>
      </c>
      <c r="T71" s="127" t="str">
        <f t="shared" si="20"/>
        <v>Saudi Arabia_lose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2</v>
      </c>
      <c r="AL71" s="123">
        <f>AI71-AJ71</f>
        <v>3</v>
      </c>
      <c r="AM71" s="123">
        <f>AL71-AL72</f>
        <v>8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60000007.223068759</v>
      </c>
      <c r="AQ71" s="126">
        <f>VLOOKUP(AE71,db_fifarank,2,FALSE)</f>
        <v>1693.09</v>
      </c>
      <c r="AR71" s="125">
        <f>AP71/AP72</f>
        <v>0.66666666502344951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Senegal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1 - 6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9</v>
      </c>
      <c r="AL72" s="123">
        <f>MIN(AL68:AL71)</f>
        <v>-5</v>
      </c>
      <c r="AM72" s="123">
        <f>MAX(AM68:AM71)+1</f>
        <v>12</v>
      </c>
      <c r="AN72" s="123">
        <f>MAX(AN68:AN71)+1</f>
        <v>10</v>
      </c>
      <c r="AO72" s="123">
        <f>MAX(AO68:AO71)+1</f>
        <v>10</v>
      </c>
      <c r="AP72" s="123">
        <f>MAX(AP68:AP71)+1</f>
        <v>90000011.056437477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1</v>
      </c>
      <c r="AL74" s="123">
        <f>AI74-AJ74</f>
        <v>7</v>
      </c>
      <c r="AM74" s="123">
        <f>AL74-AL78</f>
        <v>12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90000010.120571107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8 - 1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3</v>
      </c>
      <c r="AL75" s="123">
        <f>AI75-AJ75</f>
        <v>2</v>
      </c>
      <c r="AM75" s="123">
        <f>AL75-AL78</f>
        <v>7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60000005.941029474</v>
      </c>
      <c r="AQ75" s="126">
        <f>VLOOKUP(AE75,db_fifarank,2,FALSE)</f>
        <v>1717.07</v>
      </c>
      <c r="AR75" s="125">
        <f>AP75/AP78</f>
        <v>0.66666665030350647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5 - 3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6</v>
      </c>
      <c r="AL76" s="123">
        <f>AI76-AJ76</f>
        <v>-4</v>
      </c>
      <c r="AM76" s="123">
        <f>AL76-AL78</f>
        <v>1</v>
      </c>
      <c r="AN76" s="123">
        <f>AF76*3+AG76</f>
        <v>1</v>
      </c>
      <c r="AO76" s="123">
        <f>AN76/AN78*10+BA76</f>
        <v>1.9805825242718447</v>
      </c>
      <c r="AP76" s="123">
        <f>AO76*10000000+BI76*100+AM76/AM78*10+AI76/AI78*1++IF(AQ76=0,ROW(),AQ76)/2000000</f>
        <v>19805924.293097023</v>
      </c>
      <c r="AQ76" s="126">
        <f>VLOOKUP(AE76,db_fifarank,2,FALSE)</f>
        <v>1346.31</v>
      </c>
      <c r="AR76" s="125">
        <f>AP76/AP78</f>
        <v>0.2200657982871074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2 - 6</v>
      </c>
      <c r="P77" s="34">
        <f>L77*3+M77</f>
        <v>1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6</v>
      </c>
      <c r="AL77" s="123">
        <f>AI77-AJ77</f>
        <v>-5</v>
      </c>
      <c r="AM77" s="123">
        <f>AL77-AL78</f>
        <v>0</v>
      </c>
      <c r="AN77" s="123">
        <f>AF77*3+AG77</f>
        <v>1</v>
      </c>
      <c r="AO77" s="123">
        <f>AN77/AN78*10+BA77</f>
        <v>1.9805825242718447</v>
      </c>
      <c r="AP77" s="123">
        <f>AO77*10000000+BI77*100+AM77/AM78*10+AI77/AI78*1++IF(AQ77=0,ROW(),AQ77)/2000000</f>
        <v>19805923.412852306</v>
      </c>
      <c r="AQ77" s="126">
        <f>VLOOKUP(AE77,db_fifarank,2,FALSE)</f>
        <v>1540.64</v>
      </c>
      <c r="AR77" s="125">
        <f>AP77/AP78</f>
        <v>0.22006578850661174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1</v>
      </c>
      <c r="AW77" s="126" cm="1">
        <f t="array" ref="AW77">SUMPRODUCT(($E$7:$E$78=AE77)*($U$7:$U$78)*($G$7:$G$78))+SUMPRODUCT(($H$7:$H$78=AE77)*($U$7:$U$78)*($F$7:$F$78))</f>
        <v>1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50.5</v>
      </c>
      <c r="BA77" s="126">
        <f>AZ77/AZ78</f>
        <v>0.98058252427184467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1</v>
      </c>
      <c r="BE77" s="126" cm="1">
        <f t="array" ref="BE77">SUMPRODUCT(($E$7:$E$78=AE77)*($X$7:$X$78)*($G$7:$G$78))+SUMPRODUCT(($H$7:$H$78=AE77)*($X$7:$X$78)*($F$7:$F$78))</f>
        <v>1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50.5</v>
      </c>
      <c r="BI77" s="126">
        <f>BH77/BH78</f>
        <v>0.98058252427184467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1 - 6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3</v>
      </c>
      <c r="AI78" s="123">
        <f>MAX(AI74:AI77)+1</f>
        <v>9</v>
      </c>
      <c r="AL78" s="123">
        <f>MIN(AL74:AL77)</f>
        <v>-5</v>
      </c>
      <c r="AM78" s="123">
        <f>MAX(AM74:AM77)+1</f>
        <v>13</v>
      </c>
      <c r="AN78" s="123">
        <f>MAX(AN74:AN77)+1</f>
        <v>10</v>
      </c>
      <c r="AO78" s="123">
        <f>MAX(AO74:AO77)+1</f>
        <v>10</v>
      </c>
      <c r="AP78" s="123">
        <f>MAX(AP74:AP77)+1</f>
        <v>90000011.120571107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2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4</v>
      </c>
      <c r="AJ80" s="123">
        <f>VLOOKUP($AE80,$AE$8:$AQ$78,6,FALSE)</f>
        <v>3</v>
      </c>
      <c r="AK80" s="123" t="s">
        <v>3180</v>
      </c>
      <c r="AL80" s="123">
        <f>VLOOKUP($AE80,$AE$8:$AQ$78,8,FALSE)</f>
        <v>1</v>
      </c>
      <c r="AM80" s="123">
        <f>AL80-$AL$92</f>
        <v>5</v>
      </c>
      <c r="AN80" s="123">
        <f>VLOOKUP($AE80,$AE$8:$AQ$78,10,FALSE)</f>
        <v>4</v>
      </c>
      <c r="AP80" s="123">
        <f>AN80/AN92*10000+AM80/AM92*1000+AI80/AI92*100+IF(AQ80=0,ROW(),AQ80)/2000000</f>
        <v>8900.0007943300006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Ⓔ Ivory Coast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5 - 4</v>
      </c>
      <c r="P81" s="98">
        <f>L81*3+M81</f>
        <v>4</v>
      </c>
      <c r="AD81" s="123">
        <f t="shared" ref="AD81:AD91" si="38">COUNTIF($AP$80:$AP$91,CONCATENATE("&gt;=",AP81))</f>
        <v>6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4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6716.6673595866669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Ⓐ Korea Republic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4 - 3</v>
      </c>
      <c r="P82" s="101">
        <f t="shared" ref="P82:P92" si="48">L82*3+M82</f>
        <v>4</v>
      </c>
      <c r="AD82" s="123">
        <f t="shared" si="38"/>
        <v>4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3</v>
      </c>
      <c r="AJ82" s="123">
        <f t="shared" si="42"/>
        <v>3</v>
      </c>
      <c r="AK82" s="123" t="s">
        <v>3182</v>
      </c>
      <c r="AL82" s="123">
        <f t="shared" si="43"/>
        <v>0</v>
      </c>
      <c r="AM82" s="123">
        <f t="shared" si="44"/>
        <v>4</v>
      </c>
      <c r="AN82" s="123">
        <f t="shared" si="45"/>
        <v>4</v>
      </c>
      <c r="AP82" s="123">
        <f>AN82/AN92*10000+AM82/AM92*1000+AI82/AI92*100+IF(AQ82=0,ROW(),AQ82)/2000000</f>
        <v>8716.6674158416663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Ⓕ Sweden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4 - 3</v>
      </c>
      <c r="P83" s="101">
        <f t="shared" si="48"/>
        <v>4</v>
      </c>
      <c r="AD83" s="123">
        <f t="shared" si="38"/>
        <v>10</v>
      </c>
      <c r="AE83" s="124" t="str">
        <f>J29</f>
        <v>Australia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2</v>
      </c>
      <c r="AJ83" s="123">
        <f t="shared" si="42"/>
        <v>4</v>
      </c>
      <c r="AK83" s="123" t="s">
        <v>3184</v>
      </c>
      <c r="AL83" s="123">
        <f t="shared" si="43"/>
        <v>-2</v>
      </c>
      <c r="AM83" s="123">
        <f t="shared" si="44"/>
        <v>2</v>
      </c>
      <c r="AN83" s="123">
        <f t="shared" si="45"/>
        <v>2</v>
      </c>
      <c r="AP83" s="123">
        <f>AN83/AN92*10000+AM83/AM92*1000+AI83/AI92*100+IF(AQ83=0,ROW(),AQ83)/2000000</f>
        <v>4366.6674570016658</v>
      </c>
      <c r="AQ83" s="126">
        <f t="shared" si="37"/>
        <v>1580.67</v>
      </c>
      <c r="AR83" s="125" t="str">
        <f t="shared" si="50"/>
        <v>ABC</v>
      </c>
      <c r="AS83" s="129" t="str">
        <f t="shared" si="46"/>
        <v/>
      </c>
      <c r="AT83" s="130" t="str">
        <f>"Ⓓ "&amp;AE83</f>
        <v>Ⓓ Australia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Ⓒ Scotland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3 - 3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5</v>
      </c>
      <c r="AJ84" s="123">
        <f t="shared" si="42"/>
        <v>4</v>
      </c>
      <c r="AK84" s="123" t="s">
        <v>3185</v>
      </c>
      <c r="AL84" s="123">
        <f t="shared" si="43"/>
        <v>1</v>
      </c>
      <c r="AM84" s="123">
        <f t="shared" si="44"/>
        <v>5</v>
      </c>
      <c r="AN84" s="123">
        <f t="shared" si="45"/>
        <v>4</v>
      </c>
      <c r="AP84" s="123">
        <f>AN84/AN92*10000+AM84/AM92*1000+AI84/AI92*100+IF(AQ84=0,ROW(),AQ84)/2000000</f>
        <v>8916.6674331566683</v>
      </c>
      <c r="AQ84" s="126">
        <f t="shared" si="37"/>
        <v>1532.98</v>
      </c>
      <c r="AR84" s="125" t="str">
        <f t="shared" si="50"/>
        <v>ABCE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Ⓘ Senegal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4 - 4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3</v>
      </c>
      <c r="AE85" s="124" t="str">
        <f>J41</f>
        <v>Sweden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4</v>
      </c>
      <c r="AJ85" s="123">
        <f t="shared" si="42"/>
        <v>3</v>
      </c>
      <c r="AK85" s="123" t="s">
        <v>3186</v>
      </c>
      <c r="AL85" s="123">
        <f t="shared" si="43"/>
        <v>1</v>
      </c>
      <c r="AM85" s="123">
        <f t="shared" si="44"/>
        <v>5</v>
      </c>
      <c r="AN85" s="123">
        <f t="shared" si="45"/>
        <v>4</v>
      </c>
      <c r="AP85" s="123">
        <f>AN85/AN92*10000+AM85/AM92*1000+AI85/AI92*100+IF(AQ85=0,ROW(),AQ85)/2000000</f>
        <v>8900.0007573849998</v>
      </c>
      <c r="AQ85" s="126">
        <f t="shared" si="37"/>
        <v>1514.77</v>
      </c>
      <c r="AR85" s="125" t="str">
        <f t="shared" si="50"/>
        <v>ABCEF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Ⓑ Bosnia and Herzegovina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3 - 3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7</v>
      </c>
      <c r="AE86" s="124" t="str">
        <f>J47</f>
        <v>Iran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2</v>
      </c>
      <c r="AJ86" s="123">
        <f t="shared" si="42"/>
        <v>4</v>
      </c>
      <c r="AK86" s="123" t="s">
        <v>3187</v>
      </c>
      <c r="AL86" s="123">
        <f t="shared" si="43"/>
        <v>-2</v>
      </c>
      <c r="AM86" s="123">
        <f t="shared" si="44"/>
        <v>2</v>
      </c>
      <c r="AN86" s="123">
        <f t="shared" si="45"/>
        <v>3</v>
      </c>
      <c r="AP86" s="123">
        <f>AN86/AN92*10000+AM86/AM92*1000+AI86/AI92*100+IF(AQ86=0,ROW(),AQ86)/2000000</f>
        <v>6366.6674743166659</v>
      </c>
      <c r="AQ86" s="126">
        <f t="shared" si="37"/>
        <v>1615.3</v>
      </c>
      <c r="AR86" s="125" t="str">
        <f t="shared" si="50"/>
        <v>ABCEFG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Ⓖ Iran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2 - 4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9</v>
      </c>
      <c r="AE87" s="124" t="str">
        <f>J53</f>
        <v>Cape Verde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1</v>
      </c>
      <c r="AJ87" s="123">
        <f t="shared" si="42"/>
        <v>5</v>
      </c>
      <c r="AK87" s="123" t="s">
        <v>3188</v>
      </c>
      <c r="AL87" s="123">
        <f t="shared" si="43"/>
        <v>-4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6016.6673497316669</v>
      </c>
      <c r="AQ87" s="126">
        <f t="shared" si="37"/>
        <v>1366.13</v>
      </c>
      <c r="AR87" s="125" t="str">
        <f t="shared" si="50"/>
        <v>ABCEFG</v>
      </c>
      <c r="AS87" s="129" t="str">
        <f t="shared" si="46"/>
        <v/>
      </c>
      <c r="AT87" s="130" t="str">
        <f>"Ⓗ "&amp;AE87</f>
        <v>Ⓗ Cape Verde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Ⓚ DR Congo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1 - 5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Switzerland</v>
      </c>
      <c r="T88" s="127" t="str" cm="1">
        <f t="array" ref="T88">IF(OR(S88="",S88="draw"),INDEX(T,90,lang),S88)</f>
        <v>Switzerland</v>
      </c>
      <c r="AD88" s="123">
        <f t="shared" si="38"/>
        <v>5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4</v>
      </c>
      <c r="AK88" s="123" t="s">
        <v>3189</v>
      </c>
      <c r="AL88" s="123">
        <f t="shared" si="43"/>
        <v>0</v>
      </c>
      <c r="AM88" s="123">
        <f t="shared" si="44"/>
        <v>4</v>
      </c>
      <c r="AN88" s="123">
        <f t="shared" si="45"/>
        <v>3</v>
      </c>
      <c r="AP88" s="123">
        <f>AN88/AN92*10000+AM88/AM92*1000+AI88/AI92*100+IF(AQ88=0,ROW(),AQ88)/2000000</f>
        <v>6733.3341778283338</v>
      </c>
      <c r="AQ88" s="126">
        <f t="shared" si="37"/>
        <v>1688.99</v>
      </c>
      <c r="AR88" s="125" t="str">
        <f t="shared" si="50"/>
        <v>ABCEFGI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Ⓗ Cape Verde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1 - 5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11</v>
      </c>
      <c r="AE89" s="124" t="str">
        <f>J65</f>
        <v>Algeria</v>
      </c>
      <c r="AF89" s="123">
        <f t="shared" si="39"/>
        <v>0</v>
      </c>
      <c r="AG89" s="123">
        <f t="shared" si="49"/>
        <v>1</v>
      </c>
      <c r="AH89" s="123">
        <f t="shared" si="40"/>
        <v>2</v>
      </c>
      <c r="AI89" s="123">
        <f t="shared" si="41"/>
        <v>2</v>
      </c>
      <c r="AJ89" s="123">
        <f t="shared" si="42"/>
        <v>6</v>
      </c>
      <c r="AK89" s="123" t="s">
        <v>3190</v>
      </c>
      <c r="AL89" s="123">
        <f t="shared" si="43"/>
        <v>-4</v>
      </c>
      <c r="AM89" s="123">
        <f t="shared" si="44"/>
        <v>0</v>
      </c>
      <c r="AN89" s="123">
        <f t="shared" si="45"/>
        <v>1</v>
      </c>
      <c r="AP89" s="123">
        <f>AN89/AN92*10000+AM89/AM92*1000+AI89/AI92*100+IF(AQ89=0,ROW(),AQ89)/2000000</f>
        <v>2033.3341154633333</v>
      </c>
      <c r="AQ89" s="126">
        <f t="shared" si="37"/>
        <v>1564.26</v>
      </c>
      <c r="AR89" s="125" t="str">
        <f t="shared" si="50"/>
        <v>ABCEFGI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Ⓓ Australia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2 - 4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8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1</v>
      </c>
      <c r="AJ90" s="123">
        <f t="shared" si="42"/>
        <v>5</v>
      </c>
      <c r="AK90" s="123" t="s">
        <v>3191</v>
      </c>
      <c r="AL90" s="123">
        <f t="shared" si="43"/>
        <v>-4</v>
      </c>
      <c r="AM90" s="123">
        <f t="shared" si="44"/>
        <v>0</v>
      </c>
      <c r="AN90" s="123">
        <f t="shared" si="45"/>
        <v>3</v>
      </c>
      <c r="AP90" s="123">
        <f>AN90/AN92*10000+AM90/AM92*1000+AI90/AI92*100+IF(AQ90=0,ROW(),AQ90)/2000000</f>
        <v>6016.6674058416666</v>
      </c>
      <c r="AQ90" s="126">
        <f t="shared" si="37"/>
        <v>1478.35</v>
      </c>
      <c r="AR90" s="125" t="str">
        <f t="shared" si="50"/>
        <v>ABCEFGIK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Ⓙ Algeria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2 - 6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12</v>
      </c>
      <c r="AE91" s="124" t="str">
        <f>J77</f>
        <v>Ghana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6</v>
      </c>
      <c r="AK91" s="123" t="s">
        <v>3192</v>
      </c>
      <c r="AL91" s="123">
        <f>VLOOKUP($AE91,$AE$8:$AQ$78,8,FALSE)</f>
        <v>-4</v>
      </c>
      <c r="AM91" s="123">
        <f t="shared" si="44"/>
        <v>0</v>
      </c>
      <c r="AN91" s="123">
        <f>VLOOKUP($AE91,$AE$8:$AQ$78,10,FALSE)</f>
        <v>1</v>
      </c>
      <c r="AP91" s="123">
        <f>AN91/AN92*10000+AM91/AM92*1000+AI91/AI92*100+IF(AQ91=0,ROW(),AQ91)/2000000</f>
        <v>2033.3340064883332</v>
      </c>
      <c r="AQ91" s="126">
        <f t="shared" si="37"/>
        <v>1346.31</v>
      </c>
      <c r="AR91" s="125" t="str">
        <f t="shared" si="50"/>
        <v>ABCEFGIK</v>
      </c>
      <c r="AS91" s="129" t="str">
        <f t="shared" si="46"/>
        <v/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Ⓛ Ghana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2 - 6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7</v>
      </c>
      <c r="AL92" s="123">
        <f>MIN(AL80:AL91)</f>
        <v>-4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United States</v>
      </c>
      <c r="T98" s="127" t="str" cm="1">
        <f t="array" ref="T98">IF(OR(S98="",S98="draw"),INDEX(T,97,lang),S98)</f>
        <v>United States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United States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United States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>
      <formula1>"0,1,2,3,4,5,6,7,8,9,10,11,12,13,14,15,16,17,18,19,20"</formula1>
    </dataValidation>
    <dataValidation type="list" allowBlank="1" showInputMessage="1" showErrorMessage="1" sqref="F7:G78">
      <formula1>"0,1,2,3,4,5,6,7,8,9"</formula1>
    </dataValidation>
  </dataValidations>
  <hyperlinks>
    <hyperlink ref="O3" location="Settings!C4" tooltip="Settings" display="Settings!C4"/>
    <hyperlink ref="J5:P5" r:id="rId1" tooltip="Excel Schedule" display="Home Page: www.excely.com"/>
    <hyperlink ref="J5:P6" r:id="rId2" tooltip="World Cup 2026 Schedule in Excel" display="Home Page: www.excely.com"/>
    <hyperlink ref="C83:G88" r:id="rId3" tooltip="World Cup 2026 Interactive Schedule Online - www.wallchart.io" display="http://www.wallchart.io/football/world-cup-2026.html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00"/>
  <sheetViews>
    <sheetView showGridLines="0" workbookViewId="0"/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420</v>
      </c>
      <c r="C3" s="121" t="str">
        <f>'2026 World Cup'!AR91</f>
        <v>ABCEFGIK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3I</v>
      </c>
      <c r="K3" s="122" t="str">
        <f>VLOOKUP($C3,$C$6:$K$500,9,FALSE)</f>
        <v>3K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Roberto Molina</cp:lastModifiedBy>
  <cp:revision/>
  <dcterms:created xsi:type="dcterms:W3CDTF">2017-12-27T19:32:51Z</dcterms:created>
  <dcterms:modified xsi:type="dcterms:W3CDTF">2026-06-07T05:06:05Z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