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arting\Downloads\"/>
    </mc:Choice>
  </mc:AlternateContent>
  <xr:revisionPtr revIDLastSave="0" documentId="13_ncr:1_{696C4BAE-664E-44D2-88AC-A8593122D5E0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6" i="3"/>
  <c r="S47" i="3"/>
  <c r="S67" i="3"/>
  <c r="S72" i="3"/>
  <c r="T19" i="3"/>
  <c r="S70" i="3"/>
  <c r="S42" i="3"/>
  <c r="S64" i="3"/>
  <c r="T18" i="3"/>
  <c r="T41" i="3"/>
  <c r="S40" i="3"/>
  <c r="S62" i="3"/>
  <c r="S38" i="3"/>
  <c r="S65" i="3"/>
  <c r="S55" i="3"/>
  <c r="S57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34" i="3"/>
  <c r="AR33" i="3"/>
  <c r="AR9" i="3"/>
  <c r="AR10" i="3"/>
  <c r="AR28" i="3"/>
  <c r="AR11" i="3"/>
  <c r="AR35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10" i="3" l="1"/>
  <c r="AD44" i="3"/>
  <c r="AD11" i="3"/>
  <c r="AD8" i="3"/>
  <c r="M58" i="3"/>
  <c r="AD33" i="3"/>
  <c r="AD9" i="3"/>
  <c r="AD27" i="3"/>
  <c r="N58" i="3"/>
  <c r="AD62" i="3"/>
  <c r="AD41" i="3"/>
  <c r="AD35" i="3"/>
  <c r="AD76" i="3"/>
  <c r="AD34" i="3"/>
  <c r="AD32" i="3"/>
  <c r="L59" i="3"/>
  <c r="AD14" i="3"/>
  <c r="AD15" i="3"/>
  <c r="AD71" i="3"/>
  <c r="AD29" i="3"/>
  <c r="AD26" i="3"/>
  <c r="AD74" i="3"/>
  <c r="M75" i="3" s="1"/>
  <c r="L58" i="3"/>
  <c r="O60" i="3"/>
  <c r="M59" i="3"/>
  <c r="AD22" i="3"/>
  <c r="AD20" i="3"/>
  <c r="AD28" i="3"/>
  <c r="AD21" i="3"/>
  <c r="AD47" i="3"/>
  <c r="AD63" i="3"/>
  <c r="AD70" i="3"/>
  <c r="AD68" i="3"/>
  <c r="N69" i="3" s="1"/>
  <c r="AD75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N47" i="3" l="1"/>
  <c r="N9" i="3"/>
  <c r="L9" i="3"/>
  <c r="J75" i="3"/>
  <c r="AS74" i="3" s="1"/>
  <c r="BL54" i="3" s="1"/>
  <c r="J9" i="3"/>
  <c r="AS8" i="3" s="1"/>
  <c r="BL50" i="3" s="1"/>
  <c r="M63" i="3"/>
  <c r="M9" i="3"/>
  <c r="O9" i="3"/>
  <c r="J12" i="3"/>
  <c r="N45" i="3"/>
  <c r="O75" i="3"/>
  <c r="L75" i="3"/>
  <c r="P75" i="3" s="1"/>
  <c r="J36" i="3"/>
  <c r="N75" i="3"/>
  <c r="L45" i="3"/>
  <c r="O45" i="3"/>
  <c r="M45" i="3"/>
  <c r="J45" i="3"/>
  <c r="AS44" i="3" s="1"/>
  <c r="BL38" i="3" s="1"/>
  <c r="K58" i="3"/>
  <c r="M21" i="3"/>
  <c r="M33" i="3"/>
  <c r="P58" i="3"/>
  <c r="J33" i="3"/>
  <c r="AS32" i="3" s="1"/>
  <c r="BL10" i="3" s="1"/>
  <c r="O71" i="3"/>
  <c r="O11" i="3"/>
  <c r="L11" i="3"/>
  <c r="N10" i="3"/>
  <c r="L12" i="3"/>
  <c r="M12" i="3"/>
  <c r="M11" i="3"/>
  <c r="O12" i="3"/>
  <c r="N11" i="3"/>
  <c r="M10" i="3"/>
  <c r="N12" i="3"/>
  <c r="J10" i="3"/>
  <c r="AS9" i="3" s="1"/>
  <c r="BL18" i="3" s="1"/>
  <c r="O10" i="3"/>
  <c r="L10" i="3"/>
  <c r="J11" i="3"/>
  <c r="AE80" i="3" s="1"/>
  <c r="AQ80" i="3" s="1"/>
  <c r="J63" i="3"/>
  <c r="AS62" i="3" s="1"/>
  <c r="BL58" i="3" s="1"/>
  <c r="O63" i="3"/>
  <c r="N63" i="3"/>
  <c r="L63" i="3"/>
  <c r="O22" i="3"/>
  <c r="O78" i="3"/>
  <c r="M35" i="3"/>
  <c r="O28" i="3"/>
  <c r="N22" i="3"/>
  <c r="J34" i="3"/>
  <c r="AS33" i="3" s="1"/>
  <c r="BL46" i="3" s="1"/>
  <c r="BS45" i="3" s="1"/>
  <c r="J35" i="3"/>
  <c r="AE84" i="3" s="1"/>
  <c r="AQ84" i="3" s="1"/>
  <c r="L35" i="3"/>
  <c r="N18" i="3"/>
  <c r="L42" i="3"/>
  <c r="M36" i="3"/>
  <c r="J27" i="3"/>
  <c r="AS26" i="3" s="1"/>
  <c r="BL34" i="3" s="1"/>
  <c r="J30" i="3"/>
  <c r="J52" i="3"/>
  <c r="AS51" i="3" s="1"/>
  <c r="BL59" i="3" s="1"/>
  <c r="J70" i="3"/>
  <c r="AS69" i="3" s="1"/>
  <c r="BL26" i="3" s="1"/>
  <c r="M18" i="3"/>
  <c r="N27" i="3"/>
  <c r="N30" i="3"/>
  <c r="O27" i="3"/>
  <c r="L30" i="3"/>
  <c r="O30" i="3"/>
  <c r="L71" i="3"/>
  <c r="M27" i="3"/>
  <c r="N34" i="3"/>
  <c r="L28" i="3"/>
  <c r="J76" i="3"/>
  <c r="AS75" i="3" s="1"/>
  <c r="BL27" i="3" s="1"/>
  <c r="L66" i="3"/>
  <c r="N16" i="3"/>
  <c r="J69" i="3"/>
  <c r="AS68" i="3" s="1"/>
  <c r="BL70" i="3" s="1"/>
  <c r="M34" i="3"/>
  <c r="L27" i="3"/>
  <c r="M71" i="3"/>
  <c r="N35" i="3"/>
  <c r="L29" i="3"/>
  <c r="L77" i="3"/>
  <c r="O18" i="3"/>
  <c r="O76" i="3"/>
  <c r="O65" i="3"/>
  <c r="J42" i="3"/>
  <c r="O33" i="3"/>
  <c r="L16" i="3"/>
  <c r="N65" i="3"/>
  <c r="L33" i="3"/>
  <c r="J18" i="3"/>
  <c r="M77" i="3"/>
  <c r="L78" i="3"/>
  <c r="N36" i="3"/>
  <c r="N33" i="3"/>
  <c r="O16" i="3"/>
  <c r="O36" i="3"/>
  <c r="M28" i="3"/>
  <c r="J16" i="3"/>
  <c r="AS15" i="3" s="1"/>
  <c r="BL19" i="3" s="1"/>
  <c r="J51" i="3"/>
  <c r="AS50" i="3" s="1"/>
  <c r="BL30" i="3" s="1"/>
  <c r="L34" i="3"/>
  <c r="J22" i="3"/>
  <c r="AS21" i="3" s="1"/>
  <c r="BL23" i="3" s="1"/>
  <c r="J24" i="3"/>
  <c r="N17" i="3"/>
  <c r="P59" i="3"/>
  <c r="O77" i="3"/>
  <c r="O69" i="3"/>
  <c r="L46" i="3"/>
  <c r="L36" i="3"/>
  <c r="M30" i="3"/>
  <c r="L18" i="3"/>
  <c r="M16" i="3"/>
  <c r="O35" i="3"/>
  <c r="O24" i="3"/>
  <c r="J77" i="3"/>
  <c r="AE91" i="3" s="1"/>
  <c r="AQ91" i="3" s="1"/>
  <c r="O34" i="3"/>
  <c r="L47" i="3"/>
  <c r="N70" i="3"/>
  <c r="L65" i="3"/>
  <c r="M51" i="3"/>
  <c r="O29" i="3"/>
  <c r="N21" i="3"/>
  <c r="M47" i="3"/>
  <c r="N29" i="3"/>
  <c r="M64" i="3"/>
  <c r="J48" i="3"/>
  <c r="O21" i="3"/>
  <c r="AT88" i="3"/>
  <c r="L51" i="3"/>
  <c r="L48" i="3"/>
  <c r="J47" i="3"/>
  <c r="AE86" i="3" s="1"/>
  <c r="AQ86" i="3" s="1"/>
  <c r="O39" i="3"/>
  <c r="M24" i="3"/>
  <c r="AJ88" i="3"/>
  <c r="J66" i="3"/>
  <c r="N51" i="3"/>
  <c r="N64" i="3"/>
  <c r="M42" i="3"/>
  <c r="M29" i="3"/>
  <c r="N24" i="3"/>
  <c r="AN88" i="3"/>
  <c r="L24" i="3"/>
  <c r="AI88" i="3"/>
  <c r="N48" i="3"/>
  <c r="J65" i="3"/>
  <c r="AE89" i="3" s="1"/>
  <c r="AQ89" i="3" s="1"/>
  <c r="N28" i="3"/>
  <c r="O66" i="3"/>
  <c r="M46" i="3"/>
  <c r="L39" i="3"/>
  <c r="J28" i="3"/>
  <c r="AS27" i="3" s="1"/>
  <c r="BL62" i="3" s="1"/>
  <c r="BS61" i="3" s="1"/>
  <c r="M22" i="3"/>
  <c r="AG88" i="3"/>
  <c r="M54" i="3"/>
  <c r="O40" i="3"/>
  <c r="O70" i="3"/>
  <c r="O64" i="3"/>
  <c r="M39" i="3"/>
  <c r="J29" i="3"/>
  <c r="AE83" i="3" s="1"/>
  <c r="AQ83" i="3" s="1"/>
  <c r="AF88" i="3"/>
  <c r="L22" i="3"/>
  <c r="M66" i="3"/>
  <c r="O51" i="3"/>
  <c r="O48" i="3"/>
  <c r="J39" i="3"/>
  <c r="AS38" i="3" s="1"/>
  <c r="BL22" i="3" s="1"/>
  <c r="J21" i="3"/>
  <c r="AS20" i="3" s="1"/>
  <c r="BL42" i="3" s="1"/>
  <c r="BS44" i="3" s="1"/>
  <c r="L23" i="3"/>
  <c r="M65" i="3"/>
  <c r="M70" i="3"/>
  <c r="J46" i="3"/>
  <c r="AS45" i="3" s="1"/>
  <c r="BL63" i="3" s="1"/>
  <c r="L70" i="3"/>
  <c r="O47" i="3"/>
  <c r="N66" i="3"/>
  <c r="L54" i="3"/>
  <c r="N39" i="3"/>
  <c r="L21" i="3"/>
  <c r="O46" i="3"/>
  <c r="J40" i="3"/>
  <c r="AS39" i="3" s="1"/>
  <c r="BL43" i="3" s="1"/>
  <c r="O23" i="3"/>
  <c r="K59" i="3"/>
  <c r="P57" i="3"/>
  <c r="N71" i="3"/>
  <c r="K57" i="3"/>
  <c r="N52" i="3"/>
  <c r="J41" i="3"/>
  <c r="AE85" i="3" s="1"/>
  <c r="AQ85" i="3" s="1"/>
  <c r="L15" i="3"/>
  <c r="J71" i="3"/>
  <c r="AE90" i="3" s="1"/>
  <c r="AQ90" i="3" s="1"/>
  <c r="J72" i="3"/>
  <c r="N78" i="3"/>
  <c r="O72" i="3"/>
  <c r="M69" i="3"/>
  <c r="O42" i="3"/>
  <c r="M17" i="3"/>
  <c r="O54" i="3"/>
  <c r="L76" i="3"/>
  <c r="N72" i="3"/>
  <c r="L69" i="3"/>
  <c r="L40" i="3"/>
  <c r="L17" i="3"/>
  <c r="O17" i="3"/>
  <c r="N54" i="3"/>
  <c r="M76" i="3"/>
  <c r="M72" i="3"/>
  <c r="N53" i="3"/>
  <c r="M78" i="3"/>
  <c r="M40" i="3"/>
  <c r="J78" i="3"/>
  <c r="L72" i="3"/>
  <c r="J64" i="3"/>
  <c r="AS63" i="3" s="1"/>
  <c r="BL31" i="3" s="1"/>
  <c r="L64" i="3"/>
  <c r="N46" i="3"/>
  <c r="M41" i="3"/>
  <c r="N77" i="3"/>
  <c r="N76" i="3"/>
  <c r="N40" i="3"/>
  <c r="M4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48" i="3" l="1"/>
  <c r="BS60" i="3"/>
  <c r="BZ64" i="3" s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9" i="3"/>
  <c r="K9" i="3"/>
  <c r="P63" i="3"/>
  <c r="K75" i="3"/>
  <c r="P45" i="3"/>
  <c r="K45" i="3"/>
  <c r="AF91" i="3"/>
  <c r="AN84" i="3"/>
  <c r="P21" i="3"/>
  <c r="AF80" i="3"/>
  <c r="P33" i="3"/>
  <c r="AG80" i="3"/>
  <c r="P10" i="3"/>
  <c r="K11" i="3"/>
  <c r="P11" i="3"/>
  <c r="P12" i="3"/>
  <c r="K12" i="3"/>
  <c r="AT80" i="3"/>
  <c r="AI80" i="3"/>
  <c r="AH80" i="3"/>
  <c r="AT84" i="3"/>
  <c r="AJ84" i="3"/>
  <c r="K10" i="3"/>
  <c r="AL84" i="3"/>
  <c r="AN80" i="3"/>
  <c r="AL80" i="3"/>
  <c r="AH84" i="3"/>
  <c r="AJ80" i="3"/>
  <c r="K63" i="3"/>
  <c r="P35" i="3"/>
  <c r="AN89" i="3"/>
  <c r="P28" i="3"/>
  <c r="AG83" i="3"/>
  <c r="K27" i="3"/>
  <c r="P34" i="3"/>
  <c r="P27" i="3"/>
  <c r="AI84" i="3"/>
  <c r="AG84" i="3"/>
  <c r="P39" i="3"/>
  <c r="P30" i="3"/>
  <c r="K35" i="3"/>
  <c r="AF83" i="3"/>
  <c r="P66" i="3"/>
  <c r="AJ86" i="3"/>
  <c r="AF84" i="3"/>
  <c r="P18" i="3"/>
  <c r="P71" i="3"/>
  <c r="K42" i="3"/>
  <c r="P22" i="3"/>
  <c r="K47" i="3"/>
  <c r="K36" i="3"/>
  <c r="P29" i="3"/>
  <c r="AT91" i="3"/>
  <c r="K34" i="3"/>
  <c r="AL91" i="3"/>
  <c r="P78" i="3"/>
  <c r="K30" i="3"/>
  <c r="P36" i="3"/>
  <c r="AJ91" i="3"/>
  <c r="K71" i="3"/>
  <c r="AI91" i="3"/>
  <c r="AN91" i="3"/>
  <c r="AH91" i="3"/>
  <c r="AG91" i="3"/>
  <c r="K28" i="3"/>
  <c r="AL81" i="3"/>
  <c r="AJ85" i="3"/>
  <c r="K51" i="3"/>
  <c r="P77" i="3"/>
  <c r="AN81" i="3"/>
  <c r="K18" i="3"/>
  <c r="AH85" i="3"/>
  <c r="K21" i="3"/>
  <c r="K65" i="3"/>
  <c r="K29" i="3"/>
  <c r="AJ81" i="3"/>
  <c r="P46" i="3"/>
  <c r="K72" i="3"/>
  <c r="AI85" i="3"/>
  <c r="AL85" i="3"/>
  <c r="P47" i="3"/>
  <c r="K22" i="3"/>
  <c r="P48" i="3"/>
  <c r="P16" i="3"/>
  <c r="AT81" i="3"/>
  <c r="P52" i="3"/>
  <c r="P15" i="3"/>
  <c r="AH82" i="3"/>
  <c r="P65" i="3"/>
  <c r="K54" i="3"/>
  <c r="P42" i="3"/>
  <c r="K77" i="3"/>
  <c r="P17" i="3"/>
  <c r="P70" i="3"/>
  <c r="K24" i="3"/>
  <c r="K66" i="3"/>
  <c r="P51" i="3"/>
  <c r="K33" i="3"/>
  <c r="P40" i="3"/>
  <c r="K16" i="3"/>
  <c r="K46" i="3"/>
  <c r="AL90" i="3"/>
  <c r="AH81" i="3"/>
  <c r="K39" i="3"/>
  <c r="P54" i="3"/>
  <c r="AF89" i="3"/>
  <c r="K64" i="3"/>
  <c r="AG81" i="3"/>
  <c r="K70" i="3"/>
  <c r="P76" i="3"/>
  <c r="AI89" i="3"/>
  <c r="AF86" i="3"/>
  <c r="AI81" i="3"/>
  <c r="AF81" i="3"/>
  <c r="AT83" i="3"/>
  <c r="K17" i="3"/>
  <c r="AN83" i="3"/>
  <c r="AG87" i="3"/>
  <c r="AH90" i="3"/>
  <c r="AL83" i="3"/>
  <c r="P41" i="3"/>
  <c r="K40" i="3"/>
  <c r="AI86" i="3"/>
  <c r="AJ90" i="3"/>
  <c r="AH86" i="3"/>
  <c r="AJ89" i="3"/>
  <c r="AI90" i="3"/>
  <c r="P24" i="3"/>
  <c r="AF87" i="3"/>
  <c r="AG90" i="3"/>
  <c r="AF90" i="3"/>
  <c r="K69" i="3"/>
  <c r="AT87" i="3"/>
  <c r="AG85" i="3"/>
  <c r="AH89" i="3"/>
  <c r="AT86" i="3"/>
  <c r="AI83" i="3"/>
  <c r="AT85" i="3"/>
  <c r="AN86" i="3"/>
  <c r="K48" i="3"/>
  <c r="AT90" i="3"/>
  <c r="P23" i="3"/>
  <c r="K53" i="3"/>
  <c r="AL89" i="3"/>
  <c r="AH87" i="3"/>
  <c r="AG86" i="3"/>
  <c r="AF85" i="3"/>
  <c r="AG89" i="3"/>
  <c r="AJ83" i="3"/>
  <c r="AH83" i="3"/>
  <c r="AN85" i="3"/>
  <c r="AL86" i="3"/>
  <c r="AT89" i="3"/>
  <c r="AN90" i="3"/>
  <c r="P72" i="3"/>
  <c r="AT82" i="3"/>
  <c r="K78" i="3"/>
  <c r="AN82" i="3"/>
  <c r="AJ82" i="3"/>
  <c r="AI82" i="3"/>
  <c r="K23" i="3"/>
  <c r="AF82" i="3"/>
  <c r="P64" i="3"/>
  <c r="P69" i="3"/>
  <c r="AN87" i="3"/>
  <c r="K76" i="3"/>
  <c r="P53" i="3"/>
  <c r="K15" i="3"/>
  <c r="AL87" i="3"/>
  <c r="AG82" i="3"/>
  <c r="K41" i="3"/>
  <c r="AJ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S96" i="3"/>
  <c r="T96" i="3" s="1" a="1"/>
  <c r="T96" i="3" s="1"/>
  <c r="AH92" i="3"/>
  <c r="AF92" i="3"/>
  <c r="AJ92" i="3"/>
  <c r="AG92" i="3"/>
  <c r="AN92" i="3"/>
  <c r="AI92" i="3"/>
  <c r="AS92" i="3"/>
  <c r="AL92" i="3"/>
  <c r="AM88" i="3" s="1"/>
  <c r="S103" i="3" l="1"/>
  <c r="T103" i="3" s="1" a="1"/>
  <c r="T103" i="3" s="1"/>
  <c r="CG24" i="3"/>
  <c r="S111" i="3" s="1"/>
  <c r="T111" i="3" s="1"/>
  <c r="S102" i="3"/>
  <c r="T102" i="3" s="1" a="1"/>
  <c r="T102" i="3" s="1"/>
  <c r="CG23" i="3"/>
  <c r="AM84" i="3"/>
  <c r="AM80" i="3"/>
  <c r="AM85" i="3"/>
  <c r="AM86" i="3"/>
  <c r="AM87" i="3"/>
  <c r="AM81" i="3"/>
  <c r="AM89" i="3"/>
  <c r="AM90" i="3"/>
  <c r="AM82" i="3"/>
  <c r="AM91" i="3"/>
  <c r="AM83" i="3"/>
  <c r="S85" i="3"/>
  <c r="T85" i="3" s="1" a="1"/>
  <c r="T85" i="3" s="1"/>
  <c r="BS13" i="3"/>
  <c r="S84" i="3"/>
  <c r="T84" i="3" s="1" a="1"/>
  <c r="T84" i="3" s="1"/>
  <c r="BS12" i="3"/>
  <c r="CN37" i="3" l="1"/>
  <c r="CK68" i="3" s="1"/>
  <c r="CN48" i="3"/>
  <c r="AM92" i="3"/>
  <c r="AP87" i="3" s="1"/>
  <c r="BZ16" i="3"/>
  <c r="U102" i="3" s="1"/>
  <c r="AC102" i="3" s="1" a="1"/>
  <c r="AC102" i="3" s="1"/>
  <c r="S95" i="3"/>
  <c r="T95" i="3" s="1" a="1"/>
  <c r="T95" i="3" s="1"/>
  <c r="AP80" i="3" l="1"/>
  <c r="AP91" i="3"/>
  <c r="AP82" i="3"/>
  <c r="AP90" i="3"/>
  <c r="AP84" i="3"/>
  <c r="AP86" i="3"/>
  <c r="AP88" i="3"/>
  <c r="AP81" i="3"/>
  <c r="AP85" i="3"/>
  <c r="AP83" i="3"/>
  <c r="AP89" i="3"/>
  <c r="AD83" i="3" l="1"/>
  <c r="AS83" i="3" s="1"/>
  <c r="AD89" i="3"/>
  <c r="AS89" i="3" s="1"/>
  <c r="AD86" i="3"/>
  <c r="AS86" i="3" s="1"/>
  <c r="AD85" i="3"/>
  <c r="AS85" i="3" s="1"/>
  <c r="AD84" i="3"/>
  <c r="AS84" i="3" s="1"/>
  <c r="AD91" i="3"/>
  <c r="AS91" i="3" s="1"/>
  <c r="AD87" i="3"/>
  <c r="AS87" i="3" s="1"/>
  <c r="AD88" i="3"/>
  <c r="AS88" i="3" s="1"/>
  <c r="AD81" i="3"/>
  <c r="AS81" i="3" s="1"/>
  <c r="AD82" i="3"/>
  <c r="AS82" i="3" s="1"/>
  <c r="AD80" i="3"/>
  <c r="AD90" i="3"/>
  <c r="AS90" i="3" s="1"/>
  <c r="O83" i="3" l="1"/>
  <c r="O87" i="3"/>
  <c r="J92" i="3"/>
  <c r="J84" i="3"/>
  <c r="M88" i="3"/>
  <c r="L87" i="3"/>
  <c r="M82" i="3"/>
  <c r="N87" i="3"/>
  <c r="J88" i="3"/>
  <c r="L92" i="3"/>
  <c r="N89" i="3"/>
  <c r="O89" i="3"/>
  <c r="N91" i="3"/>
  <c r="L81" i="3"/>
  <c r="N81" i="3"/>
  <c r="AS80" i="3"/>
  <c r="J86" i="3"/>
  <c r="N88" i="3"/>
  <c r="J90" i="3"/>
  <c r="N82" i="3"/>
  <c r="O85" i="3"/>
  <c r="L91" i="3"/>
  <c r="M89" i="3"/>
  <c r="N92" i="3"/>
  <c r="J85" i="3"/>
  <c r="O84" i="3"/>
  <c r="L82" i="3"/>
  <c r="L85" i="3"/>
  <c r="M85" i="3"/>
  <c r="M83" i="3"/>
  <c r="J82" i="3"/>
  <c r="M91" i="3"/>
  <c r="L89" i="3"/>
  <c r="M84" i="3"/>
  <c r="O92" i="3"/>
  <c r="N85" i="3"/>
  <c r="O82" i="3"/>
  <c r="L88" i="3"/>
  <c r="N83" i="3"/>
  <c r="M81" i="3"/>
  <c r="O88" i="3"/>
  <c r="M87" i="3"/>
  <c r="J89" i="3"/>
  <c r="L83" i="3"/>
  <c r="N86" i="3"/>
  <c r="M86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0" i="3"/>
  <c r="J91" i="3"/>
  <c r="O81" i="3"/>
  <c r="O90" i="3"/>
  <c r="N84" i="3"/>
  <c r="J83" i="3"/>
  <c r="O91" i="3"/>
  <c r="M92" i="3"/>
  <c r="J81" i="3"/>
  <c r="N90" i="3"/>
  <c r="L86" i="3"/>
  <c r="L90" i="3"/>
  <c r="L84" i="3"/>
  <c r="O86" i="3"/>
  <c r="J87" i="3"/>
  <c r="P83" i="3" l="1"/>
  <c r="K92" i="3"/>
  <c r="K87" i="3"/>
  <c r="K81" i="3"/>
  <c r="P88" i="3"/>
  <c r="K84" i="3"/>
  <c r="P84" i="3"/>
  <c r="K89" i="3"/>
  <c r="K88" i="3"/>
  <c r="K90" i="3"/>
  <c r="K91" i="3"/>
  <c r="P85" i="3"/>
  <c r="K85" i="3"/>
  <c r="P90" i="3"/>
  <c r="P87" i="3"/>
  <c r="K82" i="3"/>
  <c r="P81" i="3"/>
  <c r="P89" i="3"/>
  <c r="P86" i="3"/>
  <c r="P91" i="3"/>
  <c r="K83" i="3"/>
  <c r="E3" i="4"/>
  <c r="BL67" i="3" s="1"/>
  <c r="BS68" i="3" s="1"/>
  <c r="K86" i="3"/>
  <c r="D3" i="4"/>
  <c r="BL51" i="3" s="1"/>
  <c r="B3" i="4"/>
  <c r="P82" i="3"/>
  <c r="P92" i="3"/>
  <c r="J3" i="4"/>
  <c r="BL71" i="3" s="1"/>
  <c r="I3" i="4"/>
  <c r="BL15" i="3" s="1"/>
  <c r="K3" i="4"/>
  <c r="BL55" i="3" s="1"/>
  <c r="G3" i="4"/>
  <c r="BL11" i="3" s="1"/>
  <c r="H3" i="4"/>
  <c r="BL39" i="3" s="1"/>
  <c r="BS53" i="3"/>
  <c r="BS52" i="3"/>
  <c r="BS69" i="3"/>
  <c r="BZ65" i="3" s="1"/>
  <c r="CG56" i="3" s="1"/>
  <c r="CN38" i="3" s="1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<sst xmlns="http://schemas.openxmlformats.org/spreadsheetml/2006/main" count="9785" uniqueCount="3699">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</sst>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0" zoomScaleNormal="100" workbookViewId="0">
      <selection activeCell="CO50" sqref="CO50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87500009.40560241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1.9129315629881303E-9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2 - 1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2</v>
      </c>
      <c r="AL10" s="123">
        <f>AI10-AJ10</f>
        <v>-1</v>
      </c>
      <c r="AM10" s="123">
        <f>AL10-AL12</f>
        <v>2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50000003.024603851</v>
      </c>
      <c r="AQ10" s="126">
        <f>VLOOKUP(AE10,db_fifarank,2,FALSE)</f>
        <v>1588.66</v>
      </c>
      <c r="AR10" s="125">
        <f>AP10/AP12</f>
        <v>0.57142853804052207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0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1 - 2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Haiti_win</v>
      </c>
      <c r="T11" s="127" t="str">
        <f t="shared" si="2"/>
        <v>Scotland_lose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1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62500006.048369743</v>
      </c>
      <c r="AQ11" s="126">
        <f>VLOOKUP(AE11,db_fifarank,2,FALSE)</f>
        <v>1501.38</v>
      </c>
      <c r="AR11" s="125">
        <f>AP11/AP12</f>
        <v>0.71428569846624868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Haiti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1 - 4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87500010.40560241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7.5</v>
      </c>
      <c r="AP14" s="123">
        <f>AO14*10000000+BI14*100+AM14/AM18*10+AI14/AI18*1++IF(AQ14=0,ROW(),AQ14)/2000000</f>
        <v>75000007.943635389</v>
      </c>
      <c r="AQ14" s="126">
        <f>VLOOKUP(AE14,db_fifarank,2,FALSE)</f>
        <v>1556.48</v>
      </c>
      <c r="AR14" s="125">
        <f>AP14/AP18</f>
        <v>0.85714284632280757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6</v>
      </c>
      <c r="AN15" s="123">
        <f>AF15*3+AG15</f>
        <v>7</v>
      </c>
      <c r="AO15" s="123">
        <f>AN15/AN18*10+BA15</f>
        <v>8.75</v>
      </c>
      <c r="AP15" s="123">
        <f>AO15*10000000+BI15*100+AM15/AM18*10+AI15/AI18*1++IF(AQ15=0,ROW(),AQ15)/2000000</f>
        <v>87500009.372121483</v>
      </c>
      <c r="AQ15" s="126">
        <f>VLOOKUP(AE15,db_fifarank,2,FALSE)</f>
        <v>1385.84</v>
      </c>
      <c r="AR15" s="125">
        <f>AP15/AP18</f>
        <v>0.99999998857142991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0.20072748000000001</v>
      </c>
      <c r="AQ16" s="126">
        <f>VLOOKUP(AE16,db_fifarank,2,FALSE)</f>
        <v>1454.96</v>
      </c>
      <c r="AR16" s="125">
        <f>AP16/AP18</f>
        <v>2.294028070926425E-9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2</v>
      </c>
      <c r="AL17" s="123">
        <f>AI17-AJ17</f>
        <v>1</v>
      </c>
      <c r="AM17" s="123">
        <f>AL17-AL18</f>
        <v>5</v>
      </c>
      <c r="AN17" s="123">
        <f>AF17*3+AG17</f>
        <v>4</v>
      </c>
      <c r="AO17" s="123">
        <f>AN17/AN18*10+BA17</f>
        <v>5</v>
      </c>
      <c r="AP17" s="123">
        <f>AO17*10000000+BI17*100+AM17/AM18*10+AI17/AI18*1++IF(AQ17=0,ROW(),AQ17)/2000000</f>
        <v>50000007.743681841</v>
      </c>
      <c r="AQ17" s="126">
        <f>VLOOKUP(AE17,db_fifarank,2,FALSE)</f>
        <v>1649.4</v>
      </c>
      <c r="AR17" s="125">
        <f>AP17/AP18</f>
        <v>0.57142859219148645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0</v>
      </c>
      <c r="W18" s="123">
        <f t="shared" si="4"/>
        <v>0</v>
      </c>
      <c r="X18" s="123">
        <f t="shared" si="9"/>
        <v>1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5</v>
      </c>
      <c r="AL18" s="123">
        <f>MIN(AL14:AL17)</f>
        <v>-4</v>
      </c>
      <c r="AM18" s="123">
        <f>MAX(AM14:AM17)+1</f>
        <v>7</v>
      </c>
      <c r="AN18" s="123">
        <f>MAX(AN14:AN17)+1</f>
        <v>8</v>
      </c>
      <c r="AO18" s="123">
        <f>MAX(AO14:AO17)+1</f>
        <v>9.75</v>
      </c>
      <c r="AP18" s="123">
        <f>MAX(AP14:AP17)+1</f>
        <v>87500010.372121483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10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87500009.966789678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2</v>
      </c>
      <c r="AH21" s="123">
        <f>COUNTIF($S$7:$T$78,"=" &amp; AE21 &amp; "_lose")</f>
        <v>0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5</v>
      </c>
      <c r="AN21" s="123">
        <f>AF21*3+AG21</f>
        <v>5</v>
      </c>
      <c r="AO21" s="123">
        <f>AN21/AN24*10+BA21</f>
        <v>6.25</v>
      </c>
      <c r="AP21" s="123">
        <f>AO21*10000000+BI21*100+AM21/AM24*10+AI21/AI24*1++IF(AQ21=0,ROW(),AQ21)/2000000</f>
        <v>62500005.046332479</v>
      </c>
      <c r="AQ21" s="126">
        <f>VLOOKUP(AE21,db_fifarank,2,FALSE)</f>
        <v>1755.87</v>
      </c>
      <c r="AR21" s="125">
        <f>AP21/AP24</f>
        <v>0.71428568243327573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0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4 - 3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1</v>
      </c>
      <c r="AH22" s="123">
        <f>COUNTIF($S$7:$T$78,"=" &amp; AE22 &amp; "_lose")</f>
        <v>1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5</v>
      </c>
      <c r="AL22" s="123">
        <f>AI22-AJ22</f>
        <v>-3</v>
      </c>
      <c r="AM22" s="123">
        <f>AL22-AL24</f>
        <v>1</v>
      </c>
      <c r="AN22" s="123">
        <f>AF22*3+AG22</f>
        <v>4</v>
      </c>
      <c r="AO22" s="123">
        <f>AN22/AN24*10+BA22</f>
        <v>5</v>
      </c>
      <c r="AP22" s="123">
        <f>AO22*10000000+BI22*100+AM22/AM24*10+AI22/AI24*1++IF(AQ22=0,ROW(),AQ22)/2000000</f>
        <v>50000001.15973676</v>
      </c>
      <c r="AQ22" s="126">
        <f>VLOOKUP(AE22,db_fifarank,2,FALSE)</f>
        <v>1291.71</v>
      </c>
      <c r="AR22" s="125">
        <f>AP22/AP24</f>
        <v>0.57142851306286224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0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2 - 5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0</v>
      </c>
      <c r="AH23" s="123">
        <f>COUNTIF($S$7:$T$78,"=" &amp; AE23 &amp; "_lose")</f>
        <v>3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5</v>
      </c>
      <c r="AL23" s="123">
        <f>AI23-AJ23</f>
        <v>-4</v>
      </c>
      <c r="AM23" s="123">
        <f>AL23-AL24</f>
        <v>0</v>
      </c>
      <c r="AN23" s="123">
        <f>AF23*3+AG23</f>
        <v>0</v>
      </c>
      <c r="AO23" s="123">
        <f>AN23/AN24*10+BA23</f>
        <v>0</v>
      </c>
      <c r="AP23" s="123">
        <f>AO23*10000000+BI23*100+AM23/AM24*10+AI23/AI24*1++IF(AQ23=0,ROW(),AQ23)/2000000</f>
        <v>0.12574917499999999</v>
      </c>
      <c r="AQ23" s="126">
        <f>VLOOKUP(AE23,db_fifarank,2,FALSE)</f>
        <v>1498.35</v>
      </c>
      <c r="AR23" s="125">
        <f>AP23/AP24</f>
        <v>1.4371332484487075E-9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1 - 5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8</v>
      </c>
      <c r="AL24" s="123">
        <f>MIN(AL20:AL23)</f>
        <v>-4</v>
      </c>
      <c r="AM24" s="123">
        <f>MAX(AM20:AM23)+1</f>
        <v>11</v>
      </c>
      <c r="AN24" s="123">
        <f>MAX(AN20:AN23)+1</f>
        <v>8</v>
      </c>
      <c r="AO24" s="123">
        <f>MAX(AO20:AO23)+1</f>
        <v>9.75</v>
      </c>
      <c r="AP24" s="123">
        <f>MAX(AP20:AP23)+1</f>
        <v>87500010.966789678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6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75000006.572265133</v>
      </c>
      <c r="AQ26" s="126">
        <f>VLOOKUP(AE26,db_fifarank,2,FALSE)</f>
        <v>1673.13</v>
      </c>
      <c r="AR26" s="125">
        <f>AP26/AP30</f>
        <v>0.85714282589094537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2</v>
      </c>
      <c r="AL27" s="123">
        <f>AI27-AJ27</f>
        <v>0</v>
      </c>
      <c r="AM27" s="123">
        <f>AL27-AL30</f>
        <v>5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50000005.286466032</v>
      </c>
      <c r="AQ27" s="126">
        <f>VLOOKUP(AE27,db_fifarank,2,FALSE)</f>
        <v>1503.5</v>
      </c>
      <c r="AR27" s="125">
        <f>AP27/AP30</f>
        <v>0.571428560936316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6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0.14364747785714285</v>
      </c>
      <c r="AQ28" s="126">
        <f>VLOOKUP(AE28,db_fifarank,2,FALSE)</f>
        <v>1580.67</v>
      </c>
      <c r="AR28" s="125">
        <f>AP28/AP30</f>
        <v>1.641685257506502E-9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87500009.857942373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-5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0</v>
      </c>
      <c r="AL32" s="123">
        <f>AI32-AJ32</f>
        <v>5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90000009.94592014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5 - 0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9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0.28636161071428567</v>
      </c>
      <c r="AQ33" s="126">
        <f>VLOOKUP(AE33,db_fifarank,2,FALSE)</f>
        <v>1294.6500000000001</v>
      </c>
      <c r="AR33" s="125">
        <f>AP33/AP36</f>
        <v>3.1817952876289838E-9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4</v>
      </c>
      <c r="AL34" s="123">
        <f>AI34-AJ34</f>
        <v>-2</v>
      </c>
      <c r="AM34" s="123">
        <f>AL34-AL36</f>
        <v>5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30000004.132634625</v>
      </c>
      <c r="AQ34" s="126">
        <f>VLOOKUP(AE34,db_fifarank,2,FALSE)</f>
        <v>1532.98</v>
      </c>
      <c r="AR34" s="125">
        <f>AP34/AP36</f>
        <v>0.3333333387110502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60000009.319478713</v>
      </c>
      <c r="AQ35" s="126">
        <f>VLOOKUP(AE35,db_fifarank,2,FALSE)</f>
        <v>1594.78</v>
      </c>
      <c r="AR35" s="125">
        <f>AP35/AP36</f>
        <v>0.6666666891355375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Switzerland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7</v>
      </c>
      <c r="AL36" s="123">
        <f>MIN(AL32:AL35)</f>
        <v>-7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90000010.94592014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90000009.764767826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3</v>
      </c>
      <c r="AL39" s="123">
        <f>AI39-AJ39</f>
        <v>0</v>
      </c>
      <c r="AM39" s="123">
        <f>AL39-AL42</f>
        <v>3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60000003.709163554</v>
      </c>
      <c r="AQ39" s="126">
        <f>VLOOKUP(AE39,db_fifarank,2,FALSE)</f>
        <v>1660.43</v>
      </c>
      <c r="AR39" s="125">
        <f>AP39/AP42</f>
        <v>0.66666662814057875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3</v>
      </c>
      <c r="AL40" s="123">
        <f>AI40-AJ40</f>
        <v>-2</v>
      </c>
      <c r="AM40" s="123">
        <f>AL40-AL42</f>
        <v>1</v>
      </c>
      <c r="AN40" s="123">
        <f>AF40*3+AG40</f>
        <v>1</v>
      </c>
      <c r="AO40" s="123">
        <f>AN40/AN42*10+BA40</f>
        <v>1.9803921568627452</v>
      </c>
      <c r="AP40" s="123">
        <f>AO40*10000000+BI40*100+AM40/AM42*10+AI40/AI42*1++IF(AQ40=0,ROW(),AQ40)/2000000</f>
        <v>19804020.844711635</v>
      </c>
      <c r="AQ40" s="126">
        <f>VLOOKUP(AE40,db_fifarank,2,FALSE)</f>
        <v>1514.77</v>
      </c>
      <c r="AR40" s="125">
        <f>AP40/AP42</f>
        <v>0.22004464973313412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1 - 3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3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1.9803921568627452</v>
      </c>
      <c r="AP41" s="123">
        <f>AO41*10000000+BI41*100+AM41/AM42*10+AI41/AI42*1++IF(AQ41=0,ROW(),AQ41)/2000000</f>
        <v>19804019.608584665</v>
      </c>
      <c r="AQ41" s="126">
        <f>VLOOKUP(AE41,db_fifarank,2,FALSE)</f>
        <v>1483.05</v>
      </c>
      <c r="AR41" s="125">
        <f>AP41/AP42</f>
        <v>0.22004463599839164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</v>
      </c>
      <c r="BA41" s="126">
        <f>AZ41/AZ42</f>
        <v>0.98039215686274506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</v>
      </c>
      <c r="BI41" s="126">
        <f>BH41/BH42</f>
        <v>0.98039215686274506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0 - 3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-3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90000010.764767826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2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0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1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10</v>
      </c>
      <c r="AN44" s="123">
        <f>AF44*3+AG44</f>
        <v>6</v>
      </c>
      <c r="AO44" s="123">
        <f>AN44/AN48*10+BA44</f>
        <v>7.5</v>
      </c>
      <c r="AP44" s="123">
        <f>AO44*10000000+BI44*100+AM44/AM48*10+AI44/AI48*1++IF(AQ44=0,ROW(),AQ44)/2000000</f>
        <v>75000009.925109774</v>
      </c>
      <c r="AQ44" s="126">
        <f>VLOOKUP(AE44,db_fifarank,2,FALSE)</f>
        <v>1734.71</v>
      </c>
      <c r="AR44" s="125">
        <f>AP44/AP48</f>
        <v>0.85714287409007073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1</v>
      </c>
      <c r="AL45" s="123">
        <f>AI45-AJ45</f>
        <v>3</v>
      </c>
      <c r="AM45" s="123">
        <f>AL45-AL48</f>
        <v>9</v>
      </c>
      <c r="AN45" s="123">
        <f>AF45*3+AG45</f>
        <v>7</v>
      </c>
      <c r="AO45" s="123">
        <f>AN45/AN48*10+BA45</f>
        <v>8.75</v>
      </c>
      <c r="AP45" s="123">
        <f>AO45*10000000+BI45*100+AM45/AM48*10+AI45/AI48*1++IF(AQ45=0,ROW(),AQ45)/2000000</f>
        <v>87500008.849266484</v>
      </c>
      <c r="AQ45" s="126">
        <f>VLOOKUP(AE45,db_fifarank,2,FALSE)</f>
        <v>1563.24</v>
      </c>
      <c r="AR45" s="125">
        <f>AP45/AP48</f>
        <v>0.99999998857142991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5 - 1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5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50000004.879595533</v>
      </c>
      <c r="AQ46" s="126">
        <f>VLOOKUP(AE46,db_fifarank,2,FALSE)</f>
        <v>1615.3</v>
      </c>
      <c r="AR46" s="125">
        <f>AP46/AP48</f>
        <v>0.57142856287363819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0.16730745166666666</v>
      </c>
      <c r="AQ47" s="126">
        <f>VLOOKUP(AE47,db_fifarank,2,FALSE)</f>
        <v>1281.57</v>
      </c>
      <c r="AR47" s="125">
        <f>AP47/AP48</f>
        <v>1.9120849466746568E-9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6</v>
      </c>
      <c r="AL48" s="123">
        <f>MIN(AL44:AL47)</f>
        <v>-6</v>
      </c>
      <c r="AM48" s="123">
        <f>MAX(AM44:AM47)+1</f>
        <v>11</v>
      </c>
      <c r="AN48" s="123">
        <f>MAX(AN44:AN47)+1</f>
        <v>8</v>
      </c>
      <c r="AO48" s="123">
        <f>MAX(AO44:AO47)+1</f>
        <v>9.75</v>
      </c>
      <c r="AP48" s="123">
        <f>MAX(AP44:AP47)+1</f>
        <v>87500009.849266484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4</v>
      </c>
      <c r="AJ50" s="123">
        <f>SUMIF($E$7:$E$78,$AE50,$G$7:$G$78) + SUMIF($H$7:$H$78,$AE50,$F$7:$F$78)</f>
        <v>0</v>
      </c>
      <c r="AL50" s="123">
        <f>AI50-AJ50</f>
        <v>4</v>
      </c>
      <c r="AM50" s="123">
        <f>AL50-AL54</f>
        <v>8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87500009.689827099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4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4 - 0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1</v>
      </c>
      <c r="AH51" s="123">
        <f>COUNTIF($S$7:$T$78,"=" &amp; AE51 &amp; "_lose")</f>
        <v>1</v>
      </c>
      <c r="AI51" s="123">
        <f>SUMIF($E$7:$E$78,$AE51,$F$7:$F$78) + SUMIF($H$7:$H$78,$AE51,$G$7:$G$78)</f>
        <v>4</v>
      </c>
      <c r="AJ51" s="123">
        <f>SUMIF($E$7:$E$78,$AE51,$G$7:$G$78) + SUMIF($H$7:$H$78,$AE51,$F$7:$F$78)</f>
        <v>5</v>
      </c>
      <c r="AL51" s="123">
        <f>AI51-AJ51</f>
        <v>-1</v>
      </c>
      <c r="AM51" s="123">
        <f>AL51-AL54</f>
        <v>3</v>
      </c>
      <c r="AN51" s="123">
        <f>AF51*3+AG51</f>
        <v>4</v>
      </c>
      <c r="AO51" s="123">
        <f>AN51/AN54*10+BA51</f>
        <v>5</v>
      </c>
      <c r="AP51" s="123">
        <f>AO51*10000000+BI51*100+AM51/AM54*10+AI51/AI54*1++IF(AQ51=0,ROW(),AQ51)/2000000</f>
        <v>50000004.134016395</v>
      </c>
      <c r="AQ51" s="126">
        <f>VLOOKUP(AE51,db_fifarank,2,FALSE)</f>
        <v>1366.13</v>
      </c>
      <c r="AR51" s="125">
        <f>AP51/AP54</f>
        <v>0.57142854886336014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Cape Verde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3 - 2</v>
      </c>
      <c r="P52" s="34">
        <f>L52*3+M52</f>
        <v>5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4</v>
      </c>
      <c r="AL52" s="123">
        <f>AI52-AJ52</f>
        <v>-4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8.122456150541121E-12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4 - 5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2</v>
      </c>
      <c r="AH53" s="123">
        <f>COUNTIF($S$7:$T$78,"=" &amp; AE53 &amp; "_lose")</f>
        <v>0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2</v>
      </c>
      <c r="AL53" s="123">
        <f>AI53-AJ53</f>
        <v>1</v>
      </c>
      <c r="AM53" s="123">
        <f>AL53-AL54</f>
        <v>5</v>
      </c>
      <c r="AN53" s="123">
        <f>AF53*3+AG53</f>
        <v>5</v>
      </c>
      <c r="AO53" s="123">
        <f>AN53/AN54*10+BA53</f>
        <v>6.25</v>
      </c>
      <c r="AP53" s="123">
        <f>AO53*10000000+BI53*100+AM53/AM54*10+AI53/AI54*1++IF(AQ53=0,ROW(),AQ53)/2000000</f>
        <v>62500006.15639209</v>
      </c>
      <c r="AQ53" s="126">
        <f>VLOOKUP(AE53,db_fifarank,2,FALSE)</f>
        <v>1673.07</v>
      </c>
      <c r="AR53" s="125">
        <f>AP53/AP54</f>
        <v>0.71428569738058845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0 - 4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3</v>
      </c>
      <c r="AH54" s="123">
        <f t="shared" si="25"/>
        <v>4</v>
      </c>
      <c r="AI54" s="123">
        <f>MAX(AI50:AI53)+1</f>
        <v>5</v>
      </c>
      <c r="AL54" s="123">
        <f>MIN(AL50:AL53)</f>
        <v>-4</v>
      </c>
      <c r="AM54" s="123">
        <f>MAX(AM50:AM53)+1</f>
        <v>9</v>
      </c>
      <c r="AN54" s="123">
        <f>MAX(AN50:AN53)+1</f>
        <v>8</v>
      </c>
      <c r="AO54" s="123">
        <f>MAX(AO50:AO53)+1</f>
        <v>9.75</v>
      </c>
      <c r="AP54" s="123">
        <f>MAX(AP50:AP53)+1</f>
        <v>87500010.689827099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Austria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Morocco_draw</v>
      </c>
      <c r="T56" s="127" t="str">
        <f t="shared" si="20"/>
        <v>Haiti_draw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0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87500010.106707886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1</v>
      </c>
      <c r="AL57" s="123">
        <f>AI57-AJ57</f>
        <v>3</v>
      </c>
      <c r="AM57" s="123">
        <f>AL57-AL60</f>
        <v>10</v>
      </c>
      <c r="AN57" s="123">
        <f>AF57*3+AG57</f>
        <v>6</v>
      </c>
      <c r="AO57" s="123">
        <f>AN57/AN60*10+BA57</f>
        <v>7.5</v>
      </c>
      <c r="AP57" s="123">
        <f>AO57*10000000+BI57*100+AM57/AM60*10+AI57/AI60*1++IF(AQ57=0,ROW(),AQ57)/2000000</f>
        <v>75000008.193152189</v>
      </c>
      <c r="AQ57" s="126">
        <f>VLOOKUP(AE57,db_fifarank,2,FALSE)</f>
        <v>1688.99</v>
      </c>
      <c r="AR57" s="125">
        <f>AP57/AP60</f>
        <v>0.85714284197848034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4 - 1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8.2693703789087872E-12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4</v>
      </c>
      <c r="AL59" s="123">
        <f>AI59-AJ59</f>
        <v>-1</v>
      </c>
      <c r="AM59" s="123">
        <f>AL59-AL60</f>
        <v>6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50000004.991160087</v>
      </c>
      <c r="AQ59" s="126">
        <f>VLOOKUP(AE59,db_fifarank,2,FALSE)</f>
        <v>1550.94</v>
      </c>
      <c r="AR59" s="125">
        <f>AP59/AP60</f>
        <v>0.57142855593680042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8</v>
      </c>
      <c r="AO60" s="123">
        <f>MAX(AO56:AO59)+1</f>
        <v>9.75</v>
      </c>
      <c r="AP60" s="123">
        <f>MAX(AP56:AP59)+1</f>
        <v>87500011.106707886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90000009.834270746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4</v>
      </c>
      <c r="AL63" s="123">
        <f>AI63-AJ63</f>
        <v>1</v>
      </c>
      <c r="AM63" s="123">
        <f>AL63-AL66</f>
        <v>6</v>
      </c>
      <c r="AN63" s="123">
        <f>AF63*3+AG63</f>
        <v>6</v>
      </c>
      <c r="AO63" s="123">
        <f>AN63/AN66*10+BA63</f>
        <v>6</v>
      </c>
      <c r="AP63" s="123">
        <f>AO63*10000000+BI63*100+AM63/AM66*10+AI63/AI66*1++IF(AQ63=0,ROW(),AQ63)/2000000</f>
        <v>60000006.834115468</v>
      </c>
      <c r="AQ63" s="126">
        <f>VLOOKUP(AE63,db_fifarank,2,FALSE)</f>
        <v>1564.26</v>
      </c>
      <c r="AR63" s="125">
        <f>AP63/AP66</f>
        <v>0.66666666234742611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2</v>
      </c>
      <c r="AL64" s="123">
        <f>AI64-AJ64</f>
        <v>0</v>
      </c>
      <c r="AM64" s="123">
        <f>AL64-AL66</f>
        <v>5</v>
      </c>
      <c r="AN64" s="123">
        <f>AF64*3+AG64</f>
        <v>3</v>
      </c>
      <c r="AO64" s="123">
        <f>AN64/AN66*10+BA64</f>
        <v>3</v>
      </c>
      <c r="AP64" s="123">
        <f>AO64*10000000+BI64*100+AM64/AM66*10+AI64/AI66*1++IF(AQ64=0,ROW(),AQ64)/2000000</f>
        <v>30000005.334130056</v>
      </c>
      <c r="AQ64" s="126">
        <f>VLOOKUP(AE64,db_fifarank,2,FALSE)</f>
        <v>1593.45</v>
      </c>
      <c r="AR64" s="125">
        <f>AP64/AP66</f>
        <v>0.33333335247451407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2 - 2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0.3340290583333333</v>
      </c>
      <c r="AQ65" s="126">
        <f>VLOOKUP(AE65,db_fifarank,2,FALSE)</f>
        <v>1391.45</v>
      </c>
      <c r="AR65" s="125">
        <f>AP65/AP66</f>
        <v>3.7114335346961948E-9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6</v>
      </c>
      <c r="AL66" s="123">
        <f>MIN(AL62:AL65)</f>
        <v>-5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90000010.834270746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90000010.223104134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Iran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4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30000003.000739176</v>
      </c>
      <c r="AQ69" s="126">
        <f>VLOOKUP(AE69,db_fifarank,2,FALSE)</f>
        <v>1478.35</v>
      </c>
      <c r="AR69" s="125">
        <f>AP69/AP72</f>
        <v>0.33333332510782843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8.1407767626134959E-12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60000007.223068759</v>
      </c>
      <c r="AQ71" s="126">
        <f>VLOOKUP(AE71,db_fifarank,2,FALSE)</f>
        <v>1693.09</v>
      </c>
      <c r="AR71" s="125">
        <f>AP71/AP72</f>
        <v>0.66666666378888184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0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-7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90000011.223104134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2</v>
      </c>
      <c r="AL74" s="123">
        <f>AI74-AJ74</f>
        <v>7</v>
      </c>
      <c r="AM74" s="123">
        <f>AL74-AL78</f>
        <v>13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87500010.186627269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9 - 2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8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62500006.115144253</v>
      </c>
      <c r="AQ75" s="126">
        <f>VLOOKUP(AE75,db_fifarank,2,FALSE)</f>
        <v>1717.07</v>
      </c>
      <c r="AR75" s="125">
        <f>AP75/AP78</f>
        <v>0.7142856928536736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4 - 2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3</v>
      </c>
      <c r="AN76" s="123">
        <f>AF76*3+AG76</f>
        <v>2</v>
      </c>
      <c r="AO76" s="123">
        <f>AN76/AN78*10+BA76</f>
        <v>2.5</v>
      </c>
      <c r="AP76" s="123">
        <f>AO76*10000000+BI76*100+AM76/AM78*10+AI76/AI78*1++IF(AQ76=0,ROW(),AQ76)/2000000</f>
        <v>25000002.343530297</v>
      </c>
      <c r="AQ76" s="126">
        <f>VLOOKUP(AE76,db_fifarank,2,FALSE)</f>
        <v>1346.31</v>
      </c>
      <c r="AR76" s="125">
        <f>AP76/AP78</f>
        <v>0.28571427596972787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2 - 5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12500000.000770319</v>
      </c>
      <c r="AQ77" s="126">
        <f>VLOOKUP(AE77,db_fifarank,2,FALSE)</f>
        <v>1540.64</v>
      </c>
      <c r="AR77" s="125">
        <f>AP77/AP78</f>
        <v>0.14285712460206759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3</v>
      </c>
      <c r="AI78" s="123">
        <f>MAX(AI74:AI77)+1</f>
        <v>10</v>
      </c>
      <c r="AL78" s="123">
        <f>MIN(AL74:AL77)</f>
        <v>-6</v>
      </c>
      <c r="AM78" s="123">
        <f>MAX(AM74:AM77)+1</f>
        <v>14</v>
      </c>
      <c r="AN78" s="123">
        <f>MAX(AN74:AN77)+1</f>
        <v>8</v>
      </c>
      <c r="AO78" s="123">
        <f>MAX(AO74:AO77)+1</f>
        <v>9.75</v>
      </c>
      <c r="AP78" s="123">
        <f>MAX(AP74:AP77)+1</f>
        <v>87500011.186627269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2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4</v>
      </c>
      <c r="AP80" s="123">
        <f>AN80/AN92*10000+AM80/AM92*1000+AI80/AI92*100+IF(AQ80=0,ROW(),AQ80)/2000000</f>
        <v>8420.0007943300006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Switzerland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Switzerland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8860.0008247000005</v>
      </c>
      <c r="AQ81" s="126">
        <f t="shared" si="37"/>
        <v>1649.4</v>
      </c>
      <c r="AR81" s="125" t="str">
        <f>AR80&amp;IF(AD81&lt;=8,RIGHT(AK81,1),"")</f>
        <v>AB</v>
      </c>
      <c r="AS81" s="129" t="str">
        <f t="shared" ref="AS81:AS91" si="46">IF(AD81&lt;=8,AE81,"")</f>
        <v>Switzerland</v>
      </c>
      <c r="AT81" s="130" t="str">
        <f>"Ⓑ "&amp;AE81</f>
        <v>Ⓑ Switzerland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Haiti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0</v>
      </c>
      <c r="AN82" s="123">
        <f t="shared" si="45"/>
        <v>4</v>
      </c>
      <c r="AP82" s="123">
        <f>AN82/AN92*10000+AM82/AM92*1000+AI82/AI92*100+IF(AQ82=0,ROW(),AQ82)/2000000</f>
        <v>8040.0006458549997</v>
      </c>
      <c r="AQ82" s="126">
        <f t="shared" si="37"/>
        <v>1291.71</v>
      </c>
      <c r="AR82" s="125" t="str">
        <f t="shared" ref="AR82:AR91" si="50">AR81&amp;IF(AD82&lt;=8,RIGHT(AK82,1),"")</f>
        <v>ABC</v>
      </c>
      <c r="AS82" s="129" t="str">
        <f t="shared" si="46"/>
        <v>Haiti</v>
      </c>
      <c r="AT82" s="130" t="str">
        <f>"Ⓒ "&amp;AE82</f>
        <v>Ⓒ Haiti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Cape Verde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4</v>
      </c>
      <c r="AP83" s="123">
        <f>AN83/AN92*10000+AM83/AM92*1000+AI83/AI92*100+IF(AQ83=0,ROW(),AQ83)/2000000</f>
        <v>8640.0007517499998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6240.0007664900004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12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1</v>
      </c>
      <c r="AJ85" s="123">
        <f t="shared" si="42"/>
        <v>3</v>
      </c>
      <c r="AK85" s="123" t="s">
        <v>3186</v>
      </c>
      <c r="AL85" s="123">
        <f t="shared" si="43"/>
        <v>-2</v>
      </c>
      <c r="AM85" s="123">
        <f t="shared" si="44"/>
        <v>1</v>
      </c>
      <c r="AN85" s="123">
        <f t="shared" si="45"/>
        <v>1</v>
      </c>
      <c r="AP85" s="123">
        <f>AN85/AN92*10000+AM85/AM92*1000+AI85/AI92*100+IF(AQ85=0,ROW(),AQ85)/2000000</f>
        <v>2220.0007573849998</v>
      </c>
      <c r="AQ85" s="126">
        <f t="shared" si="37"/>
        <v>1514.77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Korea Republic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1 - 2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4</v>
      </c>
      <c r="AP86" s="123">
        <f>AN86/AN92*10000+AM86/AM92*1000+AI86/AI92*100+IF(AQ86=0,ROW(),AQ86)/2000000</f>
        <v>8440.0008076499998</v>
      </c>
      <c r="AQ86" s="126">
        <f t="shared" si="37"/>
        <v>1615.3</v>
      </c>
      <c r="AR86" s="125" t="str">
        <f t="shared" si="50"/>
        <v>ABCDG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Haiti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2 - 5</v>
      </c>
      <c r="P87" s="101">
        <f t="shared" si="48"/>
        <v>4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Cape Verde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4</v>
      </c>
      <c r="AP87" s="123">
        <f>AN87/AN92*10000+AM87/AM92*1000+AI87/AI92*100+IF(AQ87=0,ROW(),AQ87)/2000000</f>
        <v>8480.000683065</v>
      </c>
      <c r="AQ87" s="126">
        <f t="shared" si="37"/>
        <v>1366.13</v>
      </c>
      <c r="AR87" s="125" t="str">
        <f t="shared" si="50"/>
        <v>ABCDGH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Austria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2 - 2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4</v>
      </c>
      <c r="AP88" s="123">
        <f>AN88/AN92*10000+AM88/AM92*1000+AI88/AI92*100+IF(AQ88=0,ROW(),AQ88)/2000000</f>
        <v>8460.00077547</v>
      </c>
      <c r="AQ88" s="126">
        <f t="shared" si="37"/>
        <v>1550.94</v>
      </c>
      <c r="AR88" s="125" t="str">
        <f t="shared" si="50"/>
        <v>ABCDGHI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6640.0007967250003</v>
      </c>
      <c r="AQ89" s="126">
        <f t="shared" si="37"/>
        <v>1593.45</v>
      </c>
      <c r="AR89" s="125" t="str">
        <f t="shared" si="50"/>
        <v>ABCDGHIJ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6060.0007391749996</v>
      </c>
      <c r="AQ90" s="126">
        <f t="shared" si="37"/>
        <v>1478.35</v>
      </c>
      <c r="AR90" s="125" t="str">
        <f t="shared" si="50"/>
        <v>ABCDGHIJ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Ghana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2 - 5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11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0</v>
      </c>
      <c r="AN91" s="123">
        <f>VLOOKUP($AE91,$AE$8:$AQ$78,10,FALSE)</f>
        <v>2</v>
      </c>
      <c r="AP91" s="123">
        <f>AN91/AN92*10000+AM91/AM92*1000+AI91/AI92*100+IF(AQ91=0,ROW(),AQ91)/2000000</f>
        <v>4040.0006731550002</v>
      </c>
      <c r="AQ91" s="126">
        <f t="shared" si="37"/>
        <v>1346.31</v>
      </c>
      <c r="AR91" s="125" t="str">
        <f t="shared" si="50"/>
        <v>ABCDGHIJ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Ⓕ Sweden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1 - 3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Germany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Germany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440</v>
      </c>
      <c r="C3" s="121" t="str">
        <f>'2026 World Cup'!AR91</f>
        <v>ABCDGHIJ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Pablo Martin Gutierrez</cp:lastModifiedBy>
  <cp:revision/>
  <dcterms:created xsi:type="dcterms:W3CDTF">2017-12-27T19:32:51Z</dcterms:created>
  <dcterms:modified xsi:type="dcterms:W3CDTF">2026-06-09T08:03:43Z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