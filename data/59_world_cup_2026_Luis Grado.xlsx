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A01D21-A5F8-4C03-99C4-C6D49A026F4B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S54" i="3"/>
  <c r="S77" i="3"/>
  <c r="S50" i="3"/>
  <c r="S76" i="3"/>
  <c r="S47" i="3"/>
  <c r="S67" i="3"/>
  <c r="T23" i="3"/>
  <c r="T48" i="3"/>
  <c r="T43" i="3"/>
  <c r="S72" i="3"/>
  <c r="S70" i="3"/>
  <c r="S42" i="3"/>
  <c r="S64" i="3"/>
  <c r="T41" i="3"/>
  <c r="S40" i="3"/>
  <c r="S62" i="3"/>
  <c r="T61" i="3"/>
  <c r="S38" i="3"/>
  <c r="S65" i="3"/>
  <c r="S55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7" i="3" l="1"/>
  <c r="AR21" i="3"/>
  <c r="AR22" i="3"/>
  <c r="AR9" i="3"/>
  <c r="AR11" i="3"/>
  <c r="AR10" i="3"/>
  <c r="AR28" i="3"/>
  <c r="AD58" i="3"/>
  <c r="AR33" i="3"/>
  <c r="AR34" i="3"/>
  <c r="AR35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10" i="3"/>
  <c r="AD22" i="3"/>
  <c r="AD9" i="3"/>
  <c r="AD8" i="3"/>
  <c r="AD11" i="3"/>
  <c r="N58" i="3"/>
  <c r="AD41" i="3"/>
  <c r="AD34" i="3"/>
  <c r="O60" i="3"/>
  <c r="AD44" i="3"/>
  <c r="O45" i="3" s="1"/>
  <c r="AD75" i="3"/>
  <c r="AD33" i="3"/>
  <c r="AD62" i="3"/>
  <c r="N63" i="3" s="1"/>
  <c r="AD70" i="3"/>
  <c r="AD68" i="3"/>
  <c r="AD20" i="3"/>
  <c r="AD29" i="3"/>
  <c r="AD32" i="3"/>
  <c r="AD15" i="3"/>
  <c r="AD53" i="3"/>
  <c r="AD77" i="3"/>
  <c r="L58" i="3"/>
  <c r="M59" i="3"/>
  <c r="AD35" i="3"/>
  <c r="AD47" i="3"/>
  <c r="AD21" i="3"/>
  <c r="AD76" i="3"/>
  <c r="AD26" i="3"/>
  <c r="AD14" i="3"/>
  <c r="AD74" i="3"/>
  <c r="AD71" i="3"/>
  <c r="AD63" i="3"/>
  <c r="AD27" i="3"/>
  <c r="AD28" i="3"/>
  <c r="L5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L69" i="3" l="1"/>
  <c r="L51" i="3"/>
  <c r="L39" i="3"/>
  <c r="O21" i="3"/>
  <c r="O27" i="3"/>
  <c r="P59" i="3"/>
  <c r="J16" i="3"/>
  <c r="AS15" i="3" s="1"/>
  <c r="BL19" i="3" s="1"/>
  <c r="N10" i="3"/>
  <c r="L10" i="3"/>
  <c r="N45" i="3"/>
  <c r="M45" i="3"/>
  <c r="M10" i="3"/>
  <c r="J12" i="3"/>
  <c r="J45" i="3"/>
  <c r="AS44" i="3" s="1"/>
  <c r="BL38" i="3" s="1"/>
  <c r="O11" i="3"/>
  <c r="O9" i="3"/>
  <c r="J11" i="3"/>
  <c r="AE80" i="3" s="1"/>
  <c r="AQ80" i="3" s="1"/>
  <c r="N9" i="3"/>
  <c r="L11" i="3"/>
  <c r="N12" i="3"/>
  <c r="L9" i="3"/>
  <c r="J9" i="3"/>
  <c r="AS8" i="3" s="1"/>
  <c r="BL50" i="3" s="1"/>
  <c r="J10" i="3"/>
  <c r="AS9" i="3" s="1"/>
  <c r="BL18" i="3" s="1"/>
  <c r="M12" i="3"/>
  <c r="M11" i="3"/>
  <c r="L12" i="3"/>
  <c r="K58" i="3"/>
  <c r="N11" i="3"/>
  <c r="M9" i="3"/>
  <c r="O10" i="3"/>
  <c r="O12" i="3"/>
  <c r="J27" i="3"/>
  <c r="AS26" i="3" s="1"/>
  <c r="BL34" i="3" s="1"/>
  <c r="M22" i="3"/>
  <c r="L22" i="3"/>
  <c r="O18" i="3"/>
  <c r="L45" i="3"/>
  <c r="N76" i="3"/>
  <c r="J36" i="3"/>
  <c r="O24" i="3"/>
  <c r="J69" i="3"/>
  <c r="AS68" i="3" s="1"/>
  <c r="BL70" i="3" s="1"/>
  <c r="N47" i="3"/>
  <c r="N36" i="3"/>
  <c r="N35" i="3"/>
  <c r="L21" i="3"/>
  <c r="O69" i="3"/>
  <c r="J21" i="3"/>
  <c r="AS20" i="3" s="1"/>
  <c r="BL42" i="3" s="1"/>
  <c r="BS44" i="3" s="1"/>
  <c r="BZ48" i="3" s="1"/>
  <c r="N69" i="3"/>
  <c r="O36" i="3"/>
  <c r="L16" i="3"/>
  <c r="M69" i="3"/>
  <c r="L36" i="3"/>
  <c r="M16" i="3"/>
  <c r="M72" i="3"/>
  <c r="J33" i="3"/>
  <c r="AS32" i="3" s="1"/>
  <c r="BL10" i="3" s="1"/>
  <c r="M63" i="3"/>
  <c r="J35" i="3"/>
  <c r="AE84" i="3" s="1"/>
  <c r="AQ84" i="3" s="1"/>
  <c r="O29" i="3"/>
  <c r="M75" i="3"/>
  <c r="J75" i="3"/>
  <c r="AS74" i="3" s="1"/>
  <c r="BL54" i="3" s="1"/>
  <c r="L35" i="3"/>
  <c r="L27" i="3"/>
  <c r="O77" i="3"/>
  <c r="N27" i="3"/>
  <c r="L64" i="3"/>
  <c r="O35" i="3"/>
  <c r="N29" i="3"/>
  <c r="J76" i="3"/>
  <c r="AS75" i="3" s="1"/>
  <c r="BL27" i="3" s="1"/>
  <c r="L63" i="3"/>
  <c r="M35" i="3"/>
  <c r="J22" i="3"/>
  <c r="AS21" i="3" s="1"/>
  <c r="BL23" i="3" s="1"/>
  <c r="O17" i="3"/>
  <c r="P57" i="3"/>
  <c r="O34" i="3"/>
  <c r="O75" i="3"/>
  <c r="L75" i="3"/>
  <c r="M27" i="3"/>
  <c r="L29" i="3"/>
  <c r="M65" i="3"/>
  <c r="O47" i="3"/>
  <c r="O76" i="3"/>
  <c r="M33" i="3"/>
  <c r="J18" i="3"/>
  <c r="O78" i="3"/>
  <c r="O33" i="3"/>
  <c r="N16" i="3"/>
  <c r="L78" i="3"/>
  <c r="J63" i="3"/>
  <c r="AS62" i="3" s="1"/>
  <c r="BL58" i="3" s="1"/>
  <c r="BS60" i="3" s="1"/>
  <c r="BZ64" i="3" s="1"/>
  <c r="L33" i="3"/>
  <c r="M21" i="3"/>
  <c r="M18" i="3"/>
  <c r="L72" i="3"/>
  <c r="M76" i="3"/>
  <c r="J64" i="3"/>
  <c r="AS63" i="3" s="1"/>
  <c r="BL31" i="3" s="1"/>
  <c r="N34" i="3"/>
  <c r="N33" i="3"/>
  <c r="O22" i="3"/>
  <c r="L17" i="3"/>
  <c r="N48" i="3"/>
  <c r="O63" i="3"/>
  <c r="N75" i="3"/>
  <c r="M36" i="3"/>
  <c r="N24" i="3"/>
  <c r="O40" i="3"/>
  <c r="M34" i="3"/>
  <c r="O23" i="3"/>
  <c r="J24" i="3"/>
  <c r="L15" i="3"/>
  <c r="AT88" i="3"/>
  <c r="L28" i="3"/>
  <c r="L54" i="3"/>
  <c r="O51" i="3"/>
  <c r="J34" i="3"/>
  <c r="AS33" i="3" s="1"/>
  <c r="BL46" i="3" s="1"/>
  <c r="P58" i="3"/>
  <c r="N54" i="3"/>
  <c r="J52" i="3"/>
  <c r="AS51" i="3" s="1"/>
  <c r="BL59" i="3" s="1"/>
  <c r="AN88" i="3"/>
  <c r="M51" i="3"/>
  <c r="N53" i="3"/>
  <c r="M46" i="3"/>
  <c r="J65" i="3"/>
  <c r="AE89" i="3" s="1"/>
  <c r="AQ89" i="3" s="1"/>
  <c r="J66" i="3"/>
  <c r="L65" i="3"/>
  <c r="L34" i="3"/>
  <c r="L18" i="3"/>
  <c r="N77" i="3"/>
  <c r="O64" i="3"/>
  <c r="J51" i="3"/>
  <c r="AS50" i="3" s="1"/>
  <c r="BL30" i="3" s="1"/>
  <c r="J46" i="3"/>
  <c r="AS45" i="3" s="1"/>
  <c r="BL63" i="3" s="1"/>
  <c r="L30" i="3"/>
  <c r="N18" i="3"/>
  <c r="AJ88" i="3"/>
  <c r="N64" i="3"/>
  <c r="N51" i="3"/>
  <c r="J47" i="3"/>
  <c r="AE86" i="3" s="1"/>
  <c r="AQ86" i="3" s="1"/>
  <c r="N30" i="3"/>
  <c r="N21" i="3"/>
  <c r="N52" i="3"/>
  <c r="J77" i="3"/>
  <c r="AE91" i="3" s="1"/>
  <c r="AQ91" i="3" s="1"/>
  <c r="L77" i="3"/>
  <c r="M64" i="3"/>
  <c r="J48" i="3"/>
  <c r="M17" i="3"/>
  <c r="N22" i="3"/>
  <c r="O71" i="3"/>
  <c r="M41" i="3"/>
  <c r="M42" i="3"/>
  <c r="L71" i="3"/>
  <c r="O48" i="3"/>
  <c r="N40" i="3"/>
  <c r="N28" i="3"/>
  <c r="M29" i="3"/>
  <c r="O70" i="3"/>
  <c r="O66" i="3"/>
  <c r="O39" i="3"/>
  <c r="M78" i="3"/>
  <c r="J70" i="3"/>
  <c r="AS69" i="3" s="1"/>
  <c r="BL26" i="3" s="1"/>
  <c r="N70" i="3"/>
  <c r="N66" i="3"/>
  <c r="M54" i="3"/>
  <c r="M39" i="3"/>
  <c r="O30" i="3"/>
  <c r="AI88" i="3"/>
  <c r="N78" i="3"/>
  <c r="J71" i="3"/>
  <c r="AE90" i="3" s="1"/>
  <c r="AQ90" i="3" s="1"/>
  <c r="M70" i="3"/>
  <c r="M66" i="3"/>
  <c r="L48" i="3"/>
  <c r="L46" i="3"/>
  <c r="O42" i="3"/>
  <c r="M28" i="3"/>
  <c r="J28" i="3"/>
  <c r="AS27" i="3" s="1"/>
  <c r="BL62" i="3" s="1"/>
  <c r="BS61" i="3" s="1"/>
  <c r="M24" i="3"/>
  <c r="AG88" i="3"/>
  <c r="K57" i="3"/>
  <c r="L76" i="3"/>
  <c r="J72" i="3"/>
  <c r="L70" i="3"/>
  <c r="L66" i="3"/>
  <c r="M48" i="3"/>
  <c r="N46" i="3"/>
  <c r="L40" i="3"/>
  <c r="M30" i="3"/>
  <c r="J29" i="3"/>
  <c r="AE83" i="3" s="1"/>
  <c r="AQ83" i="3" s="1"/>
  <c r="L24" i="3"/>
  <c r="O16" i="3"/>
  <c r="AF88" i="3"/>
  <c r="N17" i="3"/>
  <c r="N39" i="3"/>
  <c r="N71" i="3"/>
  <c r="J39" i="3"/>
  <c r="AS38" i="3" s="1"/>
  <c r="BL22" i="3" s="1"/>
  <c r="M71" i="3"/>
  <c r="J40" i="3"/>
  <c r="AS39" i="3" s="1"/>
  <c r="BL43" i="3" s="1"/>
  <c r="J41" i="3"/>
  <c r="AE85" i="3" s="1"/>
  <c r="AQ85" i="3" s="1"/>
  <c r="O46" i="3"/>
  <c r="J42" i="3"/>
  <c r="O72" i="3"/>
  <c r="O65" i="3"/>
  <c r="M47" i="3"/>
  <c r="L47" i="3"/>
  <c r="M40" i="3"/>
  <c r="O28" i="3"/>
  <c r="J30" i="3"/>
  <c r="M77" i="3"/>
  <c r="J78" i="3"/>
  <c r="N72" i="3"/>
  <c r="N65" i="3"/>
  <c r="L42" i="3"/>
  <c r="K59" i="3"/>
  <c r="O54" i="3"/>
  <c r="L2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9" i="3"/>
  <c r="T89" i="3" s="1" a="1"/>
  <c r="T89" i="3" s="1"/>
  <c r="BS21" i="3"/>
  <c r="S88" i="3"/>
  <c r="T88" i="3" s="1" a="1"/>
  <c r="T88" i="3" s="1"/>
  <c r="BS20" i="3"/>
  <c r="P51" i="3"/>
  <c r="P69" i="3"/>
  <c r="P39" i="3"/>
  <c r="P66" i="3"/>
  <c r="P24" i="3"/>
  <c r="K45" i="3"/>
  <c r="K10" i="3"/>
  <c r="P10" i="3"/>
  <c r="P11" i="3"/>
  <c r="AF80" i="3"/>
  <c r="P70" i="3"/>
  <c r="P46" i="3"/>
  <c r="AN80" i="3"/>
  <c r="AL80" i="3"/>
  <c r="AG80" i="3"/>
  <c r="P22" i="3"/>
  <c r="AT80" i="3"/>
  <c r="AJ80" i="3"/>
  <c r="AI80" i="3"/>
  <c r="AH80" i="3"/>
  <c r="K22" i="3"/>
  <c r="P9" i="3"/>
  <c r="P16" i="3"/>
  <c r="K12" i="3"/>
  <c r="K11" i="3"/>
  <c r="P12" i="3"/>
  <c r="K9" i="3"/>
  <c r="AT84" i="3"/>
  <c r="AN84" i="3"/>
  <c r="AF87" i="3"/>
  <c r="AI90" i="3"/>
  <c r="P76" i="3"/>
  <c r="K63" i="3"/>
  <c r="AL84" i="3"/>
  <c r="AJ84" i="3"/>
  <c r="AI84" i="3"/>
  <c r="AH84" i="3"/>
  <c r="AG84" i="3"/>
  <c r="P40" i="3"/>
  <c r="P45" i="3"/>
  <c r="AL87" i="3"/>
  <c r="AG87" i="3"/>
  <c r="P36" i="3"/>
  <c r="P17" i="3"/>
  <c r="P27" i="3"/>
  <c r="P63" i="3"/>
  <c r="AJ89" i="3"/>
  <c r="AG89" i="3"/>
  <c r="AF84" i="3"/>
  <c r="P21" i="3"/>
  <c r="P29" i="3"/>
  <c r="P72" i="3"/>
  <c r="P23" i="3"/>
  <c r="P64" i="3"/>
  <c r="P42" i="3"/>
  <c r="P54" i="3"/>
  <c r="K30" i="3"/>
  <c r="P34" i="3"/>
  <c r="P75" i="3"/>
  <c r="K21" i="3"/>
  <c r="K72" i="3"/>
  <c r="K64" i="3"/>
  <c r="K27" i="3"/>
  <c r="AF89" i="3"/>
  <c r="K69" i="3"/>
  <c r="P35" i="3"/>
  <c r="K54" i="3"/>
  <c r="AF85" i="3"/>
  <c r="K36" i="3"/>
  <c r="AG85" i="3"/>
  <c r="K29" i="3"/>
  <c r="K16" i="3"/>
  <c r="AH85" i="3"/>
  <c r="AL83" i="3"/>
  <c r="P30" i="3"/>
  <c r="AJ83" i="3"/>
  <c r="P28" i="3"/>
  <c r="K35" i="3"/>
  <c r="P15" i="3"/>
  <c r="K18" i="3"/>
  <c r="K75" i="3"/>
  <c r="P33" i="3"/>
  <c r="K65" i="3"/>
  <c r="AF86" i="3"/>
  <c r="K46" i="3"/>
  <c r="P77" i="3"/>
  <c r="K78" i="3"/>
  <c r="AN82" i="3"/>
  <c r="K28" i="3"/>
  <c r="K33" i="3"/>
  <c r="K76" i="3"/>
  <c r="K51" i="3"/>
  <c r="AT89" i="3"/>
  <c r="AT83" i="3"/>
  <c r="AI89" i="3"/>
  <c r="P52" i="3"/>
  <c r="P47" i="3"/>
  <c r="AN83" i="3"/>
  <c r="AH89" i="3"/>
  <c r="K53" i="3"/>
  <c r="K40" i="3"/>
  <c r="AT91" i="3"/>
  <c r="AT81" i="3"/>
  <c r="P18" i="3"/>
  <c r="AI83" i="3"/>
  <c r="K34" i="3"/>
  <c r="AN91" i="3"/>
  <c r="AL91" i="3"/>
  <c r="K15" i="3"/>
  <c r="AL81" i="3"/>
  <c r="AG83" i="3"/>
  <c r="AN86" i="3"/>
  <c r="AJ81" i="3"/>
  <c r="AF83" i="3"/>
  <c r="AL86" i="3"/>
  <c r="P65" i="3"/>
  <c r="AI91" i="3"/>
  <c r="K23" i="3"/>
  <c r="K71" i="3"/>
  <c r="K48" i="3"/>
  <c r="AN81" i="3"/>
  <c r="AI81" i="3"/>
  <c r="AT85" i="3"/>
  <c r="AJ86" i="3"/>
  <c r="AH91" i="3"/>
  <c r="P41" i="3"/>
  <c r="K66" i="3"/>
  <c r="AN85" i="3"/>
  <c r="AI86" i="3"/>
  <c r="AG91" i="3"/>
  <c r="K42" i="3"/>
  <c r="AH83" i="3"/>
  <c r="AT86" i="3"/>
  <c r="AJ91" i="3"/>
  <c r="K24" i="3"/>
  <c r="AH81" i="3"/>
  <c r="K70" i="3"/>
  <c r="AG81" i="3"/>
  <c r="AJ85" i="3"/>
  <c r="AH86" i="3"/>
  <c r="AN89" i="3"/>
  <c r="AF91" i="3"/>
  <c r="K39" i="3"/>
  <c r="AF81" i="3"/>
  <c r="AI85" i="3"/>
  <c r="AG86" i="3"/>
  <c r="AL89" i="3"/>
  <c r="AF90" i="3"/>
  <c r="K47" i="3"/>
  <c r="K17" i="3"/>
  <c r="AJ82" i="3"/>
  <c r="P71" i="3"/>
  <c r="P48" i="3"/>
  <c r="AG82" i="3"/>
  <c r="P78" i="3"/>
  <c r="AF82" i="3"/>
  <c r="K41" i="3"/>
  <c r="AT90" i="3"/>
  <c r="AN90" i="3"/>
  <c r="K77" i="3"/>
  <c r="P53" i="3"/>
  <c r="AT87" i="3"/>
  <c r="AL90" i="3"/>
  <c r="AN87" i="3"/>
  <c r="AJ90" i="3"/>
  <c r="AI82" i="3"/>
  <c r="AH82" i="3"/>
  <c r="AJ87" i="3"/>
  <c r="AH90" i="3"/>
  <c r="AT82" i="3"/>
  <c r="AL85" i="3"/>
  <c r="AH87" i="3"/>
  <c r="AG90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G92" i="3"/>
  <c r="AJ92" i="3"/>
  <c r="AF92" i="3"/>
  <c r="AH92" i="3"/>
  <c r="AS92" i="3"/>
  <c r="AN92" i="3"/>
  <c r="AI92" i="3"/>
  <c r="AL92" i="3"/>
  <c r="AM88" i="3" s="1"/>
  <c r="S103" i="3" l="1"/>
  <c r="T103" i="3" s="1" a="1"/>
  <c r="T103" i="3" s="1"/>
  <c r="CG24" i="3"/>
  <c r="S111" i="3" s="1"/>
  <c r="T111" i="3" s="1"/>
  <c r="AM90" i="3"/>
  <c r="AM82" i="3"/>
  <c r="AM91" i="3"/>
  <c r="AM83" i="3"/>
  <c r="AM80" i="3"/>
  <c r="AM89" i="3"/>
  <c r="AM84" i="3"/>
  <c r="AM85" i="3"/>
  <c r="AM86" i="3"/>
  <c r="AM87" i="3"/>
  <c r="AM8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91" i="3"/>
  <c r="AP88" i="3"/>
  <c r="AP83" i="3"/>
  <c r="AP90" i="3"/>
  <c r="AP85" i="3"/>
  <c r="AP82" i="3"/>
  <c r="AP81" i="3"/>
  <c r="AP89" i="3"/>
  <c r="AP86" i="3"/>
  <c r="AP84" i="3"/>
  <c r="AP80" i="3"/>
  <c r="CN37" i="3" l="1"/>
  <c r="CK68" i="3" s="1"/>
  <c r="CN48" i="3"/>
  <c r="AD83" i="3"/>
  <c r="AS83" i="3" s="1"/>
  <c r="AD82" i="3"/>
  <c r="AS82" i="3" s="1"/>
  <c r="AD90" i="3"/>
  <c r="AS90" i="3" s="1"/>
  <c r="AD91" i="3"/>
  <c r="AS91" i="3" s="1"/>
  <c r="AD85" i="3"/>
  <c r="AS85" i="3" s="1"/>
  <c r="AD80" i="3"/>
  <c r="AD84" i="3"/>
  <c r="AS84" i="3" s="1"/>
  <c r="AD86" i="3"/>
  <c r="AS86" i="3" s="1"/>
  <c r="AD89" i="3"/>
  <c r="AS89" i="3" s="1"/>
  <c r="AD87" i="3"/>
  <c r="AS87" i="3" s="1"/>
  <c r="AD81" i="3"/>
  <c r="AS81" i="3" s="1"/>
  <c r="AD88" i="3"/>
  <c r="AS88" i="3" s="1"/>
  <c r="J92" i="3" l="1"/>
  <c r="L92" i="3"/>
  <c r="AS80" i="3"/>
  <c r="M92" i="3"/>
  <c r="N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2" i="3"/>
  <c r="N88" i="3"/>
  <c r="M82" i="3"/>
  <c r="O90" i="3"/>
  <c r="J87" i="3"/>
  <c r="J90" i="3"/>
  <c r="O91" i="3"/>
  <c r="L88" i="3"/>
  <c r="L89" i="3"/>
  <c r="N91" i="3"/>
  <c r="N90" i="3"/>
  <c r="O84" i="3"/>
  <c r="L81" i="3"/>
  <c r="M87" i="3"/>
  <c r="L85" i="3"/>
  <c r="N87" i="3"/>
  <c r="N84" i="3"/>
  <c r="M81" i="3"/>
  <c r="O83" i="3"/>
  <c r="J83" i="3"/>
  <c r="L82" i="3"/>
  <c r="M90" i="3"/>
  <c r="L90" i="3"/>
  <c r="L91" i="3"/>
  <c r="O87" i="3"/>
  <c r="L87" i="3"/>
  <c r="O81" i="3"/>
  <c r="M91" i="3"/>
  <c r="J85" i="3"/>
  <c r="J84" i="3"/>
  <c r="M86" i="3"/>
  <c r="J81" i="3"/>
  <c r="O88" i="3"/>
  <c r="N85" i="3"/>
  <c r="O85" i="3"/>
  <c r="O89" i="3"/>
  <c r="J82" i="3"/>
  <c r="M85" i="3"/>
  <c r="M83" i="3"/>
  <c r="M84" i="3"/>
  <c r="J88" i="3"/>
  <c r="O82" i="3"/>
  <c r="N81" i="3"/>
  <c r="L83" i="3"/>
  <c r="J91" i="3"/>
  <c r="N83" i="3"/>
  <c r="J86" i="3"/>
  <c r="L86" i="3"/>
  <c r="N82" i="3"/>
  <c r="N86" i="3"/>
  <c r="J89" i="3"/>
  <c r="O86" i="3"/>
  <c r="L84" i="3"/>
  <c r="M88" i="3"/>
  <c r="M89" i="3"/>
  <c r="N89" i="3"/>
  <c r="K92" i="3" l="1"/>
  <c r="P92" i="3"/>
  <c r="K90" i="3"/>
  <c r="P83" i="3"/>
  <c r="P82" i="3"/>
  <c r="K84" i="3"/>
  <c r="P85" i="3"/>
  <c r="K87" i="3"/>
  <c r="P87" i="3"/>
  <c r="K82" i="3"/>
  <c r="K86" i="3"/>
  <c r="K91" i="3"/>
  <c r="K85" i="3"/>
  <c r="K81" i="3"/>
  <c r="K88" i="3"/>
  <c r="P81" i="3"/>
  <c r="J3" i="4"/>
  <c r="BL71" i="3" s="1"/>
  <c r="G3" i="4"/>
  <c r="BL11" i="3" s="1"/>
  <c r="K89" i="3"/>
  <c r="P89" i="3"/>
  <c r="P84" i="3"/>
  <c r="I3" i="4"/>
  <c r="BL15" i="3" s="1"/>
  <c r="H3" i="4"/>
  <c r="BL39" i="3" s="1"/>
  <c r="P86" i="3"/>
  <c r="P88" i="3"/>
  <c r="P91" i="3"/>
  <c r="K3" i="4"/>
  <c r="BL55" i="3" s="1"/>
  <c r="K83" i="3"/>
  <c r="E3" i="4"/>
  <c r="BL67" i="3" s="1"/>
  <c r="D3" i="4"/>
  <c r="BL51" i="3" s="1"/>
  <c r="P90" i="3"/>
  <c r="B3" i="4"/>
  <c r="BS53" i="3"/>
  <c r="BS52" i="3"/>
  <c r="BZ49" i="3" s="1"/>
  <c r="CG55" i="3" s="1"/>
  <c r="BS69" i="3"/>
  <c r="BZ65" i="3" s="1"/>
  <c r="CG56" i="3" s="1"/>
  <c r="CN38" i="3" s="1"/>
  <c r="BS68" i="3"/>
  <c r="CN49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<sst xmlns="http://schemas.openxmlformats.org/spreadsheetml/2006/main" count="9785" uniqueCount="3699">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</sst>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5" x14ac:dyDescent="0.35"/>
  <cols>
    <col min="1" max="1" width="24.089843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53" workbookViewId="0">
      <selection activeCell="B2" sqref="B2"/>
    </sheetView>
  </sheetViews>
  <sheetFormatPr baseColWidth="10" defaultColWidth="9.08984375" defaultRowHeight="14.5" x14ac:dyDescent="0.35"/>
  <cols>
    <col min="1" max="1" width="1.08984375" style="10" customWidth="1"/>
    <col min="2" max="2" width="18.90625" style="10" bestFit="1" customWidth="1"/>
    <col min="3" max="3" width="20.36328125" style="10" customWidth="1"/>
    <col min="4" max="4" width="9.08984375" style="10"/>
    <col min="5" max="5" width="1.08984375" style="10" customWidth="1"/>
    <col min="6" max="6" width="9.08984375" style="10"/>
    <col min="7" max="7" width="27.54296875" style="10" bestFit="1" customWidth="1"/>
    <col min="8" max="8" width="2.6328125" style="10" customWidth="1"/>
    <col min="9" max="9" width="1.08984375" style="10" customWidth="1"/>
    <col min="10" max="16384" width="9.089843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="115" zoomScaleNormal="115" workbookViewId="0">
      <selection activeCell="CO50" sqref="CO50"/>
    </sheetView>
  </sheetViews>
  <sheetFormatPr baseColWidth="10" defaultColWidth="9.08984375" defaultRowHeight="14.5" x14ac:dyDescent="0.35"/>
  <cols>
    <col min="1" max="1" width="4.90625" style="3" customWidth="1"/>
    <col min="2" max="2" width="6.08984375" style="3" customWidth="1"/>
    <col min="3" max="3" width="11.6328125" style="3" bestFit="1" customWidth="1"/>
    <col min="4" max="4" width="9" style="4" customWidth="1"/>
    <col min="5" max="5" width="22.54296875" style="5" customWidth="1"/>
    <col min="6" max="7" width="4.36328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6328125" style="9" customWidth="1"/>
    <col min="16" max="16" width="6.63281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36328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08984375" style="125" hidden="1" customWidth="1"/>
    <col min="44" max="44" width="10" style="125" hidden="1" customWidth="1"/>
    <col min="45" max="45" width="15.36328125" style="125" hidden="1" customWidth="1"/>
    <col min="46" max="50" width="4.6328125" style="126" hidden="1" customWidth="1"/>
    <col min="51" max="51" width="9.08984375" style="125" hidden="1" customWidth="1"/>
    <col min="52" max="61" width="9.08984375" style="126" hidden="1" customWidth="1"/>
    <col min="62" max="62" width="9.08984375" style="112" hidden="1" customWidth="1"/>
    <col min="63" max="63" width="3.36328125" style="2" customWidth="1"/>
    <col min="64" max="64" width="19.6328125" style="2" customWidth="1"/>
    <col min="65" max="67" width="3" style="2" customWidth="1"/>
    <col min="68" max="69" width="2" style="111" customWidth="1"/>
    <col min="70" max="70" width="3.36328125" style="2" customWidth="1"/>
    <col min="71" max="71" width="19.6328125" style="2" customWidth="1"/>
    <col min="72" max="74" width="3" style="2" customWidth="1"/>
    <col min="75" max="76" width="2" style="111" customWidth="1"/>
    <col min="77" max="77" width="4" style="2" customWidth="1"/>
    <col min="78" max="78" width="19.6328125" style="2" customWidth="1"/>
    <col min="79" max="81" width="3" style="2" customWidth="1"/>
    <col min="82" max="83" width="2" style="111" customWidth="1"/>
    <col min="84" max="84" width="3.90625" style="2" customWidth="1"/>
    <col min="85" max="85" width="19.6328125" style="2" customWidth="1"/>
    <col min="86" max="88" width="3" style="2" customWidth="1"/>
    <col min="89" max="90" width="2" style="111" customWidth="1"/>
    <col min="91" max="91" width="3.6328125" style="2" customWidth="1"/>
    <col min="92" max="92" width="19.6328125" style="2" customWidth="1"/>
    <col min="93" max="95" width="3" style="2" customWidth="1"/>
    <col min="96" max="96" width="2" style="111" customWidth="1"/>
    <col min="97" max="16384" width="9.089843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2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7</v>
      </c>
      <c r="AJ8" s="123">
        <f>SUMIF($E$7:$E$78,$AE8,$G$7:$G$78) + SUMIF($H$7:$H$78,$AE8,$F$7:$F$78)</f>
        <v>2</v>
      </c>
      <c r="AL8" s="123">
        <f>AI8-AJ8</f>
        <v>5</v>
      </c>
      <c r="AM8" s="123">
        <f>AL8-AL12</f>
        <v>11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90000010.042507187</v>
      </c>
      <c r="AQ8" s="126">
        <f>VLOOKUP(AE8,db_fifarank,2,FALSE)</f>
        <v>1681.03</v>
      </c>
      <c r="AR8" s="125">
        <f>AP8/AP12</f>
        <v>0.9999999888888903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7 - 2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7</v>
      </c>
      <c r="AL9" s="123">
        <f>AI9-AJ9</f>
        <v>-6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0.12571486500000001</v>
      </c>
      <c r="AQ9" s="126">
        <f>VLOOKUP(AE9,db_fifarank,2,FALSE)</f>
        <v>1429.73</v>
      </c>
      <c r="AR9" s="125">
        <f>AP9/AP12</f>
        <v>1.3968316619497371E-9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2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7 - 5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4</v>
      </c>
      <c r="AL10" s="123">
        <f>AI10-AJ10</f>
        <v>-1</v>
      </c>
      <c r="AM10" s="123">
        <f>AL10-AL12</f>
        <v>5</v>
      </c>
      <c r="AN10" s="123">
        <f>AF10*3+AG10</f>
        <v>3</v>
      </c>
      <c r="AO10" s="123">
        <f>AN10/AN12*10+BA10</f>
        <v>3</v>
      </c>
      <c r="AP10" s="123">
        <f>AO10*10000000+BI10*100+AM10/AM12*10+AI10/AI12*1++IF(AQ10=0,ROW(),AQ10)/2000000</f>
        <v>30000004.542460997</v>
      </c>
      <c r="AQ10" s="126">
        <f>VLOOKUP(AE10,db_fifarank,2,FALSE)</f>
        <v>1588.66</v>
      </c>
      <c r="AR10" s="125">
        <f>AP10/AP12</f>
        <v>0.33333334290694627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3 - 4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7</v>
      </c>
      <c r="AJ11" s="123">
        <f>SUMIF($E$7:$E$78,$AE11,$G$7:$G$78) + SUMIF($H$7:$H$78,$AE11,$F$7:$F$78)</f>
        <v>5</v>
      </c>
      <c r="AL11" s="123">
        <f>AI11-AJ11</f>
        <v>2</v>
      </c>
      <c r="AM11" s="123">
        <f>AL11-AL12</f>
        <v>8</v>
      </c>
      <c r="AN11" s="123">
        <f>AF11*3+AG11</f>
        <v>6</v>
      </c>
      <c r="AO11" s="123">
        <f>AN11/AN12*10+BA11</f>
        <v>6</v>
      </c>
      <c r="AP11" s="123">
        <f>AO11*10000000+BI11*100+AM11/AM12*10+AI11/AI12*1++IF(AQ11=0,ROW(),AQ11)/2000000</f>
        <v>60000007.542417355</v>
      </c>
      <c r="AQ11" s="126">
        <f>VLOOKUP(AE11,db_fifarank,2,FALSE)</f>
        <v>1501.38</v>
      </c>
      <c r="AR11" s="125">
        <f>AP11/AP12</f>
        <v>0.66666666867495417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1 - 7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8</v>
      </c>
      <c r="AL12" s="123">
        <f>MIN(AL8:AL11)</f>
        <v>-6</v>
      </c>
      <c r="AM12" s="123">
        <f>MAX(AM8:AM11)+1</f>
        <v>12</v>
      </c>
      <c r="AN12" s="123">
        <f>MAX(AN8:AN11)+1</f>
        <v>10</v>
      </c>
      <c r="AO12" s="123">
        <f>MAX(AO8:AO11)+1</f>
        <v>10</v>
      </c>
      <c r="AP12" s="123">
        <f>MAX(AP8:AP11)+1</f>
        <v>90000011.042507187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4</v>
      </c>
      <c r="AL14" s="123">
        <f>AI14-AJ14</f>
        <v>0</v>
      </c>
      <c r="AM14" s="123">
        <f>AL14-AL18</f>
        <v>8</v>
      </c>
      <c r="AN14" s="123">
        <f>AF14*3+AG14</f>
        <v>4</v>
      </c>
      <c r="AO14" s="123">
        <f>AN14/AN18*10+BA14</f>
        <v>4.9805825242718447</v>
      </c>
      <c r="AP14" s="123">
        <f>AO14*10000000+BI14*100+AM14/AM18*10+AI14/AI18*1++IF(AQ14=0,ROW(),AQ14)/2000000</f>
        <v>49805929.079526894</v>
      </c>
      <c r="AQ14" s="126">
        <f>VLOOKUP(AE14,db_fifarank,2,FALSE)</f>
        <v>1556.48</v>
      </c>
      <c r="AR14" s="125">
        <f>AP14/AP18</f>
        <v>0.55339914298558157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8 - 2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3</v>
      </c>
      <c r="AL15" s="123">
        <f>AI15-AJ15</f>
        <v>2</v>
      </c>
      <c r="AM15" s="123">
        <f>AL15-AL18</f>
        <v>10</v>
      </c>
      <c r="AN15" s="123">
        <f>AF15*3+AG15</f>
        <v>4</v>
      </c>
      <c r="AO15" s="123">
        <f>AN15/AN18*10+BA15</f>
        <v>4.9805825242718447</v>
      </c>
      <c r="AP15" s="123">
        <f>AO15*10000000+BI15*100+AM15/AM18*10+AI15/AI18*1++IF(AQ15=0,ROW(),AQ15)/2000000</f>
        <v>49805930.523886003</v>
      </c>
      <c r="AQ15" s="126">
        <f>VLOOKUP(AE15,db_fifarank,2,FALSE)</f>
        <v>1385.84</v>
      </c>
      <c r="AR15" s="125">
        <f>AP15/AP18</f>
        <v>0.55339915903401415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8</v>
      </c>
      <c r="AL16" s="123">
        <f>AI16-AJ16</f>
        <v>-8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8.0831101031430665E-12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0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8</v>
      </c>
      <c r="AJ17" s="123">
        <f>SUMIF($E$7:$E$78,$AE17,$G$7:$G$78) + SUMIF($H$7:$H$78,$AE17,$F$7:$F$78)</f>
        <v>2</v>
      </c>
      <c r="AL17" s="123">
        <f>AI17-AJ17</f>
        <v>6</v>
      </c>
      <c r="AM17" s="123">
        <f>AL17-AL18</f>
        <v>14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90000010.223046929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0 - 8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9</v>
      </c>
      <c r="AL18" s="123">
        <f>MIN(AL14:AL17)</f>
        <v>-8</v>
      </c>
      <c r="AM18" s="123">
        <f>MAX(AM14:AM17)+1</f>
        <v>15</v>
      </c>
      <c r="AN18" s="123">
        <f>MAX(AN14:AN17)+1</f>
        <v>10</v>
      </c>
      <c r="AO18" s="123">
        <f>MAX(AO14:AO17)+1</f>
        <v>10</v>
      </c>
      <c r="AP18" s="123">
        <f>MAX(AP14:AP17)+1</f>
        <v>90000011.223046929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Czech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1</v>
      </c>
      <c r="AL20" s="123">
        <f>AI20-AJ20</f>
        <v>7</v>
      </c>
      <c r="AM20" s="123">
        <f>AL20-AL24</f>
        <v>17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90000010.334213927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2</v>
      </c>
      <c r="AL21" s="123">
        <f>AI21-AJ21</f>
        <v>4</v>
      </c>
      <c r="AM21" s="123">
        <f>AL21-AL24</f>
        <v>14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60000008.445322372</v>
      </c>
      <c r="AQ21" s="126">
        <f>VLOOKUP(AE21,db_fifarank,2,FALSE)</f>
        <v>1755.87</v>
      </c>
      <c r="AR21" s="125">
        <f>AP21/AP24</f>
        <v>0.66666667654644052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7.1761657629311341E-12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9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30000005.334082507</v>
      </c>
      <c r="AQ23" s="126">
        <f>VLOOKUP(AE23,db_fifarank,2,FALSE)</f>
        <v>1498.35</v>
      </c>
      <c r="AR23" s="125">
        <f>AP23/AP24</f>
        <v>0.33333335062234448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1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-10</v>
      </c>
      <c r="AM24" s="123">
        <f>MAX(AM20:AM23)+1</f>
        <v>18</v>
      </c>
      <c r="AN24" s="123">
        <f>MAX(AN20:AN23)+1</f>
        <v>10</v>
      </c>
      <c r="AO24" s="123">
        <f>MAX(AO20:AO23)+1</f>
        <v>10</v>
      </c>
      <c r="AP24" s="123">
        <f>MAX(AP20:AP23)+1</f>
        <v>90000011.334213927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0</v>
      </c>
      <c r="AH26" s="123">
        <f>COUNTIF($S$7:$T$78,"=" &amp; AE26 &amp; "_lose")</f>
        <v>2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4</v>
      </c>
      <c r="AL26" s="123">
        <f>AI26-AJ26</f>
        <v>-1</v>
      </c>
      <c r="AM26" s="123">
        <f>AL26-AL30</f>
        <v>4</v>
      </c>
      <c r="AN26" s="123">
        <f>AF26*3+AG26</f>
        <v>3</v>
      </c>
      <c r="AO26" s="123">
        <f>AN26/AN30*10+BA26</f>
        <v>3</v>
      </c>
      <c r="AP26" s="123">
        <f>AO26*10000000+BI26*100+AM26/AM30*10+AI26/AI30*1++IF(AQ26=0,ROW(),AQ26)/2000000</f>
        <v>30000004.429407995</v>
      </c>
      <c r="AQ26" s="126">
        <f>VLOOKUP(AE26,db_fifarank,2,FALSE)</f>
        <v>1673.13</v>
      </c>
      <c r="AR26" s="125">
        <f>AP26/AP30</f>
        <v>0.33333334233437528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0</v>
      </c>
      <c r="W27" s="123">
        <f t="shared" si="4"/>
        <v>0</v>
      </c>
      <c r="X27" s="123">
        <f t="shared" si="9"/>
        <v>1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3</v>
      </c>
      <c r="AL27" s="123">
        <f>AI27-AJ27</f>
        <v>2</v>
      </c>
      <c r="AM27" s="123">
        <f>AL27-AL30</f>
        <v>7</v>
      </c>
      <c r="AN27" s="123">
        <f>AF27*3+AG27</f>
        <v>6</v>
      </c>
      <c r="AO27" s="123">
        <f>AN27/AN30*10+BA27</f>
        <v>6</v>
      </c>
      <c r="AP27" s="123">
        <f>AO27*10000000+BI27*100+AM27/AM30*10+AI27/AI30*1++IF(AQ27=0,ROW(),AQ27)/2000000</f>
        <v>60000007.715037465</v>
      </c>
      <c r="AQ27" s="126">
        <f>VLOOKUP(AE27,db_fifarank,2,FALSE)</f>
        <v>1503.5</v>
      </c>
      <c r="AR27" s="125">
        <f>AP27/AP30</f>
        <v>0.66666667196010176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5 - 3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5</v>
      </c>
      <c r="AL28" s="123">
        <f>AI28-AJ28</f>
        <v>-5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8.7814989405665628E-12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1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3 - 4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3</v>
      </c>
      <c r="AG29" s="123">
        <f>COUNTIF($S$7:$T$78,"=" &amp; AE29 &amp; "_draw")</f>
        <v>0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9</v>
      </c>
      <c r="AN29" s="123">
        <f>AF29*3+AG29</f>
        <v>9</v>
      </c>
      <c r="AO29" s="123">
        <f>AN29/AN30*10+BA29</f>
        <v>9</v>
      </c>
      <c r="AP29" s="123">
        <f>AO29*10000000+BI29*100+AM29/AM30*10+AI29/AI30*1++IF(AQ29=0,ROW(),AQ29)/2000000</f>
        <v>90000009.857942373</v>
      </c>
      <c r="AQ29" s="126">
        <f>VLOOKUP(AE29,db_fifarank,2,FALSE)</f>
        <v>1599.04</v>
      </c>
      <c r="AR29" s="125">
        <f>AP29/AP30</f>
        <v>0.99999998888889019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0 - 5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7</v>
      </c>
      <c r="AL30" s="123">
        <f>MIN(AL26:AL29)</f>
        <v>-5</v>
      </c>
      <c r="AM30" s="123">
        <f>MAX(AM26:AM29)+1</f>
        <v>10</v>
      </c>
      <c r="AN30" s="123">
        <f>MAX(AN26:AN29)+1</f>
        <v>10</v>
      </c>
      <c r="AO30" s="123">
        <f>MAX(AO26:AO29)+1</f>
        <v>10</v>
      </c>
      <c r="AP30" s="123">
        <f>MAX(AP26:AP29)+1</f>
        <v>90000010.857942373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3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2</v>
      </c>
      <c r="AL32" s="123">
        <f>AI32-AJ32</f>
        <v>5</v>
      </c>
      <c r="AM32" s="123">
        <f>AL32-AL36</f>
        <v>11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90000010.042531863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7.1924991175177707E-12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6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49805928.676737361</v>
      </c>
      <c r="AQ34" s="126">
        <f>VLOOKUP(AE34,db_fifarank,2,FALSE)</f>
        <v>1532.98</v>
      </c>
      <c r="AR34" s="125">
        <f>AP34/AP36</f>
        <v>0.55339913962010812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7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49805929.635101594</v>
      </c>
      <c r="AQ35" s="126">
        <f>VLOOKUP(AE35,db_fifarank,2,FALSE)</f>
        <v>1594.78</v>
      </c>
      <c r="AR35" s="125">
        <f>AP35/AP36</f>
        <v>0.55339915026859832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8</v>
      </c>
      <c r="AL36" s="123">
        <f>MIN(AL32:AL35)</f>
        <v>-6</v>
      </c>
      <c r="AM36" s="123">
        <f>MAX(AM32:AM35)+1</f>
        <v>12</v>
      </c>
      <c r="AN36" s="123">
        <f>MAX(AN32:AN35)+1</f>
        <v>10</v>
      </c>
      <c r="AO36" s="123">
        <f>MAX(AO32:AO35)+1</f>
        <v>10</v>
      </c>
      <c r="AP36" s="123">
        <f>MAX(AP32:AP35)+1</f>
        <v>90000011.042531863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0</v>
      </c>
      <c r="AH38" s="123">
        <f>COUNTIF($S$7:$T$78,"=" &amp; AE38 &amp; "_lose")</f>
        <v>1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8</v>
      </c>
      <c r="AN38" s="123">
        <f>AF38*3+AG38</f>
        <v>6</v>
      </c>
      <c r="AO38" s="123">
        <f>AN38/AN42*10+BA38</f>
        <v>7.5</v>
      </c>
      <c r="AP38" s="123">
        <f>AO38*10000000+BI38*100+AM38/AM42*10+AI38/AI42*1++IF(AQ38=0,ROW(),AQ38)/2000000</f>
        <v>75000009.723101154</v>
      </c>
      <c r="AQ38" s="126">
        <f>VLOOKUP(AE38,db_fifarank,2,FALSE)</f>
        <v>1757.87</v>
      </c>
      <c r="AR38" s="125">
        <f>AP38/AP42</f>
        <v>0.85714287737152461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3 - 1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1</v>
      </c>
      <c r="AL39" s="123">
        <f>AI39-AJ39</f>
        <v>2</v>
      </c>
      <c r="AM39" s="123">
        <f>AL39-AL42</f>
        <v>7</v>
      </c>
      <c r="AN39" s="123">
        <f>AF39*3+AG39</f>
        <v>7</v>
      </c>
      <c r="AO39" s="123">
        <f>AN39/AN42*10+BA39</f>
        <v>8.75</v>
      </c>
      <c r="AP39" s="123">
        <f>AO39*10000000+BI39*100+AM39/AM42*10+AI39/AI42*1++IF(AQ39=0,ROW(),AQ39)/2000000</f>
        <v>87500008.278607994</v>
      </c>
      <c r="AQ39" s="126">
        <f>VLOOKUP(AE39,db_fifarank,2,FALSE)</f>
        <v>1660.43</v>
      </c>
      <c r="AR39" s="125">
        <f>AP39/AP42</f>
        <v>0.9999999885714298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5 - 2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5</v>
      </c>
      <c r="AN40" s="123">
        <f>AF40*3+AG40</f>
        <v>4</v>
      </c>
      <c r="AO40" s="123">
        <f>AN40/AN42*10+BA40</f>
        <v>5</v>
      </c>
      <c r="AP40" s="123">
        <f>AO40*10000000+BI40*100+AM40/AM42*10+AI40/AI42*1++IF(AQ40=0,ROW(),AQ40)/2000000</f>
        <v>50000006.222979598</v>
      </c>
      <c r="AQ40" s="126">
        <f>VLOOKUP(AE40,db_fifarank,2,FALSE)</f>
        <v>1514.77</v>
      </c>
      <c r="AR40" s="125">
        <f>AP40/AP42</f>
        <v>0.57142858195334612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4 - 4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6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0.16740819166666665</v>
      </c>
      <c r="AQ41" s="126">
        <f>VLOOKUP(AE41,db_fifarank,2,FALSE)</f>
        <v>1483.05</v>
      </c>
      <c r="AR41" s="125">
        <f>AP41/AP42</f>
        <v>1.9132362733085401E-9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-5</v>
      </c>
      <c r="AM42" s="123">
        <f>MAX(AM38:AM41)+1</f>
        <v>9</v>
      </c>
      <c r="AN42" s="123">
        <f>MAX(AN38:AN41)+1</f>
        <v>8</v>
      </c>
      <c r="AO42" s="123">
        <f>MAX(AO38:AO41)+1</f>
        <v>9.75</v>
      </c>
      <c r="AP42" s="123">
        <f>MAX(AP38:AP41)+1</f>
        <v>87500009.278607994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Netherlands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2</v>
      </c>
      <c r="AL44" s="123">
        <f>AI44-AJ44</f>
        <v>7</v>
      </c>
      <c r="AM44" s="123">
        <f>AL44-AL48</f>
        <v>12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90000010.13163659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5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60000004.246935464</v>
      </c>
      <c r="AQ45" s="126">
        <f>VLOOKUP(AE45,db_fifarank,2,FALSE)</f>
        <v>1563.24</v>
      </c>
      <c r="AR45" s="125">
        <f>AP45/AP48</f>
        <v>0.66666663139827553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4 - 4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5</v>
      </c>
      <c r="AL46" s="123">
        <f>AI46-AJ46</f>
        <v>-2</v>
      </c>
      <c r="AM46" s="123">
        <f>AL46-AL48</f>
        <v>3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19805925.909470834</v>
      </c>
      <c r="AQ46" s="126">
        <f>VLOOKUP(AE46,db_fifarank,2,FALSE)</f>
        <v>1615.3</v>
      </c>
      <c r="AR46" s="125">
        <f>AP46/AP48</f>
        <v>0.22006581621975713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3 - 5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19805923.40161166</v>
      </c>
      <c r="AQ47" s="126">
        <f>VLOOKUP(AE47,db_fifarank,2,FALSE)</f>
        <v>1281.57</v>
      </c>
      <c r="AR47" s="125">
        <f>AP47/AP48</f>
        <v>0.22006578835465865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1 - 6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10</v>
      </c>
      <c r="AL48" s="123">
        <f>MIN(AL44:AL47)</f>
        <v>-5</v>
      </c>
      <c r="AM48" s="123">
        <f>MAX(AM44:AM47)+1</f>
        <v>13</v>
      </c>
      <c r="AN48" s="123">
        <f>MAX(AN44:AN47)+1</f>
        <v>10</v>
      </c>
      <c r="AO48" s="123">
        <f>MAX(AO44:AO47)+1</f>
        <v>10</v>
      </c>
      <c r="AP48" s="123">
        <f>MAX(AP44:AP47)+1</f>
        <v>90000011.13163659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6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7.589610167751872E-12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5 - 3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4</v>
      </c>
      <c r="AL52" s="123">
        <f>AI52-AJ52</f>
        <v>-3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30000002.243567858</v>
      </c>
      <c r="AQ52" s="126">
        <f>VLOOKUP(AE52,db_fifarank,2,FALSE)</f>
        <v>1421.43</v>
      </c>
      <c r="AR52" s="125">
        <f>AP52/AP54</f>
        <v>0.33333331682982087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1 - 4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60000006.215122253</v>
      </c>
      <c r="AQ53" s="126">
        <f>VLOOKUP(AE53,db_fifarank,2,FALSE)</f>
        <v>1673.07</v>
      </c>
      <c r="AR53" s="125">
        <f>AP53/AP54</f>
        <v>0.66666665285948978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2</v>
      </c>
      <c r="AL56" s="123">
        <f>AI56-AJ56</f>
        <v>4</v>
      </c>
      <c r="AM56" s="123">
        <f>AL56-AL60</f>
        <v>8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87500009.7469704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3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6 - 2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3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50000003.905606404</v>
      </c>
      <c r="AQ57" s="126">
        <f>VLOOKUP(AE57,db_fifarank,2,FALSE)</f>
        <v>1688.99</v>
      </c>
      <c r="AR57" s="125">
        <f>AP57/AP60</f>
        <v>0.57142854587977987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3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4 - 3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6</v>
      </c>
      <c r="AL58" s="123">
        <f>AI58-AJ58</f>
        <v>-4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0.28643785571428571</v>
      </c>
      <c r="AQ58" s="126">
        <f>VLOOKUP(AE58,db_fifarank,2,FALSE)</f>
        <v>1447.14</v>
      </c>
      <c r="AR58" s="125">
        <f>AP58/AP60</f>
        <v>3.2735750918088124E-9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3</v>
      </c>
      <c r="AL59" s="123">
        <f>AI59-AJ59</f>
        <v>1</v>
      </c>
      <c r="AM59" s="123">
        <f>AL59-AL60</f>
        <v>5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62500006.127759598</v>
      </c>
      <c r="AQ59" s="126">
        <f>VLOOKUP(AE59,db_fifarank,2,FALSE)</f>
        <v>1550.94</v>
      </c>
      <c r="AR59" s="125">
        <f>AP59/AP60</f>
        <v>0.71428569658688412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7</v>
      </c>
      <c r="AL60" s="123">
        <f>MIN(AL56:AL59)</f>
        <v>-4</v>
      </c>
      <c r="AM60" s="123">
        <f>MAX(AM56:AM59)+1</f>
        <v>9</v>
      </c>
      <c r="AN60" s="123">
        <f>MAX(AN56:AN59)+1</f>
        <v>8</v>
      </c>
      <c r="AO60" s="123">
        <f>MAX(AO56:AO59)+1</f>
        <v>9.75</v>
      </c>
      <c r="AP60" s="123">
        <f>MAX(AP56:AP59)+1</f>
        <v>87500010.7469704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2</v>
      </c>
      <c r="AL62" s="123">
        <f>AI62-AJ62</f>
        <v>5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90000009.966846511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2</v>
      </c>
      <c r="AL63" s="123">
        <f>AI63-AJ63</f>
        <v>0</v>
      </c>
      <c r="AM63" s="123">
        <f>AL63-AL66</f>
        <v>5</v>
      </c>
      <c r="AN63" s="123">
        <f>AF63*3+AG63</f>
        <v>4</v>
      </c>
      <c r="AO63" s="123">
        <f>AN63/AN66*10+BA63</f>
        <v>4.9803921568627452</v>
      </c>
      <c r="AP63" s="123">
        <f>AO63*10000000+BI63*100+AM63/AM66*10+AI63/AI66*1++IF(AQ63=0,ROW(),AQ63)/2000000</f>
        <v>49804024.404079817</v>
      </c>
      <c r="AQ63" s="126">
        <f>VLOOKUP(AE63,db_fifarank,2,FALSE)</f>
        <v>1564.26</v>
      </c>
      <c r="AR63" s="125">
        <f>AP63/AP66</f>
        <v>0.55337798150298256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</v>
      </c>
      <c r="BA63" s="126">
        <f>AZ63/AZ66</f>
        <v>0.98039215686274506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</v>
      </c>
      <c r="BI63" s="126">
        <f>BH63/BH66</f>
        <v>0.98039215686274506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2 - 2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2</v>
      </c>
      <c r="AL64" s="123">
        <f>AI64-AJ64</f>
        <v>0</v>
      </c>
      <c r="AM64" s="123">
        <f>AL64-AL66</f>
        <v>5</v>
      </c>
      <c r="AN64" s="123">
        <f>AF64*3+AG64</f>
        <v>4</v>
      </c>
      <c r="AO64" s="123">
        <f>AN64/AN66*10+BA64</f>
        <v>4.9803921568627452</v>
      </c>
      <c r="AP64" s="123">
        <f>AO64*10000000+BI64*100+AM64/AM66*10+AI64/AI66*1++IF(AQ64=0,ROW(),AQ64)/2000000</f>
        <v>49804024.404094413</v>
      </c>
      <c r="AQ64" s="126">
        <f>VLOOKUP(AE64,db_fifarank,2,FALSE)</f>
        <v>1593.45</v>
      </c>
      <c r="AR64" s="125">
        <f>AP64/AP66</f>
        <v>0.55337798150314477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</v>
      </c>
      <c r="BA64" s="126">
        <f>AZ64/AZ66</f>
        <v>0.98039215686274506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</v>
      </c>
      <c r="BI64" s="126">
        <f>BH64/BH66</f>
        <v>0.98039215686274506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2 - 2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7.7302768358137833E-12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-5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90000010.966846511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51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51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2</v>
      </c>
      <c r="AL68" s="123">
        <f>AI68-AJ68</f>
        <v>4</v>
      </c>
      <c r="AM68" s="123">
        <f>AL68-AL72</f>
        <v>8</v>
      </c>
      <c r="AN68" s="123">
        <f>AF68*3+AG68</f>
        <v>7</v>
      </c>
      <c r="AO68" s="123">
        <f>AN68/AN72*10+BA68</f>
        <v>9.7305825242718456</v>
      </c>
      <c r="AP68" s="123">
        <f>AO68*10000000+BI68*100+AM68/AM72*10+AI68/AI72*1++IF(AQ68=0,ROW(),AQ68)/2000000</f>
        <v>97305933.047884539</v>
      </c>
      <c r="AQ68" s="126">
        <f>VLOOKUP(AE68,db_fifarank,2,FALSE)</f>
        <v>1763.83</v>
      </c>
      <c r="AR68" s="125">
        <f>AP68/AP72</f>
        <v>0.99999998972313442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50.5</v>
      </c>
      <c r="BA68" s="126">
        <f>AZ68/AZ72</f>
        <v>0.98058252427184467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50.5</v>
      </c>
      <c r="BI68" s="126">
        <f>BH68/BH72</f>
        <v>0.98058252427184467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0.14359631785714286</v>
      </c>
      <c r="AQ69" s="126">
        <f>VLOOKUP(AE69,db_fifarank,2,FALSE)</f>
        <v>1478.35</v>
      </c>
      <c r="AR69" s="125">
        <f>AP69/AP72</f>
        <v>1.4757200499866604E-9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4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37500000.14358981</v>
      </c>
      <c r="AQ70" s="126">
        <f>VLOOKUP(AE70,db_fifarank,2,FALSE)</f>
        <v>1465.34</v>
      </c>
      <c r="AR70" s="125">
        <f>AP70/AP72</f>
        <v>0.38538245905060575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8</v>
      </c>
      <c r="AN71" s="123">
        <f>AF71*3+AG71</f>
        <v>7</v>
      </c>
      <c r="AO71" s="123">
        <f>AN71/AN72*10+BA71</f>
        <v>9.7305825242718456</v>
      </c>
      <c r="AP71" s="123">
        <f>AO71*10000000+BI71*100+AM71/AM72*10+AI71/AI72*1++IF(AQ71=0,ROW(),AQ71)/2000000</f>
        <v>97305932.904992044</v>
      </c>
      <c r="AQ71" s="126">
        <f>VLOOKUP(AE71,db_fifarank,2,FALSE)</f>
        <v>1693.09</v>
      </c>
      <c r="AR71" s="125">
        <f>AP71/AP72</f>
        <v>0.99999998825464753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50.5</v>
      </c>
      <c r="BA71" s="126">
        <f>AZ71/AZ72</f>
        <v>0.98058252427184467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50.5</v>
      </c>
      <c r="BI71" s="126">
        <f>BH71/BH72</f>
        <v>0.98058252427184467</v>
      </c>
      <c r="BK71" s="132"/>
      <c r="BL71" s="26" t="str">
        <f>IF(group_round_completed,VLOOKUP('3rd places'!J3,AK80:AS91,9,FALSE),"3rd Group D/E/I/J/L")</f>
        <v>Ivory Coast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1 - 5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7</v>
      </c>
      <c r="AL72" s="123">
        <f>MIN(AL68:AL71)</f>
        <v>-4</v>
      </c>
      <c r="AM72" s="123">
        <f>MAX(AM68:AM71)+1</f>
        <v>9</v>
      </c>
      <c r="AN72" s="123">
        <f>MAX(AN68:AN71)+1</f>
        <v>8</v>
      </c>
      <c r="AO72" s="123">
        <f>MAX(AO68:AO71)+1</f>
        <v>10.730582524271846</v>
      </c>
      <c r="AP72" s="123">
        <f>MAX(AP68:AP71)+1</f>
        <v>97305934.047884539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3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6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90000009.405674875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0</v>
      </c>
      <c r="W75" s="123">
        <f t="shared" si="22"/>
        <v>0</v>
      </c>
      <c r="X75" s="123">
        <f t="shared" si="32"/>
        <v>1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4</v>
      </c>
      <c r="AL75" s="123">
        <f>AI75-AJ75</f>
        <v>0</v>
      </c>
      <c r="AM75" s="123">
        <f>AL75-AL78</f>
        <v>2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60000003.52466806</v>
      </c>
      <c r="AQ75" s="126">
        <f>VLOOKUP(AE75,db_fifarank,2,FALSE)</f>
        <v>1717.07</v>
      </c>
      <c r="AR75" s="125">
        <f>AP75/AP78</f>
        <v>0.66666662875057636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4 - 4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0</v>
      </c>
      <c r="AN76" s="123">
        <f>AF76*3+AG76</f>
        <v>1</v>
      </c>
      <c r="AO76" s="123">
        <f>AN76/AN78*10+BA76</f>
        <v>1.9803921568627452</v>
      </c>
      <c r="AP76" s="123">
        <f>AO76*10000000+BI76*100+AM76/AM78*10+AI76/AI78*1++IF(AQ76=0,ROW(),AQ76)/2000000</f>
        <v>19804019.941849627</v>
      </c>
      <c r="AQ76" s="126">
        <f>VLOOKUP(AE76,db_fifarank,2,FALSE)</f>
        <v>1346.31</v>
      </c>
      <c r="AR76" s="125">
        <f>AP76/AP78</f>
        <v>0.22004464057929599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</v>
      </c>
      <c r="BA76" s="126">
        <f>AZ76/AZ78</f>
        <v>0.98039215686274506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</v>
      </c>
      <c r="BI76" s="126">
        <f>BH76/BH78</f>
        <v>0.98039215686274506</v>
      </c>
    </row>
    <row r="77" spans="1:95" x14ac:dyDescent="0.3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3</v>
      </c>
      <c r="AL77" s="123">
        <f>AI77-AJ77</f>
        <v>-2</v>
      </c>
      <c r="AM77" s="123">
        <f>AL77-AL78</f>
        <v>0</v>
      </c>
      <c r="AN77" s="123">
        <f>AF77*3+AG77</f>
        <v>1</v>
      </c>
      <c r="AO77" s="123">
        <f>AN77/AN78*10+BA77</f>
        <v>1.9803921568627452</v>
      </c>
      <c r="AP77" s="123">
        <f>AO77*10000000+BI77*100+AM77/AM78*10+AI77/AI78*1++IF(AQ77=0,ROW(),AQ77)/2000000</f>
        <v>19804019.775280125</v>
      </c>
      <c r="AQ77" s="126">
        <f>VLOOKUP(AE77,db_fifarank,2,FALSE)</f>
        <v>1540.64</v>
      </c>
      <c r="AR77" s="125">
        <f>AP77/AP78</f>
        <v>0.22004463872852398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</v>
      </c>
      <c r="BA77" s="126">
        <f>AZ77/AZ78</f>
        <v>0.98039215686274506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</v>
      </c>
      <c r="BI77" s="126">
        <f>BH77/BH78</f>
        <v>0.98039215686274506</v>
      </c>
    </row>
    <row r="78" spans="1:95" x14ac:dyDescent="0.3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1 - 3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6</v>
      </c>
      <c r="AL78" s="123">
        <f>MIN(AL74:AL77)</f>
        <v>-2</v>
      </c>
      <c r="AM78" s="123">
        <f>MAX(AM74:AM77)+1</f>
        <v>7</v>
      </c>
      <c r="AN78" s="123">
        <f>MAX(AN74:AN77)+1</f>
        <v>10</v>
      </c>
      <c r="AO78" s="123">
        <f>MAX(AO74:AO77)+1</f>
        <v>10</v>
      </c>
      <c r="AP78" s="123">
        <f>MAX(AP74:AP77)+1</f>
        <v>90000010.405674875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51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51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4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6660.0007943299997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Canada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8880.0007782400007</v>
      </c>
      <c r="AQ81" s="126">
        <f t="shared" si="37"/>
        <v>1556.48</v>
      </c>
      <c r="AR81" s="125" t="str">
        <f>AR80&amp;IF(AD81&lt;=8,RIGHT(AK81,1),"")</f>
        <v>AB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6660.0007491750002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Ivory Coast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6</v>
      </c>
      <c r="AE83" s="124" t="str">
        <f>J29</f>
        <v>United States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6660.0008365650001</v>
      </c>
      <c r="AQ83" s="126">
        <f t="shared" si="37"/>
        <v>1673.13</v>
      </c>
      <c r="AR83" s="125" t="str">
        <f t="shared" si="50"/>
        <v>ABCD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8860.0007664900004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4 - 5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4</v>
      </c>
      <c r="AJ85" s="123">
        <f t="shared" si="42"/>
        <v>4</v>
      </c>
      <c r="AK85" s="123" t="s">
        <v>3186</v>
      </c>
      <c r="AL85" s="123">
        <f t="shared" si="43"/>
        <v>0</v>
      </c>
      <c r="AM85" s="123">
        <f t="shared" si="44"/>
        <v>4</v>
      </c>
      <c r="AN85" s="123">
        <f t="shared" si="45"/>
        <v>4</v>
      </c>
      <c r="AP85" s="123">
        <f>AN85/AN92*10000+AM85/AM92*1000+AI85/AI92*100+IF(AQ85=0,ROW(),AQ85)/2000000</f>
        <v>8880.0007573849998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Ⓓ United States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11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2460.0008076499998</v>
      </c>
      <c r="AQ86" s="126">
        <f t="shared" si="37"/>
        <v>1615.3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Ⓐ Korea Republic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4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6220.0007107150004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8680.0008444949999</v>
      </c>
      <c r="AQ88" s="126">
        <f t="shared" si="37"/>
        <v>1688.99</v>
      </c>
      <c r="AR88" s="125" t="str">
        <f t="shared" si="50"/>
        <v>ABCDEFI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1 - 4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2</v>
      </c>
      <c r="AK89" s="123" t="s">
        <v>3190</v>
      </c>
      <c r="AL89" s="123">
        <f t="shared" si="43"/>
        <v>0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8840.0007821300005</v>
      </c>
      <c r="AQ89" s="126">
        <f t="shared" si="37"/>
        <v>1564.26</v>
      </c>
      <c r="AR89" s="125" t="str">
        <f t="shared" si="50"/>
        <v>ABCDEFIJ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Uzbekistan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10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6020.0007326699997</v>
      </c>
      <c r="AQ90" s="126">
        <f t="shared" si="37"/>
        <v>1465.34</v>
      </c>
      <c r="AR90" s="125" t="str">
        <f t="shared" si="50"/>
        <v>ABCDEFIJ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3 - 5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12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2440.0006731550002</v>
      </c>
      <c r="AQ91" s="126">
        <f t="shared" si="37"/>
        <v>1346.31</v>
      </c>
      <c r="AR91" s="125" t="str">
        <f t="shared" si="50"/>
        <v>ABCDEFIJ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Ⓛ Ghana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2 - 4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08984375" defaultRowHeight="14.5" x14ac:dyDescent="0.35"/>
  <cols>
    <col min="1" max="1" width="2.453125" style="82" customWidth="1"/>
    <col min="2" max="2" width="9.08984375" style="81"/>
    <col min="3" max="3" width="13.6328125" style="81" customWidth="1"/>
    <col min="4" max="11" width="9.453125" style="81" customWidth="1"/>
    <col min="12" max="16384" width="9.089843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486</v>
      </c>
      <c r="C3" s="121" t="str">
        <f>'2026 World Cup'!AR91</f>
        <v>ABCDEFIJ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Luis Grado</cp:lastModifiedBy>
  <cp:revision/>
  <dcterms:created xsi:type="dcterms:W3CDTF">2017-12-27T19:32:51Z</dcterms:created>
  <dcterms:modified xsi:type="dcterms:W3CDTF">2026-06-09T19:36:02Z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