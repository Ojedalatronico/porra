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gu\Downloads\"/>
    </mc:Choice>
  </mc:AlternateContent>
  <xr:revisionPtr revIDLastSave="0" documentId="8_{39597518-A445-4F4F-A9B3-EB1A31FB6260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S54" i="3"/>
  <c r="S77" i="3"/>
  <c r="T78" i="3"/>
  <c r="S50" i="3"/>
  <c r="S76" i="3"/>
  <c r="S47" i="3"/>
  <c r="S67" i="3"/>
  <c r="S72" i="3"/>
  <c r="S70" i="3"/>
  <c r="T21" i="3"/>
  <c r="S42" i="3"/>
  <c r="S64" i="3"/>
  <c r="T41" i="3"/>
  <c r="S40" i="3"/>
  <c r="S62" i="3"/>
  <c r="S38" i="3"/>
  <c r="S65" i="3"/>
  <c r="T37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3" i="3" l="1"/>
  <c r="AR10" i="3"/>
  <c r="AR11" i="3"/>
  <c r="AR9" i="3"/>
  <c r="AR34" i="3"/>
  <c r="AR35" i="3"/>
  <c r="AR28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D62" i="3" s="1"/>
  <c r="AR39" i="3"/>
  <c r="AD56" i="3"/>
  <c r="AR16" i="3"/>
  <c r="AR17" i="3"/>
  <c r="AD59" i="3"/>
  <c r="M58" i="3" l="1"/>
  <c r="AD9" i="3"/>
  <c r="AD75" i="3"/>
  <c r="AD8" i="3"/>
  <c r="N9" i="3" s="1"/>
  <c r="AD68" i="3"/>
  <c r="M69" i="3" s="1"/>
  <c r="AD10" i="3"/>
  <c r="AD11" i="3"/>
  <c r="AD14" i="3"/>
  <c r="AD15" i="3"/>
  <c r="AD33" i="3"/>
  <c r="AD35" i="3"/>
  <c r="AD34" i="3"/>
  <c r="AD32" i="3"/>
  <c r="M33" i="3" s="1"/>
  <c r="AD70" i="3"/>
  <c r="AD28" i="3"/>
  <c r="AD22" i="3"/>
  <c r="AD44" i="3"/>
  <c r="AD76" i="3"/>
  <c r="AD41" i="3"/>
  <c r="M59" i="3"/>
  <c r="N58" i="3"/>
  <c r="O60" i="3"/>
  <c r="AD63" i="3"/>
  <c r="L59" i="3"/>
  <c r="L58" i="3"/>
  <c r="AD71" i="3"/>
  <c r="AD74" i="3"/>
  <c r="AD47" i="3"/>
  <c r="AD29" i="3"/>
  <c r="AD21" i="3"/>
  <c r="AD20" i="3"/>
  <c r="AD26" i="3"/>
  <c r="AD27" i="3"/>
  <c r="AD5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63" i="3"/>
  <c r="M63" i="3"/>
  <c r="N63" i="3"/>
  <c r="O63" i="3"/>
  <c r="J63" i="3"/>
  <c r="AS62" i="3" s="1"/>
  <c r="BL58" i="3" s="1"/>
  <c r="BS60" i="3" s="1"/>
  <c r="BZ64" i="3" s="1"/>
  <c r="P58" i="3" l="1"/>
  <c r="J69" i="3"/>
  <c r="AS68" i="3" s="1"/>
  <c r="BL70" i="3" s="1"/>
  <c r="O9" i="3"/>
  <c r="M75" i="3"/>
  <c r="M65" i="3"/>
  <c r="J12" i="3"/>
  <c r="N12" i="3"/>
  <c r="L69" i="3"/>
  <c r="P69" i="3" s="1"/>
  <c r="M9" i="3"/>
  <c r="L12" i="3"/>
  <c r="O51" i="3"/>
  <c r="O69" i="3"/>
  <c r="N69" i="3"/>
  <c r="O12" i="3"/>
  <c r="L9" i="3"/>
  <c r="M10" i="3"/>
  <c r="O39" i="3"/>
  <c r="J9" i="3"/>
  <c r="AS8" i="3" s="1"/>
  <c r="BL50" i="3" s="1"/>
  <c r="M12" i="3"/>
  <c r="N33" i="3"/>
  <c r="J33" i="3"/>
  <c r="AS32" i="3" s="1"/>
  <c r="BL10" i="3" s="1"/>
  <c r="O33" i="3"/>
  <c r="L33" i="3"/>
  <c r="P33" i="3" s="1"/>
  <c r="N75" i="3"/>
  <c r="J75" i="3"/>
  <c r="AS74" i="3" s="1"/>
  <c r="BL54" i="3" s="1"/>
  <c r="M35" i="3"/>
  <c r="M11" i="3"/>
  <c r="N11" i="3"/>
  <c r="J10" i="3"/>
  <c r="AS9" i="3" s="1"/>
  <c r="BL18" i="3" s="1"/>
  <c r="L10" i="3"/>
  <c r="J11" i="3"/>
  <c r="AE80" i="3" s="1"/>
  <c r="AQ80" i="3" s="1"/>
  <c r="O10" i="3"/>
  <c r="O11" i="3"/>
  <c r="N10" i="3"/>
  <c r="L11" i="3"/>
  <c r="L36" i="3"/>
  <c r="J36" i="3"/>
  <c r="N36" i="3"/>
  <c r="N35" i="3"/>
  <c r="M36" i="3"/>
  <c r="L35" i="3"/>
  <c r="J35" i="3"/>
  <c r="AE84" i="3" s="1"/>
  <c r="AQ84" i="3" s="1"/>
  <c r="O35" i="3"/>
  <c r="O36" i="3"/>
  <c r="N34" i="3"/>
  <c r="O34" i="3"/>
  <c r="M34" i="3"/>
  <c r="L18" i="3"/>
  <c r="L34" i="3"/>
  <c r="J18" i="3"/>
  <c r="N18" i="3"/>
  <c r="O18" i="3"/>
  <c r="M18" i="3"/>
  <c r="J21" i="3"/>
  <c r="AS20" i="3" s="1"/>
  <c r="BL42" i="3" s="1"/>
  <c r="BS44" i="3" s="1"/>
  <c r="BZ48" i="3" s="1"/>
  <c r="N17" i="3"/>
  <c r="J34" i="3"/>
  <c r="AS33" i="3" s="1"/>
  <c r="BL46" i="3" s="1"/>
  <c r="P59" i="3"/>
  <c r="J16" i="3"/>
  <c r="AS15" i="3" s="1"/>
  <c r="BL19" i="3" s="1"/>
  <c r="O40" i="3"/>
  <c r="L78" i="3"/>
  <c r="J65" i="3"/>
  <c r="AE89" i="3" s="1"/>
  <c r="AQ89" i="3" s="1"/>
  <c r="L65" i="3"/>
  <c r="L75" i="3"/>
  <c r="O75" i="3"/>
  <c r="N77" i="3"/>
  <c r="M77" i="3"/>
  <c r="J77" i="3"/>
  <c r="AE91" i="3" s="1"/>
  <c r="AQ91" i="3" s="1"/>
  <c r="O77" i="3"/>
  <c r="L77" i="3"/>
  <c r="N78" i="3"/>
  <c r="K58" i="3"/>
  <c r="N29" i="3"/>
  <c r="M78" i="3"/>
  <c r="L76" i="3"/>
  <c r="M76" i="3"/>
  <c r="M47" i="3"/>
  <c r="J78" i="3"/>
  <c r="N76" i="3"/>
  <c r="L16" i="3"/>
  <c r="O21" i="3"/>
  <c r="M39" i="3"/>
  <c r="M16" i="3"/>
  <c r="O16" i="3"/>
  <c r="N16" i="3"/>
  <c r="M40" i="3"/>
  <c r="O47" i="3"/>
  <c r="O45" i="3"/>
  <c r="M45" i="3"/>
  <c r="K59" i="3"/>
  <c r="N46" i="3"/>
  <c r="N40" i="3"/>
  <c r="M46" i="3"/>
  <c r="J45" i="3"/>
  <c r="AS44" i="3" s="1"/>
  <c r="BL38" i="3" s="1"/>
  <c r="L40" i="3"/>
  <c r="J47" i="3"/>
  <c r="AE86" i="3" s="1"/>
  <c r="AQ86" i="3" s="1"/>
  <c r="L45" i="3"/>
  <c r="L46" i="3"/>
  <c r="L39" i="3"/>
  <c r="N45" i="3"/>
  <c r="L48" i="3"/>
  <c r="J39" i="3"/>
  <c r="AS38" i="3" s="1"/>
  <c r="BL22" i="3" s="1"/>
  <c r="J22" i="3"/>
  <c r="AS21" i="3" s="1"/>
  <c r="BL23" i="3" s="1"/>
  <c r="N39" i="3"/>
  <c r="J40" i="3"/>
  <c r="AS39" i="3" s="1"/>
  <c r="BL43" i="3" s="1"/>
  <c r="J76" i="3"/>
  <c r="AS75" i="3" s="1"/>
  <c r="BL27" i="3" s="1"/>
  <c r="J24" i="3"/>
  <c r="O76" i="3"/>
  <c r="O78" i="3"/>
  <c r="O46" i="3"/>
  <c r="N54" i="3"/>
  <c r="J30" i="3"/>
  <c r="O48" i="3"/>
  <c r="AT88" i="3"/>
  <c r="N48" i="3"/>
  <c r="J48" i="3"/>
  <c r="M41" i="3"/>
  <c r="J27" i="3"/>
  <c r="AS26" i="3" s="1"/>
  <c r="BL34" i="3" s="1"/>
  <c r="N22" i="3"/>
  <c r="O23" i="3"/>
  <c r="L23" i="3"/>
  <c r="N30" i="3"/>
  <c r="M21" i="3"/>
  <c r="O22" i="3"/>
  <c r="O65" i="3"/>
  <c r="N65" i="3"/>
  <c r="N21" i="3"/>
  <c r="O24" i="3"/>
  <c r="L22" i="3"/>
  <c r="N24" i="3"/>
  <c r="M24" i="3"/>
  <c r="L30" i="3"/>
  <c r="L24" i="3"/>
  <c r="O27" i="3"/>
  <c r="M22" i="3"/>
  <c r="O30" i="3"/>
  <c r="L21" i="3"/>
  <c r="N27" i="3"/>
  <c r="N70" i="3"/>
  <c r="M70" i="3"/>
  <c r="J28" i="3"/>
  <c r="AS27" i="3" s="1"/>
  <c r="BL62" i="3" s="1"/>
  <c r="L70" i="3"/>
  <c r="N28" i="3"/>
  <c r="J29" i="3"/>
  <c r="AE83" i="3" s="1"/>
  <c r="AQ83" i="3" s="1"/>
  <c r="K57" i="3"/>
  <c r="J70" i="3"/>
  <c r="AS69" i="3" s="1"/>
  <c r="BL26" i="3" s="1"/>
  <c r="O72" i="3"/>
  <c r="O28" i="3"/>
  <c r="AJ88" i="3"/>
  <c r="J71" i="3"/>
  <c r="AE90" i="3" s="1"/>
  <c r="AQ90" i="3" s="1"/>
  <c r="J72" i="3"/>
  <c r="L28" i="3"/>
  <c r="M72" i="3"/>
  <c r="L27" i="3"/>
  <c r="M28" i="3"/>
  <c r="L72" i="3"/>
  <c r="O29" i="3"/>
  <c r="M30" i="3"/>
  <c r="N72" i="3"/>
  <c r="O71" i="3"/>
  <c r="L29" i="3"/>
  <c r="M27" i="3"/>
  <c r="N71" i="3"/>
  <c r="M71" i="3"/>
  <c r="L71" i="3"/>
  <c r="M29" i="3"/>
  <c r="L15" i="3"/>
  <c r="J46" i="3"/>
  <c r="AS45" i="3" s="1"/>
  <c r="BL63" i="3" s="1"/>
  <c r="O70" i="3"/>
  <c r="L66" i="3"/>
  <c r="N64" i="3"/>
  <c r="O42" i="3"/>
  <c r="M64" i="3"/>
  <c r="L42" i="3"/>
  <c r="J64" i="3"/>
  <c r="AS63" i="3" s="1"/>
  <c r="BL31" i="3" s="1"/>
  <c r="M17" i="3"/>
  <c r="O66" i="3"/>
  <c r="L47" i="3"/>
  <c r="N66" i="3"/>
  <c r="N47" i="3"/>
  <c r="J42" i="3"/>
  <c r="O54" i="3"/>
  <c r="O64" i="3"/>
  <c r="L64" i="3"/>
  <c r="J66" i="3"/>
  <c r="M66" i="3"/>
  <c r="M48" i="3"/>
  <c r="N51" i="3"/>
  <c r="J52" i="3"/>
  <c r="AS51" i="3" s="1"/>
  <c r="BL59" i="3" s="1"/>
  <c r="N53" i="3"/>
  <c r="J51" i="3"/>
  <c r="AS50" i="3" s="1"/>
  <c r="BL30" i="3" s="1"/>
  <c r="L51" i="3"/>
  <c r="M51" i="3"/>
  <c r="M54" i="3"/>
  <c r="J41" i="3"/>
  <c r="AE85" i="3" s="1"/>
  <c r="AQ85" i="3" s="1"/>
  <c r="AN88" i="3"/>
  <c r="AI88" i="3"/>
  <c r="M42" i="3"/>
  <c r="AG88" i="3"/>
  <c r="L17" i="3"/>
  <c r="AF88" i="3"/>
  <c r="P57" i="3"/>
  <c r="L54" i="3"/>
  <c r="O17" i="3"/>
  <c r="N52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3" i="3"/>
  <c r="K63" i="3"/>
  <c r="BS61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6" i="3"/>
  <c r="T86" i="3" s="1" a="1"/>
  <c r="T86" i="3" s="1"/>
  <c r="BS28" i="3"/>
  <c r="S89" i="3"/>
  <c r="T89" i="3" s="1" a="1"/>
  <c r="T89" i="3" s="1"/>
  <c r="BS21" i="3"/>
  <c r="S88" i="3"/>
  <c r="T88" i="3" s="1" a="1"/>
  <c r="T88" i="3" s="1"/>
  <c r="BS20" i="3"/>
  <c r="P65" i="3"/>
  <c r="AL80" i="3"/>
  <c r="K69" i="3"/>
  <c r="AI80" i="3"/>
  <c r="P10" i="3"/>
  <c r="P9" i="3"/>
  <c r="P12" i="3"/>
  <c r="AL84" i="3"/>
  <c r="K9" i="3"/>
  <c r="AT84" i="3"/>
  <c r="AH84" i="3"/>
  <c r="K12" i="3"/>
  <c r="AN84" i="3"/>
  <c r="AG84" i="3"/>
  <c r="AF84" i="3"/>
  <c r="K10" i="3"/>
  <c r="AH80" i="3"/>
  <c r="AF80" i="3"/>
  <c r="AG80" i="3"/>
  <c r="AT80" i="3"/>
  <c r="K75" i="3"/>
  <c r="P11" i="3"/>
  <c r="K33" i="3"/>
  <c r="AI89" i="3"/>
  <c r="K11" i="3"/>
  <c r="AN80" i="3"/>
  <c r="AJ80" i="3"/>
  <c r="AJ89" i="3"/>
  <c r="P35" i="3"/>
  <c r="AJ84" i="3"/>
  <c r="AI84" i="3"/>
  <c r="P36" i="3"/>
  <c r="K35" i="3"/>
  <c r="P18" i="3"/>
  <c r="K36" i="3"/>
  <c r="K18" i="3"/>
  <c r="P34" i="3"/>
  <c r="K34" i="3"/>
  <c r="AT89" i="3"/>
  <c r="AN89" i="3"/>
  <c r="AH89" i="3"/>
  <c r="AL85" i="3"/>
  <c r="P46" i="3"/>
  <c r="P76" i="3"/>
  <c r="AG89" i="3"/>
  <c r="K39" i="3"/>
  <c r="AI91" i="3"/>
  <c r="AG91" i="3"/>
  <c r="P77" i="3"/>
  <c r="AT91" i="3"/>
  <c r="AL91" i="3"/>
  <c r="AH91" i="3"/>
  <c r="AF91" i="3"/>
  <c r="K65" i="3"/>
  <c r="P40" i="3"/>
  <c r="AL89" i="3"/>
  <c r="AF89" i="3"/>
  <c r="K77" i="3"/>
  <c r="AN91" i="3"/>
  <c r="AJ91" i="3"/>
  <c r="K78" i="3"/>
  <c r="P70" i="3"/>
  <c r="P75" i="3"/>
  <c r="K40" i="3"/>
  <c r="K76" i="3"/>
  <c r="AT86" i="3"/>
  <c r="P39" i="3"/>
  <c r="P66" i="3"/>
  <c r="P78" i="3"/>
  <c r="P47" i="3"/>
  <c r="P24" i="3"/>
  <c r="P16" i="3"/>
  <c r="P22" i="3"/>
  <c r="P45" i="3"/>
  <c r="P23" i="3"/>
  <c r="K46" i="3"/>
  <c r="AJ86" i="3"/>
  <c r="K16" i="3"/>
  <c r="AH86" i="3"/>
  <c r="P41" i="3"/>
  <c r="AF86" i="3"/>
  <c r="K45" i="3"/>
  <c r="AL86" i="3"/>
  <c r="AI86" i="3"/>
  <c r="AG86" i="3"/>
  <c r="K22" i="3"/>
  <c r="AN86" i="3"/>
  <c r="AI83" i="3"/>
  <c r="K24" i="3"/>
  <c r="P30" i="3"/>
  <c r="K41" i="3"/>
  <c r="K48" i="3"/>
  <c r="P21" i="3"/>
  <c r="K47" i="3"/>
  <c r="AN82" i="3"/>
  <c r="AJ82" i="3"/>
  <c r="K71" i="3"/>
  <c r="K51" i="3"/>
  <c r="AT82" i="3"/>
  <c r="AJ83" i="3"/>
  <c r="AF82" i="3"/>
  <c r="K53" i="3"/>
  <c r="K30" i="3"/>
  <c r="AG83" i="3"/>
  <c r="AH82" i="3"/>
  <c r="AI82" i="3"/>
  <c r="P51" i="3"/>
  <c r="P42" i="3"/>
  <c r="K29" i="3"/>
  <c r="AH83" i="3"/>
  <c r="AF83" i="3"/>
  <c r="K70" i="3"/>
  <c r="K21" i="3"/>
  <c r="AT83" i="3"/>
  <c r="P48" i="3"/>
  <c r="AN83" i="3"/>
  <c r="AG82" i="3"/>
  <c r="AL83" i="3"/>
  <c r="AG90" i="3"/>
  <c r="P71" i="3"/>
  <c r="AT90" i="3"/>
  <c r="AN90" i="3"/>
  <c r="K27" i="3"/>
  <c r="AF90" i="3"/>
  <c r="AL90" i="3"/>
  <c r="P29" i="3"/>
  <c r="AJ90" i="3"/>
  <c r="AI90" i="3"/>
  <c r="P72" i="3"/>
  <c r="AH90" i="3"/>
  <c r="P17" i="3"/>
  <c r="P64" i="3"/>
  <c r="P28" i="3"/>
  <c r="P15" i="3"/>
  <c r="AH81" i="3"/>
  <c r="K23" i="3"/>
  <c r="AG81" i="3"/>
  <c r="P27" i="3"/>
  <c r="K64" i="3"/>
  <c r="AF81" i="3"/>
  <c r="K17" i="3"/>
  <c r="K28" i="3"/>
  <c r="K72" i="3"/>
  <c r="AI85" i="3"/>
  <c r="AH85" i="3"/>
  <c r="K15" i="3"/>
  <c r="AG85" i="3"/>
  <c r="AT81" i="3"/>
  <c r="AF85" i="3"/>
  <c r="K66" i="3"/>
  <c r="AN81" i="3"/>
  <c r="AL81" i="3"/>
  <c r="AJ81" i="3"/>
  <c r="AI81" i="3"/>
  <c r="P54" i="3"/>
  <c r="AG87" i="3"/>
  <c r="P52" i="3"/>
  <c r="P53" i="3"/>
  <c r="AH87" i="3"/>
  <c r="K42" i="3"/>
  <c r="AT85" i="3"/>
  <c r="K54" i="3"/>
  <c r="AN85" i="3"/>
  <c r="AT87" i="3"/>
  <c r="AF87" i="3"/>
  <c r="AJ85" i="3"/>
  <c r="AN87" i="3"/>
  <c r="AL87" i="3"/>
  <c r="AJ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S92" i="3"/>
  <c r="AF92" i="3"/>
  <c r="AL92" i="3"/>
  <c r="AM88" i="3" s="1"/>
  <c r="AH92" i="3"/>
  <c r="AG92" i="3"/>
  <c r="AI92" i="3"/>
  <c r="AN92" i="3"/>
  <c r="AJ92" i="3"/>
  <c r="S103" i="3" l="1"/>
  <c r="T103" i="3" s="1" a="1"/>
  <c r="T103" i="3" s="1"/>
  <c r="CG24" i="3"/>
  <c r="S111" i="3" s="1"/>
  <c r="T111" i="3" s="1"/>
  <c r="AM81" i="3"/>
  <c r="AM80" i="3"/>
  <c r="AM87" i="3"/>
  <c r="AM89" i="3"/>
  <c r="AM91" i="3"/>
  <c r="AM90" i="3"/>
  <c r="AM82" i="3"/>
  <c r="AM83" i="3"/>
  <c r="AM84" i="3"/>
  <c r="AM85" i="3"/>
  <c r="AM86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89" i="3"/>
  <c r="AP84" i="3"/>
  <c r="AP90" i="3"/>
  <c r="AP86" i="3"/>
  <c r="AP81" i="3"/>
  <c r="CN37" i="3" l="1"/>
  <c r="CK68" i="3" s="1"/>
  <c r="CN48" i="3"/>
  <c r="AD84" i="3"/>
  <c r="AS84" i="3" s="1"/>
  <c r="AD82" i="3"/>
  <c r="AS82" i="3" s="1"/>
  <c r="AD91" i="3"/>
  <c r="AS91" i="3" s="1"/>
  <c r="AD83" i="3"/>
  <c r="AS83" i="3" s="1"/>
  <c r="AD89" i="3"/>
  <c r="AS89" i="3" s="1"/>
  <c r="AD88" i="3"/>
  <c r="AS88" i="3" s="1"/>
  <c r="AD90" i="3"/>
  <c r="AS90" i="3" s="1"/>
  <c r="AD85" i="3"/>
  <c r="AS85" i="3" s="1"/>
  <c r="AD87" i="3"/>
  <c r="AS87" i="3" s="1"/>
  <c r="AD81" i="3"/>
  <c r="AS81" i="3" s="1"/>
  <c r="AD86" i="3"/>
  <c r="AS86" i="3" s="1"/>
  <c r="AD80" i="3"/>
  <c r="O87" i="3" l="1"/>
  <c r="J81" i="3"/>
  <c r="M81" i="3"/>
  <c r="L81" i="3"/>
  <c r="O8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AS80" i="3"/>
  <c r="J82" i="3"/>
  <c r="J85" i="3"/>
  <c r="L84" i="3"/>
  <c r="L82" i="3"/>
  <c r="J87" i="3"/>
  <c r="L89" i="3"/>
  <c r="N83" i="3"/>
  <c r="M91" i="3"/>
  <c r="L88" i="3"/>
  <c r="O84" i="3"/>
  <c r="L86" i="3"/>
  <c r="O86" i="3"/>
  <c r="M85" i="3"/>
  <c r="J90" i="3"/>
  <c r="J84" i="3"/>
  <c r="N88" i="3"/>
  <c r="N85" i="3"/>
  <c r="M89" i="3"/>
  <c r="O91" i="3"/>
  <c r="L83" i="3"/>
  <c r="J83" i="3"/>
  <c r="N90" i="3"/>
  <c r="O83" i="3"/>
  <c r="N87" i="3"/>
  <c r="N92" i="3"/>
  <c r="O85" i="3"/>
  <c r="L90" i="3"/>
  <c r="M90" i="3"/>
  <c r="M87" i="3"/>
  <c r="O90" i="3"/>
  <c r="J91" i="3"/>
  <c r="M92" i="3"/>
  <c r="L92" i="3"/>
  <c r="L87" i="3"/>
  <c r="N89" i="3"/>
  <c r="J88" i="3"/>
  <c r="L91" i="3"/>
  <c r="O92" i="3"/>
  <c r="M84" i="3"/>
  <c r="O82" i="3"/>
  <c r="L85" i="3"/>
  <c r="O88" i="3"/>
  <c r="N84" i="3"/>
  <c r="J89" i="3"/>
  <c r="N86" i="3"/>
  <c r="O89" i="3"/>
  <c r="M88" i="3"/>
  <c r="M86" i="3"/>
  <c r="N91" i="3"/>
  <c r="J86" i="3"/>
  <c r="J92" i="3"/>
  <c r="M82" i="3"/>
  <c r="M83" i="3"/>
  <c r="N82" i="3"/>
  <c r="K82" i="3" l="1"/>
  <c r="P81" i="3"/>
  <c r="K89" i="3"/>
  <c r="P83" i="3"/>
  <c r="P82" i="3"/>
  <c r="K81" i="3"/>
  <c r="P84" i="3"/>
  <c r="K85" i="3"/>
  <c r="K84" i="3"/>
  <c r="P86" i="3"/>
  <c r="K88" i="3"/>
  <c r="K91" i="3"/>
  <c r="P89" i="3"/>
  <c r="K86" i="3"/>
  <c r="P87" i="3"/>
  <c r="P85" i="3"/>
  <c r="P88" i="3"/>
  <c r="P90" i="3"/>
  <c r="K90" i="3"/>
  <c r="B3" i="4"/>
  <c r="K3" i="4"/>
  <c r="BL55" i="3" s="1"/>
  <c r="J3" i="4"/>
  <c r="BL71" i="3" s="1"/>
  <c r="D3" i="4"/>
  <c r="BL51" i="3" s="1"/>
  <c r="H3" i="4"/>
  <c r="BL39" i="3" s="1"/>
  <c r="K87" i="3"/>
  <c r="E3" i="4"/>
  <c r="BL67" i="3" s="1"/>
  <c r="K92" i="3"/>
  <c r="K83" i="3"/>
  <c r="P91" i="3"/>
  <c r="P92" i="3"/>
  <c r="G3" i="4"/>
  <c r="BL11" i="3" s="1"/>
  <c r="I3" i="4"/>
  <c r="BL15" i="3" s="1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<sst xmlns="http://schemas.openxmlformats.org/spreadsheetml/2006/main" count="9785" uniqueCount="3699">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</sst>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5" zoomScaleNormal="100" workbookViewId="0">
      <selection activeCell="CN52" sqref="CN52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5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90000009.191316694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5</v>
      </c>
      <c r="AJ9" s="123">
        <f>SUMIF($E$7:$E$78,$AE9,$G$7:$G$78) + SUMIF($H$7:$H$78,$AE9,$F$7:$F$78)</f>
        <v>5</v>
      </c>
      <c r="AL9" s="123">
        <f>AI9-AJ9</f>
        <v>0</v>
      </c>
      <c r="AM9" s="123">
        <f>AL9-AL12</f>
        <v>2</v>
      </c>
      <c r="AN9" s="123">
        <f>AF9*3+AG9</f>
        <v>4</v>
      </c>
      <c r="AO9" s="123">
        <f>AN9/AN12*10+BA9</f>
        <v>4</v>
      </c>
      <c r="AP9" s="123">
        <f>AO9*10000000+BI9*100+AM9/AM12*10+AI9/AI12*1++IF(AQ9=0,ROW(),AQ9)/2000000</f>
        <v>40000004.048333921</v>
      </c>
      <c r="AQ9" s="126">
        <f>VLOOKUP(AE9,db_fifarank,2,FALSE)</f>
        <v>1429.73</v>
      </c>
      <c r="AR9" s="125">
        <f>AP9/AP12</f>
        <v>0.44444443909844322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5 - 5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6</v>
      </c>
      <c r="AL10" s="123">
        <f>AI10-AJ10</f>
        <v>-1</v>
      </c>
      <c r="AM10" s="123">
        <f>AL10-AL12</f>
        <v>1</v>
      </c>
      <c r="AN10" s="123">
        <f>AF10*3+AG10</f>
        <v>2</v>
      </c>
      <c r="AO10" s="123">
        <f>AN10/AN12*10+BA10</f>
        <v>2</v>
      </c>
      <c r="AP10" s="123">
        <f>AO10*10000000+BI10*100+AM10/AM12*10+AI10/AI12*1++IF(AQ10=0,ROW(),AQ10)/2000000</f>
        <v>20000002.381746709</v>
      </c>
      <c r="AQ10" s="126">
        <f>VLOOKUP(AE10,db_fifarank,2,FALSE)</f>
        <v>1588.66</v>
      </c>
      <c r="AR10" s="125">
        <f>AP10/AP12</f>
        <v>0.22222222352232948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5 - 6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6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10000000.572179262</v>
      </c>
      <c r="AQ11" s="126">
        <f>VLOOKUP(AE11,db_fifarank,2,FALSE)</f>
        <v>1501.38</v>
      </c>
      <c r="AR11" s="125">
        <f>AP11/AP12</f>
        <v>0.1111111048867867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4 - 6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10</v>
      </c>
      <c r="AO12" s="123">
        <f>MAX(AO8:AO11)+1</f>
        <v>10</v>
      </c>
      <c r="AP12" s="123">
        <f>MAX(AP8:AP11)+1</f>
        <v>90000010.191316694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3</v>
      </c>
      <c r="AL14" s="123">
        <f>AI14-AJ14</f>
        <v>4</v>
      </c>
      <c r="AM14" s="123">
        <f>AL14-AL18</f>
        <v>9</v>
      </c>
      <c r="AN14" s="123">
        <f>AF14*3+AG14</f>
        <v>7</v>
      </c>
      <c r="AO14" s="123">
        <f>AN14/AN18*10+BA14</f>
        <v>9.7401960784313726</v>
      </c>
      <c r="AP14" s="123">
        <f>AO14*10000000+BI14*100+AM14/AM18*10+AI14/AI18*1++IF(AQ14=0,ROW(),AQ14)/2000000</f>
        <v>97402069.679699808</v>
      </c>
      <c r="AQ14" s="126">
        <f>VLOOKUP(AE14,db_fifarank,2,FALSE)</f>
        <v>1556.48</v>
      </c>
      <c r="AR14" s="125">
        <f>AP14/AP18</f>
        <v>0.99999998973327786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101</v>
      </c>
      <c r="BA14" s="126">
        <f>AZ14/AZ18</f>
        <v>0.99019607843137258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101</v>
      </c>
      <c r="BI14" s="126">
        <f>BH14/BH18</f>
        <v>0.99019607843137258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6</v>
      </c>
      <c r="AL15" s="123">
        <f>AI15-AJ15</f>
        <v>-5</v>
      </c>
      <c r="AM15" s="123">
        <f>AL15-AL18</f>
        <v>0</v>
      </c>
      <c r="AN15" s="123">
        <f>AF15*3+AG15</f>
        <v>1</v>
      </c>
      <c r="AO15" s="123">
        <f>AN15/AN18*10+BA15</f>
        <v>2.2352941176470589</v>
      </c>
      <c r="AP15" s="123">
        <f>AO15*10000000+BI15*100+AM15/AM18*10+AI15/AI18*1++IF(AQ15=0,ROW(),AQ15)/2000000</f>
        <v>22353039.831575271</v>
      </c>
      <c r="AQ15" s="126">
        <f>VLOOKUP(AE15,db_fifarank,2,FALSE)</f>
        <v>1385.84</v>
      </c>
      <c r="AR15" s="125">
        <f>AP15/AP18</f>
        <v>0.22949244996116916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100.5</v>
      </c>
      <c r="BA15" s="126">
        <f>AZ15/AZ18</f>
        <v>0.98529411764705888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100.5</v>
      </c>
      <c r="BI15" s="126">
        <f>BH15/BH18</f>
        <v>0.98529411764705888</v>
      </c>
      <c r="BK15" s="14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6 - 2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2</v>
      </c>
      <c r="AN16" s="123">
        <f>AF16*3+AG16</f>
        <v>1</v>
      </c>
      <c r="AO16" s="123">
        <f>AN16/AN18*10+BA16</f>
        <v>2.2352941176470589</v>
      </c>
      <c r="AP16" s="123">
        <f>AO16*10000000+BI16*100+AM16/AM18*10+AI16/AI18*1++IF(AQ16=0,ROW(),AQ16)/2000000</f>
        <v>22353041.95660983</v>
      </c>
      <c r="AQ16" s="126">
        <f>VLOOKUP(AE16,db_fifarank,2,FALSE)</f>
        <v>1454.96</v>
      </c>
      <c r="AR16" s="125">
        <f>AP16/AP18</f>
        <v>0.22949247177830862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100.5</v>
      </c>
      <c r="BA16" s="126">
        <f>AZ16/AZ18</f>
        <v>0.98529411764705888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100.5</v>
      </c>
      <c r="BI16" s="126">
        <f>BH16/BH18</f>
        <v>0.98529411764705888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9</v>
      </c>
      <c r="AN17" s="123">
        <f>AF17*3+AG17</f>
        <v>7</v>
      </c>
      <c r="AO17" s="123">
        <f>AN17/AN18*10+BA17</f>
        <v>9.7401960784313726</v>
      </c>
      <c r="AP17" s="123">
        <f>AO17*10000000+BI17*100+AM17/AM18*10+AI17/AI18*1++IF(AQ17=0,ROW(),AQ17)/2000000</f>
        <v>97402069.55474627</v>
      </c>
      <c r="AQ17" s="126">
        <f>VLOOKUP(AE17,db_fifarank,2,FALSE)</f>
        <v>1649.4</v>
      </c>
      <c r="AR17" s="125">
        <f>AP17/AP18</f>
        <v>0.9999999884504146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101</v>
      </c>
      <c r="BA17" s="126">
        <f>AZ17/AZ18</f>
        <v>0.99019607843137258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101</v>
      </c>
      <c r="BI17" s="126">
        <f>BH17/BH18</f>
        <v>0.99019607843137258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1 - 6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8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10.740196078431373</v>
      </c>
      <c r="AP18" s="123">
        <f>MAX(AP14:AP17)+1</f>
        <v>97402070.679699808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102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102</v>
      </c>
      <c r="BK18" s="141">
        <v>73</v>
      </c>
      <c r="BL18" s="24" t="str">
        <f>AS9</f>
        <v>South Africa</v>
      </c>
      <c r="BM18" s="61">
        <v>1</v>
      </c>
      <c r="BN18" s="63">
        <v>0</v>
      </c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3</v>
      </c>
      <c r="AL20" s="123">
        <f>AI20-AJ20</f>
        <v>8</v>
      </c>
      <c r="AM20" s="123">
        <f>AL20-AL24</f>
        <v>20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90000010.441356778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Switzerland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4</v>
      </c>
      <c r="AL21" s="123">
        <f>AI21-AJ21</f>
        <v>4</v>
      </c>
      <c r="AM21" s="123">
        <f>AL21-AL24</f>
        <v>16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60000008.286592215</v>
      </c>
      <c r="AQ21" s="126">
        <f>VLOOKUP(AE21,db_fifarank,2,FALSE)</f>
        <v>1755.87</v>
      </c>
      <c r="AR21" s="125">
        <f>AP21/AP24</f>
        <v>0.66666667398912161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8 - 4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12</v>
      </c>
      <c r="AL22" s="123">
        <f>AI22-AJ22</f>
        <v>-12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7.1761657543880805E-12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>
        <v>0</v>
      </c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12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30000006.131701555</v>
      </c>
      <c r="AQ23" s="126">
        <f>VLOOKUP(AE23,db_fifarank,2,FALSE)</f>
        <v>1498.35</v>
      </c>
      <c r="AR23" s="125">
        <f>AP23/AP24</f>
        <v>0.33333335908795186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>
        <v>1</v>
      </c>
      <c r="BO23" s="27"/>
      <c r="BP23" s="112">
        <f>IF(BP22="","",BM23*1000+BN23*10+BO23)</f>
        <v>2010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0 - 12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12</v>
      </c>
      <c r="AL24" s="123">
        <f>MIN(AL20:AL23)</f>
        <v>-12</v>
      </c>
      <c r="AM24" s="123">
        <f>MAX(AM20:AM23)+1</f>
        <v>21</v>
      </c>
      <c r="AN24" s="123">
        <f>MAX(AN20:AN23)+1</f>
        <v>10</v>
      </c>
      <c r="AO24" s="123">
        <f>MAX(AO20:AO23)+1</f>
        <v>10</v>
      </c>
      <c r="AP24" s="123">
        <f>MAX(AP20:AP23)+1</f>
        <v>90000011.441356778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7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90000009.584169894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4.9805825242718447</v>
      </c>
      <c r="AP27" s="123">
        <f>AO27*10000000+BI27*100+AM27/AM30*10+AI27/AI30*1++IF(AQ27=0,ROW(),AQ27)/2000000</f>
        <v>49805928.801722616</v>
      </c>
      <c r="AQ27" s="126">
        <f>VLOOKUP(AE27,db_fifarank,2,FALSE)</f>
        <v>1503.5</v>
      </c>
      <c r="AR27" s="125">
        <f>AP27/AP30</f>
        <v>0.55339914382724509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4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0.33412366833333329</v>
      </c>
      <c r="AQ28" s="126">
        <f>VLOOKUP(AE28,db_fifarank,2,FALSE)</f>
        <v>1580.67</v>
      </c>
      <c r="AR28" s="125">
        <f>AP28/AP30</f>
        <v>3.7124847671084863E-9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5</v>
      </c>
      <c r="AN29" s="123">
        <f>AF29*3+AG29</f>
        <v>4</v>
      </c>
      <c r="AO29" s="123">
        <f>AN29/AN30*10+BA29</f>
        <v>4.9805825242718447</v>
      </c>
      <c r="AP29" s="123">
        <f>AO29*10000000+BI29*100+AM29/AM30*10+AI29/AI30*1++IF(AQ29=0,ROW(),AQ29)/2000000</f>
        <v>49805930.218437053</v>
      </c>
      <c r="AQ29" s="126">
        <f>VLOOKUP(AE29,db_fifarank,2,FALSE)</f>
        <v>1599.04</v>
      </c>
      <c r="AR29" s="125">
        <f>AP29/AP30</f>
        <v>0.55339915956851482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-4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90000010.584169894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1</v>
      </c>
      <c r="AL32" s="123">
        <f>AI32-AJ32</f>
        <v>10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90000010.361976311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>
        <v>1</v>
      </c>
      <c r="CC32" s="25"/>
      <c r="CD32" s="116">
        <f>IF(OR(CA32="",CA33="",AND(CB32="",CB33&lt;&gt;""),AND(CB33="",CB32&lt;&gt;""),AND(CC32="",CC33&lt;&gt;""),AND(CC33="",CC32&lt;&gt;"")),"",CA32*1000+CB32*10+CC32)</f>
        <v>2010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1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30000000.639536213</v>
      </c>
      <c r="AQ33" s="126">
        <f>VLOOKUP(AE33,db_fifarank,2,FALSE)</f>
        <v>1294.6500000000001</v>
      </c>
      <c r="AR33" s="125">
        <f>AP33/AP36</f>
        <v>0.33333329835790193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2</v>
      </c>
      <c r="CB33" s="64">
        <v>0</v>
      </c>
      <c r="CC33" s="27"/>
      <c r="CD33" s="112">
        <f>IF(CD32="","",CA33*1000+CB33*10+CC33)</f>
        <v>2000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7</v>
      </c>
      <c r="AL34" s="123">
        <f>AI34-AJ34</f>
        <v>-7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7.6648999999999999E-4</v>
      </c>
      <c r="AQ34" s="126">
        <f>VLOOKUP(AE34,db_fifarank,2,FALSE)</f>
        <v>1532.98</v>
      </c>
      <c r="AR34" s="125">
        <f>AP34/AP36</f>
        <v>8.5165544803901082E-12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1 - 7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10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60000005.973019607</v>
      </c>
      <c r="AQ35" s="126">
        <f>VLOOKUP(AE35,db_fifarank,2,FALSE)</f>
        <v>1594.78</v>
      </c>
      <c r="AR35" s="125">
        <f>AP35/AP36</f>
        <v>0.66666664887076599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Norway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12</v>
      </c>
      <c r="AL36" s="123">
        <f>MIN(AL32:AL35)</f>
        <v>-7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90000011.361976311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4</v>
      </c>
      <c r="AL38" s="123">
        <f>AI38-AJ38</f>
        <v>3</v>
      </c>
      <c r="AM38" s="123">
        <f>AL38-AL42</f>
        <v>6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97306559.124726847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7 - 4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4</v>
      </c>
      <c r="AL39" s="123">
        <f>AI39-AJ39</f>
        <v>2</v>
      </c>
      <c r="AM39" s="123">
        <f>AL39-AL42</f>
        <v>5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97306557.571106717</v>
      </c>
      <c r="AQ39" s="126">
        <f>VLOOKUP(AE39,db_fifarank,2,FALSE)</f>
        <v>1660.43</v>
      </c>
      <c r="AR39" s="125">
        <f>AP39/AP42</f>
        <v>0.99999997375695815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4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6 - 4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1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37500001.804328807</v>
      </c>
      <c r="AQ40" s="126">
        <f>VLOOKUP(AE40,db_fifarank,2,FALSE)</f>
        <v>1514.77</v>
      </c>
      <c r="AR40" s="125">
        <f>AP40/AP42</f>
        <v>0.3853799965414621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0.25074152500000002</v>
      </c>
      <c r="AQ41" s="126">
        <f>VLOOKUP(AE41,db_fifarank,2,FALSE)</f>
        <v>1483.05</v>
      </c>
      <c r="AR41" s="125">
        <f>AP41/AP42</f>
        <v>2.5768203570098597E-9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-3</v>
      </c>
      <c r="AM42" s="123">
        <f>MAX(AM38:AM41)+1</f>
        <v>7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97306560.124726847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4</v>
      </c>
      <c r="AL45" s="123">
        <f>AI45-AJ45</f>
        <v>1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60000005.625781618</v>
      </c>
      <c r="AQ45" s="126">
        <f>VLOOKUP(AE45,db_fifarank,2,FALSE)</f>
        <v>1563.24</v>
      </c>
      <c r="AR45" s="125">
        <f>AP45/AP48</f>
        <v>0.66666664737880532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7</v>
      </c>
      <c r="AL46" s="123">
        <f>AI46-AJ46</f>
        <v>-5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0.25080764999999999</v>
      </c>
      <c r="AQ46" s="126">
        <f>VLOOKUP(AE46,db_fifarank,2,FALSE)</f>
        <v>1615.3</v>
      </c>
      <c r="AR46" s="125">
        <f>AP46/AP48</f>
        <v>2.7867513247467075E-9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5</v>
      </c>
      <c r="AL47" s="123">
        <f>AI47-AJ47</f>
        <v>-2</v>
      </c>
      <c r="AM47" s="123">
        <f>AL47-AL48</f>
        <v>3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30000002.875640783</v>
      </c>
      <c r="AQ47" s="126">
        <f>VLOOKUP(AE47,db_fifarank,2,FALSE)</f>
        <v>1281.57</v>
      </c>
      <c r="AR47" s="125">
        <f>AP47/AP48</f>
        <v>0.33333332438662455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>
        <v>0</v>
      </c>
      <c r="CC48" s="25">
        <v>4</v>
      </c>
      <c r="CD48" s="112">
        <f>IF(OR(CA48="",CA49="",AND(CB48="",CB49&lt;&gt;""),AND(CB49="",CB48&lt;&gt;""),AND(CC48="",CC49&lt;&gt;""),AND(CC49="",CC48&lt;&gt;"")),"",CA48*1000+CB48*10+CC48)</f>
        <v>2004</v>
      </c>
      <c r="CK48" s="114"/>
      <c r="CL48" s="112"/>
      <c r="CM48" s="141">
        <v>103</v>
      </c>
      <c r="CN48" s="24" t="str">
        <f>IF(CK23&gt;CK24,CG24,IF(CK23&lt;CK24,CG23,""))</f>
        <v>Germany</v>
      </c>
      <c r="CO48" s="61">
        <v>2</v>
      </c>
      <c r="CP48" s="63">
        <v>0</v>
      </c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2</v>
      </c>
      <c r="CB49" s="64">
        <v>0</v>
      </c>
      <c r="CC49" s="27">
        <v>3</v>
      </c>
      <c r="CD49" s="113">
        <f>IF(CD48="","",CA49*1000+CB49*10+CC49)</f>
        <v>2003</v>
      </c>
      <c r="CK49" s="114"/>
      <c r="CL49" s="115"/>
      <c r="CM49" s="142"/>
      <c r="CN49" s="26" t="str">
        <f>IF(CK55&gt;CK56,CG56,IF(CK55&lt;CK56,CG55,""))</f>
        <v>Brazil</v>
      </c>
      <c r="CO49" s="62">
        <v>2</v>
      </c>
      <c r="CP49" s="64">
        <v>1</v>
      </c>
      <c r="CQ49" s="27"/>
      <c r="CR49" s="111">
        <f>IF(CR48="","",CO49*1000+CP49*10+CQ49)</f>
        <v>2010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2</v>
      </c>
      <c r="AL50" s="123">
        <f>AI50-AJ50</f>
        <v>10</v>
      </c>
      <c r="AM50" s="123">
        <f>AL50-AL54</f>
        <v>19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90000010.424015135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12 - 2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10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7.7606141923076924E-2</v>
      </c>
      <c r="AQ51" s="126">
        <f>VLOOKUP(AE51,db_fifarank,2,FALSE)</f>
        <v>1366.13</v>
      </c>
      <c r="AR51" s="125">
        <f>AP51/AP54</f>
        <v>8.6229035635843163E-10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9 - 4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30000001.577633791</v>
      </c>
      <c r="AQ52" s="126">
        <f>VLOOKUP(AE52,db_fifarank,2,FALSE)</f>
        <v>1421.43</v>
      </c>
      <c r="AR52" s="125">
        <f>AP52/AP54</f>
        <v>0.33333330855143367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9</v>
      </c>
      <c r="AJ53" s="123">
        <f>SUMIF($E$7:$E$78,$AE53,$G$7:$G$78) + SUMIF($H$7:$H$78,$AE53,$F$7:$F$78)</f>
        <v>4</v>
      </c>
      <c r="AL53" s="123">
        <f>AI53-AJ53</f>
        <v>5</v>
      </c>
      <c r="AM53" s="123">
        <f>AL53-AL54</f>
        <v>14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60000007.693144232</v>
      </c>
      <c r="AQ53" s="126">
        <f>VLOOKUP(AE53,db_fifarank,2,FALSE)</f>
        <v>1673.07</v>
      </c>
      <c r="AR53" s="125">
        <f>AP53/AP54</f>
        <v>0.66666666752371262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1 - 10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13</v>
      </c>
      <c r="AL54" s="123">
        <f>MIN(AL50:AL53)</f>
        <v>-9</v>
      </c>
      <c r="AM54" s="123">
        <f>MAX(AM50:AM53)+1</f>
        <v>20</v>
      </c>
      <c r="AN54" s="123">
        <f>MAX(AN50:AN53)+1</f>
        <v>10</v>
      </c>
      <c r="AO54" s="123">
        <f>MAX(AO50:AO53)+1</f>
        <v>10</v>
      </c>
      <c r="AP54" s="123">
        <f>MAX(AP50:AP53)+1</f>
        <v>90000011.424015135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90000010.27593866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9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49805929.426815361</v>
      </c>
      <c r="AQ57" s="126">
        <f>VLOOKUP(AE57,db_fifarank,2,FALSE)</f>
        <v>1688.99</v>
      </c>
      <c r="AR57" s="125">
        <f>AP57/AP60</f>
        <v>0.55339914651911704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8.039665659391369E-12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4</v>
      </c>
      <c r="AL59" s="123">
        <f>AI59-AJ59</f>
        <v>0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49805928.701746337</v>
      </c>
      <c r="AQ59" s="126">
        <f>VLOOKUP(AE59,db_fifarank,2,FALSE)</f>
        <v>1550.94</v>
      </c>
      <c r="AR59" s="125">
        <f>AP59/AP60</f>
        <v>0.55339913846279554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90000011.27593866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1</v>
      </c>
      <c r="AL62" s="123">
        <f>AI62-AJ62</f>
        <v>10</v>
      </c>
      <c r="AM62" s="123">
        <f>AL62-AL66</f>
        <v>17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90000010.362048537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>
        <v>0</v>
      </c>
      <c r="BO62" s="25">
        <v>2</v>
      </c>
      <c r="BP62" s="116">
        <f>IF(OR(BM62="",BM63="",AND(BN62="",BN63&lt;&gt;""),AND(BN63="",BN62&lt;&gt;""),AND(BO62="",BO63&lt;&gt;""),AND(BO63="",BO62&lt;&gt;"")),"",BM62*1000+BN62*10+BO62)</f>
        <v>1002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7</v>
      </c>
      <c r="AL63" s="123">
        <f>AI63-AJ63</f>
        <v>-6</v>
      </c>
      <c r="AM63" s="123">
        <f>AL63-AL66</f>
        <v>1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19805923.940641891</v>
      </c>
      <c r="AQ63" s="126">
        <f>VLOOKUP(AE63,db_fifarank,2,FALSE)</f>
        <v>1564.26</v>
      </c>
      <c r="AR63" s="125">
        <f>AP63/AP66</f>
        <v>0.22006579378048513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1</v>
      </c>
      <c r="BN63" s="64">
        <v>0</v>
      </c>
      <c r="BO63" s="27">
        <v>4</v>
      </c>
      <c r="BP63" s="112">
        <f>IF(BP62="","",BM63*1000+BN63*10+BO63)</f>
        <v>1004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3</v>
      </c>
      <c r="AL64" s="123">
        <f>AI64-AJ64</f>
        <v>3</v>
      </c>
      <c r="AM64" s="123">
        <f>AL64-AL66</f>
        <v>10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60000006.05635228</v>
      </c>
      <c r="AQ64" s="126">
        <f>VLOOKUP(AE64,db_fifarank,2,FALSE)</f>
        <v>1593.45</v>
      </c>
      <c r="AR64" s="125">
        <f>AP64/AP66</f>
        <v>0.66666664979614942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1 - 7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8</v>
      </c>
      <c r="AL65" s="123">
        <f>AI65-AJ65</f>
        <v>-7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19805923.384999931</v>
      </c>
      <c r="AQ65" s="126">
        <f>VLOOKUP(AE65,db_fifarank,2,FALSE)</f>
        <v>1391.45</v>
      </c>
      <c r="AR65" s="125">
        <f>AP65/AP66</f>
        <v>0.22006578760668635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1 - 8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12</v>
      </c>
      <c r="AL66" s="123">
        <f>MIN(AL62:AL65)</f>
        <v>-7</v>
      </c>
      <c r="AM66" s="123">
        <f>MAX(AM62:AM65)+1</f>
        <v>18</v>
      </c>
      <c r="AN66" s="123">
        <f>MAX(AN62:AN65)+1</f>
        <v>10</v>
      </c>
      <c r="AO66" s="123">
        <f>MAX(AO62:AO65)+1</f>
        <v>10</v>
      </c>
      <c r="AP66" s="123">
        <f>MAX(AP62:AP65)+1</f>
        <v>90000011.362048537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Canada</v>
      </c>
      <c r="BM66" s="61">
        <v>1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1010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New Zealand</v>
      </c>
      <c r="BM67" s="62">
        <v>1</v>
      </c>
      <c r="BN67" s="64">
        <v>0</v>
      </c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90000010.234215245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30000000.767405845</v>
      </c>
      <c r="AQ69" s="126">
        <f>VLOOKUP(AE69,db_fifarank,2,FALSE)</f>
        <v>1478.35</v>
      </c>
      <c r="AR69" s="125">
        <f>AP69/AP72</f>
        <v>0.33333330025186447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8.1407767616084618E-12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>
        <v>1</v>
      </c>
      <c r="BO70" s="25"/>
      <c r="BP70" s="116">
        <f>IF(OR(BM70="",BM71="",AND(BN70="",BN71&lt;&gt;""),AND(BN71="",BN70&lt;&gt;""),AND(BO70="",BO71&lt;&gt;""),AND(BO71="",BO70&lt;&gt;"")),"",BM70*1000+BN70*10+BO70)</f>
        <v>2010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60000006.500846542</v>
      </c>
      <c r="AQ71" s="126">
        <f>VLOOKUP(AE71,db_fifarank,2,FALSE)</f>
        <v>1693.09</v>
      </c>
      <c r="AR71" s="125">
        <f>AP71/AP72</f>
        <v>0.6666666556818871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2</v>
      </c>
      <c r="BN71" s="64">
        <v>0</v>
      </c>
      <c r="BO71" s="27"/>
      <c r="BP71" s="112">
        <f>IF(BP70="","",BM71*1000+BN71*10+BO71)</f>
        <v>2000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10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90000011.234215245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4</v>
      </c>
      <c r="AL74" s="123">
        <f>AI74-AJ74</f>
        <v>2</v>
      </c>
      <c r="AM74" s="123">
        <f>AL74-AL78</f>
        <v>7</v>
      </c>
      <c r="AN74" s="123">
        <f>AF74*3+AG74</f>
        <v>7</v>
      </c>
      <c r="AO74" s="123">
        <f>AN74/AN78*10+BA74</f>
        <v>9.7306451612903224</v>
      </c>
      <c r="AP74" s="123">
        <f>AO74*10000000+BI74*100+AM74/AM78*10+AI74/AI78*1++IF(AQ74=0,ROW(),AQ74)/2000000</f>
        <v>97306557.53547518</v>
      </c>
      <c r="AQ74" s="126">
        <f>VLOOKUP(AE74,db_fifarank,2,FALSE)</f>
        <v>1825.97</v>
      </c>
      <c r="AR74" s="125">
        <f>AP74/AP78</f>
        <v>0.99999996917016143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50.666666666666664</v>
      </c>
      <c r="BA74" s="126">
        <f>AZ74/AZ78</f>
        <v>0.98064516129032253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50.666666666666664</v>
      </c>
      <c r="BI74" s="126">
        <f>BH74/BH78</f>
        <v>0.98064516129032253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2</v>
      </c>
      <c r="AL75" s="123">
        <f>AI75-AJ75</f>
        <v>4</v>
      </c>
      <c r="AM75" s="123">
        <f>AL75-AL78</f>
        <v>9</v>
      </c>
      <c r="AN75" s="123">
        <f>AF75*3+AG75</f>
        <v>7</v>
      </c>
      <c r="AO75" s="123">
        <f>AN75/AN78*10+BA75</f>
        <v>9.7306451612903224</v>
      </c>
      <c r="AP75" s="123">
        <f>AO75*10000000+BI75*100+AM75/AM78*10+AI75/AI78*1++IF(AQ75=0,ROW(),AQ75)/2000000</f>
        <v>97306559.535420731</v>
      </c>
      <c r="AQ75" s="126">
        <f>VLOOKUP(AE75,db_fifarank,2,FALSE)</f>
        <v>1717.07</v>
      </c>
      <c r="AR75" s="125">
        <f>AP75/AP78</f>
        <v>0.99999998972320059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6 - 4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4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37500004.429244578</v>
      </c>
      <c r="AQ76" s="126">
        <f>VLOOKUP(AE76,db_fifarank,2,FALSE)</f>
        <v>1346.31</v>
      </c>
      <c r="AR76" s="125">
        <f>AP76/AP78</f>
        <v>0.38538002189065285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1.4760306197942405E-9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-5</v>
      </c>
      <c r="AM78" s="123">
        <f>MAX(AM74:AM77)+1</f>
        <v>10</v>
      </c>
      <c r="AN78" s="123">
        <f>MAX(AN74:AN77)+1</f>
        <v>8</v>
      </c>
      <c r="AO78" s="123">
        <f>MAX(AO74:AO77)+1</f>
        <v>10.730645161290322</v>
      </c>
      <c r="AP78" s="123">
        <f>MAX(AP74:AP77)+1</f>
        <v>97306560.535420731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2</v>
      </c>
      <c r="AP80" s="123">
        <f>AN80/AN92*10000+AM80/AM92*1000+AI80/AI92*100+IF(AQ80=0,ROW(),AQ80)/2000000</f>
        <v>4797.6198419490474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2461.9054893847619</v>
      </c>
      <c r="AQ81" s="126">
        <f t="shared" si="37"/>
        <v>1454.96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6940.4769396511902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5 - 5</v>
      </c>
      <c r="P83" s="101">
        <f t="shared" si="48"/>
        <v>3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6</v>
      </c>
      <c r="AN83" s="123">
        <f t="shared" si="45"/>
        <v>4</v>
      </c>
      <c r="AP83" s="123">
        <f>AN83/AN92*10000+AM83/AM92*1000+AI83/AI92*100+IF(AQ83=0,ROW(),AQ83)/2000000</f>
        <v>8907.1436088928567</v>
      </c>
      <c r="AQ83" s="126">
        <f t="shared" si="37"/>
        <v>1503.5</v>
      </c>
      <c r="AR83" s="125" t="str">
        <f t="shared" si="50"/>
        <v>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7</v>
      </c>
      <c r="AK84" s="123" t="s">
        <v>3185</v>
      </c>
      <c r="AL84" s="123">
        <f t="shared" si="43"/>
        <v>-6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6016.6673139916666</v>
      </c>
      <c r="AQ84" s="126">
        <f t="shared" si="37"/>
        <v>1294.6500000000001</v>
      </c>
      <c r="AR84" s="125" t="str">
        <f t="shared" si="50"/>
        <v>CD</v>
      </c>
      <c r="AS84" s="129" t="str">
        <f t="shared" si="46"/>
        <v/>
      </c>
      <c r="AT84" s="130" t="str">
        <f>"Ⓔ "&amp;AE84</f>
        <v>Ⓔ Curaçao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6621.4293288135714</v>
      </c>
      <c r="AQ85" s="126">
        <f t="shared" si="37"/>
        <v>1514.77</v>
      </c>
      <c r="AR85" s="125" t="str">
        <f t="shared" si="50"/>
        <v>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Ⓖ New Zealand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6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6621.4292122135712</v>
      </c>
      <c r="AQ86" s="126">
        <f t="shared" si="37"/>
        <v>1281.57</v>
      </c>
      <c r="AR86" s="125" t="str">
        <f t="shared" si="50"/>
        <v>CDFG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Ⓚ DR Congo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6016.6673773816674</v>
      </c>
      <c r="AQ87" s="126">
        <f t="shared" si="37"/>
        <v>1421.43</v>
      </c>
      <c r="AR87" s="125" t="str">
        <f t="shared" si="50"/>
        <v>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1 - 7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8923.810299279523</v>
      </c>
      <c r="AQ88" s="126">
        <f t="shared" si="37"/>
        <v>1550.94</v>
      </c>
      <c r="AR88" s="125" t="str">
        <f t="shared" si="50"/>
        <v>CDFGHI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Curaçao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1 - 7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7</v>
      </c>
      <c r="AK89" s="123" t="s">
        <v>3190</v>
      </c>
      <c r="AL89" s="123">
        <f t="shared" si="43"/>
        <v>-6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2016.6674487966668</v>
      </c>
      <c r="AQ89" s="126">
        <f t="shared" si="37"/>
        <v>1564.26</v>
      </c>
      <c r="AR89" s="125" t="str">
        <f t="shared" si="50"/>
        <v>CDFGHI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Korea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5 - 6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6159.5245486988097</v>
      </c>
      <c r="AQ90" s="126">
        <f t="shared" si="37"/>
        <v>1478.35</v>
      </c>
      <c r="AR90" s="125" t="str">
        <f t="shared" si="50"/>
        <v>CDFGHIK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6764.2863874407149</v>
      </c>
      <c r="AQ91" s="126">
        <f t="shared" si="37"/>
        <v>1346.31</v>
      </c>
      <c r="AR91" s="125" t="str">
        <f t="shared" si="50"/>
        <v>CDFGHIKL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229" yWindow="771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22</v>
      </c>
      <c r="C3" s="121" t="str">
        <f>'2026 World Cup'!AR91</f>
        <v>CDFGHIKL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3I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FERNANDO BASUSAGA PEREZ</cp:lastModifiedBy>
  <cp:revision/>
  <cp:lastPrinted>2026-06-11T18:36:22Z</cp:lastPrinted>
  <dcterms:created xsi:type="dcterms:W3CDTF">2017-12-27T19:32:51Z</dcterms:created>
  <dcterms:modified xsi:type="dcterms:W3CDTF">2026-06-11T18:42:57Z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