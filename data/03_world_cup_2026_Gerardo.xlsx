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Jardo\Desktop\"/>
    </mc:Choice>
  </mc:AlternateContent>
  <xr:revisionPtr revIDLastSave="0" documentId="13_ncr:1_{7FFFDF88-E7AA-4157-96E2-805803EFAF3F}" xr6:coauthVersionLast="47" xr6:coauthVersionMax="47" xr10:uidLastSave="{00000000-0000-0000-0000-000000000000}"/>
  <bookViews>
    <workbookView xWindow="-120" yWindow="-120" windowWidth="38640" windowHeight="211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T43" i="3"/>
  <c r="S72" i="3"/>
  <c r="T19" i="3"/>
  <c r="T46" i="3"/>
  <c r="S70" i="3"/>
  <c r="T21" i="3"/>
  <c r="S42" i="3"/>
  <c r="S64" i="3"/>
  <c r="S40" i="3"/>
  <c r="S62" i="3"/>
  <c r="S38" i="3"/>
  <c r="S65" i="3"/>
  <c r="S55" i="3"/>
  <c r="S57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AP12" i="3" s="1"/>
  <c r="AR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1" i="3"/>
  <c r="AR10" i="3"/>
  <c r="AR9" i="3"/>
  <c r="AR34" i="3"/>
  <c r="AR33" i="3"/>
  <c r="AR35" i="3" l="1"/>
  <c r="AD32" i="3" s="1"/>
  <c r="AR28" i="3"/>
  <c r="AR21" i="3"/>
  <c r="AR22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D22" i="3" s="1"/>
  <c r="AR51" i="3"/>
  <c r="AR52" i="3"/>
  <c r="AR53" i="3"/>
  <c r="AR46" i="3"/>
  <c r="AR15" i="3"/>
  <c r="AR45" i="3"/>
  <c r="AR63" i="3"/>
  <c r="AR47" i="3"/>
  <c r="AD44" i="3" s="1"/>
  <c r="AR64" i="3"/>
  <c r="AD62" i="3" s="1"/>
  <c r="AR39" i="3"/>
  <c r="AD56" i="3"/>
  <c r="M58" i="3" s="1"/>
  <c r="AR16" i="3"/>
  <c r="AR17" i="3"/>
  <c r="AD14" i="3" s="1"/>
  <c r="AD59" i="3"/>
  <c r="AD75" i="3"/>
  <c r="AD68" i="3"/>
  <c r="AD33" i="3"/>
  <c r="AD9" i="3"/>
  <c r="AD8" i="3"/>
  <c r="AD10" i="3"/>
  <c r="AD11" i="3"/>
  <c r="AD70" i="3" l="1"/>
  <c r="AD35" i="3"/>
  <c r="AD34" i="3"/>
  <c r="AD28" i="3"/>
  <c r="AD41" i="3"/>
  <c r="M59" i="3"/>
  <c r="L58" i="3"/>
  <c r="P58" i="3" s="1"/>
  <c r="O60" i="3"/>
  <c r="N58" i="3"/>
  <c r="L59" i="3"/>
  <c r="P59" i="3" s="1"/>
  <c r="AD47" i="3"/>
  <c r="AD21" i="3"/>
  <c r="AD20" i="3"/>
  <c r="AD71" i="3"/>
  <c r="J70" i="3" s="1"/>
  <c r="AS69" i="3" s="1"/>
  <c r="BL26" i="3" s="1"/>
  <c r="AD15" i="3"/>
  <c r="J18" i="3" s="1"/>
  <c r="AD29" i="3"/>
  <c r="AD27" i="3"/>
  <c r="AD76" i="3"/>
  <c r="AD26" i="3"/>
  <c r="AD63" i="3"/>
  <c r="M65" i="3" s="1"/>
  <c r="AD74" i="3"/>
  <c r="O75" i="3" s="1"/>
  <c r="AD53" i="3"/>
  <c r="AD69" i="3"/>
  <c r="O72" i="3" s="1"/>
  <c r="AD39" i="3"/>
  <c r="L57" i="3"/>
  <c r="AD64" i="3"/>
  <c r="L63" i="3" s="1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N47" i="3" s="1"/>
  <c r="AD40" i="3"/>
  <c r="AD52" i="3"/>
  <c r="AD38" i="3"/>
  <c r="N39" i="3" s="1"/>
  <c r="AD50" i="3"/>
  <c r="M51" i="3" s="1"/>
  <c r="N59" i="3"/>
  <c r="AD17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5" i="3"/>
  <c r="AS44" i="3" s="1"/>
  <c r="BL38" i="3" s="1"/>
  <c r="M45" i="3"/>
  <c r="N45" i="3"/>
  <c r="L45" i="3"/>
  <c r="O45" i="3"/>
  <c r="L69" i="3"/>
  <c r="M69" i="3"/>
  <c r="N69" i="3"/>
  <c r="O69" i="3"/>
  <c r="J69" i="3"/>
  <c r="AS68" i="3" s="1"/>
  <c r="BL70" i="3" s="1"/>
  <c r="J71" i="3" l="1"/>
  <c r="AE90" i="3" s="1"/>
  <c r="AQ90" i="3" s="1"/>
  <c r="J72" i="3"/>
  <c r="K59" i="3"/>
  <c r="M28" i="3"/>
  <c r="AF88" i="3"/>
  <c r="AG88" i="3"/>
  <c r="L23" i="3"/>
  <c r="K58" i="3"/>
  <c r="S91" i="3"/>
  <c r="T91" i="3" s="1" a="1"/>
  <c r="T91" i="3" s="1"/>
  <c r="BS37" i="3"/>
  <c r="J24" i="3"/>
  <c r="AI88" i="3"/>
  <c r="N21" i="3"/>
  <c r="L46" i="3"/>
  <c r="O24" i="3"/>
  <c r="O21" i="3"/>
  <c r="M47" i="3"/>
  <c r="L18" i="3"/>
  <c r="O18" i="3"/>
  <c r="O48" i="3"/>
  <c r="N18" i="3"/>
  <c r="J47" i="3"/>
  <c r="AE86" i="3" s="1"/>
  <c r="AQ86" i="3" s="1"/>
  <c r="M18" i="3"/>
  <c r="M17" i="3"/>
  <c r="L42" i="3"/>
  <c r="J48" i="3"/>
  <c r="N48" i="3"/>
  <c r="O42" i="3"/>
  <c r="O47" i="3"/>
  <c r="L27" i="3"/>
  <c r="M46" i="3"/>
  <c r="O29" i="3"/>
  <c r="J46" i="3"/>
  <c r="AS45" i="3" s="1"/>
  <c r="BL63" i="3" s="1"/>
  <c r="N40" i="3"/>
  <c r="L48" i="3"/>
  <c r="M48" i="3"/>
  <c r="M21" i="3"/>
  <c r="M27" i="3"/>
  <c r="N66" i="3"/>
  <c r="O40" i="3"/>
  <c r="L29" i="3"/>
  <c r="N29" i="3"/>
  <c r="O77" i="3"/>
  <c r="L22" i="3"/>
  <c r="L66" i="3"/>
  <c r="M66" i="3"/>
  <c r="J39" i="3"/>
  <c r="AS38" i="3" s="1"/>
  <c r="BL22" i="3" s="1"/>
  <c r="O46" i="3"/>
  <c r="O64" i="3"/>
  <c r="N24" i="3"/>
  <c r="L77" i="3"/>
  <c r="L75" i="3"/>
  <c r="N54" i="3"/>
  <c r="N46" i="3"/>
  <c r="M24" i="3"/>
  <c r="AT88" i="3"/>
  <c r="L39" i="3"/>
  <c r="M29" i="3"/>
  <c r="O66" i="3"/>
  <c r="J76" i="3"/>
  <c r="AS75" i="3" s="1"/>
  <c r="BL27" i="3" s="1"/>
  <c r="O76" i="3"/>
  <c r="M75" i="3"/>
  <c r="L54" i="3"/>
  <c r="L51" i="3"/>
  <c r="P51" i="3" s="1"/>
  <c r="L47" i="3"/>
  <c r="O28" i="3"/>
  <c r="L24" i="3"/>
  <c r="AN88" i="3"/>
  <c r="M70" i="3"/>
  <c r="L78" i="3"/>
  <c r="O22" i="3"/>
  <c r="L65" i="3"/>
  <c r="P65" i="3" s="1"/>
  <c r="L28" i="3"/>
  <c r="AJ88" i="3"/>
  <c r="N51" i="3"/>
  <c r="N72" i="3"/>
  <c r="J27" i="3"/>
  <c r="AS26" i="3" s="1"/>
  <c r="BL34" i="3" s="1"/>
  <c r="L72" i="3"/>
  <c r="J29" i="3"/>
  <c r="AE83" i="3" s="1"/>
  <c r="AQ83" i="3" s="1"/>
  <c r="O54" i="3"/>
  <c r="O78" i="3"/>
  <c r="M78" i="3"/>
  <c r="L70" i="3"/>
  <c r="M54" i="3"/>
  <c r="J40" i="3"/>
  <c r="AS39" i="3" s="1"/>
  <c r="BL43" i="3" s="1"/>
  <c r="J41" i="3"/>
  <c r="AE85" i="3" s="1"/>
  <c r="AQ85" i="3" s="1"/>
  <c r="N78" i="3"/>
  <c r="L76" i="3"/>
  <c r="L30" i="3"/>
  <c r="J42" i="3"/>
  <c r="N28" i="3"/>
  <c r="N17" i="3"/>
  <c r="M72" i="3"/>
  <c r="M76" i="3"/>
  <c r="J78" i="3"/>
  <c r="N76" i="3"/>
  <c r="J66" i="3"/>
  <c r="M42" i="3"/>
  <c r="M30" i="3"/>
  <c r="K57" i="3"/>
  <c r="L16" i="3"/>
  <c r="O63" i="3"/>
  <c r="N16" i="3"/>
  <c r="M64" i="3"/>
  <c r="L64" i="3"/>
  <c r="J63" i="3"/>
  <c r="AS62" i="3" s="1"/>
  <c r="BL58" i="3" s="1"/>
  <c r="BS60" i="3" s="1"/>
  <c r="BZ64" i="3" s="1"/>
  <c r="P57" i="3"/>
  <c r="O16" i="3"/>
  <c r="O39" i="3"/>
  <c r="N27" i="3"/>
  <c r="M22" i="3"/>
  <c r="O17" i="3"/>
  <c r="N64" i="3"/>
  <c r="L21" i="3"/>
  <c r="M16" i="3"/>
  <c r="J64" i="3"/>
  <c r="AS63" i="3" s="1"/>
  <c r="BL31" i="3" s="1"/>
  <c r="J65" i="3"/>
  <c r="AE89" i="3" s="1"/>
  <c r="AQ89" i="3" s="1"/>
  <c r="N71" i="3"/>
  <c r="M71" i="3"/>
  <c r="O51" i="3"/>
  <c r="N30" i="3"/>
  <c r="J28" i="3"/>
  <c r="AS27" i="3" s="1"/>
  <c r="BL62" i="3" s="1"/>
  <c r="BS61" i="3" s="1"/>
  <c r="J21" i="3"/>
  <c r="AS20" i="3" s="1"/>
  <c r="BL42" i="3" s="1"/>
  <c r="BS44" i="3" s="1"/>
  <c r="BZ48" i="3" s="1"/>
  <c r="L15" i="3"/>
  <c r="J16" i="3"/>
  <c r="AS15" i="3" s="1"/>
  <c r="BL19" i="3" s="1"/>
  <c r="J22" i="3"/>
  <c r="AS21" i="3" s="1"/>
  <c r="BL23" i="3" s="1"/>
  <c r="O71" i="3"/>
  <c r="N52" i="3"/>
  <c r="L71" i="3"/>
  <c r="N77" i="3"/>
  <c r="J75" i="3"/>
  <c r="AS74" i="3" s="1"/>
  <c r="BL54" i="3" s="1"/>
  <c r="O70" i="3"/>
  <c r="O65" i="3"/>
  <c r="J52" i="3"/>
  <c r="AS51" i="3" s="1"/>
  <c r="BL59" i="3" s="1"/>
  <c r="M40" i="3"/>
  <c r="O27" i="3"/>
  <c r="J30" i="3"/>
  <c r="N53" i="3"/>
  <c r="M39" i="3"/>
  <c r="L40" i="3"/>
  <c r="M77" i="3"/>
  <c r="N75" i="3"/>
  <c r="N70" i="3"/>
  <c r="N65" i="3"/>
  <c r="J51" i="3"/>
  <c r="AS50" i="3" s="1"/>
  <c r="BL30" i="3" s="1"/>
  <c r="O30" i="3"/>
  <c r="O23" i="3"/>
  <c r="M41" i="3"/>
  <c r="N63" i="3"/>
  <c r="M63" i="3"/>
  <c r="P63" i="3" s="1"/>
  <c r="L17" i="3"/>
  <c r="J77" i="3"/>
  <c r="AE91" i="3" s="1"/>
  <c r="AQ91" i="3" s="1"/>
  <c r="N22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P23" i="3" s="1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AF90" i="3"/>
  <c r="AG90" i="3"/>
  <c r="AH90" i="3"/>
  <c r="AI90" i="3"/>
  <c r="AJ90" i="3"/>
  <c r="AL90" i="3"/>
  <c r="AN90" i="3"/>
  <c r="AT90" i="3"/>
  <c r="P69" i="3"/>
  <c r="K69" i="3"/>
  <c r="K45" i="3"/>
  <c r="P4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P28" i="3" l="1"/>
  <c r="P78" i="3"/>
  <c r="P18" i="3"/>
  <c r="K47" i="3"/>
  <c r="S98" i="3"/>
  <c r="T98" i="3" s="1" a="1"/>
  <c r="T98" i="3" s="1"/>
  <c r="BZ33" i="3"/>
  <c r="U103" i="3" s="1"/>
  <c r="AC103" i="3" s="1" a="1"/>
  <c r="AC103" i="3" s="1"/>
  <c r="S90" i="3"/>
  <c r="T90" i="3" s="1" a="1"/>
  <c r="T90" i="3" s="1"/>
  <c r="BS36" i="3"/>
  <c r="P64" i="3"/>
  <c r="K18" i="3"/>
  <c r="AT86" i="3"/>
  <c r="AN86" i="3"/>
  <c r="AL86" i="3"/>
  <c r="AJ86" i="3"/>
  <c r="K29" i="3"/>
  <c r="K39" i="3"/>
  <c r="K28" i="3"/>
  <c r="P17" i="3"/>
  <c r="S89" i="3"/>
  <c r="T89" i="3" s="1" a="1"/>
  <c r="T89" i="3" s="1"/>
  <c r="BS21" i="3"/>
  <c r="AI86" i="3"/>
  <c r="AG86" i="3"/>
  <c r="S87" i="3"/>
  <c r="T87" i="3" s="1" a="1"/>
  <c r="T87" i="3" s="1"/>
  <c r="BS29" i="3"/>
  <c r="K40" i="3"/>
  <c r="S86" i="3"/>
  <c r="T86" i="3" s="1" a="1"/>
  <c r="T86" i="3" s="1"/>
  <c r="BS28" i="3"/>
  <c r="P29" i="3"/>
  <c r="AH86" i="3"/>
  <c r="P46" i="3"/>
  <c r="AF86" i="3"/>
  <c r="P76" i="3"/>
  <c r="K72" i="3"/>
  <c r="P66" i="3"/>
  <c r="S88" i="3"/>
  <c r="T88" i="3" s="1" a="1"/>
  <c r="T88" i="3" s="1"/>
  <c r="BS20" i="3"/>
  <c r="K66" i="3"/>
  <c r="AG87" i="3"/>
  <c r="P72" i="3"/>
  <c r="AF87" i="3"/>
  <c r="K65" i="3"/>
  <c r="P22" i="3"/>
  <c r="P47" i="3"/>
  <c r="AF83" i="3"/>
  <c r="K46" i="3"/>
  <c r="K27" i="3"/>
  <c r="K51" i="3"/>
  <c r="K75" i="3"/>
  <c r="AG83" i="3"/>
  <c r="P70" i="3"/>
  <c r="K24" i="3"/>
  <c r="K48" i="3"/>
  <c r="AT91" i="3"/>
  <c r="P42" i="3"/>
  <c r="P27" i="3"/>
  <c r="K21" i="3"/>
  <c r="K70" i="3"/>
  <c r="K78" i="3"/>
  <c r="AG85" i="3"/>
  <c r="AF85" i="3"/>
  <c r="P48" i="3"/>
  <c r="K42" i="3"/>
  <c r="K54" i="3"/>
  <c r="AH85" i="3"/>
  <c r="AN83" i="3"/>
  <c r="AL83" i="3"/>
  <c r="AJ83" i="3"/>
  <c r="AI83" i="3"/>
  <c r="AH83" i="3"/>
  <c r="P75" i="3"/>
  <c r="P54" i="3"/>
  <c r="K22" i="3"/>
  <c r="K30" i="3"/>
  <c r="P21" i="3"/>
  <c r="P24" i="3"/>
  <c r="AG89" i="3"/>
  <c r="AF89" i="3"/>
  <c r="K76" i="3"/>
  <c r="K17" i="3"/>
  <c r="P40" i="3"/>
  <c r="AT83" i="3"/>
  <c r="K63" i="3"/>
  <c r="AN82" i="3"/>
  <c r="P39" i="3"/>
  <c r="AL91" i="3"/>
  <c r="AF91" i="3"/>
  <c r="K16" i="3"/>
  <c r="P30" i="3"/>
  <c r="AT89" i="3"/>
  <c r="P71" i="3"/>
  <c r="K64" i="3"/>
  <c r="AT85" i="3"/>
  <c r="AT87" i="3"/>
  <c r="AN89" i="3"/>
  <c r="AN91" i="3"/>
  <c r="AN85" i="3"/>
  <c r="AN87" i="3"/>
  <c r="AL89" i="3"/>
  <c r="AT82" i="3"/>
  <c r="AL85" i="3"/>
  <c r="AL87" i="3"/>
  <c r="AJ89" i="3"/>
  <c r="K23" i="3"/>
  <c r="AJ85" i="3"/>
  <c r="AJ87" i="3"/>
  <c r="AI89" i="3"/>
  <c r="P41" i="3"/>
  <c r="K77" i="3"/>
  <c r="K53" i="3"/>
  <c r="AI85" i="3"/>
  <c r="AH87" i="3"/>
  <c r="AH89" i="3"/>
  <c r="P15" i="3"/>
  <c r="P77" i="3"/>
  <c r="AG81" i="3"/>
  <c r="K71" i="3"/>
  <c r="AI82" i="3"/>
  <c r="K15" i="3"/>
  <c r="AL81" i="3"/>
  <c r="AH82" i="3"/>
  <c r="AJ91" i="3"/>
  <c r="AT81" i="3"/>
  <c r="AJ81" i="3"/>
  <c r="AG82" i="3"/>
  <c r="AI91" i="3"/>
  <c r="P16" i="3"/>
  <c r="AJ82" i="3"/>
  <c r="AI81" i="3"/>
  <c r="AF82" i="3"/>
  <c r="K41" i="3"/>
  <c r="AH91" i="3"/>
  <c r="P52" i="3"/>
  <c r="AF81" i="3"/>
  <c r="AN81" i="3"/>
  <c r="AH81" i="3"/>
  <c r="AG91" i="3"/>
  <c r="P53" i="3"/>
  <c r="AL82" i="3"/>
  <c r="AI87" i="3"/>
  <c r="K52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F92" i="3"/>
  <c r="AS92" i="3"/>
  <c r="AH92" i="3"/>
  <c r="AN92" i="3"/>
  <c r="AG92" i="3"/>
  <c r="AI92" i="3"/>
  <c r="AL92" i="3"/>
  <c r="AM88" i="3" s="1"/>
  <c r="S103" i="3" l="1"/>
  <c r="T103" i="3" s="1" a="1"/>
  <c r="T103" i="3" s="1"/>
  <c r="CG24" i="3"/>
  <c r="S111" i="3" s="1"/>
  <c r="T111" i="3" s="1"/>
  <c r="AM86" i="3"/>
  <c r="AM87" i="3"/>
  <c r="AM81" i="3"/>
  <c r="AM89" i="3"/>
  <c r="AM90" i="3"/>
  <c r="AM91" i="3"/>
  <c r="AM83" i="3"/>
  <c r="AM84" i="3"/>
  <c r="AM80" i="3"/>
  <c r="AM82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1" i="3"/>
  <c r="AP84" i="3"/>
  <c r="AP86" i="3"/>
  <c r="AP89" i="3"/>
  <c r="AP90" i="3"/>
  <c r="AP88" i="3"/>
  <c r="AP82" i="3"/>
  <c r="AP83" i="3"/>
  <c r="AP91" i="3"/>
  <c r="AP85" i="3"/>
  <c r="AP80" i="3"/>
  <c r="S102" i="3" l="1"/>
  <c r="T102" i="3" s="1" a="1"/>
  <c r="T102" i="3" s="1"/>
  <c r="CG23" i="3"/>
  <c r="AD85" i="3"/>
  <c r="AS85" i="3" s="1"/>
  <c r="AD89" i="3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CN37" i="3" l="1"/>
  <c r="CK68" i="3" s="1"/>
  <c r="CN48" i="3"/>
  <c r="J92" i="3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 l="1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 l="1"/>
  <c r="BL55" i="3"/>
  <c r="BS52" i="3"/>
  <c r="BZ49" i="3" s="1"/>
  <c r="CG55" i="3" s="1"/>
  <c r="CN49" i="3" s="1"/>
  <c r="BL51" i="3"/>
  <c r="BS69" i="3"/>
  <c r="BZ65" i="3" s="1"/>
  <c r="CG56" i="3" s="1"/>
  <c r="CN38" i="3" s="1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<sst xmlns="http://schemas.openxmlformats.org/spreadsheetml/2006/main" count="9785" uniqueCount="3699">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</sst>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="70" zoomScaleNormal="70" workbookViewId="0">
      <selection activeCell="CW44" sqref="CW44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9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90000009.857983366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5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7.9429434861739088E-12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3</v>
      </c>
      <c r="AL10" s="123">
        <f>AI10-AJ10</f>
        <v>0</v>
      </c>
      <c r="AM10" s="123">
        <f>AL10-AL12</f>
        <v>5</v>
      </c>
      <c r="AN10" s="123">
        <f>AF10*3+AG10</f>
        <v>4</v>
      </c>
      <c r="AO10" s="123">
        <f>AN10/AN12*10+BA10</f>
        <v>4.9805825242718447</v>
      </c>
      <c r="AP10" s="123">
        <f>AO10*10000000+BI10*100+AM10/AM12*10+AI10/AI12*1++IF(AQ10=0,ROW(),AQ10)/2000000</f>
        <v>49805928.730336621</v>
      </c>
      <c r="AQ10" s="126">
        <f>VLOOKUP(AE10,db_fifarank,2,FALSE)</f>
        <v>1588.66</v>
      </c>
      <c r="AR10" s="125">
        <f>AP10/AP12</f>
        <v>0.55339914135042167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3 - 3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6</v>
      </c>
      <c r="AN11" s="123">
        <f>AF11*3+AG11</f>
        <v>4</v>
      </c>
      <c r="AO11" s="123">
        <f>AN11/AN12*10+BA11</f>
        <v>4.9805825242718447</v>
      </c>
      <c r="AP11" s="123">
        <f>AO11*10000000+BI11*100+AM11/AM12*10+AI11/AI12*1++IF(AQ11=0,ROW(),AQ11)/2000000</f>
        <v>49805929.873150133</v>
      </c>
      <c r="AQ11" s="126">
        <f>VLOOKUP(AE11,db_fifarank,2,FALSE)</f>
        <v>1501.38</v>
      </c>
      <c r="AR11" s="125">
        <f>AP11/AP12</f>
        <v>0.55339915404834805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4</v>
      </c>
      <c r="AI12" s="123">
        <f>MAX(AI8:AI11)+1</f>
        <v>7</v>
      </c>
      <c r="AL12" s="123">
        <f>MIN(AL8:AL11)</f>
        <v>-5</v>
      </c>
      <c r="AM12" s="123">
        <f>MAX(AM8:AM11)+1</f>
        <v>10</v>
      </c>
      <c r="AN12" s="123">
        <f>MAX(AN8:AN11)+1</f>
        <v>10</v>
      </c>
      <c r="AO12" s="123">
        <f>MAX(AO8:AO11)+1</f>
        <v>10</v>
      </c>
      <c r="AP12" s="123">
        <f>MAX(AP8:AP11)+1</f>
        <v>90000010.857983366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9</v>
      </c>
      <c r="AN14" s="123">
        <f>AF14*3+AG14</f>
        <v>7</v>
      </c>
      <c r="AO14" s="123">
        <f>AN14/AN18*10+BA14</f>
        <v>9.7305825242718456</v>
      </c>
      <c r="AP14" s="123">
        <f>AO14*10000000+BI14*100+AM14/AM18*10+AI14/AI18*1++IF(AQ14=0,ROW(),AQ14)/2000000</f>
        <v>97305932.316900641</v>
      </c>
      <c r="AQ14" s="126">
        <f>VLOOKUP(AE14,db_fifarank,2,FALSE)</f>
        <v>1556.48</v>
      </c>
      <c r="AR14" s="125">
        <f>AP14/AP18</f>
        <v>0.999999980380052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4</v>
      </c>
      <c r="AL15" s="123">
        <f>AI15-AJ15</f>
        <v>-1</v>
      </c>
      <c r="AM15" s="123">
        <f>AL15-AL18</f>
        <v>5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37500005.046147466</v>
      </c>
      <c r="AQ15" s="126">
        <f>VLOOKUP(AE15,db_fifarank,2,FALSE)</f>
        <v>1385.84</v>
      </c>
      <c r="AR15" s="125">
        <f>AP15/AP18</f>
        <v>0.38538250872795043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6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7.4762141259554785E-12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3 - 4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1</v>
      </c>
      <c r="AL17" s="123">
        <f>AI17-AJ17</f>
        <v>4</v>
      </c>
      <c r="AM17" s="123">
        <f>AL17-AL18</f>
        <v>10</v>
      </c>
      <c r="AN17" s="123">
        <f>AF17*3+AG17</f>
        <v>7</v>
      </c>
      <c r="AO17" s="123">
        <f>AN17/AN18*10+BA17</f>
        <v>9.7305825242718456</v>
      </c>
      <c r="AP17" s="123">
        <f>AO17*10000000+BI17*100+AM17/AM18*10+AI17/AI18*1++IF(AQ17=0,ROW(),AQ17)/2000000</f>
        <v>97305933.226038009</v>
      </c>
      <c r="AQ17" s="126">
        <f>VLOOKUP(AE17,db_fifarank,2,FALSE)</f>
        <v>1649.4</v>
      </c>
      <c r="AR17" s="125">
        <f>AP17/AP18</f>
        <v>0.99999998972313453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6</v>
      </c>
      <c r="AL18" s="123">
        <f>MIN(AL14:AL17)</f>
        <v>-6</v>
      </c>
      <c r="AM18" s="123">
        <f>MAX(AM14:AM17)+1</f>
        <v>11</v>
      </c>
      <c r="AN18" s="123">
        <f>MAX(AN14:AN17)+1</f>
        <v>8</v>
      </c>
      <c r="AO18" s="123">
        <f>MAX(AO14:AO17)+1</f>
        <v>10.730582524271846</v>
      </c>
      <c r="AP18" s="123">
        <f>MAX(AP14:AP17)+1</f>
        <v>97305934.226038009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Czech Republic</v>
      </c>
      <c r="BM18" s="61">
        <v>1</v>
      </c>
      <c r="BN18" s="63">
        <v>1</v>
      </c>
      <c r="BO18" s="25">
        <v>3</v>
      </c>
      <c r="BP18" s="112">
        <f>IF(OR(BM18="",BM19="",AND(BN18="",BN19&lt;&gt;""),AND(BN19="",BN18&lt;&gt;""),AND(BO18="",BO19&lt;&gt;""),AND(BO19="",BO18&lt;&gt;"")),"",BM18*1000+BN18*10+BO18)</f>
        <v>1013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>
        <v>1</v>
      </c>
      <c r="BO19" s="27">
        <v>4</v>
      </c>
      <c r="BP19" s="113">
        <f>IF(BP18="","",BM19*1000+BN19*10+BO19)</f>
        <v>1014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1</v>
      </c>
      <c r="AL20" s="123">
        <f>AI20-AJ20</f>
        <v>8</v>
      </c>
      <c r="AM20" s="123">
        <f>AL20-AL24</f>
        <v>16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90000010.312645301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3</v>
      </c>
      <c r="AL21" s="123">
        <f>AI21-AJ21</f>
        <v>1</v>
      </c>
      <c r="AM21" s="123">
        <f>AL21-AL24</f>
        <v>9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49805928.995966442</v>
      </c>
      <c r="AQ21" s="126">
        <f>VLOOKUP(AE21,db_fifarank,2,FALSE)</f>
        <v>1755.87</v>
      </c>
      <c r="AR21" s="125">
        <f>AP21/AP24</f>
        <v>0.55339914150620273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4 - 3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7.176165764650912E-12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>
        <v>2</v>
      </c>
      <c r="BO22" s="25"/>
      <c r="BP22" s="116">
        <f>IF(OR(BM22="",BM23="",AND(BN22="",BN23&lt;&gt;""),AND(BN23="",BN22&lt;&gt;""),AND(BO22="",BO23&lt;&gt;""),AND(BO23="",BO22&lt;&gt;"")),"",BM22*1000+BN22*10+BO22)</f>
        <v>1020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3 - 4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4</v>
      </c>
      <c r="AL23" s="123">
        <f>AI23-AJ23</f>
        <v>-1</v>
      </c>
      <c r="AM23" s="123">
        <f>AL23-AL24</f>
        <v>7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49805927.719367102</v>
      </c>
      <c r="AQ23" s="126">
        <f>VLOOKUP(AE23,db_fifarank,2,FALSE)</f>
        <v>1498.35</v>
      </c>
      <c r="AR23" s="125">
        <f>AP23/AP24</f>
        <v>0.55339912732176744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32"/>
      <c r="BL23" s="26" t="str">
        <f>AS21</f>
        <v>Morocco</v>
      </c>
      <c r="BM23" s="62">
        <v>1</v>
      </c>
      <c r="BN23" s="64">
        <v>1</v>
      </c>
      <c r="BO23" s="27"/>
      <c r="BP23" s="112">
        <f>IF(BP22="","",BM23*1000+BN23*10+BO23)</f>
        <v>1010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>
        <v>1</v>
      </c>
      <c r="CJ23" s="25">
        <v>3</v>
      </c>
      <c r="CK23" s="112">
        <f>IF(OR(CH23="",CH24="",AND(CI23="",CI24&lt;&gt;""),AND(CI24="",CI23&lt;&gt;""),AND(CJ23="",CJ24&lt;&gt;""),AND(CJ24="",CJ23&lt;&gt;"")),"",CH23*1000+CI23*10+CJ23)</f>
        <v>1013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10</v>
      </c>
      <c r="AL24" s="123">
        <f>MIN(AL20:AL23)</f>
        <v>-8</v>
      </c>
      <c r="AM24" s="123">
        <f>MAX(AM20:AM23)+1</f>
        <v>17</v>
      </c>
      <c r="AN24" s="123">
        <f>MAX(AN20:AN23)+1</f>
        <v>10</v>
      </c>
      <c r="AO24" s="123">
        <f>MAX(AO20:AO23)+1</f>
        <v>10</v>
      </c>
      <c r="AP24" s="123">
        <f>MAX(AP20:AP23)+1</f>
        <v>90000011.312645301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>
        <v>1</v>
      </c>
      <c r="CJ24" s="27">
        <v>4</v>
      </c>
      <c r="CK24" s="113">
        <f>IF(CK23="","",CH24*1000+CI24*10+CJ24)</f>
        <v>1014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3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1</v>
      </c>
      <c r="AL26" s="123">
        <f>AI26-AJ26</f>
        <v>5</v>
      </c>
      <c r="AM26" s="123">
        <f>AL26-AL30</f>
        <v>8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90000009.746868312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1</v>
      </c>
      <c r="BO26" s="25">
        <v>4</v>
      </c>
      <c r="BP26" s="112">
        <f>IF(OR(BM26="",BM27="",AND(BN26="",BN27&lt;&gt;""),AND(BN27="",BN26&lt;&gt;""),AND(BO26="",BO27&lt;&gt;""),AND(BO27="",BO26&lt;&gt;"")),"",BM26*1000+BN26*10+BO26)</f>
        <v>1014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6 - 1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4</v>
      </c>
      <c r="AL27" s="123">
        <f>AI27-AJ27</f>
        <v>-2</v>
      </c>
      <c r="AM27" s="123">
        <f>AL27-AL30</f>
        <v>1</v>
      </c>
      <c r="AN27" s="123">
        <f>AF27*3+AG27</f>
        <v>2</v>
      </c>
      <c r="AO27" s="123">
        <f>AN27/AN30*10+BA27</f>
        <v>2</v>
      </c>
      <c r="AP27" s="123">
        <f>AO27*10000000+BI27*100+AM27/AM30*10+AI27/AI30*1++IF(AQ27=0,ROW(),AQ27)/2000000</f>
        <v>20000001.397577148</v>
      </c>
      <c r="AQ27" s="126">
        <f>VLOOKUP(AE27,db_fifarank,2,FALSE)</f>
        <v>1503.5</v>
      </c>
      <c r="AR27" s="125">
        <f>AP27/AP30</f>
        <v>0.22222221121538119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>
        <v>1</v>
      </c>
      <c r="BO27" s="27">
        <v>5</v>
      </c>
      <c r="BP27" s="113">
        <f>IF(BP26="","",BM27*1000+BN27*10+BO27)</f>
        <v>1015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4 - 4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5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1</v>
      </c>
      <c r="AP28" s="123">
        <f>AO28*10000000+BI28*100+AM28/AM30*10+AI28/AI30*1++IF(AQ28=0,ROW(),AQ28)/2000000</f>
        <v>10000000.286504621</v>
      </c>
      <c r="AQ28" s="126">
        <f>VLOOKUP(AE28,db_fifarank,2,FALSE)</f>
        <v>1580.67</v>
      </c>
      <c r="AR28" s="125">
        <f>AP28/AP30</f>
        <v>0.11111110102675834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2 - 4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4</v>
      </c>
      <c r="AL29" s="123">
        <f>AI29-AJ29</f>
        <v>0</v>
      </c>
      <c r="AM29" s="123">
        <f>AL29-AL30</f>
        <v>3</v>
      </c>
      <c r="AN29" s="123">
        <f>AF29*3+AG29</f>
        <v>4</v>
      </c>
      <c r="AO29" s="123">
        <f>AN29/AN30*10+BA29</f>
        <v>4</v>
      </c>
      <c r="AP29" s="123">
        <f>AO29*10000000+BI29*100+AM29/AM30*10+AI29/AI30*1++IF(AQ29=0,ROW(),AQ29)/2000000</f>
        <v>40000003.905561432</v>
      </c>
      <c r="AQ29" s="126">
        <f>VLOOKUP(AE29,db_fifarank,2,FALSE)</f>
        <v>1599.04</v>
      </c>
      <c r="AR29" s="125">
        <f>AP29/AP30</f>
        <v>0.444444434768618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3</v>
      </c>
      <c r="AH30" s="123">
        <f t="shared" si="15"/>
        <v>3</v>
      </c>
      <c r="AI30" s="123">
        <f>MAX(AI26:AI29)+1</f>
        <v>7</v>
      </c>
      <c r="AL30" s="123">
        <f>MIN(AL26:AL29)</f>
        <v>-3</v>
      </c>
      <c r="AM30" s="123">
        <f>MAX(AM26:AM29)+1</f>
        <v>9</v>
      </c>
      <c r="AN30" s="123">
        <f>MAX(AN26:AN29)+1</f>
        <v>10</v>
      </c>
      <c r="AO30" s="123">
        <f>MAX(AO26:AO29)+1</f>
        <v>10</v>
      </c>
      <c r="AP30" s="123">
        <f>MAX(AP26:AP29)+1</f>
        <v>90000010.746868312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2</v>
      </c>
      <c r="AL32" s="123">
        <f>AI32-AJ32</f>
        <v>6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90000010.264754087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9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7.1924990997585155E-12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3</v>
      </c>
      <c r="AL34" s="123">
        <f>AI34-AJ34</f>
        <v>1</v>
      </c>
      <c r="AM34" s="123">
        <f>AL34-AL36</f>
        <v>10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49805929.996181808</v>
      </c>
      <c r="AQ34" s="126">
        <f>VLOOKUP(AE34,db_fifarank,2,FALSE)</f>
        <v>1532.98</v>
      </c>
      <c r="AR34" s="125">
        <f>AP34/AP36</f>
        <v>0.55339915291418262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4 - 3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11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49805930.73232381</v>
      </c>
      <c r="AQ35" s="126">
        <f>VLOOKUP(AE35,db_fifarank,2,FALSE)</f>
        <v>1594.78</v>
      </c>
      <c r="AR35" s="125">
        <f>AP35/AP36</f>
        <v>0.55339916109353726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Bosnia and Herzegovina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0 - 9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-9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90000011.264754087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>
        <v>1</v>
      </c>
      <c r="BV36" s="25">
        <v>4</v>
      </c>
      <c r="BW36" s="116">
        <f>IF(OR(BT36="",BT37="",AND(BU36="",BU37&lt;&gt;""),AND(BU37="",BU36&lt;&gt;""),AND(BV36="",BV37&lt;&gt;""),AND(BV37="",BV36&lt;&gt;"")),"",BT36*1000+BU36*10+BV36)</f>
        <v>1014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>
        <v>1</v>
      </c>
      <c r="BV37" s="27">
        <v>5</v>
      </c>
      <c r="BW37" s="112">
        <f>IF(BW36="","",BT37*1000+BU37*10+BV37)</f>
        <v>1015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>
        <v>2</v>
      </c>
      <c r="CQ37" s="25"/>
      <c r="CR37" s="111">
        <f>IF(OR(CO37="",CO38="",AND(CP37="",CP38&lt;&gt;""),AND(CP38="",CP37&lt;&gt;""),AND(CQ37="",CQ38&lt;&gt;""),AND(CQ38="",CQ37&lt;&gt;"")),"",CO37*1000+CP37*10+CQ37)</f>
        <v>1020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90000009.948930874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1</v>
      </c>
      <c r="CP38" s="64">
        <v>1</v>
      </c>
      <c r="CQ38" s="27"/>
      <c r="CR38" s="111">
        <f>IF(CR37="","",CO38*1000+CP38*10+CQ38)</f>
        <v>1010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7</v>
      </c>
      <c r="AN39" s="123">
        <f>AF39*3+AG39</f>
        <v>4</v>
      </c>
      <c r="AO39" s="123">
        <f>AN39/AN42*10+BA39</f>
        <v>4.9805825242718447</v>
      </c>
      <c r="AP39" s="123">
        <f>AO39*10000000+BI39*100+AM39/AM42*10+AI39/AI42*1++IF(AQ39=0,ROW(),AQ39)/2000000</f>
        <v>49805930.236866027</v>
      </c>
      <c r="AQ39" s="126">
        <f>VLOOKUP(AE39,db_fifarank,2,FALSE)</f>
        <v>1660.43</v>
      </c>
      <c r="AR39" s="125">
        <f>AP39/AP42</f>
        <v>0.55339915753041002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3</v>
      </c>
      <c r="AL40" s="123">
        <f>AI40-AJ40</f>
        <v>1</v>
      </c>
      <c r="AM40" s="123">
        <f>AL40-AL42</f>
        <v>7</v>
      </c>
      <c r="AN40" s="123">
        <f>AF40*3+AG40</f>
        <v>4</v>
      </c>
      <c r="AO40" s="123">
        <f>AN40/AN42*10+BA40</f>
        <v>4.9805825242718447</v>
      </c>
      <c r="AP40" s="123">
        <f>AO40*10000000+BI40*100+AM40/AM42*10+AI40/AI42*1++IF(AQ40=0,ROW(),AQ40)/2000000</f>
        <v>49805930.23679319</v>
      </c>
      <c r="AQ40" s="126">
        <f>VLOOKUP(AE40,db_fifarank,2,FALSE)</f>
        <v>1514.77</v>
      </c>
      <c r="AR40" s="125">
        <f>AP40/AP42</f>
        <v>0.55339915752960078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4 - 3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6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8.2391656643327187E-12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-6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90000010.948930874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9</v>
      </c>
      <c r="AJ44" s="123">
        <f>SUMIF($E$7:$E$78,$AE44,$G$7:$G$78) + SUMIF($H$7:$H$78,$AE44,$F$7:$F$78)</f>
        <v>0</v>
      </c>
      <c r="AL44" s="123">
        <f>AI44-AJ44</f>
        <v>9</v>
      </c>
      <c r="AM44" s="123">
        <f>AL44-AL48</f>
        <v>15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90000010.275867358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9 - 0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4</v>
      </c>
      <c r="AL45" s="123">
        <f>AI45-AJ45</f>
        <v>-2</v>
      </c>
      <c r="AM45" s="123">
        <f>AL45-AL48</f>
        <v>4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49805926.001752488</v>
      </c>
      <c r="AQ45" s="126">
        <f>VLOOKUP(AE45,db_fifarank,2,FALSE)</f>
        <v>1563.24</v>
      </c>
      <c r="AR45" s="125">
        <f>AP45/AP48</f>
        <v>0.55339910846330609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3 - 4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4</v>
      </c>
      <c r="AL46" s="123">
        <f>AI46-AJ46</f>
        <v>-1</v>
      </c>
      <c r="AM46" s="123">
        <f>AL46-AL48</f>
        <v>5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49805926.726778515</v>
      </c>
      <c r="AQ46" s="126">
        <f>VLOOKUP(AE46,db_fifarank,2,FALSE)</f>
        <v>1615.3</v>
      </c>
      <c r="AR46" s="125">
        <f>AP46/AP48</f>
        <v>0.55339911651914975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1</v>
      </c>
      <c r="BN46" s="63">
        <v>1</v>
      </c>
      <c r="BO46" s="25"/>
      <c r="BP46" s="116">
        <f>IF(OR(BM46="",BM47="",AND(BN46="",BN47&lt;&gt;""),AND(BN47="",BN46&lt;&gt;""),AND(BO46="",BO47&lt;&gt;""),AND(BO47="",BO46&lt;&gt;"")),"",BM46*1000+BN46*10+BO46)</f>
        <v>1010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2 - 4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6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7.1198324413079301E-12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1</v>
      </c>
      <c r="BN47" s="64">
        <v>2</v>
      </c>
      <c r="BO47" s="27"/>
      <c r="BP47" s="112">
        <f>IF(BP46="","",BM47*1000+BN47*10+BO47)</f>
        <v>1020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10</v>
      </c>
      <c r="AL48" s="123">
        <f>MIN(AL44:AL47)</f>
        <v>-6</v>
      </c>
      <c r="AM48" s="123">
        <f>MAX(AM44:AM47)+1</f>
        <v>16</v>
      </c>
      <c r="AN48" s="123">
        <f>MAX(AN44:AN47)+1</f>
        <v>10</v>
      </c>
      <c r="AO48" s="123">
        <f>MAX(AO44:AO47)+1</f>
        <v>10</v>
      </c>
      <c r="AP48" s="123">
        <f>MAX(AP44:AP47)+1</f>
        <v>90000011.275867358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>
        <v>1</v>
      </c>
      <c r="CC48" s="25">
        <v>4</v>
      </c>
      <c r="CD48" s="112">
        <f>IF(OR(CA48="",CA49="",AND(CB48="",CB49&lt;&gt;""),AND(CB49="",CB48&lt;&gt;""),AND(CC48="",CC49&lt;&gt;""),AND(CC49="",CC48&lt;&gt;"")),"",CA48*1000+CB48*10+CC48)</f>
        <v>1014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>
        <v>1</v>
      </c>
      <c r="CC49" s="27">
        <v>3</v>
      </c>
      <c r="CD49" s="113">
        <f>IF(CD48="","",CA49*1000+CB49*10+CC49)</f>
        <v>1013</v>
      </c>
      <c r="CK49" s="114"/>
      <c r="CL49" s="115"/>
      <c r="CM49" s="13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1</v>
      </c>
      <c r="AL50" s="123">
        <f>AI50-AJ50</f>
        <v>8</v>
      </c>
      <c r="AM50" s="123">
        <f>AL50-AL54</f>
        <v>16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90000010.312702924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8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7.5896101571221665E-12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30000002.453651894</v>
      </c>
      <c r="AQ52" s="126">
        <f>VLOOKUP(AE52,db_fifarank,2,FALSE)</f>
        <v>1421.43</v>
      </c>
      <c r="AR52" s="125">
        <f>AP52/AP54</f>
        <v>0.33333331869723426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>
        <v>1</v>
      </c>
      <c r="BV52" s="25"/>
      <c r="BW52" s="116">
        <f>IF(OR(BT52="",BT53="",AND(BU52="",BU53&lt;&gt;""),AND(BU53="",BU52&lt;&gt;""),AND(BV52="",BV53&lt;&gt;""),AND(BV53="",BV52&lt;&gt;"")),"",BT52*1000+BU52*10+BV52)</f>
        <v>1010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2</v>
      </c>
      <c r="AL53" s="123">
        <f>AI53-AJ53</f>
        <v>4</v>
      </c>
      <c r="AM53" s="123">
        <f>AL53-AL54</f>
        <v>12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60000007.659660064</v>
      </c>
      <c r="AQ53" s="126">
        <f>VLOOKUP(AE53,db_fifarank,2,FALSE)</f>
        <v>1673.07</v>
      </c>
      <c r="AR53" s="125">
        <f>AP53/AP54</f>
        <v>0.66666666797620111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>
        <v>2</v>
      </c>
      <c r="BV53" s="27"/>
      <c r="BW53" s="112">
        <f>IF(BW52="","",BT53*1000+BU53*10+BV53)</f>
        <v>1020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10</v>
      </c>
      <c r="AL54" s="123">
        <f>MIN(AL50:AL53)</f>
        <v>-8</v>
      </c>
      <c r="AM54" s="123">
        <f>MAX(AM50:AM53)+1</f>
        <v>17</v>
      </c>
      <c r="AN54" s="123">
        <f>MAX(AN50:AN53)+1</f>
        <v>10</v>
      </c>
      <c r="AO54" s="123">
        <f>MAX(AO50:AO53)+1</f>
        <v>10</v>
      </c>
      <c r="AP54" s="123">
        <f>MAX(AP50:AP53)+1</f>
        <v>90000011.312702924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Algeria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0</v>
      </c>
      <c r="AL56" s="123">
        <f>AI56-AJ56</f>
        <v>7</v>
      </c>
      <c r="AM56" s="123">
        <f>AL56-AL60</f>
        <v>14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90000010.209271982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7 - 0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3</v>
      </c>
      <c r="AL57" s="123">
        <f>AI57-AJ57</f>
        <v>0</v>
      </c>
      <c r="AM57" s="123">
        <f>AL57-AL60</f>
        <v>7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49805928.343482025</v>
      </c>
      <c r="AQ57" s="126">
        <f>VLOOKUP(AE57,db_fifarank,2,FALSE)</f>
        <v>1688.99</v>
      </c>
      <c r="AR57" s="125">
        <f>AP57/AP60</f>
        <v>0.55339913489200676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3 - 3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8.0396656653466784E-12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3 - 3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3</v>
      </c>
      <c r="AL59" s="123">
        <f>AI59-AJ59</f>
        <v>0</v>
      </c>
      <c r="AM59" s="123">
        <f>AL59-AL60</f>
        <v>7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49805928.343413003</v>
      </c>
      <c r="AQ59" s="126">
        <f>VLOOKUP(AE59,db_fifarank,2,FALSE)</f>
        <v>1550.94</v>
      </c>
      <c r="AR59" s="125">
        <f>AP59/AP60</f>
        <v>0.55339913489123982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15</v>
      </c>
      <c r="AN60" s="123">
        <f>MAX(AN56:AN59)+1</f>
        <v>10</v>
      </c>
      <c r="AO60" s="123">
        <f>MAX(AO56:AO59)+1</f>
        <v>10</v>
      </c>
      <c r="AP60" s="123">
        <f>MAX(AP56:AP59)+1</f>
        <v>90000011.209271982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0</v>
      </c>
      <c r="AL62" s="123">
        <f>AI62-AJ62</f>
        <v>8</v>
      </c>
      <c r="AM62" s="123">
        <f>AL62-AL66</f>
        <v>15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90000010.264826313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0</v>
      </c>
      <c r="BN62" s="63">
        <v>0</v>
      </c>
      <c r="BO62" s="25">
        <v>4</v>
      </c>
      <c r="BP62" s="116">
        <f>IF(OR(BM62="",BM63="",AND(BN62="",BN63&lt;&gt;""),AND(BN63="",BN62&lt;&gt;""),AND(BO62="",BO63&lt;&gt;""),AND(BO63="",BO62&lt;&gt;"")),"",BM62*1000+BN62*10+BO62)</f>
        <v>4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1</v>
      </c>
      <c r="W63" s="123">
        <f t="shared" si="22"/>
        <v>1</v>
      </c>
      <c r="X63" s="123">
        <f t="shared" si="9"/>
        <v>1</v>
      </c>
      <c r="Y63" s="123">
        <f t="shared" si="10"/>
        <v>1</v>
      </c>
      <c r="Z63" s="123">
        <f t="shared" si="11"/>
        <v>1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4</v>
      </c>
      <c r="AL63" s="123">
        <f>AI63-AJ63</f>
        <v>-3</v>
      </c>
      <c r="AM63" s="123">
        <f>AL63-AL66</f>
        <v>4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30000002.61189324</v>
      </c>
      <c r="AQ63" s="126">
        <f>VLOOKUP(AE63,db_fifarank,2,FALSE)</f>
        <v>1564.26</v>
      </c>
      <c r="AR63" s="125">
        <f>AP63/AP66</f>
        <v>0.33333332063279197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Iran</v>
      </c>
      <c r="BM63" s="62">
        <v>0</v>
      </c>
      <c r="BN63" s="64">
        <v>0</v>
      </c>
      <c r="BO63" s="27">
        <v>2</v>
      </c>
      <c r="BP63" s="112">
        <f>IF(BP62="","",BM63*1000+BN63*10+BO63)</f>
        <v>2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4 - 2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2</v>
      </c>
      <c r="AL64" s="123">
        <f>AI64-AJ64</f>
        <v>2</v>
      </c>
      <c r="AM64" s="123">
        <f>AL64-AL66</f>
        <v>9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60000006.070241176</v>
      </c>
      <c r="AQ64" s="126">
        <f>VLOOKUP(AE64,db_fifarank,2,FALSE)</f>
        <v>1593.45</v>
      </c>
      <c r="AR64" s="125">
        <f>AP64/AP66</f>
        <v>0.66666665067063502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>
        <v>2</v>
      </c>
      <c r="CC64" s="25"/>
      <c r="CD64" s="116">
        <f>IF(OR(CA64="",CA65="",AND(CB64="",CB65&lt;&gt;""),AND(CB65="",CB64&lt;&gt;""),AND(CC64="",CC65&lt;&gt;""),AND(CC65="",CC64&lt;&gt;"")),"",CA64*1000+CB64*10+CC64)</f>
        <v>1020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1 - 4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7.7302768102197149E-12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>
        <v>1</v>
      </c>
      <c r="CC65" s="27"/>
      <c r="CD65" s="112">
        <f>IF(CD64="","",CA65*1000+CB65*10+CC65)</f>
        <v>1010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9</v>
      </c>
      <c r="AL66" s="123">
        <f>MIN(AL62:AL65)</f>
        <v>-7</v>
      </c>
      <c r="AM66" s="123">
        <f>MAX(AM62:AM65)+1</f>
        <v>16</v>
      </c>
      <c r="AN66" s="123">
        <f>MAX(AN62:AN65)+1</f>
        <v>10</v>
      </c>
      <c r="AO66" s="123">
        <f>MAX(AO62:AO65)+1</f>
        <v>10</v>
      </c>
      <c r="AP66" s="123">
        <f>MAX(AP62:AP65)+1</f>
        <v>90000011.264826313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13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90000010.175485089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5</v>
      </c>
      <c r="AL69" s="123">
        <f>AI69-AJ69</f>
        <v>-4</v>
      </c>
      <c r="AM69" s="123">
        <f>AL69-AL72</f>
        <v>2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30000001.540421717</v>
      </c>
      <c r="AQ69" s="126">
        <f>VLOOKUP(AE69,db_fifarank,2,FALSE)</f>
        <v>1478.35</v>
      </c>
      <c r="AR69" s="125">
        <f>AP69/AP72</f>
        <v>0.33333330905844766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6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8.1407767669207837E-12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1 - 5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9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60000006.98497352</v>
      </c>
      <c r="AQ71" s="126">
        <f>VLOOKUP(AE71,db_fifarank,2,FALSE)</f>
        <v>1693.09</v>
      </c>
      <c r="AR71" s="125">
        <f>AP71/AP72</f>
        <v>0.6666666614961132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Norway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0 - 6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9</v>
      </c>
      <c r="AL72" s="123">
        <f>MIN(AL68:AL71)</f>
        <v>-6</v>
      </c>
      <c r="AM72" s="123">
        <f>MAX(AM68:AM71)+1</f>
        <v>14</v>
      </c>
      <c r="AN72" s="123">
        <f>MAX(AN68:AN71)+1</f>
        <v>10</v>
      </c>
      <c r="AO72" s="123">
        <f>MAX(AO68:AO71)+1</f>
        <v>10</v>
      </c>
      <c r="AP72" s="123">
        <f>MAX(AP68:AP71)+1</f>
        <v>90000011.175485089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1</v>
      </c>
      <c r="AL74" s="123">
        <f>AI74-AJ74</f>
        <v>6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90000010.042579651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2</v>
      </c>
      <c r="AL75" s="123">
        <f>AI75-AJ75</f>
        <v>3</v>
      </c>
      <c r="AM75" s="123">
        <f>AL75-AL78</f>
        <v>8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60000007.292525202</v>
      </c>
      <c r="AQ75" s="126">
        <f>VLOOKUP(AE75,db_fifarank,2,FALSE)</f>
        <v>1717.07</v>
      </c>
      <c r="AR75" s="125">
        <f>AP75/AP78</f>
        <v>0.6666666658978383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5 - 2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5</v>
      </c>
      <c r="AL76" s="123">
        <f>AI76-AJ76</f>
        <v>-4</v>
      </c>
      <c r="AM76" s="123">
        <f>AL76-AL78</f>
        <v>1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19805924.259977363</v>
      </c>
      <c r="AQ76" s="126">
        <f>VLOOKUP(AE76,db_fifarank,2,FALSE)</f>
        <v>1346.31</v>
      </c>
      <c r="AR76" s="125">
        <f>AP76/AP78</f>
        <v>0.220065798109814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1 - 5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6</v>
      </c>
      <c r="AL77" s="123">
        <f>AI77-AJ77</f>
        <v>-5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19805923.426741194</v>
      </c>
      <c r="AQ77" s="126">
        <f>VLOOKUP(AE77,db_fifarank,2,FALSE)</f>
        <v>1540.64</v>
      </c>
      <c r="AR77" s="125">
        <f>AP77/AP78</f>
        <v>0.22006578885163547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8</v>
      </c>
      <c r="AL78" s="123">
        <f>MIN(AL74:AL77)</f>
        <v>-5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90000011.042579651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4</v>
      </c>
      <c r="AN80" s="123">
        <f>VLOOKUP($AE80,$AE$8:$AQ$78,10,FALSE)</f>
        <v>4</v>
      </c>
      <c r="AP80" s="123">
        <f>AN80/AN92*10000+AM80/AM92*1000+AI80/AI92*100+IF(AQ80=0,ROW(),AQ80)/2000000</f>
        <v>8726.6674609966667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7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6560.0006929199999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Sweden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3</v>
      </c>
      <c r="AJ82" s="123">
        <f t="shared" si="42"/>
        <v>4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4</v>
      </c>
      <c r="AP82" s="123">
        <f>AN82/AN92*10000+AM82/AM92*1000+AI82/AI92*100+IF(AQ82=0,ROW(),AQ82)/2000000</f>
        <v>8560.0007491750002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Ⓐ Korea Republic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11</v>
      </c>
      <c r="AE83" s="124" t="str">
        <f>J29</f>
        <v>Paraguay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2</v>
      </c>
      <c r="AJ83" s="123">
        <f t="shared" si="42"/>
        <v>4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2</v>
      </c>
      <c r="AP83" s="123">
        <f>AN83/AN92*10000+AM83/AM92*1000+AI83/AI92*100+IF(AQ83=0,ROW(),AQ83)/2000000</f>
        <v>4373.3340850833329</v>
      </c>
      <c r="AQ83" s="126">
        <f t="shared" si="37"/>
        <v>1503.5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Norway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3 - 3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4</v>
      </c>
      <c r="AJ84" s="123">
        <f t="shared" si="42"/>
        <v>3</v>
      </c>
      <c r="AK84" s="123" t="s">
        <v>3185</v>
      </c>
      <c r="AL84" s="123">
        <f t="shared" si="43"/>
        <v>1</v>
      </c>
      <c r="AM84" s="123">
        <f t="shared" si="44"/>
        <v>5</v>
      </c>
      <c r="AN84" s="123">
        <f t="shared" si="45"/>
        <v>4</v>
      </c>
      <c r="AP84" s="123">
        <f>AN84/AN92*10000+AM84/AM92*1000+AI84/AI92*100+IF(AQ84=0,ROW(),AQ84)/2000000</f>
        <v>8913.3340998233343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4</v>
      </c>
      <c r="AJ85" s="123">
        <f t="shared" si="42"/>
        <v>3</v>
      </c>
      <c r="AK85" s="123" t="s">
        <v>3186</v>
      </c>
      <c r="AL85" s="123">
        <f t="shared" si="43"/>
        <v>1</v>
      </c>
      <c r="AM85" s="123">
        <f t="shared" si="44"/>
        <v>5</v>
      </c>
      <c r="AN85" s="123">
        <f t="shared" si="45"/>
        <v>4</v>
      </c>
      <c r="AP85" s="123">
        <f>AN85/AN92*10000+AM85/AM92*1000+AI85/AI92*100+IF(AQ85=0,ROW(),AQ85)/2000000</f>
        <v>8913.3340907183338</v>
      </c>
      <c r="AQ85" s="126">
        <f t="shared" si="37"/>
        <v>1514.77</v>
      </c>
      <c r="AR85" s="125" t="str">
        <f t="shared" si="50"/>
        <v>ABCEF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Egypt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2 - 4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6</v>
      </c>
      <c r="AE86" s="124" t="str">
        <f>J47</f>
        <v>Egypt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4</v>
      </c>
      <c r="AP86" s="123">
        <f>AN86/AN92*10000+AM86/AM92*1000+AI86/AI92*100+IF(AQ86=0,ROW(),AQ86)/2000000</f>
        <v>8373.3341149533335</v>
      </c>
      <c r="AQ86" s="126">
        <f t="shared" si="37"/>
        <v>1563.24</v>
      </c>
      <c r="AR86" s="125" t="str">
        <f t="shared" si="50"/>
        <v>ABCEFG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Ⓑ Bosnia and Herzegovina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6020.0007107150004</v>
      </c>
      <c r="AQ87" s="126">
        <f t="shared" si="37"/>
        <v>1421.43</v>
      </c>
      <c r="AR87" s="125" t="str">
        <f t="shared" si="50"/>
        <v>ABCEFG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Ⓙ Algeria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4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3</v>
      </c>
      <c r="AJ88" s="123">
        <f t="shared" si="42"/>
        <v>3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8726.6674421366661</v>
      </c>
      <c r="AQ88" s="126">
        <f t="shared" si="37"/>
        <v>1550.94</v>
      </c>
      <c r="AR88" s="125" t="str">
        <f t="shared" si="50"/>
        <v>ABCEFGI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DR Congo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8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1</v>
      </c>
      <c r="AJ89" s="123">
        <f t="shared" si="42"/>
        <v>4</v>
      </c>
      <c r="AK89" s="123" t="s">
        <v>3190</v>
      </c>
      <c r="AL89" s="123">
        <f t="shared" si="43"/>
        <v>-3</v>
      </c>
      <c r="AM89" s="123">
        <f t="shared" si="44"/>
        <v>1</v>
      </c>
      <c r="AN89" s="123">
        <f t="shared" si="45"/>
        <v>3</v>
      </c>
      <c r="AP89" s="123">
        <f>AN89/AN92*10000+AM89/AM92*1000+AI89/AI92*100+IF(AQ89=0,ROW(),AQ89)/2000000</f>
        <v>6186.6674487966666</v>
      </c>
      <c r="AQ89" s="126">
        <f t="shared" si="37"/>
        <v>1564.26</v>
      </c>
      <c r="AR89" s="125" t="str">
        <f t="shared" si="50"/>
        <v>ABCEFGIJ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Saudi Arabia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1 - 5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9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5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6020.0007391749996</v>
      </c>
      <c r="AQ90" s="126">
        <f t="shared" si="37"/>
        <v>1478.35</v>
      </c>
      <c r="AR90" s="125" t="str">
        <f t="shared" si="50"/>
        <v>ABCEFGIJ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Paraguay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2 - 4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12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5</v>
      </c>
      <c r="AK91" s="123" t="s">
        <v>3192</v>
      </c>
      <c r="AL91" s="123">
        <f>VLOOKUP($AE91,$AE$8:$AQ$78,8,FALSE)</f>
        <v>-4</v>
      </c>
      <c r="AM91" s="123">
        <f t="shared" si="44"/>
        <v>0</v>
      </c>
      <c r="AN91" s="123">
        <f>VLOOKUP($AE91,$AE$8:$AQ$78,10,FALSE)</f>
        <v>1</v>
      </c>
      <c r="AP91" s="123">
        <f>AN91/AN92*10000+AM91/AM92*1000+AI91/AI92*100+IF(AQ91=0,ROW(),AQ91)/2000000</f>
        <v>2020.000673155</v>
      </c>
      <c r="AQ91" s="126">
        <f t="shared" si="37"/>
        <v>1346.31</v>
      </c>
      <c r="AR91" s="125" t="str">
        <f t="shared" si="50"/>
        <v>ABCEFGIJ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Ⓛ Ghana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6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421</v>
      </c>
      <c r="C3" s="121" t="str">
        <f>'2026 World Cup'!AR91</f>
        <v>ABCEFGIJ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3J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Gerardo González García</cp:lastModifiedBy>
  <cp:revision/>
  <dcterms:created xsi:type="dcterms:W3CDTF">2017-12-27T19:32:51Z</dcterms:created>
  <dcterms:modified xsi:type="dcterms:W3CDTF">2026-06-01T08:30:15Z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