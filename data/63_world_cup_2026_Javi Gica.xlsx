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1C9E2E2-C537-424A-BEEE-77BC9006C28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5" i="3"/>
  <c r="S47" i="3"/>
  <c r="S67" i="3"/>
  <c r="T23" i="3"/>
  <c r="T48" i="3"/>
  <c r="T43" i="3"/>
  <c r="S72" i="3"/>
  <c r="S70" i="3"/>
  <c r="S42" i="3"/>
  <c r="S64" i="3"/>
  <c r="S40" i="3"/>
  <c r="S62" i="3"/>
  <c r="T61" i="3"/>
  <c r="S38" i="3"/>
  <c r="S65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3" i="3" l="1"/>
  <c r="AR34" i="3"/>
  <c r="AD57" i="3"/>
  <c r="AR35" i="3"/>
  <c r="AR9" i="3"/>
  <c r="AR22" i="3"/>
  <c r="AR10" i="3"/>
  <c r="AR11" i="3"/>
  <c r="AR28" i="3"/>
  <c r="AR21" i="3"/>
  <c r="AD5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5" i="3" l="1"/>
  <c r="AD34" i="3"/>
  <c r="AD32" i="3"/>
  <c r="J33" i="3" s="1"/>
  <c r="AS32" i="3" s="1"/>
  <c r="BL10" i="3" s="1"/>
  <c r="AD33" i="3"/>
  <c r="AD9" i="3"/>
  <c r="AD11" i="3"/>
  <c r="AD10" i="3"/>
  <c r="AD8" i="3"/>
  <c r="M58" i="3"/>
  <c r="AD28" i="3"/>
  <c r="AD22" i="3"/>
  <c r="AD75" i="3"/>
  <c r="AD53" i="3"/>
  <c r="AD77" i="3"/>
  <c r="AD68" i="3"/>
  <c r="L69" i="3" s="1"/>
  <c r="AD44" i="3"/>
  <c r="AD70" i="3"/>
  <c r="AD41" i="3"/>
  <c r="L59" i="3"/>
  <c r="N58" i="3"/>
  <c r="AD26" i="3"/>
  <c r="AD63" i="3"/>
  <c r="L58" i="3"/>
  <c r="AD20" i="3"/>
  <c r="AD47" i="3"/>
  <c r="AD76" i="3"/>
  <c r="O60" i="3"/>
  <c r="AD21" i="3"/>
  <c r="AD74" i="3"/>
  <c r="L75" i="3" s="1"/>
  <c r="AD71" i="3"/>
  <c r="M59" i="3"/>
  <c r="P59" i="3" s="1"/>
  <c r="AD14" i="3"/>
  <c r="AD15" i="3"/>
  <c r="AD27" i="3"/>
  <c r="AD29" i="3"/>
  <c r="AD62" i="3"/>
  <c r="M63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K59" i="3" s="1"/>
  <c r="AD17" i="3"/>
  <c r="O33" i="3" l="1"/>
  <c r="J36" i="3"/>
  <c r="L33" i="3"/>
  <c r="N33" i="3"/>
  <c r="J35" i="3"/>
  <c r="AE84" i="3" s="1"/>
  <c r="AQ84" i="3" s="1"/>
  <c r="M33" i="3"/>
  <c r="N34" i="3"/>
  <c r="L34" i="3"/>
  <c r="O35" i="3"/>
  <c r="M35" i="3"/>
  <c r="N35" i="3"/>
  <c r="M36" i="3"/>
  <c r="N36" i="3"/>
  <c r="L35" i="3"/>
  <c r="O34" i="3"/>
  <c r="J34" i="3"/>
  <c r="AS33" i="3" s="1"/>
  <c r="BL46" i="3" s="1"/>
  <c r="M34" i="3"/>
  <c r="O36" i="3"/>
  <c r="L36" i="3"/>
  <c r="N12" i="3"/>
  <c r="J12" i="3"/>
  <c r="O10" i="3"/>
  <c r="L10" i="3"/>
  <c r="J9" i="3"/>
  <c r="AS8" i="3" s="1"/>
  <c r="BL50" i="3" s="1"/>
  <c r="M12" i="3"/>
  <c r="N10" i="3"/>
  <c r="O12" i="3"/>
  <c r="J10" i="3"/>
  <c r="AS9" i="3" s="1"/>
  <c r="BL18" i="3" s="1"/>
  <c r="M10" i="3"/>
  <c r="N9" i="3"/>
  <c r="M11" i="3"/>
  <c r="J11" i="3"/>
  <c r="AE80" i="3" s="1"/>
  <c r="AQ80" i="3" s="1"/>
  <c r="L11" i="3"/>
  <c r="L12" i="3"/>
  <c r="O9" i="3"/>
  <c r="N11" i="3"/>
  <c r="O11" i="3"/>
  <c r="L9" i="3"/>
  <c r="M9" i="3"/>
  <c r="P58" i="3"/>
  <c r="N45" i="3"/>
  <c r="O69" i="3"/>
  <c r="N69" i="3"/>
  <c r="M69" i="3"/>
  <c r="P69" i="3" s="1"/>
  <c r="J69" i="3"/>
  <c r="AS68" i="3" s="1"/>
  <c r="BL70" i="3" s="1"/>
  <c r="J51" i="3"/>
  <c r="AS50" i="3" s="1"/>
  <c r="BL30" i="3" s="1"/>
  <c r="O45" i="3"/>
  <c r="L45" i="3"/>
  <c r="M45" i="3"/>
  <c r="M47" i="3"/>
  <c r="J45" i="3"/>
  <c r="AS44" i="3" s="1"/>
  <c r="BL38" i="3" s="1"/>
  <c r="J21" i="3"/>
  <c r="AS20" i="3" s="1"/>
  <c r="BL42" i="3" s="1"/>
  <c r="BS44" i="3" s="1"/>
  <c r="BZ48" i="3" s="1"/>
  <c r="O24" i="3"/>
  <c r="L63" i="3"/>
  <c r="P63" i="3" s="1"/>
  <c r="L29" i="3"/>
  <c r="M27" i="3"/>
  <c r="N27" i="3"/>
  <c r="L27" i="3"/>
  <c r="J27" i="3"/>
  <c r="AS26" i="3" s="1"/>
  <c r="BL34" i="3" s="1"/>
  <c r="J75" i="3"/>
  <c r="AS74" i="3" s="1"/>
  <c r="BL54" i="3" s="1"/>
  <c r="O27" i="3"/>
  <c r="J30" i="3"/>
  <c r="N77" i="3"/>
  <c r="J47" i="3"/>
  <c r="AE86" i="3" s="1"/>
  <c r="AQ86" i="3" s="1"/>
  <c r="N51" i="3"/>
  <c r="O30" i="3"/>
  <c r="L54" i="3"/>
  <c r="O46" i="3"/>
  <c r="O70" i="3"/>
  <c r="L51" i="3"/>
  <c r="L47" i="3"/>
  <c r="L30" i="3"/>
  <c r="M51" i="3"/>
  <c r="N47" i="3"/>
  <c r="N30" i="3"/>
  <c r="J29" i="3"/>
  <c r="AE83" i="3" s="1"/>
  <c r="AQ83" i="3" s="1"/>
  <c r="N53" i="3"/>
  <c r="M54" i="3"/>
  <c r="J16" i="3"/>
  <c r="AS15" i="3" s="1"/>
  <c r="BL19" i="3" s="1"/>
  <c r="M30" i="3"/>
  <c r="N29" i="3"/>
  <c r="O51" i="3"/>
  <c r="O47" i="3"/>
  <c r="O29" i="3"/>
  <c r="M29" i="3"/>
  <c r="O66" i="3"/>
  <c r="J28" i="3"/>
  <c r="AS27" i="3" s="1"/>
  <c r="BL62" i="3" s="1"/>
  <c r="BS61" i="3" s="1"/>
  <c r="J66" i="3"/>
  <c r="N28" i="3"/>
  <c r="O28" i="3"/>
  <c r="K58" i="3"/>
  <c r="L28" i="3"/>
  <c r="J42" i="3"/>
  <c r="P57" i="3"/>
  <c r="M28" i="3"/>
  <c r="J24" i="3"/>
  <c r="L65" i="3"/>
  <c r="O23" i="3"/>
  <c r="N24" i="3"/>
  <c r="L16" i="3"/>
  <c r="O64" i="3"/>
  <c r="J52" i="3"/>
  <c r="AS51" i="3" s="1"/>
  <c r="BL59" i="3" s="1"/>
  <c r="N22" i="3"/>
  <c r="M24" i="3"/>
  <c r="O16" i="3"/>
  <c r="N21" i="3"/>
  <c r="L21" i="3"/>
  <c r="M16" i="3"/>
  <c r="AJ88" i="3"/>
  <c r="N17" i="3"/>
  <c r="L77" i="3"/>
  <c r="M21" i="3"/>
  <c r="L22" i="3"/>
  <c r="L24" i="3"/>
  <c r="J22" i="3"/>
  <c r="AS21" i="3" s="1"/>
  <c r="BL23" i="3" s="1"/>
  <c r="N16" i="3"/>
  <c r="L78" i="3"/>
  <c r="N70" i="3"/>
  <c r="L66" i="3"/>
  <c r="L64" i="3"/>
  <c r="M76" i="3"/>
  <c r="J63" i="3"/>
  <c r="AS62" i="3" s="1"/>
  <c r="BL58" i="3" s="1"/>
  <c r="BS60" i="3" s="1"/>
  <c r="BZ64" i="3" s="1"/>
  <c r="O65" i="3"/>
  <c r="O63" i="3"/>
  <c r="N54" i="3"/>
  <c r="L42" i="3"/>
  <c r="O22" i="3"/>
  <c r="O21" i="3"/>
  <c r="M22" i="3"/>
  <c r="L23" i="3"/>
  <c r="O17" i="3"/>
  <c r="M77" i="3"/>
  <c r="M78" i="3"/>
  <c r="N75" i="3"/>
  <c r="J39" i="3"/>
  <c r="AS38" i="3" s="1"/>
  <c r="BL22" i="3" s="1"/>
  <c r="J77" i="3"/>
  <c r="AE91" i="3" s="1"/>
  <c r="AQ91" i="3" s="1"/>
  <c r="O76" i="3"/>
  <c r="N78" i="3"/>
  <c r="N76" i="3"/>
  <c r="O75" i="3"/>
  <c r="N72" i="3"/>
  <c r="J48" i="3"/>
  <c r="L18" i="3"/>
  <c r="M18" i="3"/>
  <c r="J76" i="3"/>
  <c r="AS75" i="3" s="1"/>
  <c r="BL27" i="3" s="1"/>
  <c r="J78" i="3"/>
  <c r="J70" i="3"/>
  <c r="AS69" i="3" s="1"/>
  <c r="BL26" i="3" s="1"/>
  <c r="O77" i="3"/>
  <c r="O78" i="3"/>
  <c r="L76" i="3"/>
  <c r="M75" i="3"/>
  <c r="N71" i="3"/>
  <c r="M46" i="3"/>
  <c r="M39" i="3"/>
  <c r="J71" i="3"/>
  <c r="AE90" i="3" s="1"/>
  <c r="AQ90" i="3" s="1"/>
  <c r="M72" i="3"/>
  <c r="M71" i="3"/>
  <c r="M70" i="3"/>
  <c r="L48" i="3"/>
  <c r="L46" i="3"/>
  <c r="M42" i="3"/>
  <c r="O42" i="3"/>
  <c r="L39" i="3"/>
  <c r="J40" i="3"/>
  <c r="AS39" i="3" s="1"/>
  <c r="BL43" i="3" s="1"/>
  <c r="N18" i="3"/>
  <c r="J18" i="3"/>
  <c r="L15" i="3"/>
  <c r="L72" i="3"/>
  <c r="P72" i="3" s="1"/>
  <c r="M41" i="3"/>
  <c r="J72" i="3"/>
  <c r="L71" i="3"/>
  <c r="L70" i="3"/>
  <c r="M48" i="3"/>
  <c r="N48" i="3"/>
  <c r="O48" i="3"/>
  <c r="N46" i="3"/>
  <c r="J46" i="3"/>
  <c r="AS45" i="3" s="1"/>
  <c r="BL63" i="3" s="1"/>
  <c r="N40" i="3"/>
  <c r="L40" i="3"/>
  <c r="O40" i="3"/>
  <c r="J41" i="3"/>
  <c r="AE85" i="3" s="1"/>
  <c r="AQ85" i="3" s="1"/>
  <c r="O18" i="3"/>
  <c r="L17" i="3"/>
  <c r="O72" i="3"/>
  <c r="O71" i="3"/>
  <c r="O39" i="3"/>
  <c r="M40" i="3"/>
  <c r="N39" i="3"/>
  <c r="M17" i="3"/>
  <c r="K57" i="3"/>
  <c r="J64" i="3"/>
  <c r="AS63" i="3" s="1"/>
  <c r="BL31" i="3" s="1"/>
  <c r="N66" i="3"/>
  <c r="N65" i="3"/>
  <c r="N64" i="3"/>
  <c r="N63" i="3"/>
  <c r="N52" i="3"/>
  <c r="AI88" i="3"/>
  <c r="J65" i="3"/>
  <c r="AE89" i="3" s="1"/>
  <c r="AQ89" i="3" s="1"/>
  <c r="M66" i="3"/>
  <c r="M65" i="3"/>
  <c r="M64" i="3"/>
  <c r="AT88" i="3"/>
  <c r="AG88" i="3"/>
  <c r="O54" i="3"/>
  <c r="AN88" i="3"/>
  <c r="AF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P23" i="3" s="1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84" i="3"/>
  <c r="AG84" i="3"/>
  <c r="AI84" i="3"/>
  <c r="AJ84" i="3"/>
  <c r="AL84" i="3"/>
  <c r="AT84" i="3"/>
  <c r="S91" i="3" l="1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33" i="3"/>
  <c r="P35" i="3"/>
  <c r="K33" i="3"/>
  <c r="AN84" i="3"/>
  <c r="AH84" i="3"/>
  <c r="K34" i="3"/>
  <c r="P36" i="3"/>
  <c r="K35" i="3"/>
  <c r="K36" i="3"/>
  <c r="P34" i="3"/>
  <c r="AF91" i="3"/>
  <c r="K10" i="3"/>
  <c r="P10" i="3"/>
  <c r="P12" i="3"/>
  <c r="AN80" i="3"/>
  <c r="AH80" i="3"/>
  <c r="AG80" i="3"/>
  <c r="AF80" i="3"/>
  <c r="AL80" i="3"/>
  <c r="AJ80" i="3"/>
  <c r="AT80" i="3"/>
  <c r="AI80" i="3"/>
  <c r="K11" i="3"/>
  <c r="K9" i="3"/>
  <c r="P11" i="3"/>
  <c r="P9" i="3"/>
  <c r="K12" i="3"/>
  <c r="K63" i="3"/>
  <c r="P47" i="3"/>
  <c r="K69" i="3"/>
  <c r="P45" i="3"/>
  <c r="K45" i="3"/>
  <c r="K29" i="3"/>
  <c r="AT85" i="3"/>
  <c r="P71" i="3"/>
  <c r="AI85" i="3"/>
  <c r="P29" i="3"/>
  <c r="K27" i="3"/>
  <c r="AJ86" i="3"/>
  <c r="P27" i="3"/>
  <c r="AT83" i="3"/>
  <c r="AF86" i="3"/>
  <c r="P30" i="3"/>
  <c r="AT86" i="3"/>
  <c r="AI86" i="3"/>
  <c r="AI83" i="3"/>
  <c r="AN86" i="3"/>
  <c r="AH86" i="3"/>
  <c r="K51" i="3"/>
  <c r="AG81" i="3"/>
  <c r="AL86" i="3"/>
  <c r="AG86" i="3"/>
  <c r="AF87" i="3"/>
  <c r="AN90" i="3"/>
  <c r="P54" i="3"/>
  <c r="K47" i="3"/>
  <c r="AF90" i="3"/>
  <c r="AI82" i="3"/>
  <c r="P21" i="3"/>
  <c r="K16" i="3"/>
  <c r="K30" i="3"/>
  <c r="AN83" i="3"/>
  <c r="AH83" i="3"/>
  <c r="P28" i="3"/>
  <c r="AL83" i="3"/>
  <c r="AG83" i="3"/>
  <c r="AL81" i="3"/>
  <c r="AJ83" i="3"/>
  <c r="AF83" i="3"/>
  <c r="AL87" i="3"/>
  <c r="AJ91" i="3"/>
  <c r="P46" i="3"/>
  <c r="K54" i="3"/>
  <c r="P51" i="3"/>
  <c r="P40" i="3"/>
  <c r="P66" i="3"/>
  <c r="P77" i="3"/>
  <c r="K21" i="3"/>
  <c r="AH82" i="3"/>
  <c r="K28" i="3"/>
  <c r="AI90" i="3"/>
  <c r="K53" i="3"/>
  <c r="K15" i="3"/>
  <c r="P17" i="3"/>
  <c r="P48" i="3"/>
  <c r="K78" i="3"/>
  <c r="P22" i="3"/>
  <c r="P65" i="3"/>
  <c r="AJ90" i="3"/>
  <c r="AT82" i="3"/>
  <c r="AG82" i="3"/>
  <c r="AN82" i="3"/>
  <c r="AT90" i="3"/>
  <c r="AH90" i="3"/>
  <c r="K77" i="3"/>
  <c r="AN85" i="3"/>
  <c r="AH85" i="3"/>
  <c r="P78" i="3"/>
  <c r="P15" i="3"/>
  <c r="K72" i="3"/>
  <c r="P18" i="3"/>
  <c r="K17" i="3"/>
  <c r="K22" i="3"/>
  <c r="AL85" i="3"/>
  <c r="AG85" i="3"/>
  <c r="AJ82" i="3"/>
  <c r="AF82" i="3"/>
  <c r="AJ85" i="3"/>
  <c r="AF85" i="3"/>
  <c r="AL90" i="3"/>
  <c r="AG90" i="3"/>
  <c r="P52" i="3"/>
  <c r="P41" i="3"/>
  <c r="P76" i="3"/>
  <c r="K65" i="3"/>
  <c r="K66" i="3"/>
  <c r="K46" i="3"/>
  <c r="K71" i="3"/>
  <c r="P64" i="3"/>
  <c r="K24" i="3"/>
  <c r="P16" i="3"/>
  <c r="AJ81" i="3"/>
  <c r="AF81" i="3"/>
  <c r="AJ87" i="3"/>
  <c r="AT91" i="3"/>
  <c r="AI91" i="3"/>
  <c r="AT81" i="3"/>
  <c r="AI81" i="3"/>
  <c r="K18" i="3"/>
  <c r="AT87" i="3"/>
  <c r="AH87" i="3"/>
  <c r="AN91" i="3"/>
  <c r="AH91" i="3"/>
  <c r="K64" i="3"/>
  <c r="K40" i="3"/>
  <c r="K48" i="3"/>
  <c r="P70" i="3"/>
  <c r="P39" i="3"/>
  <c r="K75" i="3"/>
  <c r="K42" i="3"/>
  <c r="P24" i="3"/>
  <c r="AN81" i="3"/>
  <c r="AH81" i="3"/>
  <c r="AN87" i="3"/>
  <c r="AG87" i="3"/>
  <c r="AL91" i="3"/>
  <c r="AG91" i="3"/>
  <c r="K41" i="3"/>
  <c r="P42" i="3"/>
  <c r="AT89" i="3"/>
  <c r="K39" i="3"/>
  <c r="AI89" i="3"/>
  <c r="K76" i="3"/>
  <c r="AN89" i="3"/>
  <c r="AH89" i="3"/>
  <c r="AL89" i="3"/>
  <c r="AG89" i="3"/>
  <c r="K70" i="3"/>
  <c r="AJ89" i="3"/>
  <c r="AF89" i="3"/>
  <c r="P53" i="3"/>
  <c r="K23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S96" i="3"/>
  <c r="T96" i="3" s="1" a="1"/>
  <c r="T96" i="3" s="1"/>
  <c r="AF92" i="3"/>
  <c r="AJ92" i="3"/>
  <c r="AN92" i="3"/>
  <c r="AG92" i="3"/>
  <c r="AH92" i="3"/>
  <c r="AS92" i="3"/>
  <c r="AI92" i="3"/>
  <c r="AL92" i="3"/>
  <c r="AM88" i="3" s="1"/>
  <c r="S103" i="3" l="1"/>
  <c r="T103" i="3" s="1" a="1"/>
  <c r="T103" i="3" s="1"/>
  <c r="CG24" i="3"/>
  <c r="S111" i="3" s="1"/>
  <c r="T111" i="3" s="1"/>
  <c r="S102" i="3"/>
  <c r="T102" i="3" s="1" a="1"/>
  <c r="T102" i="3" s="1"/>
  <c r="CG23" i="3"/>
  <c r="AM89" i="3"/>
  <c r="AM85" i="3"/>
  <c r="AM86" i="3"/>
  <c r="AM80" i="3"/>
  <c r="AM83" i="3"/>
  <c r="AM87" i="3"/>
  <c r="AM90" i="3"/>
  <c r="AM84" i="3"/>
  <c r="AM81" i="3"/>
  <c r="AM82" i="3"/>
  <c r="AM91" i="3"/>
  <c r="S85" i="3"/>
  <c r="T85" i="3" s="1" a="1"/>
  <c r="T85" i="3" s="1"/>
  <c r="BS13" i="3"/>
  <c r="S84" i="3"/>
  <c r="T84" i="3" s="1" a="1"/>
  <c r="T84" i="3" s="1"/>
  <c r="BS12" i="3"/>
  <c r="CN37" i="3" l="1"/>
  <c r="CN48" i="3"/>
  <c r="AM92" i="3"/>
  <c r="AP87" i="3" s="1"/>
  <c r="BZ16" i="3"/>
  <c r="U102" i="3" s="1"/>
  <c r="AC102" i="3" s="1" a="1"/>
  <c r="AC102" i="3" s="1"/>
  <c r="S95" i="3"/>
  <c r="T95" i="3" s="1" a="1"/>
  <c r="T95" i="3" s="1"/>
  <c r="AP85" i="3" l="1"/>
  <c r="AP84" i="3"/>
  <c r="AP91" i="3"/>
  <c r="AP81" i="3"/>
  <c r="AP83" i="3"/>
  <c r="AP80" i="3"/>
  <c r="AP82" i="3"/>
  <c r="AP88" i="3"/>
  <c r="AP90" i="3"/>
  <c r="AP89" i="3"/>
  <c r="AP86" i="3"/>
  <c r="AD84" i="3" l="1"/>
  <c r="AS84" i="3" s="1"/>
  <c r="AD85" i="3"/>
  <c r="AS85" i="3" s="1"/>
  <c r="AD90" i="3"/>
  <c r="AS90" i="3" s="1"/>
  <c r="AD81" i="3"/>
  <c r="AS81" i="3" s="1"/>
  <c r="AD80" i="3"/>
  <c r="AS80" i="3" s="1"/>
  <c r="AD82" i="3"/>
  <c r="AS82" i="3" s="1"/>
  <c r="AD86" i="3"/>
  <c r="AS86" i="3" s="1"/>
  <c r="AD87" i="3"/>
  <c r="AS87" i="3" s="1"/>
  <c r="AD91" i="3"/>
  <c r="AS91" i="3" s="1"/>
  <c r="AD89" i="3"/>
  <c r="AS89" i="3" s="1"/>
  <c r="AD88" i="3"/>
  <c r="AS88" i="3" s="1"/>
  <c r="AD83" i="3"/>
  <c r="AS83" i="3" s="1"/>
  <c r="O92" i="3" l="1"/>
  <c r="N92" i="3"/>
  <c r="J92" i="3"/>
  <c r="J81" i="3"/>
  <c r="L81" i="3"/>
  <c r="M81" i="3"/>
  <c r="L92" i="3"/>
  <c r="N81" i="3"/>
  <c r="M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1" i="3"/>
  <c r="N89" i="3"/>
  <c r="L89" i="3"/>
  <c r="O89" i="3"/>
  <c r="J89" i="3"/>
  <c r="M89" i="3"/>
  <c r="M82" i="3"/>
  <c r="L85" i="3"/>
  <c r="O85" i="3"/>
  <c r="M84" i="3"/>
  <c r="O88" i="3"/>
  <c r="L82" i="3"/>
  <c r="N82" i="3"/>
  <c r="M83" i="3"/>
  <c r="M90" i="3"/>
  <c r="N85" i="3"/>
  <c r="M87" i="3"/>
  <c r="O90" i="3"/>
  <c r="J88" i="3"/>
  <c r="J87" i="3"/>
  <c r="N84" i="3"/>
  <c r="O87" i="3"/>
  <c r="L87" i="3"/>
  <c r="O82" i="3"/>
  <c r="L90" i="3"/>
  <c r="L91" i="3"/>
  <c r="J84" i="3"/>
  <c r="J91" i="3"/>
  <c r="N86" i="3"/>
  <c r="J82" i="3"/>
  <c r="N83" i="3"/>
  <c r="M91" i="3"/>
  <c r="O91" i="3"/>
  <c r="J85" i="3"/>
  <c r="L88" i="3"/>
  <c r="L83" i="3"/>
  <c r="M88" i="3"/>
  <c r="J90" i="3"/>
  <c r="N87" i="3"/>
  <c r="N88" i="3"/>
  <c r="O84" i="3"/>
  <c r="J83" i="3"/>
  <c r="M86" i="3"/>
  <c r="L86" i="3"/>
  <c r="N91" i="3"/>
  <c r="O86" i="3"/>
  <c r="N90" i="3"/>
  <c r="J86" i="3"/>
  <c r="L84" i="3"/>
  <c r="M85" i="3"/>
  <c r="O83" i="3"/>
  <c r="P84" i="3" l="1"/>
  <c r="P92" i="3"/>
  <c r="K92" i="3"/>
  <c r="P81" i="3"/>
  <c r="K81" i="3"/>
  <c r="K89" i="3"/>
  <c r="K91" i="3"/>
  <c r="P88" i="3"/>
  <c r="P89" i="3"/>
  <c r="K82" i="3"/>
  <c r="J3" i="4"/>
  <c r="BL71" i="3" s="1"/>
  <c r="P82" i="3"/>
  <c r="P85" i="3"/>
  <c r="K3" i="4"/>
  <c r="K86" i="3"/>
  <c r="G3" i="4"/>
  <c r="BL11" i="3" s="1"/>
  <c r="P91" i="3"/>
  <c r="P83" i="3"/>
  <c r="D3" i="4"/>
  <c r="BL51" i="3" s="1"/>
  <c r="K88" i="3"/>
  <c r="P86" i="3"/>
  <c r="B3" i="4"/>
  <c r="I3" i="4"/>
  <c r="BL15" i="3" s="1"/>
  <c r="K83" i="3"/>
  <c r="K87" i="3"/>
  <c r="P90" i="3"/>
  <c r="H3" i="4"/>
  <c r="BL39" i="3" s="1"/>
  <c r="K85" i="3"/>
  <c r="K90" i="3"/>
  <c r="E3" i="4"/>
  <c r="BL67" i="3" s="1"/>
  <c r="K84" i="3"/>
  <c r="P87" i="3"/>
  <c r="BS53" i="3"/>
  <c r="BL55" i="3"/>
  <c r="BS52" i="3"/>
  <c r="BZ49" i="3" s="1"/>
  <c r="CG55" i="3" s="1"/>
  <c r="CN38" i="3" s="1"/>
  <c r="CK68" i="3" s="1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<sst xmlns="http://schemas.openxmlformats.org/spreadsheetml/2006/main" count="9785" uniqueCount="3699">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</sst>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N61" zoomScaleNormal="100" workbookViewId="0">
      <selection activeCell="CO50" sqref="CO50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6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90000009.429411933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0</v>
      </c>
      <c r="AN9" s="123">
        <f>AF9*3+AG9</f>
        <v>2</v>
      </c>
      <c r="AO9" s="123">
        <f>AN9/AN12*10+BA9</f>
        <v>2</v>
      </c>
      <c r="AP9" s="123">
        <f>AO9*10000000+BI9*100+AM9/AM12*10+AI9/AI12*1++IF(AQ9=0,ROW(),AQ9)/2000000</f>
        <v>20000000.286429152</v>
      </c>
      <c r="AQ9" s="126">
        <f>VLOOKUP(AE9,db_fifarank,2,FALSE)</f>
        <v>1429.73</v>
      </c>
      <c r="AR9" s="125">
        <f>AP9/AP12</f>
        <v>0.22222219965313655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4</v>
      </c>
      <c r="AL10" s="123">
        <f>AI10-AJ10</f>
        <v>-2</v>
      </c>
      <c r="AM10" s="123">
        <f>AL10-AL12</f>
        <v>0</v>
      </c>
      <c r="AN10" s="123">
        <f>AF10*3+AG10</f>
        <v>1</v>
      </c>
      <c r="AO10" s="123">
        <f>AN10/AN12*10+BA10</f>
        <v>1</v>
      </c>
      <c r="AP10" s="123">
        <f>AO10*10000000+BI10*100+AM10/AM12*10+AI10/AI12*1++IF(AQ10=0,ROW(),AQ10)/2000000</f>
        <v>10000000.286508616</v>
      </c>
      <c r="AQ10" s="126">
        <f>VLOOKUP(AE10,db_fifarank,2,FALSE)</f>
        <v>1588.66</v>
      </c>
      <c r="AR10" s="125">
        <f>AP10/AP12</f>
        <v>0.1111111014187241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2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40000003.286464974</v>
      </c>
      <c r="AQ11" s="126">
        <f>VLOOKUP(AE11,db_fifarank,2,FALSE)</f>
        <v>1501.38</v>
      </c>
      <c r="AR11" s="125">
        <f>AP11/AP12</f>
        <v>0.44444442945745488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7</v>
      </c>
      <c r="AN12" s="123">
        <f>MAX(AN8:AN11)+1</f>
        <v>10</v>
      </c>
      <c r="AO12" s="123">
        <f>MAX(AO8:AO11)+1</f>
        <v>10</v>
      </c>
      <c r="AP12" s="123">
        <f>MAX(AP8:AP11)+1</f>
        <v>90000010.429411933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3</v>
      </c>
      <c r="AL14" s="123">
        <f>AI14-AJ14</f>
        <v>-1</v>
      </c>
      <c r="AM14" s="123">
        <f>AL14-AL18</f>
        <v>2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40000002.556333803</v>
      </c>
      <c r="AQ14" s="126">
        <f>VLOOKUP(AE14,db_fifarank,2,FALSE)</f>
        <v>1556.48</v>
      </c>
      <c r="AR14" s="125">
        <f>AP14/AP18</f>
        <v>0.44444441989483813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3</v>
      </c>
      <c r="AL15" s="123">
        <f>AI15-AJ15</f>
        <v>-1</v>
      </c>
      <c r="AM15" s="123">
        <f>AL15-AL18</f>
        <v>2</v>
      </c>
      <c r="AN15" s="123">
        <f>AF15*3+AG15</f>
        <v>2</v>
      </c>
      <c r="AO15" s="123">
        <f>AN15/AN18*10+BA15</f>
        <v>2</v>
      </c>
      <c r="AP15" s="123">
        <f>AO15*10000000+BI15*100+AM15/AM18*10+AI15/AI18*1++IF(AQ15=0,ROW(),AQ15)/2000000</f>
        <v>20000002.556248475</v>
      </c>
      <c r="AQ15" s="126">
        <f>VLOOKUP(AE15,db_fifarank,2,FALSE)</f>
        <v>1385.84</v>
      </c>
      <c r="AR15" s="125">
        <f>AP15/AP18</f>
        <v>0.22222222414832374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10000000.167394146</v>
      </c>
      <c r="AQ16" s="126">
        <f>VLOOKUP(AE16,db_fifarank,2,FALSE)</f>
        <v>1454.96</v>
      </c>
      <c r="AR16" s="125">
        <f>AP16/AP18</f>
        <v>0.11111109973271789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0</v>
      </c>
      <c r="AL17" s="123">
        <f>AI17-AJ17</f>
        <v>5</v>
      </c>
      <c r="AM17" s="123">
        <f>AL17-AL18</f>
        <v>8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90000009.723046929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6</v>
      </c>
      <c r="AL18" s="123">
        <f>MIN(AL14:AL17)</f>
        <v>-3</v>
      </c>
      <c r="AM18" s="123">
        <f>MAX(AM14:AM17)+1</f>
        <v>9</v>
      </c>
      <c r="AN18" s="123">
        <f>MAX(AN14:AN17)+1</f>
        <v>10</v>
      </c>
      <c r="AO18" s="123">
        <f>MAX(AO14:AO17)+1</f>
        <v>10</v>
      </c>
      <c r="AP18" s="123">
        <f>MAX(AP14:AP17)+1</f>
        <v>90000010.723046929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14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97305933.510184795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1</v>
      </c>
      <c r="AL21" s="123">
        <f>AI21-AJ21</f>
        <v>4</v>
      </c>
      <c r="AM21" s="123">
        <f>AL21-AL24</f>
        <v>13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97305932.593515486</v>
      </c>
      <c r="AQ21" s="126">
        <f>VLOOKUP(AE21,db_fifarank,2,FALSE)</f>
        <v>1755.87</v>
      </c>
      <c r="AR21" s="125">
        <f>AP21/AP24</f>
        <v>0.99999998030264736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5 - 1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6.637364958787789E-12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3 - 3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3</v>
      </c>
      <c r="AL23" s="123">
        <f>AI23-AJ23</f>
        <v>0</v>
      </c>
      <c r="AM23" s="123">
        <f>AL23-AL24</f>
        <v>9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37500006.375749178</v>
      </c>
      <c r="AQ23" s="126">
        <f>VLOOKUP(AE23,db_fifarank,2,FALSE)</f>
        <v>1498.35</v>
      </c>
      <c r="AR23" s="125">
        <f>AP23/AP24</f>
        <v>0.38538252126671818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Morocco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-9</v>
      </c>
      <c r="AM24" s="123">
        <f>MAX(AM20:AM23)+1</f>
        <v>15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97305934.510184795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1</v>
      </c>
      <c r="AL26" s="123">
        <f>AI26-AJ26</f>
        <v>5</v>
      </c>
      <c r="AM26" s="123">
        <f>AL26-AL30</f>
        <v>9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90000009.857979417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2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30000002.286466036</v>
      </c>
      <c r="AQ27" s="126">
        <f>VLOOKUP(AE27,db_fifarank,2,FALSE)</f>
        <v>1503.5</v>
      </c>
      <c r="AR27" s="125">
        <f>AP27/AP30</f>
        <v>0.33333331852377474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0.14364747785714285</v>
      </c>
      <c r="AQ28" s="126">
        <f>VLOOKUP(AE28,db_fifarank,2,FALSE)</f>
        <v>1580.67</v>
      </c>
      <c r="AR28" s="125">
        <f>AP28/AP30</f>
        <v>1.5960828947434182E-9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5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60000005.715085238</v>
      </c>
      <c r="AQ29" s="126">
        <f>VLOOKUP(AE29,db_fifarank,2,FALSE)</f>
        <v>1599.04</v>
      </c>
      <c r="AR29" s="125">
        <f>AP29/AP30</f>
        <v>0.66666664973813861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1 - 5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90000010.857979417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0</v>
      </c>
      <c r="AL32" s="123">
        <f>AI32-AJ32</f>
        <v>8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90000010.17546837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5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1.9803921568627452</v>
      </c>
      <c r="AP33" s="123">
        <f>AO33*10000000+BI33*100+AM33/AM36*10+AI33/AI36*1++IF(AQ33=0,ROW(),AQ33)/2000000</f>
        <v>19804019.608490463</v>
      </c>
      <c r="AQ33" s="126">
        <f>VLOOKUP(AE33,db_fifarank,2,FALSE)</f>
        <v>1294.6500000000001</v>
      </c>
      <c r="AR33" s="125">
        <f>AP33/AP36</f>
        <v>0.22004463499320673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</v>
      </c>
      <c r="BA33" s="126">
        <f>AZ33/AZ36</f>
        <v>0.98039215686274506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</v>
      </c>
      <c r="BI33" s="126">
        <f>BH33/BH36</f>
        <v>0.98039215686274506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4</v>
      </c>
      <c r="AL34" s="123">
        <f>AI34-AJ34</f>
        <v>-4</v>
      </c>
      <c r="AM34" s="123">
        <f>AL34-AL36</f>
        <v>1</v>
      </c>
      <c r="AN34" s="123">
        <f>AF34*3+AG34</f>
        <v>1</v>
      </c>
      <c r="AO34" s="123">
        <f>AN34/AN36*10+BA34</f>
        <v>1.9803921568627452</v>
      </c>
      <c r="AP34" s="123">
        <f>AO34*10000000+BI34*100+AM34/AM36*10+AI34/AI36*1++IF(AQ34=0,ROW(),AQ34)/2000000</f>
        <v>19804020.322895341</v>
      </c>
      <c r="AQ34" s="126">
        <f>VLOOKUP(AE34,db_fifarank,2,FALSE)</f>
        <v>1532.98</v>
      </c>
      <c r="AR34" s="125">
        <f>AP34/AP36</f>
        <v>0.2200446429310377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</v>
      </c>
      <c r="BA34" s="126">
        <f>AZ34/AZ36</f>
        <v>0.98039215686274506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</v>
      </c>
      <c r="BI34" s="126">
        <f>BH34/BH36</f>
        <v>0.98039215686274506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0 - 4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2</v>
      </c>
      <c r="AL35" s="123">
        <f>AI35-AJ35</f>
        <v>1</v>
      </c>
      <c r="AM35" s="123">
        <f>AL35-AL36</f>
        <v>6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60000004.61984501</v>
      </c>
      <c r="AQ35" s="126">
        <f>VLOOKUP(AE35,db_fifarank,2,FALSE)</f>
        <v>1594.78</v>
      </c>
      <c r="AR35" s="125">
        <f>AP35/AP36</f>
        <v>0.66666663521703462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0 - 5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9</v>
      </c>
      <c r="AL36" s="123">
        <f>MIN(AL32:AL35)</f>
        <v>-5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90000011.17546837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51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51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2</v>
      </c>
      <c r="AL38" s="123">
        <f>AI38-AJ38</f>
        <v>2</v>
      </c>
      <c r="AM38" s="123">
        <f>AL38-AL42</f>
        <v>6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87500009.238974169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5</v>
      </c>
      <c r="AN39" s="123">
        <f>AF39*3+AG39</f>
        <v>6</v>
      </c>
      <c r="AO39" s="123">
        <f>AN39/AN42*10+BA39</f>
        <v>7.5</v>
      </c>
      <c r="AP39" s="123">
        <f>AO39*10000000+BI39*100+AM39/AM42*10+AI39/AI42*1++IF(AQ39=0,ROW(),AQ39)/2000000</f>
        <v>75000007.977020696</v>
      </c>
      <c r="AQ39" s="126">
        <f>VLOOKUP(AE39,db_fifarank,2,FALSE)</f>
        <v>1660.43</v>
      </c>
      <c r="AR39" s="125">
        <f>AP39/AP42</f>
        <v>0.85714284800865392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5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50000007.810281187</v>
      </c>
      <c r="AQ40" s="126">
        <f>VLOOKUP(AE40,db_fifarank,2,FALSE)</f>
        <v>1514.77</v>
      </c>
      <c r="AR40" s="125">
        <f>AP40/AP42</f>
        <v>0.57142859382215516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0.16740819166666665</v>
      </c>
      <c r="AQ41" s="126">
        <f>VLOOKUP(AE41,db_fifarank,2,FALSE)</f>
        <v>1483.05</v>
      </c>
      <c r="AR41" s="125">
        <f>AP41/AP42</f>
        <v>1.9132362523096011E-9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-4</v>
      </c>
      <c r="AM42" s="123">
        <f>MAX(AM38:AM41)+1</f>
        <v>7</v>
      </c>
      <c r="AN42" s="123">
        <f>MAX(AN38:AN41)+1</f>
        <v>8</v>
      </c>
      <c r="AO42" s="123">
        <f>MAX(AO38:AO41)+1</f>
        <v>9.75</v>
      </c>
      <c r="AP42" s="123">
        <f>MAX(AP38:AP41)+1</f>
        <v>87500010.238974169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0</v>
      </c>
      <c r="AL44" s="123">
        <f>AI44-AJ44</f>
        <v>4</v>
      </c>
      <c r="AM44" s="123">
        <f>AL44-AL48</f>
        <v>7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90000009.550867349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4 - 0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1</v>
      </c>
      <c r="AL45" s="123">
        <f>AI45-AJ45</f>
        <v>2</v>
      </c>
      <c r="AM45" s="123">
        <f>AL45-AL48</f>
        <v>5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60000006.85078162</v>
      </c>
      <c r="AQ45" s="126">
        <f>VLOOKUP(AE45,db_fifarank,2,FALSE)</f>
        <v>1563.24</v>
      </c>
      <c r="AR45" s="125">
        <f>AP45/AP48</f>
        <v>0.66666666463188973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3 - 1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19805923.501778524</v>
      </c>
      <c r="AQ46" s="126">
        <f>VLOOKUP(AE46,db_fifarank,2,FALSE)</f>
        <v>1615.3</v>
      </c>
      <c r="AR46" s="125">
        <f>AP46/AP48</f>
        <v>0.2200657908877062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19805923.501611657</v>
      </c>
      <c r="AQ47" s="126">
        <f>VLOOKUP(AE47,db_fifarank,2,FALSE)</f>
        <v>1281.57</v>
      </c>
      <c r="AR47" s="125">
        <f>AP47/AP48</f>
        <v>0.2200657908858521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5</v>
      </c>
      <c r="AL48" s="123">
        <f>MIN(AL44:AL47)</f>
        <v>-3</v>
      </c>
      <c r="AM48" s="123">
        <f>MAX(AM44:AM47)+1</f>
        <v>8</v>
      </c>
      <c r="AN48" s="123">
        <f>MAX(AN44:AN47)+1</f>
        <v>10</v>
      </c>
      <c r="AO48" s="123">
        <f>MAX(AO44:AO47)+1</f>
        <v>10</v>
      </c>
      <c r="AP48" s="123">
        <f>MAX(AP44:AP47)+1</f>
        <v>90000010.550867349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Morocco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Portugal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90000010.285029113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19805923.39256303</v>
      </c>
      <c r="AQ51" s="126">
        <f>VLOOKUP(AE51,db_fifarank,2,FALSE)</f>
        <v>1366.13</v>
      </c>
      <c r="AR51" s="125">
        <f>AP51/AP54</f>
        <v>0.22006578787904674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1</v>
      </c>
      <c r="V52" s="123">
        <f t="shared" si="21"/>
        <v>1</v>
      </c>
      <c r="W52" s="123">
        <f t="shared" si="22"/>
        <v>1</v>
      </c>
      <c r="X52" s="123">
        <f t="shared" si="9"/>
        <v>1</v>
      </c>
      <c r="Y52" s="123">
        <f t="shared" si="10"/>
        <v>1</v>
      </c>
      <c r="Z52" s="123">
        <f t="shared" si="11"/>
        <v>1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2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19805924.642590679</v>
      </c>
      <c r="AQ52" s="126">
        <f>VLOOKUP(AE52,db_fifarank,2,FALSE)</f>
        <v>1421.43</v>
      </c>
      <c r="AR52" s="125">
        <f>AP52/AP54</f>
        <v>0.22006580176824111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60000004.739472903</v>
      </c>
      <c r="AQ53" s="126">
        <f>VLOOKUP(AE53,db_fifarank,2,FALSE)</f>
        <v>1673.07</v>
      </c>
      <c r="AR53" s="125">
        <f>AP53/AP54</f>
        <v>0.66666663573467233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1 - 7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11</v>
      </c>
      <c r="AL54" s="123">
        <f>MIN(AL50:AL53)</f>
        <v>-6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90000011.285029113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49805929.955661513</v>
      </c>
      <c r="AQ57" s="126">
        <f>VLOOKUP(AE57,db_fifarank,2,FALSE)</f>
        <v>1688.99</v>
      </c>
      <c r="AR57" s="125">
        <f>AP57/AP60</f>
        <v>0.55339915343576418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49805929.955592491</v>
      </c>
      <c r="AQ59" s="126">
        <f>VLOOKUP(AE59,db_fifarank,2,FALSE)</f>
        <v>1550.94</v>
      </c>
      <c r="AR59" s="125">
        <f>AP59/AP60</f>
        <v>0.55339915343499724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0</v>
      </c>
      <c r="W61" s="123">
        <f t="shared" si="22"/>
        <v>0</v>
      </c>
      <c r="X61" s="123">
        <f t="shared" si="9"/>
        <v>1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6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90000009.405699313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0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20000000.167448796</v>
      </c>
      <c r="AQ63" s="126">
        <f>VLOOKUP(AE63,db_fifarank,2,FALSE)</f>
        <v>1564.26</v>
      </c>
      <c r="AR63" s="125">
        <f>AP63/AP66</f>
        <v>0.22222219838968243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2</v>
      </c>
      <c r="AL64" s="123">
        <f>AI64-AJ64</f>
        <v>0</v>
      </c>
      <c r="AM64" s="123">
        <f>AL64-AL66</f>
        <v>2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40000003.191272922</v>
      </c>
      <c r="AQ64" s="126">
        <f>VLOOKUP(AE64,db_fifarank,2,FALSE)</f>
        <v>1593.45</v>
      </c>
      <c r="AR64" s="125">
        <f>AP64/AP66</f>
        <v>0.44444442851686489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3</v>
      </c>
      <c r="AL65" s="123">
        <f>AI65-AJ65</f>
        <v>-2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10000000.167362392</v>
      </c>
      <c r="AQ65" s="126">
        <f>VLOOKUP(AE65,db_fifarank,2,FALSE)</f>
        <v>1391.45</v>
      </c>
      <c r="AR65" s="125">
        <f>AP65/AP66</f>
        <v>0.11111110012415215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1 - 3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6</v>
      </c>
      <c r="AL66" s="123">
        <f>MIN(AL62:AL65)</f>
        <v>-2</v>
      </c>
      <c r="AM66" s="123">
        <f>MAX(AM62:AM65)+1</f>
        <v>7</v>
      </c>
      <c r="AN66" s="123">
        <f>MAX(AN62:AN65)+1</f>
        <v>10</v>
      </c>
      <c r="AO66" s="123">
        <f>MAX(AO62:AO65)+1</f>
        <v>10</v>
      </c>
      <c r="AP66" s="123">
        <f>MAX(AP62:AP65)+1</f>
        <v>90000010.405699313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0</v>
      </c>
      <c r="AL68" s="123">
        <f>AI68-AJ68</f>
        <v>8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90000010.175485089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England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8 - 0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0.22004463499418642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5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0.22004463499411414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60000005.44529099</v>
      </c>
      <c r="AQ71" s="126">
        <f>VLOOKUP(AE71,db_fifarank,2,FALSE)</f>
        <v>1693.09</v>
      </c>
      <c r="AR71" s="125">
        <f>AP71/AP72</f>
        <v>0.66666664438853163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90000011.175485089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10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90000009.980710968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2</v>
      </c>
      <c r="AH75" s="123">
        <f>COUNTIF($S$7:$T$78,"=" &amp; AE75 &amp; "_lose")</f>
        <v>1</v>
      </c>
      <c r="AI75" s="123">
        <f>SUMIF($E$7:$E$78,$AE75,$F$7:$F$78) + SUMIF($H$7:$H$78,$AE75,$G$7:$G$78)</f>
        <v>2</v>
      </c>
      <c r="AJ75" s="123">
        <f>SUMIF($E$7:$E$78,$AE75,$G$7:$G$78) + SUMIF($H$7:$H$78,$AE75,$F$7:$F$78)</f>
        <v>4</v>
      </c>
      <c r="AL75" s="123">
        <f>AI75-AJ75</f>
        <v>-2</v>
      </c>
      <c r="AM75" s="123">
        <f>AL75-AL78</f>
        <v>1</v>
      </c>
      <c r="AN75" s="123">
        <f>AF75*3+AG75</f>
        <v>2</v>
      </c>
      <c r="AO75" s="123">
        <f>AN75/AN78*10+BA75</f>
        <v>2.9853658536585366</v>
      </c>
      <c r="AP75" s="123">
        <f>AO75*10000000+BI75*100+AM75/AM78*10+AI75/AI78*1++IF(AQ75=0,ROW(),AQ75)/2000000</f>
        <v>29853758.205342397</v>
      </c>
      <c r="AQ75" s="126">
        <f>VLOOKUP(AE75,db_fifarank,2,FALSE)</f>
        <v>1717.07</v>
      </c>
      <c r="AR75" s="125">
        <f>AP75/AP78</f>
        <v>0.33170838403276121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2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67.333333333333329</v>
      </c>
      <c r="BA75" s="126">
        <f>AZ75/AZ78</f>
        <v>0.98536585365853657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2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67.333333333333329</v>
      </c>
      <c r="BI75" s="126">
        <f>BH75/BH78</f>
        <v>0.98536585365853657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0</v>
      </c>
      <c r="M76" s="23">
        <f>VLOOKUP(2,AD74:AN77,4,FALSE)</f>
        <v>2</v>
      </c>
      <c r="N76" s="23">
        <f>VLOOKUP(2,AD74:AN77,5,FALSE)</f>
        <v>1</v>
      </c>
      <c r="O76" s="23" t="str">
        <f>VLOOKUP(2,AD74:AN77,6,FALSE) &amp; " - " &amp; VLOOKUP(2,AD74:AN77,7,FALSE)</f>
        <v>3 - 5</v>
      </c>
      <c r="P76" s="34">
        <f>L76*3+M76</f>
        <v>2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1</v>
      </c>
      <c r="AN76" s="123">
        <f>AF76*3+AG76</f>
        <v>2</v>
      </c>
      <c r="AO76" s="123">
        <f>AN76/AN78*10+BA76</f>
        <v>2.9853658536585366</v>
      </c>
      <c r="AP76" s="123">
        <f>AO76*10000000+BI76*100+AM76/AM78*10+AI76/AI78*1++IF(AQ76=0,ROW(),AQ76)/2000000</f>
        <v>29853758.316268127</v>
      </c>
      <c r="AQ76" s="126">
        <f>VLOOKUP(AE76,db_fifarank,2,FALSE)</f>
        <v>1346.31</v>
      </c>
      <c r="AR76" s="125">
        <f>AP76/AP78</f>
        <v>0.33170838526526913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2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67.333333333333329</v>
      </c>
      <c r="BA76" s="126">
        <f>AZ76/AZ78</f>
        <v>0.98536585365853657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2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67.333333333333329</v>
      </c>
      <c r="BI76" s="126">
        <f>BH76/BH78</f>
        <v>0.98536585365853657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2 - 4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2</v>
      </c>
      <c r="AH77" s="123">
        <f>COUNTIF($S$7:$T$78,"=" &amp; AE77 &amp; "_lose")</f>
        <v>1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0</v>
      </c>
      <c r="AN77" s="123">
        <f>AF77*3+AG77</f>
        <v>2</v>
      </c>
      <c r="AO77" s="123">
        <f>AN77/AN78*10+BA77</f>
        <v>2.9853658536585366</v>
      </c>
      <c r="AP77" s="123">
        <f>AO77*10000000+BI77*100+AM77/AM78*10+AI77/AI78*1++IF(AQ77=0,ROW(),AQ77)/2000000</f>
        <v>29853757.296163272</v>
      </c>
      <c r="AQ77" s="126">
        <f>VLOOKUP(AE77,db_fifarank,2,FALSE)</f>
        <v>1540.64</v>
      </c>
      <c r="AR77" s="125">
        <f>AP77/AP78</f>
        <v>0.33170837393077213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2</v>
      </c>
      <c r="AV77" s="126" cm="1">
        <f t="array" ref="AV77">SUMPRODUCT(($E$7:$E$78=AE77)*($U$7:$U$78)*($F$7:$F$78))+SUMPRODUCT(($H$7:$H$78=AE77)*($U$7:$U$78)*($G$7:$G$78))</f>
        <v>2</v>
      </c>
      <c r="AW77" s="126" cm="1">
        <f t="array" ref="AW77">SUMPRODUCT(($E$7:$E$78=AE77)*($U$7:$U$78)*($G$7:$G$78))+SUMPRODUCT(($H$7:$H$78=AE77)*($U$7:$U$78)*($F$7:$F$78))</f>
        <v>2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67.333333333333329</v>
      </c>
      <c r="BA77" s="126">
        <f>AZ77/AZ78</f>
        <v>0.98536585365853657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2</v>
      </c>
      <c r="BD77" s="126" cm="1">
        <f t="array" ref="BD77">SUMPRODUCT(($E$7:$E$78=AE77)*($X$7:$X$78)*($F$7:$F$78))+SUMPRODUCT(($H$7:$H$78=AE77)*($X$7:$X$78)*($G$7:$G$78))</f>
        <v>2</v>
      </c>
      <c r="BE77" s="126" cm="1">
        <f t="array" ref="BE77">SUMPRODUCT(($E$7:$E$78=AE77)*($X$7:$X$78)*($G$7:$G$78))+SUMPRODUCT(($H$7:$H$78=AE77)*($X$7:$X$78)*($F$7:$F$78))</f>
        <v>2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67.333333333333329</v>
      </c>
      <c r="BI77" s="126">
        <f>BH77/BH78</f>
        <v>0.98536585365853657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2</v>
      </c>
      <c r="N78" s="36">
        <f>VLOOKUP(4,AD74:AN77,5,FALSE)</f>
        <v>1</v>
      </c>
      <c r="O78" s="36" t="str">
        <f>VLOOKUP(4,AD74:AN77,6,FALSE) &amp; " - " &amp; VLOOKUP(4,AD74:AN77,7,FALSE)</f>
        <v>2 - 5</v>
      </c>
      <c r="P78" s="37">
        <f>L78*3+M78</f>
        <v>2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3</v>
      </c>
      <c r="AH78" s="123">
        <f t="shared" si="36"/>
        <v>2</v>
      </c>
      <c r="AI78" s="123">
        <f>MAX(AI74:AI77)+1</f>
        <v>9</v>
      </c>
      <c r="AL78" s="123">
        <f>MIN(AL74:AL77)</f>
        <v>-3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90000010.980710968</v>
      </c>
      <c r="AT78" s="126">
        <f>MAX(AT74:AT77)-MIN(AT74:AT77)+1</f>
        <v>1</v>
      </c>
      <c r="AU78" s="126">
        <f>MAX(AU74:AU77)-MIN(AU74:AU77)+1</f>
        <v>3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68.333333333333329</v>
      </c>
      <c r="BB78" s="126">
        <f>MAX(BB74:BB77)-MIN(BB74:BB77)+1</f>
        <v>1</v>
      </c>
      <c r="BC78" s="126">
        <f>MAX(BC74:BC77)-MIN(BC74:BC77)+1</f>
        <v>3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68.333333333333329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4468.5721434364286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5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4611.4292643485715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3</v>
      </c>
      <c r="AK82" s="123" t="s">
        <v>3182</v>
      </c>
      <c r="AL82" s="123">
        <f t="shared" si="43"/>
        <v>0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6774.2864634607149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3 - 3</v>
      </c>
      <c r="P83" s="101">
        <f t="shared" si="48"/>
        <v>3</v>
      </c>
      <c r="AD83" s="123">
        <f t="shared" si="38"/>
        <v>4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6468.5721803214283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Ⓓ Paraguay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0</v>
      </c>
      <c r="AJ84" s="123">
        <f t="shared" si="42"/>
        <v>4</v>
      </c>
      <c r="AK84" s="123" t="s">
        <v>3185</v>
      </c>
      <c r="AL84" s="123">
        <f t="shared" si="43"/>
        <v>-4</v>
      </c>
      <c r="AM84" s="123">
        <f t="shared" si="44"/>
        <v>1</v>
      </c>
      <c r="AN84" s="123">
        <f t="shared" si="45"/>
        <v>1</v>
      </c>
      <c r="AP84" s="123">
        <f>AN84/AN92*10000+AM84/AM92*1000+AI84/AI92*100+IF(AQ84=0,ROW(),AQ84)/2000000</f>
        <v>2142.8579093471426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Ⓑ Bosnia and Herzegovina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2 - 3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3</v>
      </c>
      <c r="AK85" s="123" t="s">
        <v>3186</v>
      </c>
      <c r="AL85" s="123">
        <f t="shared" si="43"/>
        <v>1</v>
      </c>
      <c r="AM85" s="123">
        <f t="shared" si="44"/>
        <v>6</v>
      </c>
      <c r="AN85" s="123">
        <f t="shared" si="45"/>
        <v>4</v>
      </c>
      <c r="AP85" s="123">
        <f>AN85/AN92*10000+AM85/AM92*1000+AI85/AI92*100+IF(AQ85=0,ROW(),AQ85)/2000000</f>
        <v>8937.1436145278567</v>
      </c>
      <c r="AQ85" s="126">
        <f t="shared" si="37"/>
        <v>1514.77</v>
      </c>
      <c r="AR85" s="125" t="str">
        <f t="shared" si="50"/>
        <v>ABCDF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Ⓛ Croatia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2 - 4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2305.7150933642856</v>
      </c>
      <c r="AQ86" s="126">
        <f t="shared" si="37"/>
        <v>1615.3</v>
      </c>
      <c r="AR86" s="125" t="str">
        <f t="shared" si="50"/>
        <v>ABCDF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South Africa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2 - 4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1</v>
      </c>
      <c r="AN87" s="123">
        <f t="shared" si="45"/>
        <v>1</v>
      </c>
      <c r="AP87" s="123">
        <f>AN87/AN92*10000+AM87/AM92*1000+AI87/AI92*100+IF(AQ87=0,ROW(),AQ87)/2000000</f>
        <v>2162.8578535721426</v>
      </c>
      <c r="AQ87" s="126">
        <f t="shared" si="37"/>
        <v>1421.43</v>
      </c>
      <c r="AR87" s="125" t="str">
        <f t="shared" si="50"/>
        <v>ABCDF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1 - 3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3</v>
      </c>
      <c r="AK88" s="123" t="s">
        <v>3189</v>
      </c>
      <c r="AL88" s="123">
        <f t="shared" si="43"/>
        <v>1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8937.1436326128569</v>
      </c>
      <c r="AQ88" s="126">
        <f t="shared" si="37"/>
        <v>1550.94</v>
      </c>
      <c r="AR88" s="125" t="str">
        <f t="shared" si="50"/>
        <v>ABCDFI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8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4448.572210701428</v>
      </c>
      <c r="AQ89" s="126">
        <f t="shared" si="37"/>
        <v>1564.26</v>
      </c>
      <c r="AR89" s="125" t="str">
        <f t="shared" si="50"/>
        <v>ABCDFIJ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5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2000.000739175</v>
      </c>
      <c r="AQ90" s="126">
        <f t="shared" si="37"/>
        <v>1478.35</v>
      </c>
      <c r="AR90" s="125" t="str">
        <f t="shared" si="50"/>
        <v>ABCDFIJ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Ivory Coast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6</v>
      </c>
      <c r="AE91" s="124" t="str">
        <f>J77</f>
        <v>Croatia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2</v>
      </c>
      <c r="AP91" s="123">
        <f>AN91/AN92*10000+AM91/AM92*1000+AI91/AI92*100+IF(AQ91=0,ROW(),AQ91)/2000000</f>
        <v>4468.5722871064281</v>
      </c>
      <c r="AQ91" s="126">
        <f t="shared" si="37"/>
        <v>1717.07</v>
      </c>
      <c r="AR91" s="125" t="str">
        <f t="shared" si="50"/>
        <v>ABCDFIJL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Morocco</v>
      </c>
      <c r="T102" s="127" t="str" cm="1">
        <f t="array" ref="T102">IF(OR(S102="",S102="draw"),INDEX(T,98,lang),S102)</f>
        <v>Morocco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Germany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Germany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443</v>
      </c>
      <c r="C3" s="121" t="str">
        <f>'2026 World Cup'!AR91</f>
        <v>ABCDFIJL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Javier Fernández</cp:lastModifiedBy>
  <cp:revision/>
  <dcterms:created xsi:type="dcterms:W3CDTF">2017-12-27T19:32:51Z</dcterms:created>
  <dcterms:modified xsi:type="dcterms:W3CDTF">2026-06-10T17:49:20Z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