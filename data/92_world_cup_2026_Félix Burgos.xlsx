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zoffice785-my.sharepoint.com/personal/felix_burgos_famytec_com/Documents/FBG_DATOS/Personal/202606 Porra Mundial Álvaro/"/>
    </mc:Choice>
  </mc:AlternateContent>
  <xr:revisionPtr revIDLastSave="235" documentId="13_ncr:1_{CCBD5EBC-EC5B-46E6-9A3F-587F77142D33}" xr6:coauthVersionLast="47" xr6:coauthVersionMax="47" xr10:uidLastSave="{4997F81C-6C73-4869-9616-D2EE62DDF570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O3" i="3"/>
  <c r="G65" i="2"/>
  <c r="G16" i="2"/>
  <c r="CD31" i="3" s="1"/>
  <c r="G15" i="2"/>
  <c r="CE68" i="3" s="1"/>
  <c r="BW19" i="3" l="1"/>
  <c r="BW59" i="3"/>
  <c r="BR59" i="3" s="1" a="1"/>
  <c r="BP53" i="3"/>
  <c r="BK53" i="3" s="1" a="1"/>
  <c r="BP29" i="3"/>
  <c r="BK29" i="3" s="1" a="1"/>
  <c r="BP17" i="3"/>
  <c r="BK17" i="3" s="1" a="1"/>
  <c r="BP45" i="3"/>
  <c r="BK45" i="3" s="1" a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Y6" i="3" a="1"/>
  <c r="CF6" i="3" a="1"/>
  <c r="CM33" i="3" a="1"/>
  <c r="X103" i="3" s="1"/>
  <c r="CM44" i="3" a="1"/>
  <c r="P8" i="3" a="1"/>
  <c r="O8" i="3" a="1"/>
  <c r="N8" i="3" a="1"/>
  <c r="M8" i="3" a="1"/>
  <c r="L8" i="3" a="1"/>
  <c r="K8" i="3" a="1"/>
  <c r="P14" i="3" a="1"/>
  <c r="O14" i="3" a="1"/>
  <c r="N14" i="3" a="1"/>
  <c r="M14" i="3" a="1"/>
  <c r="L14" i="3" a="1"/>
  <c r="K14" i="3" a="1"/>
  <c r="P20" i="3" a="1"/>
  <c r="O20" i="3" a="1"/>
  <c r="N20" i="3" a="1"/>
  <c r="M20" i="3" a="1"/>
  <c r="L20" i="3" a="1"/>
  <c r="K20" i="3" a="1"/>
  <c r="P26" i="3" a="1"/>
  <c r="O26" i="3" a="1"/>
  <c r="N26" i="3" a="1"/>
  <c r="M26" i="3" a="1"/>
  <c r="L26" i="3" a="1"/>
  <c r="K26" i="3" a="1"/>
  <c r="P32" i="3" a="1"/>
  <c r="O32" i="3" a="1"/>
  <c r="N32" i="3" a="1"/>
  <c r="M32" i="3" a="1"/>
  <c r="L32" i="3" a="1"/>
  <c r="K32" i="3" a="1"/>
  <c r="P38" i="3" a="1"/>
  <c r="O38" i="3" a="1"/>
  <c r="N38" i="3" a="1"/>
  <c r="M38" i="3" a="1"/>
  <c r="L38" i="3" a="1"/>
  <c r="K38" i="3" a="1"/>
  <c r="P44" i="3" a="1"/>
  <c r="O44" i="3" a="1"/>
  <c r="N44" i="3" a="1"/>
  <c r="M44" i="3" a="1"/>
  <c r="L44" i="3" a="1"/>
  <c r="K44" i="3" a="1"/>
  <c r="P50" i="3" a="1"/>
  <c r="O50" i="3" a="1"/>
  <c r="N50" i="3" a="1"/>
  <c r="M50" i="3" a="1"/>
  <c r="L50" i="3" a="1"/>
  <c r="K50" i="3" a="1"/>
  <c r="P56" i="3" a="1"/>
  <c r="O56" i="3" a="1"/>
  <c r="N56" i="3" a="1"/>
  <c r="M56" i="3" a="1"/>
  <c r="L56" i="3" a="1"/>
  <c r="K56" i="3" a="1"/>
  <c r="P62" i="3" a="1"/>
  <c r="O62" i="3" a="1"/>
  <c r="N62" i="3" a="1"/>
  <c r="M62" i="3" a="1"/>
  <c r="L62" i="3" a="1"/>
  <c r="K62" i="3" a="1"/>
  <c r="P68" i="3" a="1"/>
  <c r="O68" i="3" a="1"/>
  <c r="N68" i="3" a="1"/>
  <c r="M68" i="3" a="1"/>
  <c r="L68" i="3" a="1"/>
  <c r="K68" i="3" a="1"/>
  <c r="P74" i="3" a="1"/>
  <c r="O74" i="3" a="1"/>
  <c r="N74" i="3" a="1"/>
  <c r="M74" i="3" a="1"/>
  <c r="L74" i="3" a="1"/>
  <c r="K74" i="3" a="1"/>
  <c r="P80" i="3" a="1"/>
  <c r="O80" i="3" a="1"/>
  <c r="N80" i="3" a="1"/>
  <c r="M80" i="3" a="1"/>
  <c r="L80" i="3" a="1"/>
  <c r="K80" i="3" a="1"/>
  <c r="J74" i="3" a="1"/>
  <c r="J68" i="3" a="1"/>
  <c r="J62" i="3" a="1"/>
  <c r="J56" i="3" a="1"/>
  <c r="J50" i="3" a="1"/>
  <c r="J44" i="3" a="1"/>
  <c r="J38" i="3" a="1"/>
  <c r="J32" i="3" a="1"/>
  <c r="J26" i="3" a="1"/>
  <c r="J20" i="3" a="1"/>
  <c r="J14" i="3" a="1"/>
  <c r="J8" i="3" a="1"/>
  <c r="A5" i="3" a="1"/>
  <c r="A1" i="3" a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R47" i="3"/>
  <c r="CM47" i="3" s="1" a="1"/>
  <c r="CK54" i="3"/>
  <c r="CF54" i="3" s="1" a="1"/>
  <c r="CD47" i="3"/>
  <c r="BY47" i="3" s="1" a="1"/>
  <c r="CK22" i="3"/>
  <c r="CF22" i="3" s="1" a="1"/>
  <c r="CD63" i="3"/>
  <c r="BY63" i="3" s="1" a="1"/>
  <c r="BY31" i="3" a="1"/>
  <c r="BW67" i="3"/>
  <c r="BR67" i="3" s="1" a="1"/>
  <c r="CD15" i="3"/>
  <c r="BY15" i="3" s="1" a="1"/>
  <c r="BW51" i="3"/>
  <c r="BR51" i="3" s="1" a="1"/>
  <c r="BW35" i="3"/>
  <c r="BR35" i="3" s="1" a="1"/>
  <c r="BW43" i="3"/>
  <c r="BR43" i="3" s="1" a="1"/>
  <c r="BW27" i="3"/>
  <c r="BR27" i="3" s="1" a="1"/>
  <c r="BR19" i="3" a="1"/>
  <c r="BP69" i="3"/>
  <c r="BK69" i="3" s="1" a="1"/>
  <c r="BW11" i="3"/>
  <c r="BR11" i="3" s="1" a="1"/>
  <c r="BP61" i="3"/>
  <c r="BK61" i="3" s="1" a="1"/>
  <c r="BP65" i="3"/>
  <c r="BK65" i="3" s="1" a="1"/>
  <c r="BP57" i="3"/>
  <c r="BK57" i="3" s="1" a="1"/>
  <c r="BP49" i="3"/>
  <c r="BK49" i="3" s="1" a="1"/>
  <c r="BK41" i="3" a="1"/>
  <c r="BP37" i="3"/>
  <c r="BK37" i="3" s="1" a="1"/>
  <c r="BP33" i="3"/>
  <c r="BK33" i="3" s="1" a="1"/>
  <c r="BP25" i="3"/>
  <c r="BK25" i="3" s="1" a="1"/>
  <c r="BP21" i="3"/>
  <c r="BK21" i="3" s="1" a="1"/>
  <c r="BP13" i="3"/>
  <c r="BK13" i="3" s="1" a="1"/>
  <c r="BP9" i="3"/>
  <c r="BK9" i="3" s="1" a="1"/>
  <c r="I15" i="2"/>
  <c r="AA14" i="3" l="1"/>
  <c r="AA7" i="2" a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B7" i="3" a="1"/>
  <c r="D8" i="3"/>
  <c r="C8" i="3" a="1"/>
  <c r="B8" i="3" a="1"/>
  <c r="D10" i="3"/>
  <c r="C10" i="3" a="1"/>
  <c r="B10" i="3" a="1"/>
  <c r="D18" i="3"/>
  <c r="C18" i="3" a="1"/>
  <c r="B18" i="3" a="1"/>
  <c r="D30" i="3"/>
  <c r="C30" i="3" a="1"/>
  <c r="B30" i="3" a="1"/>
  <c r="D54" i="3"/>
  <c r="C54" i="3" a="1"/>
  <c r="B54" i="3" a="1"/>
  <c r="D65" i="3"/>
  <c r="C65" i="3" a="1"/>
  <c r="B65" i="3" a="1"/>
  <c r="D66" i="3"/>
  <c r="C66" i="3" a="1"/>
  <c r="B66" i="3" a="1"/>
  <c r="D75" i="3"/>
  <c r="C75" i="3" a="1"/>
  <c r="B75" i="3" a="1"/>
  <c r="D76" i="3"/>
  <c r="C76" i="3" a="1"/>
  <c r="B76" i="3" a="1"/>
  <c r="D34" i="3"/>
  <c r="C34" i="3" a="1"/>
  <c r="B34" i="3" a="1"/>
  <c r="D59" i="3"/>
  <c r="C59" i="3" a="1"/>
  <c r="B59" i="3" a="1"/>
  <c r="D60" i="3"/>
  <c r="C60" i="3" a="1"/>
  <c r="B60" i="3" a="1"/>
  <c r="D42" i="3"/>
  <c r="C42" i="3" a="1"/>
  <c r="B42" i="3" a="1"/>
  <c r="D72" i="3"/>
  <c r="C72" i="3" a="1"/>
  <c r="B72" i="3" a="1"/>
  <c r="D31" i="3"/>
  <c r="C31" i="3" a="1"/>
  <c r="B31" i="3" a="1"/>
  <c r="D9" i="3"/>
  <c r="C9" i="3" a="1"/>
  <c r="B9" i="3" a="1"/>
  <c r="D13" i="3"/>
  <c r="C13" i="3" a="1"/>
  <c r="B13" i="3" a="1"/>
  <c r="D11" i="3"/>
  <c r="C11" i="3" a="1"/>
  <c r="B11" i="3" a="1"/>
  <c r="D35" i="3"/>
  <c r="C35" i="3" a="1"/>
  <c r="B35" i="3" a="1"/>
  <c r="D36" i="3"/>
  <c r="C36" i="3" a="1"/>
  <c r="B36" i="3" a="1"/>
  <c r="D55" i="3"/>
  <c r="C55" i="3" a="1"/>
  <c r="B55" i="3" a="1"/>
  <c r="D56" i="3"/>
  <c r="C56" i="3" a="1"/>
  <c r="B56" i="3" a="1"/>
  <c r="D15" i="3"/>
  <c r="C15" i="3" a="1"/>
  <c r="B15" i="3" a="1"/>
  <c r="D39" i="3"/>
  <c r="C39" i="3" a="1"/>
  <c r="B39" i="3" a="1"/>
  <c r="D61" i="3"/>
  <c r="C61" i="3" a="1"/>
  <c r="B61" i="3" a="1"/>
  <c r="D62" i="3"/>
  <c r="C62" i="3" a="1"/>
  <c r="B62" i="3" a="1"/>
  <c r="D20" i="3"/>
  <c r="C20" i="3" a="1"/>
  <c r="B20" i="3" a="1"/>
  <c r="D19" i="3"/>
  <c r="C19" i="3" a="1"/>
  <c r="B19" i="3" a="1"/>
  <c r="D43" i="3"/>
  <c r="C43" i="3" a="1"/>
  <c r="B43" i="3" a="1"/>
  <c r="D44" i="3"/>
  <c r="C44" i="3" a="1"/>
  <c r="B44" i="3" a="1"/>
  <c r="D23" i="3"/>
  <c r="C23" i="3" a="1"/>
  <c r="B23" i="3" a="1"/>
  <c r="D24" i="3"/>
  <c r="C24" i="3" a="1"/>
  <c r="B24" i="3" a="1"/>
  <c r="D48" i="3"/>
  <c r="C48" i="3" a="1"/>
  <c r="B48" i="3" a="1"/>
  <c r="D47" i="3"/>
  <c r="C47" i="3" a="1"/>
  <c r="B47" i="3" a="1"/>
  <c r="D67" i="3"/>
  <c r="C67" i="3" a="1"/>
  <c r="B67" i="3" a="1"/>
  <c r="D68" i="3"/>
  <c r="C68" i="3" a="1"/>
  <c r="B68" i="3" a="1"/>
  <c r="D77" i="3"/>
  <c r="C77" i="3" a="1"/>
  <c r="B77" i="3" a="1"/>
  <c r="D78" i="3"/>
  <c r="C78" i="3" a="1"/>
  <c r="B78" i="3" a="1"/>
  <c r="D27" i="3"/>
  <c r="C27" i="3" a="1"/>
  <c r="B27" i="3" a="1"/>
  <c r="D51" i="3"/>
  <c r="C51" i="3" a="1"/>
  <c r="B51" i="3" a="1"/>
  <c r="D52" i="3"/>
  <c r="C52" i="3" a="1"/>
  <c r="B52" i="3" a="1"/>
  <c r="D73" i="3"/>
  <c r="C73" i="3" a="1"/>
  <c r="B73" i="3" a="1"/>
  <c r="D74" i="3"/>
  <c r="C74" i="3" a="1"/>
  <c r="B74" i="3" a="1"/>
  <c r="D14" i="3"/>
  <c r="C14" i="3" a="1"/>
  <c r="B14" i="3" a="1"/>
  <c r="D32" i="3"/>
  <c r="C32" i="3" a="1"/>
  <c r="B32" i="3" a="1"/>
  <c r="D33" i="3"/>
  <c r="C33" i="3" a="1"/>
  <c r="B33" i="3" a="1"/>
  <c r="D57" i="3"/>
  <c r="C57" i="3" a="1"/>
  <c r="B57" i="3" a="1"/>
  <c r="D58" i="3"/>
  <c r="C58" i="3" a="1"/>
  <c r="B58" i="3" a="1"/>
  <c r="D12" i="3"/>
  <c r="C12" i="3" a="1"/>
  <c r="B12" i="3" a="1"/>
  <c r="D38" i="3"/>
  <c r="C38" i="3" a="1"/>
  <c r="B38" i="3" a="1"/>
  <c r="D37" i="3"/>
  <c r="C37" i="3" a="1"/>
  <c r="B37" i="3" a="1"/>
  <c r="D22" i="3"/>
  <c r="C22" i="3" a="1"/>
  <c r="B22" i="3" a="1"/>
  <c r="D21" i="3"/>
  <c r="C21" i="3" a="1"/>
  <c r="B21" i="3" a="1"/>
  <c r="D45" i="3"/>
  <c r="C45" i="3" a="1"/>
  <c r="B45" i="3" a="1"/>
  <c r="D46" i="3"/>
  <c r="C46" i="3" a="1"/>
  <c r="B46" i="3" a="1"/>
  <c r="D69" i="3"/>
  <c r="C69" i="3" a="1"/>
  <c r="B69" i="3" a="1"/>
  <c r="D70" i="3"/>
  <c r="C70" i="3" a="1"/>
  <c r="B70" i="3" a="1"/>
  <c r="D26" i="3"/>
  <c r="C26" i="3" a="1"/>
  <c r="B26" i="3" a="1"/>
  <c r="D50" i="3"/>
  <c r="C50" i="3" a="1"/>
  <c r="B50" i="3" a="1"/>
  <c r="D16" i="3"/>
  <c r="C16" i="3" a="1"/>
  <c r="B16" i="3" a="1"/>
  <c r="D40" i="3"/>
  <c r="C40" i="3" a="1"/>
  <c r="B40" i="3" a="1"/>
  <c r="D17" i="3"/>
  <c r="C17" i="3" a="1"/>
  <c r="B17" i="3" a="1"/>
  <c r="D41" i="3"/>
  <c r="C41" i="3" a="1"/>
  <c r="B41" i="3" a="1"/>
  <c r="D63" i="3"/>
  <c r="C63" i="3" a="1"/>
  <c r="B63" i="3" a="1"/>
  <c r="D64" i="3"/>
  <c r="C64" i="3" a="1"/>
  <c r="B64" i="3" a="1"/>
  <c r="D71" i="3"/>
  <c r="C71" i="3" a="1"/>
  <c r="B71" i="3" a="1"/>
  <c r="D25" i="3"/>
  <c r="C25" i="3" a="1"/>
  <c r="B25" i="3" a="1"/>
  <c r="D49" i="3"/>
  <c r="C49" i="3" a="1"/>
  <c r="B49" i="3" a="1"/>
  <c r="D29" i="3"/>
  <c r="C29" i="3" a="1"/>
  <c r="B29" i="3" a="1"/>
  <c r="D53" i="3"/>
  <c r="C53" i="3" a="1"/>
  <c r="B53" i="3" a="1"/>
  <c r="D28" i="3"/>
  <c r="C28" i="3" a="1"/>
  <c r="B28" i="3" a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S24" i="3"/>
  <c r="S69" i="3"/>
  <c r="S58" i="3"/>
  <c r="S31" i="3"/>
  <c r="S59" i="3"/>
  <c r="S71" i="3"/>
  <c r="S52" i="3"/>
  <c r="S73" i="3"/>
  <c r="T28" i="3"/>
  <c r="S54" i="3"/>
  <c r="S77" i="3"/>
  <c r="S50" i="3"/>
  <c r="S76" i="3"/>
  <c r="S47" i="3"/>
  <c r="S67" i="3"/>
  <c r="S72" i="3"/>
  <c r="T46" i="3"/>
  <c r="S70" i="3"/>
  <c r="T21" i="3"/>
  <c r="S42" i="3"/>
  <c r="S64" i="3"/>
  <c r="T41" i="3"/>
  <c r="S40" i="3"/>
  <c r="S62" i="3"/>
  <c r="S38" i="3"/>
  <c r="S65" i="3"/>
  <c r="S55" i="3"/>
  <c r="T56" i="3"/>
  <c r="S57" i="3"/>
  <c r="T8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78" i="3" l="1"/>
  <c r="T63" i="3"/>
  <c r="T61" i="3"/>
  <c r="T53" i="3"/>
  <c r="T51" i="3"/>
  <c r="T48" i="3"/>
  <c r="T43" i="3"/>
  <c r="T37" i="3"/>
  <c r="T27" i="3"/>
  <c r="T26" i="3"/>
  <c r="T25" i="3"/>
  <c r="T23" i="3"/>
  <c r="T19" i="3"/>
  <c r="T18" i="3"/>
  <c r="T16" i="3"/>
  <c r="T12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U77" i="3" a="1"/>
  <c r="AT76" i="3" a="1"/>
  <c r="AU76" i="3" a="1"/>
  <c r="AT75" i="3" a="1"/>
  <c r="AU75" i="3" a="1"/>
  <c r="AT74" i="3" a="1"/>
  <c r="AU74" i="3" a="1"/>
  <c r="AT71" i="3" a="1"/>
  <c r="AU71" i="3" a="1"/>
  <c r="AT70" i="3" a="1"/>
  <c r="AU70" i="3" a="1"/>
  <c r="AT69" i="3" a="1"/>
  <c r="AU69" i="3" a="1"/>
  <c r="AT68" i="3" a="1"/>
  <c r="AU68" i="3" a="1"/>
  <c r="AT65" i="3" a="1"/>
  <c r="AU65" i="3" a="1"/>
  <c r="AT64" i="3" a="1"/>
  <c r="AU64" i="3" a="1"/>
  <c r="AT63" i="3" a="1"/>
  <c r="AU63" i="3" a="1"/>
  <c r="AT62" i="3" a="1"/>
  <c r="AU62" i="3" a="1"/>
  <c r="AT59" i="3" a="1"/>
  <c r="AU59" i="3" a="1"/>
  <c r="AT58" i="3" a="1"/>
  <c r="AU58" i="3" a="1"/>
  <c r="AT57" i="3" a="1"/>
  <c r="AU57" i="3" a="1"/>
  <c r="AT56" i="3" a="1"/>
  <c r="AU56" i="3" a="1"/>
  <c r="AT53" i="3" a="1"/>
  <c r="AU53" i="3" a="1"/>
  <c r="AT52" i="3" a="1"/>
  <c r="AU52" i="3" a="1"/>
  <c r="AT51" i="3" a="1"/>
  <c r="AU51" i="3" a="1"/>
  <c r="AT50" i="3" a="1"/>
  <c r="AU50" i="3" a="1"/>
  <c r="AT47" i="3" a="1"/>
  <c r="AU47" i="3" a="1"/>
  <c r="AT46" i="3" a="1"/>
  <c r="AU46" i="3" a="1"/>
  <c r="AT45" i="3" a="1"/>
  <c r="AU45" i="3" a="1"/>
  <c r="AT44" i="3" a="1"/>
  <c r="AU44" i="3" a="1"/>
  <c r="AT41" i="3" a="1"/>
  <c r="AU41" i="3" a="1"/>
  <c r="AT40" i="3" a="1"/>
  <c r="AU40" i="3" a="1"/>
  <c r="AT39" i="3" a="1"/>
  <c r="AU39" i="3" a="1"/>
  <c r="AT38" i="3" a="1"/>
  <c r="AU38" i="3" a="1"/>
  <c r="AT35" i="3" a="1"/>
  <c r="AU35" i="3" a="1"/>
  <c r="AT34" i="3" a="1"/>
  <c r="AU34" i="3" a="1"/>
  <c r="AT33" i="3" a="1"/>
  <c r="AU33" i="3" a="1"/>
  <c r="AT32" i="3" a="1"/>
  <c r="AU32" i="3" a="1"/>
  <c r="AT29" i="3" a="1"/>
  <c r="AU29" i="3" a="1"/>
  <c r="AT28" i="3" a="1"/>
  <c r="AU28" i="3" a="1"/>
  <c r="AT27" i="3" a="1"/>
  <c r="AU27" i="3" a="1"/>
  <c r="AT26" i="3" a="1"/>
  <c r="AU26" i="3" a="1"/>
  <c r="AT23" i="3" a="1"/>
  <c r="AU23" i="3" a="1"/>
  <c r="AT22" i="3" a="1"/>
  <c r="AU22" i="3" a="1"/>
  <c r="AT21" i="3" a="1"/>
  <c r="AU21" i="3" a="1"/>
  <c r="AT20" i="3" a="1"/>
  <c r="AU20" i="3" a="1"/>
  <c r="AT17" i="3" a="1"/>
  <c r="AU17" i="3" a="1"/>
  <c r="AT16" i="3" a="1"/>
  <c r="AU16" i="3" a="1"/>
  <c r="AT15" i="3" a="1"/>
  <c r="AU15" i="3" a="1"/>
  <c r="AT14" i="3" a="1"/>
  <c r="AU14" i="3" a="1"/>
  <c r="AT11" i="3" a="1"/>
  <c r="AU11" i="3" a="1"/>
  <c r="AT10" i="3" a="1"/>
  <c r="AU10" i="3" a="1"/>
  <c r="AT9" i="3" a="1"/>
  <c r="AU9" i="3" a="1"/>
  <c r="AT8" i="3" a="1"/>
  <c r="AU8" i="3" a="1"/>
  <c r="AV8" i="3" a="1"/>
  <c r="AW8" i="3" a="1"/>
  <c r="AV9" i="3" a="1"/>
  <c r="AW9" i="3" a="1"/>
  <c r="AV10" i="3" a="1"/>
  <c r="AW10" i="3" a="1"/>
  <c r="AV11" i="3" a="1"/>
  <c r="AW11" i="3" a="1"/>
  <c r="AV14" i="3" a="1"/>
  <c r="AW14" i="3" a="1"/>
  <c r="AV15" i="3" a="1"/>
  <c r="AW15" i="3" a="1"/>
  <c r="AV16" i="3" a="1"/>
  <c r="AW16" i="3" a="1"/>
  <c r="AV17" i="3" a="1"/>
  <c r="AW17" i="3" a="1"/>
  <c r="AV20" i="3" a="1"/>
  <c r="AW20" i="3" a="1"/>
  <c r="AV21" i="3" a="1"/>
  <c r="AW21" i="3" a="1"/>
  <c r="AV22" i="3" a="1"/>
  <c r="AW22" i="3" a="1"/>
  <c r="AV23" i="3" a="1"/>
  <c r="AW23" i="3" a="1"/>
  <c r="AV26" i="3" a="1"/>
  <c r="AW26" i="3" a="1"/>
  <c r="AV27" i="3" a="1"/>
  <c r="AW27" i="3" a="1"/>
  <c r="AV28" i="3" a="1"/>
  <c r="AW28" i="3" a="1"/>
  <c r="AV29" i="3" a="1"/>
  <c r="AW29" i="3" a="1"/>
  <c r="AV32" i="3" a="1"/>
  <c r="AW32" i="3" a="1"/>
  <c r="AV33" i="3" a="1"/>
  <c r="AW33" i="3" a="1"/>
  <c r="AV34" i="3" a="1"/>
  <c r="AW34" i="3" a="1"/>
  <c r="AV35" i="3" a="1"/>
  <c r="AW35" i="3" a="1"/>
  <c r="AV38" i="3" a="1"/>
  <c r="AW38" i="3" a="1"/>
  <c r="AV39" i="3" a="1"/>
  <c r="AW39" i="3" a="1"/>
  <c r="AV40" i="3" a="1"/>
  <c r="AW40" i="3" a="1"/>
  <c r="AV41" i="3" a="1"/>
  <c r="AW41" i="3" a="1"/>
  <c r="AV44" i="3" a="1"/>
  <c r="AW44" i="3" a="1"/>
  <c r="AV45" i="3" a="1"/>
  <c r="AW45" i="3" a="1"/>
  <c r="AV46" i="3" a="1"/>
  <c r="AW46" i="3" a="1"/>
  <c r="AV47" i="3" a="1"/>
  <c r="AW47" i="3" a="1"/>
  <c r="AV50" i="3" a="1"/>
  <c r="AW50" i="3" a="1"/>
  <c r="AV51" i="3" a="1"/>
  <c r="AW51" i="3" a="1"/>
  <c r="AV52" i="3" a="1"/>
  <c r="AW52" i="3" a="1"/>
  <c r="AV53" i="3" a="1"/>
  <c r="AW53" i="3" a="1"/>
  <c r="AV56" i="3" a="1"/>
  <c r="AW56" i="3" a="1"/>
  <c r="AV57" i="3" a="1"/>
  <c r="AW57" i="3" a="1"/>
  <c r="AV58" i="3" a="1"/>
  <c r="AW58" i="3" a="1"/>
  <c r="AV59" i="3" a="1"/>
  <c r="AW59" i="3" a="1"/>
  <c r="AV62" i="3" a="1"/>
  <c r="AW62" i="3" a="1"/>
  <c r="AV63" i="3" a="1"/>
  <c r="AW63" i="3" a="1"/>
  <c r="AV64" i="3" a="1"/>
  <c r="AW64" i="3" a="1"/>
  <c r="AV65" i="3" a="1"/>
  <c r="AW65" i="3" a="1"/>
  <c r="AV68" i="3" a="1"/>
  <c r="AW68" i="3" a="1"/>
  <c r="AV69" i="3" a="1"/>
  <c r="AW69" i="3" a="1"/>
  <c r="AV70" i="3" a="1"/>
  <c r="AW70" i="3" a="1"/>
  <c r="AV71" i="3" a="1"/>
  <c r="AW71" i="3" a="1"/>
  <c r="AV74" i="3" a="1"/>
  <c r="AW74" i="3" a="1"/>
  <c r="AV75" i="3" a="1"/>
  <c r="AW75" i="3" a="1"/>
  <c r="AV76" i="3" a="1"/>
  <c r="AW76" i="3" a="1"/>
  <c r="AV77" i="3" a="1"/>
  <c r="AW77" i="3" a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D77" i="3" a="1"/>
  <c r="BE76" i="3" a="1"/>
  <c r="BD76" i="3" a="1"/>
  <c r="BE75" i="3" a="1"/>
  <c r="BD75" i="3" a="1"/>
  <c r="BE74" i="3" a="1"/>
  <c r="BD74" i="3" a="1"/>
  <c r="BE71" i="3" a="1"/>
  <c r="BD71" i="3" a="1"/>
  <c r="BE70" i="3" a="1"/>
  <c r="BD70" i="3" a="1"/>
  <c r="BE69" i="3" a="1"/>
  <c r="BD69" i="3" a="1"/>
  <c r="BE68" i="3" a="1"/>
  <c r="BD68" i="3" a="1"/>
  <c r="BE65" i="3" a="1"/>
  <c r="BD65" i="3" a="1"/>
  <c r="BE64" i="3" a="1"/>
  <c r="BD64" i="3" a="1"/>
  <c r="BE63" i="3" a="1"/>
  <c r="BD63" i="3" a="1"/>
  <c r="BE62" i="3" a="1"/>
  <c r="BD62" i="3" a="1"/>
  <c r="BE59" i="3" a="1"/>
  <c r="BD59" i="3" a="1"/>
  <c r="BE58" i="3" a="1"/>
  <c r="BD58" i="3" a="1"/>
  <c r="BE57" i="3" a="1"/>
  <c r="BD57" i="3" a="1"/>
  <c r="BE56" i="3" a="1"/>
  <c r="BD56" i="3" a="1"/>
  <c r="BE53" i="3" a="1"/>
  <c r="BD53" i="3" a="1"/>
  <c r="BE52" i="3" a="1"/>
  <c r="BD52" i="3" a="1"/>
  <c r="BE51" i="3" a="1"/>
  <c r="BD51" i="3" a="1"/>
  <c r="BE50" i="3" a="1"/>
  <c r="BD50" i="3" a="1"/>
  <c r="BE47" i="3" a="1"/>
  <c r="BD47" i="3" a="1"/>
  <c r="BE46" i="3" a="1"/>
  <c r="BD46" i="3" a="1"/>
  <c r="BE45" i="3" a="1"/>
  <c r="BD45" i="3" a="1"/>
  <c r="BE44" i="3" a="1"/>
  <c r="BD44" i="3" a="1"/>
  <c r="BE41" i="3" a="1"/>
  <c r="BD41" i="3" a="1"/>
  <c r="BE40" i="3" a="1"/>
  <c r="BD40" i="3" a="1"/>
  <c r="BE39" i="3" a="1"/>
  <c r="BD39" i="3" a="1"/>
  <c r="BE38" i="3" a="1"/>
  <c r="BD38" i="3" a="1"/>
  <c r="BE35" i="3" a="1"/>
  <c r="BD35" i="3" a="1"/>
  <c r="BE34" i="3" a="1"/>
  <c r="BD34" i="3" a="1"/>
  <c r="BE33" i="3" a="1"/>
  <c r="BD33" i="3" a="1"/>
  <c r="BE32" i="3" a="1"/>
  <c r="BD32" i="3" a="1"/>
  <c r="BE29" i="3" a="1"/>
  <c r="BD29" i="3" a="1"/>
  <c r="BE28" i="3" a="1"/>
  <c r="BD28" i="3" a="1"/>
  <c r="BE27" i="3" a="1"/>
  <c r="BD27" i="3" a="1"/>
  <c r="BE26" i="3" a="1"/>
  <c r="BD26" i="3" a="1"/>
  <c r="BE23" i="3" a="1"/>
  <c r="BD23" i="3" a="1"/>
  <c r="BE22" i="3" a="1"/>
  <c r="BD22" i="3" a="1"/>
  <c r="BE21" i="3" a="1"/>
  <c r="BD21" i="3" a="1"/>
  <c r="BE20" i="3" a="1"/>
  <c r="BD20" i="3" a="1"/>
  <c r="BE17" i="3" a="1"/>
  <c r="BD17" i="3" a="1"/>
  <c r="BE16" i="3" a="1"/>
  <c r="BD16" i="3" a="1"/>
  <c r="BE15" i="3" a="1"/>
  <c r="BD15" i="3" a="1"/>
  <c r="BE14" i="3" a="1"/>
  <c r="BD14" i="3" a="1"/>
  <c r="BE11" i="3" a="1"/>
  <c r="BD11" i="3" a="1"/>
  <c r="BE10" i="3" a="1"/>
  <c r="BD10" i="3" a="1"/>
  <c r="BE9" i="3" a="1"/>
  <c r="BD9" i="3" a="1"/>
  <c r="BE8" i="3" a="1"/>
  <c r="BD8" i="3" a="1"/>
  <c r="BC77" i="3" a="1"/>
  <c r="BB77" i="3" a="1"/>
  <c r="BC76" i="3" a="1"/>
  <c r="BB76" i="3" a="1"/>
  <c r="BC75" i="3" a="1"/>
  <c r="BB75" i="3" a="1"/>
  <c r="BC74" i="3" a="1"/>
  <c r="BB74" i="3" a="1"/>
  <c r="BC71" i="3" a="1"/>
  <c r="BB71" i="3" a="1"/>
  <c r="BC70" i="3" a="1"/>
  <c r="BB70" i="3" a="1"/>
  <c r="BC69" i="3" a="1"/>
  <c r="BB69" i="3" a="1"/>
  <c r="BC68" i="3" a="1"/>
  <c r="BB68" i="3" a="1"/>
  <c r="BC65" i="3" a="1"/>
  <c r="BB65" i="3" a="1"/>
  <c r="BC64" i="3" a="1"/>
  <c r="BB64" i="3" a="1"/>
  <c r="BC63" i="3" a="1"/>
  <c r="BB63" i="3" a="1"/>
  <c r="BC62" i="3" a="1"/>
  <c r="BB62" i="3" a="1"/>
  <c r="BC59" i="3" a="1"/>
  <c r="BB59" i="3" a="1"/>
  <c r="BC58" i="3" a="1"/>
  <c r="BB58" i="3" a="1"/>
  <c r="BC57" i="3" a="1"/>
  <c r="BB57" i="3" a="1"/>
  <c r="BC56" i="3" a="1"/>
  <c r="BB56" i="3" a="1"/>
  <c r="BC53" i="3" a="1"/>
  <c r="BB53" i="3" a="1"/>
  <c r="BC52" i="3" a="1"/>
  <c r="BB52" i="3" a="1"/>
  <c r="BC51" i="3" a="1"/>
  <c r="BB51" i="3" a="1"/>
  <c r="BC50" i="3" a="1"/>
  <c r="BB50" i="3" a="1"/>
  <c r="BC47" i="3" a="1"/>
  <c r="BB47" i="3" a="1"/>
  <c r="BC46" i="3" a="1"/>
  <c r="BB46" i="3" a="1"/>
  <c r="BC45" i="3" a="1"/>
  <c r="BB45" i="3" a="1"/>
  <c r="BC44" i="3" a="1"/>
  <c r="BB44" i="3" a="1"/>
  <c r="BC41" i="3" a="1"/>
  <c r="BB41" i="3" a="1"/>
  <c r="BC40" i="3" a="1"/>
  <c r="BB40" i="3" a="1"/>
  <c r="BC39" i="3" a="1"/>
  <c r="BB39" i="3" a="1"/>
  <c r="BC38" i="3" a="1"/>
  <c r="BB38" i="3" a="1"/>
  <c r="BC35" i="3" a="1"/>
  <c r="BB35" i="3" a="1"/>
  <c r="BC34" i="3" a="1"/>
  <c r="BB34" i="3" a="1"/>
  <c r="BC33" i="3" a="1"/>
  <c r="BB33" i="3" a="1"/>
  <c r="BC32" i="3" a="1"/>
  <c r="BB32" i="3" a="1"/>
  <c r="BC29" i="3" a="1"/>
  <c r="BB29" i="3" a="1"/>
  <c r="BC28" i="3" a="1"/>
  <c r="BB28" i="3" a="1"/>
  <c r="BC27" i="3" a="1"/>
  <c r="BB27" i="3" a="1"/>
  <c r="BC26" i="3" a="1"/>
  <c r="BB26" i="3" a="1"/>
  <c r="BC23" i="3" a="1"/>
  <c r="BB23" i="3" a="1"/>
  <c r="BC22" i="3" a="1"/>
  <c r="BB22" i="3" a="1"/>
  <c r="BC21" i="3" a="1"/>
  <c r="BB21" i="3" a="1"/>
  <c r="BC20" i="3" a="1"/>
  <c r="BB20" i="3" a="1"/>
  <c r="BC17" i="3" a="1"/>
  <c r="BB17" i="3" a="1"/>
  <c r="BC16" i="3" a="1"/>
  <c r="BB16" i="3" a="1"/>
  <c r="BC15" i="3" a="1"/>
  <c r="BB15" i="3" a="1"/>
  <c r="BC14" i="3" a="1"/>
  <c r="BB14" i="3" a="1"/>
  <c r="BC11" i="3" a="1"/>
  <c r="BB11" i="3" a="1"/>
  <c r="BC10" i="3" a="1"/>
  <c r="BB10" i="3" a="1"/>
  <c r="BC9" i="3" a="1"/>
  <c r="BB9" i="3" a="1"/>
  <c r="BC8" i="3" a="1"/>
  <c r="BB8" i="3" a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11" i="3" l="1"/>
  <c r="AR10" i="3"/>
  <c r="AR9" i="3"/>
  <c r="AD57" i="3"/>
  <c r="AD58" i="3"/>
  <c r="AR22" i="3"/>
  <c r="AR21" i="3"/>
  <c r="AR28" i="3"/>
  <c r="AR35" i="3"/>
  <c r="AR34" i="3"/>
  <c r="AR33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8" i="3"/>
  <c r="AD10" i="3"/>
  <c r="M58" i="3"/>
  <c r="AD11" i="3"/>
  <c r="AD44" i="3"/>
  <c r="AD14" i="3"/>
  <c r="AD53" i="3"/>
  <c r="N58" i="3"/>
  <c r="L58" i="3"/>
  <c r="AD15" i="3"/>
  <c r="AD77" i="3"/>
  <c r="AD28" i="3"/>
  <c r="M59" i="3"/>
  <c r="AD47" i="3"/>
  <c r="AD33" i="3"/>
  <c r="AD32" i="3"/>
  <c r="AD34" i="3"/>
  <c r="AD35" i="3"/>
  <c r="AD21" i="3"/>
  <c r="AD20" i="3"/>
  <c r="AD22" i="3"/>
  <c r="AD63" i="3"/>
  <c r="AD71" i="3"/>
  <c r="AD62" i="3"/>
  <c r="AD75" i="3"/>
  <c r="AD68" i="3"/>
  <c r="AD70" i="3"/>
  <c r="AD41" i="3"/>
  <c r="AD27" i="3"/>
  <c r="AD26" i="3"/>
  <c r="L59" i="3"/>
  <c r="O60" i="3"/>
  <c r="AD74" i="3"/>
  <c r="AD76" i="3"/>
  <c r="AD2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J12" i="3" l="1"/>
  <c r="N12" i="3"/>
  <c r="O9" i="3"/>
  <c r="N9" i="3"/>
  <c r="O12" i="3"/>
  <c r="M9" i="3"/>
  <c r="M12" i="3"/>
  <c r="J9" i="3"/>
  <c r="AS8" i="3" s="1"/>
  <c r="BL50" i="3" s="1"/>
  <c r="L9" i="3"/>
  <c r="L11" i="3"/>
  <c r="M10" i="3"/>
  <c r="O11" i="3"/>
  <c r="J11" i="3"/>
  <c r="AE80" i="3" s="1"/>
  <c r="AQ80" i="3" s="1"/>
  <c r="O10" i="3"/>
  <c r="N11" i="3"/>
  <c r="J10" i="3"/>
  <c r="AS9" i="3" s="1"/>
  <c r="BL18" i="3" s="1"/>
  <c r="L12" i="3"/>
  <c r="N10" i="3"/>
  <c r="L10" i="3"/>
  <c r="M11" i="3"/>
  <c r="J45" i="3"/>
  <c r="AS44" i="3" s="1"/>
  <c r="BL38" i="3" s="1"/>
  <c r="M45" i="3"/>
  <c r="N45" i="3"/>
  <c r="L45" i="3"/>
  <c r="O45" i="3"/>
  <c r="J16" i="3"/>
  <c r="AS15" i="3" s="1"/>
  <c r="BL19" i="3" s="1"/>
  <c r="N16" i="3"/>
  <c r="L16" i="3"/>
  <c r="M16" i="3"/>
  <c r="O16" i="3"/>
  <c r="P58" i="3"/>
  <c r="K58" i="3"/>
  <c r="M18" i="3"/>
  <c r="J18" i="3"/>
  <c r="O18" i="3"/>
  <c r="N18" i="3"/>
  <c r="L18" i="3"/>
  <c r="N17" i="3"/>
  <c r="K57" i="3"/>
  <c r="P57" i="3"/>
  <c r="L23" i="3"/>
  <c r="K59" i="3"/>
  <c r="AF88" i="3"/>
  <c r="L15" i="3"/>
  <c r="O17" i="3"/>
  <c r="L17" i="3"/>
  <c r="M17" i="3"/>
  <c r="J24" i="3"/>
  <c r="J22" i="3"/>
  <c r="AS21" i="3" s="1"/>
  <c r="BL23" i="3" s="1"/>
  <c r="O54" i="3"/>
  <c r="AG88" i="3"/>
  <c r="AI88" i="3"/>
  <c r="AJ88" i="3"/>
  <c r="AN88" i="3"/>
  <c r="AT88" i="3"/>
  <c r="P59" i="3"/>
  <c r="J21" i="3"/>
  <c r="AS20" i="3" s="1"/>
  <c r="BL42" i="3" s="1"/>
  <c r="BS44" i="3" s="1"/>
  <c r="BZ48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BS45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M41" i="3"/>
  <c r="N53" i="3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 s="1"/>
  <c r="AQ86" i="3" s="1"/>
  <c r="J46" i="3"/>
  <c r="AS45" i="3" s="1"/>
  <c r="BL63" i="3" s="1"/>
  <c r="N47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L47" i="3"/>
  <c r="N46" i="3"/>
  <c r="L46" i="3"/>
  <c r="O46" i="3"/>
  <c r="O48" i="3"/>
  <c r="M46" i="3"/>
  <c r="O47" i="3"/>
  <c r="N48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1" i="3" l="1"/>
  <c r="T91" i="3" s="1" a="1"/>
  <c r="BS37" i="3"/>
  <c r="S90" i="3"/>
  <c r="T90" i="3" s="1" a="1"/>
  <c r="BS36" i="3"/>
  <c r="S89" i="3"/>
  <c r="T89" i="3" s="1" a="1"/>
  <c r="BS21" i="3"/>
  <c r="S87" i="3"/>
  <c r="T87" i="3" s="1" a="1"/>
  <c r="BS29" i="3"/>
  <c r="S86" i="3"/>
  <c r="T86" i="3" s="1" a="1"/>
  <c r="BS28" i="3"/>
  <c r="S88" i="3"/>
  <c r="T88" i="3" s="1" a="1"/>
  <c r="BS20" i="3"/>
  <c r="K10" i="3"/>
  <c r="P10" i="3"/>
  <c r="AF80" i="3"/>
  <c r="AG80" i="3"/>
  <c r="AH80" i="3"/>
  <c r="AI80" i="3"/>
  <c r="AJ80" i="3"/>
  <c r="AL80" i="3"/>
  <c r="AT80" i="3"/>
  <c r="P11" i="3"/>
  <c r="K11" i="3"/>
  <c r="P9" i="3"/>
  <c r="K9" i="3"/>
  <c r="P12" i="3"/>
  <c r="K12" i="3"/>
  <c r="AN80" i="3"/>
  <c r="P45" i="3"/>
  <c r="K45" i="3"/>
  <c r="AF90" i="3"/>
  <c r="AG90" i="3"/>
  <c r="AH90" i="3"/>
  <c r="AI90" i="3"/>
  <c r="AJ90" i="3"/>
  <c r="P16" i="3"/>
  <c r="K16" i="3"/>
  <c r="P18" i="3"/>
  <c r="K18" i="3"/>
  <c r="AL90" i="3"/>
  <c r="AN90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T90" i="3"/>
  <c r="P72" i="3"/>
  <c r="K72" i="3"/>
  <c r="P71" i="3"/>
  <c r="K71" i="3"/>
  <c r="P70" i="3"/>
  <c r="P17" i="3"/>
  <c r="K17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P46" i="3"/>
  <c r="K46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K29" i="3"/>
  <c r="P29" i="3"/>
  <c r="AF83" i="3"/>
  <c r="AH83" i="3"/>
  <c r="AI83" i="3"/>
  <c r="AJ83" i="3"/>
  <c r="AN83" i="3"/>
  <c r="P23" i="3"/>
  <c r="P22" i="3"/>
  <c r="AN85" i="3"/>
  <c r="P27" i="3"/>
  <c r="AG83" i="3"/>
  <c r="AL83" i="3"/>
  <c r="AT83" i="3"/>
  <c r="K22" i="3"/>
  <c r="K24" i="3"/>
  <c r="P24" i="3"/>
  <c r="P21" i="3"/>
  <c r="K21" i="3"/>
  <c r="AF82" i="3"/>
  <c r="AG82" i="3"/>
  <c r="AH82" i="3"/>
  <c r="AI82" i="3"/>
  <c r="AJ82" i="3"/>
  <c r="AN82" i="3"/>
  <c r="AT82" i="3"/>
  <c r="AF81" i="3"/>
  <c r="AG81" i="3"/>
  <c r="AH81" i="3"/>
  <c r="AI81" i="3"/>
  <c r="AJ81" i="3"/>
  <c r="AL81" i="3"/>
  <c r="AN81" i="3"/>
  <c r="AT81" i="3"/>
  <c r="P15" i="3"/>
  <c r="K15" i="3"/>
  <c r="K48" i="3"/>
  <c r="K47" i="3"/>
  <c r="P47" i="3"/>
  <c r="K23" i="3"/>
  <c r="P53" i="3"/>
  <c r="P52" i="3"/>
  <c r="P48" i="3"/>
  <c r="AL82" i="3"/>
  <c r="AI87" i="3"/>
  <c r="K52" i="3"/>
  <c r="S98" i="3" l="1"/>
  <c r="T98" i="3" s="1" a="1"/>
  <c r="BZ33" i="3"/>
  <c r="U103" i="3" s="1"/>
  <c r="AC103" i="3" s="1" a="1"/>
  <c r="S97" i="3"/>
  <c r="T97" i="3" s="1" a="1"/>
  <c r="BZ32" i="3"/>
  <c r="BZ17" i="3"/>
  <c r="U102" i="3" s="1"/>
  <c r="AC102" i="3" s="1" a="1"/>
  <c r="S96" i="3"/>
  <c r="T96" i="3" s="1" a="1"/>
  <c r="AL92" i="3"/>
  <c r="AM88" i="3" s="1"/>
  <c r="AI92" i="3"/>
  <c r="AJ92" i="3"/>
  <c r="AG92" i="3"/>
  <c r="AF92" i="3"/>
  <c r="AH92" i="3"/>
  <c r="AS92" i="3"/>
  <c r="AN92" i="3"/>
  <c r="S103" i="3" l="1"/>
  <c r="T103" i="3" s="1" a="1"/>
  <c r="CG24" i="3"/>
  <c r="AM83" i="3"/>
  <c r="AM91" i="3"/>
  <c r="AM89" i="3"/>
  <c r="AM80" i="3"/>
  <c r="AM82" i="3"/>
  <c r="AM90" i="3"/>
  <c r="AM81" i="3"/>
  <c r="AM87" i="3"/>
  <c r="AM86" i="3"/>
  <c r="AM85" i="3"/>
  <c r="AM84" i="3"/>
  <c r="S85" i="3"/>
  <c r="T85" i="3" s="1" a="1"/>
  <c r="BS13" i="3"/>
  <c r="S84" i="3"/>
  <c r="T84" i="3" s="1" a="1"/>
  <c r="BS12" i="3"/>
  <c r="AM92" i="3" l="1"/>
  <c r="AP87" i="3" s="1"/>
  <c r="BZ16" i="3"/>
  <c r="S95" i="3"/>
  <c r="T95" i="3" s="1" a="1"/>
  <c r="S102" i="3" l="1"/>
  <c r="T102" i="3" s="1" a="1"/>
  <c r="CG23" i="3"/>
  <c r="S111" i="3" s="1"/>
  <c r="T111" i="3" s="1"/>
  <c r="AP81" i="3"/>
  <c r="AP84" i="3"/>
  <c r="AP86" i="3"/>
  <c r="AP89" i="3"/>
  <c r="AP90" i="3"/>
  <c r="AP88" i="3"/>
  <c r="AP82" i="3"/>
  <c r="AP83" i="3"/>
  <c r="AP91" i="3"/>
  <c r="AP85" i="3"/>
  <c r="AP80" i="3"/>
  <c r="CN37" i="3" l="1"/>
  <c r="CK68" i="3" s="1"/>
  <c r="CN48" i="3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7" i="3"/>
  <c r="AS87" i="3" s="1"/>
  <c r="AD85" i="3"/>
  <c r="AS85" i="3" s="1"/>
  <c r="AD88" i="3"/>
  <c r="AS88" i="3" s="1"/>
  <c r="AD80" i="3"/>
  <c r="AD81" i="3"/>
  <c r="AS81" i="3" s="1"/>
  <c r="M88" i="3" l="1"/>
  <c r="L88" i="3"/>
  <c r="O91" i="3"/>
  <c r="O88" i="3"/>
  <c r="J92" i="3"/>
  <c r="O87" i="3"/>
  <c r="O86" i="3"/>
  <c r="L86" i="3"/>
  <c r="AS80" i="3"/>
  <c r="O83" i="3"/>
  <c r="L83" i="3"/>
  <c r="N84" i="3"/>
  <c r="M87" i="3"/>
  <c r="M85" i="3"/>
  <c r="N90" i="3"/>
  <c r="O90" i="3"/>
  <c r="J87" i="3"/>
  <c r="N85" i="3"/>
  <c r="L84" i="3"/>
  <c r="J85" i="3"/>
  <c r="L91" i="3"/>
  <c r="N82" i="3"/>
  <c r="J86" i="3"/>
  <c r="N81" i="3"/>
  <c r="J88" i="3"/>
  <c r="L81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H3" i="4"/>
  <c r="BL39" i="3" s="1"/>
  <c r="P89" i="3"/>
  <c r="B3" i="4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I3" i="4"/>
  <c r="BL15" i="3" s="1"/>
  <c r="G3" i="4"/>
  <c r="BL11" i="3" s="1"/>
  <c r="J3" i="4"/>
  <c r="D3" i="4"/>
  <c r="K3" i="4"/>
  <c r="BS53" i="3"/>
  <c r="BS52" i="3"/>
  <c r="BS69" i="3"/>
  <c r="BZ65" i="3" s="1"/>
  <c r="CG56" i="3" s="1"/>
  <c r="CN38" i="3" s="1"/>
  <c r="BS68" i="3"/>
  <c r="BZ49" i="3" l="1"/>
  <c r="CG55" i="3" s="1"/>
  <c r="CN49" i="3" s="1"/>
  <c r="BL55" i="3"/>
  <c r="BL51" i="3"/>
  <c r="BL71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<sst xmlns="http://schemas.openxmlformats.org/spreadsheetml/2006/main" count="9785" uniqueCount="3699">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</sst>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30" zoomScaleNormal="100" workbookViewId="0">
      <selection activeCell="BM28" sqref="BM28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3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7</v>
      </c>
      <c r="AN8" s="123">
        <f>AF8*3+AG8</f>
        <v>7</v>
      </c>
      <c r="AO8" s="123">
        <f>AN8/AN12*10+BA8</f>
        <v>9.735294117647058</v>
      </c>
      <c r="AP8" s="123">
        <f>AO8*10000000+BI8*100+AM8/AM12*10+AI8/AI12*1++IF(AQ8=0,ROW(),AQ8)/2000000</f>
        <v>97353048.055929199</v>
      </c>
      <c r="AQ8" s="126">
        <f>VLOOKUP(AE8,db_fifarank,2,FALSE)</f>
        <v>1681.03</v>
      </c>
      <c r="AR8" s="125">
        <f>AP8/AP12</f>
        <v>0.9999999753809915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100.5</v>
      </c>
      <c r="BA8" s="126">
        <f>AZ8/AZ12</f>
        <v>0.98529411764705888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100.5</v>
      </c>
      <c r="BI8" s="126">
        <f>BH8/BH12</f>
        <v>0.98529411764705888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6</v>
      </c>
      <c r="AL9" s="123">
        <f>AI9-AJ9</f>
        <v>-3</v>
      </c>
      <c r="AM9" s="123">
        <f>AL9-AL12</f>
        <v>1</v>
      </c>
      <c r="AN9" s="123">
        <f>AF9*3+AG9</f>
        <v>1</v>
      </c>
      <c r="AO9" s="123">
        <f>AN9/AN12*10+BA9</f>
        <v>2.2401960784313726</v>
      </c>
      <c r="AP9" s="123">
        <f>AO9*10000000+BI9*100+AM9/AM12*10+AI9/AI12*1++IF(AQ9=0,ROW(),AQ9)/2000000</f>
        <v>22402061.344318975</v>
      </c>
      <c r="AQ9" s="126">
        <f>VLOOKUP(AE9,db_fifarank,2,FALSE)</f>
        <v>1429.73</v>
      </c>
      <c r="AR9" s="125">
        <f>AP9/AP12</f>
        <v>0.23011155007630044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2</v>
      </c>
      <c r="AW9" s="126" cm="1">
        <f t="array" ref="AW9">SUMPRODUCT(($E$7:$E$78=AE9)*($U$7:$U$78)*($G$7:$G$78))+SUMPRODUCT(($H$7:$H$78=AE9)*($U$7:$U$78)*($F$7:$F$78))</f>
        <v>2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101</v>
      </c>
      <c r="BA9" s="126">
        <f>AZ9/AZ12</f>
        <v>0.99019607843137258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2</v>
      </c>
      <c r="BE9" s="126" cm="1">
        <f t="array" ref="BE9">SUMPRODUCT(($E$7:$E$78=AE9)*($X$7:$X$78)*($G$7:$G$78))+SUMPRODUCT(($H$7:$H$78=AE9)*($X$7:$X$78)*($F$7:$F$78))</f>
        <v>2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101</v>
      </c>
      <c r="BI9" s="126">
        <f>BH9/BH12</f>
        <v>0.99019607843137258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4 - 1</v>
      </c>
      <c r="P10" s="34">
        <f>L10*3+M10</f>
        <v>7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6</v>
      </c>
      <c r="AL10" s="123">
        <f>AI10-AJ10</f>
        <v>-4</v>
      </c>
      <c r="AM10" s="123">
        <f>AL10-AL12</f>
        <v>0</v>
      </c>
      <c r="AN10" s="123">
        <f>AF10*3+AG10</f>
        <v>1</v>
      </c>
      <c r="AO10" s="123">
        <f>AN10/AN12*10+BA10</f>
        <v>2.2401960784313726</v>
      </c>
      <c r="AP10" s="123">
        <f>AO10*10000000+BI10*100+AM10/AM12*10+AI10/AI12*1++IF(AQ10=0,ROW(),AQ10)/2000000</f>
        <v>22402060.090430185</v>
      </c>
      <c r="AQ10" s="126">
        <f>VLOOKUP(AE10,db_fifarank,2,FALSE)</f>
        <v>1588.66</v>
      </c>
      <c r="AR10" s="125">
        <f>AP10/AP12</f>
        <v>0.23011153719649047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101</v>
      </c>
      <c r="BA10" s="126">
        <f>AZ10/AZ12</f>
        <v>0.99019607843137258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2</v>
      </c>
      <c r="BE10" s="126" cm="1">
        <f t="array" ref="BE10">SUMPRODUCT(($E$7:$E$78=AE10)*($X$7:$X$78)*($G$7:$G$78))+SUMPRODUCT(($H$7:$H$78=AE10)*($X$7:$X$78)*($F$7:$F$78))</f>
        <v>2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101</v>
      </c>
      <c r="BI10" s="126">
        <f>BH10/BH12</f>
        <v>0.99019607843137258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3 - 6</v>
      </c>
      <c r="P11" s="34">
        <f>L11*3+M11</f>
        <v>1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6</v>
      </c>
      <c r="AJ11" s="123">
        <f>SUMIF($E$7:$E$78,$AE11,$G$7:$G$78) + SUMIF($H$7:$H$78,$AE11,$F$7:$F$78)</f>
        <v>2</v>
      </c>
      <c r="AL11" s="123">
        <f>AI11-AJ11</f>
        <v>4</v>
      </c>
      <c r="AM11" s="123">
        <f>AL11-AL12</f>
        <v>8</v>
      </c>
      <c r="AN11" s="123">
        <f>AF11*3+AG11</f>
        <v>7</v>
      </c>
      <c r="AO11" s="123">
        <f>AN11/AN12*10+BA11</f>
        <v>9.735294117647058</v>
      </c>
      <c r="AP11" s="123">
        <f>AO11*10000000+BI11*100+AM11/AM12*10+AI11/AI12*1++IF(AQ11=0,ROW(),AQ11)/2000000</f>
        <v>97353049.452664778</v>
      </c>
      <c r="AQ11" s="126">
        <f>VLOOKUP(AE11,db_fifarank,2,FALSE)</f>
        <v>1501.38</v>
      </c>
      <c r="AR11" s="125">
        <f>AP11/AP12</f>
        <v>0.99999998972810822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100.5</v>
      </c>
      <c r="BA11" s="126">
        <f>AZ11/AZ12</f>
        <v>0.98529411764705888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100.5</v>
      </c>
      <c r="BI11" s="126">
        <f>BH11/BH12</f>
        <v>0.98529411764705888</v>
      </c>
      <c r="BK11" s="13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1</v>
      </c>
      <c r="AH12" s="123">
        <f t="shared" si="12"/>
        <v>3</v>
      </c>
      <c r="AI12" s="123">
        <f>MAX(AI8:AI11)+1</f>
        <v>7</v>
      </c>
      <c r="AL12" s="123">
        <f>MIN(AL8:AL11)</f>
        <v>-4</v>
      </c>
      <c r="AM12" s="123">
        <f>MAX(AM8:AM11)+1</f>
        <v>9</v>
      </c>
      <c r="AN12" s="123">
        <f>MAX(AN8:AN11)+1</f>
        <v>8</v>
      </c>
      <c r="AO12" s="123">
        <f>MAX(AO8:AO11)+1</f>
        <v>10.735294117647058</v>
      </c>
      <c r="AP12" s="123">
        <f>MAX(AP8:AP11)+1</f>
        <v>97353050.452664778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102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102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4</v>
      </c>
      <c r="AL14" s="123">
        <f>AI14-AJ14</f>
        <v>0</v>
      </c>
      <c r="AM14" s="123">
        <f>AL14-AL18</f>
        <v>3</v>
      </c>
      <c r="AN14" s="123">
        <f>AF14*3+AG14</f>
        <v>4</v>
      </c>
      <c r="AO14" s="123">
        <f>AN14/AN18*10+BA14</f>
        <v>4</v>
      </c>
      <c r="AP14" s="123">
        <f>AO14*10000000+BI14*100+AM14/AM18*10+AI14/AI18*1++IF(AQ14=0,ROW(),AQ14)/2000000</f>
        <v>40000004.417444907</v>
      </c>
      <c r="AQ14" s="126">
        <f>VLOOKUP(AE14,db_fifarank,2,FALSE)</f>
        <v>1556.48</v>
      </c>
      <c r="AR14" s="125">
        <f>AP14/AP18</f>
        <v>0.44444444125971894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4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2</v>
      </c>
      <c r="AL15" s="123">
        <f>AI15-AJ15</f>
        <v>-1</v>
      </c>
      <c r="AM15" s="123">
        <f>AL15-AL18</f>
        <v>2</v>
      </c>
      <c r="AN15" s="123">
        <f>AF15*3+AG15</f>
        <v>2</v>
      </c>
      <c r="AO15" s="123">
        <f>AN15/AN18*10+BA15</f>
        <v>2</v>
      </c>
      <c r="AP15" s="123">
        <f>AO15*10000000+BI15*100+AM15/AM18*10+AI15/AI18*1++IF(AQ15=0,ROW(),AQ15)/2000000</f>
        <v>20000002.667359587</v>
      </c>
      <c r="AQ15" s="126">
        <f>VLOOKUP(AE15,db_fifarank,2,FALSE)</f>
        <v>1385.84</v>
      </c>
      <c r="AR15" s="125">
        <f>AP15/AP18</f>
        <v>0.22222222572582701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Tunisia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4 - 4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</v>
      </c>
      <c r="AP16" s="123">
        <f>AO16*10000000+BI16*100+AM16/AM18*10+AI16/AI18*1++IF(AQ16=0,ROW(),AQ16)/2000000</f>
        <v>10000000.167394146</v>
      </c>
      <c r="AQ16" s="126">
        <f>VLOOKUP(AE16,db_fifarank,2,FALSE)</f>
        <v>1454.96</v>
      </c>
      <c r="AR16" s="125">
        <f>AP16/AP18</f>
        <v>0.11111109990418562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0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1 - 2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1</v>
      </c>
      <c r="AL17" s="123">
        <f>AI17-AJ17</f>
        <v>4</v>
      </c>
      <c r="AM17" s="123">
        <f>AL17-AL18</f>
        <v>7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90000009.584158033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2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2</v>
      </c>
      <c r="W18" s="123">
        <f t="shared" si="4"/>
        <v>2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6</v>
      </c>
      <c r="AL18" s="123">
        <f>MIN(AL14:AL17)</f>
        <v>-3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90000010.584158033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1</v>
      </c>
      <c r="AL20" s="123">
        <f>AI20-AJ20</f>
        <v>8</v>
      </c>
      <c r="AM20" s="123">
        <f>AL20-AL24</f>
        <v>18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90000010.374564797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4</v>
      </c>
      <c r="AL21" s="123">
        <f>AI21-AJ21</f>
        <v>2</v>
      </c>
      <c r="AM21" s="123">
        <f>AL21-AL24</f>
        <v>12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60000006.916667409</v>
      </c>
      <c r="AQ21" s="126">
        <f>VLOOKUP(AE21,db_fifarank,2,FALSE)</f>
        <v>1755.87</v>
      </c>
      <c r="AR21" s="125">
        <f>AP21/AP24</f>
        <v>0.66666665926249213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11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0.10064585500000001</v>
      </c>
      <c r="AQ22" s="126">
        <f>VLOOKUP(AE22,db_fifarank,2,FALSE)</f>
        <v>1291.71</v>
      </c>
      <c r="AR22" s="125">
        <f>AP22/AP24</f>
        <v>1.1182871364441168E-9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4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10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30000005.663907066</v>
      </c>
      <c r="AQ23" s="126">
        <f>VLOOKUP(AE23,db_fifarank,2,FALSE)</f>
        <v>1498.35</v>
      </c>
      <c r="AR23" s="125">
        <f>AP23/AP24</f>
        <v>0.33333335413761367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-10</v>
      </c>
      <c r="AM24" s="123">
        <f>MAX(AM20:AM23)+1</f>
        <v>19</v>
      </c>
      <c r="AN24" s="123">
        <f>MAX(AN20:AN23)+1</f>
        <v>10</v>
      </c>
      <c r="AO24" s="123">
        <f>MAX(AO20:AO23)+1</f>
        <v>10</v>
      </c>
      <c r="AP24" s="123">
        <f>MAX(AP20:AP23)+1</f>
        <v>90000011.374564797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4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5</v>
      </c>
      <c r="AL26" s="123">
        <f>AI26-AJ26</f>
        <v>1</v>
      </c>
      <c r="AM26" s="123">
        <f>AL26-AL30</f>
        <v>4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60000005.045281015</v>
      </c>
      <c r="AQ26" s="126">
        <f>VLOOKUP(AE26,db_fifarank,2,FALSE)</f>
        <v>1673.13</v>
      </c>
      <c r="AR26" s="125">
        <f>AP26/AP30</f>
        <v>0.66666664280172949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9 - 4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6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1.9805825242718447</v>
      </c>
      <c r="AP27" s="123">
        <f>AO27*10000000+BI27*100+AM27/AM30*10+AI27/AI30*1++IF(AQ27=0,ROW(),AQ27)/2000000</f>
        <v>19805923.601722624</v>
      </c>
      <c r="AQ27" s="126">
        <f>VLOOKUP(AE27,db_fifarank,2,FALSE)</f>
        <v>1503.5</v>
      </c>
      <c r="AR27" s="125">
        <f>AP27/AP30</f>
        <v>0.22006579141423668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6 - 5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6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1.9805825242718447</v>
      </c>
      <c r="AP28" s="123">
        <f>AO28*10000000+BI28*100+AM28/AM30*10+AI28/AI30*1++IF(AQ28=0,ROW(),AQ28)/2000000</f>
        <v>19805923.601761211</v>
      </c>
      <c r="AQ28" s="126">
        <f>VLOOKUP(AE28,db_fifarank,2,FALSE)</f>
        <v>1580.67</v>
      </c>
      <c r="AR28" s="125">
        <f>AP28/AP30</f>
        <v>0.22006579141466542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3 - 6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9</v>
      </c>
      <c r="AJ29" s="123">
        <f>SUMIF($E$7:$E$78,$AE29,$G$7:$G$78) + SUMIF($H$7:$H$78,$AE29,$F$7:$F$78)</f>
        <v>4</v>
      </c>
      <c r="AL29" s="123">
        <f>AI29-AJ29</f>
        <v>5</v>
      </c>
      <c r="AM29" s="123">
        <f>AL29-AL30</f>
        <v>8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90000009.789688423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3 - 6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10</v>
      </c>
      <c r="AL30" s="123">
        <f>MIN(AL26:AL29)</f>
        <v>-3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90000010.789688423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12</v>
      </c>
      <c r="AJ32" s="123">
        <f>SUMIF($E$7:$E$78,$AE32,$G$7:$G$78) + SUMIF($H$7:$H$78,$AE32,$F$7:$F$78)</f>
        <v>1</v>
      </c>
      <c r="AL32" s="123">
        <f>AI32-AJ32</f>
        <v>11</v>
      </c>
      <c r="AM32" s="123">
        <f>AL32-AL36</f>
        <v>19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90000010.423942119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12 - 1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9</v>
      </c>
      <c r="AL33" s="123">
        <f>AI33-AJ33</f>
        <v>-8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19805923.378541276</v>
      </c>
      <c r="AQ33" s="126">
        <f>VLOOKUP(AE33,db_fifarank,2,FALSE)</f>
        <v>1294.6500000000001</v>
      </c>
      <c r="AR33" s="125">
        <f>AP33/AP36</f>
        <v>0.22006578738358287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8 - 3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9</v>
      </c>
      <c r="AL34" s="123">
        <f>AI34-AJ34</f>
        <v>-8</v>
      </c>
      <c r="AM34" s="123">
        <f>AL34-AL36</f>
        <v>0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19805923.37866044</v>
      </c>
      <c r="AQ34" s="126">
        <f>VLOOKUP(AE34,db_fifarank,2,FALSE)</f>
        <v>1532.98</v>
      </c>
      <c r="AR34" s="125">
        <f>AP34/AP36</f>
        <v>0.22006578738490692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1 - 9</v>
      </c>
      <c r="P35" s="34">
        <f>L35*3+M35</f>
        <v>1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8</v>
      </c>
      <c r="AJ35" s="123">
        <f>SUMIF($E$7:$E$78,$AE35,$G$7:$G$78) + SUMIF($H$7:$H$78,$AE35,$F$7:$F$78)</f>
        <v>3</v>
      </c>
      <c r="AL35" s="123">
        <f>AI35-AJ35</f>
        <v>5</v>
      </c>
      <c r="AM35" s="123">
        <f>AL35-AL36</f>
        <v>13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60000007.116182007</v>
      </c>
      <c r="AQ35" s="126">
        <f>VLOOKUP(AE35,db_fifarank,2,FALSE)</f>
        <v>1594.78</v>
      </c>
      <c r="AR35" s="125">
        <f>AP35/AP36</f>
        <v>0.66666666111356288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1 - 9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13</v>
      </c>
      <c r="AL36" s="123">
        <f>MIN(AL32:AL35)</f>
        <v>-8</v>
      </c>
      <c r="AM36" s="123">
        <f>MAX(AM32:AM35)+1</f>
        <v>20</v>
      </c>
      <c r="AN36" s="123">
        <f>MAX(AN32:AN35)+1</f>
        <v>10</v>
      </c>
      <c r="AO36" s="123">
        <f>MAX(AO32:AO35)+1</f>
        <v>10</v>
      </c>
      <c r="AP36" s="123">
        <f>MAX(AP32:AP35)+1</f>
        <v>90000011.423942119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1</v>
      </c>
      <c r="AL38" s="123">
        <f>AI38-AJ38</f>
        <v>6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90000009.87587893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4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1</v>
      </c>
      <c r="AJ39" s="123">
        <f>SUMIF($E$7:$E$78,$AE39,$G$7:$G$78) + SUMIF($H$7:$H$78,$AE39,$F$7:$F$78)</f>
        <v>4</v>
      </c>
      <c r="AL39" s="123">
        <f>AI39-AJ39</f>
        <v>-3</v>
      </c>
      <c r="AM39" s="123">
        <f>AL39-AL42</f>
        <v>0</v>
      </c>
      <c r="AN39" s="123">
        <f>AF39*3+AG39</f>
        <v>2</v>
      </c>
      <c r="AO39" s="123">
        <f>AN39/AN42*10+BA39</f>
        <v>2.9780755176613884</v>
      </c>
      <c r="AP39" s="123">
        <f>AO39*10000000+BI39*100+AM39/AM42*10+AI39/AI42*1++IF(AQ39=0,ROW(),AQ39)/2000000</f>
        <v>29780755.3024441</v>
      </c>
      <c r="AQ39" s="126">
        <f>VLOOKUP(AE39,db_fifarank,2,FALSE)</f>
        <v>1660.43</v>
      </c>
      <c r="AR39" s="125">
        <f>AP39/AP42</f>
        <v>0.33089724115161961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2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66.916666666666657</v>
      </c>
      <c r="BA39" s="126">
        <f>AZ39/AZ42</f>
        <v>0.97807551766138856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Saudi Arabia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0</v>
      </c>
      <c r="M40" s="23">
        <f>VLOOKUP(2,AD38:AN41,4,FALSE)</f>
        <v>2</v>
      </c>
      <c r="N40" s="23">
        <f>VLOOKUP(2,AD38:AN41,5,FALSE)</f>
        <v>1</v>
      </c>
      <c r="O40" s="23" t="str">
        <f>VLOOKUP(2,AD38:AN41,6,FALSE) &amp; " - " &amp; VLOOKUP(2,AD38:AN41,7,FALSE)</f>
        <v>4 - 5</v>
      </c>
      <c r="P40" s="34">
        <f>L40*3+M40</f>
        <v>2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2</v>
      </c>
      <c r="AN40" s="123">
        <f>AF40*3+AG40</f>
        <v>2</v>
      </c>
      <c r="AO40" s="123">
        <f>AN40/AN42*10+BA40</f>
        <v>2.9853836784409258</v>
      </c>
      <c r="AP40" s="123">
        <f>AO40*10000000+BI40*100+AM40/AM42*10+AI40/AI42*1++IF(AQ40=0,ROW(),AQ40)/2000000</f>
        <v>29853839.285166644</v>
      </c>
      <c r="AQ40" s="126">
        <f>VLOOKUP(AE40,db_fifarank,2,FALSE)</f>
        <v>1514.77</v>
      </c>
      <c r="AR40" s="125">
        <f>AP40/AP42</f>
        <v>0.33170928530596239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2</v>
      </c>
      <c r="AV40" s="126" cm="1">
        <f t="array" ref="AV40">SUMPRODUCT(($E$7:$E$78=AE40)*($U$7:$U$78)*($F$7:$F$78))+SUMPRODUCT(($H$7:$H$78=AE40)*($U$7:$U$78)*($G$7:$G$78))</f>
        <v>3</v>
      </c>
      <c r="AW40" s="126" cm="1">
        <f t="array" ref="AW40">SUMPRODUCT(($E$7:$E$78=AE40)*($U$7:$U$78)*($G$7:$G$78))+SUMPRODUCT(($H$7:$H$78=AE40)*($U$7:$U$78)*($F$7:$F$78))</f>
        <v>3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67.416666666666657</v>
      </c>
      <c r="BA40" s="126">
        <f>AZ40/AZ42</f>
        <v>0.98538367844092567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2 - 4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4</v>
      </c>
      <c r="AL41" s="123">
        <f>AI41-AJ41</f>
        <v>-2</v>
      </c>
      <c r="AM41" s="123">
        <f>AL41-AL42</f>
        <v>1</v>
      </c>
      <c r="AN41" s="123">
        <f>AF41*3+AG41</f>
        <v>2</v>
      </c>
      <c r="AO41" s="123">
        <f>AN41/AN42*10+BA41</f>
        <v>2.9817295980511571</v>
      </c>
      <c r="AP41" s="123">
        <f>AO41*10000000+BI41*100+AM41/AM42*10+AI41/AI42*1++IF(AQ41=0,ROW(),AQ41)/2000000</f>
        <v>29817297.231253099</v>
      </c>
      <c r="AQ41" s="126">
        <f>VLOOKUP(AE41,db_fifarank,2,FALSE)</f>
        <v>1483.05</v>
      </c>
      <c r="AR41" s="125">
        <f>AP41/AP42</f>
        <v>0.33130326253376585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2</v>
      </c>
      <c r="AV41" s="126" cm="1">
        <f t="array" ref="AV41">SUMPRODUCT(($E$7:$E$78=AE41)*($U$7:$U$78)*($F$7:$F$78))+SUMPRODUCT(($H$7:$H$78=AE41)*($U$7:$U$78)*($G$7:$G$78))</f>
        <v>2</v>
      </c>
      <c r="AW41" s="126" cm="1">
        <f t="array" ref="AW41">SUMPRODUCT(($E$7:$E$78=AE41)*($U$7:$U$78)*($G$7:$G$78))+SUMPRODUCT(($H$7:$H$78=AE41)*($U$7:$U$78)*($F$7:$F$78))</f>
        <v>2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67.166666666666657</v>
      </c>
      <c r="BA41" s="126">
        <f>AZ41/AZ42</f>
        <v>0.98172959805115712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0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1 - 4</v>
      </c>
      <c r="P42" s="37">
        <f>L42*3+M42</f>
        <v>2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2</v>
      </c>
      <c r="AI42" s="123">
        <f>MAX(AI38:AI41)+1</f>
        <v>8</v>
      </c>
      <c r="AL42" s="123">
        <f>MIN(AL38:AL41)</f>
        <v>-3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90000010.87587893</v>
      </c>
      <c r="AT42" s="126">
        <f>MAX(AT38:AT41)-MIN(AT38:AT41)+1</f>
        <v>1</v>
      </c>
      <c r="AU42" s="126">
        <f>MAX(AU38:AU41)-MIN(AU38:AU41)+1</f>
        <v>3</v>
      </c>
      <c r="AV42" s="126">
        <f>MAX(AV38:AV41)-MIN(AV38:AV41)+1</f>
        <v>4</v>
      </c>
      <c r="AW42" s="126">
        <f>MAX(AW38:AW41)-MIN(AW38:AW41)+1</f>
        <v>4</v>
      </c>
      <c r="AY42" s="126">
        <f>MAX(AY38:AY41)-MIN(AY38:AY41)+1</f>
        <v>1</v>
      </c>
      <c r="AZ42" s="126">
        <f>MAX(AZ38:AZ41)+1</f>
        <v>68.416666666666657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2</v>
      </c>
      <c r="AL44" s="123">
        <f>AI44-AJ44</f>
        <v>6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90000009.889756247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4</v>
      </c>
      <c r="AL45" s="123">
        <f>AI45-AJ45</f>
        <v>-1</v>
      </c>
      <c r="AM45" s="123">
        <f>AL45-AL48</f>
        <v>2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40000002.334114954</v>
      </c>
      <c r="AQ45" s="126">
        <f>VLOOKUP(AE45,db_fifarank,2,FALSE)</f>
        <v>1563.24</v>
      </c>
      <c r="AR45" s="125">
        <f>AP45/AP48</f>
        <v>0.44444441660248435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3 - 4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</v>
      </c>
      <c r="AP46" s="123">
        <f>AO46*10000000+BI46*100+AM46/AM48*10+AI46/AI48*1++IF(AQ46=0,ROW(),AQ46)/2000000</f>
        <v>10000000.111918762</v>
      </c>
      <c r="AQ46" s="126">
        <f>VLOOKUP(AE46,db_fifarank,2,FALSE)</f>
        <v>1615.3</v>
      </c>
      <c r="AR46" s="125">
        <f>AP46/AP48</f>
        <v>0.11111109891051088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1 - 3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3</v>
      </c>
      <c r="AL47" s="123">
        <f>AI47-AJ47</f>
        <v>-2</v>
      </c>
      <c r="AM47" s="123">
        <f>AL47-AL48</f>
        <v>1</v>
      </c>
      <c r="AN47" s="123">
        <f>AF47*3+AG47</f>
        <v>2</v>
      </c>
      <c r="AO47" s="123">
        <f>AN47/AN48*10+BA47</f>
        <v>2</v>
      </c>
      <c r="AP47" s="123">
        <f>AO47*10000000+BI47*100+AM47/AM48*10+AI47/AI48*1++IF(AQ47=0,ROW(),AQ47)/2000000</f>
        <v>20000001.111751895</v>
      </c>
      <c r="AQ47" s="126">
        <f>VLOOKUP(AE47,db_fifarank,2,FALSE)</f>
        <v>1281.57</v>
      </c>
      <c r="AR47" s="125">
        <f>AP47/AP48</f>
        <v>0.22222220768673578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1 - 4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9</v>
      </c>
      <c r="AL48" s="123">
        <f>MIN(AL44:AL47)</f>
        <v>-3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90000010.889756247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1</v>
      </c>
      <c r="AL50" s="123">
        <f>AI50-AJ50</f>
        <v>10</v>
      </c>
      <c r="AM50" s="123">
        <f>AL50-AL54</f>
        <v>20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90000010.441414401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Czech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10</v>
      </c>
      <c r="AL51" s="123">
        <f>AI51-AJ51</f>
        <v>-10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7.5896101462680576E-12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7 - 2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7</v>
      </c>
      <c r="AL52" s="123">
        <f>AI52-AJ52</f>
        <v>-5</v>
      </c>
      <c r="AM52" s="123">
        <f>AL52-AL54</f>
        <v>5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30000002.548329763</v>
      </c>
      <c r="AQ52" s="126">
        <f>VLOOKUP(AE52,db_fifarank,2,FALSE)</f>
        <v>1421.43</v>
      </c>
      <c r="AR52" s="125">
        <f>AP52/AP54</f>
        <v>0.33333331927250137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Czech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2</v>
      </c>
      <c r="AL53" s="123">
        <f>AI53-AJ53</f>
        <v>5</v>
      </c>
      <c r="AM53" s="123">
        <f>AL53-AL54</f>
        <v>15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60000007.727027014</v>
      </c>
      <c r="AQ53" s="126">
        <f>VLOOKUP(AE53,db_fifarank,2,FALSE)</f>
        <v>1673.07</v>
      </c>
      <c r="AR53" s="125">
        <f>AP53/AP54</f>
        <v>0.66666666777130446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0 - 10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12</v>
      </c>
      <c r="AL54" s="123">
        <f>MIN(AL50:AL53)</f>
        <v>-10</v>
      </c>
      <c r="AM54" s="123">
        <f>MAX(AM50:AM53)+1</f>
        <v>21</v>
      </c>
      <c r="AN54" s="123">
        <f>MAX(AN50:AN53)+1</f>
        <v>10</v>
      </c>
      <c r="AO54" s="123">
        <f>MAX(AO50:AO53)+1</f>
        <v>10</v>
      </c>
      <c r="AP54" s="123">
        <f>MAX(AP50:AP53)+1</f>
        <v>90000011.441414401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11</v>
      </c>
      <c r="AJ56" s="123">
        <f>SUMIF($E$7:$E$78,$AE56,$G$7:$G$78) + SUMIF($H$7:$H$78,$AE56,$F$7:$F$78)</f>
        <v>2</v>
      </c>
      <c r="AL56" s="123">
        <f>AI56-AJ56</f>
        <v>9</v>
      </c>
      <c r="AM56" s="123">
        <f>AL56-AL60</f>
        <v>18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90000010.391289532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11 - 2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6</v>
      </c>
      <c r="AL57" s="123">
        <f>AI57-AJ57</f>
        <v>-1</v>
      </c>
      <c r="AM57" s="123">
        <f>AL57-AL60</f>
        <v>8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49806554.305456825</v>
      </c>
      <c r="AQ57" s="126">
        <f>VLOOKUP(AE57,db_fifarank,2,FALSE)</f>
        <v>1688.99</v>
      </c>
      <c r="AR57" s="125">
        <f>AP57/AP60</f>
        <v>0.553406088904976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9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8.0396656490871219E-12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5 - 6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1</v>
      </c>
      <c r="Y59" s="123">
        <f t="shared" si="10"/>
        <v>1</v>
      </c>
      <c r="Z59" s="123">
        <f t="shared" si="11"/>
        <v>1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5</v>
      </c>
      <c r="AL59" s="123">
        <f>AI59-AJ59</f>
        <v>1</v>
      </c>
      <c r="AM59" s="123">
        <f>AL59-AL60</f>
        <v>10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49806555.441352718</v>
      </c>
      <c r="AQ59" s="126">
        <f>VLOOKUP(AE59,db_fifarank,2,FALSE)</f>
        <v>1550.94</v>
      </c>
      <c r="AR59" s="125">
        <f>AP59/AP60</f>
        <v>0.55340610152603986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1</v>
      </c>
      <c r="V60" s="123">
        <f t="shared" si="21"/>
        <v>2</v>
      </c>
      <c r="W60" s="123">
        <f t="shared" si="22"/>
        <v>2</v>
      </c>
      <c r="X60" s="123">
        <f t="shared" si="9"/>
        <v>1</v>
      </c>
      <c r="Y60" s="123">
        <f t="shared" si="10"/>
        <v>2</v>
      </c>
      <c r="Z60" s="123">
        <f t="shared" si="11"/>
        <v>2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12</v>
      </c>
      <c r="AL60" s="123">
        <f>MIN(AL56:AL59)</f>
        <v>-9</v>
      </c>
      <c r="AM60" s="123">
        <f>MAX(AM56:AM59)+1</f>
        <v>19</v>
      </c>
      <c r="AN60" s="123">
        <f>MAX(AN56:AN59)+1</f>
        <v>10</v>
      </c>
      <c r="AO60" s="123">
        <f>MAX(AO56:AO59)+1</f>
        <v>10</v>
      </c>
      <c r="AP60" s="123">
        <f>MAX(AP56:AP59)+1</f>
        <v>90000011.391289532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10</v>
      </c>
      <c r="AJ62" s="123">
        <f>SUMIF($E$7:$E$78,$AE62,$G$7:$G$78) + SUMIF($H$7:$H$78,$AE62,$F$7:$F$78)</f>
        <v>1</v>
      </c>
      <c r="AL62" s="123">
        <f>AI62-AJ62</f>
        <v>9</v>
      </c>
      <c r="AM62" s="123">
        <f>AL62-AL66</f>
        <v>15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90000010.285028324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10 - 1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6</v>
      </c>
      <c r="AL63" s="123">
        <f>AI63-AJ63</f>
        <v>-6</v>
      </c>
      <c r="AM63" s="123">
        <f>AL63-AL66</f>
        <v>0</v>
      </c>
      <c r="AN63" s="123">
        <f>AF63*3+AG63</f>
        <v>1</v>
      </c>
      <c r="AO63" s="123">
        <f>AN63/AN66*10+BA63</f>
        <v>1.9803921568627452</v>
      </c>
      <c r="AP63" s="123">
        <f>AO63*10000000+BI63*100+AM63/AM66*10+AI63/AI66*1++IF(AQ63=0,ROW(),AQ63)/2000000</f>
        <v>19804019.608625267</v>
      </c>
      <c r="AQ63" s="126">
        <f>VLOOKUP(AE63,db_fifarank,2,FALSE)</f>
        <v>1564.26</v>
      </c>
      <c r="AR63" s="125">
        <f>AP63/AP66</f>
        <v>0.22004463472683702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4</v>
      </c>
      <c r="AL64" s="123">
        <f>AI64-AJ64</f>
        <v>1</v>
      </c>
      <c r="AM64" s="123">
        <f>AL64-AL66</f>
        <v>7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60000004.830342181</v>
      </c>
      <c r="AQ64" s="126">
        <f>VLOOKUP(AE64,db_fifarank,2,FALSE)</f>
        <v>1593.45</v>
      </c>
      <c r="AR64" s="125">
        <f>AP64/AP66</f>
        <v>0.66666663674433668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1 - 5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5</v>
      </c>
      <c r="AL65" s="123">
        <f>AI65-AJ65</f>
        <v>-4</v>
      </c>
      <c r="AM65" s="123">
        <f>AL65-AL66</f>
        <v>2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19804020.949447952</v>
      </c>
      <c r="AQ65" s="126">
        <f>VLOOKUP(AE65,db_fifarank,2,FALSE)</f>
        <v>1391.45</v>
      </c>
      <c r="AR65" s="125">
        <f>AP65/AP66</f>
        <v>0.22004464962486497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11</v>
      </c>
      <c r="AL66" s="123">
        <f>MIN(AL62:AL65)</f>
        <v>-6</v>
      </c>
      <c r="AM66" s="123">
        <f>MAX(AM62:AM65)+1</f>
        <v>16</v>
      </c>
      <c r="AN66" s="123">
        <f>MAX(AN62:AN65)+1</f>
        <v>10</v>
      </c>
      <c r="AO66" s="123">
        <f>MAX(AO62:AO65)+1</f>
        <v>10</v>
      </c>
      <c r="AP66" s="123">
        <f>MAX(AP62:AP65)+1</f>
        <v>90000011.285028324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New Zealand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15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90000010.275881916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3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19805925.276710052</v>
      </c>
      <c r="AQ69" s="126">
        <f>VLOOKUP(AE69,db_fifarank,2,FALSE)</f>
        <v>1478.35</v>
      </c>
      <c r="AR69" s="125">
        <f>AP69/AP72</f>
        <v>0.22006580883637752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8</v>
      </c>
      <c r="AL70" s="123">
        <f>AI70-AJ70</f>
        <v>-7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19805923.401703548</v>
      </c>
      <c r="AQ70" s="126">
        <f>VLOOKUP(AE70,db_fifarank,2,FALSE)</f>
        <v>1465.34</v>
      </c>
      <c r="AR70" s="125">
        <f>AP70/AP72</f>
        <v>0.22006578800297455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3</v>
      </c>
      <c r="AL71" s="123">
        <f>AI71-AJ71</f>
        <v>3</v>
      </c>
      <c r="AM71" s="123">
        <f>AL71-AL72</f>
        <v>10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60000006.850846544</v>
      </c>
      <c r="AQ71" s="126">
        <f>VLOOKUP(AE71,db_fifarank,2,FALSE)</f>
        <v>1693.09</v>
      </c>
      <c r="AR71" s="125">
        <f>AP71/AP72</f>
        <v>0.66666665926213353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1 - 8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10</v>
      </c>
      <c r="AL72" s="123">
        <f>MIN(AL68:AL71)</f>
        <v>-7</v>
      </c>
      <c r="AM72" s="123">
        <f>MAX(AM68:AM71)+1</f>
        <v>16</v>
      </c>
      <c r="AN72" s="123">
        <f>MAX(AN68:AN71)+1</f>
        <v>10</v>
      </c>
      <c r="AO72" s="123">
        <f>MAX(AO68:AO71)+1</f>
        <v>10</v>
      </c>
      <c r="AP72" s="123">
        <f>MAX(AP68:AP71)+1</f>
        <v>90000011.275881916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3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87500009.764801875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7 - 3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2</v>
      </c>
      <c r="AH75" s="123">
        <f>COUNTIF($S$7:$T$78,"=" &amp; AE75 &amp; "_lose")</f>
        <v>0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6</v>
      </c>
      <c r="AN75" s="123">
        <f>AF75*3+AG75</f>
        <v>5</v>
      </c>
      <c r="AO75" s="123">
        <f>AN75/AN78*10+BA75</f>
        <v>6.25</v>
      </c>
      <c r="AP75" s="123">
        <f>AO75*10000000+BI75*100+AM75/AM78*10+AI75/AI78*1++IF(AQ75=0,ROW(),AQ75)/2000000</f>
        <v>62500007.292525202</v>
      </c>
      <c r="AQ75" s="126">
        <f>VLOOKUP(AE75,db_fifarank,2,FALSE)</f>
        <v>1717.07</v>
      </c>
      <c r="AR75" s="125">
        <f>AP75/AP78</f>
        <v>0.71428570975292638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5 - 3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2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2</v>
      </c>
      <c r="AN76" s="123">
        <f>AF76*3+AG76</f>
        <v>2</v>
      </c>
      <c r="AO76" s="123">
        <f>AN76/AN78*10+BA76</f>
        <v>2.5</v>
      </c>
      <c r="AP76" s="123">
        <f>AO76*10000000+BI76*100+AM76/AM78*10+AI76/AI78*1++IF(AQ76=0,ROW(),AQ76)/2000000</f>
        <v>25000002.59789538</v>
      </c>
      <c r="AQ76" s="126">
        <f>VLOOKUP(AE76,db_fifarank,2,FALSE)</f>
        <v>1346.31</v>
      </c>
      <c r="AR76" s="125">
        <f>AP76/AP78</f>
        <v>0.28571428025414586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3 - 5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5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1.25</v>
      </c>
      <c r="AP77" s="123">
        <f>AO77*10000000+BI77*100+AM77/AM78*10+AI77/AI78*1++IF(AQ77=0,ROW(),AQ77)/2000000</f>
        <v>12500000.125770319</v>
      </c>
      <c r="AQ77" s="126">
        <f>VLOOKUP(AE77,db_fifarank,2,FALSE)</f>
        <v>1540.64</v>
      </c>
      <c r="AR77" s="125">
        <f>AP77/AP78</f>
        <v>0.14285712671933318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1 - 5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3</v>
      </c>
      <c r="AI78" s="123">
        <f>MAX(AI74:AI77)+1</f>
        <v>8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9.75</v>
      </c>
      <c r="AP78" s="123">
        <f>MAX(AP74:AP77)+1</f>
        <v>87500010.764801875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6</v>
      </c>
      <c r="AK80" s="123" t="s">
        <v>3180</v>
      </c>
      <c r="AL80" s="123">
        <f>VLOOKUP($AE80,$AE$8:$AQ$78,8,FALSE)</f>
        <v>-3</v>
      </c>
      <c r="AM80" s="123">
        <f>AL80-$AL$92</f>
        <v>5</v>
      </c>
      <c r="AN80" s="123">
        <f>VLOOKUP($AE80,$AE$8:$AQ$78,10,FALSE)</f>
        <v>1</v>
      </c>
      <c r="AP80" s="123">
        <f>AN80/AN92*10000+AM80/AM92*1000+AI80/AI92*100+IF(AQ80=0,ROW(),AQ80)/2000000</f>
        <v>2605.5562704205558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5 - 6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7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4794.4451373644442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4 - 4</v>
      </c>
      <c r="P82" s="101">
        <f t="shared" ref="P82:P92" si="48">L82*3+M82</f>
        <v>3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8</v>
      </c>
      <c r="AN82" s="123">
        <f t="shared" si="45"/>
        <v>3</v>
      </c>
      <c r="AP82" s="123">
        <f>AN82/AN92*10000+AM82/AM92*1000+AI82/AI92*100+IF(AQ82=0,ROW(),AQ82)/2000000</f>
        <v>6955.5563047305559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Ⓗ Saudi Arabia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2 - 7</v>
      </c>
      <c r="P83" s="101">
        <f t="shared" si="48"/>
        <v>3</v>
      </c>
      <c r="AD83" s="123">
        <f t="shared" si="38"/>
        <v>8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3</v>
      </c>
      <c r="AJ83" s="123">
        <f t="shared" si="42"/>
        <v>6</v>
      </c>
      <c r="AK83" s="123" t="s">
        <v>3184</v>
      </c>
      <c r="AL83" s="123">
        <f t="shared" si="43"/>
        <v>-3</v>
      </c>
      <c r="AM83" s="123">
        <f t="shared" si="44"/>
        <v>5</v>
      </c>
      <c r="AN83" s="123">
        <f t="shared" si="45"/>
        <v>1</v>
      </c>
      <c r="AP83" s="123">
        <f>AN83/AN92*10000+AM83/AM92*1000+AI83/AI92*100+IF(AQ83=0,ROW(),AQ83)/2000000</f>
        <v>2605.5563458905558</v>
      </c>
      <c r="AQ83" s="126">
        <f t="shared" si="37"/>
        <v>1580.67</v>
      </c>
      <c r="AR83" s="125" t="str">
        <f t="shared" si="50"/>
        <v>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Bosnia and Herzegovina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2</v>
      </c>
      <c r="N84" s="100">
        <f>VLOOKUP(4,$AD$80:$AN$91,5,FALSE)</f>
        <v>1</v>
      </c>
      <c r="O84" s="100" t="str">
        <f>VLOOKUP(4,$AD$80:$AN$91,6,FALSE) &amp; " - " &amp; VLOOKUP(4,$AD$80:$AN$91,7,FALSE)</f>
        <v>1 - 2</v>
      </c>
      <c r="P84" s="101">
        <f t="shared" si="48"/>
        <v>2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12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1</v>
      </c>
      <c r="AJ84" s="123">
        <f t="shared" si="42"/>
        <v>9</v>
      </c>
      <c r="AK84" s="123" t="s">
        <v>3185</v>
      </c>
      <c r="AL84" s="123">
        <f t="shared" si="43"/>
        <v>-8</v>
      </c>
      <c r="AM84" s="123">
        <f t="shared" si="44"/>
        <v>0</v>
      </c>
      <c r="AN84" s="123">
        <f t="shared" si="45"/>
        <v>1</v>
      </c>
      <c r="AP84" s="123">
        <f>AN84/AN92*10000+AM84/AM92*1000+AI84/AI92*100+IF(AQ84=0,ROW(),AQ84)/2000000</f>
        <v>2016.6674331566667</v>
      </c>
      <c r="AQ84" s="126">
        <f t="shared" si="37"/>
        <v>1532.98</v>
      </c>
      <c r="AR84" s="125" t="str">
        <f t="shared" si="50"/>
        <v>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Ghana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3 - 5</v>
      </c>
      <c r="P85" s="101">
        <f t="shared" si="48"/>
        <v>2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Tunisia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6</v>
      </c>
      <c r="AN85" s="123">
        <f t="shared" si="45"/>
        <v>2</v>
      </c>
      <c r="AP85" s="123">
        <f>AN85/AN92*10000+AM85/AM92*1000+AI85/AI92*100+IF(AQ85=0,ROW(),AQ85)/2000000</f>
        <v>4700.0007415250002</v>
      </c>
      <c r="AQ85" s="126">
        <f t="shared" si="37"/>
        <v>1483.05</v>
      </c>
      <c r="AR85" s="125" t="str">
        <f t="shared" si="50"/>
        <v>BCDF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Tunisia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2 - 4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7</v>
      </c>
      <c r="AE86" s="124" t="str">
        <f>J47</f>
        <v>New Zealand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6</v>
      </c>
      <c r="AN86" s="123">
        <f t="shared" si="45"/>
        <v>2</v>
      </c>
      <c r="AP86" s="123">
        <f>AN86/AN92*10000+AM86/AM92*1000+AI86/AI92*100+IF(AQ86=0,ROW(),AQ86)/2000000</f>
        <v>4683.3339741183336</v>
      </c>
      <c r="AQ86" s="126">
        <f t="shared" si="37"/>
        <v>1281.57</v>
      </c>
      <c r="AR86" s="125" t="str">
        <f t="shared" si="50"/>
        <v>BCDFG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Ⓖ New Zealand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1 - 3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3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3</v>
      </c>
      <c r="AN87" s="123">
        <f t="shared" si="45"/>
        <v>3</v>
      </c>
      <c r="AP87" s="123">
        <f>AN87/AN92*10000+AM87/AM92*1000+AI87/AI92*100+IF(AQ87=0,ROW(),AQ87)/2000000</f>
        <v>6366.6673773816665</v>
      </c>
      <c r="AQ87" s="126">
        <f t="shared" si="37"/>
        <v>1421.43</v>
      </c>
      <c r="AR87" s="125" t="str">
        <f t="shared" si="50"/>
        <v>BCDFGH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Australia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1</v>
      </c>
      <c r="N88" s="100">
        <f>VLOOKUP(8,$AD$80:$AN$91,5,FALSE)</f>
        <v>2</v>
      </c>
      <c r="O88" s="100" t="str">
        <f>VLOOKUP(8,$AD$80:$AN$91,6,FALSE) &amp; " - " &amp; VLOOKUP(8,$AD$80:$AN$91,7,FALSE)</f>
        <v>3 - 6</v>
      </c>
      <c r="P88" s="101">
        <f t="shared" si="48"/>
        <v>1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6</v>
      </c>
      <c r="AK88" s="123" t="s">
        <v>3189</v>
      </c>
      <c r="AL88" s="123">
        <f t="shared" si="43"/>
        <v>-1</v>
      </c>
      <c r="AM88" s="123">
        <f t="shared" si="44"/>
        <v>7</v>
      </c>
      <c r="AN88" s="123">
        <f t="shared" si="45"/>
        <v>4</v>
      </c>
      <c r="AP88" s="123">
        <f>AN88/AN92*10000+AM88/AM92*1000+AI88/AI92*100+IF(AQ88=0,ROW(),AQ88)/2000000</f>
        <v>8861.1119556061112</v>
      </c>
      <c r="AQ88" s="126">
        <f t="shared" si="37"/>
        <v>1688.99</v>
      </c>
      <c r="AR88" s="125" t="str">
        <f t="shared" si="50"/>
        <v>BCDFGHI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South Africa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3 - 6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11</v>
      </c>
      <c r="AE89" s="124" t="str">
        <f>J65</f>
        <v>Jordan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1</v>
      </c>
      <c r="AJ89" s="123">
        <f t="shared" si="42"/>
        <v>5</v>
      </c>
      <c r="AK89" s="123" t="s">
        <v>3190</v>
      </c>
      <c r="AL89" s="123">
        <f t="shared" si="43"/>
        <v>-4</v>
      </c>
      <c r="AM89" s="123">
        <f t="shared" si="44"/>
        <v>4</v>
      </c>
      <c r="AN89" s="123">
        <f t="shared" si="45"/>
        <v>1</v>
      </c>
      <c r="AP89" s="123">
        <f>AN89/AN92*10000+AM89/AM92*1000+AI89/AI92*100+IF(AQ89=0,ROW(),AQ89)/2000000</f>
        <v>2461.1118068361106</v>
      </c>
      <c r="AQ89" s="126">
        <f t="shared" si="37"/>
        <v>1391.45</v>
      </c>
      <c r="AR89" s="125" t="str">
        <f t="shared" si="50"/>
        <v>BCDFGHI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10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4</v>
      </c>
      <c r="AN90" s="123">
        <f t="shared" si="45"/>
        <v>1</v>
      </c>
      <c r="AP90" s="123">
        <f>AN90/AN92*10000+AM90/AM92*1000+AI90/AI92*100+IF(AQ90=0,ROW(),AQ90)/2000000</f>
        <v>2461.1118502861109</v>
      </c>
      <c r="AQ90" s="126">
        <f t="shared" si="37"/>
        <v>1478.35</v>
      </c>
      <c r="AR90" s="125" t="str">
        <f t="shared" si="50"/>
        <v>BCDFGHI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Jordan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Ghana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6</v>
      </c>
      <c r="AN91" s="123">
        <f>VLOOKUP($AE91,$AE$8:$AQ$78,10,FALSE)</f>
        <v>2</v>
      </c>
      <c r="AP91" s="123">
        <f>AN91/AN92*10000+AM91/AM92*1000+AI91/AI92*100+IF(AQ91=0,ROW(),AQ91)/2000000</f>
        <v>4716.6673398216672</v>
      </c>
      <c r="AQ91" s="126">
        <f t="shared" si="37"/>
        <v>1346.31</v>
      </c>
      <c r="AR91" s="125" t="str">
        <f t="shared" si="50"/>
        <v>BCDFGHIL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Ⓔ Ivory Coast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1 - 9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10</v>
      </c>
      <c r="AL92" s="123">
        <f>MIN(AL80:AL91)</f>
        <v>-8</v>
      </c>
      <c r="AM92" s="123">
        <f>MAX(AM80:AM91)+1</f>
        <v>9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102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128</v>
      </c>
      <c r="C3" s="121" t="str">
        <f>'2026 World Cup'!AR91</f>
        <v>BCDFGHIL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Félix Burgos García</cp:lastModifiedBy>
  <cp:revision/>
  <dcterms:created xsi:type="dcterms:W3CDTF">2017-12-27T19:32:51Z</dcterms:created>
  <dcterms:modified xsi:type="dcterms:W3CDTF">2026-06-11T17:23:36Z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