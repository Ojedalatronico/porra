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\Documents\temporales\"/>
    </mc:Choice>
  </mc:AlternateContent>
  <xr:revisionPtr revIDLastSave="0" documentId="13_ncr:1_{AFF71093-7BD4-4910-A30D-3C06B274E648}" xr6:coauthVersionLast="47" xr6:coauthVersionMax="47" xr10:uidLastSave="{00000000-0000-0000-0000-000000000000}"/>
  <bookViews>
    <workbookView xWindow="-96" yWindow="-96" windowWidth="23232" windowHeight="13872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T41" i="3"/>
  <c r="S40" i="3"/>
  <c r="S62" i="3"/>
  <c r="T61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8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34" i="3"/>
  <c r="AR33" i="3"/>
  <c r="AR35" i="3"/>
  <c r="AR28" i="3"/>
  <c r="AR9" i="3"/>
  <c r="AR22" i="3"/>
  <c r="AR21" i="3"/>
  <c r="AR10" i="3"/>
  <c r="AR11" i="3"/>
  <c r="AD10" i="3" s="1"/>
  <c r="AR75" i="3"/>
  <c r="AR76" i="3"/>
  <c r="AR77" i="3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M59" i="3"/>
  <c r="AD75" i="3"/>
  <c r="AD32" i="3"/>
  <c r="AD77" i="3"/>
  <c r="AD35" i="3"/>
  <c r="AD33" i="3"/>
  <c r="M36" i="3" s="1"/>
  <c r="AD21" i="3"/>
  <c r="AD15" i="3"/>
  <c r="AD34" i="3"/>
  <c r="N33" i="3" s="1"/>
  <c r="AD29" i="3"/>
  <c r="AD70" i="3"/>
  <c r="L58" i="3"/>
  <c r="O60" i="3"/>
  <c r="N58" i="3"/>
  <c r="AD44" i="3"/>
  <c r="L59" i="3"/>
  <c r="AD9" i="3"/>
  <c r="AD11" i="3"/>
  <c r="AD20" i="3"/>
  <c r="AD8" i="3"/>
  <c r="AD41" i="3"/>
  <c r="AD76" i="3"/>
  <c r="AD14" i="3"/>
  <c r="AD26" i="3"/>
  <c r="AD62" i="3"/>
  <c r="AD71" i="3"/>
  <c r="AD63" i="3"/>
  <c r="AD47" i="3"/>
  <c r="AD68" i="3"/>
  <c r="AD53" i="3"/>
  <c r="AD74" i="3"/>
  <c r="AD27" i="3"/>
  <c r="AD2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1" i="3" s="1"/>
  <c r="N59" i="3"/>
  <c r="AD17" i="3"/>
  <c r="L63" i="3" l="1"/>
  <c r="P58" i="3"/>
  <c r="O9" i="3"/>
  <c r="N22" i="3"/>
  <c r="O45" i="3"/>
  <c r="O36" i="3"/>
  <c r="L36" i="3"/>
  <c r="P36" i="3" s="1"/>
  <c r="M33" i="3"/>
  <c r="L33" i="3"/>
  <c r="J33" i="3"/>
  <c r="AS32" i="3" s="1"/>
  <c r="BL10" i="3" s="1"/>
  <c r="O33" i="3"/>
  <c r="O35" i="3"/>
  <c r="P59" i="3"/>
  <c r="O34" i="3"/>
  <c r="L76" i="3"/>
  <c r="M35" i="3"/>
  <c r="J36" i="3"/>
  <c r="J24" i="3"/>
  <c r="N36" i="3"/>
  <c r="N35" i="3"/>
  <c r="N45" i="3"/>
  <c r="M45" i="3"/>
  <c r="N34" i="3"/>
  <c r="O21" i="3"/>
  <c r="M34" i="3"/>
  <c r="J21" i="3"/>
  <c r="AS20" i="3" s="1"/>
  <c r="BL42" i="3" s="1"/>
  <c r="BS44" i="3" s="1"/>
  <c r="J45" i="3"/>
  <c r="AS44" i="3" s="1"/>
  <c r="BL38" i="3" s="1"/>
  <c r="L35" i="3"/>
  <c r="J34" i="3"/>
  <c r="AS33" i="3" s="1"/>
  <c r="BL46" i="3" s="1"/>
  <c r="J35" i="3"/>
  <c r="AE84" i="3" s="1"/>
  <c r="AQ84" i="3" s="1"/>
  <c r="L34" i="3"/>
  <c r="L45" i="3"/>
  <c r="O11" i="3"/>
  <c r="O16" i="3"/>
  <c r="O63" i="3"/>
  <c r="N63" i="3"/>
  <c r="M47" i="3"/>
  <c r="J47" i="3"/>
  <c r="AE86" i="3" s="1"/>
  <c r="AQ86" i="3" s="1"/>
  <c r="O24" i="3"/>
  <c r="L22" i="3"/>
  <c r="L9" i="3"/>
  <c r="N21" i="3"/>
  <c r="M10" i="3"/>
  <c r="N24" i="3"/>
  <c r="J75" i="3"/>
  <c r="AS74" i="3" s="1"/>
  <c r="BL54" i="3" s="1"/>
  <c r="L24" i="3"/>
  <c r="M21" i="3"/>
  <c r="N10" i="3"/>
  <c r="L11" i="3"/>
  <c r="M24" i="3"/>
  <c r="L21" i="3"/>
  <c r="K59" i="3"/>
  <c r="J30" i="3"/>
  <c r="K58" i="3"/>
  <c r="L23" i="3"/>
  <c r="J22" i="3"/>
  <c r="AS21" i="3" s="1"/>
  <c r="BL23" i="3" s="1"/>
  <c r="N77" i="3"/>
  <c r="M12" i="3"/>
  <c r="J12" i="3"/>
  <c r="M40" i="3"/>
  <c r="J48" i="3"/>
  <c r="O22" i="3"/>
  <c r="N18" i="3"/>
  <c r="L18" i="3"/>
  <c r="L39" i="3"/>
  <c r="J18" i="3"/>
  <c r="N17" i="3"/>
  <c r="J9" i="3"/>
  <c r="AS8" i="3" s="1"/>
  <c r="BL50" i="3" s="1"/>
  <c r="L10" i="3"/>
  <c r="N16" i="3"/>
  <c r="M18" i="3"/>
  <c r="J16" i="3"/>
  <c r="AS15" i="3" s="1"/>
  <c r="BL19" i="3" s="1"/>
  <c r="L42" i="3"/>
  <c r="L17" i="3"/>
  <c r="N9" i="3"/>
  <c r="N75" i="3"/>
  <c r="L27" i="3"/>
  <c r="M22" i="3"/>
  <c r="O17" i="3"/>
  <c r="N12" i="3"/>
  <c r="M65" i="3"/>
  <c r="M27" i="3"/>
  <c r="M16" i="3"/>
  <c r="L70" i="3"/>
  <c r="L65" i="3"/>
  <c r="O23" i="3"/>
  <c r="J10" i="3"/>
  <c r="AS9" i="3" s="1"/>
  <c r="BL18" i="3" s="1"/>
  <c r="J69" i="3"/>
  <c r="AS68" i="3" s="1"/>
  <c r="BL70" i="3" s="1"/>
  <c r="M11" i="3"/>
  <c r="L12" i="3"/>
  <c r="J63" i="3"/>
  <c r="AS62" i="3" s="1"/>
  <c r="BL58" i="3" s="1"/>
  <c r="BS60" i="3" s="1"/>
  <c r="BZ64" i="3" s="1"/>
  <c r="O18" i="3"/>
  <c r="N11" i="3"/>
  <c r="M9" i="3"/>
  <c r="L40" i="3"/>
  <c r="J65" i="3"/>
  <c r="AE89" i="3" s="1"/>
  <c r="AQ89" i="3" s="1"/>
  <c r="L16" i="3"/>
  <c r="O10" i="3"/>
  <c r="O12" i="3"/>
  <c r="O65" i="3"/>
  <c r="J29" i="3"/>
  <c r="AE83" i="3" s="1"/>
  <c r="AQ83" i="3" s="1"/>
  <c r="N65" i="3"/>
  <c r="O27" i="3"/>
  <c r="J11" i="3"/>
  <c r="AE80" i="3" s="1"/>
  <c r="AQ80" i="3" s="1"/>
  <c r="N46" i="3"/>
  <c r="O75" i="3"/>
  <c r="O47" i="3"/>
  <c r="M72" i="3"/>
  <c r="L29" i="3"/>
  <c r="M17" i="3"/>
  <c r="P17" i="3" s="1"/>
  <c r="N52" i="3"/>
  <c r="M76" i="3"/>
  <c r="M63" i="3"/>
  <c r="P63" i="3" s="1"/>
  <c r="J78" i="3"/>
  <c r="N69" i="3"/>
  <c r="N47" i="3"/>
  <c r="N27" i="3"/>
  <c r="M54" i="3"/>
  <c r="O40" i="3"/>
  <c r="O28" i="3"/>
  <c r="O72" i="3"/>
  <c r="L28" i="3"/>
  <c r="AT88" i="3"/>
  <c r="L77" i="3"/>
  <c r="M46" i="3"/>
  <c r="AN88" i="3"/>
  <c r="O29" i="3"/>
  <c r="O76" i="3"/>
  <c r="L15" i="3"/>
  <c r="L47" i="3"/>
  <c r="M69" i="3"/>
  <c r="L54" i="3"/>
  <c r="O70" i="3"/>
  <c r="L30" i="3"/>
  <c r="M77" i="3"/>
  <c r="J77" i="3"/>
  <c r="AE91" i="3" s="1"/>
  <c r="AQ91" i="3" s="1"/>
  <c r="N48" i="3"/>
  <c r="O77" i="3"/>
  <c r="N72" i="3"/>
  <c r="J76" i="3"/>
  <c r="AS75" i="3" s="1"/>
  <c r="BL27" i="3" s="1"/>
  <c r="AJ88" i="3"/>
  <c r="L72" i="3"/>
  <c r="L66" i="3"/>
  <c r="O69" i="3"/>
  <c r="N76" i="3"/>
  <c r="J27" i="3"/>
  <c r="AS26" i="3" s="1"/>
  <c r="BL34" i="3" s="1"/>
  <c r="M75" i="3"/>
  <c r="L69" i="3"/>
  <c r="J46" i="3"/>
  <c r="AS45" i="3" s="1"/>
  <c r="BL63" i="3" s="1"/>
  <c r="N29" i="3"/>
  <c r="O71" i="3"/>
  <c r="N71" i="3"/>
  <c r="N64" i="3"/>
  <c r="J51" i="3"/>
  <c r="AS50" i="3" s="1"/>
  <c r="BL30" i="3" s="1"/>
  <c r="M41" i="3"/>
  <c r="L71" i="3"/>
  <c r="L64" i="3"/>
  <c r="O48" i="3"/>
  <c r="J41" i="3"/>
  <c r="AE85" i="3" s="1"/>
  <c r="AQ85" i="3" s="1"/>
  <c r="N28" i="3"/>
  <c r="O46" i="3"/>
  <c r="M78" i="3"/>
  <c r="N70" i="3"/>
  <c r="AI88" i="3"/>
  <c r="N78" i="3"/>
  <c r="J71" i="3"/>
  <c r="AE90" i="3" s="1"/>
  <c r="AQ90" i="3" s="1"/>
  <c r="M70" i="3"/>
  <c r="M66" i="3"/>
  <c r="L48" i="3"/>
  <c r="L46" i="3"/>
  <c r="O42" i="3"/>
  <c r="M28" i="3"/>
  <c r="J28" i="3"/>
  <c r="AS27" i="3" s="1"/>
  <c r="BL62" i="3" s="1"/>
  <c r="BS61" i="3" s="1"/>
  <c r="AG88" i="3"/>
  <c r="K57" i="3"/>
  <c r="O54" i="3"/>
  <c r="N54" i="3"/>
  <c r="P57" i="3"/>
  <c r="O64" i="3"/>
  <c r="J52" i="3"/>
  <c r="AS51" i="3" s="1"/>
  <c r="BL59" i="3" s="1"/>
  <c r="N39" i="3"/>
  <c r="N53" i="3"/>
  <c r="J64" i="3"/>
  <c r="AS63" i="3" s="1"/>
  <c r="BL31" i="3" s="1"/>
  <c r="J39" i="3"/>
  <c r="AS38" i="3" s="1"/>
  <c r="BL22" i="3" s="1"/>
  <c r="M71" i="3"/>
  <c r="M64" i="3"/>
  <c r="N51" i="3"/>
  <c r="M42" i="3"/>
  <c r="J40" i="3"/>
  <c r="AS39" i="3" s="1"/>
  <c r="BL43" i="3" s="1"/>
  <c r="N30" i="3"/>
  <c r="O78" i="3"/>
  <c r="L75" i="3"/>
  <c r="J66" i="3"/>
  <c r="L51" i="3"/>
  <c r="N40" i="3"/>
  <c r="M29" i="3"/>
  <c r="L78" i="3"/>
  <c r="O66" i="3"/>
  <c r="M51" i="3"/>
  <c r="O39" i="3"/>
  <c r="J42" i="3"/>
  <c r="J70" i="3"/>
  <c r="AS69" i="3" s="1"/>
  <c r="BL26" i="3" s="1"/>
  <c r="N66" i="3"/>
  <c r="M39" i="3"/>
  <c r="O30" i="3"/>
  <c r="J72" i="3"/>
  <c r="M48" i="3"/>
  <c r="M30" i="3"/>
  <c r="AF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6" i="3" l="1"/>
  <c r="P33" i="3"/>
  <c r="K36" i="3"/>
  <c r="K33" i="3"/>
  <c r="P35" i="3"/>
  <c r="P54" i="3"/>
  <c r="AH90" i="3"/>
  <c r="AI89" i="3"/>
  <c r="K35" i="3"/>
  <c r="AH89" i="3"/>
  <c r="AF90" i="3"/>
  <c r="K34" i="3"/>
  <c r="AG90" i="3"/>
  <c r="AG91" i="3"/>
  <c r="AF91" i="3"/>
  <c r="K22" i="3"/>
  <c r="P34" i="3"/>
  <c r="AG84" i="3"/>
  <c r="K21" i="3"/>
  <c r="P47" i="3"/>
  <c r="P23" i="3"/>
  <c r="AN84" i="3"/>
  <c r="AL84" i="3"/>
  <c r="AJ84" i="3"/>
  <c r="AI84" i="3"/>
  <c r="AH84" i="3"/>
  <c r="K63" i="3"/>
  <c r="AF84" i="3"/>
  <c r="AH91" i="3"/>
  <c r="K45" i="3"/>
  <c r="P40" i="3"/>
  <c r="AN86" i="3"/>
  <c r="K27" i="3"/>
  <c r="AF86" i="3"/>
  <c r="P9" i="3"/>
  <c r="AL86" i="3"/>
  <c r="P45" i="3"/>
  <c r="AT86" i="3"/>
  <c r="AF82" i="3"/>
  <c r="AT84" i="3"/>
  <c r="AJ89" i="3"/>
  <c r="K40" i="3"/>
  <c r="P21" i="3"/>
  <c r="K9" i="3"/>
  <c r="K24" i="3"/>
  <c r="AI86" i="3"/>
  <c r="AH86" i="3"/>
  <c r="P18" i="3"/>
  <c r="AJ86" i="3"/>
  <c r="AG86" i="3"/>
  <c r="K11" i="3"/>
  <c r="K65" i="3"/>
  <c r="K10" i="3"/>
  <c r="P24" i="3"/>
  <c r="K18" i="3"/>
  <c r="AN82" i="3"/>
  <c r="P11" i="3"/>
  <c r="P27" i="3"/>
  <c r="P42" i="3"/>
  <c r="AG82" i="3"/>
  <c r="AL89" i="3"/>
  <c r="P10" i="3"/>
  <c r="AG83" i="3"/>
  <c r="AF83" i="3"/>
  <c r="P16" i="3"/>
  <c r="K42" i="3"/>
  <c r="AH83" i="3"/>
  <c r="P39" i="3"/>
  <c r="K12" i="3"/>
  <c r="AT80" i="3"/>
  <c r="AJ80" i="3"/>
  <c r="P65" i="3"/>
  <c r="AG80" i="3"/>
  <c r="K77" i="3"/>
  <c r="AF80" i="3"/>
  <c r="K30" i="3"/>
  <c r="P22" i="3"/>
  <c r="K76" i="3"/>
  <c r="AF85" i="3"/>
  <c r="P12" i="3"/>
  <c r="AJ83" i="3"/>
  <c r="K39" i="3"/>
  <c r="P70" i="3"/>
  <c r="P69" i="3"/>
  <c r="AH80" i="3"/>
  <c r="K48" i="3"/>
  <c r="AN83" i="3"/>
  <c r="P75" i="3"/>
  <c r="AI83" i="3"/>
  <c r="P72" i="3"/>
  <c r="AG89" i="3"/>
  <c r="K17" i="3"/>
  <c r="AF89" i="3"/>
  <c r="K69" i="3"/>
  <c r="K41" i="3"/>
  <c r="K54" i="3"/>
  <c r="K15" i="3"/>
  <c r="K16" i="3"/>
  <c r="K47" i="3"/>
  <c r="AN80" i="3"/>
  <c r="K51" i="3"/>
  <c r="K70" i="3"/>
  <c r="K72" i="3"/>
  <c r="AL80" i="3"/>
  <c r="AT83" i="3"/>
  <c r="AT90" i="3"/>
  <c r="P64" i="3"/>
  <c r="AT89" i="3"/>
  <c r="AN90" i="3"/>
  <c r="P52" i="3"/>
  <c r="AI80" i="3"/>
  <c r="AT82" i="3"/>
  <c r="AL83" i="3"/>
  <c r="AN89" i="3"/>
  <c r="AI90" i="3"/>
  <c r="P30" i="3"/>
  <c r="P28" i="3"/>
  <c r="P77" i="3"/>
  <c r="K78" i="3"/>
  <c r="AT87" i="3"/>
  <c r="AN87" i="3"/>
  <c r="AL87" i="3"/>
  <c r="AT91" i="3"/>
  <c r="P41" i="3"/>
  <c r="AJ87" i="3"/>
  <c r="AL90" i="3"/>
  <c r="AN91" i="3"/>
  <c r="P48" i="3"/>
  <c r="P78" i="3"/>
  <c r="K29" i="3"/>
  <c r="P15" i="3"/>
  <c r="P46" i="3"/>
  <c r="AF81" i="3"/>
  <c r="AH87" i="3"/>
  <c r="AJ90" i="3"/>
  <c r="AL91" i="3"/>
  <c r="K75" i="3"/>
  <c r="P66" i="3"/>
  <c r="P71" i="3"/>
  <c r="P51" i="3"/>
  <c r="AG87" i="3"/>
  <c r="AJ91" i="3"/>
  <c r="AF87" i="3"/>
  <c r="AI91" i="3"/>
  <c r="K23" i="3"/>
  <c r="P53" i="3"/>
  <c r="K64" i="3"/>
  <c r="AT85" i="3"/>
  <c r="AN81" i="3"/>
  <c r="AN85" i="3"/>
  <c r="AL85" i="3"/>
  <c r="K46" i="3"/>
  <c r="K66" i="3"/>
  <c r="AJ82" i="3"/>
  <c r="K28" i="3"/>
  <c r="K71" i="3"/>
  <c r="AH81" i="3"/>
  <c r="AI82" i="3"/>
  <c r="AH85" i="3"/>
  <c r="K53" i="3"/>
  <c r="AT81" i="3"/>
  <c r="P29" i="3"/>
  <c r="AL81" i="3"/>
  <c r="AJ81" i="3"/>
  <c r="AJ85" i="3"/>
  <c r="AI81" i="3"/>
  <c r="AI85" i="3"/>
  <c r="AG81" i="3"/>
  <c r="AH82" i="3"/>
  <c r="AG85" i="3"/>
  <c r="AL82" i="3"/>
  <c r="AI87" i="3"/>
  <c r="K52" i="3"/>
  <c r="AF92" i="3" l="1"/>
  <c r="AN92" i="3"/>
  <c r="AJ92" i="3"/>
  <c r="AH92" i="3"/>
  <c r="AG92" i="3"/>
  <c r="AS92" i="3"/>
  <c r="AI92" i="3"/>
  <c r="AL92" i="3"/>
  <c r="AM88" i="3" s="1"/>
  <c r="AM82" i="3" l="1"/>
  <c r="AM90" i="3"/>
  <c r="AM91" i="3"/>
  <c r="AM83" i="3"/>
  <c r="AM89" i="3"/>
  <c r="AM80" i="3"/>
  <c r="AM85" i="3"/>
  <c r="AM86" i="3"/>
  <c r="AM87" i="3"/>
  <c r="AM81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0" i="3" l="1"/>
  <c r="AP85" i="3"/>
  <c r="AP91" i="3"/>
  <c r="AP83" i="3"/>
  <c r="AP82" i="3"/>
  <c r="AP88" i="3"/>
  <c r="AP90" i="3"/>
  <c r="AP89" i="3"/>
  <c r="AP86" i="3"/>
  <c r="AP84" i="3"/>
  <c r="AP81" i="3"/>
  <c r="AD89" i="3" l="1"/>
  <c r="AS89" i="3" s="1"/>
  <c r="AD84" i="3"/>
  <c r="AS84" i="3" s="1"/>
  <c r="AD83" i="3"/>
  <c r="AS83" i="3" s="1"/>
  <c r="AD86" i="3"/>
  <c r="AS86" i="3" s="1"/>
  <c r="AD85" i="3"/>
  <c r="AS85" i="3" s="1"/>
  <c r="AD90" i="3"/>
  <c r="AS90" i="3" s="1"/>
  <c r="AD81" i="3"/>
  <c r="AS81" i="3" s="1"/>
  <c r="AD80" i="3"/>
  <c r="AD88" i="3"/>
  <c r="AS88" i="3" s="1"/>
  <c r="AD82" i="3"/>
  <c r="AS82" i="3" s="1"/>
  <c r="AD91" i="3"/>
  <c r="AS91" i="3" s="1"/>
  <c r="AD87" i="3"/>
  <c r="AS87" i="3" s="1"/>
  <c r="J81" i="3" l="1"/>
  <c r="O87" i="3"/>
  <c r="M88" i="3"/>
  <c r="J91" i="3"/>
  <c r="O84" i="3"/>
  <c r="J92" i="3"/>
  <c r="L89" i="3"/>
  <c r="L82" i="3"/>
  <c r="M81" i="3"/>
  <c r="L92" i="3"/>
  <c r="P92" i="3" s="1"/>
  <c r="J86" i="3"/>
  <c r="N91" i="3"/>
  <c r="M91" i="3"/>
  <c r="L81" i="3"/>
  <c r="M92" i="3"/>
  <c r="N81" i="3"/>
  <c r="L83" i="3"/>
  <c r="O82" i="3"/>
  <c r="N83" i="3"/>
  <c r="O81" i="3"/>
  <c r="O83" i="3"/>
  <c r="J83" i="3"/>
  <c r="J88" i="3"/>
  <c r="L91" i="3"/>
  <c r="J89" i="3"/>
  <c r="AS80" i="3"/>
  <c r="M82" i="3"/>
  <c r="L84" i="3"/>
  <c r="J87" i="3"/>
  <c r="M86" i="3"/>
  <c r="O89" i="3"/>
  <c r="J84" i="3"/>
  <c r="N87" i="3"/>
  <c r="L87" i="3"/>
  <c r="N89" i="3"/>
  <c r="N82" i="3"/>
  <c r="N88" i="3"/>
  <c r="J82" i="3"/>
  <c r="O85" i="3"/>
  <c r="N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7" i="3"/>
  <c r="M89" i="3"/>
  <c r="M84" i="3"/>
  <c r="O92" i="3"/>
  <c r="J85" i="3"/>
  <c r="L86" i="3"/>
  <c r="M90" i="3"/>
  <c r="L90" i="3"/>
  <c r="N85" i="3"/>
  <c r="L88" i="3"/>
  <c r="O86" i="3"/>
  <c r="N86" i="3"/>
  <c r="O88" i="3"/>
  <c r="N84" i="3"/>
  <c r="J90" i="3"/>
  <c r="O90" i="3"/>
  <c r="O91" i="3"/>
  <c r="N90" i="3"/>
  <c r="M85" i="3"/>
  <c r="L85" i="3"/>
  <c r="M83" i="3"/>
  <c r="P87" i="3" l="1"/>
  <c r="P85" i="3"/>
  <c r="P90" i="3"/>
  <c r="P89" i="3"/>
  <c r="P81" i="3"/>
  <c r="K81" i="3"/>
  <c r="P82" i="3"/>
  <c r="K92" i="3"/>
  <c r="P84" i="3"/>
  <c r="K3" i="4"/>
  <c r="BL55" i="3" s="1"/>
  <c r="B3" i="4"/>
  <c r="K91" i="3"/>
  <c r="P83" i="3"/>
  <c r="H3" i="4"/>
  <c r="BL39" i="3" s="1"/>
  <c r="K82" i="3"/>
  <c r="P91" i="3"/>
  <c r="K86" i="3"/>
  <c r="D3" i="4"/>
  <c r="K89" i="3"/>
  <c r="K87" i="3"/>
  <c r="J3" i="4"/>
  <c r="BL71" i="3" s="1"/>
  <c r="G3" i="4"/>
  <c r="BL11" i="3" s="1"/>
  <c r="I3" i="4"/>
  <c r="BL15" i="3" s="1"/>
  <c r="K90" i="3"/>
  <c r="E3" i="4"/>
  <c r="BL67" i="3" s="1"/>
  <c r="P86" i="3"/>
  <c r="K84" i="3"/>
  <c r="K85" i="3"/>
  <c r="K88" i="3"/>
  <c r="P88" i="3"/>
  <c r="K83" i="3"/>
  <c r="BS53" i="3"/>
  <c r="BS52" i="3"/>
  <c r="BZ49" i="3" s="1"/>
  <c r="CG55" i="3" s="1"/>
  <c r="BL51" i="3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<sst xmlns="http://schemas.openxmlformats.org/spreadsheetml/2006/main" count="9785" uniqueCount="3699">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</sst>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55000000000000004"/>
  <cols>
    <col min="1" max="1" width="24.1015625" bestFit="1" customWidth="1"/>
    <col min="2" max="42" width="14" customWidth="1"/>
  </cols>
  <sheetData>
    <row r="1" spans="1:4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55000000000000004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55000000000000004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55000000000000004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55000000000000004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55000000000000004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55000000000000004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55000000000000004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55000000000000004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55000000000000004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55000000000000004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55000000000000004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55000000000000004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55000000000000004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55000000000000004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55000000000000004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55000000000000004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55000000000000004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55000000000000004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55000000000000004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55000000000000004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55000000000000004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55000000000000004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55000000000000004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55000000000000004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55000000000000004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55000000000000004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55000000000000004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55000000000000004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55000000000000004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55000000000000004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55000000000000004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55000000000000004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55000000000000004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55000000000000004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55000000000000004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55000000000000004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55000000000000004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55000000000000004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55000000000000004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55000000000000004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55000000000000004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55000000000000004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55000000000000004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55000000000000004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55000000000000004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55000000000000004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55000000000000004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55000000000000004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55000000000000004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55000000000000004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55000000000000004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55000000000000004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55000000000000004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55000000000000004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55000000000000004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55000000000000004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55000000000000004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55000000000000004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55000000000000004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55000000000000004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55000000000000004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55000000000000004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55000000000000004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55000000000000004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55000000000000004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55000000000000004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55000000000000004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55000000000000004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55000000000000004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55000000000000004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55000000000000004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55000000000000004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55000000000000004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55000000000000004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55000000000000004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55000000000000004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55000000000000004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55000000000000004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55000000000000004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55000000000000004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55000000000000004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55000000000000004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55000000000000004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55000000000000004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55000000000000004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55000000000000004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55000000000000004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55000000000000004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55000000000000004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55000000000000004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55000000000000004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55000000000000004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55000000000000004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55000000000000004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55000000000000004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55000000000000004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55000000000000004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55000000000000004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55000000000000004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55000000000000004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55000000000000004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55000000000000004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55000000000000004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55000000000000004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55000000000000004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55000000000000004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55000000000000004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55000000000000004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55000000000000004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55000000000000004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55000000000000004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55000000000000004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55000000000000004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55000000000000004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55000000000000004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55000000000000004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55000000000000004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55000000000000004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55000000000000004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55000000000000004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55000000000000004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55000000000000004">
      <c r="A145" s="1"/>
    </row>
    <row r="146" spans="1:42" x14ac:dyDescent="0.55000000000000004">
      <c r="A146" s="1"/>
    </row>
    <row r="147" spans="1:42" x14ac:dyDescent="0.55000000000000004">
      <c r="A147" s="1"/>
    </row>
    <row r="148" spans="1:42" x14ac:dyDescent="0.55000000000000004">
      <c r="A148" s="1"/>
    </row>
    <row r="149" spans="1:42" x14ac:dyDescent="0.55000000000000004">
      <c r="A149" s="1"/>
    </row>
    <row r="150" spans="1:42" x14ac:dyDescent="0.55000000000000004">
      <c r="A150" s="1"/>
    </row>
    <row r="151" spans="1:42" x14ac:dyDescent="0.55000000000000004">
      <c r="A151" s="1"/>
    </row>
    <row r="152" spans="1:42" x14ac:dyDescent="0.55000000000000004">
      <c r="A152" s="1"/>
    </row>
    <row r="153" spans="1:42" x14ac:dyDescent="0.55000000000000004">
      <c r="A153" s="1"/>
    </row>
    <row r="154" spans="1:42" x14ac:dyDescent="0.55000000000000004">
      <c r="A154" s="1"/>
    </row>
    <row r="155" spans="1:42" x14ac:dyDescent="0.55000000000000004">
      <c r="A155" s="1"/>
    </row>
    <row r="156" spans="1:42" x14ac:dyDescent="0.55000000000000004">
      <c r="A156" s="1"/>
    </row>
    <row r="157" spans="1:42" x14ac:dyDescent="0.55000000000000004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015625" defaultRowHeight="14.4" x14ac:dyDescent="0.55000000000000004"/>
  <cols>
    <col min="1" max="1" width="1.1015625" style="10" customWidth="1"/>
    <col min="2" max="2" width="18.89453125" style="10" bestFit="1" customWidth="1"/>
    <col min="3" max="3" width="20.3125" style="10" customWidth="1"/>
    <col min="4" max="4" width="9.1015625" style="10"/>
    <col min="5" max="5" width="1.1015625" style="10" customWidth="1"/>
    <col min="6" max="6" width="9.1015625" style="10"/>
    <col min="7" max="7" width="27.5234375" style="10" bestFit="1" customWidth="1"/>
    <col min="8" max="8" width="2.68359375" style="10" customWidth="1"/>
    <col min="9" max="9" width="1.1015625" style="10" customWidth="1"/>
    <col min="10" max="16384" width="9.1015625" style="10"/>
  </cols>
  <sheetData>
    <row r="1" spans="2:27" ht="7.5" customHeight="1" x14ac:dyDescent="0.55000000000000004"/>
    <row r="2" spans="2:27" ht="15.9" thickBot="1" x14ac:dyDescent="0.6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55000000000000004">
      <c r="B3" s="42"/>
      <c r="C3" s="43"/>
      <c r="D3" s="44"/>
      <c r="F3" s="42"/>
      <c r="G3" s="43"/>
      <c r="H3" s="44"/>
    </row>
    <row r="4" spans="2:27" x14ac:dyDescent="0.55000000000000004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55000000000000004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55000000000000004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55000000000000004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55000000000000004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55000000000000004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55000000000000004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55000000000000004">
      <c r="B11" s="54"/>
      <c r="C11" s="43"/>
      <c r="D11" s="44"/>
      <c r="F11" s="51"/>
      <c r="G11" s="52"/>
      <c r="H11" s="53"/>
    </row>
    <row r="12" spans="2:27" ht="15" customHeight="1" x14ac:dyDescent="0.55000000000000004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55000000000000004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55000000000000004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55000000000000004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55000000000000004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55000000000000004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6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55000000000000004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55000000000000004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55000000000000004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55000000000000004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55000000000000004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55000000000000004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55000000000000004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55000000000000004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55000000000000004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55000000000000004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55000000000000004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55000000000000004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55000000000000004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55000000000000004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55000000000000004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55000000000000004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55000000000000004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55000000000000004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55000000000000004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55000000000000004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55000000000000004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55000000000000004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55000000000000004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55000000000000004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55000000000000004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55000000000000004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55000000000000004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55000000000000004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55000000000000004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55000000000000004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55000000000000004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55000000000000004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55000000000000004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55000000000000004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55000000000000004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55000000000000004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55000000000000004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55000000000000004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55000000000000004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55000000000000004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55000000000000004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55000000000000004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55000000000000004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55000000000000004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55000000000000004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55000000000000004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55000000000000004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55000000000000004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55000000000000004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55000000000000004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55000000000000004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55000000000000004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55000000000000004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55000000000000004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Q50" sqref="CQ50"/>
    </sheetView>
  </sheetViews>
  <sheetFormatPr defaultColWidth="9.1015625" defaultRowHeight="14.4" x14ac:dyDescent="0.55000000000000004"/>
  <cols>
    <col min="1" max="1" width="4.89453125" style="3" customWidth="1"/>
    <col min="2" max="2" width="6.1015625" style="3" customWidth="1"/>
    <col min="3" max="3" width="11.68359375" style="3" bestFit="1" customWidth="1"/>
    <col min="4" max="4" width="9" style="4" customWidth="1"/>
    <col min="5" max="5" width="22.5234375" style="5" customWidth="1"/>
    <col min="6" max="7" width="4.3125" style="6" customWidth="1"/>
    <col min="8" max="8" width="22.5234375" style="7" customWidth="1"/>
    <col min="9" max="9" width="3.41796875" style="2" customWidth="1"/>
    <col min="10" max="10" width="19.41796875" style="8" customWidth="1"/>
    <col min="11" max="14" width="5.41796875" style="9" customWidth="1"/>
    <col min="15" max="15" width="7.68359375" style="9" customWidth="1"/>
    <col min="16" max="16" width="6.68359375" style="9" customWidth="1"/>
    <col min="17" max="17" width="3.41796875" style="68" customWidth="1"/>
    <col min="18" max="18" width="15.41796875" style="123" hidden="1" customWidth="1"/>
    <col min="19" max="20" width="16" style="127" hidden="1" customWidth="1"/>
    <col min="21" max="28" width="4" style="123" hidden="1" customWidth="1"/>
    <col min="29" max="29" width="4.3125" style="124" hidden="1" customWidth="1"/>
    <col min="30" max="30" width="5.41796875" style="123" hidden="1" customWidth="1"/>
    <col min="31" max="31" width="13.41796875" style="124" hidden="1" customWidth="1"/>
    <col min="32" max="36" width="5.41796875" style="123" hidden="1" customWidth="1"/>
    <col min="37" max="39" width="6" style="123" hidden="1" customWidth="1"/>
    <col min="40" max="40" width="5.41796875" style="123" hidden="1" customWidth="1"/>
    <col min="41" max="42" width="6" style="123" hidden="1" customWidth="1"/>
    <col min="43" max="43" width="7.1015625" style="125" hidden="1" customWidth="1"/>
    <col min="44" max="44" width="10" style="125" hidden="1" customWidth="1"/>
    <col min="45" max="45" width="15.3125" style="125" hidden="1" customWidth="1"/>
    <col min="46" max="50" width="4.68359375" style="126" hidden="1" customWidth="1"/>
    <col min="51" max="51" width="9.1015625" style="125" hidden="1" customWidth="1"/>
    <col min="52" max="61" width="9.1015625" style="126" hidden="1" customWidth="1"/>
    <col min="62" max="62" width="9.1015625" style="112" hidden="1" customWidth="1"/>
    <col min="63" max="63" width="3.3125" style="2" customWidth="1"/>
    <col min="64" max="64" width="19.68359375" style="2" customWidth="1"/>
    <col min="65" max="67" width="3" style="2" customWidth="1"/>
    <col min="68" max="69" width="2" style="111" customWidth="1"/>
    <col min="70" max="70" width="3.3125" style="2" customWidth="1"/>
    <col min="71" max="71" width="19.68359375" style="2" customWidth="1"/>
    <col min="72" max="74" width="3" style="2" customWidth="1"/>
    <col min="75" max="76" width="2" style="111" customWidth="1"/>
    <col min="77" max="77" width="4" style="2" customWidth="1"/>
    <col min="78" max="78" width="19.68359375" style="2" customWidth="1"/>
    <col min="79" max="81" width="3" style="2" customWidth="1"/>
    <col min="82" max="83" width="2" style="111" customWidth="1"/>
    <col min="84" max="84" width="3.89453125" style="2" customWidth="1"/>
    <col min="85" max="85" width="19.68359375" style="2" customWidth="1"/>
    <col min="86" max="88" width="3" style="2" customWidth="1"/>
    <col min="89" max="90" width="2" style="111" customWidth="1"/>
    <col min="91" max="91" width="3.68359375" style="2" customWidth="1"/>
    <col min="92" max="92" width="19.68359375" style="2" customWidth="1"/>
    <col min="93" max="95" width="3" style="2" customWidth="1"/>
    <col min="96" max="96" width="2" style="111" customWidth="1"/>
    <col min="97" max="16384" width="9.1015625" style="2"/>
  </cols>
  <sheetData>
    <row r="1" spans="1:95" ht="45.9" x14ac:dyDescent="0.55000000000000004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55000000000000004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5500000000000000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55000000000000004"/>
    <row r="5" spans="1:95" x14ac:dyDescent="0.55000000000000004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55000000000000004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55000000000000004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55000000000000004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3</v>
      </c>
      <c r="AJ8" s="123">
        <f>SUMIF($E$7:$E$78,$AE8,$G$7:$G$78) + SUMIF($H$7:$H$78,$AE8,$F$7:$F$78)</f>
        <v>2</v>
      </c>
      <c r="AL8" s="123">
        <f>AI8-AJ8</f>
        <v>1</v>
      </c>
      <c r="AM8" s="123">
        <f>AL8-AL12</f>
        <v>5</v>
      </c>
      <c r="AN8" s="123">
        <f>AF8*3+AG8</f>
        <v>6</v>
      </c>
      <c r="AO8" s="123">
        <f>AN8/AN12*10+BA8</f>
        <v>7.5</v>
      </c>
      <c r="AP8" s="123">
        <f>AO8*10000000+BI8*100+AM8/AM12*10+AI8/AI12*1++IF(AQ8=0,ROW(),AQ8)/2000000</f>
        <v>75000006.850840509</v>
      </c>
      <c r="AQ8" s="126">
        <f>VLOOKUP(AE8,db_fifarank,2,FALSE)</f>
        <v>1681.03</v>
      </c>
      <c r="AR8" s="125">
        <f>AP8/AP12</f>
        <v>0.85714283208346032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55000000000000004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0.20071486500000002</v>
      </c>
      <c r="AQ9" s="126">
        <f>VLOOKUP(AE9,db_fifarank,2,FALSE)</f>
        <v>1429.73</v>
      </c>
      <c r="AR9" s="125">
        <f>AP9/AP12</f>
        <v>2.2938838948308896E-9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55000000000000004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1</v>
      </c>
      <c r="AL10" s="123">
        <f>AI10-AJ10</f>
        <v>3</v>
      </c>
      <c r="AM10" s="123">
        <f>AL10-AL12</f>
        <v>7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87500009.550794333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55000000000000004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50000005.600750692</v>
      </c>
      <c r="AQ11" s="126">
        <f>VLOOKUP(AE11,db_fifarank,2,FALSE)</f>
        <v>1501.38</v>
      </c>
      <c r="AR11" s="125">
        <f>AP11/AP12</f>
        <v>0.57142856653400464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55000000000000004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5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87500010.550794333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3</v>
      </c>
      <c r="BU12" s="63">
        <v>3</v>
      </c>
      <c r="BV12" s="25">
        <v>4</v>
      </c>
      <c r="BW12" s="112">
        <f>IF(OR(BT12="",BT13="",AND(BU12="",BU13&lt;&gt;""),AND(BU13="",BU12&lt;&gt;""),AND(BV12="",BV13&lt;&gt;""),AND(BV13="",BV12&lt;&gt;"")),"",BT12*1000+BU12*10+BV12)</f>
        <v>3034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55000000000000004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>
        <v>3</v>
      </c>
      <c r="BV13" s="27">
        <v>3</v>
      </c>
      <c r="BW13" s="113">
        <f>IF(BW12="","",BT13*1000+BU13*10+BV13)</f>
        <v>3033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55000000000000004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5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50000005.715063959</v>
      </c>
      <c r="AQ14" s="126">
        <f>VLOOKUP(AE14,db_fifarank,2,FALSE)</f>
        <v>1556.48</v>
      </c>
      <c r="AR14" s="125">
        <f>AP14/AP18</f>
        <v>0.57142857018815396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>
        <v>3</v>
      </c>
      <c r="BO14" s="25"/>
      <c r="BP14" s="116">
        <f>IF(OR(BM14="",BM15="",AND(BN14="",BN15&lt;&gt;""),AND(BN15="",BN14&lt;&gt;""),AND(BO14="",BO15&lt;&gt;""),AND(BO15="",BO14&lt;&gt;"")),"",BM14*1000+BN14*10+BO14)</f>
        <v>2030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55000000000000004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6 - 4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4</v>
      </c>
      <c r="AN15" s="123">
        <f>AF15*3+AG15</f>
        <v>6</v>
      </c>
      <c r="AO15" s="123">
        <f>AN15/AN18*10+BA15</f>
        <v>7.5</v>
      </c>
      <c r="AP15" s="123">
        <f>AO15*10000000+BI15*100+AM15/AM18*10+AI15/AI18*1++IF(AQ15=0,ROW(),AQ15)/2000000</f>
        <v>75000007.238788158</v>
      </c>
      <c r="AQ15" s="126">
        <f>VLOOKUP(AE15,db_fifarank,2,FALSE)</f>
        <v>1385.84</v>
      </c>
      <c r="AR15" s="125">
        <f>AP15/AP18</f>
        <v>0.8571428400387151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2</v>
      </c>
      <c r="BN15" s="64">
        <v>2</v>
      </c>
      <c r="BO15" s="27"/>
      <c r="BP15" s="112">
        <f>IF(BP14="","",BM15*1000+BN15*10+BO15)</f>
        <v>2020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55000000000000004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0.2864417657142857</v>
      </c>
      <c r="AQ16" s="126">
        <f>VLOOKUP(AE16,db_fifarank,2,FALSE)</f>
        <v>1454.96</v>
      </c>
      <c r="AR16" s="125">
        <f>AP16/AP18</f>
        <v>3.2736197983067584E-9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55000000000000004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5 - 5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4</v>
      </c>
      <c r="AL17" s="123">
        <f>AI17-AJ17</f>
        <v>2</v>
      </c>
      <c r="AM17" s="123">
        <f>AL17-AL18</f>
        <v>5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87500009.191300884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55000000000000004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-3</v>
      </c>
      <c r="AM18" s="123">
        <f>MAX(AM14:AM17)+1</f>
        <v>6</v>
      </c>
      <c r="AN18" s="123">
        <f>MAX(AN14:AN17)+1</f>
        <v>8</v>
      </c>
      <c r="AO18" s="123">
        <f>MAX(AO14:AO17)+1</f>
        <v>9.75</v>
      </c>
      <c r="AP18" s="123">
        <f>MAX(AP14:AP17)+1</f>
        <v>87500010.191300884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55000000000000004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2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55000000000000004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4</v>
      </c>
      <c r="AL20" s="123">
        <f>AI20-AJ20</f>
        <v>5</v>
      </c>
      <c r="AM20" s="123">
        <f>AL20-AL24</f>
        <v>16</v>
      </c>
      <c r="AN20" s="123">
        <f>AF20*3+AG20</f>
        <v>5</v>
      </c>
      <c r="AO20" s="123">
        <f>AN20/AN24*10+BA20</f>
        <v>6.25</v>
      </c>
      <c r="AP20" s="123">
        <f>AO20*10000000+BI20*100+AM20/AM24*10+AI20/AI24*1++IF(AQ20=0,ROW(),AQ20)/2000000</f>
        <v>62500010.312645279</v>
      </c>
      <c r="AQ20" s="126">
        <f>VLOOKUP(AE20,db_fifarank,2,FALSE)</f>
        <v>1761.16</v>
      </c>
      <c r="AR20" s="125">
        <f>AP20/AP24</f>
        <v>0.71428575184923127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55000000000000004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14</v>
      </c>
      <c r="AN21" s="123">
        <f>AF21*3+AG21</f>
        <v>7</v>
      </c>
      <c r="AO21" s="123">
        <f>AN21/AN24*10+BA21</f>
        <v>8.75</v>
      </c>
      <c r="AP21" s="123">
        <f>AO21*10000000+BI21*100+AM21/AM24*10+AI21/AI24*1++IF(AQ21=0,ROW(),AQ21)/2000000</f>
        <v>87500008.836172044</v>
      </c>
      <c r="AQ21" s="126">
        <f>VLOOKUP(AE21,db_fifarank,2,FALSE)</f>
        <v>1755.87</v>
      </c>
      <c r="AR21" s="125">
        <f>AP21/AP24</f>
        <v>0.99999998857142991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55000000000000004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9 - 4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7.3811991702543433E-12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55000000000000004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7 - 4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7</v>
      </c>
      <c r="AJ23" s="123">
        <f>SUMIF($E$7:$E$78,$AE23,$G$7:$G$78) + SUMIF($H$7:$H$78,$AE23,$F$7:$F$78)</f>
        <v>4</v>
      </c>
      <c r="AL23" s="123">
        <f>AI23-AJ23</f>
        <v>3</v>
      </c>
      <c r="AM23" s="123">
        <f>AL23-AL24</f>
        <v>14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50000008.9360433</v>
      </c>
      <c r="AQ23" s="126">
        <f>VLOOKUP(AE23,db_fifarank,2,FALSE)</f>
        <v>1498.35</v>
      </c>
      <c r="AR23" s="125">
        <f>AP23/AP24</f>
        <v>0.57142860931855066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3</v>
      </c>
      <c r="BN23" s="64"/>
      <c r="BO23" s="27"/>
      <c r="BP23" s="112">
        <f>IF(BP22="","",BM23*1000+BN23*10+BO23)</f>
        <v>3000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3</v>
      </c>
      <c r="CI23" s="63">
        <v>3</v>
      </c>
      <c r="CJ23" s="25"/>
      <c r="CK23" s="112">
        <f>IF(OR(CH23="",CH24="",AND(CI23="",CI24&lt;&gt;""),AND(CI24="",CI23&lt;&gt;""),AND(CJ23="",CJ24&lt;&gt;""),AND(CJ24="",CJ23&lt;&gt;"")),"",CH23*1000+CI23*10+CJ23)</f>
        <v>3030</v>
      </c>
    </row>
    <row r="24" spans="1:95" x14ac:dyDescent="0.55000000000000004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2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Iraq_draw</v>
      </c>
      <c r="T24" s="127" t="str">
        <f t="shared" si="2"/>
        <v>Norway_draw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0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10</v>
      </c>
      <c r="AL24" s="123">
        <f>MIN(AL20:AL23)</f>
        <v>-11</v>
      </c>
      <c r="AM24" s="123">
        <f>MAX(AM20:AM23)+1</f>
        <v>17</v>
      </c>
      <c r="AN24" s="123">
        <f>MAX(AN20:AN23)+1</f>
        <v>8</v>
      </c>
      <c r="AO24" s="123">
        <f>MAX(AO20:AO23)+1</f>
        <v>9.75</v>
      </c>
      <c r="AP24" s="123">
        <f>MAX(AP20:AP23)+1</f>
        <v>87500009.836172044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>
        <v>4</v>
      </c>
      <c r="CJ24" s="27"/>
      <c r="CK24" s="113">
        <f>IF(CK23="","",CH24*1000+CI24*10+CJ24)</f>
        <v>3040</v>
      </c>
    </row>
    <row r="25" spans="1:95" x14ac:dyDescent="0.55000000000000004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55000000000000004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2</v>
      </c>
      <c r="AH26" s="123">
        <f>COUNTIF($S$7:$T$78,"=" &amp; AE26 &amp; "_lose")</f>
        <v>1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4</v>
      </c>
      <c r="AL26" s="123">
        <f>AI26-AJ26</f>
        <v>-2</v>
      </c>
      <c r="AM26" s="123">
        <f>AL26-AL30</f>
        <v>0</v>
      </c>
      <c r="AN26" s="123">
        <f>AF26*3+AG26</f>
        <v>2</v>
      </c>
      <c r="AO26" s="123">
        <f>AN26/AN30*10+BA26</f>
        <v>3.4803921568627452</v>
      </c>
      <c r="AP26" s="123">
        <f>AO26*10000000+BI26*100+AM26/AM30*10+AI26/AI30*1++IF(AQ26=0,ROW(),AQ26)/2000000</f>
        <v>34804019.894393988</v>
      </c>
      <c r="AQ26" s="126">
        <f>VLOOKUP(AE26,db_fifarank,2,FALSE)</f>
        <v>1673.13</v>
      </c>
      <c r="AR26" s="125">
        <f>AP26/AP30</f>
        <v>0.39776017995456603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</v>
      </c>
      <c r="BA26" s="126">
        <f>AZ26/AZ30</f>
        <v>0.98039215686274506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</v>
      </c>
      <c r="BI26" s="126">
        <f>BH26/BH30</f>
        <v>0.98039215686274506</v>
      </c>
      <c r="BK26" s="131">
        <v>83</v>
      </c>
      <c r="BL26" s="24" t="str">
        <f>AS69</f>
        <v>Colombia</v>
      </c>
      <c r="BM26" s="61">
        <v>1</v>
      </c>
      <c r="BN26" s="63">
        <v>2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1023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55000000000000004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2</v>
      </c>
      <c r="AL27" s="123">
        <f>AI27-AJ27</f>
        <v>4</v>
      </c>
      <c r="AM27" s="123">
        <f>AL27-AL30</f>
        <v>6</v>
      </c>
      <c r="AN27" s="123">
        <f>AF27*3+AG27</f>
        <v>7</v>
      </c>
      <c r="AO27" s="123">
        <f>AN27/AN30*10+BA27</f>
        <v>8.75</v>
      </c>
      <c r="AP27" s="123">
        <f>AO27*10000000+BI27*100+AM27/AM30*10+AI27/AI30*1++IF(AQ27=0,ROW(),AQ27)/2000000</f>
        <v>87500009.429323167</v>
      </c>
      <c r="AQ27" s="126">
        <f>VLOOKUP(AE27,db_fifarank,2,FALSE)</f>
        <v>1503.5</v>
      </c>
      <c r="AR27" s="125">
        <f>AP27/AP30</f>
        <v>0.99999998857142991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1</v>
      </c>
      <c r="BN27" s="64">
        <v>2</v>
      </c>
      <c r="BO27" s="27">
        <v>2</v>
      </c>
      <c r="BP27" s="113">
        <f>IF(BP26="","",BM27*1000+BN27*10+BO27)</f>
        <v>1022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55000000000000004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3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6 - 7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3</v>
      </c>
      <c r="W28" s="123">
        <f t="shared" si="4"/>
        <v>3</v>
      </c>
      <c r="X28" s="123">
        <f t="shared" si="9"/>
        <v>1</v>
      </c>
      <c r="Y28" s="123">
        <f t="shared" si="10"/>
        <v>3</v>
      </c>
      <c r="Z28" s="123">
        <f t="shared" si="11"/>
        <v>3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1</v>
      </c>
      <c r="AN28" s="123">
        <f>AF28*3+AG28</f>
        <v>2</v>
      </c>
      <c r="AO28" s="123">
        <f>AN28/AN30*10+BA28</f>
        <v>3.4803921568627452</v>
      </c>
      <c r="AP28" s="123">
        <f>AO28*10000000+BI28*100+AM28/AM30*10+AI28/AI30*1++IF(AQ28=0,ROW(),AQ28)/2000000</f>
        <v>34804021.465776324</v>
      </c>
      <c r="AQ28" s="126">
        <f>VLOOKUP(AE28,db_fifarank,2,FALSE)</f>
        <v>1580.67</v>
      </c>
      <c r="AR28" s="125">
        <f>AP28/AP30</f>
        <v>0.39776019791321915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55000000000000004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7</v>
      </c>
      <c r="AL29" s="123">
        <f>AI29-AJ29</f>
        <v>-1</v>
      </c>
      <c r="AM29" s="123">
        <f>AL29-AL30</f>
        <v>1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50000002.286513805</v>
      </c>
      <c r="AQ29" s="126">
        <f>VLOOKUP(AE29,db_fifarank,2,FALSE)</f>
        <v>1599.04</v>
      </c>
      <c r="AR29" s="125">
        <f>AP29/AP30</f>
        <v>0.57142852945029721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4</v>
      </c>
      <c r="BU29" s="64"/>
      <c r="BV29" s="27"/>
      <c r="BW29" s="113">
        <f>IF(BW28="","",BT29*1000+BU29*10+BV29)</f>
        <v>4000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55000000000000004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2 - 4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2</v>
      </c>
      <c r="AI30" s="123">
        <f>MAX(AI26:AI29)+1</f>
        <v>7</v>
      </c>
      <c r="AL30" s="123">
        <f>MIN(AL26:AL29)</f>
        <v>-2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87500010.429323167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55000000000000004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55000000000000004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3</v>
      </c>
      <c r="AL32" s="123">
        <f>AI32-AJ32</f>
        <v>5</v>
      </c>
      <c r="AM32" s="123">
        <f>AL32-AL36</f>
        <v>9</v>
      </c>
      <c r="AN32" s="123">
        <f>AF32*3+AG32</f>
        <v>6</v>
      </c>
      <c r="AO32" s="123">
        <f>AN32/AN36*10+BA32</f>
        <v>8.5714285714285712</v>
      </c>
      <c r="AP32" s="123">
        <f>AO32*10000000+BI32*100+AM32/AM36*10+AI32/AI36*1++IF(AQ32=0,ROW(),AQ32)/2000000</f>
        <v>85714295.604039803</v>
      </c>
      <c r="AQ32" s="126">
        <f>VLOOKUP(AE32,db_fifarank,2,FALSE)</f>
        <v>1730.37</v>
      </c>
      <c r="AR32" s="125">
        <f>AP32/AP36</f>
        <v>0.99999998833333481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55000000000000004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8 - 3</v>
      </c>
      <c r="P33" s="32">
        <f>L33*3+M33</f>
        <v>6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2</v>
      </c>
      <c r="AH33" s="123">
        <f>COUNTIF($S$7:$T$78,"=" &amp; AE33 &amp; "_lose")</f>
        <v>1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4</v>
      </c>
      <c r="AL33" s="123">
        <f>AI33-AJ33</f>
        <v>-4</v>
      </c>
      <c r="AM33" s="123">
        <f>AL33-AL36</f>
        <v>0</v>
      </c>
      <c r="AN33" s="123">
        <f>AF33*3+AG33</f>
        <v>2</v>
      </c>
      <c r="AO33" s="123">
        <f>AN33/AN36*10+BA33</f>
        <v>3.8375350140056019</v>
      </c>
      <c r="AP33" s="123">
        <f>AO33*10000000+BI33*100+AM33/AM36*10+AI33/AI36*1++IF(AQ33=0,ROW(),AQ33)/2000000</f>
        <v>38375448.179919027</v>
      </c>
      <c r="AQ33" s="126">
        <f>VLOOKUP(AE33,db_fifarank,2,FALSE)</f>
        <v>1294.6500000000001</v>
      </c>
      <c r="AR33" s="125">
        <f>AP33/AP36</f>
        <v>0.44771350521833897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</v>
      </c>
      <c r="BA33" s="126">
        <f>AZ33/AZ36</f>
        <v>0.98039215686274506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</v>
      </c>
      <c r="BI33" s="126">
        <f>BH33/BH36</f>
        <v>0.98039215686274506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Paraguay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55000000000000004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0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2 - 1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2</v>
      </c>
      <c r="AN34" s="123">
        <f>AF34*3+AG34</f>
        <v>2</v>
      </c>
      <c r="AO34" s="123">
        <f>AN34/AN36*10+BA34</f>
        <v>3.8375350140056019</v>
      </c>
      <c r="AP34" s="123">
        <f>AO34*10000000+BI34*100+AM34/AM36*10+AI34/AI36*1++IF(AQ34=0,ROW(),AQ34)/2000000</f>
        <v>38375450.291149311</v>
      </c>
      <c r="AQ34" s="126">
        <f>VLOOKUP(AE34,db_fifarank,2,FALSE)</f>
        <v>1532.98</v>
      </c>
      <c r="AR34" s="125">
        <f>AP34/AP36</f>
        <v>0.44771352984935581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3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55000000000000004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1 - 3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1</v>
      </c>
      <c r="AL35" s="123">
        <f>AI35-AJ35</f>
        <v>1</v>
      </c>
      <c r="AM35" s="123">
        <f>AL35-AL36</f>
        <v>5</v>
      </c>
      <c r="AN35" s="123">
        <f>AF35*3+AG35</f>
        <v>5</v>
      </c>
      <c r="AO35" s="123">
        <f>AN35/AN36*10+BA35</f>
        <v>7.1428571428571432</v>
      </c>
      <c r="AP35" s="123">
        <f>AO35*10000000+BI35*100+AM35/AM36*10+AI35/AI36*1++IF(AQ35=0,ROW(),AQ35)/2000000</f>
        <v>71428576.651591048</v>
      </c>
      <c r="AQ35" s="126">
        <f>VLOOKUP(AE35,db_fifarank,2,FALSE)</f>
        <v>1594.78</v>
      </c>
      <c r="AR35" s="125">
        <f>AP35/AP36</f>
        <v>0.83333328839595877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55000000000000004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2</v>
      </c>
      <c r="N36" s="36">
        <f>VLOOKUP(4,AD32:AN35,5,FALSE)</f>
        <v>1</v>
      </c>
      <c r="O36" s="36" t="str">
        <f>VLOOKUP(4,AD32:AN35,6,FALSE) &amp; " - " &amp; VLOOKUP(4,AD32:AN35,7,FALSE)</f>
        <v>0 - 4</v>
      </c>
      <c r="P36" s="37">
        <f>L36*3+M36</f>
        <v>2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2</v>
      </c>
      <c r="AI36" s="123">
        <f>MAX(AI32:AI35)+1</f>
        <v>9</v>
      </c>
      <c r="AL36" s="123">
        <f>MIN(AL32:AL35)</f>
        <v>-4</v>
      </c>
      <c r="AM36" s="123">
        <f>MAX(AM32:AM35)+1</f>
        <v>10</v>
      </c>
      <c r="AN36" s="123">
        <f>MAX(AN32:AN35)+1</f>
        <v>7</v>
      </c>
      <c r="AO36" s="123">
        <f>MAX(AO32:AO35)+1</f>
        <v>9.5714285714285712</v>
      </c>
      <c r="AP36" s="123">
        <f>MAX(AP32:AP35)+1</f>
        <v>85714296.604039803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1</v>
      </c>
      <c r="BU36" s="63">
        <v>1</v>
      </c>
      <c r="BV36" s="25">
        <v>5</v>
      </c>
      <c r="BW36" s="116">
        <f>IF(OR(BT36="",BT37="",AND(BU36="",BU37&lt;&gt;""),AND(BU37="",BU36&lt;&gt;""),AND(BV36="",BV37&lt;&gt;""),AND(BV37="",BV36&lt;&gt;"")),"",BT36*1000+BU36*10+BV36)</f>
        <v>1015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55000000000000004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0</v>
      </c>
      <c r="W37" s="123">
        <f t="shared" si="4"/>
        <v>0</v>
      </c>
      <c r="X37" s="123">
        <f t="shared" si="9"/>
        <v>1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1</v>
      </c>
      <c r="BV37" s="27">
        <v>4</v>
      </c>
      <c r="BW37" s="112">
        <f>IF(BW36="","",BT37*1000+BU37*10+BV37)</f>
        <v>1014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4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4000</v>
      </c>
    </row>
    <row r="38" spans="1:96" x14ac:dyDescent="0.55000000000000004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3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4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8.7565573770491802</v>
      </c>
      <c r="AP38" s="123">
        <f>AO38*10000000+BI38*100+AM38/AM42*10+AI38/AI42*1++IF(AQ38=0,ROW(),AQ38)/2000000</f>
        <v>87565582.979704067</v>
      </c>
      <c r="AQ38" s="126">
        <f>VLOOKUP(AE38,db_fifarank,2,FALSE)</f>
        <v>1757.87</v>
      </c>
      <c r="AR38" s="125">
        <f>AP38/AP42</f>
        <v>0.99999998857998817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1</v>
      </c>
      <c r="AZ38" s="126">
        <f>AT38/AT42*1000+AU38/AU42*100+AY38/AY42*10+AV38/AV42</f>
        <v>3.333333333333333</v>
      </c>
      <c r="BA38" s="126">
        <f>AZ38/AZ42</f>
        <v>6.557377049180327E-3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>
        <v>4</v>
      </c>
      <c r="BO38" s="25"/>
      <c r="BP38" s="116">
        <f>IF(OR(BM38="",BM39="",AND(BN38="",BN39&lt;&gt;""),AND(BN39="",BN38&lt;&gt;""),AND(BO38="",BO39&lt;&gt;""),AND(BO39="",BO38&lt;&gt;"")),"",BM38*1000+BN38*10+BO38)</f>
        <v>3040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Croatia</v>
      </c>
      <c r="CO38" s="62">
        <v>3</v>
      </c>
      <c r="CP38" s="64"/>
      <c r="CQ38" s="27"/>
      <c r="CR38" s="111">
        <f>IF(CR37="","",CO38*1000+CP38*10+CQ38)</f>
        <v>3000</v>
      </c>
    </row>
    <row r="39" spans="1:96" x14ac:dyDescent="0.55000000000000004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7 - 4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1</v>
      </c>
      <c r="AN39" s="123">
        <f>AF39*3+AG39</f>
        <v>3</v>
      </c>
      <c r="AO39" s="123">
        <f>AN39/AN42*10+BA39</f>
        <v>4.7480327868852461</v>
      </c>
      <c r="AP39" s="123">
        <f>AO39*10000000+BI39*100+AM39/AM42*10+AI39/AI42*1++IF(AQ39=0,ROW(),AQ39)/2000000</f>
        <v>47480330.036349341</v>
      </c>
      <c r="AQ39" s="126">
        <f>VLOOKUP(AE39,db_fifarank,2,FALSE)</f>
        <v>1660.43</v>
      </c>
      <c r="AR39" s="125">
        <f>AP39/AP42</f>
        <v>0.54222592802389491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1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1</v>
      </c>
      <c r="AY39" s="126">
        <f>AX39-MIN(AX38:AX41)</f>
        <v>2</v>
      </c>
      <c r="AZ39" s="126">
        <f>AT39/AT42*1000+AU39/AU42*100+AY39/AY42*10+AV39/AV42</f>
        <v>507.33333333333337</v>
      </c>
      <c r="BA39" s="126">
        <f>AZ39/AZ42</f>
        <v>0.99803278688524588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3</v>
      </c>
      <c r="BN39" s="64">
        <v>3</v>
      </c>
      <c r="BO39" s="27"/>
      <c r="BP39" s="112">
        <f>IF(BP38="","",BM39*1000+BN39*10+BO39)</f>
        <v>3030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55000000000000004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0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6 - 6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6</v>
      </c>
      <c r="AL40" s="123">
        <f>AI40-AJ40</f>
        <v>0</v>
      </c>
      <c r="AM40" s="123">
        <f>AL40-AL42</f>
        <v>2</v>
      </c>
      <c r="AN40" s="123">
        <f>AF40*3+AG40</f>
        <v>4</v>
      </c>
      <c r="AO40" s="123">
        <f>AN40/AN42*10+BA40</f>
        <v>5.0065573770491802</v>
      </c>
      <c r="AP40" s="123">
        <f>AO40*10000000+BI40*100+AM40/AM42*10+AI40/AI42*1++IF(AQ40=0,ROW(),AQ40)/2000000</f>
        <v>50065577.854582518</v>
      </c>
      <c r="AQ40" s="126">
        <f>VLOOKUP(AE40,db_fifarank,2,FALSE)</f>
        <v>1514.77</v>
      </c>
      <c r="AR40" s="125">
        <f>AP40/AP42</f>
        <v>0.57174948854548502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1</v>
      </c>
      <c r="AZ40" s="126">
        <f>AT40/AT42*1000+AU40/AU42*100+AY40/AY42*10+AV40/AV42</f>
        <v>3.333333333333333</v>
      </c>
      <c r="BA40" s="126">
        <f>AZ40/AZ42</f>
        <v>6.557377049180327E-3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55000000000000004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3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0</v>
      </c>
      <c r="AN41" s="123">
        <f>AF41*3+AG41</f>
        <v>3</v>
      </c>
      <c r="AO41" s="123">
        <f>AN41/AN42*10+BA41</f>
        <v>3.7506557377049181</v>
      </c>
      <c r="AP41" s="123">
        <f>AO41*10000000+BI41*100+AM41/AM42*10+AI41/AI42*1++IF(AQ41=0,ROW(),AQ41)/2000000</f>
        <v>37506557.752790704</v>
      </c>
      <c r="AQ41" s="126">
        <f>VLOOKUP(AE41,db_fifarank,2,FALSE)</f>
        <v>1483.05</v>
      </c>
      <c r="AR41" s="125">
        <f>AP41/AP42</f>
        <v>0.42832533111963217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-1</v>
      </c>
      <c r="AY41" s="126">
        <f>AX41-MIN(AX38:AX41)</f>
        <v>0</v>
      </c>
      <c r="AZ41" s="126">
        <f>AT41/AT42*1000+AU41/AU42*100+AY41/AY42*10+AV41/AV42</f>
        <v>0.33333333333333331</v>
      </c>
      <c r="BA41" s="126">
        <f>AZ41/AZ42</f>
        <v>6.5573770491803268E-4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55000000000000004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1</v>
      </c>
      <c r="M42" s="36">
        <f>VLOOKUP(4,AD38:AN41,4,FALSE)</f>
        <v>0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3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1</v>
      </c>
      <c r="V42" s="123">
        <f t="shared" si="3"/>
        <v>1</v>
      </c>
      <c r="W42" s="123">
        <f t="shared" si="4"/>
        <v>2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9.7565573770491802</v>
      </c>
      <c r="AP42" s="123">
        <f>MAX(AP38:AP41)+1</f>
        <v>87565583.979704067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3</v>
      </c>
      <c r="AZ42" s="126">
        <f>MAX(AZ38:AZ41)+1</f>
        <v>508.33333333333337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Morocco</v>
      </c>
      <c r="BM42" s="61">
        <v>0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55000000000000004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55000000000000004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2</v>
      </c>
      <c r="AJ44" s="123">
        <f>SUMIF($E$7:$E$78,$AE44,$G$7:$G$78) + SUMIF($H$7:$H$78,$AE44,$F$7:$F$78)</f>
        <v>0</v>
      </c>
      <c r="AL44" s="123">
        <f>AI44-AJ44</f>
        <v>2</v>
      </c>
      <c r="AM44" s="123">
        <f>AL44-AL48</f>
        <v>4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87500008.500867352</v>
      </c>
      <c r="AQ44" s="126">
        <f>VLOOKUP(AE44,db_fifarank,2,FALSE)</f>
        <v>1734.71</v>
      </c>
      <c r="AR44" s="125">
        <f>AP44/AP48</f>
        <v>0.9999999885714298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Sweden</v>
      </c>
      <c r="BT44" s="61">
        <v>0</v>
      </c>
      <c r="BU44" s="63">
        <v>1</v>
      </c>
      <c r="BV44" s="25"/>
      <c r="BW44" s="112">
        <f>IF(OR(BT44="",BT45="",AND(BU44="",BU45&lt;&gt;""),AND(BU45="",BU44&lt;&gt;""),AND(BV44="",BV45&lt;&gt;""),AND(BV45="",BV44&lt;&gt;"")),"",BT44*1000+BU44*10+BV44)</f>
        <v>10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55000000000000004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2 - 0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3</v>
      </c>
      <c r="AN45" s="123">
        <f>AF45*3+AG45</f>
        <v>6</v>
      </c>
      <c r="AO45" s="123">
        <f>AN45/AN48*10+BA45</f>
        <v>7.5</v>
      </c>
      <c r="AP45" s="123">
        <f>AO45*10000000+BI45*100+AM45/AM48*10+AI45/AI48*1++IF(AQ45=0,ROW(),AQ45)/2000000</f>
        <v>75000006.750781626</v>
      </c>
      <c r="AQ45" s="126">
        <f>VLOOKUP(AE45,db_fifarank,2,FALSE)</f>
        <v>1563.24</v>
      </c>
      <c r="AR45" s="125">
        <f>AP45/AP48</f>
        <v>0.8571428412249279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>
        <v>0</v>
      </c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55000000000000004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0</v>
      </c>
      <c r="AN46" s="123">
        <f>AF46*3+AG46</f>
        <v>1</v>
      </c>
      <c r="AO46" s="123">
        <f>AN46/AN48*10+BA46</f>
        <v>1.25</v>
      </c>
      <c r="AP46" s="123">
        <f>AO46*10000000+BI46*100+AM46/AM48*10+AI46/AI48*1++IF(AQ46=0,ROW(),AQ46)/2000000</f>
        <v>12500000.25080765</v>
      </c>
      <c r="AQ46" s="126">
        <f>VLOOKUP(AE46,db_fifarank,2,FALSE)</f>
        <v>1615.3</v>
      </c>
      <c r="AR46" s="125">
        <f>AP46/AP48</f>
        <v>0.14285713021189722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>
        <v>0</v>
      </c>
      <c r="BO46" s="25">
        <v>4</v>
      </c>
      <c r="BP46" s="116">
        <f>IF(OR(BM46="",BM47="",AND(BN46="",BN47&lt;&gt;""),AND(BN47="",BN46&lt;&gt;""),AND(BO46="",BO47&lt;&gt;""),AND(BO47="",BO46&lt;&gt;"")),"",BM46*1000+BN46*10+BO46)</f>
        <v>4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55000000000000004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0 - 1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1</v>
      </c>
      <c r="AL47" s="123">
        <f>AI47-AJ47</f>
        <v>-1</v>
      </c>
      <c r="AM47" s="123">
        <f>AL47-AL48</f>
        <v>1</v>
      </c>
      <c r="AN47" s="123">
        <f>AF47*3+AG47</f>
        <v>2</v>
      </c>
      <c r="AO47" s="123">
        <f>AN47/AN48*10+BA47</f>
        <v>2.5</v>
      </c>
      <c r="AP47" s="123">
        <f>AO47*10000000+BI47*100+AM47/AM48*10+AI47/AI48*1++IF(AQ47=0,ROW(),AQ47)/2000000</f>
        <v>25000002.000640783</v>
      </c>
      <c r="AQ47" s="126">
        <f>VLOOKUP(AE47,db_fifarank,2,FALSE)</f>
        <v>1281.57</v>
      </c>
      <c r="AR47" s="125">
        <f>AP47/AP48</f>
        <v>0.28571427755551237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0</v>
      </c>
      <c r="BN47" s="64">
        <v>0</v>
      </c>
      <c r="BO47" s="27">
        <v>2</v>
      </c>
      <c r="BP47" s="112">
        <f>IF(BP46="","",BM47*1000+BN47*10+BO47)</f>
        <v>2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55000000000000004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1 - 3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4</v>
      </c>
      <c r="AL48" s="123">
        <f>MIN(AL44:AL47)</f>
        <v>-2</v>
      </c>
      <c r="AM48" s="123">
        <f>MAX(AM44:AM47)+1</f>
        <v>5</v>
      </c>
      <c r="AN48" s="123">
        <f>MAX(AN44:AN47)+1</f>
        <v>8</v>
      </c>
      <c r="AO48" s="123">
        <f>MAX(AO44:AO47)+1</f>
        <v>9.75</v>
      </c>
      <c r="AP48" s="123">
        <f>MAX(AP44:AP47)+1</f>
        <v>87500009.500867352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Sweden</v>
      </c>
      <c r="CA48" s="61">
        <v>2</v>
      </c>
      <c r="CB48" s="63">
        <v>2</v>
      </c>
      <c r="CC48" s="25"/>
      <c r="CD48" s="112">
        <f>IF(OR(CA48="",CA49="",AND(CB48="",CB49&lt;&gt;""),AND(CB49="",CB48&lt;&gt;""),AND(CC48="",CC49&lt;&gt;""),AND(CC49="",CC48&lt;&gt;"")),"",CA48*1000+CB48*10+CC48)</f>
        <v>2020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0</v>
      </c>
      <c r="CP48" s="63">
        <v>0</v>
      </c>
      <c r="CQ48" s="25">
        <v>3</v>
      </c>
      <c r="CR48" s="111">
        <f>IF(OR(CO48="",CO49="",AND(CP48="",CP49&lt;&gt;""),AND(CP49="",CP48&lt;&gt;""),AND(CQ48="",CQ49&lt;&gt;""),AND(CQ49="",CQ48&lt;&gt;"")),"",CO48*1000+CP48*10+CQ48)</f>
        <v>3</v>
      </c>
    </row>
    <row r="49" spans="1:96" x14ac:dyDescent="0.55000000000000004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2</v>
      </c>
      <c r="CB49" s="64">
        <v>4</v>
      </c>
      <c r="CC49" s="27"/>
      <c r="CD49" s="113">
        <f>IF(CD48="","",CA49*1000+CB49*10+CC49)</f>
        <v>2040</v>
      </c>
      <c r="CK49" s="114"/>
      <c r="CL49" s="115"/>
      <c r="CM49" s="132"/>
      <c r="CN49" s="26" t="str">
        <f>IF(CK55&gt;CK56,CG56,IF(CK55&lt;CK56,CG55,""))</f>
        <v>Switzerland</v>
      </c>
      <c r="CO49" s="62">
        <v>0</v>
      </c>
      <c r="CP49" s="64">
        <v>0</v>
      </c>
      <c r="CQ49" s="27">
        <v>2</v>
      </c>
      <c r="CR49" s="111">
        <f>IF(CR48="","",CO49*1000+CP49*10+CQ49)</f>
        <v>2</v>
      </c>
    </row>
    <row r="50" spans="1:96" x14ac:dyDescent="0.55000000000000004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90000009.875938207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>
        <v>2</v>
      </c>
      <c r="BO50" s="25"/>
      <c r="BP50" s="112">
        <f>IF(OR(BM50="",BM51="",AND(BN50="",BN51&lt;&gt;""),AND(BN51="",BN50&lt;&gt;""),AND(BO50="",BO51&lt;&gt;""),AND(BO51="",BO50&lt;&gt;"")),"",BM50*1000+BN50*10+BO50)</f>
        <v>1020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55000000000000004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</v>
      </c>
      <c r="AP51" s="123">
        <f>AO51*10000000+BI51*100+AM51/AM54*10+AI51/AI54*1++IF(AQ51=0,ROW(),AQ51)/2000000</f>
        <v>10000000.125683066</v>
      </c>
      <c r="AQ51" s="126">
        <f>VLOOKUP(AE51,db_fifarank,2,FALSE)</f>
        <v>1366.13</v>
      </c>
      <c r="AR51" s="125">
        <f>AP51/AP54</f>
        <v>0.11111109908050687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1</v>
      </c>
      <c r="BN51" s="64">
        <v>1</v>
      </c>
      <c r="BO51" s="27"/>
      <c r="BP51" s="113">
        <f>IF(BP50="","",BM51*1000+BN51*10+BO51)</f>
        <v>1010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55000000000000004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2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6</v>
      </c>
      <c r="AL52" s="123">
        <f>AI52-AJ52</f>
        <v>-2</v>
      </c>
      <c r="AM52" s="123">
        <f>AL52-AL54</f>
        <v>2</v>
      </c>
      <c r="AN52" s="123">
        <f>AF52*3+AG52</f>
        <v>2</v>
      </c>
      <c r="AO52" s="123">
        <f>AN52/AN54*10+BA52</f>
        <v>2</v>
      </c>
      <c r="AP52" s="123">
        <f>AO52*10000000+BI52*100+AM52/AM54*10+AI52/AI54*1++IF(AQ52=0,ROW(),AQ52)/2000000</f>
        <v>20000002.500710715</v>
      </c>
      <c r="AQ52" s="126">
        <f>VLOOKUP(AE52,db_fifarank,2,FALSE)</f>
        <v>1421.43</v>
      </c>
      <c r="AR52" s="125">
        <f>AP52/AP54</f>
        <v>0.2222222231537283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55000000000000004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4 - 6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5</v>
      </c>
      <c r="AN53" s="123">
        <f>AF53*3+AG53</f>
        <v>4</v>
      </c>
      <c r="AO53" s="123">
        <f>AN53/AN54*10+BA53</f>
        <v>4</v>
      </c>
      <c r="AP53" s="123">
        <f>AO53*10000000+BI53*100+AM53/AM54*10+AI53/AI54*1++IF(AQ53=0,ROW(),AQ53)/2000000</f>
        <v>40000005.625836536</v>
      </c>
      <c r="AQ53" s="126">
        <f>VLOOKUP(AE53,db_fifarank,2,FALSE)</f>
        <v>1673.07</v>
      </c>
      <c r="AR53" s="125">
        <f>AP53/AP54</f>
        <v>0.44444445324540138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55000000000000004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1 - 5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3</v>
      </c>
      <c r="AH54" s="123">
        <f t="shared" si="25"/>
        <v>3</v>
      </c>
      <c r="AI54" s="123">
        <f>MAX(AI50:AI53)+1</f>
        <v>8</v>
      </c>
      <c r="AL54" s="123">
        <f>MIN(AL50:AL53)</f>
        <v>-4</v>
      </c>
      <c r="AM54" s="123">
        <f>MAX(AM50:AM53)+1</f>
        <v>10</v>
      </c>
      <c r="AN54" s="123">
        <f>MAX(AN50:AN53)+1</f>
        <v>10</v>
      </c>
      <c r="AO54" s="123">
        <f>MAX(AO50:AO53)+1</f>
        <v>10</v>
      </c>
      <c r="AP54" s="123">
        <f>MAX(AP50:AP53)+1</f>
        <v>90000010.875938207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55000000000000004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Iraq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Croatia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55000000000000004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1</v>
      </c>
      <c r="AL56" s="123">
        <f>AI56-AJ56</f>
        <v>5</v>
      </c>
      <c r="AM56" s="123">
        <f>AL56-AL60</f>
        <v>11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87500010.024748176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Switzerland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55000000000000004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3</v>
      </c>
      <c r="G57" s="20">
        <v>3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6 - 1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4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0</v>
      </c>
      <c r="AH57" s="123">
        <f>COUNTIF($S$7:$T$78,"=" &amp; AE57 &amp; "_lose")</f>
        <v>3</v>
      </c>
      <c r="AI57" s="123">
        <f>SUMIF($E$7:$E$78,$AE57,$F$7:$F$78) + SUMIF($H$7:$H$78,$AE57,$G$7:$G$78)</f>
        <v>0</v>
      </c>
      <c r="AJ57" s="123">
        <f>SUMIF($E$7:$E$78,$AE57,$G$7:$G$78) + SUMIF($H$7:$H$78,$AE57,$F$7:$F$78)</f>
        <v>6</v>
      </c>
      <c r="AL57" s="123">
        <f>AI57-AJ57</f>
        <v>-6</v>
      </c>
      <c r="AM57" s="123">
        <f>AL57-AL60</f>
        <v>0</v>
      </c>
      <c r="AN57" s="123">
        <f>AF57*3+AG57</f>
        <v>0</v>
      </c>
      <c r="AO57" s="123">
        <f>AN57/AN60*10+BA57</f>
        <v>0</v>
      </c>
      <c r="AP57" s="123">
        <f>AO57*10000000+BI57*100+AM57/AM60*10+AI57/AI60*1++IF(AQ57=0,ROW(),AQ57)/2000000</f>
        <v>8.4449500000000001E-4</v>
      </c>
      <c r="AQ57" s="126">
        <f>VLOOKUP(AE57,db_fifarank,2,FALSE)</f>
        <v>1688.99</v>
      </c>
      <c r="AR57" s="125">
        <f>AP57/AP60</f>
        <v>9.6513702125265579E-12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55000000000000004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5 - 3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1</v>
      </c>
      <c r="AH58" s="123">
        <f>COUNTIF($S$7:$T$78,"=" &amp; AE58 &amp; "_lose")</f>
        <v>1</v>
      </c>
      <c r="AI58" s="123">
        <f>SUMIF($E$7:$E$78,$AE58,$F$7:$F$78) + SUMIF($H$7:$H$78,$AE58,$G$7:$G$78)</f>
        <v>4</v>
      </c>
      <c r="AJ58" s="123">
        <f>SUMIF($E$7:$E$78,$AE58,$G$7:$G$78) + SUMIF($H$7:$H$78,$AE58,$F$7:$F$78)</f>
        <v>5</v>
      </c>
      <c r="AL58" s="123">
        <f>AI58-AJ58</f>
        <v>-1</v>
      </c>
      <c r="AM58" s="123">
        <f>AL58-AL60</f>
        <v>5</v>
      </c>
      <c r="AN58" s="123">
        <f>AF58*3+AG58</f>
        <v>4</v>
      </c>
      <c r="AO58" s="123">
        <f>AN58/AN60*10+BA58</f>
        <v>5</v>
      </c>
      <c r="AP58" s="123">
        <f>AO58*10000000+BI58*100+AM58/AM60*10+AI58/AI60*1++IF(AQ58=0,ROW(),AQ58)/2000000</f>
        <v>50000004.738818809</v>
      </c>
      <c r="AQ58" s="126">
        <f>VLOOKUP(AE58,db_fifarank,2,FALSE)</f>
        <v>1447.14</v>
      </c>
      <c r="AR58" s="125">
        <f>AP58/AP60</f>
        <v>0.57142855358814748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>
        <v>3</v>
      </c>
      <c r="BO58" s="25">
        <v>4</v>
      </c>
      <c r="BP58" s="112">
        <f>IF(OR(BM58="",BM59="",AND(BN58="",BN59&lt;&gt;""),AND(BN59="",BN58&lt;&gt;""),AND(BO58="",BO59&lt;&gt;""),AND(BO59="",BO58&lt;&gt;"")),"",BM58*1000+BN58*10+BO58)</f>
        <v>3034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55000000000000004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8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62500007.381727852</v>
      </c>
      <c r="AQ59" s="126">
        <f>VLOOKUP(AE59,db_fifarank,2,FALSE)</f>
        <v>1550.94</v>
      </c>
      <c r="AR59" s="125">
        <f>AP59/AP60</f>
        <v>0.71428570865037477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3</v>
      </c>
      <c r="BN59" s="64">
        <v>3</v>
      </c>
      <c r="BO59" s="27">
        <v>3</v>
      </c>
      <c r="BP59" s="113">
        <f>IF(BP58="","",BM59*1000+BN59*10+BO59)</f>
        <v>3033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55000000000000004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Senegal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7</v>
      </c>
      <c r="AL60" s="123">
        <f>MIN(AL56:AL59)</f>
        <v>-6</v>
      </c>
      <c r="AM60" s="123">
        <f>MAX(AM56:AM59)+1</f>
        <v>12</v>
      </c>
      <c r="AN60" s="123">
        <f>MAX(AN56:AN59)+1</f>
        <v>8</v>
      </c>
      <c r="AO60" s="123">
        <f>MAX(AO56:AO59)+1</f>
        <v>9.75</v>
      </c>
      <c r="AP60" s="123">
        <f>MAX(AP56:AP59)+1</f>
        <v>87500011.024748176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55000000000000004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0</v>
      </c>
      <c r="W61" s="123">
        <f t="shared" si="22"/>
        <v>0</v>
      </c>
      <c r="X61" s="123">
        <f t="shared" si="9"/>
        <v>1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55000000000000004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3</v>
      </c>
      <c r="AL62" s="123">
        <f>AI62-AJ62</f>
        <v>4</v>
      </c>
      <c r="AM62" s="123">
        <f>AL62-AL66</f>
        <v>7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87500009.625937417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55000000000000004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7 - 3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1</v>
      </c>
      <c r="AN63" s="123">
        <f>AF63*3+AG63</f>
        <v>2</v>
      </c>
      <c r="AO63" s="123">
        <f>AN63/AN66*10+BA63</f>
        <v>2.5</v>
      </c>
      <c r="AP63" s="123">
        <f>AO63*10000000+BI63*100+AM63/AM66*10+AI63/AI66*1++IF(AQ63=0,ROW(),AQ63)/2000000</f>
        <v>25000001.625782128</v>
      </c>
      <c r="AQ63" s="126">
        <f>VLOOKUP(AE63,db_fifarank,2,FALSE)</f>
        <v>1564.26</v>
      </c>
      <c r="AR63" s="125">
        <f>AP63/AP66</f>
        <v>0.28571426959771634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55000000000000004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2 - 1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1</v>
      </c>
      <c r="AL64" s="123">
        <f>AI64-AJ64</f>
        <v>1</v>
      </c>
      <c r="AM64" s="123">
        <f>AL64-AL66</f>
        <v>4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62500005.250796728</v>
      </c>
      <c r="AQ64" s="126">
        <f>VLOOKUP(AE64,db_fifarank,2,FALSE)</f>
        <v>1593.45</v>
      </c>
      <c r="AR64" s="125">
        <f>AP64/AP66</f>
        <v>0.71428568755247668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55000000000000004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6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12500000.375695726</v>
      </c>
      <c r="AQ65" s="126">
        <f>VLOOKUP(AE65,db_fifarank,2,FALSE)</f>
        <v>1391.45</v>
      </c>
      <c r="AR65" s="125">
        <f>AP65/AP66</f>
        <v>0.14285712980234064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Switzerland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55000000000000004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3</v>
      </c>
      <c r="AI66" s="123">
        <f>MAX(AI62:AI65)+1</f>
        <v>8</v>
      </c>
      <c r="AL66" s="123">
        <f>MIN(AL62:AL65)</f>
        <v>-3</v>
      </c>
      <c r="AM66" s="123">
        <f>MAX(AM62:AM65)+1</f>
        <v>8</v>
      </c>
      <c r="AN66" s="123">
        <f>MAX(AN62:AN65)+1</f>
        <v>8</v>
      </c>
      <c r="AO66" s="123">
        <f>MAX(AO62:AO65)+1</f>
        <v>9.75</v>
      </c>
      <c r="AP66" s="123">
        <f>MAX(AP62:AP65)+1</f>
        <v>87500010.625937417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0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</v>
      </c>
      <c r="BQ66" s="112"/>
      <c r="BR66" s="21"/>
      <c r="BS66" s="21"/>
      <c r="BT66" s="21"/>
      <c r="BU66" s="21"/>
      <c r="BV66" s="21"/>
      <c r="BW66" s="114"/>
    </row>
    <row r="67" spans="1:95" x14ac:dyDescent="0.55000000000000004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>
        <v>0</v>
      </c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55000000000000004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0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Senegal_lose</v>
      </c>
      <c r="T68" s="127" t="str">
        <f t="shared" si="20"/>
        <v>Iraq_win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-1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90000009.966791004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>
        <v>1</v>
      </c>
      <c r="BV68" s="25">
        <v>4</v>
      </c>
      <c r="BW68" s="116">
        <f>IF(OR(BT68="",BT69="",AND(BU68="",BU69&lt;&gt;""),AND(BU69="",BU68&lt;&gt;""),AND(BV68="",BV69&lt;&gt;""),AND(BV69="",BV68&lt;&gt;"")),"",BT68*1000+BU68*10+BV68)</f>
        <v>1014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55000000000000004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3</v>
      </c>
      <c r="AL69" s="123">
        <f>AI69-AJ69</f>
        <v>-2</v>
      </c>
      <c r="AM69" s="123">
        <f>AL69-AL72</f>
        <v>2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20000001.943920992</v>
      </c>
      <c r="AQ69" s="126">
        <f>VLOOKUP(AE69,db_fifarank,2,FALSE)</f>
        <v>1478.35</v>
      </c>
      <c r="AR69" s="125">
        <f>AP69/AP72</f>
        <v>0.22222221674284873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>
        <v>1</v>
      </c>
      <c r="BV69" s="27">
        <v>3</v>
      </c>
      <c r="BW69" s="112">
        <f>IF(BW68="","",BT69*1000+BU69*10+BV69)</f>
        <v>1013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55000000000000004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4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10000000.00073267</v>
      </c>
      <c r="AQ70" s="126">
        <f>VLOOKUP(AE70,db_fifarank,2,FALSE)</f>
        <v>1465.34</v>
      </c>
      <c r="AR70" s="125">
        <f>AP70/AP72</f>
        <v>0.11111109758000538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55000000000000004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1 - 3</v>
      </c>
      <c r="P71" s="34">
        <f>L71*3+M71</f>
        <v>2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40000004.012210175</v>
      </c>
      <c r="AQ71" s="126">
        <f>VLOOKUP(AE71,db_fifarank,2,FALSE)</f>
        <v>1693.09</v>
      </c>
      <c r="AR71" s="125">
        <f>AP71/AP72</f>
        <v>0.44444443486756607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Australia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55000000000000004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0 - 4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8</v>
      </c>
      <c r="AL72" s="123">
        <f>MIN(AL68:AL71)</f>
        <v>-4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90000010.966791004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55000000000000004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55000000000000004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3</v>
      </c>
      <c r="AL74" s="123">
        <f>AI74-AJ74</f>
        <v>2</v>
      </c>
      <c r="AM74" s="123">
        <f>AL74-AL78</f>
        <v>5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97402067.503247246</v>
      </c>
      <c r="AQ74" s="126">
        <f>VLOOKUP(AE74,db_fifarank,2,FALSE)</f>
        <v>1825.97</v>
      </c>
      <c r="AR74" s="125">
        <f>AP74/AP78</f>
        <v>0.99999997164484999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3</v>
      </c>
      <c r="AW74" s="126" cm="1">
        <f t="array" ref="AW74">SUMPRODUCT(($E$7:$E$78=AE74)*($U$7:$U$78)*($G$7:$G$78))+SUMPRODUCT(($H$7:$H$78=AE74)*($U$7:$U$78)*($F$7:$F$78))</f>
        <v>3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3</v>
      </c>
      <c r="BE74" s="126" cm="1">
        <f t="array" ref="BE74">SUMPRODUCT(($E$7:$E$78=AE74)*($X$7:$X$78)*($G$7:$G$78))+SUMPRODUCT(($H$7:$H$78=AE74)*($X$7:$X$78)*($F$7:$F$78))</f>
        <v>3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55000000000000004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8 - 5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5</v>
      </c>
      <c r="AL75" s="123">
        <f>AI75-AJ75</f>
        <v>3</v>
      </c>
      <c r="AM75" s="123">
        <f>AL75-AL78</f>
        <v>6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97402069.265097558</v>
      </c>
      <c r="AQ75" s="126">
        <f>VLOOKUP(AE75,db_fifarank,2,FALSE)</f>
        <v>1717.07</v>
      </c>
      <c r="AR75" s="125">
        <f>AP75/AP78</f>
        <v>0.99999998973327775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3</v>
      </c>
      <c r="AW75" s="126" cm="1">
        <f t="array" ref="AW75">SUMPRODUCT(($E$7:$E$78=AE75)*($U$7:$U$78)*($G$7:$G$78))+SUMPRODUCT(($H$7:$H$78=AE75)*($U$7:$U$78)*($F$7:$F$78))</f>
        <v>3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3</v>
      </c>
      <c r="BE75" s="126" cm="1">
        <f t="array" ref="BE75">SUMPRODUCT(($E$7:$E$78=AE75)*($X$7:$X$78)*($G$7:$G$78))+SUMPRODUCT(($H$7:$H$78=AE75)*($X$7:$X$78)*($F$7:$F$78))</f>
        <v>3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 x14ac:dyDescent="0.55000000000000004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5 - 3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4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2.2336601307189543</v>
      </c>
      <c r="AP76" s="123">
        <f>AO76*10000000+BI76*100+AM76/AM78*10+AI76/AI78*1++IF(AQ76=0,ROW(),AQ76)/2000000</f>
        <v>22336699.784986883</v>
      </c>
      <c r="AQ76" s="126">
        <f>VLOOKUP(AE76,db_fifarank,2,FALSE)</f>
        <v>1346.31</v>
      </c>
      <c r="AR76" s="125">
        <f>AP76/AP78</f>
        <v>0.22932469221848639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100.33333333333333</v>
      </c>
      <c r="BA76" s="126">
        <f>AZ76/AZ78</f>
        <v>0.9836601307189542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100.33333333333333</v>
      </c>
      <c r="BI76" s="126">
        <f>BH76/BH78</f>
        <v>0.9836601307189542</v>
      </c>
    </row>
    <row r="77" spans="1:95" x14ac:dyDescent="0.55000000000000004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5</v>
      </c>
      <c r="AL77" s="123">
        <f>AI77-AJ77</f>
        <v>-2</v>
      </c>
      <c r="AM77" s="123">
        <f>AL77-AL78</f>
        <v>1</v>
      </c>
      <c r="AN77" s="123">
        <f>AF77*3+AG77</f>
        <v>1</v>
      </c>
      <c r="AO77" s="123">
        <f>AN77/AN78*10+BA77</f>
        <v>2.2336601307189543</v>
      </c>
      <c r="AP77" s="123">
        <f>AO77*10000000+BI77*100+AM77/AM78*10+AI77/AI78*1++IF(AQ77=0,ROW(),AQ77)/2000000</f>
        <v>22336701.435877696</v>
      </c>
      <c r="AQ77" s="126">
        <f>VLOOKUP(AE77,db_fifarank,2,FALSE)</f>
        <v>1540.64</v>
      </c>
      <c r="AR77" s="125">
        <f>AP77/AP78</f>
        <v>0.22932470916772379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100.33333333333333</v>
      </c>
      <c r="BA77" s="126">
        <f>AZ77/AZ78</f>
        <v>0.9836601307189542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100.33333333333333</v>
      </c>
      <c r="BI77" s="126">
        <f>BH77/BH78</f>
        <v>0.9836601307189542</v>
      </c>
    </row>
    <row r="78" spans="1:95" x14ac:dyDescent="0.55000000000000004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9</v>
      </c>
      <c r="AL78" s="123">
        <f>MIN(AL74:AL77)</f>
        <v>-3</v>
      </c>
      <c r="AM78" s="123">
        <f>MAX(AM74:AM77)+1</f>
        <v>7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97402070.265097558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102</v>
      </c>
    </row>
    <row r="79" spans="1:95" x14ac:dyDescent="0.55000000000000004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55000000000000004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2</v>
      </c>
      <c r="AN80" s="123">
        <f>VLOOKUP($AE80,$AE$8:$AQ$78,10,FALSE)</f>
        <v>4</v>
      </c>
      <c r="AP80" s="123">
        <f>AN80/AN92*10000+AM80/AM92*1000+AI80/AI92*100+IF(AQ80=0,ROW(),AQ80)/2000000</f>
        <v>8370.8340840233341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55000000000000004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7 - 4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8395.8341115733347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55000000000000004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7</v>
      </c>
      <c r="AJ82" s="123">
        <f t="shared" si="42"/>
        <v>4</v>
      </c>
      <c r="AK82" s="123" t="s">
        <v>3182</v>
      </c>
      <c r="AL82" s="123">
        <f t="shared" si="43"/>
        <v>3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8920.8340825083342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55000000000000004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6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1</v>
      </c>
      <c r="AN83" s="123">
        <f t="shared" si="45"/>
        <v>2</v>
      </c>
      <c r="AP83" s="123">
        <f>AN83/AN92*10000+AM83/AM92*1000+AI83/AI92*100+IF(AQ83=0,ROW(),AQ83)/2000000</f>
        <v>4204.1674570016667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55000000000000004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Iraq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4 - 5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0</v>
      </c>
      <c r="AN84" s="123">
        <f t="shared" si="45"/>
        <v>2</v>
      </c>
      <c r="AP84" s="123">
        <f>AN84/AN92*10000+AM84/AM92*1000+AI84/AI92*100+IF(AQ84=0,ROW(),AQ84)/2000000</f>
        <v>4012.5007664899999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55000000000000004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Japan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6216.6674968816669</v>
      </c>
      <c r="AQ85" s="126">
        <f t="shared" si="37"/>
        <v>1660.43</v>
      </c>
      <c r="AR85" s="125" t="str">
        <f t="shared" si="50"/>
        <v>ABCDF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55000000000000004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Ⓓ Australia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7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0</v>
      </c>
      <c r="AJ86" s="123">
        <f t="shared" si="42"/>
        <v>1</v>
      </c>
      <c r="AK86" s="123" t="s">
        <v>3187</v>
      </c>
      <c r="AL86" s="123">
        <f t="shared" si="43"/>
        <v>-1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4166.6673074516666</v>
      </c>
      <c r="AQ86" s="126">
        <f t="shared" si="37"/>
        <v>1281.57</v>
      </c>
      <c r="AR86" s="125" t="str">
        <f t="shared" si="50"/>
        <v>ABCDFG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55000000000000004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New Zealand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0 - 1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4</v>
      </c>
      <c r="AJ87" s="123">
        <f t="shared" si="42"/>
        <v>6</v>
      </c>
      <c r="AK87" s="123" t="s">
        <v>3188</v>
      </c>
      <c r="AL87" s="123">
        <f t="shared" si="43"/>
        <v>-2</v>
      </c>
      <c r="AM87" s="123">
        <f t="shared" si="44"/>
        <v>0</v>
      </c>
      <c r="AN87" s="123">
        <f t="shared" si="45"/>
        <v>2</v>
      </c>
      <c r="AP87" s="123">
        <f>AN87/AN92*10000+AM87/AM92*1000+AI87/AI92*100+IF(AQ87=0,ROW(),AQ87)/2000000</f>
        <v>4050.000710715</v>
      </c>
      <c r="AQ87" s="126">
        <f t="shared" si="37"/>
        <v>1421.43</v>
      </c>
      <c r="AR87" s="125" t="str">
        <f t="shared" si="50"/>
        <v>ABCDFGH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55000000000000004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4 - 6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4</v>
      </c>
      <c r="AE88" s="124" t="str">
        <f>J59</f>
        <v>Iraq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1</v>
      </c>
      <c r="AN88" s="123">
        <f t="shared" si="45"/>
        <v>4</v>
      </c>
      <c r="AP88" s="123">
        <f>AN88/AN92*10000+AM88/AM92*1000+AI88/AI92*100+IF(AQ88=0,ROW(),AQ88)/2000000</f>
        <v>8216.6673902366674</v>
      </c>
      <c r="AQ88" s="126">
        <f t="shared" si="37"/>
        <v>1447.14</v>
      </c>
      <c r="AR88" s="125" t="str">
        <f t="shared" si="50"/>
        <v>ABCDFGHI</v>
      </c>
      <c r="AS88" s="129" t="str">
        <f t="shared" si="46"/>
        <v>Iraq</v>
      </c>
      <c r="AT88" s="130" t="str">
        <f>"Ⓘ "&amp;AE88</f>
        <v>Ⓘ Iraq</v>
      </c>
    </row>
    <row r="89" spans="1:46" ht="15" customHeight="1" x14ac:dyDescent="0.55000000000000004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3 - 5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0</v>
      </c>
      <c r="AN89" s="123">
        <f t="shared" si="45"/>
        <v>2</v>
      </c>
      <c r="AP89" s="123">
        <f>AN89/AN92*10000+AM89/AM92*1000+AI89/AI92*100+IF(AQ89=0,ROW(),AQ89)/2000000</f>
        <v>4037.5007821300001</v>
      </c>
      <c r="AQ89" s="126">
        <f t="shared" si="37"/>
        <v>1564.26</v>
      </c>
      <c r="AR89" s="125" t="str">
        <f t="shared" si="50"/>
        <v>ABCDFGHI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55000000000000004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1</v>
      </c>
      <c r="AJ90" s="123">
        <f t="shared" si="42"/>
        <v>3</v>
      </c>
      <c r="AK90" s="123" t="s">
        <v>3191</v>
      </c>
      <c r="AL90" s="123">
        <f t="shared" si="43"/>
        <v>-2</v>
      </c>
      <c r="AM90" s="123">
        <f t="shared" si="44"/>
        <v>0</v>
      </c>
      <c r="AN90" s="123">
        <f t="shared" si="45"/>
        <v>2</v>
      </c>
      <c r="AP90" s="123">
        <f>AN90/AN92*10000+AM90/AM92*1000+AI90/AI92*100+IF(AQ90=0,ROW(),AQ90)/2000000</f>
        <v>4012.500739175</v>
      </c>
      <c r="AQ90" s="126">
        <f t="shared" si="37"/>
        <v>1478.35</v>
      </c>
      <c r="AR90" s="125" t="str">
        <f t="shared" si="50"/>
        <v>ABCDFGHI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55000000000000004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2037.5007703199999</v>
      </c>
      <c r="AQ91" s="126">
        <f t="shared" si="37"/>
        <v>1540.64</v>
      </c>
      <c r="AR91" s="125" t="str">
        <f t="shared" si="50"/>
        <v>ABCDFGHI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55000000000000004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Panama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8</v>
      </c>
      <c r="AJ92" s="123">
        <f>MAX(AJ80:AJ91)+1</f>
        <v>7</v>
      </c>
      <c r="AL92" s="123">
        <f>MIN(AL80:AL91)</f>
        <v>-2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55000000000000004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55000000000000004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55000000000000004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55000000000000004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55000000000000004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Paraguay</v>
      </c>
      <c r="T98" s="127" t="str" cm="1">
        <f t="array" ref="T98">IF(OR(S98="",S98="draw"),INDEX(T,97,lang),S98)</f>
        <v>Paraguay</v>
      </c>
    </row>
    <row r="102" spans="18:29" x14ac:dyDescent="0.55000000000000004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55000000000000004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Paraguay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Paraguay</v>
      </c>
    </row>
    <row r="107" spans="18:29" x14ac:dyDescent="0.55000000000000004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55000000000000004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015625" defaultRowHeight="14.4" x14ac:dyDescent="0.55000000000000004"/>
  <cols>
    <col min="1" max="1" width="2.41796875" style="82" customWidth="1"/>
    <col min="2" max="2" width="9.1015625" style="81"/>
    <col min="3" max="3" width="13.68359375" style="81" customWidth="1"/>
    <col min="4" max="11" width="9.41796875" style="81" customWidth="1"/>
    <col min="12" max="16384" width="9.1015625" style="82"/>
  </cols>
  <sheetData>
    <row r="1" spans="2:11" ht="8.25" customHeight="1" x14ac:dyDescent="0.55000000000000004"/>
    <row r="2" spans="2:11" ht="20.399999999999999" x14ac:dyDescent="0.55000000000000004">
      <c r="B2" s="108" t="s">
        <v>3193</v>
      </c>
    </row>
    <row r="3" spans="2:11" x14ac:dyDescent="0.55000000000000004">
      <c r="B3" s="109">
        <f>MATCH(C3,C6:C500,0)</f>
        <v>460</v>
      </c>
      <c r="C3" s="121" t="str">
        <f>'2026 World Cup'!AR91</f>
        <v>ABCDFGHI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55000000000000004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55000000000000004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55000000000000004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55000000000000004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55000000000000004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55000000000000004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55000000000000004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55000000000000004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55000000000000004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55000000000000004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55000000000000004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55000000000000004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55000000000000004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55000000000000004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55000000000000004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55000000000000004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55000000000000004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55000000000000004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55000000000000004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55000000000000004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55000000000000004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55000000000000004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55000000000000004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55000000000000004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55000000000000004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55000000000000004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55000000000000004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55000000000000004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55000000000000004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55000000000000004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55000000000000004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55000000000000004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55000000000000004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55000000000000004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55000000000000004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55000000000000004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55000000000000004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55000000000000004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55000000000000004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55000000000000004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55000000000000004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55000000000000004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55000000000000004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55000000000000004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55000000000000004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55000000000000004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55000000000000004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55000000000000004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55000000000000004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55000000000000004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55000000000000004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55000000000000004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55000000000000004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55000000000000004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55000000000000004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55000000000000004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55000000000000004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55000000000000004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55000000000000004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55000000000000004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55000000000000004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55000000000000004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55000000000000004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55000000000000004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55000000000000004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55000000000000004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55000000000000004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55000000000000004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55000000000000004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55000000000000004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55000000000000004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55000000000000004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55000000000000004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55000000000000004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55000000000000004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55000000000000004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55000000000000004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55000000000000004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55000000000000004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55000000000000004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55000000000000004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55000000000000004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55000000000000004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55000000000000004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55000000000000004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55000000000000004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55000000000000004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55000000000000004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55000000000000004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55000000000000004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55000000000000004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55000000000000004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55000000000000004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55000000000000004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55000000000000004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55000000000000004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55000000000000004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55000000000000004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55000000000000004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55000000000000004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55000000000000004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55000000000000004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55000000000000004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55000000000000004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55000000000000004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55000000000000004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55000000000000004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55000000000000004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55000000000000004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55000000000000004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55000000000000004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55000000000000004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55000000000000004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55000000000000004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55000000000000004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55000000000000004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55000000000000004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55000000000000004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55000000000000004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55000000000000004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55000000000000004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55000000000000004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55000000000000004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55000000000000004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55000000000000004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55000000000000004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55000000000000004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55000000000000004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55000000000000004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55000000000000004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55000000000000004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55000000000000004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55000000000000004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55000000000000004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55000000000000004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55000000000000004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55000000000000004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55000000000000004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55000000000000004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55000000000000004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55000000000000004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55000000000000004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55000000000000004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55000000000000004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55000000000000004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55000000000000004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55000000000000004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55000000000000004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55000000000000004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55000000000000004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55000000000000004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55000000000000004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55000000000000004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55000000000000004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55000000000000004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55000000000000004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55000000000000004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55000000000000004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55000000000000004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55000000000000004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55000000000000004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55000000000000004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55000000000000004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55000000000000004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55000000000000004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55000000000000004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55000000000000004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55000000000000004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55000000000000004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55000000000000004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55000000000000004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55000000000000004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55000000000000004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55000000000000004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55000000000000004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55000000000000004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55000000000000004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55000000000000004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55000000000000004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55000000000000004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55000000000000004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55000000000000004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55000000000000004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55000000000000004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55000000000000004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55000000000000004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55000000000000004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55000000000000004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55000000000000004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55000000000000004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55000000000000004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55000000000000004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55000000000000004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55000000000000004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55000000000000004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55000000000000004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55000000000000004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55000000000000004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55000000000000004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55000000000000004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55000000000000004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55000000000000004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55000000000000004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55000000000000004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55000000000000004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55000000000000004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55000000000000004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55000000000000004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55000000000000004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55000000000000004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55000000000000004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55000000000000004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55000000000000004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55000000000000004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55000000000000004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55000000000000004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55000000000000004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55000000000000004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55000000000000004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55000000000000004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55000000000000004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55000000000000004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55000000000000004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55000000000000004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55000000000000004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55000000000000004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55000000000000004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55000000000000004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55000000000000004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55000000000000004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55000000000000004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55000000000000004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55000000000000004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55000000000000004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55000000000000004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55000000000000004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55000000000000004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55000000000000004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55000000000000004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55000000000000004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55000000000000004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55000000000000004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55000000000000004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55000000000000004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55000000000000004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55000000000000004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55000000000000004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55000000000000004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55000000000000004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55000000000000004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55000000000000004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55000000000000004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55000000000000004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55000000000000004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55000000000000004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55000000000000004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55000000000000004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55000000000000004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55000000000000004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55000000000000004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55000000000000004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55000000000000004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55000000000000004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55000000000000004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55000000000000004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55000000000000004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55000000000000004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55000000000000004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55000000000000004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55000000000000004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55000000000000004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55000000000000004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55000000000000004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55000000000000004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55000000000000004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55000000000000004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55000000000000004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55000000000000004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55000000000000004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55000000000000004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55000000000000004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55000000000000004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55000000000000004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55000000000000004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55000000000000004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55000000000000004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55000000000000004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55000000000000004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55000000000000004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55000000000000004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55000000000000004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55000000000000004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55000000000000004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55000000000000004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55000000000000004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55000000000000004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55000000000000004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55000000000000004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55000000000000004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55000000000000004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55000000000000004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55000000000000004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55000000000000004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55000000000000004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55000000000000004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55000000000000004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55000000000000004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55000000000000004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55000000000000004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55000000000000004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55000000000000004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55000000000000004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55000000000000004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55000000000000004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55000000000000004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55000000000000004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55000000000000004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55000000000000004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55000000000000004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55000000000000004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55000000000000004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55000000000000004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55000000000000004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55000000000000004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55000000000000004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55000000000000004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55000000000000004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55000000000000004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55000000000000004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55000000000000004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55000000000000004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55000000000000004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55000000000000004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55000000000000004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55000000000000004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55000000000000004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55000000000000004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55000000000000004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55000000000000004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55000000000000004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55000000000000004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55000000000000004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55000000000000004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55000000000000004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55000000000000004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55000000000000004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55000000000000004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55000000000000004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55000000000000004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55000000000000004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55000000000000004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55000000000000004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55000000000000004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55000000000000004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55000000000000004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55000000000000004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55000000000000004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55000000000000004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55000000000000004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55000000000000004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55000000000000004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55000000000000004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55000000000000004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55000000000000004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55000000000000004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55000000000000004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55000000000000004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55000000000000004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55000000000000004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55000000000000004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55000000000000004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55000000000000004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55000000000000004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55000000000000004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55000000000000004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55000000000000004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55000000000000004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55000000000000004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55000000000000004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55000000000000004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55000000000000004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55000000000000004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55000000000000004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55000000000000004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55000000000000004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55000000000000004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55000000000000004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55000000000000004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55000000000000004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55000000000000004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55000000000000004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55000000000000004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55000000000000004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55000000000000004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55000000000000004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55000000000000004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55000000000000004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55000000000000004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55000000000000004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55000000000000004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55000000000000004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55000000000000004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55000000000000004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55000000000000004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55000000000000004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55000000000000004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55000000000000004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55000000000000004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55000000000000004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55000000000000004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55000000000000004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55000000000000004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55000000000000004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55000000000000004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55000000000000004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55000000000000004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55000000000000004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55000000000000004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55000000000000004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55000000000000004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55000000000000004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55000000000000004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55000000000000004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55000000000000004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55000000000000004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55000000000000004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55000000000000004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55000000000000004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55000000000000004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55000000000000004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55000000000000004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55000000000000004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55000000000000004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55000000000000004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55000000000000004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55000000000000004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55000000000000004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55000000000000004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55000000000000004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55000000000000004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55000000000000004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55000000000000004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55000000000000004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55000000000000004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55000000000000004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55000000000000004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55000000000000004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55000000000000004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55000000000000004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55000000000000004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55000000000000004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55000000000000004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55000000000000004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55000000000000004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55000000000000004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55000000000000004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55000000000000004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55000000000000004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55000000000000004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55000000000000004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55000000000000004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55000000000000004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55000000000000004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55000000000000004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55000000000000004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55000000000000004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55000000000000004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55000000000000004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55000000000000004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55000000000000004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55000000000000004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55000000000000004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55000000000000004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55000000000000004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55000000000000004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55000000000000004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55000000000000004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55000000000000004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55000000000000004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55000000000000004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55000000000000004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55000000000000004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55000000000000004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55000000000000004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55000000000000004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55000000000000004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55000000000000004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55000000000000004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55000000000000004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55000000000000004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55000000000000004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55000000000000004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55000000000000004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55000000000000004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55000000000000004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55000000000000004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Sandra Ebro</cp:lastModifiedBy>
  <cp:revision/>
  <dcterms:created xsi:type="dcterms:W3CDTF">2017-12-27T19:32:51Z</dcterms:created>
  <dcterms:modified xsi:type="dcterms:W3CDTF">2026-06-01T07:46:13Z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