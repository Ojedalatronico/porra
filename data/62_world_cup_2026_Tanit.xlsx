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65C10D0B-B3C4-4A25-A008-06F892F0720A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U103" i="3"/>
  <c r="T107" i="3"/>
  <c r="S111" i="3"/>
  <c r="T111" i="3" s="1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S103" i="3" s="1"/>
  <c r="T103" i="3" s="1" a="1"/>
  <c r="T103" i="3" s="1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K68" i="3" s="1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8" i="3"/>
  <c r="AR35" i="3"/>
  <c r="AR34" i="3"/>
  <c r="AR33" i="3"/>
  <c r="AR75" i="3" l="1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D53" i="3" s="1"/>
  <c r="AR46" i="3"/>
  <c r="AR15" i="3"/>
  <c r="AR45" i="3"/>
  <c r="AR63" i="3"/>
  <c r="AR47" i="3"/>
  <c r="AD44" i="3" s="1"/>
  <c r="AR64" i="3"/>
  <c r="AD62" i="3" s="1"/>
  <c r="AR39" i="3"/>
  <c r="AD56" i="3"/>
  <c r="AR16" i="3"/>
  <c r="AR17" i="3"/>
  <c r="AD14" i="3" s="1"/>
  <c r="AD59" i="3"/>
  <c r="M59" i="3" s="1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M58" i="3" l="1"/>
  <c r="AD63" i="3"/>
  <c r="AD71" i="3"/>
  <c r="AD29" i="3"/>
  <c r="AD76" i="3"/>
  <c r="AD74" i="3"/>
  <c r="AD69" i="3"/>
  <c r="AD39" i="3"/>
  <c r="L57" i="3"/>
  <c r="AD64" i="3"/>
  <c r="AD16" i="3"/>
  <c r="N17" i="3" s="1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4" i="3" s="1"/>
  <c r="N59" i="3"/>
  <c r="K59" i="3" s="1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53" i="3" l="1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P53" i="3" l="1"/>
  <c r="K23" i="3"/>
  <c r="AL82" i="3"/>
  <c r="AL92" i="3" s="1"/>
  <c r="AM88" i="3" s="1"/>
  <c r="AI87" i="3"/>
  <c r="AI92" i="3" s="1"/>
  <c r="K52" i="3"/>
  <c r="AJ92" i="3"/>
  <c r="AG92" i="3"/>
  <c r="AF92" i="3"/>
  <c r="AH92" i="3"/>
  <c r="AS92" i="3"/>
  <c r="AN92" i="3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<sst xmlns="http://schemas.openxmlformats.org/spreadsheetml/2006/main" count="9785" uniqueCount="3699">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</sst>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R30" zoomScaleNormal="100" workbookViewId="0">
      <selection activeCell="CN41" sqref="CN41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3167</v>
      </c>
      <c r="K5" s="159"/>
      <c r="L5" s="159"/>
      <c r="M5" s="159"/>
      <c r="N5" s="159"/>
      <c r="O5" s="159"/>
      <c r="P5" s="160"/>
    </row>
    <row r="6" spans="1:95" ht="15" customHeight="1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44" t="s">
        <v>3180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2</v>
      </c>
      <c r="AL8" s="123">
        <f>AI8-AJ8</f>
        <v>2</v>
      </c>
      <c r="AM8" s="123">
        <f>AL8-AL12</f>
        <v>7</v>
      </c>
      <c r="AN8" s="123">
        <f>AF8*3+AG8</f>
        <v>5</v>
      </c>
      <c r="AO8" s="123">
        <f>AN8/AN12*10+BA8</f>
        <v>9.3186991869918714</v>
      </c>
      <c r="AP8" s="123">
        <f>AO8*10000000+BI8*100+AM8/AM12*10+AI8/AI12*1++IF(AQ8=0,ROW(),AQ8)/2000000</f>
        <v>93187099.957344592</v>
      </c>
      <c r="AQ8" s="126">
        <f>VLOOKUP(AE8,db_fifarank,2,FALSE)</f>
        <v>1681.03</v>
      </c>
      <c r="AR8" s="125">
        <f>AP8/AP12</f>
        <v>0.9999999892689011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2</v>
      </c>
      <c r="AV8" s="126" cm="1">
        <f t="array" ref="AV8">SUMPRODUCT(($E$7:$E$78=AE8)*($U$7:$U$78)*($F$7:$F$78))+SUMPRODUCT(($H$7:$H$78=AE8)*($U$7:$U$78)*($G$7:$G$78))</f>
        <v>2</v>
      </c>
      <c r="AW8" s="126" cm="1">
        <f t="array" ref="AW8">SUMPRODUCT(($E$7:$E$78=AE8)*($U$7:$U$78)*($G$7:$G$78))+SUMPRODUCT(($H$7:$H$78=AE8)*($U$7:$U$78)*($F$7:$F$78))</f>
        <v>2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67.333333333333329</v>
      </c>
      <c r="BA8" s="126">
        <f>AZ8/AZ12</f>
        <v>0.98536585365853657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2</v>
      </c>
      <c r="BD8" s="126" cm="1">
        <f t="array" ref="BD8">SUMPRODUCT(($E$7:$E$78=AE8)*($X$7:$X$78)*($F$7:$F$78))+SUMPRODUCT(($H$7:$H$78=AE8)*($X$7:$X$78)*($G$7:$G$78))</f>
        <v>2</v>
      </c>
      <c r="BE8" s="126" cm="1">
        <f t="array" ref="BE8">SUMPRODUCT(($E$7:$E$78=AE8)*($X$7:$X$78)*($G$7:$G$78))+SUMPRODUCT(($H$7:$H$78=AE8)*($X$7:$X$78)*($F$7:$F$78))</f>
        <v>2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67.333333333333329</v>
      </c>
      <c r="BI8" s="126">
        <f>BH8/BH12</f>
        <v>0.98536585365853657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4 - 2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5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7.6712870414030998E-12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6</v>
      </c>
      <c r="AN10" s="123">
        <f>AF10*3+AG10</f>
        <v>5</v>
      </c>
      <c r="AO10" s="123">
        <f>AN10/AN12*10+BA10</f>
        <v>9.3186991869918714</v>
      </c>
      <c r="AP10" s="123">
        <f>AO10*10000000+BI10*100+AM10/AM12*10+AI10/AI12*1++IF(AQ10=0,ROW(),AQ10)/2000000</f>
        <v>93187098.50729841</v>
      </c>
      <c r="AQ10" s="126">
        <f>VLOOKUP(AE10,db_fifarank,2,FALSE)</f>
        <v>1588.66</v>
      </c>
      <c r="AR10" s="125">
        <f>AP10/AP12</f>
        <v>0.99999997370831206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2</v>
      </c>
      <c r="AW10" s="126" cm="1">
        <f t="array" ref="AW10">SUMPRODUCT(($E$7:$E$78=AE10)*($U$7:$U$78)*($G$7:$G$78))+SUMPRODUCT(($H$7:$H$78=AE10)*($U$7:$U$78)*($F$7:$F$78))</f>
        <v>2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67.333333333333329</v>
      </c>
      <c r="BA10" s="126">
        <f>AZ10/AZ12</f>
        <v>0.98536585365853657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2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67.333333333333329</v>
      </c>
      <c r="BI10" s="126">
        <f>BH10/BH12</f>
        <v>0.98536585365853657</v>
      </c>
      <c r="BK10" s="14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2</v>
      </c>
      <c r="N11" s="23">
        <f>VLOOKUP(3,AD8:AN11,5,FALSE)</f>
        <v>0</v>
      </c>
      <c r="O11" s="23" t="str">
        <f>VLOOKUP(3,AD8:AN11,6,FALSE) &amp; " - " &amp; VLOOKUP(3,AD8:AN11,7,FALSE)</f>
        <v>3 - 2</v>
      </c>
      <c r="P11" s="34">
        <f>L11*3+M11</f>
        <v>5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2</v>
      </c>
      <c r="AL11" s="123">
        <f>AI11-AJ11</f>
        <v>2</v>
      </c>
      <c r="AM11" s="123">
        <f>AL11-AL12</f>
        <v>7</v>
      </c>
      <c r="AN11" s="123">
        <f>AF11*3+AG11</f>
        <v>5</v>
      </c>
      <c r="AO11" s="123">
        <f>AN11/AN12*10+BA11</f>
        <v>9.3186991869918714</v>
      </c>
      <c r="AP11" s="123">
        <f>AO11*10000000+BI11*100+AM11/AM12*10+AI11/AI12*1++IF(AQ11=0,ROW(),AQ11)/2000000</f>
        <v>93187099.957254767</v>
      </c>
      <c r="AQ11" s="126">
        <f>VLOOKUP(AE11,db_fifarank,2,FALSE)</f>
        <v>1501.38</v>
      </c>
      <c r="AR11" s="125">
        <f>AP11/AP12</f>
        <v>0.99999998926793721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67.333333333333329</v>
      </c>
      <c r="BA11" s="126">
        <f>AZ11/AZ12</f>
        <v>0.98536585365853657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2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67.333333333333329</v>
      </c>
      <c r="BI11" s="126">
        <f>BH11/BH12</f>
        <v>0.98536585365853657</v>
      </c>
      <c r="BK11" s="142"/>
      <c r="BL11" s="26" t="str">
        <f>IF(group_round_completed,VLOOKUP('3rd places'!G3,AK80:AS91,9,FALSE),"3rd Group A/B/C/D/F")</f>
        <v>Paraguay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4</v>
      </c>
      <c r="AI12" s="123">
        <f>MAX(AI8:AI11)+1</f>
        <v>5</v>
      </c>
      <c r="AL12" s="123">
        <f>MIN(AL8:AL11)</f>
        <v>-5</v>
      </c>
      <c r="AM12" s="123">
        <f>MAX(AM8:AM11)+1</f>
        <v>8</v>
      </c>
      <c r="AN12" s="123">
        <f>MAX(AN8:AN11)+1</f>
        <v>6</v>
      </c>
      <c r="AO12" s="123">
        <f>MAX(AO8:AO11)+1</f>
        <v>10.318699186991871</v>
      </c>
      <c r="AP12" s="123">
        <f>MAX(AP8:AP11)+1</f>
        <v>93187100.957344592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68.333333333333329</v>
      </c>
      <c r="BB12" s="126">
        <f>MAX(BB8:BB11)-MIN(BB8:BB11)+1</f>
        <v>1</v>
      </c>
      <c r="BC12" s="126">
        <f>MAX(BC8:BC11)-MIN(BC8:BC11)+1</f>
        <v>3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68.333333333333329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8</v>
      </c>
      <c r="AN14" s="123">
        <f>AF14*3+AG14</f>
        <v>7</v>
      </c>
      <c r="AO14" s="123">
        <f>AN14/AN18*10+BA14</f>
        <v>9.7305825242718456</v>
      </c>
      <c r="AP14" s="123">
        <f>AO14*10000000+BI14*100+AM14/AM18*10+AI14/AI18*1++IF(AQ14=0,ROW(),AQ14)/2000000</f>
        <v>97305932.135082453</v>
      </c>
      <c r="AQ14" s="126">
        <f>VLOOKUP(AE14,db_fifarank,2,FALSE)</f>
        <v>1556.48</v>
      </c>
      <c r="AR14" s="125">
        <f>AP14/AP18</f>
        <v>0.99999997944579144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3</v>
      </c>
      <c r="AN15" s="123">
        <f>AF15*3+AG15</f>
        <v>3</v>
      </c>
      <c r="AO15" s="123">
        <f>AN15/AN18*10+BA15</f>
        <v>3.75</v>
      </c>
      <c r="AP15" s="123">
        <f>AO15*10000000+BI15*100+AM15/AM18*10+AI15/AI18*1++IF(AQ15=0,ROW(),AQ15)/2000000</f>
        <v>37500003.334026255</v>
      </c>
      <c r="AQ15" s="126">
        <f>VLOOKUP(AE15,db_fifarank,2,FALSE)</f>
        <v>1385.84</v>
      </c>
      <c r="AR15" s="125">
        <f>AP15/AP18</f>
        <v>0.38538249149275866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1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7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7.4762141329402094E-12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1</v>
      </c>
      <c r="AL17" s="123">
        <f>AI17-AJ17</f>
        <v>4</v>
      </c>
      <c r="AM17" s="123">
        <f>AL17-AL18</f>
        <v>9</v>
      </c>
      <c r="AN17" s="123">
        <f>AF17*3+AG17</f>
        <v>7</v>
      </c>
      <c r="AO17" s="123">
        <f>AN17/AN18*10+BA17</f>
        <v>9.7305825242718456</v>
      </c>
      <c r="AP17" s="123">
        <f>AO17*10000000+BI17*100+AM17/AM18*10+AI17/AI18*1++IF(AQ17=0,ROW(),AQ17)/2000000</f>
        <v>97305933.135128915</v>
      </c>
      <c r="AQ17" s="126">
        <f>VLOOKUP(AE17,db_fifarank,2,FALSE)</f>
        <v>1649.4</v>
      </c>
      <c r="AR17" s="125">
        <f>AP17/AP18</f>
        <v>0.99999998972313442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8</v>
      </c>
      <c r="AO18" s="123">
        <f>MAX(AO14:AO17)+1</f>
        <v>10.730582524271846</v>
      </c>
      <c r="AP18" s="123">
        <f>MAX(AP14:AP17)+1</f>
        <v>97305934.135128915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4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2</v>
      </c>
      <c r="BN19" s="64"/>
      <c r="BO19" s="27"/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90000010.26476948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3</v>
      </c>
      <c r="AL21" s="123">
        <f>AI21-AJ21</f>
        <v>3</v>
      </c>
      <c r="AM21" s="123">
        <f>AL21-AL24</f>
        <v>11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60000007.542544596</v>
      </c>
      <c r="AQ21" s="126">
        <f>VLOOKUP(AE21,db_fifarank,2,FALSE)</f>
        <v>1755.87</v>
      </c>
      <c r="AR21" s="125">
        <f>AP21/AP24</f>
        <v>0.66666666702998079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7.176165768468298E-12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5</v>
      </c>
      <c r="AL23" s="123">
        <f>AI23-AJ23</f>
        <v>-2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30000004.084082507</v>
      </c>
      <c r="AQ23" s="126">
        <f>VLOOKUP(AE23,db_fifarank,2,FALSE)</f>
        <v>1498.35</v>
      </c>
      <c r="AR23" s="125">
        <f>AP23/AP24</f>
        <v>0.33333333699065892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-8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90000011.26476948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3</v>
      </c>
      <c r="AL26" s="123">
        <f>AI26-AJ26</f>
        <v>2</v>
      </c>
      <c r="AM26" s="123">
        <f>AL26-AL30</f>
        <v>5</v>
      </c>
      <c r="AN26" s="123">
        <f>AF26*3+AG26</f>
        <v>7</v>
      </c>
      <c r="AO26" s="123">
        <f>AN26/AN30*10+BA26</f>
        <v>9.7305825242718456</v>
      </c>
      <c r="AP26" s="123">
        <f>AO26*10000000+BI26*100+AM26/AM30*10+AI26/AI30*1++IF(AQ26=0,ROW(),AQ26)/2000000</f>
        <v>97305932.468474105</v>
      </c>
      <c r="AQ26" s="126">
        <f>VLOOKUP(AE26,db_fifarank,2,FALSE)</f>
        <v>1673.13</v>
      </c>
      <c r="AR26" s="125">
        <f>AP26/AP30</f>
        <v>0.99999998972313442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41">
        <v>83</v>
      </c>
      <c r="BL26" s="24" t="str">
        <f>AS69</f>
        <v>Portugal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5</v>
      </c>
      <c r="AL27" s="123">
        <f>AI27-AJ27</f>
        <v>-1</v>
      </c>
      <c r="AM27" s="123">
        <f>AL27-AL30</f>
        <v>2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37500004.000751749</v>
      </c>
      <c r="AQ27" s="126">
        <f>VLOOKUP(AE27,db_fifarank,2,FALSE)</f>
        <v>1503.5</v>
      </c>
      <c r="AR27" s="125">
        <f>AP27/AP30</f>
        <v>0.38538250098490939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5 - 3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0.50079033500000003</v>
      </c>
      <c r="AQ28" s="126">
        <f>VLOOKUP(AE28,db_fifarank,2,FALSE)</f>
        <v>1580.67</v>
      </c>
      <c r="AR28" s="125">
        <f>AP28/AP30</f>
        <v>5.1465549648341824E-9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3</v>
      </c>
      <c r="AL29" s="123">
        <f>AI29-AJ29</f>
        <v>2</v>
      </c>
      <c r="AM29" s="123">
        <f>AL29-AL30</f>
        <v>5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97305932.468437061</v>
      </c>
      <c r="AQ29" s="126">
        <f>VLOOKUP(AE29,db_fifarank,2,FALSE)</f>
        <v>1599.04</v>
      </c>
      <c r="AR29" s="125">
        <f>AP29/AP30</f>
        <v>0.99999998972275372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6</v>
      </c>
      <c r="AL30" s="123">
        <f>MIN(AL26:AL29)</f>
        <v>-3</v>
      </c>
      <c r="AM30" s="123">
        <f>MAX(AM26:AM29)+1</f>
        <v>6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97305933.468474105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90000010.223087415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7.1924991030883763E-12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9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49805929.746181808</v>
      </c>
      <c r="AQ34" s="126">
        <f>VLOOKUP(AE34,db_fifarank,2,FALSE)</f>
        <v>1532.98</v>
      </c>
      <c r="AR34" s="125">
        <f>AP34/AP36</f>
        <v>0.55339915039260856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9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49805929.746212706</v>
      </c>
      <c r="AQ35" s="126">
        <f>VLOOKUP(AE35,db_fifarank,2,FALSE)</f>
        <v>1594.78</v>
      </c>
      <c r="AR35" s="125">
        <f>AP35/AP36</f>
        <v>0.55339915039295184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Algeria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-8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90000011.223087415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1</v>
      </c>
      <c r="AL38" s="123">
        <f>AI38-AJ38</f>
        <v>6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90000010.042545602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3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49805927.84346775</v>
      </c>
      <c r="AQ39" s="126">
        <f>VLOOKUP(AE39,db_fifarank,2,FALSE)</f>
        <v>1660.43</v>
      </c>
      <c r="AR39" s="125">
        <f>AP39/AP42</f>
        <v>0.55339913036147348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3</v>
      </c>
      <c r="AL40" s="123">
        <f>AI40-AJ40</f>
        <v>-1</v>
      </c>
      <c r="AM40" s="123">
        <f>AL40-AL42</f>
        <v>4</v>
      </c>
      <c r="AN40" s="123">
        <f>AF40*3+AG40</f>
        <v>4</v>
      </c>
      <c r="AO40" s="123">
        <f>AN40/AN42*10+BA40</f>
        <v>4.9805825242718447</v>
      </c>
      <c r="AP40" s="123">
        <f>AO40*10000000+BI40*100+AM40/AM42*10+AI40/AI42*1++IF(AQ40=0,ROW(),AQ40)/2000000</f>
        <v>49805926.885061584</v>
      </c>
      <c r="AQ40" s="126">
        <f>VLOOKUP(AE40,db_fifarank,2,FALSE)</f>
        <v>1514.77</v>
      </c>
      <c r="AR40" s="125">
        <f>AP40/AP42</f>
        <v>0.55339911971251743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2 - 3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8.239165655762638E-12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-5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90000011.042545602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2</v>
      </c>
      <c r="AL44" s="123">
        <f>AI44-AJ44</f>
        <v>5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90000010.106636584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8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49805929.955598637</v>
      </c>
      <c r="AQ45" s="126">
        <f>VLOOKUP(AE45,db_fifarank,2,FALSE)</f>
        <v>1563.24</v>
      </c>
      <c r="AR45" s="125">
        <f>AP45/AP48</f>
        <v>0.55339915343550394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3</v>
      </c>
      <c r="AL46" s="123">
        <f>AI46-AJ46</f>
        <v>1</v>
      </c>
      <c r="AM46" s="123">
        <f>AL46-AL48</f>
        <v>8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49805929.95562467</v>
      </c>
      <c r="AQ46" s="126">
        <f>VLOOKUP(AE46,db_fifarank,2,FALSE)</f>
        <v>1615.3</v>
      </c>
      <c r="AR46" s="125">
        <f>AP46/AP48</f>
        <v>0.55339915343579316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4 - 3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7</v>
      </c>
      <c r="AL47" s="123">
        <f>AI47-AJ47</f>
        <v>-7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7.119832454695648E-12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8</v>
      </c>
      <c r="AL48" s="123">
        <f>MIN(AL44:AL47)</f>
        <v>-7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90000011.106636584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Croatia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14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90000010.234271541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19805923.401653942</v>
      </c>
      <c r="AQ51" s="126">
        <f>VLOOKUP(AE51,db_fifarank,2,FALSE)</f>
        <v>1366.13</v>
      </c>
      <c r="AR51" s="125">
        <f>AP51/AP54</f>
        <v>0.22006578810416802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6</v>
      </c>
      <c r="AL52" s="123">
        <f>AI52-AJ52</f>
        <v>-5</v>
      </c>
      <c r="AM52" s="123">
        <f>AL52-AL54</f>
        <v>1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19805924.068348259</v>
      </c>
      <c r="AQ52" s="126">
        <f>VLOOKUP(AE52,db_fifarank,2,FALSE)</f>
        <v>1421.43</v>
      </c>
      <c r="AR52" s="125">
        <f>AP52/AP54</f>
        <v>0.22006579551188171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2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60000006.500836536</v>
      </c>
      <c r="AQ53" s="126">
        <f>VLOOKUP(AE53,db_fifarank,2,FALSE)</f>
        <v>1673.07</v>
      </c>
      <c r="AR53" s="125">
        <f>AP53/AP54</f>
        <v>0.66666665568135886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Croatia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4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1 - 7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10</v>
      </c>
      <c r="AL54" s="123">
        <f>MIN(AL50:AL53)</f>
        <v>-6</v>
      </c>
      <c r="AM54" s="123">
        <f>MAX(AM50:AM53)+1</f>
        <v>15</v>
      </c>
      <c r="AN54" s="123">
        <f>MAX(AN50:AN53)+1</f>
        <v>10</v>
      </c>
      <c r="AO54" s="123">
        <f>MAX(AO50:AO53)+1</f>
        <v>10</v>
      </c>
      <c r="AP54" s="123">
        <f>MAX(AP50:AP53)+1</f>
        <v>90000011.234271541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8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49805929.955661513</v>
      </c>
      <c r="AQ57" s="126">
        <f>VLOOKUP(AE57,db_fifarank,2,FALSE)</f>
        <v>1688.99</v>
      </c>
      <c r="AR57" s="125">
        <f>AP57/AP60</f>
        <v>0.55339915343576418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1</v>
      </c>
      <c r="V59" s="123">
        <f t="shared" si="21"/>
        <v>1</v>
      </c>
      <c r="W59" s="123">
        <f t="shared" si="22"/>
        <v>1</v>
      </c>
      <c r="X59" s="123">
        <f t="shared" si="9"/>
        <v>1</v>
      </c>
      <c r="Y59" s="123">
        <f t="shared" si="10"/>
        <v>1</v>
      </c>
      <c r="Z59" s="123">
        <f t="shared" si="11"/>
        <v>1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49805929.955592491</v>
      </c>
      <c r="AQ59" s="126">
        <f>VLOOKUP(AE59,db_fifarank,2,FALSE)</f>
        <v>1550.94</v>
      </c>
      <c r="AR59" s="125">
        <f>AP59/AP60</f>
        <v>0.55339915343499724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2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5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49805927.481240183</v>
      </c>
      <c r="AQ63" s="126">
        <f>VLOOKUP(AE63,db_fifarank,2,FALSE)</f>
        <v>1564.26</v>
      </c>
      <c r="AR63" s="125">
        <f>AP63/AP66</f>
        <v>0.55339912585680362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49805929.130827427</v>
      </c>
      <c r="AQ64" s="126">
        <f>VLOOKUP(AE64,db_fifarank,2,FALSE)</f>
        <v>1593.45</v>
      </c>
      <c r="AR64" s="125">
        <f>AP64/AP66</f>
        <v>0.55339914418554859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6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7.7302768226079773E-12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Colombia</v>
      </c>
      <c r="CA65" s="62">
        <v>0</v>
      </c>
      <c r="CB65" s="64"/>
      <c r="CC65" s="27"/>
      <c r="CD65" s="112">
        <f>IF(CD64="","",CA65*1000+CB65*10+CC65)</f>
        <v>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0 - 6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1</v>
      </c>
      <c r="AL68" s="123">
        <f>AI68-AJ68</f>
        <v>5</v>
      </c>
      <c r="AM68" s="123">
        <f>AL68-AL72</f>
        <v>12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97402069.042898715</v>
      </c>
      <c r="AQ68" s="126">
        <f>VLOOKUP(AE68,db_fifarank,2,FALSE)</f>
        <v>1763.83</v>
      </c>
      <c r="AR68" s="125">
        <f>AP68/AP72</f>
        <v>0.99999998011877411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8</v>
      </c>
      <c r="AL69" s="123">
        <f>AI69-AJ69</f>
        <v>-7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22402059.915771857</v>
      </c>
      <c r="AQ69" s="126">
        <f>VLOOKUP(AE69,db_fifarank,2,FALSE)</f>
        <v>1478.35</v>
      </c>
      <c r="AR69" s="125">
        <f>AP69/AP72</f>
        <v>0.22999572483953007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Colombia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6 - 1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6</v>
      </c>
      <c r="AL70" s="123">
        <f>AI70-AJ70</f>
        <v>-4</v>
      </c>
      <c r="AM70" s="123">
        <f>AL70-AL72</f>
        <v>3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22402062.169733606</v>
      </c>
      <c r="AQ70" s="126">
        <f>VLOOKUP(AE70,db_fifarank,2,FALSE)</f>
        <v>1465.34</v>
      </c>
      <c r="AR70" s="125">
        <f>AP70/AP72</f>
        <v>0.2299957479803291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41">
        <v>87</v>
      </c>
      <c r="BL70" s="24" t="str">
        <f>AS68</f>
        <v>Colombia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2 - 6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8</v>
      </c>
      <c r="AJ71" s="123">
        <f>SUMIF($E$7:$E$78,$AE71,$G$7:$G$78) + SUMIF($H$7:$H$78,$AE71,$F$7:$F$78)</f>
        <v>2</v>
      </c>
      <c r="AL71" s="123">
        <f>AI71-AJ71</f>
        <v>6</v>
      </c>
      <c r="AM71" s="123">
        <f>AL71-AL72</f>
        <v>13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97402069.979371294</v>
      </c>
      <c r="AQ71" s="126">
        <f>VLOOKUP(AE71,db_fifarank,2,FALSE)</f>
        <v>1693.09</v>
      </c>
      <c r="AR71" s="125">
        <f>AP71/AP72</f>
        <v>0.99999998973327786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42"/>
      <c r="BL71" s="26" t="str">
        <f>IF(group_round_completed,VLOOKUP('3rd places'!J3,AK80:AS91,9,FALSE),"3rd Group D/E/I/J/L")</f>
        <v>Ivory Coast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1 - 8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9</v>
      </c>
      <c r="AL72" s="123">
        <f>MIN(AL68:AL71)</f>
        <v>-7</v>
      </c>
      <c r="AM72" s="123">
        <f>MAX(AM68:AM71)+1</f>
        <v>14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97402070.979371294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102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9</v>
      </c>
      <c r="AN74" s="123">
        <f>AF74*3+AG74</f>
        <v>7</v>
      </c>
      <c r="AO74" s="123">
        <f>AN74/AN78*10+BA74</f>
        <v>9.7401960784313726</v>
      </c>
      <c r="AP74" s="123">
        <f>AO74*10000000+BI74*100+AM74/AM78*10+AI74/AI78*1++IF(AQ74=0,ROW(),AQ74)/2000000</f>
        <v>97402068.700938448</v>
      </c>
      <c r="AQ74" s="126">
        <f>VLOOKUP(AE74,db_fifarank,2,FALSE)</f>
        <v>1825.97</v>
      </c>
      <c r="AR74" s="125">
        <f>AP74/AP78</f>
        <v>0.99999997893377857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101</v>
      </c>
      <c r="BA74" s="126">
        <f>AZ74/AZ78</f>
        <v>0.99019607843137258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101</v>
      </c>
      <c r="BI74" s="126">
        <f>BH74/BH78</f>
        <v>0.99019607843137258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1</v>
      </c>
      <c r="AL75" s="123">
        <f>AI75-AJ75</f>
        <v>5</v>
      </c>
      <c r="AM75" s="123">
        <f>AL75-AL78</f>
        <v>10</v>
      </c>
      <c r="AN75" s="123">
        <f>AF75*3+AG75</f>
        <v>7</v>
      </c>
      <c r="AO75" s="123">
        <f>AN75/AN78*10+BA75</f>
        <v>9.7401960784313726</v>
      </c>
      <c r="AP75" s="123">
        <f>AO75*10000000+BI75*100+AM75/AM78*10+AI75/AI78*1++IF(AQ75=0,ROW(),AQ75)/2000000</f>
        <v>97402069.75283204</v>
      </c>
      <c r="AQ75" s="126">
        <f>VLOOKUP(AE75,db_fifarank,2,FALSE)</f>
        <v>1717.07</v>
      </c>
      <c r="AR75" s="125">
        <f>AP75/AP78</f>
        <v>0.99999998973327786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101</v>
      </c>
      <c r="BA75" s="126">
        <f>AZ75/AZ78</f>
        <v>0.99019607843137258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101</v>
      </c>
      <c r="BI75" s="126">
        <f>BH75/BH78</f>
        <v>0.99019607843137258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5 - 1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6</v>
      </c>
      <c r="AL76" s="123">
        <f>AI76-AJ76</f>
        <v>-5</v>
      </c>
      <c r="AM76" s="123">
        <f>AL76-AL78</f>
        <v>0</v>
      </c>
      <c r="AN76" s="123">
        <f>AF76*3+AG76</f>
        <v>1</v>
      </c>
      <c r="AO76" s="123">
        <f>AN76/AN78*10+BA76</f>
        <v>2.2401960784313726</v>
      </c>
      <c r="AP76" s="123">
        <f>AO76*10000000+BI76*100+AM76/AM78*10+AI76/AI78*1++IF(AQ76=0,ROW(),AQ76)/2000000</f>
        <v>22402059.947451867</v>
      </c>
      <c r="AQ76" s="126">
        <f>VLOOKUP(AE76,db_fifarank,2,FALSE)</f>
        <v>1346.31</v>
      </c>
      <c r="AR76" s="125">
        <f>AP76/AP78</f>
        <v>0.22999572569970758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101</v>
      </c>
      <c r="BA76" s="126">
        <f>AZ76/AZ78</f>
        <v>0.99019607843137258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101</v>
      </c>
      <c r="BI76" s="126">
        <f>BH76/BH78</f>
        <v>0.99019607843137258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1 - 5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5</v>
      </c>
      <c r="AL77" s="123">
        <f>AI77-AJ77</f>
        <v>-4</v>
      </c>
      <c r="AM77" s="123">
        <f>AL77-AL78</f>
        <v>1</v>
      </c>
      <c r="AN77" s="123">
        <f>AF77*3+AG77</f>
        <v>1</v>
      </c>
      <c r="AO77" s="123">
        <f>AN77/AN78*10+BA77</f>
        <v>2.2401960784313726</v>
      </c>
      <c r="AP77" s="123">
        <f>AO77*10000000+BI77*100+AM77/AM78*10+AI77/AI78*1++IF(AQ77=0,ROW(),AQ77)/2000000</f>
        <v>22402060.85663994</v>
      </c>
      <c r="AQ77" s="126">
        <f>VLOOKUP(AE77,db_fifarank,2,FALSE)</f>
        <v>1540.64</v>
      </c>
      <c r="AR77" s="125">
        <f>AP77/AP78</f>
        <v>0.22999573503408893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101</v>
      </c>
      <c r="BA77" s="126">
        <f>AZ77/AZ78</f>
        <v>0.99019607843137258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101</v>
      </c>
      <c r="BI77" s="126">
        <f>BH77/BH78</f>
        <v>0.99019607843137258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7</v>
      </c>
      <c r="AL78" s="123">
        <f>MIN(AL74:AL77)</f>
        <v>-5</v>
      </c>
      <c r="AM78" s="123">
        <f>MAX(AM74:AM77)+1</f>
        <v>11</v>
      </c>
      <c r="AN78" s="123">
        <f>MAX(AN74:AN77)+1</f>
        <v>8</v>
      </c>
      <c r="AO78" s="123">
        <f>MAX(AO74:AO77)+1</f>
        <v>10.740196078431373</v>
      </c>
      <c r="AP78" s="123">
        <f>MAX(AP74:AP77)+1</f>
        <v>97402070.75283204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102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102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2</v>
      </c>
      <c r="AH80" s="123">
        <f>VLOOKUP($AE80,$AE$8:$AQ$78,4,FALSE)</f>
        <v>0</v>
      </c>
      <c r="AI80" s="123">
        <f>VLOOKUP($AE80,$AE$8:$AQ$78,5,FALSE)</f>
        <v>3</v>
      </c>
      <c r="AJ80" s="123">
        <f>VLOOKUP($AE80,$AE$8:$AQ$78,6,FALSE)</f>
        <v>2</v>
      </c>
      <c r="AK80" s="123" t="s">
        <v>3181</v>
      </c>
      <c r="AL80" s="123">
        <f>VLOOKUP($AE80,$AE$8:$AQ$78,8,FALSE)</f>
        <v>1</v>
      </c>
      <c r="AM80" s="123">
        <f>AL80-$AL$92</f>
        <v>6</v>
      </c>
      <c r="AN80" s="123">
        <f>VLOOKUP($AE80,$AE$8:$AQ$78,10,FALSE)</f>
        <v>5</v>
      </c>
      <c r="AP80" s="123">
        <f>AN80/AN92*10000+AM80/AM92*1000+AI80/AI92*100+IF(AQ80=0,ROW(),AQ80)/2000000</f>
        <v>9250.4769848061915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Korea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3 - 2</v>
      </c>
      <c r="P81" s="98">
        <f>L81*3+M81</f>
        <v>5</v>
      </c>
      <c r="AD81" s="123">
        <f t="shared" ref="AD81:AD91" si="38">COUNTIF($AP$80:$AP$91,CONCATENATE("&gt;=",AP81))</f>
        <v>9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3182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5468.5721214914283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Ⓖ Egypt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5</v>
      </c>
      <c r="AK82" s="123" t="s">
        <v>3183</v>
      </c>
      <c r="AL82" s="123">
        <f t="shared" si="43"/>
        <v>-2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5488.5721777464287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32" t="s">
        <v>3184</v>
      </c>
      <c r="D83" s="133"/>
      <c r="E83" s="133"/>
      <c r="F83" s="133"/>
      <c r="G83" s="134"/>
      <c r="H83" s="75"/>
      <c r="I83" s="69"/>
      <c r="J83" s="99" t="str">
        <f>VLOOKUP(3,$AD$80:$AT$91,17,FALSE)</f>
        <v>Ⓘ Norway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7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3185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5651.4293231785714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3</v>
      </c>
      <c r="AK84" s="123" t="s">
        <v>3186</v>
      </c>
      <c r="AL84" s="123">
        <f t="shared" si="43"/>
        <v>1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7603.8102902995233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3 - 4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3</v>
      </c>
      <c r="AK85" s="123" t="s">
        <v>3187</v>
      </c>
      <c r="AL85" s="123">
        <f t="shared" si="43"/>
        <v>-1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7278.0959954802374</v>
      </c>
      <c r="AQ85" s="126">
        <f t="shared" si="37"/>
        <v>1514.77</v>
      </c>
      <c r="AR85" s="125" t="str">
        <f t="shared" si="50"/>
        <v>ACDEF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2 - 3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2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3</v>
      </c>
      <c r="AK86" s="123" t="s">
        <v>3188</v>
      </c>
      <c r="AL86" s="123">
        <f t="shared" si="43"/>
        <v>1</v>
      </c>
      <c r="AM86" s="123">
        <f t="shared" si="44"/>
        <v>6</v>
      </c>
      <c r="AN86" s="123">
        <f t="shared" si="45"/>
        <v>4</v>
      </c>
      <c r="AP86" s="123">
        <f>AN86/AN92*10000+AM86/AM92*1000+AI86/AI92*100+IF(AQ86=0,ROW(),AQ86)/2000000</f>
        <v>7603.8103054295234</v>
      </c>
      <c r="AQ86" s="126">
        <f t="shared" si="37"/>
        <v>1563.24</v>
      </c>
      <c r="AR86" s="125" t="str">
        <f t="shared" si="50"/>
        <v>ACDEFG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6</v>
      </c>
      <c r="AK87" s="123" t="s">
        <v>3189</v>
      </c>
      <c r="AL87" s="123">
        <f t="shared" si="43"/>
        <v>-5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1686.6673773816665</v>
      </c>
      <c r="AQ87" s="126">
        <f t="shared" si="37"/>
        <v>1421.43</v>
      </c>
      <c r="AR87" s="125" t="str">
        <f t="shared" si="50"/>
        <v>ACDEFG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3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3</v>
      </c>
      <c r="AK88" s="123" t="s">
        <v>3190</v>
      </c>
      <c r="AL88" s="123">
        <f t="shared" si="43"/>
        <v>1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7603.810299279523</v>
      </c>
      <c r="AQ88" s="126">
        <f t="shared" si="37"/>
        <v>1550.94</v>
      </c>
      <c r="AR88" s="125" t="str">
        <f t="shared" si="50"/>
        <v>ACDEFGI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Bosnia and Herzegovina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4</v>
      </c>
      <c r="AK89" s="123" t="s">
        <v>3191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7298.0960202252372</v>
      </c>
      <c r="AQ89" s="126">
        <f t="shared" si="37"/>
        <v>1564.26</v>
      </c>
      <c r="AR89" s="125" t="str">
        <f t="shared" si="50"/>
        <v>ACDEFGIJ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2 - 6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10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6</v>
      </c>
      <c r="AK90" s="123" t="s">
        <v>3192</v>
      </c>
      <c r="AL90" s="123">
        <f t="shared" si="43"/>
        <v>-4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1849.5245421938093</v>
      </c>
      <c r="AQ90" s="126">
        <f t="shared" si="37"/>
        <v>1465.34</v>
      </c>
      <c r="AR90" s="125" t="str">
        <f t="shared" si="50"/>
        <v>ACDEFGIJ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1</v>
      </c>
      <c r="AJ91" s="123">
        <f>VLOOKUP($AE91,$AE$8:$AQ$78,6,FALSE)</f>
        <v>5</v>
      </c>
      <c r="AK91" s="123" t="s">
        <v>3193</v>
      </c>
      <c r="AL91" s="123">
        <f>VLOOKUP($AE91,$AE$8:$AQ$78,8,FALSE)</f>
        <v>-4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1829.5245798438093</v>
      </c>
      <c r="AQ91" s="126">
        <f t="shared" si="37"/>
        <v>1540.64</v>
      </c>
      <c r="AR91" s="125" t="str">
        <f t="shared" si="50"/>
        <v>ACDEFGIJ</v>
      </c>
      <c r="AS91" s="129" t="str">
        <f t="shared" si="46"/>
        <v/>
      </c>
      <c r="AT91" s="130" t="str">
        <f>"Ⓛ "&amp;AE91</f>
        <v>Ⓛ Panama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-5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3194</v>
      </c>
    </row>
    <row r="3" spans="2:11">
      <c r="B3" s="109">
        <f>MATCH(C3,C6:C500,0)</f>
        <v>281</v>
      </c>
      <c r="C3" s="121" t="str">
        <f>'2026 World Cup'!AR91</f>
        <v>ACDEFGIJ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2026-06-10T15:45:10Z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