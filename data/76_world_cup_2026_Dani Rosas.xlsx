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3790119-34ED-4AD4-B935-4B2A5047D3C4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8" i="3" l="1"/>
  <c r="AP2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P36" i="3"/>
  <c r="AP72" i="3"/>
  <c r="AR68" i="3" s="1"/>
  <c r="AP30" i="3"/>
  <c r="AP78" i="3"/>
  <c r="AR74" i="3" s="1"/>
  <c r="AP24" i="3"/>
  <c r="AR22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8" i="3"/>
  <c r="AR10" i="3"/>
  <c r="AR11" i="3"/>
  <c r="AR9" i="3"/>
  <c r="AR32" i="3"/>
  <c r="AR33" i="3"/>
  <c r="AR35" i="3"/>
  <c r="AR34" i="3"/>
  <c r="AR26" i="3"/>
  <c r="AR28" i="3"/>
  <c r="AR20" i="3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14" i="3"/>
  <c r="AD11" i="3"/>
  <c r="AD32" i="3"/>
  <c r="AD33" i="3"/>
  <c r="AD35" i="3"/>
  <c r="AD8" i="3"/>
  <c r="AD10" i="3"/>
  <c r="AD34" i="3"/>
  <c r="AD20" i="3"/>
  <c r="AD75" i="3"/>
  <c r="M58" i="3"/>
  <c r="N58" i="3"/>
  <c r="L58" i="3"/>
  <c r="O60" i="3"/>
  <c r="AD77" i="3"/>
  <c r="M59" i="3"/>
  <c r="L59" i="3"/>
  <c r="AD62" i="3"/>
  <c r="AD70" i="3"/>
  <c r="AD68" i="3"/>
  <c r="AD41" i="3"/>
  <c r="AD76" i="3"/>
  <c r="AD44" i="3"/>
  <c r="AD47" i="3"/>
  <c r="AD15" i="3"/>
  <c r="AD74" i="3"/>
  <c r="AD29" i="3"/>
  <c r="AD71" i="3"/>
  <c r="AD53" i="3"/>
  <c r="AD63" i="3"/>
  <c r="AD28" i="3"/>
  <c r="AD27" i="3"/>
  <c r="AD26" i="3"/>
  <c r="AD22" i="3"/>
  <c r="AD21" i="3"/>
  <c r="AD69" i="3"/>
  <c r="AD39" i="3"/>
  <c r="L57" i="3"/>
  <c r="AD64" i="3"/>
  <c r="AD16" i="3"/>
  <c r="L60" i="3"/>
  <c r="J57" i="3"/>
  <c r="AS56" i="3" s="1"/>
  <c r="BL14" i="3" s="1"/>
  <c r="J59" i="3"/>
  <c r="AE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P59" i="3" l="1"/>
  <c r="J36" i="3"/>
  <c r="L36" i="3"/>
  <c r="M36" i="3"/>
  <c r="M33" i="3"/>
  <c r="L33" i="3"/>
  <c r="O33" i="3"/>
  <c r="O36" i="3"/>
  <c r="N36" i="3"/>
  <c r="J33" i="3"/>
  <c r="AS32" i="3" s="1"/>
  <c r="BL10" i="3" s="1"/>
  <c r="N33" i="3"/>
  <c r="M10" i="3"/>
  <c r="N10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O11" i="3"/>
  <c r="J11" i="3"/>
  <c r="AE80" i="3" s="1"/>
  <c r="L10" i="3"/>
  <c r="O10" i="3"/>
  <c r="N11" i="3"/>
  <c r="M11" i="3"/>
  <c r="J10" i="3"/>
  <c r="AS9" i="3" s="1"/>
  <c r="BL18" i="3" s="1"/>
  <c r="O34" i="3"/>
  <c r="L34" i="3"/>
  <c r="L35" i="3"/>
  <c r="N35" i="3"/>
  <c r="M34" i="3"/>
  <c r="M35" i="3"/>
  <c r="J35" i="3"/>
  <c r="AE84" i="3" s="1"/>
  <c r="J34" i="3"/>
  <c r="AS33" i="3" s="1"/>
  <c r="BL46" i="3" s="1"/>
  <c r="O35" i="3"/>
  <c r="N34" i="3"/>
  <c r="N21" i="3"/>
  <c r="M21" i="3"/>
  <c r="J21" i="3"/>
  <c r="AS20" i="3" s="1"/>
  <c r="BL42" i="3" s="1"/>
  <c r="L21" i="3"/>
  <c r="O21" i="3"/>
  <c r="K58" i="3"/>
  <c r="P58" i="3"/>
  <c r="P57" i="3"/>
  <c r="K59" i="3"/>
  <c r="L16" i="3"/>
  <c r="M16" i="3"/>
  <c r="J16" i="3"/>
  <c r="AS15" i="3" s="1"/>
  <c r="BL19" i="3" s="1"/>
  <c r="N16" i="3"/>
  <c r="O16" i="3"/>
  <c r="L23" i="3"/>
  <c r="L63" i="3"/>
  <c r="M63" i="3"/>
  <c r="N63" i="3"/>
  <c r="O63" i="3"/>
  <c r="J63" i="3"/>
  <c r="AS62" i="3" s="1"/>
  <c r="BL58" i="3" s="1"/>
  <c r="BS60" i="3" s="1"/>
  <c r="BZ64" i="3" s="1"/>
  <c r="L69" i="3"/>
  <c r="M69" i="3"/>
  <c r="N69" i="3"/>
  <c r="O69" i="3"/>
  <c r="J69" i="3"/>
  <c r="AS68" i="3" s="1"/>
  <c r="BL70" i="3" s="1"/>
  <c r="J45" i="3"/>
  <c r="AS44" i="3" s="1"/>
  <c r="BL38" i="3" s="1"/>
  <c r="M45" i="3"/>
  <c r="N45" i="3"/>
  <c r="L45" i="3"/>
  <c r="O45" i="3"/>
  <c r="L15" i="3"/>
  <c r="O17" i="3"/>
  <c r="L17" i="3"/>
  <c r="M18" i="3"/>
  <c r="J18" i="3"/>
  <c r="O18" i="3"/>
  <c r="N18" i="3"/>
  <c r="L18" i="3"/>
  <c r="J76" i="3"/>
  <c r="AS75" i="3" s="1"/>
  <c r="BL27" i="3" s="1"/>
  <c r="L77" i="3"/>
  <c r="J77" i="3"/>
  <c r="AE91" i="3" s="1"/>
  <c r="O76" i="3"/>
  <c r="O77" i="3"/>
  <c r="M77" i="3"/>
  <c r="N77" i="3"/>
  <c r="N78" i="3"/>
  <c r="M78" i="3"/>
  <c r="L78" i="3"/>
  <c r="O78" i="3"/>
  <c r="N64" i="3"/>
  <c r="O64" i="3"/>
  <c r="L65" i="3"/>
  <c r="M65" i="3"/>
  <c r="O65" i="3"/>
  <c r="J65" i="3"/>
  <c r="AE89" i="3" s="1"/>
  <c r="J64" i="3"/>
  <c r="AS63" i="3" s="1"/>
  <c r="BL31" i="3" s="1"/>
  <c r="N65" i="3"/>
  <c r="O30" i="3"/>
  <c r="O27" i="3"/>
  <c r="N28" i="3"/>
  <c r="N30" i="3"/>
  <c r="L30" i="3"/>
  <c r="L24" i="3"/>
  <c r="M24" i="3"/>
  <c r="N24" i="3"/>
  <c r="L22" i="3"/>
  <c r="N70" i="3"/>
  <c r="O70" i="3"/>
  <c r="M71" i="3"/>
  <c r="L71" i="3"/>
  <c r="L70" i="3"/>
  <c r="M70" i="3"/>
  <c r="K57" i="3"/>
  <c r="L76" i="3"/>
  <c r="M76" i="3"/>
  <c r="J78" i="3"/>
  <c r="N76" i="3"/>
  <c r="M75" i="3"/>
  <c r="J75" i="3"/>
  <c r="AS74" i="3" s="1"/>
  <c r="BL54" i="3" s="1"/>
  <c r="N75" i="3"/>
  <c r="O75" i="3"/>
  <c r="L75" i="3"/>
  <c r="J24" i="3"/>
  <c r="J22" i="3"/>
  <c r="AS21" i="3" s="1"/>
  <c r="BL23" i="3" s="1"/>
  <c r="M22" i="3"/>
  <c r="N71" i="3"/>
  <c r="O71" i="3"/>
  <c r="M64" i="3"/>
  <c r="L64" i="3"/>
  <c r="N17" i="3"/>
  <c r="M17" i="3"/>
  <c r="M47" i="3"/>
  <c r="O47" i="3"/>
  <c r="J42" i="3"/>
  <c r="J41" i="3"/>
  <c r="AE85" i="3" s="1"/>
  <c r="J40" i="3"/>
  <c r="AS39" i="3" s="1"/>
  <c r="BL43" i="3" s="1"/>
  <c r="M42" i="3"/>
  <c r="N40" i="3"/>
  <c r="O39" i="3"/>
  <c r="M39" i="3"/>
  <c r="O42" i="3"/>
  <c r="L40" i="3"/>
  <c r="M40" i="3"/>
  <c r="L42" i="3"/>
  <c r="P42" i="3" s="1"/>
  <c r="L39" i="3"/>
  <c r="O40" i="3"/>
  <c r="N39" i="3"/>
  <c r="J39" i="3"/>
  <c r="AS38" i="3" s="1"/>
  <c r="BL22" i="3" s="1"/>
  <c r="L51" i="3"/>
  <c r="N51" i="3"/>
  <c r="J51" i="3"/>
  <c r="AS50" i="3" s="1"/>
  <c r="BL30" i="3" s="1"/>
  <c r="O51" i="3"/>
  <c r="M51" i="3"/>
  <c r="M41" i="3"/>
  <c r="N53" i="3"/>
  <c r="O54" i="3"/>
  <c r="J28" i="3"/>
  <c r="AS27" i="3" s="1"/>
  <c r="BL62" i="3" s="1"/>
  <c r="O29" i="3"/>
  <c r="L27" i="3"/>
  <c r="L28" i="3"/>
  <c r="O28" i="3"/>
  <c r="M30" i="3"/>
  <c r="J30" i="3"/>
  <c r="J29" i="3"/>
  <c r="AE83" i="3" s="1"/>
  <c r="AF83" i="3" s="1"/>
  <c r="M28" i="3"/>
  <c r="J27" i="3"/>
  <c r="AS26" i="3" s="1"/>
  <c r="BL34" i="3" s="1"/>
  <c r="N27" i="3"/>
  <c r="M29" i="3"/>
  <c r="M27" i="3"/>
  <c r="N29" i="3"/>
  <c r="L29" i="3"/>
  <c r="O24" i="3"/>
  <c r="O22" i="3"/>
  <c r="N22" i="3"/>
  <c r="O23" i="3"/>
  <c r="J71" i="3"/>
  <c r="AE90" i="3" s="1"/>
  <c r="J70" i="3"/>
  <c r="AS69" i="3" s="1"/>
  <c r="BL26" i="3" s="1"/>
  <c r="L72" i="3"/>
  <c r="M72" i="3"/>
  <c r="N72" i="3"/>
  <c r="O72" i="3"/>
  <c r="J72" i="3"/>
  <c r="AQ88" i="3"/>
  <c r="AG88" i="3"/>
  <c r="AI88" i="3"/>
  <c r="AJ88" i="3"/>
  <c r="AN88" i="3"/>
  <c r="AT88" i="3"/>
  <c r="AF88" i="3"/>
  <c r="M46" i="3"/>
  <c r="N48" i="3"/>
  <c r="M48" i="3"/>
  <c r="L48" i="3"/>
  <c r="O48" i="3"/>
  <c r="L46" i="3"/>
  <c r="O46" i="3"/>
  <c r="L66" i="3"/>
  <c r="M66" i="3"/>
  <c r="N66" i="3"/>
  <c r="O66" i="3"/>
  <c r="J66" i="3"/>
  <c r="M54" i="3"/>
  <c r="J52" i="3"/>
  <c r="AS51" i="3" s="1"/>
  <c r="BL59" i="3" s="1"/>
  <c r="N54" i="3"/>
  <c r="N52" i="3"/>
  <c r="L54" i="3"/>
  <c r="J48" i="3"/>
  <c r="J47" i="3"/>
  <c r="AE86" i="3" s="1"/>
  <c r="N47" i="3"/>
  <c r="L47" i="3"/>
  <c r="N46" i="3"/>
  <c r="J46" i="3"/>
  <c r="AS45" i="3" s="1"/>
  <c r="BL63" i="3" s="1"/>
  <c r="J54" i="3"/>
  <c r="O52" i="3"/>
  <c r="O41" i="3"/>
  <c r="L41" i="3"/>
  <c r="N23" i="3"/>
  <c r="AL88" i="3"/>
  <c r="N15" i="3"/>
  <c r="O53" i="3"/>
  <c r="L52" i="3"/>
  <c r="J17" i="3"/>
  <c r="AE81" i="3" s="1"/>
  <c r="L53" i="3"/>
  <c r="M52" i="3"/>
  <c r="M53" i="3"/>
  <c r="J53" i="3"/>
  <c r="AE87" i="3" s="1"/>
  <c r="N41" i="3"/>
  <c r="M23" i="3"/>
  <c r="J23" i="3"/>
  <c r="AE82" i="3" s="1"/>
  <c r="AH88" i="3"/>
  <c r="N42" i="3"/>
  <c r="P60" i="3"/>
  <c r="K60" i="3"/>
  <c r="M15" i="3"/>
  <c r="O15" i="3"/>
  <c r="J15" i="3"/>
  <c r="AS14" i="3" s="1"/>
  <c r="BL66" i="3" s="1"/>
  <c r="BS61" i="3" l="1"/>
  <c r="BS44" i="3"/>
  <c r="BZ48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36" i="3"/>
  <c r="K36" i="3"/>
  <c r="K33" i="3"/>
  <c r="P33" i="3"/>
  <c r="P12" i="3"/>
  <c r="K12" i="3"/>
  <c r="P9" i="3"/>
  <c r="K9" i="3"/>
  <c r="P21" i="3"/>
  <c r="K21" i="3"/>
  <c r="P11" i="3"/>
  <c r="K11" i="3"/>
  <c r="AQ80" i="3"/>
  <c r="AF80" i="3"/>
  <c r="AG80" i="3"/>
  <c r="AH80" i="3"/>
  <c r="AI80" i="3"/>
  <c r="AJ80" i="3"/>
  <c r="AL80" i="3"/>
  <c r="AN80" i="3"/>
  <c r="AT80" i="3"/>
  <c r="K10" i="3"/>
  <c r="P10" i="3"/>
  <c r="P34" i="3"/>
  <c r="K34" i="3"/>
  <c r="P35" i="3"/>
  <c r="K35" i="3"/>
  <c r="AQ84" i="3"/>
  <c r="AF84" i="3"/>
  <c r="AG84" i="3"/>
  <c r="AH84" i="3"/>
  <c r="AI84" i="3"/>
  <c r="AJ84" i="3"/>
  <c r="AL84" i="3"/>
  <c r="AN84" i="3"/>
  <c r="AT84" i="3"/>
  <c r="P16" i="3"/>
  <c r="K16" i="3"/>
  <c r="K42" i="3"/>
  <c r="K29" i="3"/>
  <c r="P29" i="3"/>
  <c r="P71" i="3"/>
  <c r="P15" i="3"/>
  <c r="P52" i="3"/>
  <c r="P23" i="3"/>
  <c r="K63" i="3"/>
  <c r="P63" i="3"/>
  <c r="K69" i="3"/>
  <c r="P69" i="3"/>
  <c r="P45" i="3"/>
  <c r="K45" i="3"/>
  <c r="P18" i="3"/>
  <c r="K18" i="3"/>
  <c r="K71" i="3"/>
  <c r="P77" i="3"/>
  <c r="K77" i="3"/>
  <c r="AQ91" i="3"/>
  <c r="AF91" i="3"/>
  <c r="AG91" i="3"/>
  <c r="AH91" i="3"/>
  <c r="AI91" i="3"/>
  <c r="AJ91" i="3"/>
  <c r="AL91" i="3"/>
  <c r="AN91" i="3"/>
  <c r="AT91" i="3"/>
  <c r="K78" i="3"/>
  <c r="P78" i="3"/>
  <c r="AF89" i="3"/>
  <c r="AG89" i="3"/>
  <c r="AH89" i="3"/>
  <c r="P70" i="3"/>
  <c r="K70" i="3"/>
  <c r="P76" i="3"/>
  <c r="K76" i="3"/>
  <c r="P75" i="3"/>
  <c r="K75" i="3"/>
  <c r="AF90" i="3"/>
  <c r="AG90" i="3"/>
  <c r="P65" i="3"/>
  <c r="K65" i="3"/>
  <c r="AQ89" i="3"/>
  <c r="AI89" i="3"/>
  <c r="AJ89" i="3"/>
  <c r="AL89" i="3"/>
  <c r="AN89" i="3"/>
  <c r="AT89" i="3"/>
  <c r="K30" i="3"/>
  <c r="P30" i="3"/>
  <c r="K24" i="3"/>
  <c r="P24" i="3"/>
  <c r="P64" i="3"/>
  <c r="K64" i="3"/>
  <c r="AQ85" i="3"/>
  <c r="AF85" i="3"/>
  <c r="AG85" i="3"/>
  <c r="AH85" i="3"/>
  <c r="AI85" i="3"/>
  <c r="AJ85" i="3"/>
  <c r="AL85" i="3"/>
  <c r="AN85" i="3"/>
  <c r="AT85" i="3"/>
  <c r="K40" i="3"/>
  <c r="P40" i="3"/>
  <c r="P39" i="3"/>
  <c r="K39" i="3"/>
  <c r="K51" i="3"/>
  <c r="P51" i="3"/>
  <c r="K27" i="3"/>
  <c r="P27" i="3"/>
  <c r="P28" i="3"/>
  <c r="K28" i="3"/>
  <c r="K48" i="3"/>
  <c r="P48" i="3"/>
  <c r="K53" i="3"/>
  <c r="K15" i="3"/>
  <c r="P22" i="3"/>
  <c r="K22" i="3"/>
  <c r="P17" i="3"/>
  <c r="K17" i="3"/>
  <c r="AQ83" i="3"/>
  <c r="AG83" i="3"/>
  <c r="AH83" i="3"/>
  <c r="AI83" i="3"/>
  <c r="AJ83" i="3"/>
  <c r="AL83" i="3"/>
  <c r="AN83" i="3"/>
  <c r="AT83" i="3"/>
  <c r="AQ90" i="3"/>
  <c r="AH90" i="3"/>
  <c r="AI90" i="3"/>
  <c r="AJ90" i="3"/>
  <c r="AL90" i="3"/>
  <c r="AN90" i="3"/>
  <c r="AT90" i="3"/>
  <c r="P72" i="3"/>
  <c r="K72" i="3"/>
  <c r="K23" i="3"/>
  <c r="P53" i="3"/>
  <c r="P46" i="3"/>
  <c r="K46" i="3"/>
  <c r="P66" i="3"/>
  <c r="K66" i="3"/>
  <c r="P54" i="3"/>
  <c r="K54" i="3"/>
  <c r="AQ86" i="3"/>
  <c r="AF86" i="3"/>
  <c r="AG86" i="3"/>
  <c r="AH86" i="3"/>
  <c r="AT86" i="3"/>
  <c r="AN86" i="3"/>
  <c r="AL86" i="3"/>
  <c r="AJ86" i="3"/>
  <c r="AI86" i="3"/>
  <c r="K47" i="3"/>
  <c r="P47" i="3"/>
  <c r="K41" i="3"/>
  <c r="P41" i="3"/>
  <c r="AQ81" i="3"/>
  <c r="AL81" i="3"/>
  <c r="AN81" i="3"/>
  <c r="AT81" i="3"/>
  <c r="AI81" i="3"/>
  <c r="AF81" i="3"/>
  <c r="AG81" i="3"/>
  <c r="AH81" i="3"/>
  <c r="AJ81" i="3"/>
  <c r="AQ87" i="3"/>
  <c r="AG87" i="3"/>
  <c r="AH87" i="3"/>
  <c r="AJ87" i="3"/>
  <c r="AF87" i="3"/>
  <c r="AT87" i="3"/>
  <c r="AN87" i="3"/>
  <c r="AL87" i="3"/>
  <c r="AQ82" i="3"/>
  <c r="AG82" i="3"/>
  <c r="AI82" i="3"/>
  <c r="AJ82" i="3"/>
  <c r="AT82" i="3"/>
  <c r="AH82" i="3"/>
  <c r="AF82" i="3"/>
  <c r="AN8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I92" i="3"/>
  <c r="AS92" i="3"/>
  <c r="AN92" i="3"/>
  <c r="AF92" i="3"/>
  <c r="AG92" i="3"/>
  <c r="AH92" i="3"/>
  <c r="AJ92" i="3"/>
  <c r="AL92" i="3"/>
  <c r="S103" i="3" l="1"/>
  <c r="T103" i="3" s="1" a="1"/>
  <c r="T103" i="3" s="1"/>
  <c r="CG24" i="3"/>
  <c r="S111" i="3" s="1"/>
  <c r="T111" i="3" s="1"/>
  <c r="AM88" i="3"/>
  <c r="AM83" i="3"/>
  <c r="AM91" i="3"/>
  <c r="AM82" i="3"/>
  <c r="AM90" i="3"/>
  <c r="AM89" i="3"/>
  <c r="AM80" i="3"/>
  <c r="AM81" i="3"/>
  <c r="AM87" i="3"/>
  <c r="AM86" i="3"/>
  <c r="AM85" i="3"/>
  <c r="AM84" i="3"/>
  <c r="S85" i="3"/>
  <c r="T85" i="3" s="1" a="1"/>
  <c r="T85" i="3" s="1"/>
  <c r="BS13" i="3"/>
  <c r="S84" i="3"/>
  <c r="T84" i="3" s="1" a="1"/>
  <c r="T84" i="3" s="1"/>
  <c r="BS12" i="3"/>
  <c r="AM92" i="3" l="1"/>
  <c r="BZ16" i="3"/>
  <c r="S95" i="3"/>
  <c r="T95" i="3" s="1" a="1"/>
  <c r="T95" i="3" s="1"/>
  <c r="S102" i="3" l="1"/>
  <c r="T102" i="3" s="1" a="1"/>
  <c r="T102" i="3" s="1"/>
  <c r="CG23" i="3"/>
  <c r="AP87" i="3"/>
  <c r="AP81" i="3"/>
  <c r="AP84" i="3"/>
  <c r="AP90" i="3"/>
  <c r="AP82" i="3"/>
  <c r="AP85" i="3"/>
  <c r="AP86" i="3"/>
  <c r="AP89" i="3"/>
  <c r="AP88" i="3"/>
  <c r="AP80" i="3"/>
  <c r="AP83" i="3"/>
  <c r="AP91" i="3"/>
  <c r="CN37" i="3" l="1"/>
  <c r="CK68" i="3" s="1"/>
  <c r="CN48" i="3"/>
  <c r="AD83" i="3"/>
  <c r="AS83" i="3" s="1"/>
  <c r="AD86" i="3"/>
  <c r="AS86" i="3" s="1"/>
  <c r="AD89" i="3"/>
  <c r="AS89" i="3" s="1"/>
  <c r="AD82" i="3"/>
  <c r="AS82" i="3" s="1"/>
  <c r="AD81" i="3"/>
  <c r="AS81" i="3" s="1"/>
  <c r="AD90" i="3"/>
  <c r="AS90" i="3" s="1"/>
  <c r="AD88" i="3"/>
  <c r="AS88" i="3" s="1"/>
  <c r="AD91" i="3"/>
  <c r="AS91" i="3" s="1"/>
  <c r="AD85" i="3"/>
  <c r="AS85" i="3" s="1"/>
  <c r="AD84" i="3"/>
  <c r="AS84" i="3" s="1"/>
  <c r="AD87" i="3"/>
  <c r="AS87" i="3" s="1"/>
  <c r="AD80" i="3"/>
  <c r="L83" i="3" l="1"/>
  <c r="N82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M92" i="3"/>
  <c r="J85" i="3"/>
  <c r="L91" i="3"/>
  <c r="O88" i="3"/>
  <c r="N84" i="3"/>
  <c r="M87" i="3"/>
  <c r="M85" i="3"/>
  <c r="L88" i="3"/>
  <c r="J87" i="3"/>
  <c r="N85" i="3"/>
  <c r="L84" i="3"/>
  <c r="J86" i="3"/>
  <c r="N81" i="3"/>
  <c r="J88" i="3"/>
  <c r="L81" i="3"/>
  <c r="N90" i="3"/>
  <c r="O91" i="3"/>
  <c r="O90" i="3"/>
  <c r="N87" i="3"/>
  <c r="M83" i="3"/>
  <c r="O89" i="3"/>
  <c r="N89" i="3"/>
  <c r="J81" i="3"/>
  <c r="O81" i="3"/>
  <c r="L86" i="3"/>
  <c r="L87" i="3"/>
  <c r="N91" i="3"/>
  <c r="L92" i="3"/>
  <c r="J89" i="3"/>
  <c r="M90" i="3"/>
  <c r="N83" i="3"/>
  <c r="O82" i="3"/>
  <c r="M84" i="3"/>
  <c r="N92" i="3"/>
  <c r="J82" i="3"/>
  <c r="J90" i="3"/>
  <c r="M82" i="3"/>
  <c r="M86" i="3"/>
  <c r="N86" i="3"/>
  <c r="J83" i="3"/>
  <c r="J91" i="3"/>
  <c r="M81" i="3"/>
  <c r="L85" i="3"/>
  <c r="O84" i="3"/>
  <c r="L89" i="3"/>
  <c r="M89" i="3"/>
  <c r="O85" i="3"/>
  <c r="N88" i="3"/>
  <c r="J84" i="3"/>
  <c r="J92" i="3"/>
  <c r="M88" i="3"/>
  <c r="O87" i="3"/>
  <c r="AS80" i="3"/>
  <c r="O83" i="3"/>
  <c r="P88" i="3" l="1"/>
  <c r="P91" i="3"/>
  <c r="K88" i="3"/>
  <c r="K91" i="3"/>
  <c r="F3" i="4"/>
  <c r="BL35" i="3" s="1"/>
  <c r="E3" i="4"/>
  <c r="BL67" i="3" s="1"/>
  <c r="H3" i="4"/>
  <c r="BL39" i="3" s="1"/>
  <c r="I3" i="4"/>
  <c r="BL15" i="3" s="1"/>
  <c r="G3" i="4"/>
  <c r="BL11" i="3" s="1"/>
  <c r="J3" i="4"/>
  <c r="BL71" i="3" s="1"/>
  <c r="B3" i="4"/>
  <c r="D3" i="4"/>
  <c r="BL51" i="3" s="1"/>
  <c r="K3" i="4"/>
  <c r="BL55" i="3" s="1"/>
  <c r="K84" i="3"/>
  <c r="P84" i="3"/>
  <c r="P81" i="3"/>
  <c r="K81" i="3"/>
  <c r="K83" i="3"/>
  <c r="P83" i="3"/>
  <c r="P86" i="3"/>
  <c r="K86" i="3"/>
  <c r="K87" i="3"/>
  <c r="P87" i="3"/>
  <c r="P92" i="3"/>
  <c r="K92" i="3"/>
  <c r="K90" i="3"/>
  <c r="P90" i="3"/>
  <c r="K82" i="3"/>
  <c r="P82" i="3"/>
  <c r="K85" i="3"/>
  <c r="P85" i="3"/>
  <c r="K89" i="3"/>
  <c r="P89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<sst xmlns="http://schemas.openxmlformats.org/spreadsheetml/2006/main" count="9785" uniqueCount="3699">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</sst>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M13" zoomScaleNormal="100" workbookViewId="0">
      <selection activeCell="CO38" sqref="CO38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97305932.301811397</v>
      </c>
      <c r="AQ8" s="126">
        <f>VLOOKUP(AE8,db_fifarank,2,FALSE)</f>
        <v>1681.03</v>
      </c>
      <c r="AR8" s="125">
        <f>AP8/AP12</f>
        <v>0.99999998801124668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0.33404819833333332</v>
      </c>
      <c r="AQ9" s="126">
        <f>VLOOKUP(AE9,db_fifarank,2,FALSE)</f>
        <v>1429.73</v>
      </c>
      <c r="AR9" s="125">
        <f>AP9/AP12</f>
        <v>3.4329684370363244E-9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3</v>
      </c>
      <c r="AL10" s="123">
        <f>AI10-AJ10</f>
        <v>-1</v>
      </c>
      <c r="AM10" s="123">
        <f>AL10-AL12</f>
        <v>2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37500003.667461</v>
      </c>
      <c r="AQ10" s="126">
        <f>VLOOKUP(AE10,db_fifarank,2,FALSE)</f>
        <v>1588.66</v>
      </c>
      <c r="AR10" s="125">
        <f>AP10/AP12</f>
        <v>0.38538249756006526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2 - 3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3</v>
      </c>
      <c r="AL11" s="123">
        <f>AI11-AJ11</f>
        <v>2</v>
      </c>
      <c r="AM11" s="123">
        <f>AL11-AL12</f>
        <v>5</v>
      </c>
      <c r="AN11" s="123">
        <f>AF11*3+AG11</f>
        <v>7</v>
      </c>
      <c r="AO11" s="123">
        <f>AN11/AN12*10+BA11</f>
        <v>9.7305825242718456</v>
      </c>
      <c r="AP11" s="123">
        <f>AO11*10000000+BI11*100+AM11/AM12*10+AI11/AI12*1++IF(AQ11=0,ROW(),AQ11)/2000000</f>
        <v>97305932.46838823</v>
      </c>
      <c r="AQ11" s="126">
        <f>VLOOKUP(AE11,db_fifarank,2,FALSE)</f>
        <v>1501.38</v>
      </c>
      <c r="AR11" s="125">
        <f>AP11/AP12</f>
        <v>0.99999998972313442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Japan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97305933.46838823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3</v>
      </c>
      <c r="AL14" s="123">
        <f>AI14-AJ14</f>
        <v>-1</v>
      </c>
      <c r="AM14" s="123">
        <f>AL14-AL18</f>
        <v>2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30000003.19125443</v>
      </c>
      <c r="AQ14" s="126">
        <f>VLOOKUP(AE14,db_fifarank,2,FALSE)</f>
        <v>1556.48</v>
      </c>
      <c r="AR14" s="125">
        <f>AP14/AP18</f>
        <v>0.33333333025250661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4</v>
      </c>
      <c r="AL15" s="123">
        <f>AI15-AJ15</f>
        <v>1</v>
      </c>
      <c r="AM15" s="123">
        <f>AL15-AL18</f>
        <v>4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60000006.548311971</v>
      </c>
      <c r="AQ15" s="126">
        <f>VLOOKUP(AE15,db_fifarank,2,FALSE)</f>
        <v>1385.84</v>
      </c>
      <c r="AR15" s="125">
        <f>AP15/AP18</f>
        <v>0.66666666234726979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5 - 4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0.33406081333333332</v>
      </c>
      <c r="AQ16" s="126">
        <f>VLOOKUP(AE16,db_fifarank,2,FALSE)</f>
        <v>1454.96</v>
      </c>
      <c r="AR16" s="125">
        <f>AP16/AP18</f>
        <v>3.7117863856668738E-9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90000009.4055866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6</v>
      </c>
      <c r="AL18" s="123">
        <f>MIN(AL14:AL17)</f>
        <v>-3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90000010.4055866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90000010.175483763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10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60000007.810401738</v>
      </c>
      <c r="AQ21" s="126">
        <f>VLOOKUP(AE21,db_fifarank,2,FALSE)</f>
        <v>1755.87</v>
      </c>
      <c r="AR21" s="125">
        <f>AP21/AP24</f>
        <v>0.66666667066754648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7</v>
      </c>
      <c r="AL22" s="123">
        <f>AI22-AJ22</f>
        <v>-6</v>
      </c>
      <c r="AM22" s="123">
        <f>AL22-AL24</f>
        <v>0</v>
      </c>
      <c r="AN22" s="123">
        <f>AF22*3+AG22</f>
        <v>1</v>
      </c>
      <c r="AO22" s="123">
        <f>AN22/AN24*10+BA22</f>
        <v>1.9805825242718447</v>
      </c>
      <c r="AP22" s="123">
        <f>AO22*10000000+BI22*100+AM22/AM24*10+AI22/AI24*1++IF(AQ22=0,ROW(),AQ22)/2000000</f>
        <v>19805923.41272784</v>
      </c>
      <c r="AQ22" s="126">
        <f>VLOOKUP(AE22,db_fifarank,2,FALSE)</f>
        <v>1291.71</v>
      </c>
      <c r="AR22" s="125">
        <f>AP22/AP24</f>
        <v>0.22006578837095772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50.5</v>
      </c>
      <c r="BA22" s="126">
        <f>AZ22/AZ24</f>
        <v>0.98058252427184467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50.5</v>
      </c>
      <c r="BI22" s="126">
        <f>BH22/BH24</f>
        <v>0.98058252427184467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1 - 6</v>
      </c>
      <c r="P23" s="34">
        <f>L23*3+M23</f>
        <v>1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6</v>
      </c>
      <c r="AL23" s="123">
        <f>AI23-AJ23</f>
        <v>-5</v>
      </c>
      <c r="AM23" s="123">
        <f>AL23-AL24</f>
        <v>1</v>
      </c>
      <c r="AN23" s="123">
        <f>AF23*3+AG23</f>
        <v>1</v>
      </c>
      <c r="AO23" s="123">
        <f>AN23/AN24*10+BA23</f>
        <v>1.9805825242718447</v>
      </c>
      <c r="AP23" s="123">
        <f>AO23*10000000+BI23*100+AM23/AM24*10+AI23/AI24*1++IF(AQ23=0,ROW(),AQ23)/2000000</f>
        <v>19805924.127116874</v>
      </c>
      <c r="AQ23" s="126">
        <f>VLOOKUP(AE23,db_fifarank,2,FALSE)</f>
        <v>1498.35</v>
      </c>
      <c r="AR23" s="125">
        <f>AP23/AP24</f>
        <v>0.22006579630861267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1 - 7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3</v>
      </c>
      <c r="AI24" s="123">
        <f>MAX(AI20:AI23)+1</f>
        <v>9</v>
      </c>
      <c r="AL24" s="123">
        <f>MIN(AL20:AL23)</f>
        <v>-6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90000011.175483763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60000005.500836566</v>
      </c>
      <c r="AQ26" s="126">
        <f>VLOOKUP(AE26,db_fifarank,2,FALSE)</f>
        <v>1673.13</v>
      </c>
      <c r="AR26" s="125">
        <f>AP26/AP30</f>
        <v>0.66666664907744899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1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19805924.926722623</v>
      </c>
      <c r="AQ27" s="126">
        <f>VLOOKUP(AE27,db_fifarank,2,FALSE)</f>
        <v>1503.5</v>
      </c>
      <c r="AR27" s="125">
        <f>AP27/AP30</f>
        <v>0.22006580653719424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19805923.55176121</v>
      </c>
      <c r="AQ28" s="126">
        <f>VLOOKUP(AE28,db_fifarank,2,FALSE)</f>
        <v>1580.67</v>
      </c>
      <c r="AR28" s="125">
        <f>AP28/AP30</f>
        <v>0.22006579125984702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7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90000009.625799522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8</v>
      </c>
      <c r="AL30" s="123">
        <f>MIN(AL26:AL29)</f>
        <v>-3</v>
      </c>
      <c r="AM30" s="123">
        <f>MAX(AM26:AM29)+1</f>
        <v>8</v>
      </c>
      <c r="AN30" s="123">
        <f>MAX(AN26:AN29)+1</f>
        <v>10</v>
      </c>
      <c r="AO30" s="123">
        <f>MAX(AO26:AO29)+1</f>
        <v>10</v>
      </c>
      <c r="AP30" s="123">
        <f>MAX(AP26:AP29)+1</f>
        <v>90000010.625799522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2</v>
      </c>
      <c r="AL32" s="123">
        <f>AI32-AJ32</f>
        <v>7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90000010.186579481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7.1924991060059676E-12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7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60000005.500766493</v>
      </c>
      <c r="AQ34" s="126">
        <f>VLOOKUP(AE34,db_fifarank,2,FALSE)</f>
        <v>1532.98</v>
      </c>
      <c r="AR34" s="125">
        <f>AP34/AP36</f>
        <v>0.66666664492274541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5</v>
      </c>
      <c r="AL35" s="123">
        <f>AI35-AJ35</f>
        <v>-2</v>
      </c>
      <c r="AM35" s="123">
        <f>AL35-AL36</f>
        <v>4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30000003.15794025</v>
      </c>
      <c r="AQ35" s="126">
        <f>VLOOKUP(AE35,db_fifarank,2,FALSE)</f>
        <v>1594.78</v>
      </c>
      <c r="AR35" s="125">
        <f>AP35/AP36</f>
        <v>0.33333332698978324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-6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90000011.186579481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90000009.429450348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4</v>
      </c>
      <c r="AL39" s="123">
        <f>AI39-AJ39</f>
        <v>-2</v>
      </c>
      <c r="AM39" s="123">
        <f>AL39-AL42</f>
        <v>0</v>
      </c>
      <c r="AN39" s="123">
        <f>AF39*3+AG39</f>
        <v>2</v>
      </c>
      <c r="AO39" s="123">
        <f>AN39/AN42*10+BA39</f>
        <v>2</v>
      </c>
      <c r="AP39" s="123">
        <f>AO39*10000000+BI39*100+AM39/AM42*10+AI39/AI42*1++IF(AQ39=0,ROW(),AQ39)/2000000</f>
        <v>20000000.286544502</v>
      </c>
      <c r="AQ39" s="126">
        <f>VLOOKUP(AE39,db_fifarank,2,FALSE)</f>
        <v>1660.43</v>
      </c>
      <c r="AR39" s="125">
        <f>AP39/AP42</f>
        <v>0.22222219965432338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40000003.286471665</v>
      </c>
      <c r="AQ40" s="126">
        <f>VLOOKUP(AE40,db_fifarank,2,FALSE)</f>
        <v>1514.77</v>
      </c>
      <c r="AR40" s="125">
        <f>AP40/AP42</f>
        <v>0.44444442945733953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2 - 4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10000000.28645581</v>
      </c>
      <c r="AQ41" s="126">
        <f>VLOOKUP(AE41,db_fifarank,2,FALSE)</f>
        <v>1483.05</v>
      </c>
      <c r="AR41" s="125">
        <f>AP41/AP42</f>
        <v>0.11111110141808994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90000010.429450348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90000009.966776446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5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60000005.046236165</v>
      </c>
      <c r="AQ45" s="126">
        <f>VLOOKUP(AE45,db_fifarank,2,FALSE)</f>
        <v>1563.24</v>
      </c>
      <c r="AR45" s="125">
        <f>AP45/AP48</f>
        <v>0.66666664150057942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1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19805924.460869435</v>
      </c>
      <c r="AQ46" s="126">
        <f>VLOOKUP(AE46,db_fifarank,2,FALSE)</f>
        <v>1615.3</v>
      </c>
      <c r="AR46" s="125">
        <f>AP46/AP48</f>
        <v>0.22006580052729996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19805923.426611658</v>
      </c>
      <c r="AQ47" s="126">
        <f>VLOOKUP(AE47,db_fifarank,2,FALSE)</f>
        <v>1281.57</v>
      </c>
      <c r="AR47" s="125">
        <f>AP47/AP48</f>
        <v>0.2200657890355483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90000010.966776446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90000010.275938213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7.5896101602224976E-12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Ecuador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30000002.700710714</v>
      </c>
      <c r="AQ52" s="126">
        <f>VLOOKUP(AE52,db_fifarank,2,FALSE)</f>
        <v>1421.43</v>
      </c>
      <c r="AR52" s="125">
        <f>AP52/AP54</f>
        <v>0.33333332157849749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60000006.125836536</v>
      </c>
      <c r="AQ53" s="126">
        <f>VLOOKUP(AE53,db_fifarank,2,FALSE)</f>
        <v>1673.07</v>
      </c>
      <c r="AR53" s="125">
        <f>AP53/AP54</f>
        <v>0.66666665120605073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-7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90000011.275938213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3</v>
      </c>
      <c r="AL56" s="123">
        <f>AI56-AJ56</f>
        <v>7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90000010.195743844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7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60000005.455389947</v>
      </c>
      <c r="AQ57" s="126">
        <f>VLOOKUP(AE57,db_fifarank,2,FALSE)</f>
        <v>1688.99</v>
      </c>
      <c r="AR57" s="125">
        <f>AP57/AP60</f>
        <v>0.66666664435067746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0.18254175181818183</v>
      </c>
      <c r="AQ58" s="126">
        <f>VLOOKUP(AE58,db_fifarank,2,FALSE)</f>
        <v>1447.14</v>
      </c>
      <c r="AR58" s="125">
        <f>AP58/AP60</f>
        <v>2.0282414345612252E-9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6</v>
      </c>
      <c r="AL59" s="123">
        <f>AI59-AJ59</f>
        <v>-2</v>
      </c>
      <c r="AM59" s="123">
        <f>AL59-AL60</f>
        <v>4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30000003.221554693</v>
      </c>
      <c r="AQ59" s="126">
        <f>VLOOKUP(AE59,db_fifarank,2,FALSE)</f>
        <v>1550.94</v>
      </c>
      <c r="AR59" s="125">
        <f>AP59/AP60</f>
        <v>0.33333332766266827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-6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90000011.195743844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90000010.234270751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49805926.168419667</v>
      </c>
      <c r="AQ63" s="126">
        <f>VLOOKUP(AE63,db_fifarank,2,FALSE)</f>
        <v>1564.26</v>
      </c>
      <c r="AR63" s="125">
        <f>AP63/AP66</f>
        <v>0.55339911057093583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49805927.701767594</v>
      </c>
      <c r="AQ64" s="126">
        <f>VLOOKUP(AE64,db_fifarank,2,FALSE)</f>
        <v>1593.45</v>
      </c>
      <c r="AR64" s="125">
        <f>AP64/AP66</f>
        <v>0.55339912760813292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7.7302768128441926E-12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90000011.234270751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90000010.243306145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19804020.275248982</v>
      </c>
      <c r="AQ69" s="126">
        <f>VLOOKUP(AE69,db_fifarank,2,FALSE)</f>
        <v>1478.35</v>
      </c>
      <c r="AR69" s="125">
        <f>AP69/AP72</f>
        <v>0.2200446422357745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19804019.6994849</v>
      </c>
      <c r="AQ70" s="126">
        <f>VLOOKUP(AE70,db_fifarank,2,FALSE)</f>
        <v>1465.34</v>
      </c>
      <c r="AR70" s="125">
        <f>AP70/AP72</f>
        <v>0.22004463583839659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60000003.697816245</v>
      </c>
      <c r="AQ71" s="126">
        <f>VLOOKUP(AE71,db_fifarank,2,FALSE)</f>
        <v>1693.09</v>
      </c>
      <c r="AR71" s="125">
        <f>AP71/AP72</f>
        <v>0.66666662446976988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-5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90000011.243306145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90000009.746944726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5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60000006.127842665</v>
      </c>
      <c r="AQ75" s="126">
        <f>VLOOKUP(AE75,db_fifarank,2,FALSE)</f>
        <v>1717.07</v>
      </c>
      <c r="AR75" s="125">
        <f>AP75/AP78</f>
        <v>0.66666665514681078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5</v>
      </c>
      <c r="AL76" s="123">
        <f>AI76-AJ76</f>
        <v>-1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30000003.905435059</v>
      </c>
      <c r="AQ76" s="126">
        <f>VLOOKUP(AE76,db_fifarank,2,FALSE)</f>
        <v>1346.31</v>
      </c>
      <c r="AR76" s="125">
        <f>AP76/AP78</f>
        <v>0.33333333692355682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0.28648460571428569</v>
      </c>
      <c r="AQ77" s="126">
        <f>VLOOKUP(AE77,db_fifarank,2,FALSE)</f>
        <v>1540.64</v>
      </c>
      <c r="AR77" s="125">
        <f>AP77/AP78</f>
        <v>3.1831619056113403E-9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90000010.746944726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6840.0007943299997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Algeria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2 - 4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6840.0007782399998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Ghana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4 - 5</v>
      </c>
      <c r="P82" s="101">
        <f t="shared" ref="P82:P92" si="48">L82*3+M82</f>
        <v>3</v>
      </c>
      <c r="AD82" s="123">
        <f t="shared" si="38"/>
        <v>12</v>
      </c>
      <c r="AE82" s="124" t="str">
        <f>J23</f>
        <v>Scotland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1</v>
      </c>
      <c r="AJ82" s="123">
        <f t="shared" si="42"/>
        <v>6</v>
      </c>
      <c r="AK82" s="123" t="s">
        <v>3182</v>
      </c>
      <c r="AL82" s="123">
        <f t="shared" si="43"/>
        <v>-5</v>
      </c>
      <c r="AM82" s="123">
        <f t="shared" si="44"/>
        <v>0</v>
      </c>
      <c r="AN82" s="123">
        <f t="shared" si="45"/>
        <v>1</v>
      </c>
      <c r="AP82" s="123">
        <f>AN82/AN92*10000+AM82/AM92*1000+AI82/AI92*100+IF(AQ82=0,ROW(),AQ82)/2000000</f>
        <v>2020.000749175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Korea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2 - 3</v>
      </c>
      <c r="P83" s="101">
        <f t="shared" si="48"/>
        <v>3</v>
      </c>
      <c r="AD83" s="123">
        <f t="shared" si="38"/>
        <v>9</v>
      </c>
      <c r="AE83" s="124" t="str">
        <f>J29</f>
        <v>Paraguay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2660.0007517499998</v>
      </c>
      <c r="AQ83" s="126">
        <f t="shared" si="37"/>
        <v>1503.5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Canada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5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6660.0007973900001</v>
      </c>
      <c r="AQ84" s="126">
        <f t="shared" si="37"/>
        <v>1594.78</v>
      </c>
      <c r="AR84" s="125" t="str">
        <f t="shared" si="50"/>
        <v>ABE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4640.000830215</v>
      </c>
      <c r="AQ85" s="126">
        <f t="shared" si="37"/>
        <v>1660.43</v>
      </c>
      <c r="AR85" s="125" t="str">
        <f t="shared" si="50"/>
        <v>ABEF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Ⓔ Ecuador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2440.0008076499998</v>
      </c>
      <c r="AQ86" s="126">
        <f t="shared" si="37"/>
        <v>1615.3</v>
      </c>
      <c r="AR86" s="125" t="str">
        <f t="shared" si="50"/>
        <v>ABEF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6440.0007107150004</v>
      </c>
      <c r="AQ87" s="126">
        <f t="shared" si="37"/>
        <v>1421.43</v>
      </c>
      <c r="AR87" s="125" t="str">
        <f t="shared" si="50"/>
        <v>ABEFH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6680.00077547</v>
      </c>
      <c r="AQ88" s="126">
        <f t="shared" si="37"/>
        <v>1550.94</v>
      </c>
      <c r="AR88" s="125" t="str">
        <f t="shared" si="50"/>
        <v>ABEFHI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8640.0007821300005</v>
      </c>
      <c r="AQ89" s="126">
        <f t="shared" si="37"/>
        <v>1564.26</v>
      </c>
      <c r="AR89" s="125" t="str">
        <f t="shared" si="50"/>
        <v>ABEFHIJ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2200.000739175</v>
      </c>
      <c r="AQ90" s="126">
        <f t="shared" si="37"/>
        <v>1478.35</v>
      </c>
      <c r="AR90" s="125" t="str">
        <f t="shared" si="50"/>
        <v>ABEFHIJ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5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6880.0006731550002</v>
      </c>
      <c r="AQ91" s="126">
        <f t="shared" si="37"/>
        <v>1346.31</v>
      </c>
      <c r="AR91" s="125" t="str">
        <f t="shared" si="50"/>
        <v>ABEFHIJL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Scotland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302</v>
      </c>
      <c r="C3" s="121" t="str">
        <f>'2026 World Cup'!AR91</f>
        <v>ABEFHIJL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Miguel Rosas Espada</cp:lastModifiedBy>
  <cp:revision/>
  <dcterms:created xsi:type="dcterms:W3CDTF">2017-12-27T19:32:51Z</dcterms:created>
  <dcterms:modified xsi:type="dcterms:W3CDTF">2026-06-10T20:46:57Z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