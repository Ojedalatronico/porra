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aa84c278d01795/Desktop/"/>
    </mc:Choice>
  </mc:AlternateContent>
  <xr:revisionPtr revIDLastSave="0" documentId="8_{BCAEB9DC-20F1-4C1F-A065-0C77ACD5C10D}" xr6:coauthVersionLast="47" xr6:coauthVersionMax="47" xr10:uidLastSave="{00000000-0000-0000-0000-000000000000}"/>
  <bookViews>
    <workbookView xWindow="-108" yWindow="-108" windowWidth="30936" windowHeight="1677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BP11" i="3" l="1"/>
  <c r="CR38" i="3"/>
  <c r="O3" i="3"/>
  <c r="G65" i="2"/>
  <c r="G16" i="2"/>
  <c r="CD31" i="3" s="1"/>
  <c r="G15" i="2"/>
  <c r="CE68" i="3" s="1"/>
  <c r="BW19" i="3" l="1"/>
  <c r="BW59" i="3"/>
  <c r="BR59" i="3" s="1" a="1"/>
  <c r="BP53" i="3"/>
  <c r="BK53" i="3" s="1" a="1"/>
  <c r="BP29" i="3"/>
  <c r="BK29" i="3" s="1" a="1"/>
  <c r="BP17" i="3"/>
  <c r="BK17" i="3" s="1" a="1"/>
  <c r="BP45" i="3"/>
  <c r="BK45" i="3" s="1" a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Y6" i="3" a="1"/>
  <c r="CF6" i="3" a="1"/>
  <c r="CM33" i="3" a="1"/>
  <c r="X103" i="3" s="1"/>
  <c r="CM44" i="3" a="1"/>
  <c r="P8" i="3" a="1"/>
  <c r="O8" i="3" a="1"/>
  <c r="N8" i="3" a="1"/>
  <c r="M8" i="3" a="1"/>
  <c r="L8" i="3" a="1"/>
  <c r="K8" i="3" a="1"/>
  <c r="P14" i="3" a="1"/>
  <c r="O14" i="3" a="1"/>
  <c r="N14" i="3" a="1"/>
  <c r="M14" i="3" a="1"/>
  <c r="L14" i="3" a="1"/>
  <c r="K14" i="3" a="1"/>
  <c r="P20" i="3" a="1"/>
  <c r="O20" i="3" a="1"/>
  <c r="N20" i="3" a="1"/>
  <c r="M20" i="3" a="1"/>
  <c r="L20" i="3" a="1"/>
  <c r="K20" i="3" a="1"/>
  <c r="P26" i="3" a="1"/>
  <c r="O26" i="3" a="1"/>
  <c r="N26" i="3" a="1"/>
  <c r="M26" i="3" a="1"/>
  <c r="L26" i="3" a="1"/>
  <c r="K26" i="3" a="1"/>
  <c r="P32" i="3" a="1"/>
  <c r="O32" i="3" a="1"/>
  <c r="N32" i="3" a="1"/>
  <c r="M32" i="3" a="1"/>
  <c r="L32" i="3" a="1"/>
  <c r="K32" i="3" a="1"/>
  <c r="P38" i="3" a="1"/>
  <c r="O38" i="3" a="1"/>
  <c r="N38" i="3" a="1"/>
  <c r="M38" i="3" a="1"/>
  <c r="L38" i="3" a="1"/>
  <c r="K38" i="3" a="1"/>
  <c r="P44" i="3" a="1"/>
  <c r="O44" i="3" a="1"/>
  <c r="N44" i="3" a="1"/>
  <c r="M44" i="3" a="1"/>
  <c r="L44" i="3" a="1"/>
  <c r="K44" i="3" a="1"/>
  <c r="P50" i="3" a="1"/>
  <c r="O50" i="3" a="1"/>
  <c r="N50" i="3" a="1"/>
  <c r="M50" i="3" a="1"/>
  <c r="L50" i="3" a="1"/>
  <c r="K50" i="3" a="1"/>
  <c r="P56" i="3" a="1"/>
  <c r="O56" i="3" a="1"/>
  <c r="N56" i="3" a="1"/>
  <c r="M56" i="3" a="1"/>
  <c r="L56" i="3" a="1"/>
  <c r="K56" i="3" a="1"/>
  <c r="P62" i="3" a="1"/>
  <c r="O62" i="3" a="1"/>
  <c r="N62" i="3" a="1"/>
  <c r="M62" i="3" a="1"/>
  <c r="L62" i="3" a="1"/>
  <c r="K62" i="3" a="1"/>
  <c r="P68" i="3" a="1"/>
  <c r="O68" i="3" a="1"/>
  <c r="N68" i="3" a="1"/>
  <c r="M68" i="3" a="1"/>
  <c r="L68" i="3" a="1"/>
  <c r="K68" i="3" a="1"/>
  <c r="P74" i="3" a="1"/>
  <c r="O74" i="3" a="1"/>
  <c r="N74" i="3" a="1"/>
  <c r="M74" i="3" a="1"/>
  <c r="L74" i="3" a="1"/>
  <c r="K74" i="3" a="1"/>
  <c r="P80" i="3" a="1"/>
  <c r="O80" i="3" a="1"/>
  <c r="N80" i="3" a="1"/>
  <c r="M80" i="3" a="1"/>
  <c r="L80" i="3" a="1"/>
  <c r="K80" i="3" a="1"/>
  <c r="J74" i="3" a="1"/>
  <c r="J68" i="3" a="1"/>
  <c r="J62" i="3" a="1"/>
  <c r="J56" i="3" a="1"/>
  <c r="J50" i="3" a="1"/>
  <c r="J44" i="3" a="1"/>
  <c r="J38" i="3" a="1"/>
  <c r="J32" i="3" a="1"/>
  <c r="J26" i="3" a="1"/>
  <c r="J20" i="3" a="1"/>
  <c r="J14" i="3" a="1"/>
  <c r="J8" i="3" a="1"/>
  <c r="A5" i="3" a="1"/>
  <c r="A1" i="3" a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R47" i="3"/>
  <c r="CM47" i="3" s="1" a="1"/>
  <c r="CK54" i="3"/>
  <c r="CF54" i="3" s="1" a="1"/>
  <c r="CD47" i="3"/>
  <c r="BY47" i="3" s="1" a="1"/>
  <c r="CK22" i="3"/>
  <c r="CF22" i="3" s="1" a="1"/>
  <c r="CD63" i="3"/>
  <c r="BY63" i="3" s="1" a="1"/>
  <c r="BY31" i="3" a="1"/>
  <c r="BW67" i="3"/>
  <c r="BR67" i="3" s="1" a="1"/>
  <c r="CD15" i="3"/>
  <c r="BY15" i="3" s="1" a="1"/>
  <c r="BW51" i="3"/>
  <c r="BR51" i="3" s="1" a="1"/>
  <c r="BW35" i="3"/>
  <c r="BR35" i="3" s="1" a="1"/>
  <c r="BW43" i="3"/>
  <c r="BR43" i="3" s="1" a="1"/>
  <c r="BW27" i="3"/>
  <c r="BR27" i="3" s="1" a="1"/>
  <c r="BR19" i="3" a="1"/>
  <c r="BP69" i="3"/>
  <c r="BK69" i="3" s="1" a="1"/>
  <c r="BW11" i="3"/>
  <c r="BR11" i="3" s="1" a="1"/>
  <c r="BP61" i="3"/>
  <c r="BK61" i="3" s="1" a="1"/>
  <c r="BP65" i="3"/>
  <c r="BK65" i="3" s="1" a="1"/>
  <c r="BP57" i="3"/>
  <c r="BK57" i="3" s="1" a="1"/>
  <c r="BP49" i="3"/>
  <c r="BK49" i="3" s="1" a="1"/>
  <c r="BK41" i="3" a="1"/>
  <c r="BP37" i="3"/>
  <c r="BK37" i="3" s="1" a="1"/>
  <c r="BP33" i="3"/>
  <c r="BK33" i="3" s="1" a="1"/>
  <c r="BP25" i="3"/>
  <c r="BK25" i="3" s="1" a="1"/>
  <c r="BP21" i="3"/>
  <c r="BK21" i="3" s="1" a="1"/>
  <c r="BP13" i="3"/>
  <c r="BK13" i="3" s="1" a="1"/>
  <c r="BP9" i="3"/>
  <c r="BK9" i="3" s="1" a="1"/>
  <c r="I15" i="2"/>
  <c r="AA14" i="3" l="1"/>
  <c r="AA7" i="2" a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B7" i="3" a="1"/>
  <c r="D8" i="3"/>
  <c r="C8" i="3" a="1"/>
  <c r="B8" i="3" a="1"/>
  <c r="D10" i="3"/>
  <c r="C10" i="3" a="1"/>
  <c r="B10" i="3" a="1"/>
  <c r="D18" i="3"/>
  <c r="C18" i="3" a="1"/>
  <c r="B18" i="3" a="1"/>
  <c r="D30" i="3"/>
  <c r="C30" i="3" a="1"/>
  <c r="B30" i="3" a="1"/>
  <c r="D54" i="3"/>
  <c r="C54" i="3" a="1"/>
  <c r="B54" i="3" a="1"/>
  <c r="D65" i="3"/>
  <c r="C65" i="3" a="1"/>
  <c r="B65" i="3" a="1"/>
  <c r="D66" i="3"/>
  <c r="C66" i="3" a="1"/>
  <c r="B66" i="3" a="1"/>
  <c r="D75" i="3"/>
  <c r="C75" i="3" a="1"/>
  <c r="B75" i="3" a="1"/>
  <c r="D76" i="3"/>
  <c r="C76" i="3" a="1"/>
  <c r="B76" i="3" a="1"/>
  <c r="D34" i="3"/>
  <c r="C34" i="3" a="1"/>
  <c r="B34" i="3" a="1"/>
  <c r="D59" i="3"/>
  <c r="C59" i="3" a="1"/>
  <c r="B59" i="3" a="1"/>
  <c r="D60" i="3"/>
  <c r="C60" i="3" a="1"/>
  <c r="B60" i="3" a="1"/>
  <c r="D42" i="3"/>
  <c r="C42" i="3" a="1"/>
  <c r="B42" i="3" a="1"/>
  <c r="D72" i="3"/>
  <c r="C72" i="3" a="1"/>
  <c r="B72" i="3" a="1"/>
  <c r="D31" i="3"/>
  <c r="C31" i="3" a="1"/>
  <c r="B31" i="3" a="1"/>
  <c r="D9" i="3"/>
  <c r="C9" i="3" a="1"/>
  <c r="B9" i="3" a="1"/>
  <c r="D13" i="3"/>
  <c r="C13" i="3" a="1"/>
  <c r="B13" i="3" a="1"/>
  <c r="D11" i="3"/>
  <c r="C11" i="3" a="1"/>
  <c r="B11" i="3" a="1"/>
  <c r="D35" i="3"/>
  <c r="C35" i="3" a="1"/>
  <c r="B35" i="3" a="1"/>
  <c r="D36" i="3"/>
  <c r="C36" i="3" a="1"/>
  <c r="B36" i="3" a="1"/>
  <c r="D55" i="3"/>
  <c r="C55" i="3" a="1"/>
  <c r="B55" i="3" a="1"/>
  <c r="D56" i="3"/>
  <c r="C56" i="3" a="1"/>
  <c r="B56" i="3" a="1"/>
  <c r="D15" i="3"/>
  <c r="C15" i="3" a="1"/>
  <c r="B15" i="3" a="1"/>
  <c r="D39" i="3"/>
  <c r="C39" i="3" a="1"/>
  <c r="B39" i="3" a="1"/>
  <c r="D61" i="3"/>
  <c r="C61" i="3" a="1"/>
  <c r="B61" i="3" a="1"/>
  <c r="D62" i="3"/>
  <c r="C62" i="3" a="1"/>
  <c r="B62" i="3" a="1"/>
  <c r="D20" i="3"/>
  <c r="C20" i="3" a="1"/>
  <c r="B20" i="3" a="1"/>
  <c r="D19" i="3"/>
  <c r="C19" i="3" a="1"/>
  <c r="B19" i="3" a="1"/>
  <c r="D43" i="3"/>
  <c r="C43" i="3" a="1"/>
  <c r="B43" i="3" a="1"/>
  <c r="D44" i="3"/>
  <c r="C44" i="3" a="1"/>
  <c r="B44" i="3" a="1"/>
  <c r="D23" i="3"/>
  <c r="C23" i="3" a="1"/>
  <c r="B23" i="3" a="1"/>
  <c r="D24" i="3"/>
  <c r="C24" i="3" a="1"/>
  <c r="B24" i="3" a="1"/>
  <c r="D48" i="3"/>
  <c r="C48" i="3" a="1"/>
  <c r="B48" i="3" a="1"/>
  <c r="D47" i="3"/>
  <c r="C47" i="3" a="1"/>
  <c r="B47" i="3" a="1"/>
  <c r="D67" i="3"/>
  <c r="C67" i="3" a="1"/>
  <c r="B67" i="3" a="1"/>
  <c r="D68" i="3"/>
  <c r="C68" i="3" a="1"/>
  <c r="B68" i="3" a="1"/>
  <c r="D77" i="3"/>
  <c r="C77" i="3" a="1"/>
  <c r="B77" i="3" a="1"/>
  <c r="D78" i="3"/>
  <c r="C78" i="3" a="1"/>
  <c r="B78" i="3" a="1"/>
  <c r="D27" i="3"/>
  <c r="C27" i="3" a="1"/>
  <c r="B27" i="3" a="1"/>
  <c r="D51" i="3"/>
  <c r="C51" i="3" a="1"/>
  <c r="B51" i="3" a="1"/>
  <c r="D52" i="3"/>
  <c r="C52" i="3" a="1"/>
  <c r="B52" i="3" a="1"/>
  <c r="D73" i="3"/>
  <c r="C73" i="3" a="1"/>
  <c r="B73" i="3" a="1"/>
  <c r="D74" i="3"/>
  <c r="C74" i="3" a="1"/>
  <c r="B74" i="3" a="1"/>
  <c r="D14" i="3"/>
  <c r="C14" i="3" a="1"/>
  <c r="B14" i="3" a="1"/>
  <c r="D32" i="3"/>
  <c r="C32" i="3" a="1"/>
  <c r="B32" i="3" a="1"/>
  <c r="D33" i="3"/>
  <c r="C33" i="3" a="1"/>
  <c r="B33" i="3" a="1"/>
  <c r="D57" i="3"/>
  <c r="C57" i="3" a="1"/>
  <c r="B57" i="3" a="1"/>
  <c r="D58" i="3"/>
  <c r="C58" i="3" a="1"/>
  <c r="B58" i="3" a="1"/>
  <c r="D12" i="3"/>
  <c r="C12" i="3" a="1"/>
  <c r="B12" i="3" a="1"/>
  <c r="D38" i="3"/>
  <c r="C38" i="3" a="1"/>
  <c r="B38" i="3" a="1"/>
  <c r="D37" i="3"/>
  <c r="C37" i="3" a="1"/>
  <c r="B37" i="3" a="1"/>
  <c r="D22" i="3"/>
  <c r="C22" i="3" a="1"/>
  <c r="B22" i="3" a="1"/>
  <c r="D21" i="3"/>
  <c r="C21" i="3" a="1"/>
  <c r="B21" i="3" a="1"/>
  <c r="D45" i="3"/>
  <c r="C45" i="3" a="1"/>
  <c r="B45" i="3" a="1"/>
  <c r="D46" i="3"/>
  <c r="C46" i="3" a="1"/>
  <c r="B46" i="3" a="1"/>
  <c r="D69" i="3"/>
  <c r="C69" i="3" a="1"/>
  <c r="B69" i="3" a="1"/>
  <c r="D70" i="3"/>
  <c r="C70" i="3" a="1"/>
  <c r="B70" i="3" a="1"/>
  <c r="D26" i="3"/>
  <c r="C26" i="3" a="1"/>
  <c r="B26" i="3" a="1"/>
  <c r="D50" i="3"/>
  <c r="C50" i="3" a="1"/>
  <c r="B50" i="3" a="1"/>
  <c r="D16" i="3"/>
  <c r="C16" i="3" a="1"/>
  <c r="B16" i="3" a="1"/>
  <c r="D40" i="3"/>
  <c r="C40" i="3" a="1"/>
  <c r="B40" i="3" a="1"/>
  <c r="D17" i="3"/>
  <c r="C17" i="3" a="1"/>
  <c r="B17" i="3" a="1"/>
  <c r="D41" i="3"/>
  <c r="C41" i="3" a="1"/>
  <c r="B41" i="3" a="1"/>
  <c r="D63" i="3"/>
  <c r="C63" i="3" a="1"/>
  <c r="B63" i="3" a="1"/>
  <c r="D64" i="3"/>
  <c r="C64" i="3" a="1"/>
  <c r="B64" i="3" a="1"/>
  <c r="D71" i="3"/>
  <c r="C71" i="3" a="1"/>
  <c r="B71" i="3" a="1"/>
  <c r="D25" i="3"/>
  <c r="C25" i="3" a="1"/>
  <c r="B25" i="3" a="1"/>
  <c r="D49" i="3"/>
  <c r="C49" i="3" a="1"/>
  <c r="B49" i="3" a="1"/>
  <c r="D29" i="3"/>
  <c r="C29" i="3" a="1"/>
  <c r="B29" i="3" a="1"/>
  <c r="D53" i="3"/>
  <c r="C53" i="3" a="1"/>
  <c r="B53" i="3" a="1"/>
  <c r="D28" i="3"/>
  <c r="C28" i="3" a="1"/>
  <c r="B28" i="3" a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78" i="3" l="1"/>
  <c r="T63" i="3"/>
  <c r="T61" i="3"/>
  <c r="T56" i="3"/>
  <c r="T53" i="3"/>
  <c r="T51" i="3"/>
  <c r="T48" i="3"/>
  <c r="T46" i="3"/>
  <c r="T43" i="3"/>
  <c r="T41" i="3"/>
  <c r="T37" i="3"/>
  <c r="T35" i="3"/>
  <c r="T33" i="3"/>
  <c r="T28" i="3"/>
  <c r="T27" i="3"/>
  <c r="T26" i="3"/>
  <c r="T25" i="3"/>
  <c r="T23" i="3"/>
  <c r="T21" i="3"/>
  <c r="T19" i="3"/>
  <c r="T18" i="3"/>
  <c r="T16" i="3"/>
  <c r="T12" i="3"/>
  <c r="T8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U77" i="3" a="1"/>
  <c r="AT76" i="3" a="1"/>
  <c r="AU76" i="3" a="1"/>
  <c r="AT75" i="3" a="1"/>
  <c r="AU75" i="3" a="1"/>
  <c r="AT74" i="3" a="1"/>
  <c r="AU74" i="3" a="1"/>
  <c r="AT71" i="3" a="1"/>
  <c r="AU71" i="3" a="1"/>
  <c r="AT70" i="3" a="1"/>
  <c r="AU70" i="3" a="1"/>
  <c r="AT69" i="3" a="1"/>
  <c r="AU69" i="3" a="1"/>
  <c r="AT68" i="3" a="1"/>
  <c r="AU68" i="3" a="1"/>
  <c r="AT65" i="3" a="1"/>
  <c r="AU65" i="3" a="1"/>
  <c r="AT64" i="3" a="1"/>
  <c r="AU64" i="3" a="1"/>
  <c r="AT63" i="3" a="1"/>
  <c r="AU63" i="3" a="1"/>
  <c r="AT62" i="3" a="1"/>
  <c r="AU62" i="3" a="1"/>
  <c r="AT59" i="3" a="1"/>
  <c r="AU59" i="3" a="1"/>
  <c r="AT58" i="3" a="1"/>
  <c r="AU58" i="3" a="1"/>
  <c r="AT57" i="3" a="1"/>
  <c r="AU57" i="3" a="1"/>
  <c r="AT56" i="3" a="1"/>
  <c r="AU56" i="3" a="1"/>
  <c r="AT53" i="3" a="1"/>
  <c r="AU53" i="3" a="1"/>
  <c r="AT52" i="3" a="1"/>
  <c r="AU52" i="3" a="1"/>
  <c r="AT51" i="3" a="1"/>
  <c r="AU51" i="3" a="1"/>
  <c r="AT50" i="3" a="1"/>
  <c r="AU50" i="3" a="1"/>
  <c r="AT47" i="3" a="1"/>
  <c r="AU47" i="3" a="1"/>
  <c r="AT46" i="3" a="1"/>
  <c r="AU46" i="3" a="1"/>
  <c r="AT45" i="3" a="1"/>
  <c r="AU45" i="3" a="1"/>
  <c r="AT44" i="3" a="1"/>
  <c r="AU44" i="3" a="1"/>
  <c r="AT41" i="3" a="1"/>
  <c r="AU41" i="3" a="1"/>
  <c r="AT40" i="3" a="1"/>
  <c r="AU40" i="3" a="1"/>
  <c r="AT39" i="3" a="1"/>
  <c r="AU39" i="3" a="1"/>
  <c r="AT38" i="3" a="1"/>
  <c r="AU38" i="3" a="1"/>
  <c r="AT35" i="3" a="1"/>
  <c r="AU35" i="3" a="1"/>
  <c r="AT34" i="3" a="1"/>
  <c r="AU34" i="3" a="1"/>
  <c r="AT33" i="3" a="1"/>
  <c r="AU33" i="3" a="1"/>
  <c r="AT32" i="3" a="1"/>
  <c r="AU32" i="3" a="1"/>
  <c r="AT29" i="3" a="1"/>
  <c r="AU29" i="3" a="1"/>
  <c r="AT28" i="3" a="1"/>
  <c r="AU28" i="3" a="1"/>
  <c r="AT27" i="3" a="1"/>
  <c r="AU27" i="3" a="1"/>
  <c r="AT26" i="3" a="1"/>
  <c r="AU26" i="3" a="1"/>
  <c r="AT23" i="3" a="1"/>
  <c r="AU23" i="3" a="1"/>
  <c r="AT22" i="3" a="1"/>
  <c r="AU22" i="3" a="1"/>
  <c r="AT21" i="3" a="1"/>
  <c r="AU21" i="3" a="1"/>
  <c r="AT20" i="3" a="1"/>
  <c r="AU20" i="3" a="1"/>
  <c r="AT17" i="3" a="1"/>
  <c r="AU17" i="3" a="1"/>
  <c r="AT16" i="3" a="1"/>
  <c r="AU16" i="3" a="1"/>
  <c r="AT15" i="3" a="1"/>
  <c r="AU15" i="3" a="1"/>
  <c r="AT14" i="3" a="1"/>
  <c r="AU14" i="3" a="1"/>
  <c r="AT11" i="3" a="1"/>
  <c r="AU11" i="3" a="1"/>
  <c r="AT10" i="3" a="1"/>
  <c r="AU10" i="3" a="1"/>
  <c r="AT9" i="3" a="1"/>
  <c r="AU9" i="3" a="1"/>
  <c r="AT8" i="3" a="1"/>
  <c r="AU8" i="3" a="1"/>
  <c r="AV8" i="3" a="1"/>
  <c r="AW8" i="3" a="1"/>
  <c r="AV9" i="3" a="1"/>
  <c r="AW9" i="3" a="1"/>
  <c r="AV10" i="3" a="1"/>
  <c r="AW10" i="3" a="1"/>
  <c r="AV11" i="3" a="1"/>
  <c r="AW11" i="3" a="1"/>
  <c r="AV14" i="3" a="1"/>
  <c r="AW14" i="3" a="1"/>
  <c r="AV15" i="3" a="1"/>
  <c r="AW15" i="3" a="1"/>
  <c r="AV16" i="3" a="1"/>
  <c r="AW16" i="3" a="1"/>
  <c r="AV17" i="3" a="1"/>
  <c r="AW17" i="3" a="1"/>
  <c r="AV20" i="3" a="1"/>
  <c r="AW20" i="3" a="1"/>
  <c r="AV21" i="3" a="1"/>
  <c r="AW21" i="3" a="1"/>
  <c r="AV22" i="3" a="1"/>
  <c r="AW22" i="3" a="1"/>
  <c r="AV23" i="3" a="1"/>
  <c r="AW23" i="3" a="1"/>
  <c r="AV26" i="3" a="1"/>
  <c r="AW26" i="3" a="1"/>
  <c r="AV27" i="3" a="1"/>
  <c r="AW27" i="3" a="1"/>
  <c r="AV28" i="3" a="1"/>
  <c r="AW28" i="3" a="1"/>
  <c r="AV29" i="3" a="1"/>
  <c r="AW29" i="3" a="1"/>
  <c r="AV32" i="3" a="1"/>
  <c r="AW32" i="3" a="1"/>
  <c r="AV33" i="3" a="1"/>
  <c r="AW33" i="3" a="1"/>
  <c r="AV34" i="3" a="1"/>
  <c r="AW34" i="3" a="1"/>
  <c r="AV35" i="3" a="1"/>
  <c r="AW35" i="3" a="1"/>
  <c r="AV38" i="3" a="1"/>
  <c r="AW38" i="3" a="1"/>
  <c r="AV39" i="3" a="1"/>
  <c r="AW39" i="3" a="1"/>
  <c r="AV40" i="3" a="1"/>
  <c r="AW40" i="3" a="1"/>
  <c r="AV41" i="3" a="1"/>
  <c r="AW41" i="3" a="1"/>
  <c r="AV44" i="3" a="1"/>
  <c r="AW44" i="3" a="1"/>
  <c r="AV45" i="3" a="1"/>
  <c r="AW45" i="3" a="1"/>
  <c r="AV46" i="3" a="1"/>
  <c r="AW46" i="3" a="1"/>
  <c r="AV47" i="3" a="1"/>
  <c r="AW47" i="3" a="1"/>
  <c r="AV50" i="3" a="1"/>
  <c r="AW50" i="3" a="1"/>
  <c r="AV51" i="3" a="1"/>
  <c r="AW51" i="3" a="1"/>
  <c r="AV52" i="3" a="1"/>
  <c r="AW52" i="3" a="1"/>
  <c r="AV53" i="3" a="1"/>
  <c r="AW53" i="3" a="1"/>
  <c r="AV56" i="3" a="1"/>
  <c r="AW56" i="3" a="1"/>
  <c r="AV57" i="3" a="1"/>
  <c r="AW57" i="3" a="1"/>
  <c r="AV58" i="3" a="1"/>
  <c r="AW58" i="3" a="1"/>
  <c r="AV59" i="3" a="1"/>
  <c r="AW59" i="3" a="1"/>
  <c r="AV62" i="3" a="1"/>
  <c r="AW62" i="3" a="1"/>
  <c r="AV63" i="3" a="1"/>
  <c r="AW63" i="3" a="1"/>
  <c r="AV64" i="3" a="1"/>
  <c r="AW64" i="3" a="1"/>
  <c r="AV65" i="3" a="1"/>
  <c r="AW65" i="3" a="1"/>
  <c r="AV68" i="3" a="1"/>
  <c r="AW68" i="3" a="1"/>
  <c r="AV69" i="3" a="1"/>
  <c r="AW69" i="3" a="1"/>
  <c r="AV70" i="3" a="1"/>
  <c r="AW70" i="3" a="1"/>
  <c r="AV71" i="3" a="1"/>
  <c r="AW71" i="3" a="1"/>
  <c r="AV74" i="3" a="1"/>
  <c r="AW74" i="3" a="1"/>
  <c r="AV75" i="3" a="1"/>
  <c r="AW75" i="3" a="1"/>
  <c r="AV76" i="3" a="1"/>
  <c r="AW76" i="3" a="1"/>
  <c r="AV77" i="3" a="1"/>
  <c r="AW77" i="3" a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D77" i="3" a="1"/>
  <c r="BE76" i="3" a="1"/>
  <c r="BD76" i="3" a="1"/>
  <c r="BE75" i="3" a="1"/>
  <c r="BD75" i="3" a="1"/>
  <c r="BE74" i="3" a="1"/>
  <c r="BD74" i="3" a="1"/>
  <c r="BE71" i="3" a="1"/>
  <c r="BD71" i="3" a="1"/>
  <c r="BE70" i="3" a="1"/>
  <c r="BD70" i="3" a="1"/>
  <c r="BE69" i="3" a="1"/>
  <c r="BD69" i="3" a="1"/>
  <c r="BE68" i="3" a="1"/>
  <c r="BD68" i="3" a="1"/>
  <c r="BE65" i="3" a="1"/>
  <c r="BD65" i="3" a="1"/>
  <c r="BE64" i="3" a="1"/>
  <c r="BD64" i="3" a="1"/>
  <c r="BE63" i="3" a="1"/>
  <c r="BD63" i="3" a="1"/>
  <c r="BE62" i="3" a="1"/>
  <c r="BD62" i="3" a="1"/>
  <c r="BE59" i="3" a="1"/>
  <c r="BD59" i="3" a="1"/>
  <c r="BE58" i="3" a="1"/>
  <c r="BD58" i="3" a="1"/>
  <c r="BE57" i="3" a="1"/>
  <c r="BD57" i="3" a="1"/>
  <c r="BE56" i="3" a="1"/>
  <c r="BD56" i="3" a="1"/>
  <c r="BE53" i="3" a="1"/>
  <c r="BD53" i="3" a="1"/>
  <c r="BE52" i="3" a="1"/>
  <c r="BD52" i="3" a="1"/>
  <c r="BE51" i="3" a="1"/>
  <c r="BD51" i="3" a="1"/>
  <c r="BE50" i="3" a="1"/>
  <c r="BD50" i="3" a="1"/>
  <c r="BE47" i="3" a="1"/>
  <c r="BD47" i="3" a="1"/>
  <c r="BE46" i="3" a="1"/>
  <c r="BD46" i="3" a="1"/>
  <c r="BE45" i="3" a="1"/>
  <c r="BD45" i="3" a="1"/>
  <c r="BE44" i="3" a="1"/>
  <c r="BD44" i="3" a="1"/>
  <c r="BE41" i="3" a="1"/>
  <c r="BD41" i="3" a="1"/>
  <c r="BE40" i="3" a="1"/>
  <c r="BD40" i="3" a="1"/>
  <c r="BE39" i="3" a="1"/>
  <c r="BD39" i="3" a="1"/>
  <c r="BE38" i="3" a="1"/>
  <c r="BD38" i="3" a="1"/>
  <c r="BE35" i="3" a="1"/>
  <c r="BD35" i="3" a="1"/>
  <c r="BE34" i="3" a="1"/>
  <c r="BD34" i="3" a="1"/>
  <c r="BE33" i="3" a="1"/>
  <c r="BD33" i="3" a="1"/>
  <c r="BE32" i="3" a="1"/>
  <c r="BD32" i="3" a="1"/>
  <c r="BE29" i="3" a="1"/>
  <c r="BD29" i="3" a="1"/>
  <c r="BE28" i="3" a="1"/>
  <c r="BD28" i="3" a="1"/>
  <c r="BE27" i="3" a="1"/>
  <c r="BD27" i="3" a="1"/>
  <c r="BE26" i="3" a="1"/>
  <c r="BD26" i="3" a="1"/>
  <c r="BE23" i="3" a="1"/>
  <c r="BD23" i="3" a="1"/>
  <c r="BE22" i="3" a="1"/>
  <c r="BD22" i="3" a="1"/>
  <c r="BE21" i="3" a="1"/>
  <c r="BD21" i="3" a="1"/>
  <c r="BE20" i="3" a="1"/>
  <c r="BD20" i="3" a="1"/>
  <c r="BE17" i="3" a="1"/>
  <c r="BD17" i="3" a="1"/>
  <c r="BE16" i="3" a="1"/>
  <c r="BD16" i="3" a="1"/>
  <c r="BE15" i="3" a="1"/>
  <c r="BD15" i="3" a="1"/>
  <c r="BE14" i="3" a="1"/>
  <c r="BD14" i="3" a="1"/>
  <c r="BE11" i="3" a="1"/>
  <c r="BD11" i="3" a="1"/>
  <c r="BE10" i="3" a="1"/>
  <c r="BD10" i="3" a="1"/>
  <c r="BE9" i="3" a="1"/>
  <c r="BD9" i="3" a="1"/>
  <c r="BE8" i="3" a="1"/>
  <c r="BD8" i="3" a="1"/>
  <c r="BC77" i="3" a="1"/>
  <c r="BB77" i="3" a="1"/>
  <c r="BC76" i="3" a="1"/>
  <c r="BB76" i="3" a="1"/>
  <c r="BC75" i="3" a="1"/>
  <c r="BB75" i="3" a="1"/>
  <c r="BC74" i="3" a="1"/>
  <c r="BB74" i="3" a="1"/>
  <c r="BC71" i="3" a="1"/>
  <c r="BB71" i="3" a="1"/>
  <c r="BC70" i="3" a="1"/>
  <c r="BB70" i="3" a="1"/>
  <c r="BC69" i="3" a="1"/>
  <c r="BB69" i="3" a="1"/>
  <c r="BC68" i="3" a="1"/>
  <c r="BB68" i="3" a="1"/>
  <c r="BC65" i="3" a="1"/>
  <c r="BB65" i="3" a="1"/>
  <c r="BC64" i="3" a="1"/>
  <c r="BB64" i="3" a="1"/>
  <c r="BC63" i="3" a="1"/>
  <c r="BB63" i="3" a="1"/>
  <c r="BC62" i="3" a="1"/>
  <c r="BB62" i="3" a="1"/>
  <c r="BC59" i="3" a="1"/>
  <c r="BB59" i="3" a="1"/>
  <c r="BC58" i="3" a="1"/>
  <c r="BB58" i="3" a="1"/>
  <c r="BC57" i="3" a="1"/>
  <c r="BB57" i="3" a="1"/>
  <c r="BC56" i="3" a="1"/>
  <c r="BB56" i="3" a="1"/>
  <c r="BC53" i="3" a="1"/>
  <c r="BB53" i="3" a="1"/>
  <c r="BC52" i="3" a="1"/>
  <c r="BB52" i="3" a="1"/>
  <c r="BC51" i="3" a="1"/>
  <c r="BB51" i="3" a="1"/>
  <c r="BC50" i="3" a="1"/>
  <c r="BB50" i="3" a="1"/>
  <c r="BC47" i="3" a="1"/>
  <c r="BB47" i="3" a="1"/>
  <c r="BC46" i="3" a="1"/>
  <c r="BB46" i="3" a="1"/>
  <c r="BC45" i="3" a="1"/>
  <c r="BB45" i="3" a="1"/>
  <c r="BC44" i="3" a="1"/>
  <c r="BB44" i="3" a="1"/>
  <c r="BC41" i="3" a="1"/>
  <c r="BB41" i="3" a="1"/>
  <c r="BC40" i="3" a="1"/>
  <c r="BB40" i="3" a="1"/>
  <c r="BC39" i="3" a="1"/>
  <c r="BB39" i="3" a="1"/>
  <c r="BC38" i="3" a="1"/>
  <c r="BB38" i="3" a="1"/>
  <c r="BC35" i="3" a="1"/>
  <c r="BB35" i="3" a="1"/>
  <c r="BC34" i="3" a="1"/>
  <c r="BB34" i="3" a="1"/>
  <c r="BC33" i="3" a="1"/>
  <c r="BB33" i="3" a="1"/>
  <c r="BC32" i="3" a="1"/>
  <c r="BB32" i="3" a="1"/>
  <c r="BC29" i="3" a="1"/>
  <c r="BB29" i="3" a="1"/>
  <c r="BC28" i="3" a="1"/>
  <c r="BB28" i="3" a="1"/>
  <c r="BC27" i="3" a="1"/>
  <c r="BB27" i="3" a="1"/>
  <c r="BC26" i="3" a="1"/>
  <c r="BB26" i="3" a="1"/>
  <c r="BC23" i="3" a="1"/>
  <c r="BB23" i="3" a="1"/>
  <c r="BC22" i="3" a="1"/>
  <c r="BB22" i="3" a="1"/>
  <c r="BC21" i="3" a="1"/>
  <c r="BB21" i="3" a="1"/>
  <c r="BC20" i="3" a="1"/>
  <c r="BB20" i="3" a="1"/>
  <c r="BC17" i="3" a="1"/>
  <c r="BB17" i="3" a="1"/>
  <c r="BC16" i="3" a="1"/>
  <c r="BB16" i="3" a="1"/>
  <c r="BC15" i="3" a="1"/>
  <c r="BB15" i="3" a="1"/>
  <c r="BC14" i="3" a="1"/>
  <c r="BB14" i="3" a="1"/>
  <c r="BC11" i="3" a="1"/>
  <c r="BB11" i="3" a="1"/>
  <c r="BC10" i="3" a="1"/>
  <c r="BB10" i="3" a="1"/>
  <c r="BC9" i="3" a="1"/>
  <c r="BB9" i="3" a="1"/>
  <c r="BC8" i="3" a="1"/>
  <c r="BB8" i="3" a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 l="1"/>
  <c r="BH57" i="3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I56" i="3" s="1"/>
  <c r="AP56" i="3" s="1"/>
  <c r="BH78" i="3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7" i="3" l="1"/>
  <c r="AP57" i="3" s="1"/>
  <c r="BI59" i="3"/>
  <c r="AP59" i="3" s="1"/>
  <c r="BI58" i="3"/>
  <c r="AP58" i="3" s="1"/>
  <c r="BI26" i="3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60" i="3" l="1"/>
  <c r="AR57" i="3" s="1"/>
  <c r="AP12" i="3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P42" i="3"/>
  <c r="AR38" i="3" s="1"/>
  <c r="AP66" i="3"/>
  <c r="AR62" i="3" s="1"/>
  <c r="AP48" i="3"/>
  <c r="AR44" i="3" s="1"/>
  <c r="AP18" i="3"/>
  <c r="AR14" i="3" s="1"/>
  <c r="AP54" i="3"/>
  <c r="AR50" i="3" s="1"/>
  <c r="AR58" i="3" l="1"/>
  <c r="AR56" i="3"/>
  <c r="AR59" i="3"/>
  <c r="AD57" i="3" s="1"/>
  <c r="AR11" i="3"/>
  <c r="AR10" i="3"/>
  <c r="AR9" i="3"/>
  <c r="AR35" i="3"/>
  <c r="AR34" i="3"/>
  <c r="AR33" i="3"/>
  <c r="AR22" i="3"/>
  <c r="AR21" i="3"/>
  <c r="AR28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R16" i="3"/>
  <c r="AR17" i="3"/>
  <c r="AD58" i="3" l="1"/>
  <c r="AD56" i="3"/>
  <c r="AD59" i="3"/>
  <c r="AD53" i="3"/>
  <c r="AD77" i="3"/>
  <c r="AD15" i="3"/>
  <c r="AD8" i="3"/>
  <c r="AD70" i="3"/>
  <c r="AD68" i="3"/>
  <c r="AD11" i="3"/>
  <c r="AD32" i="3"/>
  <c r="AD14" i="3"/>
  <c r="AD9" i="3"/>
  <c r="AD10" i="3"/>
  <c r="AD33" i="3"/>
  <c r="AD34" i="3"/>
  <c r="AD35" i="3"/>
  <c r="AD63" i="3"/>
  <c r="AD44" i="3"/>
  <c r="AD47" i="3"/>
  <c r="AD41" i="3"/>
  <c r="AD74" i="3"/>
  <c r="AD76" i="3"/>
  <c r="AD71" i="3"/>
  <c r="AD28" i="3"/>
  <c r="AD29" i="3"/>
  <c r="AD75" i="3"/>
  <c r="AD22" i="3"/>
  <c r="AD27" i="3"/>
  <c r="AD62" i="3"/>
  <c r="AD20" i="3"/>
  <c r="AD21" i="3"/>
  <c r="AD26" i="3"/>
  <c r="AD69" i="3"/>
  <c r="AD39" i="3"/>
  <c r="AD64" i="3"/>
  <c r="AD16" i="3"/>
  <c r="AD46" i="3"/>
  <c r="AD23" i="3"/>
  <c r="AD65" i="3"/>
  <c r="AD51" i="3"/>
  <c r="AD45" i="3"/>
  <c r="AD40" i="3"/>
  <c r="AD52" i="3"/>
  <c r="AD38" i="3"/>
  <c r="AD50" i="3"/>
  <c r="AD17" i="3"/>
  <c r="L59" i="3" l="1"/>
  <c r="O60" i="3"/>
  <c r="L58" i="3"/>
  <c r="L57" i="3"/>
  <c r="N58" i="3"/>
  <c r="M59" i="3"/>
  <c r="L60" i="3"/>
  <c r="J57" i="3"/>
  <c r="AS56" i="3" s="1"/>
  <c r="BL14" i="3" s="1"/>
  <c r="J59" i="3"/>
  <c r="AE88" i="3" s="1"/>
  <c r="AQ88" i="3" s="1"/>
  <c r="N60" i="3"/>
  <c r="J58" i="3"/>
  <c r="AS57" i="3" s="1"/>
  <c r="BL47" i="3" s="1"/>
  <c r="BS45" i="3" s="1"/>
  <c r="N59" i="3"/>
  <c r="M58" i="3"/>
  <c r="M60" i="3"/>
  <c r="O57" i="3"/>
  <c r="M57" i="3"/>
  <c r="O58" i="3"/>
  <c r="N57" i="3"/>
  <c r="J60" i="3"/>
  <c r="O59" i="3"/>
  <c r="N9" i="3"/>
  <c r="O9" i="3"/>
  <c r="L9" i="3"/>
  <c r="J9" i="3"/>
  <c r="AS8" i="3" s="1"/>
  <c r="BL50" i="3" s="1"/>
  <c r="M9" i="3"/>
  <c r="L69" i="3"/>
  <c r="O12" i="3"/>
  <c r="L12" i="3"/>
  <c r="M12" i="3"/>
  <c r="M69" i="3"/>
  <c r="N69" i="3"/>
  <c r="O69" i="3"/>
  <c r="J69" i="3"/>
  <c r="AS68" i="3" s="1"/>
  <c r="BL70" i="3" s="1"/>
  <c r="N17" i="3"/>
  <c r="J12" i="3"/>
  <c r="N12" i="3"/>
  <c r="L11" i="3"/>
  <c r="M10" i="3"/>
  <c r="N10" i="3"/>
  <c r="O11" i="3"/>
  <c r="J11" i="3"/>
  <c r="AE80" i="3" s="1"/>
  <c r="AQ80" i="3" s="1"/>
  <c r="J10" i="3"/>
  <c r="AS9" i="3" s="1"/>
  <c r="BL18" i="3" s="1"/>
  <c r="J16" i="3"/>
  <c r="AS15" i="3" s="1"/>
  <c r="BL19" i="3" s="1"/>
  <c r="O16" i="3"/>
  <c r="L16" i="3"/>
  <c r="L18" i="3"/>
  <c r="J35" i="3"/>
  <c r="AE84" i="3" s="1"/>
  <c r="AQ84" i="3" s="1"/>
  <c r="O45" i="3"/>
  <c r="L10" i="3"/>
  <c r="O10" i="3"/>
  <c r="N11" i="3"/>
  <c r="M11" i="3"/>
  <c r="M16" i="3"/>
  <c r="M18" i="3"/>
  <c r="N16" i="3"/>
  <c r="J18" i="3"/>
  <c r="O18" i="3"/>
  <c r="N18" i="3"/>
  <c r="J36" i="3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5" i="3"/>
  <c r="AS44" i="3" s="1"/>
  <c r="BL38" i="3" s="1"/>
  <c r="M45" i="3"/>
  <c r="N45" i="3"/>
  <c r="L45" i="3"/>
  <c r="L23" i="3"/>
  <c r="J42" i="3"/>
  <c r="J47" i="3"/>
  <c r="AE86" i="3" s="1"/>
  <c r="AQ86" i="3" s="1"/>
  <c r="N47" i="3"/>
  <c r="L47" i="3"/>
  <c r="O47" i="3"/>
  <c r="L75" i="3"/>
  <c r="O75" i="3"/>
  <c r="N75" i="3"/>
  <c r="J75" i="3"/>
  <c r="AS74" i="3" s="1"/>
  <c r="BL54" i="3" s="1"/>
  <c r="M75" i="3"/>
  <c r="M41" i="3"/>
  <c r="N53" i="3"/>
  <c r="O54" i="3"/>
  <c r="L15" i="3"/>
  <c r="O17" i="3"/>
  <c r="L17" i="3"/>
  <c r="M17" i="3"/>
  <c r="J24" i="3"/>
  <c r="J22" i="3"/>
  <c r="AS21" i="3" s="1"/>
  <c r="BL23" i="3" s="1"/>
  <c r="J21" i="3"/>
  <c r="AS20" i="3" s="1"/>
  <c r="BL42" i="3" s="1"/>
  <c r="BS44" i="3" s="1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 s="1"/>
  <c r="AQ83" i="3" s="1"/>
  <c r="J28" i="3"/>
  <c r="AS27" i="3" s="1"/>
  <c r="BL62" i="3" s="1"/>
  <c r="BS61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M28" i="3"/>
  <c r="O27" i="3"/>
  <c r="N28" i="3"/>
  <c r="N30" i="3"/>
  <c r="L30" i="3"/>
  <c r="O30" i="3"/>
  <c r="J41" i="3"/>
  <c r="AE85" i="3" s="1"/>
  <c r="AQ85" i="3" s="1"/>
  <c r="J40" i="3"/>
  <c r="AS39" i="3" s="1"/>
  <c r="BL43" i="3" s="1"/>
  <c r="J39" i="3"/>
  <c r="AS38" i="3" s="1"/>
  <c r="BL22" i="3" s="1"/>
  <c r="N39" i="3"/>
  <c r="O40" i="3"/>
  <c r="L39" i="3"/>
  <c r="L42" i="3"/>
  <c r="M40" i="3"/>
  <c r="L40" i="3"/>
  <c r="O42" i="3"/>
  <c r="M39" i="3"/>
  <c r="O39" i="3"/>
  <c r="N40" i="3"/>
  <c r="M42" i="3"/>
  <c r="J48" i="3"/>
  <c r="J46" i="3"/>
  <c r="AS45" i="3" s="1"/>
  <c r="BL63" i="3" s="1"/>
  <c r="N46" i="3"/>
  <c r="L46" i="3"/>
  <c r="O46" i="3"/>
  <c r="O48" i="3"/>
  <c r="M46" i="3"/>
  <c r="N48" i="3"/>
  <c r="M47" i="3"/>
  <c r="M48" i="3"/>
  <c r="L48" i="3"/>
  <c r="M54" i="3"/>
  <c r="M51" i="3"/>
  <c r="L51" i="3"/>
  <c r="N51" i="3"/>
  <c r="J51" i="3"/>
  <c r="AS50" i="3" s="1"/>
  <c r="BL30" i="3" s="1"/>
  <c r="J52" i="3"/>
  <c r="AS51" i="3" s="1"/>
  <c r="BL59" i="3" s="1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 s="1"/>
  <c r="AQ89" i="3" s="1"/>
  <c r="J64" i="3"/>
  <c r="AS63" i="3" s="1"/>
  <c r="BL31" i="3" s="1"/>
  <c r="J63" i="3"/>
  <c r="AS62" i="3" s="1"/>
  <c r="BL58" i="3" s="1"/>
  <c r="BS60" i="3" s="1"/>
  <c r="BZ64" i="3" s="1"/>
  <c r="L70" i="3"/>
  <c r="M70" i="3"/>
  <c r="N70" i="3"/>
  <c r="O70" i="3"/>
  <c r="L71" i="3"/>
  <c r="M71" i="3"/>
  <c r="N71" i="3"/>
  <c r="J72" i="3"/>
  <c r="J70" i="3"/>
  <c r="AS69" i="3" s="1"/>
  <c r="BL26" i="3" s="1"/>
  <c r="O71" i="3"/>
  <c r="L72" i="3"/>
  <c r="M72" i="3"/>
  <c r="N72" i="3"/>
  <c r="O72" i="3"/>
  <c r="J71" i="3"/>
  <c r="AE90" i="3" s="1"/>
  <c r="AQ90" i="3" s="1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J54" i="3"/>
  <c r="O52" i="3"/>
  <c r="O41" i="3"/>
  <c r="L41" i="3"/>
  <c r="N23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N42" i="3"/>
  <c r="M15" i="3"/>
  <c r="O15" i="3"/>
  <c r="J15" i="3"/>
  <c r="AS14" i="3" s="1"/>
  <c r="BL66" i="3" s="1"/>
  <c r="BZ48" i="3" l="1"/>
  <c r="S91" i="3"/>
  <c r="T91" i="3" s="1" a="1"/>
  <c r="BS37" i="3"/>
  <c r="S90" i="3"/>
  <c r="T90" i="3" s="1" a="1"/>
  <c r="BS36" i="3"/>
  <c r="S89" i="3"/>
  <c r="T89" i="3" s="1" a="1"/>
  <c r="BS21" i="3"/>
  <c r="S87" i="3"/>
  <c r="T87" i="3" s="1" a="1"/>
  <c r="BS29" i="3"/>
  <c r="S86" i="3"/>
  <c r="T86" i="3" s="1" a="1"/>
  <c r="BS28" i="3"/>
  <c r="S88" i="3"/>
  <c r="T88" i="3" s="1" a="1"/>
  <c r="BS20" i="3"/>
  <c r="AF88" i="3"/>
  <c r="AG88" i="3"/>
  <c r="K59" i="3"/>
  <c r="AI88" i="3"/>
  <c r="AJ88" i="3"/>
  <c r="AN88" i="3"/>
  <c r="AT88" i="3"/>
  <c r="P58" i="3"/>
  <c r="K58" i="3"/>
  <c r="P59" i="3"/>
  <c r="P57" i="3"/>
  <c r="K57" i="3"/>
  <c r="AL88" i="3"/>
  <c r="AH88" i="3"/>
  <c r="P60" i="3"/>
  <c r="K60" i="3"/>
  <c r="P9" i="3"/>
  <c r="K9" i="3"/>
  <c r="P12" i="3"/>
  <c r="P69" i="3"/>
  <c r="K69" i="3"/>
  <c r="AF80" i="3"/>
  <c r="AG80" i="3"/>
  <c r="AH80" i="3"/>
  <c r="AI80" i="3"/>
  <c r="AJ80" i="3"/>
  <c r="AL80" i="3"/>
  <c r="AN80" i="3"/>
  <c r="AT80" i="3"/>
  <c r="K12" i="3"/>
  <c r="P52" i="3"/>
  <c r="P75" i="3"/>
  <c r="AF91" i="3"/>
  <c r="AG91" i="3"/>
  <c r="P11" i="3"/>
  <c r="K11" i="3"/>
  <c r="AH91" i="3"/>
  <c r="K45" i="3"/>
  <c r="P4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P18" i="3"/>
  <c r="K18" i="3"/>
  <c r="P16" i="3"/>
  <c r="K16" i="3"/>
  <c r="K10" i="3"/>
  <c r="P10" i="3"/>
  <c r="AI91" i="3"/>
  <c r="AJ91" i="3"/>
  <c r="K75" i="3"/>
  <c r="AF86" i="3"/>
  <c r="AG86" i="3"/>
  <c r="AH86" i="3"/>
  <c r="AI86" i="3"/>
  <c r="AJ86" i="3"/>
  <c r="AL86" i="3"/>
  <c r="AN86" i="3"/>
  <c r="AT86" i="3"/>
  <c r="P53" i="3"/>
  <c r="K23" i="3"/>
  <c r="AL91" i="3"/>
  <c r="AN91" i="3"/>
  <c r="AT91" i="3"/>
  <c r="P77" i="3"/>
  <c r="K77" i="3"/>
  <c r="K78" i="3"/>
  <c r="P78" i="3"/>
  <c r="P76" i="3"/>
  <c r="K76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K46" i="3"/>
  <c r="P47" i="3"/>
  <c r="AH87" i="3"/>
  <c r="AJ87" i="3"/>
  <c r="AL87" i="3"/>
  <c r="AN87" i="3"/>
  <c r="AT87" i="3"/>
  <c r="K51" i="3"/>
  <c r="P51" i="3"/>
  <c r="K48" i="3"/>
  <c r="P48" i="3"/>
  <c r="P46" i="3"/>
  <c r="K47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K30" i="3"/>
  <c r="P30" i="3"/>
  <c r="P28" i="3"/>
  <c r="K28" i="3"/>
  <c r="K27" i="3"/>
  <c r="P27" i="3"/>
  <c r="K29" i="3"/>
  <c r="P29" i="3"/>
  <c r="AG83" i="3"/>
  <c r="AH83" i="3"/>
  <c r="AL83" i="3"/>
  <c r="P24" i="3"/>
  <c r="AF82" i="3"/>
  <c r="AI82" i="3"/>
  <c r="AT82" i="3"/>
  <c r="P17" i="3"/>
  <c r="AF81" i="3"/>
  <c r="AH81" i="3"/>
  <c r="AJ81" i="3"/>
  <c r="AT81" i="3"/>
  <c r="AF83" i="3"/>
  <c r="AI83" i="3"/>
  <c r="AJ83" i="3"/>
  <c r="AN83" i="3"/>
  <c r="P21" i="3"/>
  <c r="AH82" i="3"/>
  <c r="AJ82" i="3"/>
  <c r="K17" i="3"/>
  <c r="AG81" i="3"/>
  <c r="AI81" i="3"/>
  <c r="AL81" i="3"/>
  <c r="P15" i="3"/>
  <c r="AT83" i="3"/>
  <c r="P23" i="3"/>
  <c r="P22" i="3"/>
  <c r="K22" i="3"/>
  <c r="K24" i="3"/>
  <c r="K21" i="3"/>
  <c r="AG82" i="3"/>
  <c r="AN82" i="3"/>
  <c r="AN81" i="3"/>
  <c r="K15" i="3"/>
  <c r="AL82" i="3"/>
  <c r="AI87" i="3"/>
  <c r="K52" i="3"/>
  <c r="S98" i="3" l="1"/>
  <c r="T98" i="3" s="1" a="1"/>
  <c r="BZ33" i="3"/>
  <c r="U103" i="3" s="1"/>
  <c r="AC103" i="3" s="1" a="1"/>
  <c r="S97" i="3"/>
  <c r="T97" i="3" s="1" a="1"/>
  <c r="BZ32" i="3"/>
  <c r="BZ17" i="3"/>
  <c r="U102" i="3" s="1"/>
  <c r="AC102" i="3" s="1" a="1"/>
  <c r="S96" i="3"/>
  <c r="T96" i="3" s="1" a="1"/>
  <c r="AS92" i="3"/>
  <c r="AL92" i="3"/>
  <c r="AM88" i="3" s="1"/>
  <c r="AJ92" i="3"/>
  <c r="AG92" i="3"/>
  <c r="AF92" i="3"/>
  <c r="AN92" i="3"/>
  <c r="AI92" i="3"/>
  <c r="AH92" i="3"/>
  <c r="S103" i="3" l="1"/>
  <c r="T103" i="3" s="1" a="1"/>
  <c r="CG24" i="3"/>
  <c r="CN48" i="3" s="1"/>
  <c r="AM83" i="3"/>
  <c r="AM91" i="3"/>
  <c r="AM82" i="3"/>
  <c r="AM90" i="3"/>
  <c r="AM89" i="3"/>
  <c r="AM80" i="3"/>
  <c r="AM81" i="3"/>
  <c r="AM87" i="3"/>
  <c r="AM86" i="3"/>
  <c r="AM84" i="3"/>
  <c r="AM85" i="3"/>
  <c r="S85" i="3"/>
  <c r="T85" i="3" s="1" a="1"/>
  <c r="BS13" i="3"/>
  <c r="S84" i="3"/>
  <c r="T84" i="3" s="1" a="1"/>
  <c r="BS12" i="3"/>
  <c r="AM92" i="3" l="1"/>
  <c r="AP87" i="3" s="1"/>
  <c r="BZ16" i="3"/>
  <c r="S95" i="3"/>
  <c r="T95" i="3" s="1" a="1"/>
  <c r="S102" i="3" l="1"/>
  <c r="T102" i="3" s="1" a="1"/>
  <c r="CG23" i="3"/>
  <c r="AP81" i="3"/>
  <c r="AP84" i="3"/>
  <c r="AP86" i="3"/>
  <c r="AP89" i="3"/>
  <c r="AP88" i="3"/>
  <c r="AP82" i="3"/>
  <c r="AP83" i="3"/>
  <c r="AP85" i="3"/>
  <c r="AP90" i="3"/>
  <c r="AP91" i="3"/>
  <c r="AP80" i="3"/>
  <c r="CN37" i="3" l="1"/>
  <c r="CK68" i="3" s="1"/>
  <c r="S111" i="3"/>
  <c r="T111" i="3" s="1"/>
  <c r="AD87" i="3"/>
  <c r="AS87" i="3" s="1"/>
  <c r="AD85" i="3"/>
  <c r="AS85" i="3" s="1"/>
  <c r="AD89" i="3"/>
  <c r="AS89" i="3" s="1"/>
  <c r="AD86" i="3"/>
  <c r="AS86" i="3" s="1"/>
  <c r="AD83" i="3"/>
  <c r="AS83" i="3" s="1"/>
  <c r="AD91" i="3"/>
  <c r="AS91" i="3" s="1"/>
  <c r="AD82" i="3"/>
  <c r="AS82" i="3" s="1"/>
  <c r="AD88" i="3"/>
  <c r="AS88" i="3" s="1"/>
  <c r="AD84" i="3"/>
  <c r="AS84" i="3" s="1"/>
  <c r="AD90" i="3"/>
  <c r="AS90" i="3" s="1"/>
  <c r="AD80" i="3"/>
  <c r="AD81" i="3"/>
  <c r="AS81" i="3" s="1"/>
  <c r="J92" i="3" l="1"/>
  <c r="M88" i="3"/>
  <c r="O87" i="3"/>
  <c r="AS80" i="3"/>
  <c r="O83" i="3"/>
  <c r="L83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3" i="3"/>
  <c r="M81" i="3"/>
  <c r="L89" i="3"/>
  <c r="O85" i="3"/>
  <c r="J84" i="3"/>
  <c r="M84" i="3"/>
  <c r="N92" i="3"/>
  <c r="J82" i="3"/>
  <c r="J90" i="3"/>
  <c r="M82" i="3"/>
  <c r="M86" i="3"/>
  <c r="N86" i="3"/>
  <c r="L87" i="3"/>
  <c r="J91" i="3"/>
  <c r="L85" i="3"/>
  <c r="O84" i="3"/>
  <c r="M89" i="3"/>
  <c r="M92" i="3"/>
  <c r="N88" i="3"/>
  <c r="N84" i="3"/>
  <c r="M87" i="3"/>
  <c r="M85" i="3"/>
  <c r="L90" i="3"/>
  <c r="N87" i="3"/>
  <c r="M83" i="3"/>
  <c r="O89" i="3"/>
  <c r="J81" i="3"/>
  <c r="O81" i="3"/>
  <c r="L86" i="3"/>
  <c r="O82" i="3"/>
  <c r="N91" i="3"/>
  <c r="N89" i="3"/>
  <c r="L92" i="3"/>
  <c r="J89" i="3"/>
  <c r="M90" i="3"/>
  <c r="N83" i="3"/>
  <c r="K81" i="3" l="1"/>
  <c r="P81" i="3"/>
  <c r="J3" i="4"/>
  <c r="P88" i="3"/>
  <c r="P92" i="3"/>
  <c r="K82" i="3"/>
  <c r="P84" i="3"/>
  <c r="P82" i="3"/>
  <c r="P91" i="3"/>
  <c r="K88" i="3"/>
  <c r="E3" i="4"/>
  <c r="H3" i="4"/>
  <c r="BL39" i="3" s="1"/>
  <c r="I3" i="4"/>
  <c r="BL15" i="3" s="1"/>
  <c r="P89" i="3"/>
  <c r="G3" i="4"/>
  <c r="BL11" i="3" s="1"/>
  <c r="B3" i="4"/>
  <c r="D3" i="4"/>
  <c r="K3" i="4"/>
  <c r="K91" i="3"/>
  <c r="K84" i="3"/>
  <c r="K90" i="3"/>
  <c r="K83" i="3"/>
  <c r="K87" i="3"/>
  <c r="K92" i="3"/>
  <c r="P87" i="3"/>
  <c r="P83" i="3"/>
  <c r="P90" i="3"/>
  <c r="K86" i="3"/>
  <c r="P86" i="3"/>
  <c r="K85" i="3"/>
  <c r="P85" i="3"/>
  <c r="K89" i="3"/>
  <c r="BS53" i="3"/>
  <c r="BS52" i="3"/>
  <c r="BZ49" i="3" s="1"/>
  <c r="CG55" i="3" s="1"/>
  <c r="CN49" i="3" s="1"/>
  <c r="BS69" i="3"/>
  <c r="BS68" i="3"/>
  <c r="BZ65" i="3" s="1"/>
  <c r="CG56" i="3" s="1"/>
  <c r="CN38" i="3" s="1"/>
  <c r="BL55" i="3" l="1"/>
  <c r="BL51" i="3"/>
  <c r="BL71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<sst xmlns="http://schemas.openxmlformats.org/spreadsheetml/2006/main" count="9785" uniqueCount="3699">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</sst>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21" zoomScaleNormal="100" workbookViewId="0">
      <selection activeCell="CO50" sqref="CO50"/>
    </sheetView>
  </sheetViews>
  <sheetFormatPr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0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3</v>
      </c>
      <c r="AJ8" s="123">
        <f>SUMIF($E$7:$E$78,$AE8,$G$7:$G$78) + SUMIF($H$7:$H$78,$AE8,$F$7:$F$78)</f>
        <v>1</v>
      </c>
      <c r="AL8" s="123">
        <f>AI8-AJ8</f>
        <v>2</v>
      </c>
      <c r="AM8" s="123">
        <f>AL8-AL12</f>
        <v>5</v>
      </c>
      <c r="AN8" s="123">
        <f>AF8*3+AG8</f>
        <v>5</v>
      </c>
      <c r="AO8" s="123">
        <f>AN8/AN12*10+BA8</f>
        <v>9.3137254901960791</v>
      </c>
      <c r="AP8" s="123">
        <f>AO8*10000000+BI8*100+AM8/AM12*10+AI8/AI12*1++IF(AQ8=0,ROW(),AQ8)/2000000</f>
        <v>93137362.025350317</v>
      </c>
      <c r="AQ8" s="126">
        <f>VLOOKUP(AE8,db_fifarank,2,FALSE)</f>
        <v>1681.03</v>
      </c>
      <c r="AR8" s="125">
        <f>AP8/AP12</f>
        <v>0.99999998926317035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50</v>
      </c>
      <c r="BA8" s="126">
        <f>AZ8/AZ12</f>
        <v>0.98039215686274506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</v>
      </c>
      <c r="BI8" s="126">
        <f>BH8/BH12</f>
        <v>0.98039215686274506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3 - 1</v>
      </c>
      <c r="P9" s="32">
        <f>L9*3+M9</f>
        <v>5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5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1.6666666666666665</v>
      </c>
      <c r="AP9" s="123">
        <f>AO9*10000000+BI9*100+AM9/AM12*10+AI9/AI12*1++IF(AQ9=0,ROW(),AQ9)/2000000</f>
        <v>16666667.167381531</v>
      </c>
      <c r="AQ9" s="126">
        <f>VLOOKUP(AE9,db_fifarank,2,FALSE)</f>
        <v>1429.73</v>
      </c>
      <c r="AR9" s="125">
        <f>AP9/AP12</f>
        <v>0.1789471660567109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3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3 - 1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4</v>
      </c>
      <c r="AL10" s="123">
        <f>AI10-AJ10</f>
        <v>-1</v>
      </c>
      <c r="AM10" s="123">
        <f>AL10-AL12</f>
        <v>2</v>
      </c>
      <c r="AN10" s="123">
        <f>AF10*3+AG10</f>
        <v>4</v>
      </c>
      <c r="AO10" s="123">
        <f>AN10/AN12*10+BA10</f>
        <v>6.6666666666666661</v>
      </c>
      <c r="AP10" s="123">
        <f>AO10*10000000+BI10*100+AM10/AM12*10+AI10/AI12*1++IF(AQ10=0,ROW(),AQ10)/2000000</f>
        <v>66666670.750794329</v>
      </c>
      <c r="AQ10" s="126">
        <f>VLOOKUP(AE10,db_fifarank,2,FALSE)</f>
        <v>1588.66</v>
      </c>
      <c r="AR10" s="125">
        <f>AP10/AP12</f>
        <v>0.71578868657306582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>
        <v>1</v>
      </c>
      <c r="BP10" s="112">
        <f>IF(OR(BM10="",BM11="",AND(BN10="",BN11&lt;&gt;""),AND(BN11="",BN10&lt;&gt;""),AND(BO10="",BO11&lt;&gt;""),AND(BO11="",BO10&lt;&gt;"")),"",BM10*1000+BN10*10+BO10)</f>
        <v>1001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3 - 4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1</v>
      </c>
      <c r="AL11" s="123">
        <f>AI11-AJ11</f>
        <v>2</v>
      </c>
      <c r="AM11" s="123">
        <f>AL11-AL12</f>
        <v>5</v>
      </c>
      <c r="AN11" s="123">
        <f>AF11*3+AG11</f>
        <v>5</v>
      </c>
      <c r="AO11" s="123">
        <f>AN11/AN12*10+BA11</f>
        <v>9.3137254901960791</v>
      </c>
      <c r="AP11" s="123">
        <f>AO11*10000000+BI11*100+AM11/AM12*10+AI11/AI12*1++IF(AQ11=0,ROW(),AQ11)/2000000</f>
        <v>93137362.025260493</v>
      </c>
      <c r="AQ11" s="126">
        <f>VLOOKUP(AE11,db_fifarank,2,FALSE)</f>
        <v>1501.38</v>
      </c>
      <c r="AR11" s="125">
        <f>AP11/AP12</f>
        <v>0.9999999892622059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</v>
      </c>
      <c r="BA11" s="126">
        <f>AZ11/AZ12</f>
        <v>0.98039215686274506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</v>
      </c>
      <c r="BI11" s="126">
        <f>BH11/BH12</f>
        <v>0.98039215686274506</v>
      </c>
      <c r="BK11" s="132"/>
      <c r="BL11" s="26" t="str">
        <f>IF(group_round_completed,VLOOKUP('3rd places'!G3,AK80:AS91,9,FALSE),"3rd Group A/B/C/D/F")</f>
        <v>Australia</v>
      </c>
      <c r="BM11" s="62">
        <v>0</v>
      </c>
      <c r="BN11" s="64"/>
      <c r="BO11" s="27">
        <v>0</v>
      </c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1</v>
      </c>
      <c r="V12" s="123">
        <f t="shared" si="3"/>
        <v>1</v>
      </c>
      <c r="W12" s="123">
        <f t="shared" si="4"/>
        <v>1</v>
      </c>
      <c r="X12" s="123">
        <f t="shared" si="9"/>
        <v>1</v>
      </c>
      <c r="Y12" s="123">
        <f t="shared" si="10"/>
        <v>1</v>
      </c>
      <c r="Z12" s="123">
        <f t="shared" si="11"/>
        <v>1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2</v>
      </c>
      <c r="AG12" s="123">
        <f t="shared" si="12"/>
        <v>2</v>
      </c>
      <c r="AH12" s="123">
        <f t="shared" si="12"/>
        <v>3</v>
      </c>
      <c r="AI12" s="123">
        <f>MAX(AI8:AI11)+1</f>
        <v>4</v>
      </c>
      <c r="AL12" s="123">
        <f>MIN(AL8:AL11)</f>
        <v>-3</v>
      </c>
      <c r="AM12" s="123">
        <f>MAX(AM8:AM11)+1</f>
        <v>6</v>
      </c>
      <c r="AN12" s="123">
        <f>MAX(AN8:AN11)+1</f>
        <v>6</v>
      </c>
      <c r="AO12" s="123">
        <f>MAX(AO8:AO11)+1</f>
        <v>10.313725490196079</v>
      </c>
      <c r="AP12" s="123">
        <f>MAX(AP8:AP11)+1</f>
        <v>93137363.025350317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51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51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4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3</v>
      </c>
      <c r="AL14" s="123">
        <f>AI14-AJ14</f>
        <v>2</v>
      </c>
      <c r="AM14" s="123">
        <f>AL14-AL18</f>
        <v>10</v>
      </c>
      <c r="AN14" s="123">
        <f>AF14*3+AG14</f>
        <v>4</v>
      </c>
      <c r="AO14" s="123">
        <f>AN14/AN18*10+BA14</f>
        <v>5</v>
      </c>
      <c r="AP14" s="123">
        <f>AO14*10000000+BI14*100+AM14/AM18*10+AI14/AI18*1++IF(AQ14=0,ROW(),AQ14)/2000000</f>
        <v>50000008.407371655</v>
      </c>
      <c r="AQ14" s="126">
        <f>VLOOKUP(AE14,db_fifarank,2,FALSE)</f>
        <v>1556.48</v>
      </c>
      <c r="AR14" s="125">
        <f>AP14/AP18</f>
        <v>0.57142859509657562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10</v>
      </c>
      <c r="BN14" s="63"/>
      <c r="BO14" s="25">
        <v>1</v>
      </c>
      <c r="BP14" s="116">
        <f>IF(OR(BM14="",BM15="",AND(BN14="",BN15&lt;&gt;""),AND(BN15="",BN14&lt;&gt;""),AND(BO14="",BO15&lt;&gt;""),AND(BO15="",BO14&lt;&gt;"")),"",BM14*1000+BN14*10+BO14)</f>
        <v>10001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2</v>
      </c>
      <c r="AH15" s="123">
        <f>COUNTIF($S$7:$T$78,"=" &amp; AE15 &amp; "_lose")</f>
        <v>0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2</v>
      </c>
      <c r="AL15" s="123">
        <f>AI15-AJ15</f>
        <v>2</v>
      </c>
      <c r="AM15" s="123">
        <f>AL15-AL18</f>
        <v>10</v>
      </c>
      <c r="AN15" s="123">
        <f>AF15*3+AG15</f>
        <v>5</v>
      </c>
      <c r="AO15" s="123">
        <f>AN15/AN18*10+BA15</f>
        <v>6.25</v>
      </c>
      <c r="AP15" s="123">
        <f>AO15*10000000+BI15*100+AM15/AM18*10+AI15/AI18*1++IF(AQ15=0,ROW(),AQ15)/2000000</f>
        <v>62500008.264429189</v>
      </c>
      <c r="AQ15" s="126">
        <f>VLOOKUP(AE15,db_fifarank,2,FALSE)</f>
        <v>1385.84</v>
      </c>
      <c r="AR15" s="125">
        <f>AP15/AP18</f>
        <v>0.71428571821603282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>
        <v>0</v>
      </c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4 - 2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8</v>
      </c>
      <c r="AL16" s="123">
        <f>AI16-AJ16</f>
        <v>-8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8.3140560892299473E-12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2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5 - 3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12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87500010.088736787</v>
      </c>
      <c r="AQ17" s="126">
        <f>VLOOKUP(AE17,db_fifarank,2,FALSE)</f>
        <v>1649.4</v>
      </c>
      <c r="AR17" s="125">
        <f>AP17/AP18</f>
        <v>0.99999998857143002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0 - 8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7</v>
      </c>
      <c r="AL18" s="123">
        <f>MIN(AL14:AL17)</f>
        <v>-8</v>
      </c>
      <c r="AM18" s="123">
        <f>MAX(AM14:AM17)+1</f>
        <v>13</v>
      </c>
      <c r="AN18" s="123">
        <f>MAX(AN14:AN17)+1</f>
        <v>8</v>
      </c>
      <c r="AO18" s="123">
        <f>MAX(AO14:AO17)+1</f>
        <v>9.75</v>
      </c>
      <c r="AP18" s="123">
        <f>MAX(AP14:AP17)+1</f>
        <v>87500011.088736787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1</v>
      </c>
      <c r="BN18" s="63"/>
      <c r="BO18" s="25">
        <v>10</v>
      </c>
      <c r="BP18" s="112">
        <f>IF(OR(BM18="",BM19="",AND(BN18="",BN19&lt;&gt;""),AND(BN19="",BN18&lt;&gt;""),AND(BO18="",BO19&lt;&gt;""),AND(BO19="",BO18&lt;&gt;"")),"",BM18*1000+BN18*10+BO18)</f>
        <v>1010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0</v>
      </c>
      <c r="BK19" s="132"/>
      <c r="BL19" s="26" t="str">
        <f>AS15</f>
        <v>Bosnia and Herzegovina</v>
      </c>
      <c r="BM19" s="62">
        <v>0</v>
      </c>
      <c r="BN19" s="64"/>
      <c r="BO19" s="27">
        <v>0</v>
      </c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2</v>
      </c>
      <c r="AL20" s="123">
        <f>AI20-AJ20</f>
        <v>6</v>
      </c>
      <c r="AM20" s="123">
        <f>AL20-AL24</f>
        <v>12</v>
      </c>
      <c r="AN20" s="123">
        <f>AF20*3+AG20</f>
        <v>7</v>
      </c>
      <c r="AO20" s="123">
        <f>AN20/AN24*10+BA20</f>
        <v>8.75</v>
      </c>
      <c r="AP20" s="123">
        <f>AO20*10000000+BI20*100+AM20/AM24*10+AI20/AI24*1++IF(AQ20=0,ROW(),AQ20)/2000000</f>
        <v>87500010.120538712</v>
      </c>
      <c r="AQ20" s="126">
        <f>VLOOKUP(AE20,db_fifarank,2,FALSE)</f>
        <v>1761.16</v>
      </c>
      <c r="AR20" s="125">
        <f>AP20/AP24</f>
        <v>0.99999998857143002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8 - 2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0</v>
      </c>
      <c r="W21" s="123">
        <f t="shared" si="4"/>
        <v>0</v>
      </c>
      <c r="X21" s="123">
        <f t="shared" si="9"/>
        <v>1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3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5</v>
      </c>
      <c r="AL21" s="123">
        <f>AI21-AJ21</f>
        <v>-1</v>
      </c>
      <c r="AM21" s="123">
        <f>AL21-AL24</f>
        <v>5</v>
      </c>
      <c r="AN21" s="123">
        <f>AF21*3+AG21</f>
        <v>4</v>
      </c>
      <c r="AO21" s="123">
        <f>AN21/AN24*10+BA21</f>
        <v>5</v>
      </c>
      <c r="AP21" s="123">
        <f>AO21*10000000+BI21*100+AM21/AM24*10+AI21/AI24*1++IF(AQ21=0,ROW(),AQ21)/2000000</f>
        <v>50000004.291476227</v>
      </c>
      <c r="AQ21" s="126">
        <f>VLOOKUP(AE21,db_fifarank,2,FALSE)</f>
        <v>1755.87</v>
      </c>
      <c r="AR21" s="125">
        <f>AP21/AP24</f>
        <v>0.57142854785009078</v>
      </c>
      <c r="AS21" s="125" t="str">
        <f>IF(SUM(AF20:AH23)=12,J22,"2C")</f>
        <v>Scotland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Scotland</v>
      </c>
      <c r="K22" s="23">
        <f>L22+M22+N22</f>
        <v>3</v>
      </c>
      <c r="L22" s="23">
        <f>VLOOKUP(2,AD20:AN23,3,FALSE)</f>
        <v>1</v>
      </c>
      <c r="M22" s="23">
        <f>VLOOKUP(2,AD20:AN23,4,FALSE)</f>
        <v>2</v>
      </c>
      <c r="N22" s="23">
        <f>VLOOKUP(2,AD20:AN23,5,FALSE)</f>
        <v>0</v>
      </c>
      <c r="O22" s="23" t="str">
        <f>VLOOKUP(2,AD20:AN23,6,FALSE) &amp; " - " &amp; VLOOKUP(2,AD20:AN23,7,FALSE)</f>
        <v>3 - 2</v>
      </c>
      <c r="P22" s="34">
        <f>L22*3+M22</f>
        <v>5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6</v>
      </c>
      <c r="AL22" s="123">
        <f>AI22-AJ22</f>
        <v>-6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7.3811990619096014E-12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>
        <v>1</v>
      </c>
      <c r="BP22" s="116">
        <f>IF(OR(BM22="",BM23="",AND(BN22="",BN23&lt;&gt;""),AND(BN23="",BN22&lt;&gt;""),AND(BO22="",BO23&lt;&gt;""),AND(BO23="",BO22&lt;&gt;"")),"",BM22*1000+BN22*10+BO22)</f>
        <v>1001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0</v>
      </c>
      <c r="H23" s="80" t="str">
        <f>AE57</f>
        <v>Senegal</v>
      </c>
      <c r="J23" s="33" t="str">
        <f>VLOOKUP(3,AD20:AN23,2,FALSE)</f>
        <v>Morocco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4 - 5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2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2</v>
      </c>
      <c r="AH23" s="123">
        <f>COUNTIF($S$7:$T$78,"=" &amp; AE23 &amp; "_lose")</f>
        <v>0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2</v>
      </c>
      <c r="AL23" s="123">
        <f>AI23-AJ23</f>
        <v>1</v>
      </c>
      <c r="AM23" s="123">
        <f>AL23-AL24</f>
        <v>7</v>
      </c>
      <c r="AN23" s="123">
        <f>AF23*3+AG23</f>
        <v>5</v>
      </c>
      <c r="AO23" s="123">
        <f>AN23/AN24*10+BA23</f>
        <v>6.25</v>
      </c>
      <c r="AP23" s="123">
        <f>AO23*10000000+BI23*100+AM23/AM24*10+AI23/AI24*1++IF(AQ23=0,ROW(),AQ23)/2000000</f>
        <v>62500005.718697898</v>
      </c>
      <c r="AQ23" s="126">
        <f>VLOOKUP(AE23,db_fifarank,2,FALSE)</f>
        <v>1498.35</v>
      </c>
      <c r="AR23" s="125">
        <f>AP23/AP24</f>
        <v>0.7142856888623571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Scotland</v>
      </c>
      <c r="BM23" s="62">
        <v>0</v>
      </c>
      <c r="BN23" s="64"/>
      <c r="BO23" s="27">
        <v>0</v>
      </c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0 - 6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3</v>
      </c>
      <c r="AH24" s="123">
        <f t="shared" si="14"/>
        <v>4</v>
      </c>
      <c r="AI24" s="123">
        <f>MAX(AI20:AI23)+1</f>
        <v>9</v>
      </c>
      <c r="AL24" s="123">
        <f>MIN(AL20:AL23)</f>
        <v>-6</v>
      </c>
      <c r="AM24" s="123">
        <f>MAX(AM20:AM23)+1</f>
        <v>13</v>
      </c>
      <c r="AN24" s="123">
        <f>MAX(AN20:AN23)+1</f>
        <v>8</v>
      </c>
      <c r="AO24" s="123">
        <f>MAX(AO20:AO23)+1</f>
        <v>9.75</v>
      </c>
      <c r="AP24" s="123">
        <f>MAX(AP20:AP23)+1</f>
        <v>87500011.120538712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8</v>
      </c>
      <c r="AJ26" s="123">
        <f>SUMIF($E$7:$E$78,$AE26,$G$7:$G$78) + SUMIF($H$7:$H$78,$AE26,$F$7:$F$78)</f>
        <v>2</v>
      </c>
      <c r="AL26" s="123">
        <f>AI26-AJ26</f>
        <v>6</v>
      </c>
      <c r="AM26" s="123">
        <f>AL26-AL30</f>
        <v>12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90000010.120494694</v>
      </c>
      <c r="AQ26" s="126">
        <f>VLOOKUP(AE26,db_fifarank,2,FALSE)</f>
        <v>1673.13</v>
      </c>
      <c r="AR26" s="125">
        <f>AP26/AP30</f>
        <v>0.9999999888888903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Portugal</v>
      </c>
      <c r="BM26" s="61">
        <v>1</v>
      </c>
      <c r="BN26" s="63"/>
      <c r="BO26" s="25">
        <v>1</v>
      </c>
      <c r="BP26" s="112">
        <f>IF(OR(BM26="",BM27="",AND(BN26="",BN27&lt;&gt;""),AND(BN27="",BN26&lt;&gt;""),AND(BO26="",BO27&lt;&gt;""),AND(BO27="",BO26&lt;&gt;"")),"",BM26*1000+BN26*10+BO26)</f>
        <v>1001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8 - 2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3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7</v>
      </c>
      <c r="AL27" s="123">
        <f>AI27-AJ27</f>
        <v>-6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0.1118628611111111</v>
      </c>
      <c r="AQ27" s="126">
        <f>VLOOKUP(AE27,db_fifarank,2,FALSE)</f>
        <v>1503.5</v>
      </c>
      <c r="AR27" s="125">
        <f>AP27/AP30</f>
        <v>1.2429205254357776E-9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>
        <v>0</v>
      </c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5 - 5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1</v>
      </c>
      <c r="AH28" s="123">
        <f>COUNTIF($S$7:$T$78,"=" &amp; AE28 &amp; "_lose")</f>
        <v>1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3</v>
      </c>
      <c r="AL28" s="123">
        <f>AI28-AJ28</f>
        <v>0</v>
      </c>
      <c r="AM28" s="123">
        <f>AL28-AL30</f>
        <v>6</v>
      </c>
      <c r="AN28" s="123">
        <f>AF28*3+AG28</f>
        <v>4</v>
      </c>
      <c r="AO28" s="123">
        <f>AN28/AN30*10+BA28</f>
        <v>4.9805825242718447</v>
      </c>
      <c r="AP28" s="123">
        <f>AO28*10000000+BI28*100+AM28/AM30*10+AI28/AI30*1++IF(AQ28=0,ROW(),AQ28)/2000000</f>
        <v>49805928.250479154</v>
      </c>
      <c r="AQ28" s="126">
        <f>VLOOKUP(AE28,db_fifarank,2,FALSE)</f>
        <v>1580.67</v>
      </c>
      <c r="AR28" s="125">
        <f>AP28/AP30</f>
        <v>0.55339913440452237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50.5</v>
      </c>
      <c r="BA28" s="126">
        <f>AZ28/AZ30</f>
        <v>0.98058252427184467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50.5</v>
      </c>
      <c r="BI28" s="126">
        <f>BH28/BH30</f>
        <v>0.98058252427184467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Portugal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1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3 - 3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5</v>
      </c>
      <c r="AL29" s="123">
        <f>AI29-AJ29</f>
        <v>0</v>
      </c>
      <c r="AM29" s="123">
        <f>AL29-AL30</f>
        <v>6</v>
      </c>
      <c r="AN29" s="123">
        <f>AF29*3+AG29</f>
        <v>4</v>
      </c>
      <c r="AO29" s="123">
        <f>AN29/AN30*10+BA29</f>
        <v>4.9805825242718447</v>
      </c>
      <c r="AP29" s="123">
        <f>AO29*10000000+BI29*100+AM29/AM30*10+AI29/AI30*1++IF(AQ29=0,ROW(),AQ29)/2000000</f>
        <v>49805928.472710557</v>
      </c>
      <c r="AQ29" s="126">
        <f>VLOOKUP(AE29,db_fifarank,2,FALSE)</f>
        <v>1599.04</v>
      </c>
      <c r="AR29" s="125">
        <f>AP29/AP30</f>
        <v>0.55339913687375997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50.5</v>
      </c>
      <c r="BA29" s="126">
        <f>AZ29/AZ30</f>
        <v>0.98058252427184467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50.5</v>
      </c>
      <c r="BI29" s="126">
        <f>BH29/BH30</f>
        <v>0.98058252427184467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1 - 7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4</v>
      </c>
      <c r="AI30" s="123">
        <f>MAX(AI26:AI29)+1</f>
        <v>9</v>
      </c>
      <c r="AL30" s="123">
        <f>MIN(AL26:AL29)</f>
        <v>-6</v>
      </c>
      <c r="AM30" s="123">
        <f>MAX(AM26:AM29)+1</f>
        <v>13</v>
      </c>
      <c r="AN30" s="123">
        <f>MAX(AN26:AN29)+1</f>
        <v>10</v>
      </c>
      <c r="AO30" s="123">
        <f>MAX(AO26:AO29)+1</f>
        <v>10</v>
      </c>
      <c r="AP30" s="123">
        <f>MAX(AP26:AP29)+1</f>
        <v>90000011.120494694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10</v>
      </c>
      <c r="BN30" s="63"/>
      <c r="BO30" s="25">
        <v>1</v>
      </c>
      <c r="BP30" s="116">
        <f>IF(OR(BM30="",BM31="",AND(BN30="",BN31&lt;&gt;""),AND(BN31="",BN30&lt;&gt;""),AND(BO30="",BO31&lt;&gt;""),AND(BO31="",BO30&lt;&gt;"")),"",BM30*1000+BN30*10+BO30)</f>
        <v>10001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>
        <v>0</v>
      </c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2</v>
      </c>
      <c r="AL32" s="123">
        <f>AI32-AJ32</f>
        <v>8</v>
      </c>
      <c r="AM32" s="123">
        <f>AL32-AL36</f>
        <v>17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90000010.354400545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3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11</v>
      </c>
      <c r="AL33" s="123">
        <f>AI33-AJ33</f>
        <v>-9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0.18246550681818183</v>
      </c>
      <c r="AQ33" s="126">
        <f>VLOOKUP(AE33,db_fifarank,2,FALSE)</f>
        <v>1294.6500000000001</v>
      </c>
      <c r="AR33" s="125">
        <f>AP33/AP36</f>
        <v>2.0273942644259477E-9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6 - 4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5</v>
      </c>
      <c r="AL34" s="123">
        <f>AI34-AJ34</f>
        <v>-1</v>
      </c>
      <c r="AM34" s="123">
        <f>AL34-AL36</f>
        <v>8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30000004.808847297</v>
      </c>
      <c r="AQ34" s="126">
        <f>VLOOKUP(AE34,db_fifarank,2,FALSE)</f>
        <v>1532.98</v>
      </c>
      <c r="AR34" s="125">
        <f>AP34/AP36</f>
        <v>0.33333334471163317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1</v>
      </c>
      <c r="BN34" s="63"/>
      <c r="BO34" s="25">
        <v>1</v>
      </c>
      <c r="BP34" s="112">
        <f>IF(OR(BM34="",BM35="",AND(BN34="",BN35&lt;&gt;""),AND(BN35="",BN34&lt;&gt;""),AND(BO34="",BO35&lt;&gt;""),AND(BO35="",BO34&lt;&gt;"")),"",BM34*1000+BN34*10+BO34)</f>
        <v>1001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4 - 5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4</v>
      </c>
      <c r="AL35" s="123">
        <f>AI35-AJ35</f>
        <v>2</v>
      </c>
      <c r="AM35" s="123">
        <f>AL35-AL36</f>
        <v>11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60000006.65736305</v>
      </c>
      <c r="AQ35" s="126">
        <f>VLOOKUP(AE35,db_fifarank,2,FALSE)</f>
        <v>1594.78</v>
      </c>
      <c r="AR35" s="125">
        <f>AP35/AP36</f>
        <v>0.66666665653069779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>
        <v>0</v>
      </c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2 - 11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11</v>
      </c>
      <c r="AL36" s="123">
        <f>MIN(AL32:AL35)</f>
        <v>-9</v>
      </c>
      <c r="AM36" s="123">
        <f>MAX(AM32:AM35)+1</f>
        <v>18</v>
      </c>
      <c r="AN36" s="123">
        <f>MAX(AN32:AN35)+1</f>
        <v>10</v>
      </c>
      <c r="AO36" s="123">
        <f>MAX(AO32:AO35)+1</f>
        <v>10</v>
      </c>
      <c r="AP36" s="123">
        <f>MAX(AP32:AP35)+1</f>
        <v>90000011.354400545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3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3</v>
      </c>
      <c r="AL38" s="123">
        <f>AI38-AJ38</f>
        <v>3</v>
      </c>
      <c r="AM38" s="123">
        <f>AL38-AL42</f>
        <v>6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87500009.322307497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>
        <v>10</v>
      </c>
      <c r="BP38" s="116">
        <f>IF(OR(BM38="",BM39="",AND(BN38="",BN39&lt;&gt;""),AND(BN39="",BN38&lt;&gt;""),AND(BO38="",BO39&lt;&gt;""),AND(BO39="",BO38&lt;&gt;"")),"",BM38*1000+BN38*10+BO38)</f>
        <v>1010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6 - 3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7</v>
      </c>
      <c r="AJ39" s="123">
        <f>SUMIF($E$7:$E$78,$AE39,$G$7:$G$78) + SUMIF($H$7:$H$78,$AE39,$F$7:$F$78)</f>
        <v>5</v>
      </c>
      <c r="AL39" s="123">
        <f>AI39-AJ39</f>
        <v>2</v>
      </c>
      <c r="AM39" s="123">
        <f>AL39-AL42</f>
        <v>5</v>
      </c>
      <c r="AN39" s="123">
        <f>AF39*3+AG39</f>
        <v>6</v>
      </c>
      <c r="AO39" s="123">
        <f>AN39/AN42*10+BA39</f>
        <v>7.5</v>
      </c>
      <c r="AP39" s="123">
        <f>AO39*10000000+BI39*100+AM39/AM42*10+AI39/AI42*1++IF(AQ39=0,ROW(),AQ39)/2000000</f>
        <v>75000008.018687367</v>
      </c>
      <c r="AQ39" s="126">
        <f>VLOOKUP(AE39,db_fifarank,2,FALSE)</f>
        <v>1660.43</v>
      </c>
      <c r="AR39" s="125">
        <f>AP39/AP42</f>
        <v>0.857142847668518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>
        <v>0</v>
      </c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4</v>
      </c>
      <c r="G40" s="20">
        <v>1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7 - 5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2</v>
      </c>
      <c r="AH40" s="123">
        <f>COUNTIF($S$7:$T$78,"=" &amp; AE40 &amp; "_lose")</f>
        <v>1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5</v>
      </c>
      <c r="AL40" s="123">
        <f>AI40-AJ40</f>
        <v>-2</v>
      </c>
      <c r="AM40" s="123">
        <f>AL40-AL42</f>
        <v>1</v>
      </c>
      <c r="AN40" s="123">
        <f>AF40*3+AG40</f>
        <v>2</v>
      </c>
      <c r="AO40" s="123">
        <f>AN40/AN42*10+BA40</f>
        <v>2.5</v>
      </c>
      <c r="AP40" s="123">
        <f>AO40*10000000+BI40*100+AM40/AM42*10+AI40/AI42*1++IF(AQ40=0,ROW(),AQ40)/2000000</f>
        <v>25000001.804328814</v>
      </c>
      <c r="AQ40" s="126">
        <f>VLOOKUP(AE40,db_fifarank,2,FALSE)</f>
        <v>1514.77</v>
      </c>
      <c r="AR40" s="125">
        <f>AP40/AP42</f>
        <v>0.28571427262969412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3 - 5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5</v>
      </c>
      <c r="AL41" s="123">
        <f>AI41-AJ41</f>
        <v>-3</v>
      </c>
      <c r="AM41" s="123">
        <f>AL41-AL42</f>
        <v>0</v>
      </c>
      <c r="AN41" s="123">
        <f>AF41*3+AG41</f>
        <v>1</v>
      </c>
      <c r="AO41" s="123">
        <f>AN41/AN42*10+BA41</f>
        <v>1.25</v>
      </c>
      <c r="AP41" s="123">
        <f>AO41*10000000+BI41*100+AM41/AM42*10+AI41/AI42*1++IF(AQ41=0,ROW(),AQ41)/2000000</f>
        <v>12500000.250741525</v>
      </c>
      <c r="AQ41" s="126">
        <f>VLOOKUP(AE41,db_fifarank,2,FALSE)</f>
        <v>1483.05</v>
      </c>
      <c r="AR41" s="125">
        <f>AP41/AP42</f>
        <v>0.142857128870015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2 - 5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3</v>
      </c>
      <c r="AI42" s="123">
        <f>MAX(AI38:AI41)+1</f>
        <v>8</v>
      </c>
      <c r="AL42" s="123">
        <f>MIN(AL38:AL41)</f>
        <v>-3</v>
      </c>
      <c r="AM42" s="123">
        <f>MAX(AM38:AM41)+1</f>
        <v>7</v>
      </c>
      <c r="AN42" s="123">
        <f>MAX(AN38:AN41)+1</f>
        <v>8</v>
      </c>
      <c r="AO42" s="123">
        <f>MAX(AO38:AO41)+1</f>
        <v>9.75</v>
      </c>
      <c r="AP42" s="123">
        <f>MAX(AP38:AP41)+1</f>
        <v>87500010.322307497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>
        <v>1</v>
      </c>
      <c r="BP42" s="112">
        <f>IF(OR(BM42="",BM43="",AND(BN42="",BN43&lt;&gt;""),AND(BN43="",BN42&lt;&gt;""),AND(BO42="",BO43&lt;&gt;""),AND(BO43="",BO42&lt;&gt;"")),"",BM42*1000+BN42*10+BO42)</f>
        <v>1001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4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>
        <v>0</v>
      </c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2</v>
      </c>
      <c r="AL44" s="123">
        <f>AI44-AJ44</f>
        <v>6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90000010.056422919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2</v>
      </c>
      <c r="AL45" s="123">
        <f>AI45-AJ45</f>
        <v>3</v>
      </c>
      <c r="AM45" s="123">
        <f>AL45-AL48</f>
        <v>8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60000007.223003834</v>
      </c>
      <c r="AQ45" s="126">
        <f>VLOOKUP(AE45,db_fifarank,2,FALSE)</f>
        <v>1563.24</v>
      </c>
      <c r="AR45" s="125">
        <f>AP45/AP48</f>
        <v>0.666666665022836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5 - 2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5</v>
      </c>
      <c r="AL46" s="123">
        <f>AI46-AJ46</f>
        <v>-5</v>
      </c>
      <c r="AM46" s="123">
        <f>AL46-AL48</f>
        <v>0</v>
      </c>
      <c r="AN46" s="123">
        <f>AF46*3+AG46</f>
        <v>1</v>
      </c>
      <c r="AO46" s="123">
        <f>AN46/AN48*10+BA46</f>
        <v>1.9803921568627452</v>
      </c>
      <c r="AP46" s="123">
        <f>AO46*10000000+BI46*100+AM46/AM48*10+AI46/AI48*1++IF(AQ46=0,ROW(),AQ46)/2000000</f>
        <v>19804019.608650789</v>
      </c>
      <c r="AQ46" s="126">
        <f>VLOOKUP(AE46,db_fifarank,2,FALSE)</f>
        <v>1615.3</v>
      </c>
      <c r="AR46" s="125">
        <f>AP46/AP48</f>
        <v>0.22004463528604712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</v>
      </c>
      <c r="BA46" s="126">
        <f>AZ46/AZ48</f>
        <v>0.98039215686274506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31">
        <v>78</v>
      </c>
      <c r="BL46" s="24" t="str">
        <f>AS33</f>
        <v>Ecuador</v>
      </c>
      <c r="BM46" s="61">
        <v>0</v>
      </c>
      <c r="BN46" s="63"/>
      <c r="BO46" s="25">
        <v>0</v>
      </c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1 - 5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5</v>
      </c>
      <c r="AL47" s="123">
        <f>AI47-AJ47</f>
        <v>-4</v>
      </c>
      <c r="AM47" s="123">
        <f>AL47-AL48</f>
        <v>1</v>
      </c>
      <c r="AN47" s="123">
        <f>AF47*3+AG47</f>
        <v>1</v>
      </c>
      <c r="AO47" s="123">
        <f>AN47/AN48*10+BA47</f>
        <v>1.9803921568627452</v>
      </c>
      <c r="AP47" s="123">
        <f>AO47*10000000+BI47*100+AM47/AM48*10+AI47/AI48*1++IF(AQ47=0,ROW(),AQ47)/2000000</f>
        <v>19804020.552928366</v>
      </c>
      <c r="AQ47" s="126">
        <f>VLOOKUP(AE47,db_fifarank,2,FALSE)</f>
        <v>1281.57</v>
      </c>
      <c r="AR47" s="125">
        <f>AP47/AP48</f>
        <v>0.22004464577801891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</v>
      </c>
      <c r="BA47" s="126">
        <f>AZ47/AZ48</f>
        <v>0.98039215686274506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</v>
      </c>
      <c r="BI47" s="126">
        <f>BH47/BH48</f>
        <v>0.98039215686274506</v>
      </c>
      <c r="BK47" s="132"/>
      <c r="BL47" s="26" t="str">
        <f>AS57</f>
        <v>Norway</v>
      </c>
      <c r="BM47" s="62">
        <v>1</v>
      </c>
      <c r="BN47" s="64"/>
      <c r="BO47" s="27">
        <v>1</v>
      </c>
      <c r="BP47" s="112">
        <f>IF(BP46="","",BM47*1000+BN47*10+BO47)</f>
        <v>1001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9</v>
      </c>
      <c r="AL48" s="123">
        <f>MIN(AL44:AL47)</f>
        <v>-5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90000011.056422919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England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2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1</v>
      </c>
      <c r="AL50" s="123">
        <f>AI50-AJ50</f>
        <v>9</v>
      </c>
      <c r="AM50" s="123">
        <f>AL50-AL54</f>
        <v>17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90000010.354473561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>
        <v>1</v>
      </c>
      <c r="BP50" s="112">
        <f>IF(OR(BM50="",BM51="",AND(BN50="",BN51&lt;&gt;""),AND(BN51="",BN50&lt;&gt;""),AND(BO50="",BO51&lt;&gt;""),AND(BO51="",BO50&lt;&gt;"")),"",BM50*1000+BN50*10+BO50)</f>
        <v>1001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9</v>
      </c>
      <c r="AL51" s="123">
        <f>AI51-AJ51</f>
        <v>-8</v>
      </c>
      <c r="AM51" s="123">
        <f>AL51-AL54</f>
        <v>0</v>
      </c>
      <c r="AN51" s="123">
        <f>AF51*3+AG51</f>
        <v>1</v>
      </c>
      <c r="AO51" s="123">
        <f>AN51/AN54*10+BA51</f>
        <v>1</v>
      </c>
      <c r="AP51" s="123">
        <f>AO51*10000000+BI51*100+AM51/AM54*10+AI51/AI54*1++IF(AQ51=0,ROW(),AQ51)/2000000</f>
        <v>10000000.091592157</v>
      </c>
      <c r="AQ51" s="126">
        <f>VLOOKUP(AE51,db_fifarank,2,FALSE)</f>
        <v>1366.13</v>
      </c>
      <c r="AR51" s="125">
        <f>AP51/AP54</f>
        <v>0.11111109811093479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Morocco</v>
      </c>
      <c r="BM51" s="62">
        <v>0</v>
      </c>
      <c r="BN51" s="64"/>
      <c r="BO51" s="27">
        <v>0</v>
      </c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1</v>
      </c>
      <c r="M52" s="23">
        <f>VLOOKUP(2,AD50:AN53,4,FALSE)</f>
        <v>1</v>
      </c>
      <c r="N52" s="23">
        <f>VLOOKUP(2,AD50:AN53,5,FALSE)</f>
        <v>1</v>
      </c>
      <c r="O52" s="23" t="str">
        <f>VLOOKUP(2,AD50:AN53,6,FALSE) &amp; " - " &amp; VLOOKUP(2,AD50:AN53,7,FALSE)</f>
        <v>6 - 4</v>
      </c>
      <c r="P52" s="34">
        <f>L52*3+M52</f>
        <v>4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2</v>
      </c>
      <c r="AH52" s="123">
        <f>COUNTIF($S$7:$T$78,"=" &amp; AE52 &amp; "_lose")</f>
        <v>1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5</v>
      </c>
      <c r="AL52" s="123">
        <f>AI52-AJ52</f>
        <v>-3</v>
      </c>
      <c r="AM52" s="123">
        <f>AL52-AL54</f>
        <v>5</v>
      </c>
      <c r="AN52" s="123">
        <f>AF52*3+AG52</f>
        <v>2</v>
      </c>
      <c r="AO52" s="123">
        <f>AN52/AN54*10+BA52</f>
        <v>2</v>
      </c>
      <c r="AP52" s="123">
        <f>AO52*10000000+BI52*100+AM52/AM54*10+AI52/AI54*1++IF(AQ52=0,ROW(),AQ52)/2000000</f>
        <v>20000002.960306674</v>
      </c>
      <c r="AQ52" s="126">
        <f>VLOOKUP(AE52,db_fifarank,2,FALSE)</f>
        <v>1421.43</v>
      </c>
      <c r="AR52" s="125">
        <f>AP52/AP54</f>
        <v>0.22222222707878081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2</v>
      </c>
      <c r="N53" s="23">
        <f>VLOOKUP(3,AD50:AN53,5,FALSE)</f>
        <v>1</v>
      </c>
      <c r="O53" s="23" t="str">
        <f>VLOOKUP(3,AD50:AN53,6,FALSE) &amp; " - " &amp; VLOOKUP(3,AD50:AN53,7,FALSE)</f>
        <v>2 - 5</v>
      </c>
      <c r="P53" s="34">
        <f>L53*3+M53</f>
        <v>2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1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4</v>
      </c>
      <c r="AL53" s="123">
        <f>AI53-AJ53</f>
        <v>2</v>
      </c>
      <c r="AM53" s="123">
        <f>AL53-AL54</f>
        <v>10</v>
      </c>
      <c r="AN53" s="123">
        <f>AF53*3+AG53</f>
        <v>4</v>
      </c>
      <c r="AO53" s="123">
        <f>AN53/AN54*10+BA53</f>
        <v>4</v>
      </c>
      <c r="AP53" s="123">
        <f>AO53*10000000+BI53*100+AM53/AM54*10+AI53/AI54*1++IF(AQ53=0,ROW(),AQ53)/2000000</f>
        <v>40000006.101846635</v>
      </c>
      <c r="AQ53" s="126">
        <f>VLOOKUP(AE53,db_fifarank,2,FALSE)</f>
        <v>1673.07</v>
      </c>
      <c r="AR53" s="125">
        <f>AP53/AP54</f>
        <v>0.44444445617126455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1 - 9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3</v>
      </c>
      <c r="AH54" s="123">
        <f t="shared" si="25"/>
        <v>3</v>
      </c>
      <c r="AI54" s="123">
        <f>MAX(AI50:AI53)+1</f>
        <v>11</v>
      </c>
      <c r="AL54" s="123">
        <f>MIN(AL50:AL53)</f>
        <v>-8</v>
      </c>
      <c r="AM54" s="123">
        <f>MAX(AM50:AM53)+1</f>
        <v>18</v>
      </c>
      <c r="AN54" s="123">
        <f>MAX(AN50:AN53)+1</f>
        <v>10</v>
      </c>
      <c r="AO54" s="123">
        <f>MAX(AO50:AO53)+1</f>
        <v>10</v>
      </c>
      <c r="AP54" s="123">
        <f>MAX(AP50:AP53)+1</f>
        <v>90000011.354473561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>
        <v>1</v>
      </c>
      <c r="BP54" s="116">
        <f>IF(OR(BM54="",BM55="",AND(BN54="",BN55&lt;&gt;""),AND(BN55="",BN54&lt;&gt;""),AND(BO54="",BO55&lt;&gt;""),AND(BO55="",BO54&lt;&gt;"")),"",BM54*1000+BN54*10+BO54)</f>
        <v>1001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0</v>
      </c>
      <c r="BK55" s="132"/>
      <c r="BL55" s="26" t="str">
        <f>IF(group_round_completed,VLOOKUP('3rd places'!K3,AK80:AS91,9,FALSE),"3rd Group E/H/I/J/K")</f>
        <v>Uzbekistan</v>
      </c>
      <c r="BM55" s="62">
        <v>0</v>
      </c>
      <c r="BN55" s="64"/>
      <c r="BO55" s="27">
        <v>0</v>
      </c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1</v>
      </c>
      <c r="AL56" s="123">
        <f>AI56-AJ56</f>
        <v>6</v>
      </c>
      <c r="AM56" s="123">
        <f>AL56-AL60</f>
        <v>12</v>
      </c>
      <c r="AN56" s="123">
        <f>AF56*3+AG56</f>
        <v>7</v>
      </c>
      <c r="AO56" s="123">
        <f>AN56/AN60*10+BA56</f>
        <v>9.735294117647058</v>
      </c>
      <c r="AP56" s="123">
        <f>AO56*10000000+BI56*100+AM56/AM60*10+AI56/AI60*1++IF(AQ56=0,ROW(),AQ56)/2000000</f>
        <v>97353049.812590227</v>
      </c>
      <c r="AQ56" s="126">
        <f>VLOOKUP(AE56,db_fifarank,2,FALSE)</f>
        <v>1877.32</v>
      </c>
      <c r="AR56" s="125">
        <f>AP56/AP60</f>
        <v>0.99999998972810822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1</v>
      </c>
      <c r="AW56" s="126" cm="1">
        <f t="array" ref="AW56">SUMPRODUCT(($E$7:$E$78=AE56)*($U$7:$U$78)*($G$7:$G$78))+SUMPRODUCT(($H$7:$H$78=AE56)*($U$7:$U$78)*($F$7:$F$78))</f>
        <v>1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100.5</v>
      </c>
      <c r="BA56" s="126">
        <f>AZ56/AZ60</f>
        <v>0.98529411764705888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1</v>
      </c>
      <c r="BE56" s="126" cm="1">
        <f t="array" ref="BE56">SUMPRODUCT(($E$7:$E$78=AE56)*($X$7:$X$78)*($G$7:$G$78))+SUMPRODUCT(($H$7:$H$78=AE56)*($X$7:$X$78)*($F$7:$F$78))</f>
        <v>1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100.5</v>
      </c>
      <c r="BI56" s="126">
        <f>BH56/BH60</f>
        <v>0.98529411764705888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7 - 1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1</v>
      </c>
      <c r="AH57" s="123">
        <f>COUNTIF($S$7:$T$78,"=" &amp; AE57 &amp; "_lose")</f>
        <v>2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7</v>
      </c>
      <c r="AL57" s="123">
        <f>AI57-AJ57</f>
        <v>-4</v>
      </c>
      <c r="AM57" s="123">
        <f>AL57-AL60</f>
        <v>2</v>
      </c>
      <c r="AN57" s="123">
        <f>AF57*3+AG57</f>
        <v>1</v>
      </c>
      <c r="AO57" s="123">
        <f>AN57/AN60*10+BA57</f>
        <v>2.2401960784313726</v>
      </c>
      <c r="AP57" s="123">
        <f>AO57*10000000+BI57*100+AM57/AM60*10+AI57/AI60*1++IF(AQ57=0,ROW(),AQ57)/2000000</f>
        <v>22402061.718227603</v>
      </c>
      <c r="AQ57" s="126">
        <f>VLOOKUP(AE57,db_fifarank,2,FALSE)</f>
        <v>1688.99</v>
      </c>
      <c r="AR57" s="125">
        <f>AP57/AP60</f>
        <v>0.23011155306630049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2</v>
      </c>
      <c r="AW57" s="126" cm="1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101</v>
      </c>
      <c r="BA57" s="126">
        <f>AZ57/AZ60</f>
        <v>0.99019607843137258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101</v>
      </c>
      <c r="BI57" s="126">
        <f>BH57/BH60</f>
        <v>0.99019607843137258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6 - 2</v>
      </c>
      <c r="P58" s="34">
        <f>L58*3+M58</f>
        <v>7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8</v>
      </c>
      <c r="AL58" s="123">
        <f>AI58-AJ58</f>
        <v>-6</v>
      </c>
      <c r="AM58" s="123">
        <f>AL58-AL60</f>
        <v>0</v>
      </c>
      <c r="AN58" s="123">
        <f>AF58*3+AG58</f>
        <v>1</v>
      </c>
      <c r="AO58" s="123">
        <f>AN58/AN60*10+BA58</f>
        <v>2.2401960784313726</v>
      </c>
      <c r="AP58" s="123">
        <f>AO58*10000000+BI58*100+AM58/AM60*10+AI58/AI60*1++IF(AQ58=0,ROW(),AQ58)/2000000</f>
        <v>22402060.05464514</v>
      </c>
      <c r="AQ58" s="126">
        <f>VLOOKUP(AE58,db_fifarank,2,FALSE)</f>
        <v>1447.14</v>
      </c>
      <c r="AR58" s="125">
        <f>AP58/AP60</f>
        <v>0.2301115359781615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1</v>
      </c>
      <c r="AV58" s="126" cm="1">
        <f t="array" ref="AV58">SUMPRODUCT(($E$7:$E$78=AE58)*($U$7:$U$78)*($F$7:$F$78))+SUMPRODUCT(($H$7:$H$78=AE58)*($U$7:$U$78)*($G$7:$G$78))</f>
        <v>2</v>
      </c>
      <c r="AW58" s="126" cm="1">
        <f t="array" ref="AW58">SUMPRODUCT(($E$7:$E$78=AE58)*($U$7:$U$78)*($G$7:$G$78))+SUMPRODUCT(($H$7:$H$78=AE58)*($U$7:$U$78)*($F$7:$F$78))</f>
        <v>2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101</v>
      </c>
      <c r="BA58" s="126">
        <f>AZ58/AZ60</f>
        <v>0.99019607843137258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1</v>
      </c>
      <c r="BD58" s="126" cm="1">
        <f t="array" ref="BD58">SUMPRODUCT(($E$7:$E$78=AE58)*($X$7:$X$78)*($F$7:$F$78))+SUMPRODUCT(($H$7:$H$78=AE58)*($X$7:$X$78)*($G$7:$G$78))</f>
        <v>2</v>
      </c>
      <c r="BE58" s="126" cm="1">
        <f t="array" ref="BE58">SUMPRODUCT(($E$7:$E$78=AE58)*($X$7:$X$78)*($G$7:$G$78))+SUMPRODUCT(($H$7:$H$78=AE58)*($X$7:$X$78)*($F$7:$F$78))</f>
        <v>2</v>
      </c>
      <c r="BF58" s="126">
        <f>BD58-BE58</f>
        <v>0</v>
      </c>
      <c r="BG58" s="126">
        <f>BF58-MIN(BF56:BF59)</f>
        <v>0</v>
      </c>
      <c r="BH58" s="126">
        <f t="shared" si="26"/>
        <v>101</v>
      </c>
      <c r="BI58" s="126">
        <f>BH58/BH60</f>
        <v>0.99019607843137258</v>
      </c>
      <c r="BK58" s="131">
        <v>86</v>
      </c>
      <c r="BL58" s="24" t="str">
        <f>AS62</f>
        <v>Argentina</v>
      </c>
      <c r="BM58" s="61">
        <v>1</v>
      </c>
      <c r="BN58" s="63"/>
      <c r="BO58" s="25">
        <v>1</v>
      </c>
      <c r="BP58" s="112">
        <f>IF(OR(BM58="",BM59="",AND(BN58="",BN59&lt;&gt;""),AND(BN59="",BN58&lt;&gt;""),AND(BO58="",BO59&lt;&gt;""),AND(BO59="",BO58&lt;&gt;"")),"",BM58*1000+BN58*10+BO58)</f>
        <v>1001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0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0</v>
      </c>
      <c r="M59" s="23">
        <f>VLOOKUP(3,AD56:AN59,4,FALSE)</f>
        <v>1</v>
      </c>
      <c r="N59" s="23">
        <f>VLOOKUP(3,AD56:AN59,5,FALSE)</f>
        <v>2</v>
      </c>
      <c r="O59" s="23" t="str">
        <f>VLOOKUP(3,AD56:AN59,6,FALSE) &amp; " - " &amp; VLOOKUP(3,AD56:AN59,7,FALSE)</f>
        <v>3 - 7</v>
      </c>
      <c r="P59" s="34">
        <f>L59*3+M59</f>
        <v>1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1</v>
      </c>
      <c r="V59" s="123">
        <f t="shared" si="21"/>
        <v>0</v>
      </c>
      <c r="W59" s="123">
        <f t="shared" si="22"/>
        <v>0</v>
      </c>
      <c r="X59" s="123">
        <f t="shared" si="9"/>
        <v>1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1</v>
      </c>
      <c r="AH59" s="123">
        <f>COUNTIF($S$7:$T$78,"=" &amp; AE59 &amp; "_lose")</f>
        <v>0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2</v>
      </c>
      <c r="AL59" s="123">
        <f>AI59-AJ59</f>
        <v>4</v>
      </c>
      <c r="AM59" s="123">
        <f>AL59-AL60</f>
        <v>10</v>
      </c>
      <c r="AN59" s="123">
        <f>AF59*3+AG59</f>
        <v>7</v>
      </c>
      <c r="AO59" s="123">
        <f>AN59/AN60*10+BA59</f>
        <v>9.735294117647058</v>
      </c>
      <c r="AP59" s="123">
        <f>AO59*10000000+BI59*100+AM59/AM60*10+AI59/AI60*1++IF(AQ59=0,ROW(),AQ59)/2000000</f>
        <v>97353048.148965508</v>
      </c>
      <c r="AQ59" s="126">
        <f>VLOOKUP(AE59,db_fifarank,2,FALSE)</f>
        <v>1550.94</v>
      </c>
      <c r="AR59" s="125">
        <f>AP59/AP60</f>
        <v>0.99999997263953522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100.5</v>
      </c>
      <c r="BA59" s="126">
        <f>AZ59/AZ60</f>
        <v>0.98529411764705888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100.5</v>
      </c>
      <c r="BI59" s="126">
        <f>BH59/BH60</f>
        <v>0.98529411764705888</v>
      </c>
      <c r="BK59" s="132"/>
      <c r="BL59" s="26" t="str">
        <f>AS51</f>
        <v>Uruguay</v>
      </c>
      <c r="BM59" s="62">
        <v>0</v>
      </c>
      <c r="BN59" s="64"/>
      <c r="BO59" s="27">
        <v>0</v>
      </c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2 - 8</v>
      </c>
      <c r="P60" s="37">
        <f>L60*3+M60</f>
        <v>1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1</v>
      </c>
      <c r="AH60" s="123">
        <f t="shared" si="27"/>
        <v>3</v>
      </c>
      <c r="AI60" s="123">
        <f>MAX(AI56:AI59)+1</f>
        <v>8</v>
      </c>
      <c r="AL60" s="123">
        <f>MIN(AL56:AL59)</f>
        <v>-6</v>
      </c>
      <c r="AM60" s="123">
        <f>MAX(AM56:AM59)+1</f>
        <v>13</v>
      </c>
      <c r="AN60" s="123">
        <f>MAX(AN56:AN59)+1</f>
        <v>8</v>
      </c>
      <c r="AO60" s="123">
        <f>MAX(AO56:AO59)+1</f>
        <v>10.735294117647058</v>
      </c>
      <c r="AP60" s="123">
        <f>MAX(AP56:AP59)+1</f>
        <v>97353050.812590227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102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102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1</v>
      </c>
      <c r="AL62" s="123">
        <f>AI62-AJ62</f>
        <v>7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90000010.120595545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>
        <v>1</v>
      </c>
      <c r="BP62" s="116">
        <f>IF(OR(BM62="",BM63="",AND(BN62="",BN63&lt;&gt;""),AND(BN63="",BN62&lt;&gt;""),AND(BO62="",BO63&lt;&gt;""),AND(BO63="",BO62&lt;&gt;"")),"",BM62*1000+BN62*10+BO62)</f>
        <v>1001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3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6</v>
      </c>
      <c r="AL63" s="123">
        <f>AI63-AJ63</f>
        <v>-3</v>
      </c>
      <c r="AM63" s="123">
        <f>AL63-AL66</f>
        <v>2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20000001.872577</v>
      </c>
      <c r="AQ63" s="126">
        <f>VLOOKUP(AE63,db_fifarank,2,FALSE)</f>
        <v>1564.26</v>
      </c>
      <c r="AR63" s="125">
        <f>AP63/AP66</f>
        <v>0.22222221557037355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>
        <v>0</v>
      </c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6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40000005.060625792</v>
      </c>
      <c r="AQ64" s="126">
        <f>VLOOKUP(AE64,db_fifarank,2,FALSE)</f>
        <v>1593.45</v>
      </c>
      <c r="AR64" s="125">
        <f>AP64/AP66</f>
        <v>0.44444444575709852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3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3 - 6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7</v>
      </c>
      <c r="AL65" s="123">
        <f>AI65-AJ65</f>
        <v>-5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10000000.222917948</v>
      </c>
      <c r="AQ65" s="126">
        <f>VLOOKUP(AE65,db_fifarank,2,FALSE)</f>
        <v>1391.45</v>
      </c>
      <c r="AR65" s="125">
        <f>AP65/AP66</f>
        <v>0.11111109985884829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Switzerland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0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2 - 7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9</v>
      </c>
      <c r="AL66" s="123">
        <f>MIN(AL62:AL65)</f>
        <v>-5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90000011.120595545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>
        <v>1</v>
      </c>
      <c r="BP66" s="112">
        <f>IF(OR(BM66="",BM67="",AND(BN66="",BN67&lt;&gt;""),AND(BN67="",BN66&lt;&gt;""),AND(BO66="",BO67&lt;&gt;""),AND(BO67="",BO66&lt;&gt;"")),"",BM66*1000+BN66*10+BO66)</f>
        <v>1001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1</v>
      </c>
      <c r="V67" s="123">
        <f t="shared" si="21"/>
        <v>1</v>
      </c>
      <c r="W67" s="123">
        <f t="shared" si="22"/>
        <v>1</v>
      </c>
      <c r="X67" s="123">
        <f t="shared" si="9"/>
        <v>1</v>
      </c>
      <c r="Y67" s="123">
        <f t="shared" si="10"/>
        <v>1</v>
      </c>
      <c r="Z67" s="123">
        <f t="shared" si="11"/>
        <v>1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Ivory Coast</v>
      </c>
      <c r="BM67" s="62">
        <v>0</v>
      </c>
      <c r="BN67" s="64"/>
      <c r="BO67" s="27">
        <v>0</v>
      </c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2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Senegal_draw</v>
      </c>
      <c r="T68" s="127" t="str">
        <f t="shared" si="20"/>
        <v>Iraq_draw</v>
      </c>
      <c r="U68" s="123">
        <f t="shared" si="8"/>
        <v>1</v>
      </c>
      <c r="V68" s="123">
        <f t="shared" si="21"/>
        <v>2</v>
      </c>
      <c r="W68" s="123">
        <f t="shared" si="22"/>
        <v>2</v>
      </c>
      <c r="X68" s="123">
        <f t="shared" si="9"/>
        <v>1</v>
      </c>
      <c r="Y68" s="123">
        <f t="shared" si="10"/>
        <v>2</v>
      </c>
      <c r="Z68" s="123">
        <f t="shared" si="11"/>
        <v>2</v>
      </c>
      <c r="AA68" s="123">
        <f t="shared" si="17"/>
        <v>0</v>
      </c>
      <c r="AB68" s="123">
        <f t="shared" si="23"/>
        <v>0</v>
      </c>
      <c r="AD68" s="123">
        <f>COUNTIF(AR68:AR71,CONCATENATE("&gt;=",AR68))</f>
        <v>2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4</v>
      </c>
      <c r="AL68" s="123">
        <f>AI68-AJ68</f>
        <v>3</v>
      </c>
      <c r="AM68" s="123">
        <f>AL68-AL72</f>
        <v>10</v>
      </c>
      <c r="AN68" s="123">
        <f>AF68*3+AG68</f>
        <v>7</v>
      </c>
      <c r="AO68" s="123">
        <f>AN68/AN72*10+BA68</f>
        <v>9.7306451612903224</v>
      </c>
      <c r="AP68" s="123">
        <f>AO68*10000000+BI68*100+AM68/AM72*10+AI68/AI72*1++IF(AQ68=0,ROW(),AQ68)/2000000</f>
        <v>97306558.886634588</v>
      </c>
      <c r="AQ68" s="126">
        <f>VLOOKUP(AE68,db_fifarank,2,FALSE)</f>
        <v>1763.83</v>
      </c>
      <c r="AR68" s="125">
        <f>AP68/AP72</f>
        <v>0.99999998244416433</v>
      </c>
      <c r="AS68" s="125" t="str">
        <f>IF(SUM(AF68:AH71)=12,J69,"1K")</f>
        <v>Colombia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50.666666666666664</v>
      </c>
      <c r="BA68" s="126">
        <f>AZ68/AZ72</f>
        <v>0.98064516129032253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50.666666666666664</v>
      </c>
      <c r="BI68" s="126">
        <f>BH68/BH72</f>
        <v>0.98064516129032253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Colombia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6 - 2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9</v>
      </c>
      <c r="AL69" s="123">
        <f>AI69-AJ69</f>
        <v>-7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0.25073917499999998</v>
      </c>
      <c r="AQ69" s="126">
        <f>VLOOKUP(AE69,db_fifarank,2,FALSE)</f>
        <v>1478.35</v>
      </c>
      <c r="AR69" s="125">
        <f>AP69/AP72</f>
        <v>2.5767961940796182E-9</v>
      </c>
      <c r="AS69" s="125" t="str">
        <f>IF(SUM(AF68:AH71)=12,J70,"2K")</f>
        <v>Portugal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Colombia</v>
      </c>
      <c r="BT69" s="62">
        <v>0</v>
      </c>
      <c r="BU69" s="64"/>
      <c r="BV69" s="27"/>
      <c r="BW69" s="112">
        <f>IF(BW68="","",BT69*1000+BU69*10+BV69)</f>
        <v>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3</v>
      </c>
      <c r="H70" s="80" t="str">
        <f>AE44</f>
        <v>Belgium</v>
      </c>
      <c r="I70" s="69"/>
      <c r="J70" s="33" t="str">
        <f>VLOOKUP(2,AD68:AN71,2,FALSE)</f>
        <v>Portugal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7 - 4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4</v>
      </c>
      <c r="AJ70" s="123">
        <f>SUMIF($E$7:$E$78,$AE70,$G$7:$G$78) + SUMIF($H$7:$H$78,$AE70,$F$7:$F$78)</f>
        <v>4</v>
      </c>
      <c r="AL70" s="123">
        <f>AI70-AJ70</f>
        <v>0</v>
      </c>
      <c r="AM70" s="123">
        <f>AL70-AL72</f>
        <v>7</v>
      </c>
      <c r="AN70" s="123">
        <f>AF70*3+AG70</f>
        <v>3</v>
      </c>
      <c r="AO70" s="123">
        <f>AN70/AN72*10+BA70</f>
        <v>3.75</v>
      </c>
      <c r="AP70" s="123">
        <f>AO70*10000000+BI70*100+AM70/AM72*10+AI70/AI72*1++IF(AQ70=0,ROW(),AQ70)/2000000</f>
        <v>37500006.334066004</v>
      </c>
      <c r="AQ70" s="126">
        <f>VLOOKUP(AE70,db_fifarank,2,FALSE)</f>
        <v>1465.34</v>
      </c>
      <c r="AR70" s="125">
        <f>AP70/AP72</f>
        <v>0.38538004123042541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Colombia</v>
      </c>
      <c r="BM70" s="61">
        <v>1</v>
      </c>
      <c r="BN70" s="63"/>
      <c r="BO70" s="25">
        <v>1</v>
      </c>
      <c r="BP70" s="116">
        <f>IF(OR(BM70="",BM71="",AND(BN70="",BN71&lt;&gt;""),AND(BN71="",BN70&lt;&gt;""),AND(BO70="",BO71&lt;&gt;""),AND(BO71="",BO70&lt;&gt;"")),"",BM70*1000+BN70*10+BO70)</f>
        <v>1001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4 - 4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1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2</v>
      </c>
      <c r="AL71" s="123">
        <f>AI71-AJ71</f>
        <v>4</v>
      </c>
      <c r="AM71" s="123">
        <f>AL71-AL72</f>
        <v>11</v>
      </c>
      <c r="AN71" s="123">
        <f>AF71*3+AG71</f>
        <v>7</v>
      </c>
      <c r="AO71" s="123">
        <f>AN71/AN72*10+BA71</f>
        <v>9.7306451612903224</v>
      </c>
      <c r="AP71" s="123">
        <f>AO71*10000000+BI71*100+AM71/AM72*10+AI71/AI72*1++IF(AQ71=0,ROW(),AQ71)/2000000</f>
        <v>97306559.594932571</v>
      </c>
      <c r="AQ71" s="126">
        <f>VLOOKUP(AE71,db_fifarank,2,FALSE)</f>
        <v>1693.09</v>
      </c>
      <c r="AR71" s="125">
        <f>AP71/AP72</f>
        <v>0.99999998972320059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50.666666666666664</v>
      </c>
      <c r="BA71" s="126">
        <f>AZ71/AZ72</f>
        <v>0.98064516129032253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50.666666666666664</v>
      </c>
      <c r="BI71" s="126">
        <f>BH71/BH72</f>
        <v>0.98064516129032253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>
        <v>0</v>
      </c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2 - 9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8</v>
      </c>
      <c r="AL72" s="123">
        <f>MIN(AL68:AL71)</f>
        <v>-7</v>
      </c>
      <c r="AM72" s="123">
        <f>MAX(AM68:AM71)+1</f>
        <v>12</v>
      </c>
      <c r="AN72" s="123">
        <f>MAX(AN68:AN71)+1</f>
        <v>8</v>
      </c>
      <c r="AO72" s="123">
        <f>MAX(AO68:AO71)+1</f>
        <v>10.730645161290322</v>
      </c>
      <c r="AP72" s="123">
        <f>MAX(AP68:AP71)+1</f>
        <v>97306560.594932571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1</v>
      </c>
      <c r="AL74" s="123">
        <f>AI74-AJ74</f>
        <v>5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90000010.024722502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3</v>
      </c>
      <c r="AL75" s="123">
        <f>AI75-AJ75</f>
        <v>3</v>
      </c>
      <c r="AM75" s="123">
        <f>AL75-AL78</f>
        <v>9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60000008.358001396</v>
      </c>
      <c r="AQ75" s="126">
        <f>VLOOKUP(AE75,db_fifarank,2,FALSE)</f>
        <v>1717.07</v>
      </c>
      <c r="AR75" s="125">
        <f>AP75/AP78</f>
        <v>0.66666667786873635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6 - 3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4</v>
      </c>
      <c r="AL76" s="123">
        <f>AI76-AJ76</f>
        <v>-2</v>
      </c>
      <c r="AM76" s="123">
        <f>AL76-AL78</f>
        <v>4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30000003.619720776</v>
      </c>
      <c r="AQ76" s="126">
        <f>VLOOKUP(AE76,db_fifarank,2,FALSE)</f>
        <v>1346.31</v>
      </c>
      <c r="AR76" s="125">
        <f>AP76/AP78</f>
        <v>0.33333333272014759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2 - 4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6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8.5591100626465195E-12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3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7</v>
      </c>
      <c r="AL78" s="123">
        <f>MIN(AL74:AL77)</f>
        <v>-6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90000011.024722502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4</v>
      </c>
      <c r="AP80" s="123">
        <f>AN80/AN92*10000+AM80/AM92*1000+AI80/AI92*100+IF(AQ80=0,ROW(),AQ80)/2000000</f>
        <v>8478.57222290143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Ⓑ Canada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5 - 3</v>
      </c>
      <c r="P81" s="98">
        <f>L81*3+M81</f>
        <v>4</v>
      </c>
      <c r="AD81" s="123">
        <f t="shared" ref="AD81:AD91" si="38">COUNTIF($AP$80:$AP$91,CONCATENATE("&gt;=",AP81))</f>
        <v>1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5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2</v>
      </c>
      <c r="AM81" s="123">
        <f t="shared" ref="AM81:AM91" si="44">AL81-$AL$92</f>
        <v>6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8940.4769687161915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Ⓓ Australia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3</v>
      </c>
      <c r="AE82" s="124" t="str">
        <f>J23</f>
        <v>Morocco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4</v>
      </c>
      <c r="AJ82" s="123">
        <f t="shared" si="42"/>
        <v>5</v>
      </c>
      <c r="AK82" s="123" t="s">
        <v>3182</v>
      </c>
      <c r="AL82" s="123">
        <f t="shared" si="43"/>
        <v>-1</v>
      </c>
      <c r="AM82" s="123">
        <f t="shared" si="44"/>
        <v>3</v>
      </c>
      <c r="AN82" s="123">
        <f t="shared" si="45"/>
        <v>4</v>
      </c>
      <c r="AP82" s="123">
        <f>AN82/AN92*10000+AM82/AM92*1000+AI82/AI92*100+IF(AQ82=0,ROW(),AQ82)/2000000</f>
        <v>8495.2389731730946</v>
      </c>
      <c r="AQ82" s="126">
        <f t="shared" si="37"/>
        <v>1755.87</v>
      </c>
      <c r="AR82" s="125" t="str">
        <f t="shared" ref="AR82:AR91" si="50">AR81&amp;IF(AD82&lt;=8,RIGHT(AK82,1),"")</f>
        <v>ABC</v>
      </c>
      <c r="AS82" s="129" t="str">
        <f t="shared" si="46"/>
        <v>Morocco</v>
      </c>
      <c r="AT82" s="130" t="str">
        <f>"Ⓒ "&amp;AE82</f>
        <v>Ⓒ Morocco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Ⓒ Morocco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4 - 5</v>
      </c>
      <c r="P83" s="101">
        <f t="shared" si="48"/>
        <v>4</v>
      </c>
      <c r="AD83" s="123">
        <f t="shared" si="38"/>
        <v>2</v>
      </c>
      <c r="AE83" s="124" t="str">
        <f>J29</f>
        <v>Australia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3</v>
      </c>
      <c r="AJ83" s="123">
        <f t="shared" si="42"/>
        <v>3</v>
      </c>
      <c r="AK83" s="123" t="s">
        <v>3184</v>
      </c>
      <c r="AL83" s="123">
        <f t="shared" si="43"/>
        <v>0</v>
      </c>
      <c r="AM83" s="123">
        <f t="shared" si="44"/>
        <v>4</v>
      </c>
      <c r="AN83" s="123">
        <f t="shared" si="45"/>
        <v>4</v>
      </c>
      <c r="AP83" s="123">
        <f>AN83/AN92*10000+AM83/AM92*1000+AI83/AI92*100+IF(AQ83=0,ROW(),AQ83)/2000000</f>
        <v>8621.4293617635703</v>
      </c>
      <c r="AQ83" s="126">
        <f t="shared" si="37"/>
        <v>1580.67</v>
      </c>
      <c r="AR83" s="125" t="str">
        <f t="shared" si="50"/>
        <v>ABCD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Ⓐ Korea Republic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3 - 4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6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4</v>
      </c>
      <c r="AJ84" s="123">
        <f t="shared" si="42"/>
        <v>5</v>
      </c>
      <c r="AK84" s="123" t="s">
        <v>3185</v>
      </c>
      <c r="AL84" s="123">
        <f t="shared" si="43"/>
        <v>-1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6495.2388617280958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Ⓚ Uzbekistan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Sweden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3</v>
      </c>
      <c r="AJ85" s="123">
        <f t="shared" si="42"/>
        <v>5</v>
      </c>
      <c r="AK85" s="123" t="s">
        <v>3186</v>
      </c>
      <c r="AL85" s="123">
        <f t="shared" si="43"/>
        <v>-2</v>
      </c>
      <c r="AM85" s="123">
        <f t="shared" si="44"/>
        <v>2</v>
      </c>
      <c r="AN85" s="123">
        <f t="shared" si="45"/>
        <v>2</v>
      </c>
      <c r="AP85" s="123">
        <f>AN85/AN92*10000+AM85/AM92*1000+AI85/AI92*100+IF(AQ85=0,ROW(),AQ85)/2000000</f>
        <v>4335.7150430992851</v>
      </c>
      <c r="AQ85" s="126">
        <f t="shared" si="37"/>
        <v>1514.77</v>
      </c>
      <c r="AR85" s="125" t="str">
        <f t="shared" si="50"/>
        <v>ABCDEF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Ⓔ Ivory Coast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Portugal</v>
      </c>
      <c r="T86" s="127" t="str" cm="1">
        <f t="array" ref="T86">IF(OR(S86="",S86="draw"),INDEX(T,88,lang),S86)</f>
        <v>Portugal</v>
      </c>
      <c r="AD86" s="123">
        <f t="shared" si="38"/>
        <v>12</v>
      </c>
      <c r="AE86" s="124" t="str">
        <f>J47</f>
        <v>New Zealand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1</v>
      </c>
      <c r="AJ86" s="123">
        <f t="shared" si="42"/>
        <v>5</v>
      </c>
      <c r="AK86" s="123" t="s">
        <v>3187</v>
      </c>
      <c r="AL86" s="123">
        <f t="shared" si="43"/>
        <v>-4</v>
      </c>
      <c r="AM86" s="123">
        <f t="shared" si="44"/>
        <v>0</v>
      </c>
      <c r="AN86" s="123">
        <f t="shared" si="45"/>
        <v>1</v>
      </c>
      <c r="AP86" s="123">
        <f>AN86/AN92*10000+AM86/AM92*1000+AI86/AI92*100+IF(AQ86=0,ROW(),AQ86)/2000000</f>
        <v>2016.6673074516668</v>
      </c>
      <c r="AQ86" s="126">
        <f t="shared" si="37"/>
        <v>1281.57</v>
      </c>
      <c r="AR86" s="125" t="str">
        <f t="shared" si="50"/>
        <v>ABCDEF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Ⓛ Ghana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10</v>
      </c>
      <c r="AE87" s="124" t="str">
        <f>J53</f>
        <v>Saudi Arabia</v>
      </c>
      <c r="AF87" s="123">
        <f t="shared" si="39"/>
        <v>0</v>
      </c>
      <c r="AG87" s="123">
        <f t="shared" si="49"/>
        <v>2</v>
      </c>
      <c r="AH87" s="123">
        <f t="shared" si="40"/>
        <v>1</v>
      </c>
      <c r="AI87" s="123">
        <f t="shared" si="41"/>
        <v>2</v>
      </c>
      <c r="AJ87" s="123">
        <f t="shared" si="42"/>
        <v>5</v>
      </c>
      <c r="AK87" s="123" t="s">
        <v>3188</v>
      </c>
      <c r="AL87" s="123">
        <f t="shared" si="43"/>
        <v>-3</v>
      </c>
      <c r="AM87" s="123">
        <f t="shared" si="44"/>
        <v>1</v>
      </c>
      <c r="AN87" s="123">
        <f t="shared" si="45"/>
        <v>2</v>
      </c>
      <c r="AP87" s="123">
        <f>AN87/AN92*10000+AM87/AM92*1000+AI87/AI92*100+IF(AQ87=0,ROW(),AQ87)/2000000</f>
        <v>4176.1911869054766</v>
      </c>
      <c r="AQ87" s="126">
        <f t="shared" si="37"/>
        <v>1421.43</v>
      </c>
      <c r="AR87" s="125" t="str">
        <f t="shared" si="50"/>
        <v>ABCDEF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Ⓕ Sweden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3 - 5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11</v>
      </c>
      <c r="AE88" s="124" t="str">
        <f>J59</f>
        <v>Senegal</v>
      </c>
      <c r="AF88" s="123">
        <f t="shared" si="39"/>
        <v>0</v>
      </c>
      <c r="AG88" s="123">
        <f t="shared" si="49"/>
        <v>1</v>
      </c>
      <c r="AH88" s="123">
        <f t="shared" si="40"/>
        <v>2</v>
      </c>
      <c r="AI88" s="123">
        <f t="shared" si="41"/>
        <v>3</v>
      </c>
      <c r="AJ88" s="123">
        <f t="shared" si="42"/>
        <v>7</v>
      </c>
      <c r="AK88" s="123" t="s">
        <v>3189</v>
      </c>
      <c r="AL88" s="123">
        <f t="shared" si="43"/>
        <v>-4</v>
      </c>
      <c r="AM88" s="123">
        <f t="shared" si="44"/>
        <v>0</v>
      </c>
      <c r="AN88" s="123">
        <f t="shared" si="45"/>
        <v>1</v>
      </c>
      <c r="AP88" s="123">
        <f>AN88/AN92*10000+AM88/AM92*1000+AI88/AI92*100+IF(AQ88=0,ROW(),AQ88)/2000000</f>
        <v>2050.0008444949999</v>
      </c>
      <c r="AQ88" s="126">
        <f t="shared" si="37"/>
        <v>1688.99</v>
      </c>
      <c r="AR88" s="125" t="str">
        <f t="shared" si="50"/>
        <v>ABCDEF</v>
      </c>
      <c r="AS88" s="129" t="str">
        <f t="shared" si="46"/>
        <v/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Ⓙ Algeria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3 - 6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9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3</v>
      </c>
      <c r="AJ89" s="123">
        <f t="shared" si="42"/>
        <v>6</v>
      </c>
      <c r="AK89" s="123" t="s">
        <v>3190</v>
      </c>
      <c r="AL89" s="123">
        <f t="shared" si="43"/>
        <v>-3</v>
      </c>
      <c r="AM89" s="123">
        <f t="shared" si="44"/>
        <v>1</v>
      </c>
      <c r="AN89" s="123">
        <f t="shared" si="45"/>
        <v>2</v>
      </c>
      <c r="AP89" s="123">
        <f>AN89/AN92*10000+AM89/AM92*1000+AI89/AI92*100+IF(AQ89=0,ROW(),AQ89)/2000000</f>
        <v>4192.8579249871427</v>
      </c>
      <c r="AQ89" s="126">
        <f t="shared" si="37"/>
        <v>1564.26</v>
      </c>
      <c r="AR89" s="125" t="str">
        <f t="shared" si="50"/>
        <v>ABCDEF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Ⓗ Saudi Arabia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2 - 5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5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4</v>
      </c>
      <c r="AJ90" s="123">
        <f t="shared" si="42"/>
        <v>4</v>
      </c>
      <c r="AK90" s="123" t="s">
        <v>3191</v>
      </c>
      <c r="AL90" s="123">
        <f t="shared" si="43"/>
        <v>0</v>
      </c>
      <c r="AM90" s="123">
        <f t="shared" si="44"/>
        <v>4</v>
      </c>
      <c r="AN90" s="123">
        <f t="shared" si="45"/>
        <v>3</v>
      </c>
      <c r="AP90" s="123">
        <f>AN90/AN92*10000+AM90/AM92*1000+AI90/AI92*100+IF(AQ90=0,ROW(),AQ90)/2000000</f>
        <v>6638.0959707652382</v>
      </c>
      <c r="AQ90" s="126">
        <f t="shared" si="37"/>
        <v>1465.34</v>
      </c>
      <c r="AR90" s="125" t="str">
        <f t="shared" si="50"/>
        <v>ABCDEFK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Ⓘ Senegal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3 - 7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7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4</v>
      </c>
      <c r="AK91" s="123" t="s">
        <v>3192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3</v>
      </c>
      <c r="AP91" s="123">
        <f>AN91/AN92*10000+AM91/AM92*1000+AI91/AI92*100+IF(AQ91=0,ROW(),AQ91)/2000000</f>
        <v>6319.0482922026185</v>
      </c>
      <c r="AQ91" s="126">
        <f t="shared" si="37"/>
        <v>1346.31</v>
      </c>
      <c r="AR91" s="125" t="str">
        <f t="shared" si="50"/>
        <v>ABCDEFKL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Ⓖ New Zealand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8</v>
      </c>
      <c r="AL92" s="123">
        <f>MIN(AL80:AL91)</f>
        <v>-4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481</v>
      </c>
      <c r="C3" s="121" t="str">
        <f>'2026 World Cup'!AR91</f>
        <v>ABCDEFKL</v>
      </c>
      <c r="D3" s="121" t="str">
        <f>VLOOKUP($C3,$C$6:$K$500,2,FALSE)</f>
        <v>3C</v>
      </c>
      <c r="E3" s="121" t="str">
        <f>VLOOKUP($C3,$C$6:$K$500,3,FALSE)</f>
        <v>3E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Steven Nucera</cp:lastModifiedBy>
  <cp:revision/>
  <dcterms:created xsi:type="dcterms:W3CDTF">2017-12-27T19:32:51Z</dcterms:created>
  <dcterms:modified xsi:type="dcterms:W3CDTF">2026-06-11T18:48:37Z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