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imelaulhe/Downloads/"/>
    </mc:Choice>
  </mc:AlternateContent>
  <xr:revisionPtr revIDLastSave="0" documentId="13_ncr:1_{7959F05A-6040-4341-BE53-D557F4EDBDC5}" xr6:coauthVersionLast="47" xr6:coauthVersionMax="47" xr10:uidLastSave="{00000000-0000-0000-0000-000000000000}"/>
  <bookViews>
    <workbookView xWindow="0" yWindow="600" windowWidth="26420" windowHeight="22640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98" i="3"/>
  <c r="T107" i="3"/>
  <c r="J80" i="3"/>
  <c r="BP11" i="3" l="1"/>
  <c r="CR38" i="3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98" i="3" a="1"/>
  <c r="T98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22" i="3"/>
  <c r="AR21" i="3"/>
  <c r="AR28" i="3"/>
  <c r="AD58" i="3" l="1"/>
  <c r="AR11" i="3"/>
  <c r="AR10" i="3"/>
  <c r="AR9" i="3"/>
  <c r="AR34" i="3"/>
  <c r="AR33" i="3"/>
  <c r="AR35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D28" i="3" s="1"/>
  <c r="AR23" i="3"/>
  <c r="AD22" i="3" s="1"/>
  <c r="AR51" i="3"/>
  <c r="AR52" i="3"/>
  <c r="AR53" i="3"/>
  <c r="AR46" i="3"/>
  <c r="AR15" i="3"/>
  <c r="AR45" i="3"/>
  <c r="AR63" i="3"/>
  <c r="AR47" i="3"/>
  <c r="AD44" i="3" s="1"/>
  <c r="AR64" i="3"/>
  <c r="AD62" i="3" s="1"/>
  <c r="AR39" i="3"/>
  <c r="AD56" i="3"/>
  <c r="M58" i="3" s="1"/>
  <c r="AR16" i="3"/>
  <c r="AR17" i="3"/>
  <c r="AD59" i="3"/>
  <c r="AD75" i="3"/>
  <c r="AD68" i="3"/>
  <c r="AD70" i="3"/>
  <c r="AD41" i="3"/>
  <c r="AD27" i="3"/>
  <c r="AD26" i="3"/>
  <c r="AD21" i="3"/>
  <c r="AD20" i="3"/>
  <c r="AD15" i="3"/>
  <c r="L58" i="3" l="1"/>
  <c r="AD53" i="3"/>
  <c r="M59" i="3"/>
  <c r="L59" i="3"/>
  <c r="N58" i="3"/>
  <c r="O60" i="3"/>
  <c r="AD9" i="3"/>
  <c r="AD11" i="3"/>
  <c r="AD33" i="3"/>
  <c r="AD35" i="3"/>
  <c r="AD10" i="3"/>
  <c r="AD76" i="3"/>
  <c r="AD32" i="3"/>
  <c r="AD34" i="3"/>
  <c r="AD8" i="3"/>
  <c r="AD47" i="3"/>
  <c r="AD29" i="3"/>
  <c r="AD63" i="3"/>
  <c r="AD14" i="3"/>
  <c r="AD74" i="3"/>
  <c r="AD71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P57" i="3" s="1"/>
  <c r="AD23" i="3"/>
  <c r="L23" i="3" s="1"/>
  <c r="AD65" i="3"/>
  <c r="AD51" i="3"/>
  <c r="O58" i="3"/>
  <c r="N57" i="3"/>
  <c r="K57" i="3" s="1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J24" i="3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8" i="3"/>
  <c r="AS27" i="3" s="1"/>
  <c r="BL62" i="3" s="1"/>
  <c r="BS61" i="3" s="1"/>
  <c r="J27" i="3"/>
  <c r="AS26" i="3" s="1"/>
  <c r="BL34" i="3" s="1"/>
  <c r="N27" i="3"/>
  <c r="M27" i="3"/>
  <c r="L27" i="3"/>
  <c r="L28" i="3"/>
  <c r="O28" i="3"/>
  <c r="M30" i="3"/>
  <c r="M28" i="3"/>
  <c r="O30" i="3"/>
  <c r="O27" i="3"/>
  <c r="N28" i="3"/>
  <c r="N30" i="3"/>
  <c r="L30" i="3"/>
  <c r="J45" i="3"/>
  <c r="AS44" i="3" s="1"/>
  <c r="BL38" i="3" s="1"/>
  <c r="M45" i="3"/>
  <c r="N45" i="3"/>
  <c r="L45" i="3"/>
  <c r="O45" i="3"/>
  <c r="L63" i="3"/>
  <c r="M63" i="3"/>
  <c r="N63" i="3"/>
  <c r="O63" i="3"/>
  <c r="J63" i="3"/>
  <c r="AS62" i="3" s="1"/>
  <c r="BL58" i="3" s="1"/>
  <c r="BS60" i="3" s="1"/>
  <c r="BZ64" i="3" s="1"/>
  <c r="L69" i="3"/>
  <c r="M69" i="3"/>
  <c r="N69" i="3"/>
  <c r="O69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BZ48" i="3" l="1"/>
  <c r="P58" i="3"/>
  <c r="K59" i="3"/>
  <c r="K58" i="3"/>
  <c r="P59" i="3"/>
  <c r="M39" i="3"/>
  <c r="J42" i="3"/>
  <c r="J39" i="3"/>
  <c r="AS38" i="3" s="1"/>
  <c r="BL22" i="3" s="1"/>
  <c r="L39" i="3"/>
  <c r="M40" i="3"/>
  <c r="O42" i="3"/>
  <c r="J41" i="3"/>
  <c r="AE85" i="3" s="1"/>
  <c r="AQ85" i="3" s="1"/>
  <c r="J40" i="3"/>
  <c r="AS39" i="3" s="1"/>
  <c r="BL43" i="3" s="1"/>
  <c r="N39" i="3"/>
  <c r="O40" i="3"/>
  <c r="L42" i="3"/>
  <c r="L40" i="3"/>
  <c r="J10" i="3"/>
  <c r="AS9" i="3" s="1"/>
  <c r="BL18" i="3" s="1"/>
  <c r="J35" i="3"/>
  <c r="AE84" i="3" s="1"/>
  <c r="AQ84" i="3" s="1"/>
  <c r="L33" i="3"/>
  <c r="L36" i="3"/>
  <c r="O36" i="3"/>
  <c r="N36" i="3"/>
  <c r="N11" i="3"/>
  <c r="J36" i="3"/>
  <c r="N33" i="3"/>
  <c r="M35" i="3"/>
  <c r="O35" i="3"/>
  <c r="N35" i="3"/>
  <c r="L11" i="3"/>
  <c r="J11" i="3"/>
  <c r="AE80" i="3" s="1"/>
  <c r="AQ80" i="3" s="1"/>
  <c r="O10" i="3"/>
  <c r="J33" i="3"/>
  <c r="AS32" i="3" s="1"/>
  <c r="BL10" i="3" s="1"/>
  <c r="M33" i="3"/>
  <c r="O34" i="3"/>
  <c r="L35" i="3"/>
  <c r="M34" i="3"/>
  <c r="J12" i="3"/>
  <c r="N12" i="3"/>
  <c r="O9" i="3"/>
  <c r="N9" i="3"/>
  <c r="O12" i="3"/>
  <c r="M9" i="3"/>
  <c r="L12" i="3"/>
  <c r="M12" i="3"/>
  <c r="J9" i="3"/>
  <c r="AS8" i="3" s="1"/>
  <c r="BL50" i="3" s="1"/>
  <c r="L9" i="3"/>
  <c r="M10" i="3"/>
  <c r="N10" i="3"/>
  <c r="O11" i="3"/>
  <c r="L10" i="3"/>
  <c r="M11" i="3"/>
  <c r="J34" i="3"/>
  <c r="AS33" i="3" s="1"/>
  <c r="BL46" i="3" s="1"/>
  <c r="O33" i="3"/>
  <c r="L34" i="3"/>
  <c r="M36" i="3"/>
  <c r="N34" i="3"/>
  <c r="S91" i="3"/>
  <c r="T91" i="3" s="1" a="1"/>
  <c r="T91" i="3" s="1"/>
  <c r="BS37" i="3"/>
  <c r="J29" i="3"/>
  <c r="AE83" i="3" s="1"/>
  <c r="AQ83" i="3" s="1"/>
  <c r="M29" i="3"/>
  <c r="N29" i="3"/>
  <c r="L29" i="3"/>
  <c r="O29" i="3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S90" i="3"/>
  <c r="T90" i="3" s="1" a="1"/>
  <c r="T90" i="3" s="1"/>
  <c r="BS36" i="3"/>
  <c r="BZ33" i="3" s="1"/>
  <c r="U103" i="3" s="1"/>
  <c r="AC103" i="3" s="1" a="1"/>
  <c r="AC103" i="3" s="1"/>
  <c r="N17" i="3"/>
  <c r="L64" i="3"/>
  <c r="L15" i="3"/>
  <c r="M16" i="3"/>
  <c r="O17" i="3"/>
  <c r="L17" i="3"/>
  <c r="J16" i="3"/>
  <c r="AS15" i="3" s="1"/>
  <c r="BL19" i="3" s="1"/>
  <c r="M17" i="3"/>
  <c r="M64" i="3"/>
  <c r="N64" i="3"/>
  <c r="O64" i="3"/>
  <c r="L65" i="3"/>
  <c r="M65" i="3"/>
  <c r="N65" i="3"/>
  <c r="O54" i="3"/>
  <c r="AF88" i="3"/>
  <c r="AG88" i="3"/>
  <c r="AI88" i="3"/>
  <c r="AJ88" i="3"/>
  <c r="AN88" i="3"/>
  <c r="AT88" i="3"/>
  <c r="M18" i="3"/>
  <c r="N16" i="3"/>
  <c r="O16" i="3"/>
  <c r="J18" i="3"/>
  <c r="L16" i="3"/>
  <c r="O18" i="3"/>
  <c r="N18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L70" i="3"/>
  <c r="M70" i="3"/>
  <c r="N70" i="3"/>
  <c r="O70" i="3"/>
  <c r="L71" i="3"/>
  <c r="M71" i="3"/>
  <c r="N71" i="3"/>
  <c r="S86" i="3"/>
  <c r="T86" i="3" s="1" a="1"/>
  <c r="T86" i="3" s="1"/>
  <c r="BS28" i="3"/>
  <c r="L18" i="3"/>
  <c r="O39" i="3"/>
  <c r="N40" i="3"/>
  <c r="M42" i="3"/>
  <c r="J48" i="3"/>
  <c r="J47" i="3"/>
  <c r="AE86" i="3" s="1"/>
  <c r="AQ86" i="3" s="1"/>
  <c r="J46" i="3"/>
  <c r="AS45" i="3" s="1"/>
  <c r="BL63" i="3" s="1"/>
  <c r="N47" i="3"/>
  <c r="L47" i="3"/>
  <c r="N46" i="3"/>
  <c r="L46" i="3"/>
  <c r="O46" i="3"/>
  <c r="O48" i="3"/>
  <c r="M46" i="3"/>
  <c r="O47" i="3"/>
  <c r="N48" i="3"/>
  <c r="M47" i="3"/>
  <c r="M48" i="3"/>
  <c r="L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N53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AF90" i="3"/>
  <c r="AG90" i="3"/>
  <c r="AH90" i="3"/>
  <c r="AI90" i="3"/>
  <c r="AJ90" i="3"/>
  <c r="AL90" i="3"/>
  <c r="AN90" i="3"/>
  <c r="AT90" i="3"/>
  <c r="P72" i="3"/>
  <c r="K72" i="3"/>
  <c r="P69" i="3"/>
  <c r="K69" i="3"/>
  <c r="P63" i="3"/>
  <c r="K63" i="3"/>
  <c r="K45" i="3"/>
  <c r="P45" i="3"/>
  <c r="K30" i="3"/>
  <c r="P30" i="3"/>
  <c r="P28" i="3"/>
  <c r="K28" i="3"/>
  <c r="K27" i="3"/>
  <c r="P27" i="3"/>
  <c r="P22" i="3"/>
  <c r="K22" i="3"/>
  <c r="K24" i="3"/>
  <c r="P24" i="3"/>
  <c r="P21" i="3"/>
  <c r="K21" i="3"/>
  <c r="S89" i="3" l="1"/>
  <c r="T89" i="3" s="1" a="1"/>
  <c r="T89" i="3" s="1"/>
  <c r="BS21" i="3"/>
  <c r="P39" i="3"/>
  <c r="AG85" i="3"/>
  <c r="AI85" i="3"/>
  <c r="AF85" i="3"/>
  <c r="AJ85" i="3"/>
  <c r="K39" i="3"/>
  <c r="AH85" i="3"/>
  <c r="AL85" i="3"/>
  <c r="AT85" i="3"/>
  <c r="AN85" i="3"/>
  <c r="P40" i="3"/>
  <c r="BS20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S88" i="3"/>
  <c r="T88" i="3" s="1" a="1"/>
  <c r="T88" i="3" s="1"/>
  <c r="AF91" i="3"/>
  <c r="P77" i="3"/>
  <c r="P78" i="3"/>
  <c r="K75" i="3"/>
  <c r="P71" i="3"/>
  <c r="P70" i="3"/>
  <c r="P75" i="3"/>
  <c r="AG91" i="3"/>
  <c r="AH91" i="3"/>
  <c r="AI91" i="3"/>
  <c r="AJ91" i="3"/>
  <c r="AL91" i="3"/>
  <c r="AN91" i="3"/>
  <c r="AT91" i="3"/>
  <c r="K77" i="3"/>
  <c r="K78" i="3"/>
  <c r="P76" i="3"/>
  <c r="K76" i="3"/>
  <c r="K71" i="3"/>
  <c r="K70" i="3"/>
  <c r="K29" i="3"/>
  <c r="P29" i="3"/>
  <c r="AF83" i="3"/>
  <c r="AG83" i="3"/>
  <c r="AH83" i="3"/>
  <c r="AI83" i="3"/>
  <c r="AJ83" i="3"/>
  <c r="AL83" i="3"/>
  <c r="AN83" i="3"/>
  <c r="AT83" i="3"/>
  <c r="AG89" i="3"/>
  <c r="AH89" i="3"/>
  <c r="P52" i="3"/>
  <c r="AF89" i="3"/>
  <c r="AI89" i="3"/>
  <c r="AJ89" i="3"/>
  <c r="AL89" i="3"/>
  <c r="AN89" i="3"/>
  <c r="AT89" i="3"/>
  <c r="P66" i="3"/>
  <c r="K66" i="3"/>
  <c r="P65" i="3"/>
  <c r="K65" i="3"/>
  <c r="P64" i="3"/>
  <c r="K64" i="3"/>
  <c r="P54" i="3"/>
  <c r="K54" i="3"/>
  <c r="K51" i="3"/>
  <c r="P51" i="3"/>
  <c r="K48" i="3"/>
  <c r="P48" i="3"/>
  <c r="P42" i="3"/>
  <c r="P17" i="3"/>
  <c r="K17" i="3"/>
  <c r="P23" i="3"/>
  <c r="P16" i="3"/>
  <c r="K16" i="3"/>
  <c r="AF82" i="3"/>
  <c r="AG82" i="3"/>
  <c r="AH82" i="3"/>
  <c r="AI82" i="3"/>
  <c r="AJ82" i="3"/>
  <c r="AN82" i="3"/>
  <c r="AT82" i="3"/>
  <c r="P18" i="3"/>
  <c r="K18" i="3"/>
  <c r="AF81" i="3"/>
  <c r="AG81" i="3"/>
  <c r="AH81" i="3"/>
  <c r="AI81" i="3"/>
  <c r="AJ81" i="3"/>
  <c r="AL81" i="3"/>
  <c r="AN81" i="3"/>
  <c r="AT81" i="3"/>
  <c r="P15" i="3"/>
  <c r="K15" i="3"/>
  <c r="S87" i="3"/>
  <c r="T87" i="3" s="1" a="1"/>
  <c r="T87" i="3" s="1"/>
  <c r="BS29" i="3"/>
  <c r="K53" i="3"/>
  <c r="AF87" i="3"/>
  <c r="AG87" i="3"/>
  <c r="AH87" i="3"/>
  <c r="AJ87" i="3"/>
  <c r="AL87" i="3"/>
  <c r="AN87" i="3"/>
  <c r="AT87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K42" i="3"/>
  <c r="P41" i="3"/>
  <c r="K41" i="3"/>
  <c r="K23" i="3"/>
  <c r="P53" i="3"/>
  <c r="AL82" i="3"/>
  <c r="AI87" i="3"/>
  <c r="K52" i="3"/>
  <c r="S97" i="3" l="1"/>
  <c r="T97" i="3" s="1" a="1"/>
  <c r="T97" i="3" s="1"/>
  <c r="BZ32" i="3"/>
  <c r="S96" i="3"/>
  <c r="T96" i="3" s="1" a="1"/>
  <c r="T96" i="3" s="1"/>
  <c r="BZ17" i="3"/>
  <c r="U102" i="3" s="1"/>
  <c r="AC102" i="3" s="1" a="1"/>
  <c r="AC102" i="3" s="1"/>
  <c r="AF92" i="3"/>
  <c r="AH92" i="3"/>
  <c r="AS92" i="3"/>
  <c r="AG92" i="3"/>
  <c r="AI92" i="3"/>
  <c r="AN92" i="3"/>
  <c r="AL92" i="3"/>
  <c r="AM88" i="3" s="1"/>
  <c r="AJ92" i="3"/>
  <c r="S103" i="3" l="1"/>
  <c r="T103" i="3" s="1" a="1"/>
  <c r="T103" i="3" s="1"/>
  <c r="CG24" i="3"/>
  <c r="S111" i="3" s="1"/>
  <c r="T111" i="3" s="1"/>
  <c r="AM81" i="3"/>
  <c r="AM82" i="3"/>
  <c r="AM83" i="3"/>
  <c r="AM91" i="3"/>
  <c r="AM90" i="3"/>
  <c r="AM89" i="3"/>
  <c r="AM80" i="3"/>
  <c r="AM87" i="3"/>
  <c r="AM86" i="3"/>
  <c r="AM85" i="3"/>
  <c r="AM84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2" i="3"/>
  <c r="AP81" i="3"/>
  <c r="AP84" i="3"/>
  <c r="AP86" i="3"/>
  <c r="AP89" i="3"/>
  <c r="AP88" i="3"/>
  <c r="AP83" i="3"/>
  <c r="AP80" i="3"/>
  <c r="AP90" i="3"/>
  <c r="AP85" i="3"/>
  <c r="AP91" i="3"/>
  <c r="CN37" i="3" l="1"/>
  <c r="CK68" i="3" s="1"/>
  <c r="CN48" i="3"/>
  <c r="AD87" i="3"/>
  <c r="AS87" i="3" s="1"/>
  <c r="AD85" i="3"/>
  <c r="AS85" i="3" s="1"/>
  <c r="AD89" i="3"/>
  <c r="AS89" i="3" s="1"/>
  <c r="AD86" i="3"/>
  <c r="AS86" i="3" s="1"/>
  <c r="AD84" i="3"/>
  <c r="AS84" i="3" s="1"/>
  <c r="AD83" i="3"/>
  <c r="AS83" i="3" s="1"/>
  <c r="AD91" i="3"/>
  <c r="AS91" i="3" s="1"/>
  <c r="AD80" i="3"/>
  <c r="AD90" i="3"/>
  <c r="AS90" i="3" s="1"/>
  <c r="AD81" i="3"/>
  <c r="AS81" i="3" s="1"/>
  <c r="AD82" i="3"/>
  <c r="AS82" i="3" s="1"/>
  <c r="AD88" i="3"/>
  <c r="AS88" i="3" s="1"/>
  <c r="J92" i="3" l="1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J82" i="3"/>
  <c r="N86" i="3"/>
  <c r="J83" i="3"/>
  <c r="L85" i="3"/>
  <c r="M89" i="3"/>
  <c r="J84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92" i="3"/>
  <c r="J89" i="3"/>
  <c r="M90" i="3"/>
  <c r="N83" i="3"/>
  <c r="M84" i="3"/>
  <c r="J90" i="3"/>
  <c r="M92" i="3"/>
  <c r="M81" i="3"/>
  <c r="L89" i="3"/>
  <c r="O85" i="3"/>
  <c r="N87" i="3"/>
  <c r="M83" i="3"/>
  <c r="N91" i="3"/>
  <c r="O89" i="3"/>
  <c r="N89" i="3"/>
  <c r="J81" i="3"/>
  <c r="O81" i="3"/>
  <c r="L86" i="3"/>
  <c r="O82" i="3"/>
  <c r="N92" i="3"/>
  <c r="M82" i="3"/>
  <c r="L87" i="3"/>
  <c r="J91" i="3"/>
  <c r="O84" i="3"/>
  <c r="N88" i="3"/>
  <c r="M86" i="3"/>
  <c r="P81" i="3" l="1"/>
  <c r="P92" i="3"/>
  <c r="P88" i="3"/>
  <c r="K91" i="3"/>
  <c r="K82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/>
  <c r="BS52" i="3"/>
  <c r="BS69" i="3"/>
  <c r="BZ65" i="3" s="1"/>
  <c r="CG56" i="3" s="1"/>
  <c r="CN49" i="3" s="1"/>
  <c r="BS68" i="3"/>
  <c r="BZ49" i="3" l="1"/>
  <c r="CG55" i="3" s="1"/>
  <c r="CN38" i="3" s="1"/>
  <c r="BL55" i="3"/>
  <c r="BL51" i="3"/>
  <c r="BL71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<sst xmlns="http://schemas.openxmlformats.org/spreadsheetml/2006/main" count="9785" uniqueCount="3699">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</sst>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"/>
  <cols>
    <col min="1" max="1" width="24.1640625" bestFit="1" customWidth="1"/>
    <col min="2" max="42" width="14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640625" defaultRowHeight="15" x14ac:dyDescent="0.2"/>
  <cols>
    <col min="1" max="1" width="1.1640625" style="10" customWidth="1"/>
    <col min="2" max="2" width="18.83203125" style="10" bestFit="1" customWidth="1"/>
    <col min="3" max="3" width="20.33203125" style="10" customWidth="1"/>
    <col min="4" max="4" width="9.1640625" style="10"/>
    <col min="5" max="5" width="1.1640625" style="10" customWidth="1"/>
    <col min="6" max="6" width="9.1640625" style="10"/>
    <col min="7" max="7" width="27.5" style="10" bestFit="1" customWidth="1"/>
    <col min="8" max="8" width="2.6640625" style="10" customWidth="1"/>
    <col min="9" max="9" width="1.1640625" style="10" customWidth="1"/>
    <col min="10" max="16384" width="9.1640625" style="10"/>
  </cols>
  <sheetData>
    <row r="1" spans="2:27" ht="7.5" customHeight="1" x14ac:dyDescent="0.2"/>
    <row r="2" spans="2:27" ht="17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6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BL30" sqref="BL30"/>
    </sheetView>
  </sheetViews>
  <sheetFormatPr baseColWidth="10" defaultColWidth="9.1640625" defaultRowHeight="15" x14ac:dyDescent="0.2"/>
  <cols>
    <col min="1" max="1" width="4.83203125" style="3" customWidth="1"/>
    <col min="2" max="2" width="6.1640625" style="3" customWidth="1"/>
    <col min="3" max="3" width="11.6640625" style="3" bestFit="1" customWidth="1"/>
    <col min="4" max="4" width="9" style="4" customWidth="1"/>
    <col min="5" max="5" width="22.5" style="5" customWidth="1"/>
    <col min="6" max="7" width="4.33203125" style="6" customWidth="1"/>
    <col min="8" max="8" width="22.5" style="7" customWidth="1"/>
    <col min="9" max="9" width="3.5" style="2" customWidth="1"/>
    <col min="10" max="10" width="19.5" style="8" customWidth="1"/>
    <col min="11" max="14" width="5.5" style="9" customWidth="1"/>
    <col min="15" max="15" width="7.6640625" style="9" customWidth="1"/>
    <col min="16" max="16" width="6.6640625" style="9" customWidth="1"/>
    <col min="17" max="17" width="3.5" style="68" customWidth="1"/>
    <col min="18" max="18" width="15.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5" style="123" hidden="1" customWidth="1"/>
    <col min="31" max="31" width="13.5" style="124" hidden="1" customWidth="1"/>
    <col min="32" max="36" width="5.5" style="123" hidden="1" customWidth="1"/>
    <col min="37" max="39" width="6" style="123" hidden="1" customWidth="1"/>
    <col min="40" max="40" width="5.5" style="123" hidden="1" customWidth="1"/>
    <col min="41" max="42" width="6" style="123" hidden="1" customWidth="1"/>
    <col min="43" max="43" width="7.164062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640625" style="125" hidden="1" customWidth="1"/>
    <col min="52" max="61" width="9.1640625" style="126" hidden="1" customWidth="1"/>
    <col min="62" max="62" width="9.164062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320312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640625" style="2"/>
  </cols>
  <sheetData>
    <row r="1" spans="1:95" ht="47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8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90000009.746872261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3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0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6</v>
      </c>
      <c r="AL9" s="123">
        <f>AI9-AJ9</f>
        <v>-4</v>
      </c>
      <c r="AM9" s="123">
        <f>AL9-AL12</f>
        <v>0</v>
      </c>
      <c r="AN9" s="123">
        <f>AF9*3+AG9</f>
        <v>3</v>
      </c>
      <c r="AO9" s="123">
        <f>AN9/AN12*10+BA9</f>
        <v>3</v>
      </c>
      <c r="AP9" s="123">
        <f>AO9*10000000+BI9*100+AM9/AM12*10+AI9/AI12*1++IF(AQ9=0,ROW(),AQ9)/2000000</f>
        <v>30000000.286429152</v>
      </c>
      <c r="AQ9" s="126">
        <f>VLOOKUP(AE9,db_fifarank,2,FALSE)</f>
        <v>1429.73</v>
      </c>
      <c r="AR9" s="125">
        <f>AP9/AP12</f>
        <v>0.33333329671265322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6 - 3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6</v>
      </c>
      <c r="AJ10" s="123">
        <f>SUMIF($E$7:$E$78,$AE10,$G$7:$G$78) + SUMIF($H$7:$H$78,$AE10,$F$7:$F$78)</f>
        <v>3</v>
      </c>
      <c r="AL10" s="123">
        <f>AI10-AJ10</f>
        <v>3</v>
      </c>
      <c r="AM10" s="123">
        <f>AL10-AL12</f>
        <v>7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60000008.635714963</v>
      </c>
      <c r="AQ10" s="126">
        <f>VLOOKUP(AE10,db_fifarank,2,FALSE)</f>
        <v>1588.66</v>
      </c>
      <c r="AR10" s="125">
        <f>AP10/AP12</f>
        <v>0.66666668301259202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2 - 6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0</v>
      </c>
      <c r="AH11" s="123">
        <f>COUNTIF($S$7:$T$78,"=" &amp; AE11 &amp; "_lose")</f>
        <v>3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6</v>
      </c>
      <c r="AL11" s="123">
        <f>AI11-AJ11</f>
        <v>-3</v>
      </c>
      <c r="AM11" s="123">
        <f>AL11-AL12</f>
        <v>1</v>
      </c>
      <c r="AN11" s="123">
        <f>AF11*3+AG11</f>
        <v>0</v>
      </c>
      <c r="AO11" s="123">
        <f>AN11/AN12*10+BA11</f>
        <v>0</v>
      </c>
      <c r="AP11" s="123">
        <f>AO11*10000000+BI11*100+AM11/AM12*10+AI11/AI12*1++IF(AQ11=0,ROW(),AQ11)/2000000</f>
        <v>1.5404332296825398</v>
      </c>
      <c r="AQ11" s="126">
        <f>VLOOKUP(AE11,db_fifarank,2,FALSE)</f>
        <v>1501.38</v>
      </c>
      <c r="AR11" s="125">
        <f>AP11/AP12</f>
        <v>1.7115922730443386E-8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2</v>
      </c>
      <c r="G12" s="20">
        <v>1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3 - 6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Australia_win</v>
      </c>
      <c r="T12" s="127" t="str">
        <f t="shared" si="2"/>
        <v>Turkey_lose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1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7</v>
      </c>
      <c r="AL12" s="123">
        <f>MIN(AL8:AL11)</f>
        <v>-4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90000010.746872261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2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3</v>
      </c>
      <c r="AG14" s="123">
        <f>COUNTIF($S$7:$T$78,"=" &amp; AE14 &amp; "_draw")</f>
        <v>0</v>
      </c>
      <c r="AH14" s="123">
        <f>COUNTIF($S$7:$T$78,"=" &amp; AE14 &amp; "_lose")</f>
        <v>0</v>
      </c>
      <c r="AI14" s="123">
        <f>SUMIF($E$7:$E$78,$AE14,$F$7:$F$78) + SUMIF($H$7:$H$78,$AE14,$G$7:$G$78)</f>
        <v>8</v>
      </c>
      <c r="AJ14" s="123">
        <f>SUMIF($E$7:$E$78,$AE14,$G$7:$G$78) + SUMIF($H$7:$H$78,$AE14,$F$7:$F$78)</f>
        <v>1</v>
      </c>
      <c r="AL14" s="123">
        <f>AI14-AJ14</f>
        <v>7</v>
      </c>
      <c r="AM14" s="123">
        <f>AL14-AL18</f>
        <v>13</v>
      </c>
      <c r="AN14" s="123">
        <f>AF14*3+AG14</f>
        <v>9</v>
      </c>
      <c r="AO14" s="123">
        <f>AN14/AN18*10+BA14</f>
        <v>9</v>
      </c>
      <c r="AP14" s="123">
        <f>AO14*10000000+BI14*100+AM14/AM18*10+AI14/AI18*1++IF(AQ14=0,ROW(),AQ14)/2000000</f>
        <v>90000010.175381422</v>
      </c>
      <c r="AQ14" s="126">
        <f>VLOOKUP(AE14,db_fifarank,2,FALSE)</f>
        <v>1556.48</v>
      </c>
      <c r="AR14" s="125">
        <f>AP14/AP18</f>
        <v>0.9999999888888903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8 - 1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4</v>
      </c>
      <c r="AL15" s="123">
        <f>AI15-AJ15</f>
        <v>-2</v>
      </c>
      <c r="AM15" s="123">
        <f>AL15-AL18</f>
        <v>4</v>
      </c>
      <c r="AN15" s="123">
        <f>AF15*3+AG15</f>
        <v>4</v>
      </c>
      <c r="AO15" s="123">
        <f>AN15/AN18*10+BA15</f>
        <v>4.9805825242718447</v>
      </c>
      <c r="AP15" s="123">
        <f>AO15*10000000+BI15*100+AM15/AM18*10+AI15/AI18*1++IF(AQ15=0,ROW(),AQ15)/2000000</f>
        <v>49805926.381028868</v>
      </c>
      <c r="AQ15" s="126">
        <f>VLOOKUP(AE15,db_fifarank,2,FALSE)</f>
        <v>1385.84</v>
      </c>
      <c r="AR15" s="125">
        <f>AP15/AP18</f>
        <v>0.55339911329536329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6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8.0831101074240154E-12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Germany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2 - 4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1</v>
      </c>
      <c r="AH17" s="123">
        <f>COUNTIF($S$7:$T$78,"=" &amp; AE17 &amp; "_lose")</f>
        <v>1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3</v>
      </c>
      <c r="AL17" s="123">
        <f>AI17-AJ17</f>
        <v>1</v>
      </c>
      <c r="AM17" s="123">
        <f>AL17-AL18</f>
        <v>7</v>
      </c>
      <c r="AN17" s="123">
        <f>AF17*3+AG17</f>
        <v>4</v>
      </c>
      <c r="AO17" s="123">
        <f>AN17/AN18*10+BA17</f>
        <v>4.9805825242718447</v>
      </c>
      <c r="AP17" s="123">
        <f>AO17*10000000+BI17*100+AM17/AM18*10+AI17/AI18*1++IF(AQ17=0,ROW(),AQ17)/2000000</f>
        <v>49805928.746240012</v>
      </c>
      <c r="AQ17" s="126">
        <f>VLOOKUP(AE17,db_fifarank,2,FALSE)</f>
        <v>1649.4</v>
      </c>
      <c r="AR17" s="125">
        <f>AP17/AP18</f>
        <v>0.55339913957548392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9</v>
      </c>
      <c r="AL18" s="123">
        <f>MIN(AL14:AL17)</f>
        <v>-6</v>
      </c>
      <c r="AM18" s="123">
        <f>MAX(AM14:AM17)+1</f>
        <v>14</v>
      </c>
      <c r="AN18" s="123">
        <f>MAX(AN14:AN17)+1</f>
        <v>10</v>
      </c>
      <c r="AO18" s="123">
        <f>MAX(AO14:AO17)+1</f>
        <v>10</v>
      </c>
      <c r="AP18" s="123">
        <f>MAX(AP14:AP17)+1</f>
        <v>90000011.175381422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1</v>
      </c>
      <c r="AL20" s="123">
        <f>AI20-AJ20</f>
        <v>9</v>
      </c>
      <c r="AM20" s="123">
        <f>AL20-AL24</f>
        <v>17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90000010.354415938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10 - 1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4</v>
      </c>
      <c r="AL21" s="123">
        <f>AI21-AJ21</f>
        <v>2</v>
      </c>
      <c r="AM21" s="123">
        <f>AL21-AL24</f>
        <v>10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60000006.101888031</v>
      </c>
      <c r="AQ21" s="126">
        <f>VLOOKUP(AE21,db_fifarank,2,FALSE)</f>
        <v>1755.87</v>
      </c>
      <c r="AR21" s="125">
        <f>AP21/AP24</f>
        <v>0.66666665035863992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7.1761657613203234E-12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5</v>
      </c>
      <c r="AL23" s="123">
        <f>AI23-AJ23</f>
        <v>-3</v>
      </c>
      <c r="AM23" s="123">
        <f>AL23-AL24</f>
        <v>5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30000002.960345134</v>
      </c>
      <c r="AQ23" s="126">
        <f>VLOOKUP(AE23,db_fifarank,2,FALSE)</f>
        <v>1498.35</v>
      </c>
      <c r="AR23" s="125">
        <f>AP23/AP24</f>
        <v>0.33333332417266581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Germany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2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Iraq_win</v>
      </c>
      <c r="T24" s="127" t="str">
        <f t="shared" si="2"/>
        <v>Norway_lose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11</v>
      </c>
      <c r="AL24" s="123">
        <f>MIN(AL20:AL23)</f>
        <v>-8</v>
      </c>
      <c r="AM24" s="123">
        <f>MAX(AM20:AM23)+1</f>
        <v>18</v>
      </c>
      <c r="AN24" s="123">
        <f>MAX(AN20:AN23)+1</f>
        <v>10</v>
      </c>
      <c r="AO24" s="123">
        <f>MAX(AO20:AO23)+1</f>
        <v>10</v>
      </c>
      <c r="AP24" s="123">
        <f>MAX(AP20:AP23)+1</f>
        <v>90000011.354415938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2</v>
      </c>
      <c r="AL26" s="123">
        <f>AI26-AJ26</f>
        <v>4</v>
      </c>
      <c r="AM26" s="123">
        <f>AL26-AL30</f>
        <v>7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90000009.607979417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5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1.9805825242718447</v>
      </c>
      <c r="AP27" s="123">
        <f>AO27*10000000+BI27*100+AM27/AM30*10+AI27/AI30*1++IF(AQ27=0,ROW(),AQ27)/2000000</f>
        <v>19805923.587436911</v>
      </c>
      <c r="AQ27" s="126">
        <f>VLOOKUP(AE27,db_fifarank,2,FALSE)</f>
        <v>1503.5</v>
      </c>
      <c r="AR27" s="125">
        <f>AP27/AP30</f>
        <v>0.22006579169981691</v>
      </c>
      <c r="AS27" s="125" t="str">
        <f>IF(SUM(AF26:AH29)=12,J28,"2D")</f>
        <v>Australia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Australia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5 - 4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2</v>
      </c>
      <c r="AG28" s="123">
        <f>COUNTIF($S$7:$T$78,"=" &amp; AE28 &amp; "_draw")</f>
        <v>0</v>
      </c>
      <c r="AH28" s="123">
        <f>COUNTIF($S$7:$T$78,"=" &amp; AE28 &amp; "_lose")</f>
        <v>1</v>
      </c>
      <c r="AI28" s="123">
        <f>SUMIF($E$7:$E$78,$AE28,$F$7:$F$78) + SUMIF($H$7:$H$78,$AE28,$G$7:$G$78)</f>
        <v>5</v>
      </c>
      <c r="AJ28" s="123">
        <f>SUMIF($E$7:$E$78,$AE28,$G$7:$G$78) + SUMIF($H$7:$H$78,$AE28,$F$7:$F$78)</f>
        <v>4</v>
      </c>
      <c r="AL28" s="123">
        <f>AI28-AJ28</f>
        <v>1</v>
      </c>
      <c r="AM28" s="123">
        <f>AL28-AL30</f>
        <v>4</v>
      </c>
      <c r="AN28" s="123">
        <f>AF28*3+AG28</f>
        <v>6</v>
      </c>
      <c r="AO28" s="123">
        <f>AN28/AN30*10+BA28</f>
        <v>6</v>
      </c>
      <c r="AP28" s="123">
        <f>AO28*10000000+BI28*100+AM28/AM30*10+AI28/AI30*1++IF(AQ28=0,ROW(),AQ28)/2000000</f>
        <v>60000005.715076052</v>
      </c>
      <c r="AQ28" s="126">
        <f>VLOOKUP(AE28,db_fifarank,2,FALSE)</f>
        <v>1580.67</v>
      </c>
      <c r="AR28" s="125">
        <f>AP28/AP30</f>
        <v>0.66666665158988814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3 - 5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1</v>
      </c>
      <c r="AH29" s="123">
        <f>COUNTIF($S$7:$T$78,"=" &amp; AE29 &amp; "_lose")</f>
        <v>2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5</v>
      </c>
      <c r="AL29" s="123">
        <f>AI29-AJ29</f>
        <v>-2</v>
      </c>
      <c r="AM29" s="123">
        <f>AL29-AL30</f>
        <v>1</v>
      </c>
      <c r="AN29" s="123">
        <f>AF29*3+AG29</f>
        <v>1</v>
      </c>
      <c r="AO29" s="123">
        <f>AN29/AN30*10+BA29</f>
        <v>1.9805825242718447</v>
      </c>
      <c r="AP29" s="123">
        <f>AO29*10000000+BI29*100+AM29/AM30*10+AI29/AI30*1++IF(AQ29=0,ROW(),AQ29)/2000000</f>
        <v>19805924.980341826</v>
      </c>
      <c r="AQ29" s="126">
        <f>VLOOKUP(AE29,db_fifarank,2,FALSE)</f>
        <v>1599.04</v>
      </c>
      <c r="AR29" s="125">
        <f>AP29/AP30</f>
        <v>0.22006580717653637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7</v>
      </c>
      <c r="AL30" s="123">
        <f>MIN(AL26:AL29)</f>
        <v>-3</v>
      </c>
      <c r="AM30" s="123">
        <f>MAX(AM26:AM29)+1</f>
        <v>8</v>
      </c>
      <c r="AN30" s="123">
        <f>MAX(AN26:AN29)+1</f>
        <v>10</v>
      </c>
      <c r="AO30" s="123">
        <f>MAX(AO26:AO29)+1</f>
        <v>10</v>
      </c>
      <c r="AP30" s="123">
        <f>MAX(AP26:AP29)+1</f>
        <v>90000010.607979417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2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1</v>
      </c>
      <c r="V32" s="123">
        <f t="shared" si="3"/>
        <v>1</v>
      </c>
      <c r="W32" s="123">
        <f t="shared" si="4"/>
        <v>1</v>
      </c>
      <c r="X32" s="123">
        <f t="shared" si="9"/>
        <v>1</v>
      </c>
      <c r="Y32" s="123">
        <f t="shared" si="10"/>
        <v>1</v>
      </c>
      <c r="Z32" s="123">
        <f t="shared" si="11"/>
        <v>1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1</v>
      </c>
      <c r="AL32" s="123">
        <f>AI32-AJ32</f>
        <v>8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90000010.275865197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8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0.10064732500000001</v>
      </c>
      <c r="AQ33" s="126">
        <f>VLOOKUP(AE33,db_fifarank,2,FALSE)</f>
        <v>1294.6500000000001</v>
      </c>
      <c r="AR33" s="125">
        <f>AP33/AP36</f>
        <v>1.118303471001787E-9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6</v>
      </c>
      <c r="AL34" s="123">
        <f>AI34-AJ34</f>
        <v>-3</v>
      </c>
      <c r="AM34" s="123">
        <f>AL34-AL36</f>
        <v>4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30000002.80076649</v>
      </c>
      <c r="AQ34" s="126">
        <f>VLOOKUP(AE34,db_fifarank,2,FALSE)</f>
        <v>1532.98</v>
      </c>
      <c r="AR34" s="125">
        <f>AP34/AP36</f>
        <v>0.33333332269049865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3 - 6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9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60000006.125797391</v>
      </c>
      <c r="AQ35" s="126">
        <f>VLOOKUP(AE35,db_fifarank,2,FALSE)</f>
        <v>1594.78</v>
      </c>
      <c r="AR35" s="125">
        <f>AP35/AP36</f>
        <v>0.66666665120615665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10</v>
      </c>
      <c r="AL36" s="123">
        <f>MIN(AL32:AL35)</f>
        <v>-7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90000011.275865197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>
        <v>4</v>
      </c>
      <c r="BW36" s="116">
        <f>IF(OR(BT36="",BT37="",AND(BU36="",BU37&lt;&gt;""),AND(BU37="",BU36&lt;&gt;""),AND(BV36="",BV37&lt;&gt;""),AND(BV37="",BV36&lt;&gt;"")),"",BT36*1000+BU36*10+BV36)</f>
        <v>1004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>
        <v>3</v>
      </c>
      <c r="BW37" s="112">
        <f>IF(BW36="","",BT37*1000+BU37*10+BV37)</f>
        <v>1003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1</v>
      </c>
      <c r="W38" s="123">
        <f t="shared" si="4"/>
        <v>1</v>
      </c>
      <c r="X38" s="123">
        <f t="shared" si="9"/>
        <v>1</v>
      </c>
      <c r="Y38" s="123">
        <f t="shared" si="10"/>
        <v>1</v>
      </c>
      <c r="Z38" s="123">
        <f t="shared" si="11"/>
        <v>1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2</v>
      </c>
      <c r="AL38" s="123">
        <f>AI38-AJ38</f>
        <v>6</v>
      </c>
      <c r="AM38" s="123">
        <f>AL38-AL42</f>
        <v>11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90000010.056434497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5</v>
      </c>
      <c r="AL39" s="123">
        <f>AI39-AJ39</f>
        <v>0</v>
      </c>
      <c r="AM39" s="123">
        <f>AL39-AL42</f>
        <v>5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60000004.723052435</v>
      </c>
      <c r="AQ39" s="126">
        <f>VLOOKUP(AE39,db_fifarank,2,FALSE)</f>
        <v>1660.43</v>
      </c>
      <c r="AR39" s="125">
        <f>AP39/AP42</f>
        <v>0.66666663724551589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South Africa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5 - 5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5</v>
      </c>
      <c r="AL40" s="123">
        <f>AI40-AJ40</f>
        <v>-1</v>
      </c>
      <c r="AM40" s="123">
        <f>AL40-AL42</f>
        <v>4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30000003.778535161</v>
      </c>
      <c r="AQ40" s="126">
        <f>VLOOKUP(AE40,db_fifarank,2,FALSE)</f>
        <v>1514.77</v>
      </c>
      <c r="AR40" s="125">
        <f>AP40/AP42</f>
        <v>0.33333333436729984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7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0.2229637472222222</v>
      </c>
      <c r="AQ41" s="126">
        <f>VLOOKUP(AE41,db_fifarank,2,FALSE)</f>
        <v>1483.05</v>
      </c>
      <c r="AR41" s="125">
        <f>AP41/AP42</f>
        <v>2.4773746647921275E-9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2 - 7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9</v>
      </c>
      <c r="AL42" s="123">
        <f>MIN(AL38:AL41)</f>
        <v>-5</v>
      </c>
      <c r="AM42" s="123">
        <f>MAX(AM38:AM41)+1</f>
        <v>12</v>
      </c>
      <c r="AN42" s="123">
        <f>MAX(AN38:AN41)+1</f>
        <v>10</v>
      </c>
      <c r="AO42" s="123">
        <f>MAX(AO38:AO41)+1</f>
        <v>10</v>
      </c>
      <c r="AP42" s="123">
        <f>MAX(AP38:AP41)+1</f>
        <v>90000011.056434497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2</v>
      </c>
      <c r="AL44" s="123">
        <f>AI44-AJ44</f>
        <v>6</v>
      </c>
      <c r="AM44" s="123">
        <f>AL44-AL48</f>
        <v>12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90000010.120525479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5</v>
      </c>
      <c r="AL45" s="123">
        <f>AI45-AJ45</f>
        <v>0</v>
      </c>
      <c r="AM45" s="123">
        <f>AL45-AL48</f>
        <v>6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60000005.171721786</v>
      </c>
      <c r="AQ45" s="126">
        <f>VLOOKUP(AE45,db_fifarank,2,FALSE)</f>
        <v>1563.24</v>
      </c>
      <c r="AR45" s="125">
        <f>AP45/AP48</f>
        <v>0.66666664175598234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5 - 5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4</v>
      </c>
      <c r="AL46" s="123">
        <f>AI46-AJ46</f>
        <v>0</v>
      </c>
      <c r="AM46" s="123">
        <f>AL46-AL48</f>
        <v>6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30000005.06063671</v>
      </c>
      <c r="AQ46" s="126">
        <f>VLOOKUP(AE46,db_fifarank,2,FALSE)</f>
        <v>1615.3</v>
      </c>
      <c r="AR46" s="125">
        <f>AP46/AP48</f>
        <v>0.33333334837549683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4 - 4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7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0.11175189611111111</v>
      </c>
      <c r="AQ47" s="126">
        <f>VLOOKUP(AE47,db_fifarank,2,FALSE)</f>
        <v>1281.57</v>
      </c>
      <c r="AR47" s="125">
        <f>AP47/AP48</f>
        <v>1.2416875811432526E-9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1 - 7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9</v>
      </c>
      <c r="AL48" s="123">
        <f>MIN(AL44:AL47)</f>
        <v>-6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90000011.120525479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Germany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Argentina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0</v>
      </c>
      <c r="AL50" s="123">
        <f>AI50-AJ50</f>
        <v>7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90000010.106707439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7 - 0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30000000.125683066</v>
      </c>
      <c r="AQ51" s="126">
        <f>VLOOKUP(AE51,db_fifarank,2,FALSE)</f>
        <v>1366.13</v>
      </c>
      <c r="AR51" s="125">
        <f>AP51/AP54</f>
        <v>0.33333329359386327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1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0.89494148423076925</v>
      </c>
      <c r="AQ52" s="126">
        <f>VLOOKUP(AE52,db_fifarank,2,FALSE)</f>
        <v>1421.43</v>
      </c>
      <c r="AR52" s="125">
        <f>AP52/AP54</f>
        <v>9.9437930420885458E-9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3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60000006.01045192</v>
      </c>
      <c r="AQ53" s="126">
        <f>VLOOKUP(AE53,db_fifarank,2,FALSE)</f>
        <v>1673.07</v>
      </c>
      <c r="AR53" s="125">
        <f>AP53/AP54</f>
        <v>0.66666665117756074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1 - 5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8</v>
      </c>
      <c r="AL54" s="123">
        <f>MIN(AL50:AL53)</f>
        <v>-5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90000011.106707439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Algeria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1</v>
      </c>
      <c r="AL56" s="123">
        <f>AI56-AJ56</f>
        <v>6</v>
      </c>
      <c r="AM56" s="123">
        <f>AL56-AL60</f>
        <v>10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90000009.966847748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5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60000005.04629904</v>
      </c>
      <c r="AQ57" s="126">
        <f>VLOOKUP(AE57,db_fifarank,2,FALSE)</f>
        <v>1688.99</v>
      </c>
      <c r="AR57" s="125">
        <f>AP57/AP60</f>
        <v>0.66666664150074983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3</v>
      </c>
      <c r="AE58" s="124" t="str">
        <f>VLOOKUP("Iraq",T,lang,FALSE)</f>
        <v>Iraq</v>
      </c>
      <c r="AF58" s="123">
        <f>COUNTIF($S$7:$T$78,"=" &amp; AE58 &amp; "_win")</f>
        <v>1</v>
      </c>
      <c r="AG58" s="123">
        <f>COUNTIF($S$7:$T$78,"=" &amp; AE58 &amp; "_draw")</f>
        <v>0</v>
      </c>
      <c r="AH58" s="123">
        <f>COUNTIF($S$7:$T$78,"=" &amp; AE58 &amp; "_lose")</f>
        <v>2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6</v>
      </c>
      <c r="AL58" s="123">
        <f>AI58-AJ58</f>
        <v>-4</v>
      </c>
      <c r="AM58" s="123">
        <f>AL58-AL60</f>
        <v>0</v>
      </c>
      <c r="AN58" s="123">
        <f>AF58*3+AG58</f>
        <v>3</v>
      </c>
      <c r="AO58" s="123">
        <f>AN58/AN60*10+BA58</f>
        <v>3</v>
      </c>
      <c r="AP58" s="123">
        <f>AO58*10000000+BI58*100+AM58/AM60*10+AI58/AI60*1++IF(AQ58=0,ROW(),AQ58)/2000000</f>
        <v>30000000.250723571</v>
      </c>
      <c r="AQ58" s="126">
        <f>VLOOKUP(AE58,db_fifarank,2,FALSE)</f>
        <v>1447.14</v>
      </c>
      <c r="AR58" s="125">
        <f>AP58/AP60</f>
        <v>0.33333329550120078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Iraq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4</v>
      </c>
      <c r="AE59" s="124" t="str">
        <f>VLOOKUP("Norway",T,lang,FALSE)</f>
        <v>Norway</v>
      </c>
      <c r="AF59" s="123">
        <f>COUNTIF($S$7:$T$78,"=" &amp; AE59 &amp; "_win")</f>
        <v>0</v>
      </c>
      <c r="AG59" s="123">
        <f>COUNTIF($S$7:$T$78,"=" &amp; AE59 &amp; "_draw")</f>
        <v>0</v>
      </c>
      <c r="AH59" s="123">
        <f>COUNTIF($S$7:$T$78,"=" &amp; AE59 &amp; "_lose")</f>
        <v>3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6</v>
      </c>
      <c r="AL59" s="123">
        <f>AI59-AJ59</f>
        <v>-3</v>
      </c>
      <c r="AM59" s="123">
        <f>AL59-AL60</f>
        <v>1</v>
      </c>
      <c r="AN59" s="123">
        <f>AF59*3+AG59</f>
        <v>0</v>
      </c>
      <c r="AO59" s="123">
        <f>AN59/AN60*10+BA59</f>
        <v>0</v>
      </c>
      <c r="AP59" s="123">
        <f>AO59*10000000+BI59*100+AM59/AM60*10+AI59/AI60*1++IF(AQ59=0,ROW(),AQ59)/2000000</f>
        <v>1.2848663790909092</v>
      </c>
      <c r="AQ59" s="126">
        <f>VLOOKUP(AE59,db_fifarank,2,FALSE)</f>
        <v>1550.94</v>
      </c>
      <c r="AR59" s="125">
        <f>AP59/AP60</f>
        <v>1.4276291361388839E-8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3</v>
      </c>
      <c r="H60" s="80" t="str">
        <f>AE10</f>
        <v>Korea Republic</v>
      </c>
      <c r="I60" s="69"/>
      <c r="J60" s="35" t="str">
        <f>VLOOKUP(4,AD56:AN59,2,FALSE)</f>
        <v>Norway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3 - 6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8</v>
      </c>
      <c r="AL60" s="123">
        <f>MIN(AL56:AL59)</f>
        <v>-4</v>
      </c>
      <c r="AM60" s="123">
        <f>MAX(AM56:AM59)+1</f>
        <v>11</v>
      </c>
      <c r="AN60" s="123">
        <f>MAX(AN56:AN59)+1</f>
        <v>10</v>
      </c>
      <c r="AO60" s="123">
        <f>MAX(AO56:AO59)+1</f>
        <v>10</v>
      </c>
      <c r="AP60" s="123">
        <f>MAX(AP56:AP59)+1</f>
        <v>90000010.966847748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Australia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0</v>
      </c>
      <c r="AL62" s="123">
        <f>AI62-AJ62</f>
        <v>8</v>
      </c>
      <c r="AM62" s="123">
        <f>AL62-AL66</f>
        <v>13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90000010.175540596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Australia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6</v>
      </c>
      <c r="AL63" s="123">
        <f>AI63-AJ63</f>
        <v>-4</v>
      </c>
      <c r="AM63" s="123">
        <f>AL63-AL66</f>
        <v>1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30000000.937290065</v>
      </c>
      <c r="AQ63" s="126">
        <f>VLOOKUP(AE63,db_fifarank,2,FALSE)</f>
        <v>1564.26</v>
      </c>
      <c r="AR63" s="125">
        <f>AP63/AP66</f>
        <v>0.33333330235678016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6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60000004.730955459</v>
      </c>
      <c r="AQ64" s="126">
        <f>VLOOKUP(AE64,db_fifarank,2,FALSE)</f>
        <v>1593.45</v>
      </c>
      <c r="AR64" s="125">
        <f>AP64/AP66</f>
        <v>0.66666663645105995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2 - 6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7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0.22291794722222222</v>
      </c>
      <c r="AQ65" s="126">
        <f>VLOOKUP(AE65,db_fifarank,2,FALSE)</f>
        <v>1391.45</v>
      </c>
      <c r="AR65" s="125">
        <f>AP65/AP66</f>
        <v>2.4768657726878691E-9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2 - 7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9</v>
      </c>
      <c r="AL66" s="123">
        <f>MIN(AL62:AL65)</f>
        <v>-5</v>
      </c>
      <c r="AM66" s="123">
        <f>MAX(AM62:AM65)+1</f>
        <v>14</v>
      </c>
      <c r="AN66" s="123">
        <f>MAX(AN62:AN65)+1</f>
        <v>10</v>
      </c>
      <c r="AO66" s="123">
        <f>MAX(AO62:AO65)+1</f>
        <v>10</v>
      </c>
      <c r="AP66" s="123">
        <f>MAX(AP62:AP65)+1</f>
        <v>90000011.175540596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90000010.042548582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5</v>
      </c>
      <c r="AL69" s="123">
        <f>AI69-AJ69</f>
        <v>-4</v>
      </c>
      <c r="AM69" s="123">
        <f>AL69-AL72</f>
        <v>1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30000000.959072508</v>
      </c>
      <c r="AQ69" s="126">
        <f>VLOOKUP(AE69,db_fifarank,2,FALSE)</f>
        <v>1478.35</v>
      </c>
      <c r="AR69" s="125">
        <f>AP69/AP72</f>
        <v>0.33333330309137016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5</v>
      </c>
      <c r="AL70" s="123">
        <f>AI70-AJ70</f>
        <v>-5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8.1407767789452982E-12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1 - 5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60000007.292513207</v>
      </c>
      <c r="AQ71" s="126">
        <f>VLOOKUP(AE71,db_fifarank,2,FALSE)</f>
        <v>1693.09</v>
      </c>
      <c r="AR71" s="125">
        <f>AP71/AP72</f>
        <v>0.66666666589793511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Iraq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0 - 5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8</v>
      </c>
      <c r="AL72" s="123">
        <f>MIN(AL68:AL71)</f>
        <v>-5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90000011.042548582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1</v>
      </c>
      <c r="AL74" s="123">
        <f>AI74-AJ74</f>
        <v>7</v>
      </c>
      <c r="AM74" s="123">
        <f>AL74-AL78</f>
        <v>13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90000010.175516158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2</v>
      </c>
      <c r="AL75" s="123">
        <f>AI75-AJ75</f>
        <v>3</v>
      </c>
      <c r="AM75" s="123">
        <f>AL75-AL78</f>
        <v>9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60000006.984985515</v>
      </c>
      <c r="AQ75" s="126">
        <f>VLOOKUP(AE75,db_fifarank,2,FALSE)</f>
        <v>1717.07</v>
      </c>
      <c r="AR75" s="125">
        <f>AP75/AP78</f>
        <v>0.66666666149601628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5 - 2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0</v>
      </c>
      <c r="AJ76" s="123">
        <f>SUMIF($E$7:$E$78,$AE76,$G$7:$G$78) + SUMIF($H$7:$H$78,$AE76,$F$7:$F$78)</f>
        <v>6</v>
      </c>
      <c r="AL76" s="123">
        <f>AI76-AJ76</f>
        <v>-6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6.7315499999999993E-4</v>
      </c>
      <c r="AQ76" s="126">
        <f>VLOOKUP(AE76,db_fifarank,2,FALSE)</f>
        <v>1346.31</v>
      </c>
      <c r="AR76" s="125">
        <f>AP76/AP78</f>
        <v>7.4794990712526364E-12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1 - 5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5</v>
      </c>
      <c r="AL77" s="123">
        <f>AI77-AJ77</f>
        <v>-4</v>
      </c>
      <c r="AM77" s="123">
        <f>AL77-AL78</f>
        <v>2</v>
      </c>
      <c r="AN77" s="123">
        <f>AF77*3+AG77</f>
        <v>3</v>
      </c>
      <c r="AO77" s="123">
        <f>AN77/AN78*10+BA77</f>
        <v>3</v>
      </c>
      <c r="AP77" s="123">
        <f>AO77*10000000+BI77*100+AM77/AM78*10+AI77/AI78*1++IF(AQ77=0,ROW(),AQ77)/2000000</f>
        <v>30000001.54045286</v>
      </c>
      <c r="AQ77" s="126">
        <f>VLOOKUP(AE77,db_fifarank,2,FALSE)</f>
        <v>1540.64</v>
      </c>
      <c r="AR77" s="125">
        <f>AP77/AP78</f>
        <v>0.33333330905867864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9</v>
      </c>
      <c r="AL78" s="123">
        <f>MIN(AL74:AL77)</f>
        <v>-6</v>
      </c>
      <c r="AM78" s="123">
        <f>MAX(AM74:AM77)+1</f>
        <v>14</v>
      </c>
      <c r="AN78" s="123">
        <f>MAX(AN74:AN77)+1</f>
        <v>10</v>
      </c>
      <c r="AO78" s="123">
        <f>MAX(AO74:AO77)+1</f>
        <v>10</v>
      </c>
      <c r="AP78" s="123">
        <f>MAX(AP74:AP77)+1</f>
        <v>90000011.175516158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South Africa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6</v>
      </c>
      <c r="AK80" s="123" t="s">
        <v>3180</v>
      </c>
      <c r="AL80" s="123">
        <f>VLOOKUP($AE80,$AE$8:$AQ$78,8,FALSE)</f>
        <v>-4</v>
      </c>
      <c r="AM80" s="123">
        <f>AL80-$AL$92</f>
        <v>1</v>
      </c>
      <c r="AN80" s="123">
        <f>VLOOKUP($AE80,$AE$8:$AQ$78,10,FALSE)</f>
        <v>3</v>
      </c>
      <c r="AP80" s="123">
        <f>AN80/AN92*10000+AM80/AM92*1000+AI80/AI92*100+IF(AQ80=0,ROW(),AQ80)/2000000</f>
        <v>6206.6673815316672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Bosnia and Herzegovina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2 - 4</v>
      </c>
      <c r="P81" s="98">
        <f>L81*3+M81</f>
        <v>4</v>
      </c>
      <c r="AD81" s="123">
        <f t="shared" ref="AD81:AD91" si="38">COUNTIF($AP$80:$AP$91,CONCATENATE("&gt;=",AP81))</f>
        <v>1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8540.0006929200008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Ⓖ Iran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4 - 4</v>
      </c>
      <c r="P82" s="101">
        <f t="shared" ref="P82:P92" si="48">L82*3+M82</f>
        <v>3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5</v>
      </c>
      <c r="AK82" s="123" t="s">
        <v>3182</v>
      </c>
      <c r="AL82" s="123">
        <f t="shared" si="43"/>
        <v>-3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6373.3340825083333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Ⓕ Sweden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4 - 5</v>
      </c>
      <c r="P83" s="101">
        <f t="shared" si="48"/>
        <v>3</v>
      </c>
      <c r="AD83" s="123">
        <f t="shared" si="38"/>
        <v>12</v>
      </c>
      <c r="AE83" s="124" t="str">
        <f>J29</f>
        <v>Turkey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3</v>
      </c>
      <c r="AJ83" s="123">
        <f t="shared" si="42"/>
        <v>5</v>
      </c>
      <c r="AK83" s="123" t="s">
        <v>3184</v>
      </c>
      <c r="AL83" s="123">
        <f t="shared" si="43"/>
        <v>-2</v>
      </c>
      <c r="AM83" s="123">
        <f t="shared" si="44"/>
        <v>3</v>
      </c>
      <c r="AN83" s="123">
        <f t="shared" si="45"/>
        <v>1</v>
      </c>
      <c r="AP83" s="123">
        <f>AN83/AN92*10000+AM83/AM92*1000+AI83/AI92*100+IF(AQ83=0,ROW(),AQ83)/2000000</f>
        <v>2560.0007995199999</v>
      </c>
      <c r="AQ83" s="126">
        <f t="shared" si="37"/>
        <v>1599.04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Turkey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Ⓔ Ivory Coast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3 - 6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6</v>
      </c>
      <c r="AK84" s="123" t="s">
        <v>3185</v>
      </c>
      <c r="AL84" s="123">
        <f t="shared" si="43"/>
        <v>-3</v>
      </c>
      <c r="AM84" s="123">
        <f t="shared" si="44"/>
        <v>2</v>
      </c>
      <c r="AN84" s="123">
        <f t="shared" si="45"/>
        <v>3</v>
      </c>
      <c r="AP84" s="123">
        <f>AN84/AN92*10000+AM84/AM92*1000+AI84/AI92*100+IF(AQ84=0,ROW(),AQ84)/2000000</f>
        <v>6393.3340998233334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3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4</v>
      </c>
      <c r="AN85" s="123">
        <f t="shared" si="45"/>
        <v>3</v>
      </c>
      <c r="AP85" s="123">
        <f>AN85/AN92*10000+AM85/AM92*1000+AI85/AI92*100+IF(AQ85=0,ROW(),AQ85)/2000000</f>
        <v>6746.6674240516668</v>
      </c>
      <c r="AQ85" s="126">
        <f t="shared" si="37"/>
        <v>1514.77</v>
      </c>
      <c r="AR85" s="125" t="str">
        <f t="shared" si="50"/>
        <v>ABCEF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2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4</v>
      </c>
      <c r="AJ86" s="123">
        <f t="shared" si="42"/>
        <v>4</v>
      </c>
      <c r="AK86" s="123" t="s">
        <v>3187</v>
      </c>
      <c r="AL86" s="123">
        <f t="shared" si="43"/>
        <v>0</v>
      </c>
      <c r="AM86" s="123">
        <f t="shared" si="44"/>
        <v>5</v>
      </c>
      <c r="AN86" s="123">
        <f t="shared" si="45"/>
        <v>3</v>
      </c>
      <c r="AP86" s="123">
        <f>AN86/AN92*10000+AM86/AM92*1000+AI86/AI92*100+IF(AQ86=0,ROW(),AQ86)/2000000</f>
        <v>6913.3341409833329</v>
      </c>
      <c r="AQ86" s="126">
        <f t="shared" si="37"/>
        <v>1615.3</v>
      </c>
      <c r="AR86" s="125" t="str">
        <f t="shared" si="50"/>
        <v>ABCEFG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Ⓘ Iraq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2 - 6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Cape Verde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6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6020.000683065</v>
      </c>
      <c r="AQ87" s="126">
        <f t="shared" si="37"/>
        <v>1366.13</v>
      </c>
      <c r="AR87" s="125" t="str">
        <f t="shared" si="50"/>
        <v>ABCEFG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Ⓐ South Africa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2 - 6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7</v>
      </c>
      <c r="AE88" s="124" t="str">
        <f>J59</f>
        <v>Iraq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6</v>
      </c>
      <c r="AK88" s="123" t="s">
        <v>3189</v>
      </c>
      <c r="AL88" s="123">
        <f t="shared" si="43"/>
        <v>-4</v>
      </c>
      <c r="AM88" s="123">
        <f t="shared" si="44"/>
        <v>1</v>
      </c>
      <c r="AN88" s="123">
        <f t="shared" si="45"/>
        <v>3</v>
      </c>
      <c r="AP88" s="123">
        <f>AN88/AN92*10000+AM88/AM92*1000+AI88/AI92*100+IF(AQ88=0,ROW(),AQ88)/2000000</f>
        <v>6206.6673902366674</v>
      </c>
      <c r="AQ88" s="126">
        <f t="shared" si="37"/>
        <v>1447.14</v>
      </c>
      <c r="AR88" s="125" t="str">
        <f t="shared" si="50"/>
        <v>ABCEFGI</v>
      </c>
      <c r="AS88" s="129" t="str">
        <f t="shared" si="46"/>
        <v>Iraq</v>
      </c>
      <c r="AT88" s="130" t="str">
        <f>"Ⓘ "&amp;AE88</f>
        <v>Ⓘ Iraq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Panama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6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6</v>
      </c>
      <c r="AK89" s="123" t="s">
        <v>3190</v>
      </c>
      <c r="AL89" s="123">
        <f t="shared" si="43"/>
        <v>-4</v>
      </c>
      <c r="AM89" s="123">
        <f t="shared" si="44"/>
        <v>1</v>
      </c>
      <c r="AN89" s="123">
        <f t="shared" si="45"/>
        <v>3</v>
      </c>
      <c r="AP89" s="123">
        <f>AN89/AN92*10000+AM89/AM92*1000+AI89/AI92*100+IF(AQ89=0,ROW(),AQ89)/2000000</f>
        <v>6206.6674487966666</v>
      </c>
      <c r="AQ89" s="126">
        <f t="shared" si="37"/>
        <v>1564.26</v>
      </c>
      <c r="AR89" s="125" t="str">
        <f t="shared" si="50"/>
        <v>ABCEFGIJ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1 - 5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10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5</v>
      </c>
      <c r="AK90" s="123" t="s">
        <v>3191</v>
      </c>
      <c r="AL90" s="123">
        <f t="shared" si="43"/>
        <v>-4</v>
      </c>
      <c r="AM90" s="123">
        <f t="shared" si="44"/>
        <v>1</v>
      </c>
      <c r="AN90" s="123">
        <f t="shared" si="45"/>
        <v>3</v>
      </c>
      <c r="AP90" s="123">
        <f>AN90/AN92*10000+AM90/AM92*1000+AI90/AI92*100+IF(AQ90=0,ROW(),AQ90)/2000000</f>
        <v>6186.6674058416666</v>
      </c>
      <c r="AQ90" s="126">
        <f t="shared" si="37"/>
        <v>1478.35</v>
      </c>
      <c r="AR90" s="125" t="str">
        <f t="shared" si="50"/>
        <v>ABCEFGIJ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Cape Verde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1 - 6</v>
      </c>
      <c r="P91" s="104">
        <f t="shared" si="48"/>
        <v>3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9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5</v>
      </c>
      <c r="AK91" s="123" t="s">
        <v>3192</v>
      </c>
      <c r="AL91" s="123">
        <f>VLOOKUP($AE91,$AE$8:$AQ$78,8,FALSE)</f>
        <v>-4</v>
      </c>
      <c r="AM91" s="123">
        <f t="shared" si="44"/>
        <v>1</v>
      </c>
      <c r="AN91" s="123">
        <f>VLOOKUP($AE91,$AE$8:$AQ$78,10,FALSE)</f>
        <v>3</v>
      </c>
      <c r="AP91" s="123">
        <f>AN91/AN92*10000+AM91/AM92*1000+AI91/AI92*100+IF(AQ91=0,ROW(),AQ91)/2000000</f>
        <v>6186.6674369866669</v>
      </c>
      <c r="AQ91" s="126">
        <f t="shared" si="37"/>
        <v>1540.64</v>
      </c>
      <c r="AR91" s="125" t="str">
        <f t="shared" si="50"/>
        <v>ABCEFGIJ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Ⓓ Turkey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3 - 5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draw</v>
      </c>
      <c r="T98" s="127" cm="1">
        <f t="array" ref="T98">IF(OR(S98="",S98="draw"),INDEX(T,97,lang),S98)</f>
        <v>0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51">
      <formula>IF(AND(AA7=1,AB7=0),1,0)</formula>
    </cfRule>
    <cfRule type="expression" dxfId="226" priority="350">
      <formula>IF(AND(AA7=0,AB7=0),1,0)</formula>
    </cfRule>
    <cfRule type="expression" dxfId="225" priority="349">
      <formula>IF(AND(AA7=1,AB7=1),1,0)</formula>
    </cfRule>
    <cfRule type="expression" dxfId="224" priority="348">
      <formula>IF(AND(AA7=0,AB7=1),1,0)</formula>
    </cfRule>
    <cfRule type="expression" dxfId="223" priority="347">
      <formula>IF(AND(AA7=1,AB7=-1),1,0)</formula>
    </cfRule>
    <cfRule type="expression" dxfId="222" priority="346">
      <formula>IF(AND(AA7=0,AB7=-1),1,0)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5">
      <formula>IF(AND(AA7=1,AB7=0),1,0)</formula>
    </cfRule>
    <cfRule type="expression" dxfId="217" priority="344">
      <formula>IF(AND(AA7=0,AB7=0),1,0)</formula>
    </cfRule>
    <cfRule type="expression" dxfId="216" priority="343">
      <formula>IF(AND(AA7=1,AB7=1),1,0)</formula>
    </cfRule>
    <cfRule type="expression" dxfId="215" priority="342">
      <formula>IF(AND(AA7=0,AB7=1),1,0)</formula>
    </cfRule>
    <cfRule type="expression" dxfId="214" priority="341">
      <formula>IF(AND(AA7=1,AB7=-1),1,0)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8">
      <formula>IF(BP18&gt;BP19,1,0)</formula>
    </cfRule>
    <cfRule type="expression" dxfId="183" priority="176">
      <formula>IF(BP18&lt;BP19,1,0)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2">
      <formula>IF(BP22&gt;BP23,1,0)</formula>
    </cfRule>
    <cfRule type="expression" dxfId="179" priority="170">
      <formula>IF(BP22&lt;BP23,1,0)</formula>
    </cfRule>
  </conditionalFormatting>
  <conditionalFormatting sqref="BL23">
    <cfRule type="expression" dxfId="178" priority="171">
      <formula>IF(BP22&gt;BP23,1,0)</formula>
    </cfRule>
    <cfRule type="expression" dxfId="177" priority="169">
      <formula>IF(BP22&lt;BP23,1,0)</formula>
    </cfRule>
  </conditionalFormatting>
  <conditionalFormatting sqref="BL26">
    <cfRule type="expression" dxfId="176" priority="166">
      <formula>IF(BP26&gt;BP27,1,0)</formula>
    </cfRule>
    <cfRule type="expression" dxfId="175" priority="164">
      <formula>IF(BP26&lt;BP27,1,0)</formula>
    </cfRule>
  </conditionalFormatting>
  <conditionalFormatting sqref="BL27">
    <cfRule type="expression" dxfId="174" priority="165">
      <formula>IF(BP26&gt;BP27,1,0)</formula>
    </cfRule>
    <cfRule type="expression" dxfId="173" priority="163">
      <formula>IF(BP26&lt;BP27,1,0)</formula>
    </cfRule>
  </conditionalFormatting>
  <conditionalFormatting sqref="BL30">
    <cfRule type="expression" dxfId="172" priority="160">
      <formula>IF(BP30&gt;BP31,1,0)</formula>
    </cfRule>
    <cfRule type="expression" dxfId="171" priority="158">
      <formula>IF(BP30&lt;BP31,1,0)</formula>
    </cfRule>
  </conditionalFormatting>
  <conditionalFormatting sqref="BL31">
    <cfRule type="expression" dxfId="170" priority="159">
      <formula>IF(BP30&gt;BP31,1,0)</formula>
    </cfRule>
    <cfRule type="expression" dxfId="169" priority="157">
      <formula>IF(BP30&lt;BP31,1,0)</formula>
    </cfRule>
  </conditionalFormatting>
  <conditionalFormatting sqref="BL34">
    <cfRule type="expression" dxfId="168" priority="154">
      <formula>IF(BP34&gt;BP35,1,0)</formula>
    </cfRule>
    <cfRule type="expression" dxfId="167" priority="152">
      <formula>IF(BP34&lt;BP35,1,0)</formula>
    </cfRule>
  </conditionalFormatting>
  <conditionalFormatting sqref="BL35">
    <cfRule type="expression" dxfId="166" priority="153">
      <formula>IF(BP34&gt;BP35,1,0)</formula>
    </cfRule>
    <cfRule type="expression" dxfId="165" priority="151">
      <formula>IF(BP34&lt;BP35,1,0)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5">
      <formula>IF(BP46&gt;BP47,1,0)</formula>
    </cfRule>
    <cfRule type="expression" dxfId="153" priority="133">
      <formula>IF(BP46&lt;BP47,1,0)</formula>
    </cfRule>
  </conditionalFormatting>
  <conditionalFormatting sqref="BL50">
    <cfRule type="expression" dxfId="152" priority="130">
      <formula>IF(BP50&gt;BP51,1,0)</formula>
    </cfRule>
    <cfRule type="expression" dxfId="151" priority="128">
      <formula>IF(BP50&lt;BP51,1,0)</formula>
    </cfRule>
  </conditionalFormatting>
  <conditionalFormatting sqref="BL51">
    <cfRule type="expression" dxfId="150" priority="129">
      <formula>IF(BP50&gt;BP51,1,0)</formula>
    </cfRule>
    <cfRule type="expression" dxfId="149" priority="127">
      <formula>IF(BP50&lt;BP51,1,0)</formula>
    </cfRule>
  </conditionalFormatting>
  <conditionalFormatting sqref="BL54">
    <cfRule type="expression" dxfId="148" priority="124">
      <formula>IF(BP54&gt;BP55,1,0)</formula>
    </cfRule>
    <cfRule type="expression" dxfId="147" priority="122">
      <formula>IF(BP54&lt;BP55,1,0)</formula>
    </cfRule>
  </conditionalFormatting>
  <conditionalFormatting sqref="BL55">
    <cfRule type="expression" dxfId="146" priority="123">
      <formula>IF(BP54&gt;BP55,1,0)</formula>
    </cfRule>
    <cfRule type="expression" dxfId="145" priority="121">
      <formula>IF(BP54&lt;BP55,1,0)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2">
      <formula>IF(BP62&gt;BP63,1,0)</formula>
    </cfRule>
    <cfRule type="expression" dxfId="139" priority="110">
      <formula>IF(BP62&lt;BP63,1,0)</formula>
    </cfRule>
  </conditionalFormatting>
  <conditionalFormatting sqref="BL63">
    <cfRule type="expression" dxfId="138" priority="111">
      <formula>IF(BP62&gt;BP63,1,0)</formula>
    </cfRule>
    <cfRule type="expression" dxfId="137" priority="109">
      <formula>IF(BP62&lt;BP63,1,0)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4">
      <formula>IF(BW28&gt;BW29,1,0)</formula>
    </cfRule>
    <cfRule type="expression" dxfId="87" priority="62">
      <formula>IF(BW28&lt;BW29,1,0)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9">
      <formula>IF(BW36&gt;BW37,1,0)</formula>
    </cfRule>
    <cfRule type="expression" dxfId="81" priority="67">
      <formula>IF(BW36&lt;BW37,1,0)</formula>
    </cfRule>
  </conditionalFormatting>
  <conditionalFormatting sqref="BS44">
    <cfRule type="expression" dxfId="80" priority="76">
      <formula>IF(BW44&gt;BW45,1,0)</formula>
    </cfRule>
    <cfRule type="expression" dxfId="79" priority="74">
      <formula>IF(BW44&lt;BW45,1,0)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2">
      <formula>IF(BW52&gt;BW53,1,0)</formula>
    </cfRule>
    <cfRule type="expression" dxfId="75" priority="80">
      <formula>IF(BW52&lt;BW53,1,0)</formula>
    </cfRule>
  </conditionalFormatting>
  <conditionalFormatting sqref="BS53">
    <cfRule type="expression" dxfId="74" priority="81">
      <formula>IF(BW52&gt;BW53,1,0)</formula>
    </cfRule>
    <cfRule type="expression" dxfId="73" priority="79">
      <formula>IF(BW52&lt;BW53,1,0)</formula>
    </cfRule>
  </conditionalFormatting>
  <conditionalFormatting sqref="BS60">
    <cfRule type="expression" dxfId="72" priority="88">
      <formula>IF(BW60&gt;BW61,1,0)</formula>
    </cfRule>
    <cfRule type="expression" dxfId="71" priority="86">
      <formula>IF(BW60&lt;BW61,1,0)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40">
      <formula>IF(CD32&gt;CD33,1,0)</formula>
    </cfRule>
    <cfRule type="expression" dxfId="43" priority="38">
      <formula>IF(CD32&lt;CD33,1,0)</formula>
    </cfRule>
  </conditionalFormatting>
  <conditionalFormatting sqref="BZ33">
    <cfRule type="expression" dxfId="42" priority="39">
      <formula>IF(CD32&gt;CD33,1,0)</formula>
    </cfRule>
    <cfRule type="expression" dxfId="41" priority="37">
      <formula>IF(CD32&lt;CD33,1,0)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7">
      <formula>IF(CD64&gt;CD65,1,0)</formula>
    </cfRule>
    <cfRule type="expression" dxfId="33" priority="25">
      <formula>IF(CD64&lt;CD65,1,0)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2">
      <formula>IF(CK55&gt;CK56,1,0)</formula>
    </cfRule>
    <cfRule type="expression" dxfId="19" priority="20">
      <formula>IF(CK55&lt;CK56,1,0)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640625" defaultRowHeight="15" x14ac:dyDescent="0.2"/>
  <cols>
    <col min="1" max="1" width="2.5" style="82" customWidth="1"/>
    <col min="2" max="2" width="9.1640625" style="81"/>
    <col min="3" max="3" width="13.6640625" style="81" customWidth="1"/>
    <col min="4" max="11" width="9.5" style="81" customWidth="1"/>
    <col min="12" max="16384" width="9.16406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421</v>
      </c>
      <c r="C3" s="121" t="str">
        <f>'2026 World Cup'!AR91</f>
        <v>ABCEFGIJ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3J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Jaime Laulhe</cp:lastModifiedBy>
  <cp:revision/>
  <dcterms:created xsi:type="dcterms:W3CDTF">2017-12-27T19:32:51Z</dcterms:created>
  <dcterms:modified xsi:type="dcterms:W3CDTF">2026-06-05T04:49:57Z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