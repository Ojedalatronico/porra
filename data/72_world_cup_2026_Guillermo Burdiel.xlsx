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7b376605ab5251/Escritorio/"/>
    </mc:Choice>
  </mc:AlternateContent>
  <xr:revisionPtr revIDLastSave="5" documentId="8_{3B6D4B29-B463-4C00-BDA7-FA5C176E2B6A}" xr6:coauthVersionLast="47" xr6:coauthVersionMax="47" xr10:uidLastSave="{755EFDE4-20C2-4C57-AD2C-C5279E6DF0ED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1" i="3"/>
  <c r="AR10" i="3"/>
  <c r="AR9" i="3"/>
  <c r="AR22" i="3"/>
  <c r="AR21" i="3"/>
  <c r="AR28" i="3"/>
  <c r="AR35" i="3"/>
  <c r="AR33" i="3"/>
  <c r="AR34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L58" i="3"/>
  <c r="AD15" i="3"/>
  <c r="L59" i="3"/>
  <c r="AD77" i="3"/>
  <c r="M59" i="3"/>
  <c r="N58" i="3"/>
  <c r="O60" i="3"/>
  <c r="AD75" i="3"/>
  <c r="AD53" i="3"/>
  <c r="AD70" i="3"/>
  <c r="AD68" i="3"/>
  <c r="AD47" i="3"/>
  <c r="AD41" i="3"/>
  <c r="AD76" i="3"/>
  <c r="AD28" i="3"/>
  <c r="AD33" i="3"/>
  <c r="AD44" i="3"/>
  <c r="AD32" i="3"/>
  <c r="AD34" i="3"/>
  <c r="AD35" i="3"/>
  <c r="AD27" i="3"/>
  <c r="AD26" i="3"/>
  <c r="AD21" i="3"/>
  <c r="AD20" i="3"/>
  <c r="AD9" i="3"/>
  <c r="AD8" i="3"/>
  <c r="AD10" i="3"/>
  <c r="AD11" i="3"/>
  <c r="AD74" i="3"/>
  <c r="AD29" i="3"/>
  <c r="AD71" i="3"/>
  <c r="AD22" i="3"/>
  <c r="AD62" i="3"/>
  <c r="AD63" i="3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K59" i="3" l="1"/>
  <c r="AF88" i="3"/>
  <c r="AG88" i="3"/>
  <c r="AI88" i="3"/>
  <c r="AJ88" i="3"/>
  <c r="P58" i="3"/>
  <c r="K58" i="3"/>
  <c r="P59" i="3"/>
  <c r="L69" i="3"/>
  <c r="M69" i="3"/>
  <c r="N69" i="3"/>
  <c r="O69" i="3"/>
  <c r="J69" i="3"/>
  <c r="AS68" i="3" s="1"/>
  <c r="BL70" i="3" s="1"/>
  <c r="N17" i="3"/>
  <c r="P57" i="3"/>
  <c r="L23" i="3"/>
  <c r="K57" i="3"/>
  <c r="AN88" i="3"/>
  <c r="AT88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J30" i="3"/>
  <c r="N65" i="3"/>
  <c r="J64" i="3"/>
  <c r="AS63" i="3" s="1"/>
  <c r="BL31" i="3" s="1"/>
  <c r="L70" i="3"/>
  <c r="O70" i="3"/>
  <c r="L71" i="3"/>
  <c r="O71" i="3"/>
  <c r="O72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O45" i="3"/>
  <c r="M63" i="3"/>
  <c r="N63" i="3"/>
  <c r="L64" i="3"/>
  <c r="O64" i="3"/>
  <c r="M65" i="3"/>
  <c r="O65" i="3"/>
  <c r="M71" i="3"/>
  <c r="L72" i="3"/>
  <c r="N72" i="3"/>
  <c r="J71" i="3"/>
  <c r="AE90" i="3" s="1"/>
  <c r="AQ90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5" i="3"/>
  <c r="AS44" i="3" s="1"/>
  <c r="BL38" i="3" s="1"/>
  <c r="M45" i="3"/>
  <c r="N45" i="3"/>
  <c r="L45" i="3"/>
  <c r="L63" i="3"/>
  <c r="O63" i="3"/>
  <c r="M64" i="3"/>
  <c r="N64" i="3"/>
  <c r="L65" i="3"/>
  <c r="J65" i="3"/>
  <c r="AE89" i="3" s="1"/>
  <c r="AQ89" i="3" s="1"/>
  <c r="J63" i="3"/>
  <c r="AS62" i="3" s="1"/>
  <c r="BL58" i="3" s="1"/>
  <c r="BS60" i="3" s="1"/>
  <c r="M70" i="3"/>
  <c r="N70" i="3"/>
  <c r="N71" i="3"/>
  <c r="M72" i="3"/>
  <c r="J72" i="3"/>
  <c r="N77" i="3"/>
  <c r="J70" i="3"/>
  <c r="AS69" i="3" s="1"/>
  <c r="BL26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M41" i="3"/>
  <c r="N53" i="3"/>
  <c r="O54" i="3"/>
  <c r="L15" i="3"/>
  <c r="O23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L66" i="3"/>
  <c r="O66" i="3"/>
  <c r="J47" i="3"/>
  <c r="AE86" i="3" s="1"/>
  <c r="AQ86" i="3" s="1"/>
  <c r="J46" i="3"/>
  <c r="AS45" i="3" s="1"/>
  <c r="BL63" i="3" s="1"/>
  <c r="N47" i="3"/>
  <c r="L47" i="3"/>
  <c r="N46" i="3"/>
  <c r="L46" i="3"/>
  <c r="O46" i="3"/>
  <c r="O48" i="3"/>
  <c r="M46" i="3"/>
  <c r="O47" i="3"/>
  <c r="N48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M66" i="3"/>
  <c r="N66" i="3"/>
  <c r="J66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64" i="3" l="1"/>
  <c r="S91" i="3"/>
  <c r="T91" i="3" s="1" a="1"/>
  <c r="BS37" i="3"/>
  <c r="S90" i="3"/>
  <c r="T90" i="3" s="1" a="1"/>
  <c r="BS36" i="3"/>
  <c r="S86" i="3"/>
  <c r="T86" i="3" s="1" a="1"/>
  <c r="BS28" i="3"/>
  <c r="S89" i="3"/>
  <c r="T89" i="3" s="1" a="1"/>
  <c r="BS21" i="3"/>
  <c r="S87" i="3"/>
  <c r="T87" i="3" s="1" a="1"/>
  <c r="BS29" i="3"/>
  <c r="S88" i="3"/>
  <c r="T88" i="3" s="1" a="1"/>
  <c r="BS20" i="3"/>
  <c r="P69" i="3"/>
  <c r="K69" i="3"/>
  <c r="AF90" i="3"/>
  <c r="AG90" i="3"/>
  <c r="AH90" i="3"/>
  <c r="AI90" i="3"/>
  <c r="AJ90" i="3"/>
  <c r="AL90" i="3"/>
  <c r="AN90" i="3"/>
  <c r="AT90" i="3"/>
  <c r="P71" i="3"/>
  <c r="AF87" i="3"/>
  <c r="AG87" i="3"/>
  <c r="AH87" i="3"/>
  <c r="AJ87" i="3"/>
  <c r="AL87" i="3"/>
  <c r="AN87" i="3"/>
  <c r="AT87" i="3"/>
  <c r="P23" i="3"/>
  <c r="AF82" i="3"/>
  <c r="AG82" i="3"/>
  <c r="AH82" i="3"/>
  <c r="AI82" i="3"/>
  <c r="AJ82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P72" i="3"/>
  <c r="K72" i="3"/>
  <c r="K71" i="3"/>
  <c r="P70" i="3"/>
  <c r="K70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K51" i="3"/>
  <c r="P51" i="3"/>
  <c r="K48" i="3"/>
  <c r="P48" i="3"/>
  <c r="K45" i="3"/>
  <c r="P45" i="3"/>
  <c r="P46" i="3"/>
  <c r="K46" i="3"/>
  <c r="K47" i="3"/>
  <c r="P47" i="3"/>
  <c r="AF86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2" i="3"/>
  <c r="K22" i="3"/>
  <c r="K24" i="3"/>
  <c r="P24" i="3"/>
  <c r="P21" i="3"/>
  <c r="K21" i="3"/>
  <c r="P18" i="3"/>
  <c r="K18" i="3"/>
  <c r="P16" i="3"/>
  <c r="P17" i="3"/>
  <c r="K16" i="3"/>
  <c r="K17" i="3"/>
  <c r="K23" i="3"/>
  <c r="P53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AN82" i="3"/>
  <c r="AT82" i="3"/>
  <c r="AF81" i="3"/>
  <c r="AG81" i="3"/>
  <c r="AH81" i="3"/>
  <c r="AI81" i="3"/>
  <c r="AJ81" i="3"/>
  <c r="AL81" i="3"/>
  <c r="AN81" i="3"/>
  <c r="AT81" i="3"/>
  <c r="P15" i="3"/>
  <c r="K15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S92" i="3"/>
  <c r="AG92" i="3"/>
  <c r="AN92" i="3"/>
  <c r="AL92" i="3"/>
  <c r="AM88" i="3" s="1"/>
  <c r="AI92" i="3"/>
  <c r="AJ92" i="3"/>
  <c r="AF92" i="3"/>
  <c r="AH92" i="3"/>
  <c r="S103" i="3" l="1"/>
  <c r="T103" i="3" s="1" a="1"/>
  <c r="CG24" i="3"/>
  <c r="S111" i="3" s="1"/>
  <c r="T111" i="3" s="1"/>
  <c r="AM83" i="3"/>
  <c r="AM91" i="3"/>
  <c r="AM82" i="3"/>
  <c r="AM90" i="3"/>
  <c r="AM89" i="3"/>
  <c r="AM80" i="3"/>
  <c r="AM81" i="3"/>
  <c r="AM87" i="3"/>
  <c r="AM86" i="3"/>
  <c r="AM85" i="3"/>
  <c r="AM84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9" i="3"/>
  <c r="AP90" i="3"/>
  <c r="AP88" i="3"/>
  <c r="AP82" i="3"/>
  <c r="AP84" i="3"/>
  <c r="AP83" i="3"/>
  <c r="AP91" i="3"/>
  <c r="AP85" i="3"/>
  <c r="AP80" i="3"/>
  <c r="AP81" i="3"/>
  <c r="AP86" i="3"/>
  <c r="CN37" i="3" l="1"/>
  <c r="CK68" i="3" s="1"/>
  <c r="CN48" i="3"/>
  <c r="AD85" i="3"/>
  <c r="AS85" i="3" s="1"/>
  <c r="AD83" i="3"/>
  <c r="AS83" i="3" s="1"/>
  <c r="AD89" i="3"/>
  <c r="AS89" i="3" s="1"/>
  <c r="AD86" i="3"/>
  <c r="AS86" i="3" s="1"/>
  <c r="AD84" i="3"/>
  <c r="AS84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M88" i="3" l="1"/>
  <c r="O87" i="3"/>
  <c r="AS80" i="3"/>
  <c r="O83" i="3"/>
  <c r="L83" i="3"/>
  <c r="N84" i="3"/>
  <c r="M87" i="3"/>
  <c r="M85" i="3"/>
  <c r="L88" i="3"/>
  <c r="J87" i="3"/>
  <c r="N85" i="3"/>
  <c r="L84" i="3"/>
  <c r="J85" i="3"/>
  <c r="O85" i="3"/>
  <c r="L91" i="3"/>
  <c r="N82" i="3"/>
  <c r="J86" i="3"/>
  <c r="N81" i="3"/>
  <c r="J88" i="3"/>
  <c r="L81" i="3"/>
  <c r="N90" i="3"/>
  <c r="O91" i="3"/>
  <c r="O90" i="3"/>
  <c r="O88" i="3"/>
  <c r="O86" i="3"/>
  <c r="M91" i="3"/>
  <c r="J92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90" i="3"/>
  <c r="L89" i="3"/>
  <c r="J89" i="3"/>
  <c r="O81" i="3"/>
  <c r="M90" i="3"/>
  <c r="L86" i="3"/>
  <c r="N83" i="3"/>
  <c r="O82" i="3"/>
  <c r="M84" i="3"/>
  <c r="N92" i="3"/>
  <c r="J82" i="3"/>
  <c r="M82" i="3"/>
  <c r="M86" i="3"/>
  <c r="J84" i="3"/>
  <c r="N86" i="3"/>
  <c r="L87" i="3"/>
  <c r="M92" i="3"/>
  <c r="J83" i="3"/>
  <c r="J91" i="3"/>
  <c r="M81" i="3"/>
  <c r="L85" i="3"/>
  <c r="O84" i="3"/>
  <c r="M89" i="3"/>
  <c r="N88" i="3"/>
  <c r="P81" i="3" l="1"/>
  <c r="P88" i="3"/>
  <c r="P92" i="3"/>
  <c r="K91" i="3"/>
  <c r="K82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/>
  <c r="BS52" i="3"/>
  <c r="BS69" i="3"/>
  <c r="BZ65" i="3" s="1"/>
  <c r="CG56" i="3" s="1"/>
  <c r="CN38" i="3" s="1"/>
  <c r="BS68" i="3"/>
  <c r="BZ49" i="3" l="1"/>
  <c r="CG55" i="3" s="1"/>
  <c r="CN49" i="3" s="1"/>
  <c r="BL67" i="3"/>
  <c r="BL51" i="3"/>
  <c r="BL71" i="3"/>
  <c r="BL5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<sst xmlns="http://schemas.openxmlformats.org/spreadsheetml/2006/main" count="9785" uniqueCount="3699">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</sst>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1" zoomScaleNormal="100" workbookViewId="0">
      <selection activeCell="CG40" sqref="CG40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87500009.13417384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5</v>
      </c>
      <c r="AL9" s="123">
        <f>AI9-AJ9</f>
        <v>-1</v>
      </c>
      <c r="AM9" s="123">
        <f>AL9-AL12</f>
        <v>2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25000004.134048197</v>
      </c>
      <c r="AQ9" s="126">
        <f>VLOOKUP(AE9,db_fifarank,2,FALSE)</f>
        <v>1429.73</v>
      </c>
      <c r="AR9" s="125">
        <f>AP9/AP12</f>
        <v>0.2857142998693693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5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75000009.134127662</v>
      </c>
      <c r="AQ10" s="126">
        <f>VLOOKUP(AE10,db_fifarank,2,FALSE)</f>
        <v>1588.66</v>
      </c>
      <c r="AR10" s="125">
        <f>AP10/AP12</f>
        <v>0.85714286225934733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>
        <v>2</v>
      </c>
      <c r="BO10" s="25"/>
      <c r="BP10" s="112">
        <f>IF(OR(BM10="",BM11="",AND(BN10="",BN11&lt;&gt;""),AND(BN11="",BN10&lt;&gt;""),AND(BO10="",BO11&lt;&gt;""),AND(BO11="",BO10&lt;&gt;"")),"",BM10*1000+BN10*10+BO10)</f>
        <v>1020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0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4 - 5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6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1.25</v>
      </c>
      <c r="AP11" s="123">
        <f>AO11*10000000+BI11*100+AM11/AM12*10+AI11/AI12*1++IF(AQ11=0,ROW(),AQ11)/2000000</f>
        <v>12500000.60075069</v>
      </c>
      <c r="AQ11" s="126">
        <f>VLOOKUP(AE11,db_fifarank,2,FALSE)</f>
        <v>1501.38</v>
      </c>
      <c r="AR11" s="125">
        <f>AP11/AP12</f>
        <v>0.14285713317727622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Morocco</v>
      </c>
      <c r="BM11" s="62">
        <v>1</v>
      </c>
      <c r="BN11" s="64">
        <v>1</v>
      </c>
      <c r="BO11" s="27"/>
      <c r="BP11" s="113">
        <f>IF(BP10="","",BM11*1000+BN11*10+BO11)</f>
        <v>1010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5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87500010.13417384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2</v>
      </c>
      <c r="AL14" s="123">
        <f>AI14-AJ14</f>
        <v>4</v>
      </c>
      <c r="AM14" s="123">
        <f>AL14-AL18</f>
        <v>7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90000009.607921094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3</v>
      </c>
      <c r="AL15" s="123">
        <f>AI15-AJ15</f>
        <v>0</v>
      </c>
      <c r="AM15" s="123">
        <f>AL15-AL18</f>
        <v>3</v>
      </c>
      <c r="AN15" s="123">
        <f>AF15*3+AG15</f>
        <v>4</v>
      </c>
      <c r="AO15" s="123">
        <f>AN15/AN18*10+BA15</f>
        <v>4</v>
      </c>
      <c r="AP15" s="123">
        <f>AO15*10000000+BI15*100+AM15/AM18*10+AI15/AI18*1++IF(AQ15=0,ROW(),AQ15)/2000000</f>
        <v>40000004.179264344</v>
      </c>
      <c r="AQ15" s="126">
        <f>VLOOKUP(AE15,db_fifarank,2,FALSE)</f>
        <v>1385.84</v>
      </c>
      <c r="AR15" s="125">
        <f>AP15/AP18</f>
        <v>0.44444443849592014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1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10000000.143584624</v>
      </c>
      <c r="AQ16" s="126">
        <f>VLOOKUP(AE16,db_fifarank,2,FALSE)</f>
        <v>1454.96</v>
      </c>
      <c r="AR16" s="125">
        <f>AP16/AP18</f>
        <v>0.1111110996102983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0</v>
      </c>
      <c r="G17" s="20">
        <v>1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2</v>
      </c>
      <c r="AH17" s="123">
        <f>COUNTIF($S$7:$T$78,"=" &amp; AE17 &amp; "_lose")</f>
        <v>1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4</v>
      </c>
      <c r="AL17" s="123">
        <f>AI17-AJ17</f>
        <v>-1</v>
      </c>
      <c r="AM17" s="123">
        <f>AL17-AL18</f>
        <v>2</v>
      </c>
      <c r="AN17" s="123">
        <f>AF17*3+AG17</f>
        <v>2</v>
      </c>
      <c r="AO17" s="123">
        <f>AN17/AN18*10+BA17</f>
        <v>2</v>
      </c>
      <c r="AP17" s="123">
        <f>AO17*10000000+BI17*100+AM17/AM18*10+AI17/AI18*1++IF(AQ17=0,ROW(),AQ17)/2000000</f>
        <v>20000002.92939613</v>
      </c>
      <c r="AQ17" s="126">
        <f>VLOOKUP(AE17,db_fifarank,2,FALSE)</f>
        <v>1649.4</v>
      </c>
      <c r="AR17" s="125">
        <f>AP17/AP18</f>
        <v>0.22222222857866961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Japan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90000010.607921094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2</v>
      </c>
      <c r="AL20" s="123">
        <f>AI20-AJ20</f>
        <v>3</v>
      </c>
      <c r="AM20" s="123">
        <f>AL20-AL24</f>
        <v>5</v>
      </c>
      <c r="AN20" s="123">
        <f>AF20*3+AG20</f>
        <v>5</v>
      </c>
      <c r="AO20" s="123">
        <f>AN20/AN24*10+BA20</f>
        <v>8.3333333333333339</v>
      </c>
      <c r="AP20" s="123">
        <f>AO20*10000000+BI20*100+AM20/AM24*10+AI20/AI24*1++IF(AQ20=0,ROW(),AQ20)/2000000</f>
        <v>83333342.500880584</v>
      </c>
      <c r="AQ20" s="126">
        <f>VLOOKUP(AE20,db_fifarank,2,FALSE)</f>
        <v>1761.16</v>
      </c>
      <c r="AR20" s="125">
        <f>AP20/AP24</f>
        <v>0.99999998800000145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1</v>
      </c>
      <c r="M21" s="31">
        <f>VLOOKUP(1,AD20:AN23,4,FALSE)</f>
        <v>2</v>
      </c>
      <c r="N21" s="31">
        <f>VLOOKUP(1,AD20:AN23,5,FALSE)</f>
        <v>0</v>
      </c>
      <c r="O21" s="31" t="str">
        <f>VLOOKUP(1,AD20:AN23,6,FALSE) &amp; " - " &amp; VLOOKUP(1,AD20:AN23,7,FALSE)</f>
        <v>5 - 2</v>
      </c>
      <c r="P21" s="32">
        <f>L21*3+M21</f>
        <v>5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3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4</v>
      </c>
      <c r="AL21" s="123">
        <f>AI21-AJ21</f>
        <v>0</v>
      </c>
      <c r="AM21" s="123">
        <f>AL21-AL24</f>
        <v>2</v>
      </c>
      <c r="AN21" s="123">
        <f>AF21*3+AG21</f>
        <v>3</v>
      </c>
      <c r="AO21" s="123">
        <f>AN21/AN24*10+BA21</f>
        <v>5</v>
      </c>
      <c r="AP21" s="123">
        <f>AO21*10000000+BI21*100+AM21/AM24*10+AI21/AI24*1++IF(AQ21=0,ROW(),AQ21)/2000000</f>
        <v>50000004.000877932</v>
      </c>
      <c r="AQ21" s="126">
        <f>VLOOKUP(AE21,db_fifarank,2,FALSE)</f>
        <v>1755.87</v>
      </c>
      <c r="AR21" s="125">
        <f>AP21/AP24</f>
        <v>0.59999997480419809</v>
      </c>
      <c r="AS21" s="125" t="str">
        <f>IF(SUM(AF20:AH23)=12,J22,"2C")</f>
        <v>Haiti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Japan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Haiti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2 - 4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2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1</v>
      </c>
      <c r="AH22" s="123">
        <f>COUNTIF($S$7:$T$78,"=" &amp; AE22 &amp; "_lose")</f>
        <v>1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4</v>
      </c>
      <c r="AL22" s="123">
        <f>AI22-AJ22</f>
        <v>-2</v>
      </c>
      <c r="AM22" s="123">
        <f>AL22-AL24</f>
        <v>0</v>
      </c>
      <c r="AN22" s="123">
        <f>AF22*3+AG22</f>
        <v>4</v>
      </c>
      <c r="AO22" s="123">
        <f>AN22/AN24*10+BA22</f>
        <v>6.6666666666666661</v>
      </c>
      <c r="AP22" s="123">
        <f>AO22*10000000+BI22*100+AM22/AM24*10+AI22/AI24*1++IF(AQ22=0,ROW(),AQ22)/2000000</f>
        <v>66666667.000645854</v>
      </c>
      <c r="AQ22" s="126">
        <f>VLOOKUP(AE22,db_fifarank,2,FALSE)</f>
        <v>1291.71</v>
      </c>
      <c r="AR22" s="125">
        <f>AP22/AP24</f>
        <v>0.79999990639930807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0</v>
      </c>
      <c r="M23" s="23">
        <f>VLOOKUP(3,AD20:AN23,4,FALSE)</f>
        <v>3</v>
      </c>
      <c r="N23" s="23">
        <f>VLOOKUP(3,AD20:AN23,5,FALSE)</f>
        <v>0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2</v>
      </c>
      <c r="AH23" s="123">
        <f>COUNTIF($S$7:$T$78,"=" &amp; AE23 &amp; "_lose")</f>
        <v>1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2</v>
      </c>
      <c r="AL23" s="123">
        <f>AI23-AJ23</f>
        <v>-1</v>
      </c>
      <c r="AM23" s="123">
        <f>AL23-AL24</f>
        <v>1</v>
      </c>
      <c r="AN23" s="123">
        <f>AF23*3+AG23</f>
        <v>2</v>
      </c>
      <c r="AO23" s="123">
        <f>AN23/AN24*10+BA23</f>
        <v>3.333333333333333</v>
      </c>
      <c r="AP23" s="123">
        <f>AO23*10000000+BI23*100+AM23/AM24*10+AI23/AI24*1++IF(AQ23=0,ROW(),AQ23)/2000000</f>
        <v>33333335.167415842</v>
      </c>
      <c r="AQ23" s="126">
        <f>VLOOKUP(AE23,db_fifarank,2,FALSE)</f>
        <v>1498.35</v>
      </c>
      <c r="AR23" s="125">
        <f>AP23/AP24</f>
        <v>0.3999999732047666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Haiti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2</v>
      </c>
      <c r="N24" s="36">
        <f>VLOOKUP(4,AD20:AN23,5,FALSE)</f>
        <v>1</v>
      </c>
      <c r="O24" s="36" t="str">
        <f>VLOOKUP(4,AD20:AN23,6,FALSE) &amp; " - " &amp; VLOOKUP(4,AD20:AN23,7,FALSE)</f>
        <v>1 - 2</v>
      </c>
      <c r="P24" s="37">
        <f>L24*3+M24</f>
        <v>2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3</v>
      </c>
      <c r="AH24" s="123">
        <f t="shared" si="14"/>
        <v>2</v>
      </c>
      <c r="AI24" s="123">
        <f>MAX(AI20:AI23)+1</f>
        <v>6</v>
      </c>
      <c r="AL24" s="123">
        <f>MIN(AL20:AL23)</f>
        <v>-2</v>
      </c>
      <c r="AM24" s="123">
        <f>MAX(AM20:AM23)+1</f>
        <v>6</v>
      </c>
      <c r="AN24" s="123">
        <f>MAX(AN20:AN23)+1</f>
        <v>6</v>
      </c>
      <c r="AO24" s="123">
        <f>MAX(AO20:AO23)+1</f>
        <v>9.3333333333333339</v>
      </c>
      <c r="AP24" s="123">
        <f>MAX(AP20:AP23)+1</f>
        <v>83333343.500880584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8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62500009.556392118</v>
      </c>
      <c r="AQ26" s="126">
        <f>VLOOKUP(AE26,db_fifarank,2,FALSE)</f>
        <v>1673.13</v>
      </c>
      <c r="AR26" s="125">
        <f>AP26/AP30</f>
        <v>0.71428574503704434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3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3000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50000005.889640637</v>
      </c>
      <c r="AQ27" s="126">
        <f>VLOOKUP(AE27,db_fifarank,2,FALSE)</f>
        <v>1503.5</v>
      </c>
      <c r="AR27" s="125">
        <f>AP27/AP30</f>
        <v>0.5714285759670884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Panama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4 - 1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6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0.16745700166666666</v>
      </c>
      <c r="AQ28" s="126">
        <f>VLOOKUP(AE28,db_fifarank,2,FALSE)</f>
        <v>1580.67</v>
      </c>
      <c r="AR28" s="125">
        <f>AP28/AP30</f>
        <v>1.9137940945308443E-9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87500008.611910626</v>
      </c>
      <c r="AQ29" s="126">
        <f>VLOOKUP(AE29,db_fifarank,2,FALSE)</f>
        <v>1599.04</v>
      </c>
      <c r="AR29" s="125">
        <f>AP29/AP30</f>
        <v>0.9999999885714298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6</v>
      </c>
      <c r="AL30" s="123">
        <f>MIN(AL26:AL29)</f>
        <v>-5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87500009.611910626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3</v>
      </c>
      <c r="AL32" s="123">
        <f>AI32-AJ32</f>
        <v>2</v>
      </c>
      <c r="AM32" s="123">
        <f>AL32-AL36</f>
        <v>6</v>
      </c>
      <c r="AN32" s="123">
        <f>AF32*3+AG32</f>
        <v>5</v>
      </c>
      <c r="AO32" s="123">
        <f>AN32/AN36*10+BA32</f>
        <v>9.3139158576051777</v>
      </c>
      <c r="AP32" s="123">
        <f>AO32*10000000+BI32*100+AM32/AM36*10+AI32/AI36*1++IF(AQ32=0,ROW(),AQ32)/2000000</f>
        <v>93139266.039931282</v>
      </c>
      <c r="AQ32" s="126">
        <f>VLOOKUP(AE32,db_fifarank,2,FALSE)</f>
        <v>1730.37</v>
      </c>
      <c r="AR32" s="125">
        <f>AP32/AP36</f>
        <v>0.99999998926338984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5 - 3</v>
      </c>
      <c r="P33" s="32">
        <f>L33*3+M33</f>
        <v>5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6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1.6666666666666665</v>
      </c>
      <c r="AP33" s="123">
        <f>AO33*10000000+BI33*100+AM33/AM36*10+AI33/AI36*1++IF(AQ33=0,ROW(),AQ33)/2000000</f>
        <v>16666667.000647325</v>
      </c>
      <c r="AQ33" s="126">
        <f>VLOOKUP(AE33,db_fifarank,2,FALSE)</f>
        <v>1294.6500000000001</v>
      </c>
      <c r="AR33" s="125">
        <f>AP33/AP36</f>
        <v>0.17894350611006937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4 - 2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3</v>
      </c>
      <c r="AH34" s="123">
        <f>COUNTIF($S$7:$T$78,"=" &amp; AE34 &amp; "_lose")</f>
        <v>0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4</v>
      </c>
      <c r="AN34" s="123">
        <f>AF34*3+AG34</f>
        <v>3</v>
      </c>
      <c r="AO34" s="123">
        <f>AN34/AN36*10+BA34</f>
        <v>5</v>
      </c>
      <c r="AP34" s="123">
        <f>AO34*10000000+BI34*100+AM34/AM36*10+AI34/AI36*1++IF(AQ34=0,ROW(),AQ34)/2000000</f>
        <v>50000006.21505221</v>
      </c>
      <c r="AQ34" s="126">
        <f>VLOOKUP(AE34,db_fifarank,2,FALSE)</f>
        <v>1532.98</v>
      </c>
      <c r="AR34" s="125">
        <f>AP34/AP36</f>
        <v>0.53683057430134029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>
        <v>1</v>
      </c>
      <c r="BO34" s="25">
        <v>4</v>
      </c>
      <c r="BP34" s="112">
        <f>IF(OR(BM34="",BM35="",AND(BN34="",BN35&lt;&gt;""),AND(BN35="",BN34&lt;&gt;""),AND(BO34="",BO35&lt;&gt;""),AND(BO35="",BO34&lt;&gt;"")),"",BM34*1000+BN34*10+BO34)</f>
        <v>1014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3</v>
      </c>
      <c r="N35" s="23">
        <f>VLOOKUP(3,AD32:AN35,5,FALSE)</f>
        <v>0</v>
      </c>
      <c r="O35" s="23" t="str">
        <f>VLOOKUP(3,AD32:AN35,6,FALSE) &amp; " - " &amp; VLOOKUP(3,AD32:AN35,7,FALSE)</f>
        <v>3 - 3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6</v>
      </c>
      <c r="AN35" s="123">
        <f>AF35*3+AG35</f>
        <v>5</v>
      </c>
      <c r="AO35" s="123">
        <f>AN35/AN36*10+BA35</f>
        <v>9.3139158576051777</v>
      </c>
      <c r="AP35" s="123">
        <f>AO35*10000000+BI35*100+AM35/AM36*10+AI35/AI36*1++IF(AQ35=0,ROW(),AQ35)/2000000</f>
        <v>93139265.873196825</v>
      </c>
      <c r="AQ35" s="126">
        <f>VLOOKUP(AE35,db_fifarank,2,FALSE)</f>
        <v>1594.78</v>
      </c>
      <c r="AR35" s="125">
        <f>AP35/AP36</f>
        <v>0.99999998747322694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Ivory Coast</v>
      </c>
      <c r="BM35" s="62">
        <v>1</v>
      </c>
      <c r="BN35" s="64">
        <v>1</v>
      </c>
      <c r="BO35" s="27">
        <v>2</v>
      </c>
      <c r="BP35" s="113">
        <f>IF(BP34="","",BM35*1000+BN35*10+BO35)</f>
        <v>1012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2 - 6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3</v>
      </c>
      <c r="AI36" s="123">
        <f>MAX(AI32:AI35)+1</f>
        <v>6</v>
      </c>
      <c r="AL36" s="123">
        <f>MIN(AL32:AL35)</f>
        <v>-4</v>
      </c>
      <c r="AM36" s="123">
        <f>MAX(AM32:AM35)+1</f>
        <v>7</v>
      </c>
      <c r="AN36" s="123">
        <f>MAX(AN32:AN35)+1</f>
        <v>6</v>
      </c>
      <c r="AO36" s="123">
        <f>MAX(AO32:AO35)+1</f>
        <v>10.313915857605178</v>
      </c>
      <c r="AP36" s="123">
        <f>MAX(AP32:AP35)+1</f>
        <v>93139267.039931282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3</v>
      </c>
      <c r="AL38" s="123">
        <f>AI38-AJ38</f>
        <v>1</v>
      </c>
      <c r="AM38" s="123">
        <f>AL38-AL42</f>
        <v>4</v>
      </c>
      <c r="AN38" s="123">
        <f>AF38*3+AG38</f>
        <v>6</v>
      </c>
      <c r="AO38" s="123">
        <f>AN38/AN42*10+BA38</f>
        <v>6</v>
      </c>
      <c r="AP38" s="123">
        <f>AO38*10000000+BI38*100+AM38/AM42*10+AI38/AI42*1++IF(AQ38=0,ROW(),AQ38)/2000000</f>
        <v>60000005.111990049</v>
      </c>
      <c r="AQ38" s="126">
        <f>VLOOKUP(AE38,db_fifarank,2,FALSE)</f>
        <v>1757.87</v>
      </c>
      <c r="AR38" s="125">
        <f>AP38/AP42</f>
        <v>0.66666664403654075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5 - 0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0</v>
      </c>
      <c r="AL39" s="123">
        <f>AI39-AJ39</f>
        <v>5</v>
      </c>
      <c r="AM39" s="123">
        <f>AL39-AL42</f>
        <v>8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90000009.723052442</v>
      </c>
      <c r="AQ39" s="126">
        <f>VLOOKUP(AE39,db_fifarank,2,FALSE)</f>
        <v>1660.43</v>
      </c>
      <c r="AR39" s="125">
        <f>AP39/AP42</f>
        <v>0.99999998888889019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19805923.635061592</v>
      </c>
      <c r="AQ40" s="126">
        <f>VLOOKUP(AE40,db_fifarank,2,FALSE)</f>
        <v>1514.77</v>
      </c>
      <c r="AR40" s="125">
        <f>AP40/AP42</f>
        <v>0.22006579194760625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19805923.635045733</v>
      </c>
      <c r="AQ41" s="126">
        <f>VLOOKUP(AE41,db_fifarank,2,FALSE)</f>
        <v>1483.05</v>
      </c>
      <c r="AR41" s="125">
        <f>AP41/AP42</f>
        <v>0.22006579194743006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6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90000010.723052442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0</v>
      </c>
      <c r="BK43" s="132"/>
      <c r="BL43" s="26" t="str">
        <f>AS39</f>
        <v>Netherlands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87500009.167534009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5</v>
      </c>
      <c r="AL45" s="123">
        <f>AI45-AJ45</f>
        <v>-1</v>
      </c>
      <c r="AM45" s="123">
        <f>AL45-AL48</f>
        <v>1</v>
      </c>
      <c r="AN45" s="123">
        <f>AF45*3+AG45</f>
        <v>2</v>
      </c>
      <c r="AO45" s="123">
        <f>AN45/AN48*10+BA45</f>
        <v>3.4805825242718447</v>
      </c>
      <c r="AP45" s="123">
        <f>AO45*10000000+BI45*100+AM45/AM48*10+AI45/AI48*1++IF(AQ45=0,ROW(),AQ45)/2000000</f>
        <v>34805925.635085814</v>
      </c>
      <c r="AQ45" s="126">
        <f>VLOOKUP(AE45,db_fifarank,2,FALSE)</f>
        <v>1563.24</v>
      </c>
      <c r="AR45" s="125">
        <f>AP45/AP48</f>
        <v>0.39778196103570512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0</v>
      </c>
      <c r="M46" s="23">
        <f>VLOOKUP(2,AD44:AN47,4,FALSE)</f>
        <v>3</v>
      </c>
      <c r="N46" s="23">
        <f>VLOOKUP(2,AD44:AN47,5,FALSE)</f>
        <v>0</v>
      </c>
      <c r="O46" s="23" t="str">
        <f>VLOOKUP(2,AD44:AN47,6,FALSE) &amp; " - " &amp; VLOOKUP(2,AD44:AN47,7,FALSE)</f>
        <v>3 - 3</v>
      </c>
      <c r="P46" s="34">
        <f>L46*3+M46</f>
        <v>3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1</v>
      </c>
      <c r="W46" s="123">
        <f t="shared" si="4"/>
        <v>1</v>
      </c>
      <c r="X46" s="123">
        <f t="shared" si="9"/>
        <v>1</v>
      </c>
      <c r="Y46" s="123">
        <f t="shared" si="10"/>
        <v>1</v>
      </c>
      <c r="Z46" s="123">
        <f t="shared" si="11"/>
        <v>1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2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37500003.834140986</v>
      </c>
      <c r="AQ46" s="126">
        <f>VLOOKUP(AE46,db_fifarank,2,FALSE)</f>
        <v>1615.3</v>
      </c>
      <c r="AR46" s="125">
        <f>AP46/AP48</f>
        <v>0.42857142259001685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4 - 5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0</v>
      </c>
      <c r="AN47" s="123">
        <f>AF47*3+AG47</f>
        <v>2</v>
      </c>
      <c r="AO47" s="123">
        <f>AN47/AN48*10+BA47</f>
        <v>3.4805825242718447</v>
      </c>
      <c r="AP47" s="123">
        <f>AO47*10000000+BI47*100+AM47/AM48*10+AI47/AI48*1++IF(AQ47=0,ROW(),AQ47)/2000000</f>
        <v>34805923.468278319</v>
      </c>
      <c r="AQ47" s="126">
        <f>VLOOKUP(AE47,db_fifarank,2,FALSE)</f>
        <v>1281.57</v>
      </c>
      <c r="AR47" s="125">
        <f>AP47/AP48</f>
        <v>0.39778193627219377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1 - 3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2</v>
      </c>
      <c r="AI48" s="123">
        <f>MAX(AI44:AI47)+1</f>
        <v>6</v>
      </c>
      <c r="AL48" s="123">
        <f>MIN(AL44:AL47)</f>
        <v>-2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87500010.167534009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9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87500009.875938207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1</v>
      </c>
      <c r="AH51" s="123">
        <f>COUNTIF($S$7:$T$78,"=" &amp; AE51 &amp; "_lose")</f>
        <v>1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6</v>
      </c>
      <c r="AL51" s="123">
        <f>AI51-AJ51</f>
        <v>-3</v>
      </c>
      <c r="AM51" s="123">
        <f>AL51-AL54</f>
        <v>1</v>
      </c>
      <c r="AN51" s="123">
        <f>AF51*3+AG51</f>
        <v>4</v>
      </c>
      <c r="AO51" s="123">
        <f>AN51/AN54*10+BA51</f>
        <v>5</v>
      </c>
      <c r="AP51" s="123">
        <f>AO51*10000000+BI51*100+AM51/AM54*10+AI51/AI54*1++IF(AQ51=0,ROW(),AQ51)/2000000</f>
        <v>50000001.375683062</v>
      </c>
      <c r="AQ51" s="126">
        <f>VLOOKUP(AE51,db_fifarank,2,FALSE)</f>
        <v>1366.13</v>
      </c>
      <c r="AR51" s="125">
        <f>AP51/AP54</f>
        <v>0.57142851612413526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Cape Verde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2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4 - 2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0.25071071499999997</v>
      </c>
      <c r="AQ52" s="126">
        <f>VLOOKUP(AE52,db_fifarank,2,FALSE)</f>
        <v>1421.43</v>
      </c>
      <c r="AR52" s="125">
        <f>AP52/AP54</f>
        <v>2.8652649581434897E-9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3 - 6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2</v>
      </c>
      <c r="AH53" s="123">
        <f>COUNTIF($S$7:$T$78,"=" &amp; AE53 &amp; "_lose")</f>
        <v>0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6</v>
      </c>
      <c r="AN53" s="123">
        <f>AF53*3+AG53</f>
        <v>5</v>
      </c>
      <c r="AO53" s="123">
        <f>AN53/AN54*10+BA53</f>
        <v>6.25</v>
      </c>
      <c r="AP53" s="123">
        <f>AO53*10000000+BI53*100+AM53/AM54*10+AI53/AI54*1++IF(AQ53=0,ROW(),AQ53)/2000000</f>
        <v>62500006.500836536</v>
      </c>
      <c r="AQ53" s="126">
        <f>VLOOKUP(AE53,db_fifarank,2,FALSE)</f>
        <v>1673.07</v>
      </c>
      <c r="AR53" s="125">
        <f>AP53/AP54</f>
        <v>0.71428569979782175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4</v>
      </c>
      <c r="AI54" s="123">
        <f>MAX(AI50:AI53)+1</f>
        <v>8</v>
      </c>
      <c r="AL54" s="123">
        <f>MIN(AL50:AL53)</f>
        <v>-4</v>
      </c>
      <c r="AM54" s="123">
        <f>MAX(AM50:AM53)+1</f>
        <v>10</v>
      </c>
      <c r="AN54" s="123">
        <f>MAX(AN50:AN53)+1</f>
        <v>8</v>
      </c>
      <c r="AO54" s="123">
        <f>MAX(AO50:AO53)+1</f>
        <v>9.75</v>
      </c>
      <c r="AP54" s="123">
        <f>MAX(AP50:AP53)+1</f>
        <v>87500010.875938207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0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Morocco_draw</v>
      </c>
      <c r="T56" s="127" t="str">
        <f t="shared" si="20"/>
        <v>Haiti_draw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3</v>
      </c>
      <c r="AL56" s="123">
        <f>AI56-AJ56</f>
        <v>3</v>
      </c>
      <c r="AM56" s="123">
        <f>AL56-AL60</f>
        <v>7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87500009.608081505</v>
      </c>
      <c r="AQ56" s="126">
        <f>VLOOKUP(AE56,db_fifarank,2,FALSE)</f>
        <v>1877.32</v>
      </c>
      <c r="AR56" s="125">
        <f>AP56/AP60</f>
        <v>0.99999998857142991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3</v>
      </c>
      <c r="AN57" s="123">
        <f>AF57*3+AG57</f>
        <v>2</v>
      </c>
      <c r="AO57" s="123">
        <f>AN57/AN60*10+BA57</f>
        <v>2.5</v>
      </c>
      <c r="AP57" s="123">
        <f>AO57*10000000+BI57*100+AM57/AM60*10+AI57/AI60*1++IF(AQ57=0,ROW(),AQ57)/2000000</f>
        <v>25000004.322273064</v>
      </c>
      <c r="AQ57" s="126">
        <f>VLOOKUP(AE57,db_fifarank,2,FALSE)</f>
        <v>1688.99</v>
      </c>
      <c r="AR57" s="125">
        <f>AP57/AP60</f>
        <v>0.2857143004730569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5 - 3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1</v>
      </c>
      <c r="AO58" s="123">
        <f>AN58/AN60*10+BA58</f>
        <v>1.25</v>
      </c>
      <c r="AP58" s="123">
        <f>AO58*10000000+BI58*100+AM58/AM60*10+AI58/AI60*1++IF(AQ58=0,ROW(),AQ58)/2000000</f>
        <v>12500000.286437856</v>
      </c>
      <c r="AQ58" s="126">
        <f>VLOOKUP(AE58,db_fifarank,2,FALSE)</f>
        <v>1447.14</v>
      </c>
      <c r="AR58" s="125">
        <f>AP58/AP60</f>
        <v>0.14285712881140331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1</v>
      </c>
      <c r="BO58" s="25">
        <v>5</v>
      </c>
      <c r="BP58" s="112">
        <f>IF(OR(BM58="",BM59="",AND(BN58="",BN59&lt;&gt;""),AND(BN59="",BN58&lt;&gt;""),AND(BO58="",BO59&lt;&gt;""),AND(BO59="",BO58&lt;&gt;"")),"",BM58*1000+BN58*10+BO58)</f>
        <v>1015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6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62500008.215061188</v>
      </c>
      <c r="AQ59" s="126">
        <f>VLOOKUP(AE59,db_fifarank,2,FALSE)</f>
        <v>1550.94</v>
      </c>
      <c r="AR59" s="125">
        <f>AP59/AP60</f>
        <v>0.71428572157554326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>
        <v>4</v>
      </c>
      <c r="BP59" s="113">
        <f>IF(BP58="","",BM59*1000+BN59*10+BO59)</f>
        <v>1014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2 - 6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3</v>
      </c>
      <c r="AI60" s="123">
        <f>MAX(AI56:AI59)+1</f>
        <v>7</v>
      </c>
      <c r="AL60" s="123">
        <f>MIN(AL56:AL59)</f>
        <v>-4</v>
      </c>
      <c r="AM60" s="123">
        <f>MAX(AM56:AM59)+1</f>
        <v>8</v>
      </c>
      <c r="AN60" s="123">
        <f>MAX(AN56:AN59)+1</f>
        <v>8</v>
      </c>
      <c r="AO60" s="123">
        <f>MAX(AO56:AO59)+1</f>
        <v>9.75</v>
      </c>
      <c r="AP60" s="123">
        <f>MAX(AP56:AP59)+1</f>
        <v>87500010.608081505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>
        <v>3</v>
      </c>
      <c r="BV60" s="25"/>
      <c r="BW60" s="112">
        <f>IF(OR(BT60="",BT61="",AND(BU60="",BU61&lt;&gt;""),AND(BU61="",BU60&lt;&gt;""),AND(BV60="",BV61&lt;&gt;""),AND(BV61="",BV60&lt;&gt;"")),"",BT60*1000+BU60*10+BV60)</f>
        <v>2030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2</v>
      </c>
      <c r="BU61" s="64">
        <v>2</v>
      </c>
      <c r="BV61" s="27"/>
      <c r="BW61" s="113">
        <f>IF(BW60="","",BT61*1000+BU61*10+BV61)</f>
        <v>2020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2</v>
      </c>
      <c r="AL62" s="123">
        <f>AI62-AJ62</f>
        <v>3</v>
      </c>
      <c r="AM62" s="123">
        <f>AL62-AL66</f>
        <v>6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87500009.405699313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5 - 2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1.25</v>
      </c>
      <c r="AP63" s="123">
        <f>AO63*10000000+BI63*100+AM63/AM66*10+AI63/AI66*1++IF(AQ63=0,ROW(),AQ63)/2000000</f>
        <v>12500000.334115464</v>
      </c>
      <c r="AQ63" s="126">
        <f>VLOOKUP(AE63,db_fifarank,2,FALSE)</f>
        <v>1564.26</v>
      </c>
      <c r="AR63" s="125">
        <f>AP63/AP66</f>
        <v>0.14285712968671002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4</v>
      </c>
      <c r="AN64" s="123">
        <f>AF64*3+AG64</f>
        <v>6</v>
      </c>
      <c r="AO64" s="123">
        <f>AN64/AN66*10+BA64</f>
        <v>7.5</v>
      </c>
      <c r="AP64" s="123">
        <f>AO64*10000000+BI64*100+AM64/AM66*10+AI64/AI66*1++IF(AQ64=0,ROW(),AQ64)/2000000</f>
        <v>75000006.215082437</v>
      </c>
      <c r="AQ64" s="126">
        <f>VLOOKUP(AE64,db_fifarank,2,FALSE)</f>
        <v>1593.45</v>
      </c>
      <c r="AR64" s="125">
        <f>AP64/AP66</f>
        <v>0.8571428262389934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1 - 2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2</v>
      </c>
      <c r="AL65" s="123">
        <f>AI65-AJ65</f>
        <v>-1</v>
      </c>
      <c r="AM65" s="123">
        <f>AL65-AL66</f>
        <v>2</v>
      </c>
      <c r="AN65" s="123">
        <f>AF65*3+AG65</f>
        <v>2</v>
      </c>
      <c r="AO65" s="123">
        <f>AN65/AN66*10+BA65</f>
        <v>2.5</v>
      </c>
      <c r="AP65" s="123">
        <f>AO65*10000000+BI65*100+AM65/AM66*10+AI65/AI66*1++IF(AQ65=0,ROW(),AQ65)/2000000</f>
        <v>25000003.02450525</v>
      </c>
      <c r="AQ65" s="126">
        <f>VLOOKUP(AE65,db_fifarank,2,FALSE)</f>
        <v>1391.45</v>
      </c>
      <c r="AR65" s="125">
        <f>AP65/AP66</f>
        <v>0.28571428630226625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6</v>
      </c>
      <c r="AL66" s="123">
        <f>MIN(AL62:AL65)</f>
        <v>-3</v>
      </c>
      <c r="AM66" s="123">
        <f>MAX(AM62:AM65)+1</f>
        <v>7</v>
      </c>
      <c r="AN66" s="123">
        <f>MAX(AN62:AN65)+1</f>
        <v>8</v>
      </c>
      <c r="AO66" s="123">
        <f>MAX(AO62:AO65)+1</f>
        <v>9.75</v>
      </c>
      <c r="AP66" s="123">
        <f>MAX(AP62:AP65)+1</f>
        <v>87500010.405699313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9.7401477832512313</v>
      </c>
      <c r="AP68" s="123">
        <f>AO68*10000000+BI68*100+AM68/AM72*10+AI68/AI72*1++IF(AQ68=0,ROW(),AQ68)/2000000</f>
        <v>97401586.594204307</v>
      </c>
      <c r="AQ68" s="126">
        <f>VLOOKUP(AE68,db_fifarank,2,FALSE)</f>
        <v>1763.83</v>
      </c>
      <c r="AR68" s="125">
        <f>AP68/AP72</f>
        <v>0.9999999897332269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0.99014778325123154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0.99014778325123154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2.2352216748768474</v>
      </c>
      <c r="AP69" s="123">
        <f>AO69*10000000+BI69*100+AM69/AM72*10+AI69/AI72*1++IF(AQ69=0,ROW(),AQ69)/2000000</f>
        <v>22352315.27167514</v>
      </c>
      <c r="AQ69" s="126">
        <f>VLOOKUP(AE69,db_fifarank,2,FALSE)</f>
        <v>1478.35</v>
      </c>
      <c r="AR69" s="125">
        <f>AP69/AP72</f>
        <v>0.22948614928947186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0.98522167487684731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0.98522167487684731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4 - 2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4</v>
      </c>
      <c r="AL70" s="123">
        <f>AI70-AJ70</f>
        <v>-2</v>
      </c>
      <c r="AM70" s="123">
        <f>AL70-AL72</f>
        <v>2</v>
      </c>
      <c r="AN70" s="123">
        <f>AF70*3+AG70</f>
        <v>1</v>
      </c>
      <c r="AO70" s="123">
        <f>AN70/AN72*10+BA70</f>
        <v>2.2352216748768474</v>
      </c>
      <c r="AP70" s="123">
        <f>AO70*10000000+BI70*100+AM70/AM72*10+AI70/AI72*1++IF(AQ70=0,ROW(),AQ70)/2000000</f>
        <v>22352317.779605146</v>
      </c>
      <c r="AQ70" s="126">
        <f>VLOOKUP(AE70,db_fifarank,2,FALSE)</f>
        <v>1465.34</v>
      </c>
      <c r="AR70" s="125">
        <f>AP70/AP72</f>
        <v>0.22948617503782021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0.98522167487684731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0.98522167487684731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6</v>
      </c>
      <c r="AN71" s="123">
        <f>AF71*3+AG71</f>
        <v>7</v>
      </c>
      <c r="AO71" s="123">
        <f>AN71/AN72*10+BA71</f>
        <v>9.7401477832512313</v>
      </c>
      <c r="AP71" s="123">
        <f>AO71*10000000+BI71*100+AM71/AM72*10+AI71/AI72*1++IF(AQ71=0,ROW(),AQ71)/2000000</f>
        <v>97401584.086232439</v>
      </c>
      <c r="AQ71" s="126">
        <f>VLOOKUP(AE71,db_fifarank,2,FALSE)</f>
        <v>1693.09</v>
      </c>
      <c r="AR71" s="125">
        <f>AP71/AP72</f>
        <v>0.99999996398444879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0.99014778325123154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0.99014778325123154</v>
      </c>
      <c r="BK71" s="13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10.740147783251231</v>
      </c>
      <c r="AP72" s="123">
        <f>MAX(AP68:AP71)+1</f>
        <v>97401587.594204307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101.5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2</v>
      </c>
      <c r="AL74" s="123">
        <f>AI74-AJ74</f>
        <v>2</v>
      </c>
      <c r="AM74" s="123">
        <f>AL74-AL78</f>
        <v>4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87500008.667579651</v>
      </c>
      <c r="AQ74" s="126">
        <f>VLOOKUP(AE74,db_fifarank,2,FALSE)</f>
        <v>1825.97</v>
      </c>
      <c r="AR74" s="125">
        <f>AP74/AP78</f>
        <v>0.9999999885714298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2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6</v>
      </c>
      <c r="AL75" s="123">
        <f>AI75-AJ75</f>
        <v>-1</v>
      </c>
      <c r="AM75" s="123">
        <f>AL75-AL78</f>
        <v>1</v>
      </c>
      <c r="AN75" s="123">
        <f>AF75*3+AG75</f>
        <v>2</v>
      </c>
      <c r="AO75" s="123">
        <f>AN75/AN78*10+BA75</f>
        <v>2.5</v>
      </c>
      <c r="AP75" s="123">
        <f>AO75*10000000+BI75*100+AM75/AM78*10+AI75/AI78*1++IF(AQ75=0,ROW(),AQ75)/2000000</f>
        <v>25000002.834191866</v>
      </c>
      <c r="AQ75" s="126">
        <f>VLOOKUP(AE75,db_fifarank,2,FALSE)</f>
        <v>1717.07</v>
      </c>
      <c r="AR75" s="125">
        <f>AP75/AP78</f>
        <v>0.2857142865374428</v>
      </c>
      <c r="AS75" s="125" t="str">
        <f>IF(SUM(AF74:AH77)=12,J76,"2L")</f>
        <v>Panama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0</v>
      </c>
      <c r="H76" s="80" t="str">
        <f>AE62</f>
        <v>Argentina</v>
      </c>
      <c r="I76" s="69"/>
      <c r="J76" s="33" t="str">
        <f>VLOOKUP(2,AD74:AN77,2,FALSE)</f>
        <v>Panama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5 - 4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Jordan_draw</v>
      </c>
      <c r="T76" s="127" t="str">
        <f t="shared" si="20"/>
        <v>Argentina_draw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0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0</v>
      </c>
      <c r="AN76" s="123">
        <f>AF76*3+AG76</f>
        <v>1</v>
      </c>
      <c r="AO76" s="123">
        <f>AN76/AN78*10+BA76</f>
        <v>1.25</v>
      </c>
      <c r="AP76" s="123">
        <f>AO76*10000000+BI76*100+AM76/AM78*10+AI76/AI78*1++IF(AQ76=0,ROW(),AQ76)/2000000</f>
        <v>12500000.500673154</v>
      </c>
      <c r="AQ76" s="126">
        <f>VLOOKUP(AE76,db_fifarank,2,FALSE)</f>
        <v>1346.31</v>
      </c>
      <c r="AR76" s="125">
        <f>AP76/AP78</f>
        <v>0.14285713279531936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5 - 6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2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2</v>
      </c>
      <c r="AH77" s="123">
        <f>COUNTIF($S$7:$T$78,"=" &amp; AE77 &amp; "_lose")</f>
        <v>0</v>
      </c>
      <c r="AI77" s="123">
        <f>SUMIF($E$7:$E$78,$AE77,$F$7:$F$78) + SUMIF($H$7:$H$78,$AE77,$G$7:$G$78)</f>
        <v>5</v>
      </c>
      <c r="AJ77" s="123">
        <f>SUMIF($E$7:$E$78,$AE77,$G$7:$G$78) + SUMIF($H$7:$H$78,$AE77,$F$7:$F$78)</f>
        <v>4</v>
      </c>
      <c r="AL77" s="123">
        <f>AI77-AJ77</f>
        <v>1</v>
      </c>
      <c r="AM77" s="123">
        <f>AL77-AL78</f>
        <v>3</v>
      </c>
      <c r="AN77" s="123">
        <f>AF77*3+AG77</f>
        <v>5</v>
      </c>
      <c r="AO77" s="123">
        <f>AN77/AN78*10+BA77</f>
        <v>6.25</v>
      </c>
      <c r="AP77" s="123">
        <f>AO77*10000000+BI77*100+AM77/AM78*10+AI77/AI78*1++IF(AQ77=0,ROW(),AQ77)/2000000</f>
        <v>62500006.834103659</v>
      </c>
      <c r="AQ77" s="126">
        <f>VLOOKUP(AE77,db_fifarank,2,FALSE)</f>
        <v>1540.64</v>
      </c>
      <c r="AR77" s="125">
        <f>AP77/AP78</f>
        <v>0.71428571347073866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-2</v>
      </c>
      <c r="AM78" s="123">
        <f>MAX(AM74:AM77)+1</f>
        <v>5</v>
      </c>
      <c r="AN78" s="123">
        <f>MAX(AN74:AN77)+1</f>
        <v>8</v>
      </c>
      <c r="AO78" s="123">
        <f>MAX(AO74:AO77)+1</f>
        <v>9.75</v>
      </c>
      <c r="AP78" s="123">
        <f>MAX(AP74:AP77)+1</f>
        <v>87500009.667579651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4566.6673815316672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Switzerland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4550.0008246999996</v>
      </c>
      <c r="AQ81" s="126">
        <f t="shared" si="37"/>
        <v>1649.4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Switzerland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Ⓗ Cape Verde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3 - 6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Morocco</v>
      </c>
      <c r="AF82" s="123">
        <f t="shared" si="39"/>
        <v>0</v>
      </c>
      <c r="AG82" s="123">
        <f t="shared" ref="AG82:AG91" si="49">VLOOKUP($AE82,$AE$8:$AQ$78,3,FALSE)</f>
        <v>3</v>
      </c>
      <c r="AH82" s="123">
        <f t="shared" si="40"/>
        <v>0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6816.667544601667</v>
      </c>
      <c r="AQ82" s="126">
        <f t="shared" si="37"/>
        <v>1755.87</v>
      </c>
      <c r="AR82" s="125" t="str">
        <f t="shared" ref="AR82:AR91" si="50">AR81&amp;IF(AD82&lt;=8,RIGHT(AK82,1),"")</f>
        <v>AC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Morocco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8783.3340850833338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0</v>
      </c>
      <c r="AG84" s="123">
        <f t="shared" si="49"/>
        <v>3</v>
      </c>
      <c r="AH84" s="123">
        <f t="shared" si="40"/>
        <v>0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6800.0007664900004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5 - 6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12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0</v>
      </c>
      <c r="AN85" s="123">
        <f t="shared" si="45"/>
        <v>1</v>
      </c>
      <c r="AP85" s="123">
        <f>AN85/AN92*10000+AM85/AM92*1000+AI85/AI92*100+IF(AQ85=0,ROW(),AQ85)/2000000</f>
        <v>2033.3340907183333</v>
      </c>
      <c r="AQ85" s="126">
        <f t="shared" si="37"/>
        <v>1514.77</v>
      </c>
      <c r="AR85" s="125" t="str">
        <f t="shared" si="50"/>
        <v>ACDE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4 - 5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4</v>
      </c>
      <c r="AJ86" s="123">
        <f t="shared" si="42"/>
        <v>5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2</v>
      </c>
      <c r="AP86" s="123">
        <f>AN86/AN92*10000+AM86/AM92*1000+AI86/AI92*100+IF(AQ86=0,ROW(),AQ86)/2000000</f>
        <v>4566.6674482866674</v>
      </c>
      <c r="AQ86" s="126">
        <f t="shared" si="37"/>
        <v>1563.24</v>
      </c>
      <c r="AR86" s="125" t="str">
        <f t="shared" si="50"/>
        <v>ACDEG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Egypt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4 - 5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2</v>
      </c>
      <c r="AE87" s="124" t="str">
        <f>J53</f>
        <v>Cape Verde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4</v>
      </c>
      <c r="AP87" s="123">
        <f>AN87/AN92*10000+AM87/AM92*1000+AI87/AI92*100+IF(AQ87=0,ROW(),AQ87)/2000000</f>
        <v>8050.000683065</v>
      </c>
      <c r="AQ87" s="126">
        <f t="shared" si="37"/>
        <v>1366.13</v>
      </c>
      <c r="AR87" s="125" t="str">
        <f t="shared" si="50"/>
        <v>ACDEGH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South Africa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2</v>
      </c>
      <c r="AP88" s="123">
        <f>AN88/AN92*10000+AM88/AM92*1000+AI88/AI92*100+IF(AQ88=0,ROW(),AQ88)/2000000</f>
        <v>4566.6675111616669</v>
      </c>
      <c r="AQ88" s="126">
        <f t="shared" si="37"/>
        <v>1688.99</v>
      </c>
      <c r="AR88" s="125" t="str">
        <f t="shared" si="50"/>
        <v>ACDEGHI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Switzerland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Japan</v>
      </c>
      <c r="T89" s="127" t="str" cm="1">
        <f t="array" ref="T89">IF(OR(S89="",S89="draw"),INDEX(T,91,lang),S89)</f>
        <v>Japan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2</v>
      </c>
      <c r="AK89" s="123" t="s">
        <v>3190</v>
      </c>
      <c r="AL89" s="123">
        <f t="shared" si="43"/>
        <v>-1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4516.6673623916668</v>
      </c>
      <c r="AQ89" s="126">
        <f t="shared" si="37"/>
        <v>1391.45</v>
      </c>
      <c r="AR89" s="125" t="str">
        <f t="shared" si="50"/>
        <v>ACDEGHI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1 - 2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2283.3340660033336</v>
      </c>
      <c r="AQ90" s="126">
        <f t="shared" si="37"/>
        <v>1465.34</v>
      </c>
      <c r="AR90" s="125" t="str">
        <f t="shared" si="50"/>
        <v>ACDEGHI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Croatia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6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2</v>
      </c>
      <c r="AP91" s="123">
        <f>AN91/AN92*10000+AM91/AM92*1000+AI91/AI92*100+IF(AQ91=0,ROW(),AQ91)/2000000</f>
        <v>4583.3341918683327</v>
      </c>
      <c r="AQ91" s="126">
        <f t="shared" si="37"/>
        <v>1717.07</v>
      </c>
      <c r="AR91" s="125" t="str">
        <f t="shared" si="50"/>
        <v>ACDEGHIL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Ⓕ Sweden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Japan</v>
      </c>
      <c r="T96" s="127" t="str" cm="1">
        <f t="array" ref="T96">IF(OR(S96="",S96="draw"),INDEX(T,95,lang),S96)</f>
        <v>Japan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Japan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Japan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263</v>
      </c>
      <c r="C3" s="121" t="str">
        <f>'2026 World Cup'!AR91</f>
        <v>ACDEGHIL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Guillermo Gonzalez-Burdiel Español</cp:lastModifiedBy>
  <cp:revision/>
  <dcterms:created xsi:type="dcterms:W3CDTF">2017-12-27T19:32:51Z</dcterms:created>
  <dcterms:modified xsi:type="dcterms:W3CDTF">2026-06-10T14:31:32Z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