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smi\Desktop\"/>
    </mc:Choice>
  </mc:AlternateContent>
  <xr:revisionPtr revIDLastSave="0" documentId="13_ncr:1_{EDDC8931-ED43-427F-B9CF-D8BEC41A1119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S45" i="3"/>
  <c r="T45" i="3" s="1"/>
  <c r="S18" i="3"/>
  <c r="T18" i="3" s="1"/>
  <c r="S63" i="3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7" i="3"/>
  <c r="S54" i="3"/>
  <c r="S77" i="3"/>
  <c r="T78" i="3"/>
  <c r="S50" i="3"/>
  <c r="S76" i="3"/>
  <c r="T25" i="3"/>
  <c r="S47" i="3"/>
  <c r="S67" i="3"/>
  <c r="T23" i="3"/>
  <c r="T48" i="3"/>
  <c r="T43" i="3"/>
  <c r="S72" i="3"/>
  <c r="T46" i="3"/>
  <c r="S70" i="3"/>
  <c r="T21" i="3"/>
  <c r="S42" i="3"/>
  <c r="S64" i="3"/>
  <c r="T63" i="3"/>
  <c r="T41" i="3"/>
  <c r="S40" i="3"/>
  <c r="S62" i="3"/>
  <c r="T61" i="3"/>
  <c r="S38" i="3"/>
  <c r="S65" i="3"/>
  <c r="T37" i="3"/>
  <c r="S55" i="3"/>
  <c r="T56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28" i="3"/>
  <c r="AR10" i="3" l="1"/>
  <c r="AR9" i="3"/>
  <c r="AR33" i="3"/>
  <c r="AR11" i="3"/>
  <c r="AR34" i="3"/>
  <c r="AR35" i="3"/>
  <c r="AR21" i="3"/>
  <c r="AR22" i="3"/>
  <c r="AR75" i="3"/>
  <c r="AR76" i="3"/>
  <c r="AR77" i="3"/>
  <c r="AD77" i="3" s="1"/>
  <c r="AR65" i="3"/>
  <c r="AR40" i="3"/>
  <c r="AR41" i="3"/>
  <c r="AR29" i="3"/>
  <c r="AR69" i="3"/>
  <c r="AR70" i="3"/>
  <c r="AR71" i="3"/>
  <c r="AD68" i="3" s="1"/>
  <c r="AR27" i="3"/>
  <c r="AD28" i="3" s="1"/>
  <c r="AR23" i="3"/>
  <c r="AD22" i="3" s="1"/>
  <c r="AR51" i="3"/>
  <c r="AR52" i="3"/>
  <c r="AR53" i="3"/>
  <c r="AR46" i="3"/>
  <c r="AR15" i="3"/>
  <c r="AR45" i="3"/>
  <c r="AR63" i="3"/>
  <c r="AR47" i="3"/>
  <c r="AD44" i="3" s="1"/>
  <c r="AR64" i="3"/>
  <c r="AR39" i="3"/>
  <c r="AD56" i="3"/>
  <c r="O60" i="3" s="1"/>
  <c r="AR16" i="3"/>
  <c r="AR17" i="3"/>
  <c r="AD14" i="3" s="1"/>
  <c r="AD59" i="3"/>
  <c r="AD75" i="3"/>
  <c r="AD41" i="3"/>
  <c r="AD35" i="3"/>
  <c r="AD15" i="3"/>
  <c r="AD11" i="3" l="1"/>
  <c r="AD10" i="3"/>
  <c r="AD9" i="3"/>
  <c r="AD27" i="3"/>
  <c r="M59" i="3"/>
  <c r="AD53" i="3"/>
  <c r="AD33" i="3"/>
  <c r="AD70" i="3"/>
  <c r="AD21" i="3"/>
  <c r="M58" i="3"/>
  <c r="AD8" i="3"/>
  <c r="AD76" i="3"/>
  <c r="AD32" i="3"/>
  <c r="L33" i="3" s="1"/>
  <c r="AD74" i="3"/>
  <c r="M76" i="3" s="1"/>
  <c r="AD63" i="3"/>
  <c r="AD34" i="3"/>
  <c r="L58" i="3"/>
  <c r="AD71" i="3"/>
  <c r="AD20" i="3"/>
  <c r="AD29" i="3"/>
  <c r="L59" i="3"/>
  <c r="AD47" i="3"/>
  <c r="N58" i="3"/>
  <c r="AD26" i="3"/>
  <c r="N27" i="3" s="1"/>
  <c r="AD62" i="3"/>
  <c r="O63" i="3" s="1"/>
  <c r="AD69" i="3"/>
  <c r="AD39" i="3"/>
  <c r="L57" i="3"/>
  <c r="AD64" i="3"/>
  <c r="AD16" i="3"/>
  <c r="N17" i="3" s="1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L47" i="3" s="1"/>
  <c r="AD40" i="3"/>
  <c r="AD52" i="3"/>
  <c r="AD38" i="3"/>
  <c r="AD50" i="3"/>
  <c r="O51" i="3" s="1"/>
  <c r="N59" i="3"/>
  <c r="AD17" i="3"/>
  <c r="J12" i="3"/>
  <c r="N12" i="3"/>
  <c r="L15" i="3"/>
  <c r="M18" i="3"/>
  <c r="J18" i="3"/>
  <c r="O18" i="3"/>
  <c r="N18" i="3"/>
  <c r="L18" i="3"/>
  <c r="J45" i="3"/>
  <c r="AS44" i="3" s="1"/>
  <c r="BL38" i="3" s="1"/>
  <c r="M45" i="3"/>
  <c r="N45" i="3"/>
  <c r="L45" i="3"/>
  <c r="O45" i="3"/>
  <c r="L69" i="3"/>
  <c r="M69" i="3"/>
  <c r="N69" i="3"/>
  <c r="O69" i="3"/>
  <c r="J69" i="3"/>
  <c r="AS68" i="3" s="1"/>
  <c r="BL70" i="3" s="1"/>
  <c r="P58" i="3" l="1"/>
  <c r="AT88" i="3"/>
  <c r="L12" i="3"/>
  <c r="J51" i="3"/>
  <c r="AS50" i="3" s="1"/>
  <c r="BL30" i="3" s="1"/>
  <c r="AJ88" i="3"/>
  <c r="AN88" i="3"/>
  <c r="AI88" i="3"/>
  <c r="N51" i="3"/>
  <c r="M16" i="3"/>
  <c r="L51" i="3"/>
  <c r="O9" i="3"/>
  <c r="M54" i="3"/>
  <c r="P59" i="3"/>
  <c r="K58" i="3"/>
  <c r="J29" i="3"/>
  <c r="AE83" i="3" s="1"/>
  <c r="AQ83" i="3" s="1"/>
  <c r="J27" i="3"/>
  <c r="AS26" i="3" s="1"/>
  <c r="BL34" i="3" s="1"/>
  <c r="S90" i="3" s="1"/>
  <c r="T90" i="3" s="1" a="1"/>
  <c r="T90" i="3" s="1"/>
  <c r="S91" i="3"/>
  <c r="T91" i="3" s="1" a="1"/>
  <c r="T91" i="3" s="1"/>
  <c r="BS37" i="3"/>
  <c r="AG88" i="3"/>
  <c r="M22" i="3"/>
  <c r="L63" i="3"/>
  <c r="N63" i="3"/>
  <c r="M63" i="3"/>
  <c r="S87" i="3"/>
  <c r="T87" i="3" s="1" a="1"/>
  <c r="T87" i="3" s="1"/>
  <c r="BS29" i="3"/>
  <c r="J28" i="3"/>
  <c r="AS27" i="3" s="1"/>
  <c r="BL62" i="3" s="1"/>
  <c r="BS61" i="3" s="1"/>
  <c r="AF88" i="3"/>
  <c r="J36" i="3"/>
  <c r="O76" i="3"/>
  <c r="J76" i="3"/>
  <c r="AS75" i="3" s="1"/>
  <c r="BL27" i="3" s="1"/>
  <c r="O16" i="3"/>
  <c r="L17" i="3"/>
  <c r="O78" i="3"/>
  <c r="L78" i="3"/>
  <c r="M78" i="3"/>
  <c r="J10" i="3"/>
  <c r="AS9" i="3" s="1"/>
  <c r="BL18" i="3" s="1"/>
  <c r="M11" i="3"/>
  <c r="N11" i="3"/>
  <c r="J16" i="3"/>
  <c r="AS15" i="3" s="1"/>
  <c r="BL19" i="3" s="1"/>
  <c r="N78" i="3"/>
  <c r="O35" i="3"/>
  <c r="M75" i="3"/>
  <c r="J34" i="3"/>
  <c r="AS33" i="3" s="1"/>
  <c r="BL46" i="3" s="1"/>
  <c r="L10" i="3"/>
  <c r="L76" i="3"/>
  <c r="P76" i="3" s="1"/>
  <c r="J78" i="3"/>
  <c r="L34" i="3"/>
  <c r="N76" i="3"/>
  <c r="N33" i="3"/>
  <c r="J33" i="3"/>
  <c r="AS32" i="3" s="1"/>
  <c r="BL10" i="3" s="1"/>
  <c r="O10" i="3"/>
  <c r="J35" i="3"/>
  <c r="AE84" i="3" s="1"/>
  <c r="AQ84" i="3" s="1"/>
  <c r="O11" i="3"/>
  <c r="N52" i="3"/>
  <c r="N10" i="3"/>
  <c r="J9" i="3"/>
  <c r="AS8" i="3" s="1"/>
  <c r="BL50" i="3" s="1"/>
  <c r="J41" i="3"/>
  <c r="AE85" i="3" s="1"/>
  <c r="AQ85" i="3" s="1"/>
  <c r="O23" i="3"/>
  <c r="N34" i="3"/>
  <c r="M34" i="3"/>
  <c r="L9" i="3"/>
  <c r="M36" i="3"/>
  <c r="M71" i="3"/>
  <c r="J75" i="3"/>
  <c r="AS74" i="3" s="1"/>
  <c r="BL54" i="3" s="1"/>
  <c r="N75" i="3"/>
  <c r="N22" i="3"/>
  <c r="L75" i="3"/>
  <c r="O24" i="3"/>
  <c r="N35" i="3"/>
  <c r="N54" i="3"/>
  <c r="O75" i="3"/>
  <c r="M21" i="3"/>
  <c r="N21" i="3"/>
  <c r="M10" i="3"/>
  <c r="N36" i="3"/>
  <c r="L11" i="3"/>
  <c r="M9" i="3"/>
  <c r="L35" i="3"/>
  <c r="L16" i="3"/>
  <c r="O12" i="3"/>
  <c r="O36" i="3"/>
  <c r="N9" i="3"/>
  <c r="J46" i="3"/>
  <c r="AS45" i="3" s="1"/>
  <c r="BL63" i="3" s="1"/>
  <c r="J47" i="3"/>
  <c r="AE86" i="3" s="1"/>
  <c r="AQ86" i="3" s="1"/>
  <c r="J52" i="3"/>
  <c r="AS51" i="3" s="1"/>
  <c r="BL59" i="3" s="1"/>
  <c r="L66" i="3"/>
  <c r="N24" i="3"/>
  <c r="O28" i="3"/>
  <c r="M66" i="3"/>
  <c r="N65" i="3"/>
  <c r="M65" i="3"/>
  <c r="J63" i="3"/>
  <c r="AS62" i="3" s="1"/>
  <c r="BL58" i="3" s="1"/>
  <c r="BS60" i="3" s="1"/>
  <c r="BZ64" i="3" s="1"/>
  <c r="J65" i="3"/>
  <c r="AE89" i="3" s="1"/>
  <c r="AQ89" i="3" s="1"/>
  <c r="L23" i="3"/>
  <c r="L48" i="3"/>
  <c r="O34" i="3"/>
  <c r="J70" i="3"/>
  <c r="AS69" i="3" s="1"/>
  <c r="BL26" i="3" s="1"/>
  <c r="L36" i="3"/>
  <c r="L29" i="3"/>
  <c r="N64" i="3"/>
  <c r="N29" i="3"/>
  <c r="J24" i="3"/>
  <c r="O54" i="3"/>
  <c r="L40" i="3"/>
  <c r="J66" i="3"/>
  <c r="N30" i="3"/>
  <c r="N28" i="3"/>
  <c r="M28" i="3"/>
  <c r="M30" i="3"/>
  <c r="M48" i="3"/>
  <c r="M24" i="3"/>
  <c r="M47" i="3"/>
  <c r="P47" i="3" s="1"/>
  <c r="L28" i="3"/>
  <c r="L24" i="3"/>
  <c r="M46" i="3"/>
  <c r="J22" i="3"/>
  <c r="AS21" i="3" s="1"/>
  <c r="BL23" i="3" s="1"/>
  <c r="K59" i="3"/>
  <c r="N77" i="3"/>
  <c r="N71" i="3"/>
  <c r="O48" i="3"/>
  <c r="M33" i="3"/>
  <c r="M27" i="3"/>
  <c r="J40" i="3"/>
  <c r="AS39" i="3" s="1"/>
  <c r="BL43" i="3" s="1"/>
  <c r="J64" i="3"/>
  <c r="AS63" i="3" s="1"/>
  <c r="BL31" i="3" s="1"/>
  <c r="L30" i="3"/>
  <c r="O30" i="3"/>
  <c r="O29" i="3"/>
  <c r="O64" i="3"/>
  <c r="J72" i="3"/>
  <c r="M35" i="3"/>
  <c r="L71" i="3"/>
  <c r="L64" i="3"/>
  <c r="O33" i="3"/>
  <c r="M29" i="3"/>
  <c r="O66" i="3"/>
  <c r="N66" i="3"/>
  <c r="O27" i="3"/>
  <c r="L22" i="3"/>
  <c r="O21" i="3"/>
  <c r="O65" i="3"/>
  <c r="L27" i="3"/>
  <c r="L21" i="3"/>
  <c r="L65" i="3"/>
  <c r="J21" i="3"/>
  <c r="AS20" i="3" s="1"/>
  <c r="BL42" i="3" s="1"/>
  <c r="BS44" i="3" s="1"/>
  <c r="BZ48" i="3" s="1"/>
  <c r="M77" i="3"/>
  <c r="M64" i="3"/>
  <c r="J77" i="3"/>
  <c r="AE91" i="3" s="1"/>
  <c r="AQ91" i="3" s="1"/>
  <c r="O77" i="3"/>
  <c r="N47" i="3"/>
  <c r="M12" i="3"/>
  <c r="P12" i="3" s="1"/>
  <c r="O46" i="3"/>
  <c r="M40" i="3"/>
  <c r="J42" i="3"/>
  <c r="J30" i="3"/>
  <c r="N16" i="3"/>
  <c r="N53" i="3"/>
  <c r="O72" i="3"/>
  <c r="O70" i="3"/>
  <c r="N72" i="3"/>
  <c r="N70" i="3"/>
  <c r="J48" i="3"/>
  <c r="L42" i="3"/>
  <c r="M41" i="3"/>
  <c r="L46" i="3"/>
  <c r="M42" i="3"/>
  <c r="L39" i="3"/>
  <c r="N48" i="3"/>
  <c r="O40" i="3"/>
  <c r="M72" i="3"/>
  <c r="M70" i="3"/>
  <c r="L72" i="3"/>
  <c r="L70" i="3"/>
  <c r="N46" i="3"/>
  <c r="N40" i="3"/>
  <c r="P57" i="3"/>
  <c r="L77" i="3"/>
  <c r="O71" i="3"/>
  <c r="L54" i="3"/>
  <c r="P54" i="3" s="1"/>
  <c r="M51" i="3"/>
  <c r="O47" i="3"/>
  <c r="O39" i="3"/>
  <c r="N39" i="3"/>
  <c r="O22" i="3"/>
  <c r="M17" i="3"/>
  <c r="O17" i="3"/>
  <c r="J11" i="3"/>
  <c r="AE80" i="3" s="1"/>
  <c r="AQ80" i="3" s="1"/>
  <c r="M39" i="3"/>
  <c r="J39" i="3"/>
  <c r="AS38" i="3" s="1"/>
  <c r="BL22" i="3" s="1"/>
  <c r="J71" i="3"/>
  <c r="AE90" i="3" s="1"/>
  <c r="AQ90" i="3" s="1"/>
  <c r="O42" i="3"/>
  <c r="K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P15" i="3" s="1"/>
  <c r="O15" i="3"/>
  <c r="J15" i="3"/>
  <c r="AS14" i="3" s="1"/>
  <c r="BL66" i="3" s="1"/>
  <c r="P69" i="3"/>
  <c r="K69" i="3"/>
  <c r="K45" i="3"/>
  <c r="P45" i="3"/>
  <c r="P18" i="3"/>
  <c r="K18" i="3"/>
  <c r="AF83" i="3" l="1"/>
  <c r="BS36" i="3"/>
  <c r="AG83" i="3"/>
  <c r="K51" i="3"/>
  <c r="S97" i="3"/>
  <c r="T97" i="3" s="1" a="1"/>
  <c r="T97" i="3" s="1"/>
  <c r="BZ32" i="3"/>
  <c r="AH83" i="3"/>
  <c r="S88" i="3"/>
  <c r="T88" i="3" s="1" a="1"/>
  <c r="T88" i="3" s="1"/>
  <c r="BS20" i="3"/>
  <c r="P22" i="3"/>
  <c r="AL83" i="3"/>
  <c r="AJ83" i="3"/>
  <c r="AI83" i="3"/>
  <c r="AN83" i="3"/>
  <c r="AT83" i="3"/>
  <c r="P78" i="3"/>
  <c r="K63" i="3"/>
  <c r="P63" i="3"/>
  <c r="K11" i="3"/>
  <c r="P11" i="3"/>
  <c r="K78" i="3"/>
  <c r="P29" i="3"/>
  <c r="K16" i="3"/>
  <c r="P41" i="3"/>
  <c r="K29" i="3"/>
  <c r="P9" i="3"/>
  <c r="S86" i="3"/>
  <c r="T86" i="3" s="1" a="1"/>
  <c r="T86" i="3" s="1"/>
  <c r="BS28" i="3"/>
  <c r="S89" i="3"/>
  <c r="T89" i="3" s="1" a="1"/>
  <c r="T89" i="3" s="1"/>
  <c r="BS21" i="3"/>
  <c r="AG85" i="3"/>
  <c r="AF85" i="3"/>
  <c r="P17" i="3"/>
  <c r="P46" i="3"/>
  <c r="K10" i="3"/>
  <c r="P75" i="3"/>
  <c r="K34" i="3"/>
  <c r="AL84" i="3"/>
  <c r="P23" i="3"/>
  <c r="AF84" i="3"/>
  <c r="P64" i="3"/>
  <c r="P27" i="3"/>
  <c r="AI84" i="3"/>
  <c r="K35" i="3"/>
  <c r="K48" i="3"/>
  <c r="AT87" i="3"/>
  <c r="AJ84" i="3"/>
  <c r="AH84" i="3"/>
  <c r="AG84" i="3"/>
  <c r="K66" i="3"/>
  <c r="K30" i="3"/>
  <c r="K9" i="3"/>
  <c r="P48" i="3"/>
  <c r="AT85" i="3"/>
  <c r="AL85" i="3"/>
  <c r="K28" i="3"/>
  <c r="P16" i="3"/>
  <c r="AG82" i="3"/>
  <c r="AF82" i="3"/>
  <c r="AI85" i="3"/>
  <c r="AJ87" i="3"/>
  <c r="AH87" i="3"/>
  <c r="AJ85" i="3"/>
  <c r="AH85" i="3"/>
  <c r="P72" i="3"/>
  <c r="P71" i="3"/>
  <c r="P24" i="3"/>
  <c r="AN85" i="3"/>
  <c r="AN80" i="3"/>
  <c r="AI90" i="3"/>
  <c r="K76" i="3"/>
  <c r="K33" i="3"/>
  <c r="AL90" i="3"/>
  <c r="AJ80" i="3"/>
  <c r="P34" i="3"/>
  <c r="AL80" i="3"/>
  <c r="K75" i="3"/>
  <c r="K65" i="3"/>
  <c r="AI80" i="3"/>
  <c r="AH80" i="3"/>
  <c r="AG80" i="3"/>
  <c r="P28" i="3"/>
  <c r="AL86" i="3"/>
  <c r="P35" i="3"/>
  <c r="P21" i="3"/>
  <c r="P10" i="3"/>
  <c r="AJ86" i="3"/>
  <c r="AL91" i="3"/>
  <c r="AT80" i="3"/>
  <c r="AT90" i="3"/>
  <c r="P30" i="3"/>
  <c r="AJ91" i="3"/>
  <c r="K17" i="3"/>
  <c r="AT84" i="3"/>
  <c r="AN84" i="3"/>
  <c r="AN90" i="3"/>
  <c r="K70" i="3"/>
  <c r="P40" i="3"/>
  <c r="AG87" i="3"/>
  <c r="AG90" i="3"/>
  <c r="AI82" i="3"/>
  <c r="AT86" i="3"/>
  <c r="AF87" i="3"/>
  <c r="AH82" i="3"/>
  <c r="AN86" i="3"/>
  <c r="K12" i="3"/>
  <c r="AG86" i="3"/>
  <c r="P65" i="3"/>
  <c r="K27" i="3"/>
  <c r="P66" i="3"/>
  <c r="K64" i="3"/>
  <c r="AT89" i="3"/>
  <c r="AF80" i="3"/>
  <c r="K46" i="3"/>
  <c r="AF91" i="3"/>
  <c r="AH90" i="3"/>
  <c r="AI86" i="3"/>
  <c r="AH86" i="3"/>
  <c r="P53" i="3"/>
  <c r="K42" i="3"/>
  <c r="AI91" i="3"/>
  <c r="K47" i="3"/>
  <c r="K15" i="3"/>
  <c r="P36" i="3"/>
  <c r="P77" i="3"/>
  <c r="K71" i="3"/>
  <c r="AF86" i="3"/>
  <c r="AH91" i="3"/>
  <c r="K72" i="3"/>
  <c r="AG91" i="3"/>
  <c r="K54" i="3"/>
  <c r="P70" i="3"/>
  <c r="K23" i="3"/>
  <c r="K24" i="3"/>
  <c r="K21" i="3"/>
  <c r="AJ81" i="3"/>
  <c r="AI81" i="3"/>
  <c r="AJ90" i="3"/>
  <c r="K40" i="3"/>
  <c r="AL81" i="3"/>
  <c r="AN89" i="3"/>
  <c r="P42" i="3"/>
  <c r="P33" i="3"/>
  <c r="AF89" i="3"/>
  <c r="K77" i="3"/>
  <c r="K41" i="3"/>
  <c r="K39" i="3"/>
  <c r="K22" i="3"/>
  <c r="P51" i="3"/>
  <c r="AJ89" i="3"/>
  <c r="AI89" i="3"/>
  <c r="AH89" i="3"/>
  <c r="K36" i="3"/>
  <c r="AT81" i="3"/>
  <c r="AN81" i="3"/>
  <c r="AG81" i="3"/>
  <c r="AL89" i="3"/>
  <c r="AT82" i="3"/>
  <c r="K53" i="3"/>
  <c r="AT91" i="3"/>
  <c r="AH81" i="3"/>
  <c r="AF81" i="3"/>
  <c r="AG89" i="3"/>
  <c r="AN82" i="3"/>
  <c r="AJ82" i="3"/>
  <c r="AN91" i="3"/>
  <c r="P52" i="3"/>
  <c r="P39" i="3"/>
  <c r="AN87" i="3"/>
  <c r="AF90" i="3"/>
  <c r="AL87" i="3"/>
  <c r="AL82" i="3"/>
  <c r="AI87" i="3"/>
  <c r="K52" i="3"/>
  <c r="S103" i="3" l="1"/>
  <c r="T103" i="3" s="1" a="1"/>
  <c r="T103" i="3" s="1"/>
  <c r="CG24" i="3"/>
  <c r="S111" i="3" s="1"/>
  <c r="T111" i="3" s="1"/>
  <c r="S98" i="3"/>
  <c r="T98" i="3" s="1" a="1"/>
  <c r="T98" i="3" s="1"/>
  <c r="BZ33" i="3"/>
  <c r="U103" i="3" s="1"/>
  <c r="AC103" i="3" s="1" a="1"/>
  <c r="AC103" i="3" s="1"/>
  <c r="BZ17" i="3"/>
  <c r="U102" i="3" s="1"/>
  <c r="AC102" i="3" s="1" a="1"/>
  <c r="AC102" i="3" s="1"/>
  <c r="S96" i="3"/>
  <c r="T96" i="3" s="1" a="1"/>
  <c r="T96" i="3" s="1"/>
  <c r="AF92" i="3"/>
  <c r="AN92" i="3"/>
  <c r="AS92" i="3"/>
  <c r="AH92" i="3"/>
  <c r="AG92" i="3"/>
  <c r="AJ92" i="3"/>
  <c r="AI92" i="3"/>
  <c r="AL92" i="3"/>
  <c r="AM88" i="3" s="1"/>
  <c r="AM84" i="3" l="1"/>
  <c r="AM85" i="3"/>
  <c r="AM86" i="3"/>
  <c r="AM89" i="3"/>
  <c r="AM87" i="3"/>
  <c r="AM91" i="3"/>
  <c r="AM81" i="3"/>
  <c r="AM80" i="3"/>
  <c r="AM82" i="3"/>
  <c r="AM90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85" i="3"/>
  <c r="AP91" i="3"/>
  <c r="AP83" i="3"/>
  <c r="AP82" i="3"/>
  <c r="AP88" i="3"/>
  <c r="AP90" i="3"/>
  <c r="AP89" i="3"/>
  <c r="AP86" i="3"/>
  <c r="AD86" i="3" s="1"/>
  <c r="AS86" i="3" s="1"/>
  <c r="AP84" i="3"/>
  <c r="AP81" i="3"/>
  <c r="AD81" i="3" s="1"/>
  <c r="AS81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CN37" i="3" l="1"/>
  <c r="CK68" i="3" s="1"/>
  <c r="CN48" i="3"/>
  <c r="AD85" i="3"/>
  <c r="AS85" i="3" s="1"/>
  <c r="AD89" i="3"/>
  <c r="AS89" i="3" s="1"/>
  <c r="AD87" i="3"/>
  <c r="AS87" i="3" s="1"/>
  <c r="AD80" i="3"/>
  <c r="M90" i="3" s="1"/>
  <c r="N91" i="3" l="1"/>
  <c r="O85" i="3"/>
  <c r="L85" i="3"/>
  <c r="M81" i="3"/>
  <c r="O81" i="3"/>
  <c r="J81" i="3"/>
  <c r="L82" i="3"/>
  <c r="N87" i="3"/>
  <c r="M83" i="3"/>
  <c r="L81" i="3"/>
  <c r="P81" i="3" s="1"/>
  <c r="J88" i="3"/>
  <c r="N81" i="3"/>
  <c r="K81" i="3" s="1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6" i="3"/>
  <c r="N82" i="3"/>
  <c r="L91" i="3"/>
  <c r="J89" i="3"/>
  <c r="M92" i="3"/>
  <c r="M89" i="3"/>
  <c r="K89" i="3" s="1"/>
  <c r="J85" i="3"/>
  <c r="N89" i="3"/>
  <c r="O92" i="3"/>
  <c r="L89" i="3"/>
  <c r="O84" i="3"/>
  <c r="J91" i="3"/>
  <c r="J83" i="3"/>
  <c r="N85" i="3"/>
  <c r="L87" i="3"/>
  <c r="L84" i="3"/>
  <c r="M86" i="3"/>
  <c r="J87" i="3"/>
  <c r="N86" i="3"/>
  <c r="J92" i="3"/>
  <c r="L88" i="3"/>
  <c r="L92" i="3"/>
  <c r="N84" i="3"/>
  <c r="O89" i="3"/>
  <c r="M85" i="3"/>
  <c r="M82" i="3"/>
  <c r="P82" i="3" s="1"/>
  <c r="J90" i="3"/>
  <c r="L90" i="3"/>
  <c r="P90" i="3" s="1"/>
  <c r="J82" i="3"/>
  <c r="L83" i="3"/>
  <c r="N92" i="3"/>
  <c r="O83" i="3"/>
  <c r="M84" i="3"/>
  <c r="AS80" i="3"/>
  <c r="O90" i="3"/>
  <c r="O87" i="3"/>
  <c r="J84" i="3"/>
  <c r="N83" i="3"/>
  <c r="O91" i="3"/>
  <c r="M88" i="3"/>
  <c r="M87" i="3"/>
  <c r="M91" i="3"/>
  <c r="O86" i="3"/>
  <c r="O88" i="3"/>
  <c r="O82" i="3"/>
  <c r="N88" i="3"/>
  <c r="L86" i="3"/>
  <c r="N90" i="3"/>
  <c r="K91" i="3" l="1"/>
  <c r="P89" i="3"/>
  <c r="P83" i="3"/>
  <c r="K82" i="3"/>
  <c r="D3" i="4"/>
  <c r="BL51" i="3" s="1"/>
  <c r="B3" i="4"/>
  <c r="K3" i="4"/>
  <c r="BL55" i="3" s="1"/>
  <c r="G3" i="4"/>
  <c r="BL11" i="3" s="1"/>
  <c r="J3" i="4"/>
  <c r="BL71" i="3" s="1"/>
  <c r="I3" i="4"/>
  <c r="BL15" i="3" s="1"/>
  <c r="P92" i="3"/>
  <c r="K87" i="3"/>
  <c r="H3" i="4"/>
  <c r="BL39" i="3" s="1"/>
  <c r="K85" i="3"/>
  <c r="E3" i="4"/>
  <c r="BL67" i="3" s="1"/>
  <c r="P84" i="3"/>
  <c r="K92" i="3"/>
  <c r="K84" i="3"/>
  <c r="P86" i="3"/>
  <c r="P88" i="3"/>
  <c r="K86" i="3"/>
  <c r="P85" i="3"/>
  <c r="K83" i="3"/>
  <c r="K90" i="3"/>
  <c r="P87" i="3"/>
  <c r="K88" i="3"/>
  <c r="P91" i="3"/>
  <c r="BS53" i="3"/>
  <c r="BS52" i="3"/>
  <c r="BZ49" i="3" s="1"/>
  <c r="CG55" i="3" s="1"/>
  <c r="CN49" i="3" s="1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<sst xmlns="http://schemas.openxmlformats.org/spreadsheetml/2006/main" count="9785" uniqueCount="3699">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</sst>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F1" zoomScale="70" zoomScaleNormal="70" workbookViewId="0">
      <selection activeCell="CT29" sqref="CT29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2</v>
      </c>
      <c r="AL8" s="123">
        <f>AI8-AJ8</f>
        <v>4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90000009.746872261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10000000.143572008</v>
      </c>
      <c r="AQ9" s="126">
        <f>VLOOKUP(AE9,db_fifarank,2,FALSE)</f>
        <v>1429.73</v>
      </c>
      <c r="AR9" s="125">
        <f>AP9/AP12</f>
        <v>0.11111109943861351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4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40000005.016667351</v>
      </c>
      <c r="AQ10" s="126">
        <f>VLOOKUP(AE10,db_fifarank,2,FALSE)</f>
        <v>1588.66</v>
      </c>
      <c r="AR10" s="125">
        <f>AP10/AP12</f>
        <v>0.44444444711421832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4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4000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4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30000005.016623706</v>
      </c>
      <c r="AQ11" s="126">
        <f>VLOOKUP(AE11,db_fifarank,2,FALSE)</f>
        <v>1501.38</v>
      </c>
      <c r="AR11" s="125">
        <f>AP11/AP12</f>
        <v>0.33333334927036423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Morocco</v>
      </c>
      <c r="BM11" s="62">
        <v>2</v>
      </c>
      <c r="BN11" s="64"/>
      <c r="BO11" s="27"/>
      <c r="BP11" s="113">
        <f>IF(BP10="","",BM11*1000+BN11*10+BO11)</f>
        <v>2000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90000010.746872261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1</v>
      </c>
      <c r="V13" s="123">
        <f t="shared" si="3"/>
        <v>3</v>
      </c>
      <c r="W13" s="123">
        <f t="shared" si="4"/>
        <v>1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7</v>
      </c>
      <c r="AJ14" s="123">
        <f>SUMIF($E$7:$E$78,$AE14,$G$7:$G$78) + SUMIF($H$7:$H$78,$AE14,$F$7:$F$78)</f>
        <v>2</v>
      </c>
      <c r="AL14" s="123">
        <f>AI14-AJ14</f>
        <v>5</v>
      </c>
      <c r="AM14" s="123">
        <f>AL14-AL18</f>
        <v>9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90000009.875778243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6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0.25069291999999999</v>
      </c>
      <c r="AQ15" s="126">
        <f>VLOOKUP(AE15,db_fifarank,2,FALSE)</f>
        <v>1385.84</v>
      </c>
      <c r="AR15" s="125">
        <f>AP15/AP18</f>
        <v>2.7854765522863854E-9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Australia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5</v>
      </c>
      <c r="AL16" s="123">
        <f>AI16-AJ16</f>
        <v>-2</v>
      </c>
      <c r="AM16" s="123">
        <f>AL16-AL18</f>
        <v>2</v>
      </c>
      <c r="AN16" s="123">
        <f>AF16*3+AG16</f>
        <v>3</v>
      </c>
      <c r="AO16" s="123">
        <f>AN16/AN18*10+BA16</f>
        <v>3</v>
      </c>
      <c r="AP16" s="123">
        <f>AO16*10000000+BI16*100+AM16/AM18*10+AI16/AI18*1++IF(AQ16=0,ROW(),AQ16)/2000000</f>
        <v>30000002.375727478</v>
      </c>
      <c r="AQ16" s="126">
        <f>VLOOKUP(AE16,db_fifarank,2,FALSE)</f>
        <v>1454.96</v>
      </c>
      <c r="AR16" s="125">
        <f>AP16/AP18</f>
        <v>0.33333331944964684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0</v>
      </c>
      <c r="AH17" s="123">
        <f>COUNTIF($S$7:$T$78,"=" &amp; AE17 &amp; "_lose")</f>
        <v>1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3</v>
      </c>
      <c r="AL17" s="123">
        <f>AI17-AJ17</f>
        <v>1</v>
      </c>
      <c r="AM17" s="123">
        <f>AL17-AL18</f>
        <v>5</v>
      </c>
      <c r="AN17" s="123">
        <f>AF17*3+AG17</f>
        <v>6</v>
      </c>
      <c r="AO17" s="123">
        <f>AN17/AN18*10+BA17</f>
        <v>6</v>
      </c>
      <c r="AP17" s="123">
        <f>AO17*10000000+BI17*100+AM17/AM18*10+AI17/AI18*1++IF(AQ17=0,ROW(),AQ17)/2000000</f>
        <v>60000005.500824697</v>
      </c>
      <c r="AQ17" s="126">
        <f>VLOOKUP(AE17,db_fifarank,2,FALSE)</f>
        <v>1649.4</v>
      </c>
      <c r="AR17" s="125">
        <f>AP17/AP18</f>
        <v>0.66666664722562308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8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90000010.875778243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3</v>
      </c>
      <c r="AL20" s="123">
        <f>AI20-AJ20</f>
        <v>5</v>
      </c>
      <c r="AM20" s="123">
        <f>AL20-AL24</f>
        <v>12</v>
      </c>
      <c r="AN20" s="123">
        <f>AF20*3+AG20</f>
        <v>6</v>
      </c>
      <c r="AO20" s="123">
        <f>AN20/AN24*10+BA20</f>
        <v>9.5694618741688355</v>
      </c>
      <c r="AP20" s="123">
        <f>AO20*10000000+BI20*100+AM20/AM24*10+AI20/AI24*1++IF(AQ20=0,ROW(),AQ20)/2000000</f>
        <v>95694628.862227067</v>
      </c>
      <c r="AQ20" s="126">
        <f>VLOOKUP(AE20,db_fifarank,2,FALSE)</f>
        <v>1761.16</v>
      </c>
      <c r="AR20" s="125">
        <f>AP20/AP24</f>
        <v>0.99999998955009284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1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4</v>
      </c>
      <c r="AW20" s="126" cm="1">
        <f t="array" ref="AW20">SUMPRODUCT(($E$7:$E$78=AE20)*($U$7:$U$78)*($G$7:$G$78))+SUMPRODUCT(($H$7:$H$78=AE20)*($U$7:$U$78)*($F$7:$F$78))</f>
        <v>3</v>
      </c>
      <c r="AX20" s="126">
        <f>AV20-AW20</f>
        <v>1</v>
      </c>
      <c r="AY20" s="126">
        <f>AX20-MIN(AX20:AX23)</f>
        <v>2</v>
      </c>
      <c r="AZ20" s="126">
        <f>AT20/AT24*1000+AU20/AU24*100+AY20/AY24*10+AV20/AV24</f>
        <v>507.4666666666667</v>
      </c>
      <c r="BA20" s="126">
        <f>AZ20/AZ24</f>
        <v>0.9980333027402648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Switzerland</v>
      </c>
      <c r="BT20" s="61">
        <v>2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2000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0</v>
      </c>
      <c r="N21" s="31">
        <f>VLOOKUP(1,AD20:AN23,5,FALSE)</f>
        <v>1</v>
      </c>
      <c r="O21" s="31" t="str">
        <f>VLOOKUP(1,AD20:AN23,6,FALSE) &amp; " - " &amp; VLOOKUP(1,AD20:AN23,7,FALSE)</f>
        <v>8 - 3</v>
      </c>
      <c r="P21" s="32">
        <f>L21*3+M21</f>
        <v>6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1</v>
      </c>
      <c r="V21" s="123">
        <f t="shared" si="3"/>
        <v>1</v>
      </c>
      <c r="W21" s="123">
        <f t="shared" si="4"/>
        <v>2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5</v>
      </c>
      <c r="AL21" s="123">
        <f>AI21-AJ21</f>
        <v>0</v>
      </c>
      <c r="AM21" s="123">
        <f>AL21-AL24</f>
        <v>7</v>
      </c>
      <c r="AN21" s="123">
        <f>AF21*3+AG21</f>
        <v>6</v>
      </c>
      <c r="AO21" s="123">
        <f>AN21/AN24*10+BA21</f>
        <v>9.5559572196519884</v>
      </c>
      <c r="AP21" s="123">
        <f>AO21*10000000+BI21*100+AM21/AM24*10+AI21/AI24*1++IF(AQ21=0,ROW(),AQ21)/2000000</f>
        <v>95559578.137568757</v>
      </c>
      <c r="AQ21" s="126">
        <f>VLOOKUP(AE21,db_fifarank,2,FALSE)</f>
        <v>1755.87</v>
      </c>
      <c r="AR21" s="125">
        <f>AP21/AP24</f>
        <v>0.99858872201237681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1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3</v>
      </c>
      <c r="AW21" s="126" cm="1">
        <f t="array" ref="AW21">SUMPRODUCT(($E$7:$E$78=AE21)*($U$7:$U$78)*($G$7:$G$78))+SUMPRODUCT(($H$7:$H$78=AE21)*($U$7:$U$78)*($F$7:$F$78))</f>
        <v>4</v>
      </c>
      <c r="AX21" s="126">
        <f>AV21-AW21</f>
        <v>-1</v>
      </c>
      <c r="AY21" s="126">
        <f>AX21-MIN(AX20:AX23)</f>
        <v>0</v>
      </c>
      <c r="AZ21" s="126">
        <f>AT21/AT24*1000+AU21/AU24*100+AY21/AY24*10+AV21/AV24</f>
        <v>500.6</v>
      </c>
      <c r="BA21" s="126">
        <f>AZ21/AZ24</f>
        <v>0.98452864822341679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Netherlands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6.5556575324505042E-3</v>
      </c>
      <c r="AP22" s="123">
        <f>AO22*10000000+BI22*100+AM22/AM24*10+AI22/AI24*1++IF(AQ22=0,ROW(),AQ22)/2000000</f>
        <v>65556.687081471158</v>
      </c>
      <c r="AQ22" s="126">
        <f>VLOOKUP(AE22,db_fifarank,2,FALSE)</f>
        <v>1291.71</v>
      </c>
      <c r="AR22" s="125">
        <f>AP22/AP24</f>
        <v>6.8506129524565859E-4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1</v>
      </c>
      <c r="AZ22" s="126">
        <f>AT22/AT24*1000+AU22/AU24*100+AY22/AY24*10+AV22/AV24</f>
        <v>3.333333333333333</v>
      </c>
      <c r="BA22" s="126">
        <f>AZ22/AZ24</f>
        <v>6.5556575324505042E-3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2</v>
      </c>
      <c r="M23" s="23">
        <f>VLOOKUP(3,AD20:AN23,4,FALSE)</f>
        <v>0</v>
      </c>
      <c r="N23" s="23">
        <f>VLOOKUP(3,AD20:AN23,5,FALSE)</f>
        <v>1</v>
      </c>
      <c r="O23" s="23" t="str">
        <f>VLOOKUP(3,AD20:AN23,6,FALSE) &amp; " - " &amp; VLOOKUP(3,AD20:AN23,7,FALSE)</f>
        <v>5 - 5</v>
      </c>
      <c r="P23" s="34">
        <f>L23*3+M23</f>
        <v>6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2</v>
      </c>
      <c r="AG23" s="123">
        <f>COUNTIF($S$7:$T$78,"=" &amp; AE23 &amp; "_draw")</f>
        <v>0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3</v>
      </c>
      <c r="AL23" s="123">
        <f>AI23-AJ23</f>
        <v>2</v>
      </c>
      <c r="AM23" s="123">
        <f>AL23-AL24</f>
        <v>9</v>
      </c>
      <c r="AN23" s="123">
        <f>AF23*3+AG23</f>
        <v>6</v>
      </c>
      <c r="AO23" s="123">
        <f>AN23/AN24*10+BA23</f>
        <v>9.5625128771844388</v>
      </c>
      <c r="AP23" s="123">
        <f>AO23*10000000+BI23*100+AM23/AM24*10+AI23/AI24*1++IF(AQ23=0,ROW(),AQ23)/2000000</f>
        <v>95625136.251226038</v>
      </c>
      <c r="AQ23" s="126">
        <f>VLOOKUP(AE23,db_fifarank,2,FALSE)</f>
        <v>1498.35</v>
      </c>
      <c r="AR23" s="125">
        <f>AP23/AP24</f>
        <v>0.99927379821520723</v>
      </c>
      <c r="AT23" s="126" cm="1">
        <f t="array" ref="AT23">SUMPRODUCT(($S$7:$S$78=AE23&amp;"_win")*($U$7:$U$78))+SUMPRODUCT(($T$7:$T$78=AE23&amp;"_win")*($U$7:$U$78))</f>
        <v>1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3</v>
      </c>
      <c r="AW23" s="126" cm="1">
        <f t="array" ref="AW23">SUMPRODUCT(($E$7:$E$78=AE23)*($U$7:$U$78)*($G$7:$G$78))+SUMPRODUCT(($H$7:$H$78=AE23)*($U$7:$U$78)*($F$7:$F$78))</f>
        <v>3</v>
      </c>
      <c r="AX23" s="126">
        <f>AV23-AW23</f>
        <v>0</v>
      </c>
      <c r="AY23" s="126">
        <f>AX23-MIN(AX20:AX23)</f>
        <v>1</v>
      </c>
      <c r="AZ23" s="126">
        <f>AT23/AT24*1000+AU23/AU24*100+AY23/AY24*10+AV23/AV24</f>
        <v>503.93333333333334</v>
      </c>
      <c r="BA23" s="126">
        <f>AZ23/AZ24</f>
        <v>0.99108430575586726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Scotland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>
        <v>1</v>
      </c>
      <c r="CJ23" s="25"/>
      <c r="CK23" s="112">
        <f>IF(OR(CH23="",CH24="",AND(CI23="",CI24&lt;&gt;""),AND(CI24="",CI23&lt;&gt;""),AND(CJ23="",CJ24&lt;&gt;""),AND(CJ24="",CJ23&lt;&gt;"")),"",CH23*1000+CI23*10+CJ23)</f>
        <v>1010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1</v>
      </c>
      <c r="V24" s="123">
        <f t="shared" si="3"/>
        <v>0</v>
      </c>
      <c r="W24" s="123">
        <f t="shared" si="4"/>
        <v>2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9</v>
      </c>
      <c r="AL24" s="123">
        <f>MIN(AL20:AL23)</f>
        <v>-7</v>
      </c>
      <c r="AM24" s="123">
        <f>MAX(AM20:AM23)+1</f>
        <v>13</v>
      </c>
      <c r="AN24" s="123">
        <f>MAX(AN20:AN23)+1</f>
        <v>7</v>
      </c>
      <c r="AO24" s="123">
        <f>MAX(AO20:AO23)+1</f>
        <v>10.569461874168836</v>
      </c>
      <c r="AP24" s="123">
        <f>MAX(AP20:AP23)+1</f>
        <v>95694629.862227067</v>
      </c>
      <c r="AT24" s="126">
        <f>MAX(AT20:AT23)-MIN(AT20:AT23)+1</f>
        <v>2</v>
      </c>
      <c r="AU24" s="126">
        <f>MAX(AU20:AU23)-MIN(AU20:AU23)+1</f>
        <v>1</v>
      </c>
      <c r="AV24" s="126">
        <f>MAX(AV20:AV23)-MIN(AV20:AV23)+1</f>
        <v>5</v>
      </c>
      <c r="AW24" s="126">
        <f>MAX(AW20:AW23)-MIN(AW20:AW23)+1</f>
        <v>5</v>
      </c>
      <c r="AY24" s="126">
        <f>MAX(AY20:AY23)-MIN(AY20:AY23)+1</f>
        <v>3</v>
      </c>
      <c r="AZ24" s="126">
        <f>MAX(AZ20:AZ23)+1</f>
        <v>508.4666666666667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>
        <v>2</v>
      </c>
      <c r="CJ24" s="27"/>
      <c r="CK24" s="113">
        <f>IF(CK23="","",CH24*1000+CI24*10+CJ24)</f>
        <v>1020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4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87500008.834169894</v>
      </c>
      <c r="AQ26" s="126">
        <f>VLOOKUP(AE26,db_fifarank,2,FALSE)</f>
        <v>1673.13</v>
      </c>
      <c r="AR26" s="125">
        <f>AP26/AP30</f>
        <v>0.99999998857142991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1</v>
      </c>
      <c r="V27" s="123">
        <f t="shared" si="3"/>
        <v>1</v>
      </c>
      <c r="W27" s="123">
        <f t="shared" si="4"/>
        <v>2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5</v>
      </c>
      <c r="AL27" s="123">
        <f>AI27-AJ27</f>
        <v>-2</v>
      </c>
      <c r="AM27" s="123">
        <f>AL27-AL30</f>
        <v>0</v>
      </c>
      <c r="AN27" s="123">
        <f>AF27*3+AG27</f>
        <v>2</v>
      </c>
      <c r="AO27" s="123">
        <f>AN27/AN30*10+BA27</f>
        <v>2.5</v>
      </c>
      <c r="AP27" s="123">
        <f>AO27*10000000+BI27*100+AM27/AM30*10+AI27/AI30*1++IF(AQ27=0,ROW(),AQ27)/2000000</f>
        <v>25000000.500751749</v>
      </c>
      <c r="AQ27" s="126">
        <f>VLOOKUP(AE27,db_fifarank,2,FALSE)</f>
        <v>1503.5</v>
      </c>
      <c r="AR27" s="125">
        <f>AP27/AP30</f>
        <v>0.28571425932559064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5</v>
      </c>
      <c r="AL28" s="123">
        <f>AI28-AJ28</f>
        <v>-1</v>
      </c>
      <c r="AM28" s="123">
        <f>AL28-AL30</f>
        <v>1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37500002.667456999</v>
      </c>
      <c r="AQ28" s="126">
        <f>VLOOKUP(AE28,db_fifarank,2,FALSE)</f>
        <v>1580.67</v>
      </c>
      <c r="AR28" s="125">
        <f>AP28/AP30</f>
        <v>0.42857141088929068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3</v>
      </c>
      <c r="AL29" s="123">
        <f>AI29-AJ29</f>
        <v>1</v>
      </c>
      <c r="AM29" s="123">
        <f>AL29-AL30</f>
        <v>3</v>
      </c>
      <c r="AN29" s="123">
        <f>AF29*3+AG29</f>
        <v>4</v>
      </c>
      <c r="AO29" s="123">
        <f>AN29/AN30*10+BA29</f>
        <v>5</v>
      </c>
      <c r="AP29" s="123">
        <f>AO29*10000000+BI29*100+AM29/AM30*10+AI29/AI30*1++IF(AQ29=0,ROW(),AQ29)/2000000</f>
        <v>50000006.667466186</v>
      </c>
      <c r="AQ29" s="126">
        <f>VLOOKUP(AE29,db_fifarank,2,FALSE)</f>
        <v>1599.04</v>
      </c>
      <c r="AR29" s="125">
        <f>AP29/AP30</f>
        <v>0.57142858340503333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3 - 5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6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9.75</v>
      </c>
      <c r="AP30" s="123">
        <f>MAX(AP26:AP29)+1</f>
        <v>87500009.834169894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90000010.20919852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0.125647325</v>
      </c>
      <c r="AQ33" s="126">
        <f>VLOOKUP(AE33,db_fifarank,2,FALSE)</f>
        <v>1294.6500000000001</v>
      </c>
      <c r="AR33" s="125">
        <f>AP33/AP36</f>
        <v>1.3960812150116502E-9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United States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4</v>
      </c>
      <c r="AL34" s="123">
        <f>AI34-AJ34</f>
        <v>-1</v>
      </c>
      <c r="AM34" s="123">
        <f>AL34-AL36</f>
        <v>7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30000005.042433158</v>
      </c>
      <c r="AQ34" s="126">
        <f>VLOOKUP(AE34,db_fifarank,2,FALSE)</f>
        <v>1532.98</v>
      </c>
      <c r="AR34" s="125">
        <f>AP34/AP36</f>
        <v>0.33333334784481655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3 - 4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60000007.959130727</v>
      </c>
      <c r="AQ35" s="126">
        <f>VLOOKUP(AE35,db_fifarank,2,FALSE)</f>
        <v>1594.78</v>
      </c>
      <c r="AR35" s="125">
        <f>AP35/AP36</f>
        <v>0.66666667207035168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Qatar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1 - 9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1</v>
      </c>
      <c r="V36" s="123">
        <f t="shared" si="3"/>
        <v>1</v>
      </c>
      <c r="W36" s="123">
        <f t="shared" si="4"/>
        <v>2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-8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90000011.20919852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7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90000009.608021781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5</v>
      </c>
      <c r="AL39" s="123">
        <f>AI39-AJ39</f>
        <v>0</v>
      </c>
      <c r="AM39" s="123">
        <f>AL39-AL42</f>
        <v>3</v>
      </c>
      <c r="AN39" s="123">
        <f>AF39*3+AG39</f>
        <v>4</v>
      </c>
      <c r="AO39" s="123">
        <f>AN39/AN42*10+BA39</f>
        <v>4</v>
      </c>
      <c r="AP39" s="123">
        <f>AO39*10000000+BI39*100+AM39/AM42*10+AI39/AI42*1++IF(AQ39=0,ROW(),AQ39)/2000000</f>
        <v>40000004.465115935</v>
      </c>
      <c r="AQ39" s="126">
        <f>VLOOKUP(AE39,db_fifarank,2,FALSE)</f>
        <v>1660.43</v>
      </c>
      <c r="AR39" s="125">
        <f>AP39/AP42</f>
        <v>0.44444444167155128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2</v>
      </c>
      <c r="BN39" s="64"/>
      <c r="BO39" s="27"/>
      <c r="BP39" s="112">
        <f>IF(BP38="","",BM39*1000+BN39*10+BO39)</f>
        <v>2000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5 - 5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2</v>
      </c>
      <c r="AN40" s="123">
        <f>AF40*3+AG40</f>
        <v>2</v>
      </c>
      <c r="AO40" s="123">
        <f>AN40/AN42*10+BA40</f>
        <v>2</v>
      </c>
      <c r="AP40" s="123">
        <f>AO40*10000000+BI40*100+AM40/AM42*10+AI40/AI42*1++IF(AQ40=0,ROW(),AQ40)/2000000</f>
        <v>20000003.072185956</v>
      </c>
      <c r="AQ40" s="126">
        <f>VLOOKUP(AE40,db_fifarank,2,FALSE)</f>
        <v>1514.77</v>
      </c>
      <c r="AR40" s="125">
        <f>AP40/AP42</f>
        <v>0.22222223016497442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</v>
      </c>
      <c r="AP41" s="123">
        <f>AO41*10000000+BI41*100+AM41/AM42*10+AI41/AI42*1++IF(AQ41=0,ROW(),AQ41)/2000000</f>
        <v>10000000.28645581</v>
      </c>
      <c r="AQ41" s="126">
        <f>VLOOKUP(AE41,db_fifarank,2,FALSE)</f>
        <v>1483.05</v>
      </c>
      <c r="AR41" s="125">
        <f>AP41/AP42</f>
        <v>0.11111110119763143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7</v>
      </c>
      <c r="AL42" s="123">
        <f>MIN(AL38:AL41)</f>
        <v>-3</v>
      </c>
      <c r="AM42" s="123">
        <f>MAX(AM38:AM41)+1</f>
        <v>8</v>
      </c>
      <c r="AN42" s="123">
        <f>MAX(AN38:AN41)+1</f>
        <v>10</v>
      </c>
      <c r="AO42" s="123">
        <f>MAX(AO38:AO41)+1</f>
        <v>10</v>
      </c>
      <c r="AP42" s="123">
        <f>MAX(AP38:AP41)+1</f>
        <v>90000010.608021781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0</v>
      </c>
      <c r="AL44" s="123">
        <f>AI44-AJ44</f>
        <v>7</v>
      </c>
      <c r="AM44" s="123">
        <f>AL44-AL48</f>
        <v>11</v>
      </c>
      <c r="AN44" s="123">
        <f>AF44*3+AG44</f>
        <v>9</v>
      </c>
      <c r="AO44" s="123">
        <f>AN44/AN48*10+BA44</f>
        <v>9.0049086982132334</v>
      </c>
      <c r="AP44" s="123">
        <f>AO44*10000000+BI44*100+AM44/AM48*10+AI44/AI48*1++IF(AQ44=0,ROW(),AQ44)/2000000</f>
        <v>90049097.809493035</v>
      </c>
      <c r="AQ44" s="126">
        <f>VLOOKUP(AE44,db_fifarank,2,FALSE)</f>
        <v>1734.71</v>
      </c>
      <c r="AR44" s="125">
        <f>AP44/AP48</f>
        <v>0.99999998889494712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1</v>
      </c>
      <c r="AZ44" s="126">
        <f>AT44/AT48*1000+AU44/AU48*100+AY44/AY48*10+AV44/AV48</f>
        <v>2.5</v>
      </c>
      <c r="BA44" s="126">
        <f>AZ44/AZ48</f>
        <v>4.9086982132338502E-3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2</v>
      </c>
      <c r="BH44" s="126">
        <f>BB44/BB48*1000+BC44/BC48*100+BG44/BG48*10+BD44/BD48</f>
        <v>4</v>
      </c>
      <c r="BI44" s="126">
        <f>BH44/BH48</f>
        <v>7.8482668410725966E-3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7 - 0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5</v>
      </c>
      <c r="AL45" s="123">
        <f>AI45-AJ45</f>
        <v>-3</v>
      </c>
      <c r="AM45" s="123">
        <f>AL45-AL48</f>
        <v>1</v>
      </c>
      <c r="AN45" s="123">
        <f>AF45*3+AG45</f>
        <v>3</v>
      </c>
      <c r="AO45" s="123">
        <f>AN45/AN48*10+BA45</f>
        <v>3.9825250343608873</v>
      </c>
      <c r="AP45" s="123">
        <f>AO45*10000000+BI45*100+AM45/AM48*10+AI45/AI48*1++IF(AQ45=0,ROW(),AQ45)/2000000</f>
        <v>39825351.231517151</v>
      </c>
      <c r="AQ45" s="126">
        <f>VLOOKUP(AE45,db_fifarank,2,FALSE)</f>
        <v>1563.24</v>
      </c>
      <c r="AR45" s="125">
        <f>AP45/AP48</f>
        <v>0.44226262958801243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1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3</v>
      </c>
      <c r="AX45" s="126">
        <f>AV45-AW45</f>
        <v>-1</v>
      </c>
      <c r="AY45" s="126">
        <f>AX45-MIN(AX44:AX47)</f>
        <v>0</v>
      </c>
      <c r="AZ45" s="126">
        <f>AT45/AT48*1000+AU45/AU48*100+AY45/AY48*10+AV45/AV48</f>
        <v>500.4</v>
      </c>
      <c r="BA45" s="126">
        <f>AZ45/AZ48</f>
        <v>0.98252503436088745</v>
      </c>
      <c r="BB45" s="126" cm="1">
        <f t="array" ref="BB45">SUMPRODUCT(($S$7:$S$78=AE45&amp;"_win")*($X$7:$X$78))+SUMPRODUCT(($T$7:$T$78=AE45&amp;"_win")*($X$7:$X$78))</f>
        <v>1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2</v>
      </c>
      <c r="BG45" s="126">
        <f>BF45-MIN(BF44:BF47)</f>
        <v>4</v>
      </c>
      <c r="BH45" s="126">
        <f>BB45/BB48*1000+BC45/BC48*100+BG45/BG48*10+BD45/BD48</f>
        <v>508.66666666666669</v>
      </c>
      <c r="BI45" s="126">
        <f>BH45/BH48</f>
        <v>0.99803793328973189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0</v>
      </c>
      <c r="N46" s="23">
        <f>VLOOKUP(2,AD44:AN47,5,FALSE)</f>
        <v>2</v>
      </c>
      <c r="O46" s="23" t="str">
        <f>VLOOKUP(2,AD44:AN47,6,FALSE) &amp; " - " &amp; VLOOKUP(2,AD44:AN47,7,FALSE)</f>
        <v>4 - 4</v>
      </c>
      <c r="P46" s="34">
        <f>L46*3+M46</f>
        <v>3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1</v>
      </c>
      <c r="V46" s="123">
        <f t="shared" si="3"/>
        <v>0</v>
      </c>
      <c r="W46" s="123">
        <f t="shared" si="4"/>
        <v>2</v>
      </c>
      <c r="X46" s="123">
        <f t="shared" si="9"/>
        <v>1</v>
      </c>
      <c r="Y46" s="123">
        <f t="shared" si="10"/>
        <v>0</v>
      </c>
      <c r="Z46" s="123">
        <f t="shared" si="11"/>
        <v>2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4</v>
      </c>
      <c r="AL46" s="123">
        <f>AI46-AJ46</f>
        <v>0</v>
      </c>
      <c r="AM46" s="123">
        <f>AL46-AL48</f>
        <v>4</v>
      </c>
      <c r="AN46" s="123">
        <f>AF46*3+AG46</f>
        <v>3</v>
      </c>
      <c r="AO46" s="123">
        <f>AN46/AN48*10+BA46</f>
        <v>3.9980365207147064</v>
      </c>
      <c r="AP46" s="123">
        <f>AO46*10000000+BI46*100+AM46/AM48*10+AI46/AI48*1++IF(AQ46=0,ROW(),AQ46)/2000000</f>
        <v>39980369.826114729</v>
      </c>
      <c r="AQ46" s="126">
        <f>VLOOKUP(AE46,db_fifarank,2,FALSE)</f>
        <v>1615.3</v>
      </c>
      <c r="AR46" s="125">
        <f>AP46/AP48</f>
        <v>0.44398411927138542</v>
      </c>
      <c r="AT46" s="126" cm="1">
        <f t="array" ref="AT46">SUMPRODUCT(($S$7:$S$78=AE46&amp;"_win")*($U$7:$U$78))+SUMPRODUCT(($T$7:$T$78=AE46&amp;"_win")*($U$7:$U$78))</f>
        <v>1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4</v>
      </c>
      <c r="AW46" s="126" cm="1">
        <f t="array" ref="AW46">SUMPRODUCT(($E$7:$E$78=AE46)*($U$7:$U$78)*($G$7:$G$78))+SUMPRODUCT(($H$7:$H$78=AE46)*($U$7:$U$78)*($F$7:$F$78))</f>
        <v>2</v>
      </c>
      <c r="AX46" s="126">
        <f>AV46-AW46</f>
        <v>2</v>
      </c>
      <c r="AY46" s="126">
        <f>AX46-MIN(AX44:AX47)</f>
        <v>3</v>
      </c>
      <c r="AZ46" s="126">
        <f>AT46/AT48*1000+AU46/AU48*100+AY46/AY48*10+AV46/AV48</f>
        <v>508.3</v>
      </c>
      <c r="BA46" s="126">
        <f>AZ46/AZ48</f>
        <v>0.9980365207147065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2</v>
      </c>
      <c r="BH46" s="126">
        <f>BB46/BB48*1000+BC46/BC48*100+BG46/BG48*10+BD46/BD48</f>
        <v>4</v>
      </c>
      <c r="BI46" s="126">
        <f>BH46/BH48</f>
        <v>7.8482668410725966E-3</v>
      </c>
      <c r="BK46" s="141">
        <v>78</v>
      </c>
      <c r="BL46" s="24" t="str">
        <f>AS33</f>
        <v>Ecuador</v>
      </c>
      <c r="BM46" s="61">
        <v>2</v>
      </c>
      <c r="BN46" s="63">
        <v>0</v>
      </c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2 - 5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2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6</v>
      </c>
      <c r="AL47" s="123">
        <f>AI47-AJ47</f>
        <v>-4</v>
      </c>
      <c r="AM47" s="123">
        <f>AL47-AL48</f>
        <v>0</v>
      </c>
      <c r="AN47" s="123">
        <f>AF47*3+AG47</f>
        <v>3</v>
      </c>
      <c r="AO47" s="123">
        <f>AN47/AN48*10+BA47</f>
        <v>3.9825250343608873</v>
      </c>
      <c r="AP47" s="123">
        <f>AO47*10000000+BI47*100+AM47/AM48*10+AI47/AI48*1++IF(AQ47=0,ROW(),AQ47)/2000000</f>
        <v>39825250.594249658</v>
      </c>
      <c r="AQ47" s="126">
        <f>VLOOKUP(AE47,db_fifarank,2,FALSE)</f>
        <v>1281.57</v>
      </c>
      <c r="AR47" s="125">
        <f>AP47/AP48</f>
        <v>0.4422615120058398</v>
      </c>
      <c r="AT47" s="126" cm="1">
        <f t="array" ref="AT47">SUMPRODUCT(($S$7:$S$78=AE47&amp;"_win")*($U$7:$U$78))+SUMPRODUCT(($T$7:$T$78=AE47&amp;"_win")*($U$7:$U$78))</f>
        <v>1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3</v>
      </c>
      <c r="AX47" s="126">
        <f>AV47-AW47</f>
        <v>-1</v>
      </c>
      <c r="AY47" s="126">
        <f>AX47-MIN(AX44:AX47)</f>
        <v>0</v>
      </c>
      <c r="AZ47" s="126">
        <f>AT47/AT48*1000+AU47/AU48*100+AY47/AY48*10+AV47/AV48</f>
        <v>500.4</v>
      </c>
      <c r="BA47" s="126">
        <f>AZ47/AZ48</f>
        <v>0.98252503436088745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2</v>
      </c>
      <c r="BF47" s="126">
        <f>BD47-BE47</f>
        <v>-2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>
        <v>1</v>
      </c>
      <c r="BO47" s="27"/>
      <c r="BP47" s="112">
        <f>IF(BP46="","",BM47*1000+BN47*10+BO47)</f>
        <v>2010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1</v>
      </c>
      <c r="M48" s="36">
        <f>VLOOKUP(4,AD44:AN47,4,FALSE)</f>
        <v>0</v>
      </c>
      <c r="N48" s="36">
        <f>VLOOKUP(4,AD44:AN47,5,FALSE)</f>
        <v>2</v>
      </c>
      <c r="O48" s="36" t="str">
        <f>VLOOKUP(4,AD44:AN47,6,FALSE) &amp; " - " &amp; VLOOKUP(4,AD44:AN47,7,FALSE)</f>
        <v>2 - 6</v>
      </c>
      <c r="P48" s="37">
        <f>L48*3+M48</f>
        <v>3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8</v>
      </c>
      <c r="AL48" s="123">
        <f>MIN(AL44:AL47)</f>
        <v>-4</v>
      </c>
      <c r="AM48" s="123">
        <f>MAX(AM44:AM47)+1</f>
        <v>12</v>
      </c>
      <c r="AN48" s="123">
        <f>MAX(AN44:AN47)+1</f>
        <v>10</v>
      </c>
      <c r="AO48" s="123">
        <f>MAX(AO44:AO47)+1</f>
        <v>10.004908698213233</v>
      </c>
      <c r="AP48" s="123">
        <f>MAX(AP44:AP47)+1</f>
        <v>90049098.809493035</v>
      </c>
      <c r="AT48" s="126">
        <f>MAX(AT44:AT47)-MIN(AT44:AT47)+1</f>
        <v>2</v>
      </c>
      <c r="AU48" s="126">
        <f>MAX(AU44:AU47)-MIN(AU44:AU47)+1</f>
        <v>1</v>
      </c>
      <c r="AV48" s="126">
        <f>MAX(AV44:AV47)-MIN(AV44:AV47)+1</f>
        <v>5</v>
      </c>
      <c r="AW48" s="126">
        <f>MAX(AW44:AW47)-MIN(AW44:AW47)+1</f>
        <v>4</v>
      </c>
      <c r="AY48" s="126">
        <f>MAX(AY44:AY47)-MIN(AY44:AY47)+1</f>
        <v>4</v>
      </c>
      <c r="AZ48" s="126">
        <f>MAX(AZ44:AZ47)+1</f>
        <v>509.3</v>
      </c>
      <c r="BB48" s="126">
        <f>MAX(BB44:BB47)-MIN(BB44:BB47)+1</f>
        <v>2</v>
      </c>
      <c r="BC48" s="126">
        <f>MAX(BC44:BC47)-MIN(BC44:BC47)+1</f>
        <v>1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5</v>
      </c>
      <c r="BH48" s="126">
        <f>MAX(BH44:BH47)+1</f>
        <v>509.66666666666669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4</v>
      </c>
      <c r="CB49" s="64"/>
      <c r="CC49" s="27"/>
      <c r="CD49" s="113">
        <f>IF(CD48="","",CA49*1000+CB49*10+CC49)</f>
        <v>4000</v>
      </c>
      <c r="CK49" s="114"/>
      <c r="CL49" s="115"/>
      <c r="CM49" s="14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8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0.20068306500000002</v>
      </c>
      <c r="AQ51" s="126">
        <f>VLOOKUP(AE51,db_fifarank,2,FALSE)</f>
        <v>1366.13</v>
      </c>
      <c r="AR51" s="125">
        <f>AP51/AP54</f>
        <v>2.2298115561763668E-9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6 - 5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1</v>
      </c>
      <c r="V52" s="123">
        <f t="shared" si="21"/>
        <v>0</v>
      </c>
      <c r="W52" s="123">
        <f t="shared" si="22"/>
        <v>2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6</v>
      </c>
      <c r="AL52" s="123">
        <f>AI52-AJ52</f>
        <v>-2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30000003.257853571</v>
      </c>
      <c r="AQ52" s="126">
        <f>VLOOKUP(AE52,db_fifarank,2,FALSE)</f>
        <v>1421.43</v>
      </c>
      <c r="AR52" s="125">
        <f>AP52/AP54</f>
        <v>0.33333332809966071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5</v>
      </c>
      <c r="AL53" s="123">
        <f>AI53-AJ53</f>
        <v>1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60000005.600836538</v>
      </c>
      <c r="AQ53" s="126">
        <f>VLOOKUP(AE53,db_fifarank,2,FALSE)</f>
        <v>1673.07</v>
      </c>
      <c r="AR53" s="125">
        <f>AP53/AP54</f>
        <v>0.66666664603409376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2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Scotland_win</v>
      </c>
      <c r="T55" s="127" t="str">
        <f t="shared" si="20"/>
        <v>Brazil_lose</v>
      </c>
      <c r="U55" s="123">
        <f t="shared" si="8"/>
        <v>1</v>
      </c>
      <c r="V55" s="123">
        <f t="shared" si="21"/>
        <v>2</v>
      </c>
      <c r="W55" s="123">
        <f t="shared" si="22"/>
        <v>1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1</v>
      </c>
      <c r="BK55" s="142"/>
      <c r="BL55" s="26" t="str">
        <f>IF(group_round_completed,VLOOKUP('3rd places'!K3,AK80:AS91,9,FALSE),"3rd Group E/H/I/J/K")</f>
        <v>Senegal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1</v>
      </c>
      <c r="AL56" s="123">
        <f>AI56-AJ56</f>
        <v>7</v>
      </c>
      <c r="AM56" s="123">
        <f>AL56-AL60</f>
        <v>10</v>
      </c>
      <c r="AN56" s="123">
        <f>AF56*3+AG56</f>
        <v>9</v>
      </c>
      <c r="AO56" s="123">
        <f>AN56/AN60*10+BA56</f>
        <v>9.0065563022455333</v>
      </c>
      <c r="AP56" s="123">
        <f>AO56*10000000+BI56*100+AM56/AM60*10+AI56/AI60*1++IF(AQ56=0,ROW(),AQ56)/2000000</f>
        <v>90065573.003191978</v>
      </c>
      <c r="AQ56" s="126">
        <f>VLOOKUP(AE56,db_fifarank,2,FALSE)</f>
        <v>1877.32</v>
      </c>
      <c r="AR56" s="125">
        <f>AP56/AP60</f>
        <v>0.9999999888969785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1</v>
      </c>
      <c r="AZ56" s="126">
        <f>AT56/AT60*1000+AU56/AU60*100+AY56/AY60*10+AV56/AV60</f>
        <v>3.333333333333333</v>
      </c>
      <c r="BA56" s="126">
        <f>AZ56/AZ60</f>
        <v>6.556302245533518E-3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0</v>
      </c>
      <c r="G57" s="20">
        <v>3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6</v>
      </c>
      <c r="AL57" s="123">
        <f>AI57-AJ57</f>
        <v>-2</v>
      </c>
      <c r="AM57" s="123">
        <f>AL57-AL60</f>
        <v>1</v>
      </c>
      <c r="AN57" s="123">
        <f>AF57*3+AG57</f>
        <v>3</v>
      </c>
      <c r="AO57" s="123">
        <f>AN57/AN60*10+BA57</f>
        <v>3.9914768070808062</v>
      </c>
      <c r="AP57" s="123">
        <f>AO57*10000000+BI57*100+AM57/AM60*10+AI57/AI60*1++IF(AQ57=0,ROW(),AQ57)/2000000</f>
        <v>39914769.425187908</v>
      </c>
      <c r="AQ57" s="126">
        <f>VLOOKUP(AE57,db_fifarank,2,FALSE)</f>
        <v>1688.99</v>
      </c>
      <c r="AR57" s="125">
        <f>AP57/AP60</f>
        <v>0.44317454107130105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1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3</v>
      </c>
      <c r="AW57" s="126" cm="1">
        <f t="array" ref="AW57">SUMPRODUCT(($E$7:$E$78=AE57)*($U$7:$U$78)*($G$7:$G$78))+SUMPRODUCT(($H$7:$H$78=AE57)*($U$7:$U$78)*($F$7:$F$78))</f>
        <v>3</v>
      </c>
      <c r="AX57" s="126">
        <f>AV57-AW57</f>
        <v>0</v>
      </c>
      <c r="AY57" s="126">
        <f>AX57-MIN(AX56:AX59)</f>
        <v>1</v>
      </c>
      <c r="AZ57" s="126">
        <f>AT57/AT60*1000+AU57/AU60*100+AY57/AY60*10+AV57/AV60</f>
        <v>504.08333333333331</v>
      </c>
      <c r="BA57" s="126">
        <f>AZ57/AZ60</f>
        <v>0.99147680708080632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2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0</v>
      </c>
      <c r="N58" s="23">
        <f>VLOOKUP(2,AD56:AN59,5,FALSE)</f>
        <v>2</v>
      </c>
      <c r="O58" s="23" t="str">
        <f>VLOOKUP(2,AD56:AN59,6,FALSE) &amp; " - " &amp; VLOOKUP(2,AD56:AN59,7,FALSE)</f>
        <v>3 - 5</v>
      </c>
      <c r="P58" s="34">
        <f>L58*3+M58</f>
        <v>3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1</v>
      </c>
      <c r="AG58" s="123">
        <f>COUNTIF($S$7:$T$78,"=" &amp; AE58 &amp; "_draw")</f>
        <v>0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5</v>
      </c>
      <c r="AL58" s="123">
        <f>AI58-AJ58</f>
        <v>-3</v>
      </c>
      <c r="AM58" s="123">
        <f>AL58-AL60</f>
        <v>0</v>
      </c>
      <c r="AN58" s="123">
        <f>AF58*3+AG58</f>
        <v>3</v>
      </c>
      <c r="AO58" s="123">
        <f>AN58/AN60*10+BA58</f>
        <v>3.9844287821668578</v>
      </c>
      <c r="AP58" s="123">
        <f>AO58*10000000+BI58*100+AM58/AM60*10+AI58/AI60*1++IF(AQ58=0,ROW(),AQ58)/2000000</f>
        <v>39844288.044614375</v>
      </c>
      <c r="AQ58" s="126">
        <f>VLOOKUP(AE58,db_fifarank,2,FALSE)</f>
        <v>1447.14</v>
      </c>
      <c r="AR58" s="125">
        <f>AP58/AP60</f>
        <v>0.4423919847910176</v>
      </c>
      <c r="AT58" s="126" cm="1">
        <f t="array" ref="AT58">SUMPRODUCT(($S$7:$S$78=AE58&amp;"_win")*($U$7:$U$78))+SUMPRODUCT(($T$7:$T$78=AE58&amp;"_win")*($U$7:$U$78))</f>
        <v>1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2</v>
      </c>
      <c r="AW58" s="126" cm="1">
        <f t="array" ref="AW58">SUMPRODUCT(($E$7:$E$78=AE58)*($U$7:$U$78)*($G$7:$G$78))+SUMPRODUCT(($H$7:$H$78=AE58)*($U$7:$U$78)*($F$7:$F$78))</f>
        <v>3</v>
      </c>
      <c r="AX58" s="126">
        <f>AV58-AW58</f>
        <v>-1</v>
      </c>
      <c r="AY58" s="126">
        <f>AX58-MIN(AX56:AX59)</f>
        <v>0</v>
      </c>
      <c r="AZ58" s="126">
        <f>AT58/AT60*1000+AU58/AU60*100+AY58/AY60*10+AV58/AV60</f>
        <v>500.5</v>
      </c>
      <c r="BA58" s="126">
        <f>AZ58/AZ60</f>
        <v>0.98442878216685781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5</v>
      </c>
      <c r="AL59" s="123">
        <f>AI59-AJ59</f>
        <v>-2</v>
      </c>
      <c r="AM59" s="123">
        <f>AL59-AL60</f>
        <v>1</v>
      </c>
      <c r="AN59" s="123">
        <f>AF59*3+AG59</f>
        <v>3</v>
      </c>
      <c r="AO59" s="123">
        <f>AN59/AN60*10+BA59</f>
        <v>3.9980331093263399</v>
      </c>
      <c r="AP59" s="123">
        <f>AO59*10000000+BI59*100+AM59/AM60*10+AI59/AI60*1++IF(AQ59=0,ROW(),AQ59)/2000000</f>
        <v>39980332.336463116</v>
      </c>
      <c r="AQ59" s="126">
        <f>VLOOKUP(AE59,db_fifarank,2,FALSE)</f>
        <v>1550.94</v>
      </c>
      <c r="AR59" s="125">
        <f>AP59/AP60</f>
        <v>0.44390248748146754</v>
      </c>
      <c r="AT59" s="126" cm="1">
        <f t="array" ref="AT59">SUMPRODUCT(($S$7:$S$78=AE59&amp;"_win")*($U$7:$U$78))+SUMPRODUCT(($T$7:$T$78=AE59&amp;"_win")*($U$7:$U$78))</f>
        <v>1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3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1</v>
      </c>
      <c r="AY59" s="126">
        <f>AX59-MIN(AX56:AX59)</f>
        <v>2</v>
      </c>
      <c r="AZ59" s="126">
        <f>AT59/AT60*1000+AU59/AU60*100+AY59/AY60*10+AV59/AV60</f>
        <v>507.41666666666669</v>
      </c>
      <c r="BA59" s="126">
        <f>AZ59/AZ60</f>
        <v>0.99803310932633993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1</v>
      </c>
      <c r="M60" s="36">
        <f>VLOOKUP(4,AD56:AN59,4,FALSE)</f>
        <v>0</v>
      </c>
      <c r="N60" s="36">
        <f>VLOOKUP(4,AD56:AN59,5,FALSE)</f>
        <v>2</v>
      </c>
      <c r="O60" s="36" t="str">
        <f>VLOOKUP(4,AD56:AN59,6,FALSE) &amp; " - " &amp; VLOOKUP(4,AD56:AN59,7,FALSE)</f>
        <v>2 - 5</v>
      </c>
      <c r="P60" s="37">
        <f>L60*3+M60</f>
        <v>3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1</v>
      </c>
      <c r="AH60" s="123">
        <f t="shared" si="27"/>
        <v>3</v>
      </c>
      <c r="AI60" s="123">
        <f>MAX(AI56:AI59)+1</f>
        <v>9</v>
      </c>
      <c r="AL60" s="123">
        <f>MIN(AL56:AL59)</f>
        <v>-3</v>
      </c>
      <c r="AM60" s="123">
        <f>MAX(AM56:AM59)+1</f>
        <v>11</v>
      </c>
      <c r="AN60" s="123">
        <f>MAX(AN56:AN59)+1</f>
        <v>10</v>
      </c>
      <c r="AO60" s="123">
        <f>MAX(AO56:AO59)+1</f>
        <v>10.006556302245533</v>
      </c>
      <c r="AP60" s="123">
        <f>MAX(AP56:AP59)+1</f>
        <v>90065574.003191978</v>
      </c>
      <c r="AT60" s="126">
        <f>MAX(AT56:AT59)-MIN(AT56:AT59)+1</f>
        <v>2</v>
      </c>
      <c r="AU60" s="126">
        <f>MAX(AU56:AU59)-MIN(AU56:AU59)+1</f>
        <v>1</v>
      </c>
      <c r="AV60" s="126">
        <f>MAX(AV56:AV59)-MIN(AV56:AV59)+1</f>
        <v>4</v>
      </c>
      <c r="AW60" s="126">
        <f>MAX(AW56:AW59)-MIN(AW56:AW59)+1</f>
        <v>4</v>
      </c>
      <c r="AY60" s="126">
        <f>MAX(AY56:AY59)-MIN(AY56:AY59)+1</f>
        <v>3</v>
      </c>
      <c r="AZ60" s="126">
        <f>MAX(AZ56:AZ59)+1</f>
        <v>508.41666666666669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9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87500009.875937417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0</v>
      </c>
      <c r="AN63" s="123">
        <f>AF63*3+AG63</f>
        <v>3</v>
      </c>
      <c r="AO63" s="123">
        <f>AN63/AN66*10+BA63</f>
        <v>3.75</v>
      </c>
      <c r="AP63" s="123">
        <f>AO63*10000000+BI63*100+AM63/AM66*10+AI63/AI66*1++IF(AQ63=0,ROW(),AQ63)/2000000</f>
        <v>37500000.250782132</v>
      </c>
      <c r="AQ63" s="126">
        <f>VLOOKUP(AE63,db_fifarank,2,FALSE)</f>
        <v>1564.26</v>
      </c>
      <c r="AR63" s="125">
        <f>AP63/AP66</f>
        <v>0.42857137816761881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3</v>
      </c>
      <c r="AN64" s="123">
        <f>AF64*3+AG64</f>
        <v>6</v>
      </c>
      <c r="AO64" s="123">
        <f>AN64/AN66*10+BA64</f>
        <v>7.5</v>
      </c>
      <c r="AP64" s="123">
        <f>AO64*10000000+BI64*100+AM64/AM66*10+AI64/AI66*1++IF(AQ64=0,ROW(),AQ64)/2000000</f>
        <v>75000003.50079672</v>
      </c>
      <c r="AQ64" s="126">
        <f>VLOOKUP(AE64,db_fifarank,2,FALSE)</f>
        <v>1593.45</v>
      </c>
      <c r="AR64" s="125">
        <f>AP64/AP66</f>
        <v>0.85714279061217569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5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1.25</v>
      </c>
      <c r="AP65" s="123">
        <f>AO65*10000000+BI65*100+AM65/AM66*10+AI65/AI66*1++IF(AQ65=0,ROW(),AQ65)/2000000</f>
        <v>12500000.250695726</v>
      </c>
      <c r="AQ65" s="126">
        <f>VLOOKUP(AE65,db_fifarank,2,FALSE)</f>
        <v>1391.45</v>
      </c>
      <c r="AR65" s="125">
        <f>AP65/AP66</f>
        <v>0.14285712796560621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3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3</v>
      </c>
      <c r="AG66" s="123">
        <f t="shared" si="28"/>
        <v>2</v>
      </c>
      <c r="AH66" s="123">
        <f t="shared" si="28"/>
        <v>3</v>
      </c>
      <c r="AI66" s="123">
        <f>MAX(AI62:AI65)+1</f>
        <v>8</v>
      </c>
      <c r="AL66" s="123">
        <f>MIN(AL62:AL65)</f>
        <v>-3</v>
      </c>
      <c r="AM66" s="123">
        <f>MAX(AM62:AM65)+1</f>
        <v>10</v>
      </c>
      <c r="AN66" s="123">
        <f>MAX(AN62:AN65)+1</f>
        <v>8</v>
      </c>
      <c r="AO66" s="123">
        <f>MAX(AO62:AO65)+1</f>
        <v>9.75</v>
      </c>
      <c r="AP66" s="123">
        <f>MAX(AP62:AP65)+1</f>
        <v>87500010.875937417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Canada</v>
      </c>
      <c r="BM66" s="61">
        <v>3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3000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Ivory Coast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2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Senegal_lose</v>
      </c>
      <c r="T68" s="127" t="str">
        <f t="shared" si="20"/>
        <v>Iraq_win</v>
      </c>
      <c r="U68" s="123">
        <f t="shared" si="8"/>
        <v>1</v>
      </c>
      <c r="V68" s="123">
        <f t="shared" si="21"/>
        <v>1</v>
      </c>
      <c r="W68" s="123">
        <f t="shared" si="22"/>
        <v>2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-1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12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90000010.106651142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3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Egypt_lose</v>
      </c>
      <c r="T69" s="127" t="str">
        <f t="shared" si="20"/>
        <v>Iran_win</v>
      </c>
      <c r="U69" s="123">
        <f t="shared" si="8"/>
        <v>1</v>
      </c>
      <c r="V69" s="123">
        <f t="shared" si="21"/>
        <v>0</v>
      </c>
      <c r="W69" s="123">
        <f t="shared" si="22"/>
        <v>3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-1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19805923.426710051</v>
      </c>
      <c r="AQ69" s="126">
        <f>VLOOKUP(AE69,db_fifarank,2,FALSE)</f>
        <v>1478.35</v>
      </c>
      <c r="AR69" s="125">
        <f>AP69/AP72</f>
        <v>0.22006578869462343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5</v>
      </c>
      <c r="AL70" s="123">
        <f>AI70-AJ70</f>
        <v>-2</v>
      </c>
      <c r="AM70" s="123">
        <f>AL70-AL72</f>
        <v>4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19805926.753626622</v>
      </c>
      <c r="AQ70" s="126">
        <f>VLOOKUP(AE70,db_fifarank,2,FALSE)</f>
        <v>1465.34</v>
      </c>
      <c r="AR70" s="125">
        <f>AP70/AP72</f>
        <v>0.22006582566035854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3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3 - 5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60000006.779692695</v>
      </c>
      <c r="AQ71" s="126">
        <f>VLOOKUP(AE71,db_fifarank,2,FALSE)</f>
        <v>1693.09</v>
      </c>
      <c r="AR71" s="125">
        <f>AP71/AP72</f>
        <v>0.66666665972509642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-6</v>
      </c>
      <c r="AM72" s="123">
        <f>MAX(AM68:AM71)+1</f>
        <v>13</v>
      </c>
      <c r="AN72" s="123">
        <f>MAX(AN68:AN71)+1</f>
        <v>10</v>
      </c>
      <c r="AO72" s="123">
        <f>MAX(AO68:AO71)+1</f>
        <v>10</v>
      </c>
      <c r="AP72" s="123">
        <f>MAX(AP68:AP71)+1</f>
        <v>90000011.106651142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1</v>
      </c>
      <c r="V74" s="123">
        <f t="shared" si="21"/>
        <v>1</v>
      </c>
      <c r="W74" s="123">
        <f t="shared" si="22"/>
        <v>2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3</v>
      </c>
      <c r="AL74" s="123">
        <f>AI74-AJ74</f>
        <v>3</v>
      </c>
      <c r="AM74" s="123">
        <f>AL74-AL78</f>
        <v>5</v>
      </c>
      <c r="AN74" s="123">
        <f>AF74*3+AG74</f>
        <v>9</v>
      </c>
      <c r="AO74" s="123">
        <f>AN74/AN78*10+BA74</f>
        <v>9.0065563022455333</v>
      </c>
      <c r="AP74" s="123">
        <f>AO74*10000000+BI74*100+AM74/AM78*10+AI74/AI78*1++IF(AQ74=0,ROW(),AQ74)/2000000</f>
        <v>90065572.213844493</v>
      </c>
      <c r="AQ74" s="126">
        <f>VLOOKUP(AE74,db_fifarank,2,FALSE)</f>
        <v>1825.97</v>
      </c>
      <c r="AR74" s="125">
        <f>AP74/AP78</f>
        <v>0.9999999888969785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1</v>
      </c>
      <c r="AZ74" s="126">
        <f>AT74/AT78*1000+AU74/AU78*100+AY74/AY78*10+AV74/AV78</f>
        <v>3.333333333333333</v>
      </c>
      <c r="BA74" s="126">
        <f>AZ74/AZ78</f>
        <v>6.556302245533518E-3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6 - 3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0</v>
      </c>
      <c r="AH75" s="123">
        <f>COUNTIF($S$7:$T$78,"=" &amp; AE75 &amp; "_lose")</f>
        <v>2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4</v>
      </c>
      <c r="AL75" s="123">
        <f>AI75-AJ75</f>
        <v>0</v>
      </c>
      <c r="AM75" s="123">
        <f>AL75-AL78</f>
        <v>2</v>
      </c>
      <c r="AN75" s="123">
        <f>AF75*3+AG75</f>
        <v>3</v>
      </c>
      <c r="AO75" s="123">
        <f>AN75/AN78*10+BA75</f>
        <v>3.9980331093263399</v>
      </c>
      <c r="AP75" s="123">
        <f>AO75*10000000+BI75*100+AM75/AM78*10+AI75/AI78*1++IF(AQ75=0,ROW(),AQ75)/2000000</f>
        <v>39980334.998883851</v>
      </c>
      <c r="AQ75" s="126">
        <f>VLOOKUP(AE75,db_fifarank,2,FALSE)</f>
        <v>1717.07</v>
      </c>
      <c r="AR75" s="125">
        <f>AP75/AP78</f>
        <v>0.4439025209328068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1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3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1</v>
      </c>
      <c r="AY75" s="126">
        <f>AX75-MIN(AX74:AX77)</f>
        <v>2</v>
      </c>
      <c r="AZ75" s="126">
        <f>AT75/AT78*1000+AU75/AU78*100+AY75/AY78*10+AV75/AV78</f>
        <v>507.41666666666669</v>
      </c>
      <c r="BA75" s="126">
        <f>AZ75/AZ78</f>
        <v>0.99803310932633993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1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0</v>
      </c>
      <c r="N76" s="23">
        <f>VLOOKUP(2,AD74:AN77,5,FALSE)</f>
        <v>2</v>
      </c>
      <c r="O76" s="23" t="str">
        <f>VLOOKUP(2,AD74:AN77,6,FALSE) &amp; " - " &amp; VLOOKUP(2,AD74:AN77,7,FALSE)</f>
        <v>4 - 4</v>
      </c>
      <c r="P76" s="34">
        <f>L76*3+M76</f>
        <v>3</v>
      </c>
      <c r="R76" s="123">
        <f>DATE(2026,6,27)+TIME(15,0,0)+gmt_delta</f>
        <v>46201.166666666664</v>
      </c>
      <c r="S76" s="127" t="str">
        <f t="shared" si="19"/>
        <v>Jordan_draw</v>
      </c>
      <c r="T76" s="127" t="str">
        <f t="shared" si="20"/>
        <v>Argentina_draw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0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5</v>
      </c>
      <c r="AL76" s="123">
        <f>AI76-AJ76</f>
        <v>-1</v>
      </c>
      <c r="AM76" s="123">
        <f>AL76-AL78</f>
        <v>1</v>
      </c>
      <c r="AN76" s="123">
        <f>AF76*3+AG76</f>
        <v>3</v>
      </c>
      <c r="AO76" s="123">
        <f>AN76/AN78*10+BA76</f>
        <v>3.9914768070808062</v>
      </c>
      <c r="AP76" s="123">
        <f>AO76*10000000+BI76*100+AM76/AM78*10+AI76/AI78*1++IF(AQ76=0,ROW(),AQ76)/2000000</f>
        <v>39914770.309576452</v>
      </c>
      <c r="AQ76" s="126">
        <f>VLOOKUP(AE76,db_fifarank,2,FALSE)</f>
        <v>1346.31</v>
      </c>
      <c r="AR76" s="125">
        <f>AP76/AP78</f>
        <v>0.44317455477473078</v>
      </c>
      <c r="AT76" s="126" cm="1">
        <f t="array" ref="AT76">SUMPRODUCT(($S$7:$S$78=AE76&amp;"_win")*($U$7:$U$78))+SUMPRODUCT(($T$7:$T$78=AE76&amp;"_win")*($U$7:$U$78))</f>
        <v>1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3</v>
      </c>
      <c r="AW76" s="126" cm="1">
        <f t="array" ref="AW76">SUMPRODUCT(($E$7:$E$78=AE76)*($U$7:$U$78)*($G$7:$G$78))+SUMPRODUCT(($H$7:$H$78=AE76)*($U$7:$U$78)*($F$7:$F$78))</f>
        <v>3</v>
      </c>
      <c r="AX76" s="126">
        <f>AV76-AW76</f>
        <v>0</v>
      </c>
      <c r="AY76" s="126">
        <f>AX76-MIN(AX74:AX77)</f>
        <v>1</v>
      </c>
      <c r="AZ76" s="126">
        <f>AT76/AT78*1000+AU76/AU78*100+AY76/AY78*10+AV76/AV78</f>
        <v>504.08333333333331</v>
      </c>
      <c r="BA76" s="126">
        <f>AZ76/AZ78</f>
        <v>0.99147680708080632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5</v>
      </c>
      <c r="AL77" s="123">
        <f>AI77-AJ77</f>
        <v>-2</v>
      </c>
      <c r="AM77" s="123">
        <f>AL77-AL78</f>
        <v>0</v>
      </c>
      <c r="AN77" s="123">
        <f>AF77*3+AG77</f>
        <v>3</v>
      </c>
      <c r="AO77" s="123">
        <f>AN77/AN78*10+BA77</f>
        <v>3.9844287821668578</v>
      </c>
      <c r="AP77" s="123">
        <f>AO77*10000000+BI77*100+AM77/AM78*10+AI77/AI78*1++IF(AQ77=0,ROW(),AQ77)/2000000</f>
        <v>39844288.251010329</v>
      </c>
      <c r="AQ77" s="126">
        <f>VLOOKUP(AE77,db_fifarank,2,FALSE)</f>
        <v>1540.64</v>
      </c>
      <c r="AR77" s="125">
        <f>AP77/AP78</f>
        <v>0.44239199095982257</v>
      </c>
      <c r="AT77" s="126" cm="1">
        <f t="array" ref="AT77">SUMPRODUCT(($S$7:$S$78=AE77&amp;"_win")*($U$7:$U$78))+SUMPRODUCT(($T$7:$T$78=AE77&amp;"_win")*($U$7:$U$78))</f>
        <v>1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2</v>
      </c>
      <c r="AW77" s="126" cm="1">
        <f t="array" ref="AW77">SUMPRODUCT(($E$7:$E$78=AE77)*($U$7:$U$78)*($G$7:$G$78))+SUMPRODUCT(($H$7:$H$78=AE77)*($U$7:$U$78)*($F$7:$F$78))</f>
        <v>3</v>
      </c>
      <c r="AX77" s="126">
        <f>AV77-AW77</f>
        <v>-1</v>
      </c>
      <c r="AY77" s="126">
        <f>AX77-MIN(AX74:AX77)</f>
        <v>0</v>
      </c>
      <c r="AZ77" s="126">
        <f>AT77/AT78*1000+AU77/AU78*100+AY77/AY78*10+AV77/AV78</f>
        <v>500.5</v>
      </c>
      <c r="BA77" s="126">
        <f>AZ77/AZ78</f>
        <v>0.98442878216685781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1</v>
      </c>
      <c r="M78" s="36">
        <f>VLOOKUP(4,AD74:AN77,4,FALSE)</f>
        <v>0</v>
      </c>
      <c r="N78" s="36">
        <f>VLOOKUP(4,AD74:AN77,5,FALSE)</f>
        <v>2</v>
      </c>
      <c r="O78" s="36" t="str">
        <f>VLOOKUP(4,AD74:AN77,6,FALSE) &amp; " - " &amp; VLOOKUP(4,AD74:AN77,7,FALSE)</f>
        <v>3 - 5</v>
      </c>
      <c r="P78" s="37">
        <f>L78*3+M78</f>
        <v>3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7</v>
      </c>
      <c r="AL78" s="123">
        <f>MIN(AL74:AL77)</f>
        <v>-2</v>
      </c>
      <c r="AM78" s="123">
        <f>MAX(AM74:AM77)+1</f>
        <v>6</v>
      </c>
      <c r="AN78" s="123">
        <f>MAX(AN74:AN77)+1</f>
        <v>10</v>
      </c>
      <c r="AO78" s="123">
        <f>MAX(AO74:AO77)+1</f>
        <v>10.006556302245533</v>
      </c>
      <c r="AP78" s="123">
        <f>MAX(AP74:AP77)+1</f>
        <v>90065573.213844493</v>
      </c>
      <c r="AT78" s="126">
        <f>MAX(AT74:AT77)-MIN(AT74:AT77)+1</f>
        <v>2</v>
      </c>
      <c r="AU78" s="126">
        <f>MAX(AU74:AU77)-MIN(AU74:AU77)+1</f>
        <v>1</v>
      </c>
      <c r="AV78" s="126">
        <f>MAX(AV74:AV77)-MIN(AV74:AV77)+1</f>
        <v>4</v>
      </c>
      <c r="AW78" s="126">
        <f>MAX(AW74:AW77)-MIN(AW74:AW77)+1</f>
        <v>4</v>
      </c>
      <c r="AY78" s="126">
        <f>MAX(AY74:AY77)-MIN(AY74:AY77)+1</f>
        <v>3</v>
      </c>
      <c r="AZ78" s="126">
        <f>MAX(AZ74:AZ77)+1</f>
        <v>508.41666666666669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5102.3817030709524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Morocco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6</v>
      </c>
      <c r="AD81" s="123">
        <f t="shared" ref="AD81:AD91" si="38">COUNTIF($AP$80:$AP$91,CONCATENATE("&gt;=",AP81))</f>
        <v>8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1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4585.7150131942853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4 - 4</v>
      </c>
      <c r="P82" s="101">
        <f t="shared" ref="P82:P92" si="48">L82*3+M82</f>
        <v>3</v>
      </c>
      <c r="AD82" s="123">
        <f t="shared" si="38"/>
        <v>1</v>
      </c>
      <c r="AE82" s="124" t="str">
        <f>J23</f>
        <v>Morocco</v>
      </c>
      <c r="AF82" s="123">
        <f t="shared" si="39"/>
        <v>2</v>
      </c>
      <c r="AG82" s="123">
        <f t="shared" ref="AG82:AG91" si="49">VLOOKUP($AE82,$AE$8:$AQ$78,3,FALSE)</f>
        <v>0</v>
      </c>
      <c r="AH82" s="123">
        <f t="shared" si="40"/>
        <v>1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6</v>
      </c>
      <c r="AP82" s="123">
        <f>AN82/AN92*10000+AM82/AM92*1000+AI82/AI92*100+IF(AQ82=0,ROW(),AQ82)/2000000</f>
        <v>9404.7627826969037</v>
      </c>
      <c r="AQ82" s="126">
        <f t="shared" si="37"/>
        <v>1755.87</v>
      </c>
      <c r="AR82" s="125" t="str">
        <f t="shared" ref="AR82:AR91" si="50">AR81&amp;IF(AD82&lt;=8,RIGHT(AK82,1),"")</f>
        <v>ABC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Ⓓ Australia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4 - 5</v>
      </c>
      <c r="P83" s="101">
        <f t="shared" si="48"/>
        <v>3</v>
      </c>
      <c r="AD83" s="123">
        <f t="shared" si="38"/>
        <v>3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4852.381742715952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Ⓛ Ghana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5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3</v>
      </c>
      <c r="AJ84" s="123">
        <f t="shared" si="42"/>
        <v>4</v>
      </c>
      <c r="AK84" s="123" t="s">
        <v>3185</v>
      </c>
      <c r="AL84" s="123">
        <f t="shared" si="43"/>
        <v>-1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4835.7150522042857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Ⓔ Ivory Coast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Sweden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2</v>
      </c>
      <c r="AP85" s="123">
        <f>AN85/AN92*10000+AM85/AM92*1000+AI85/AI92*100+IF(AQ85=0,ROW(),AQ85)/2000000</f>
        <v>3423.8102811945232</v>
      </c>
      <c r="AQ85" s="126">
        <f t="shared" si="37"/>
        <v>1514.77</v>
      </c>
      <c r="AR85" s="125" t="str">
        <f t="shared" si="50"/>
        <v>ABCDE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10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5</v>
      </c>
      <c r="AK86" s="123" t="s">
        <v>3187</v>
      </c>
      <c r="AL86" s="123">
        <f t="shared" si="43"/>
        <v>-3</v>
      </c>
      <c r="AM86" s="123">
        <f t="shared" si="44"/>
        <v>0</v>
      </c>
      <c r="AN86" s="123">
        <f t="shared" si="45"/>
        <v>3</v>
      </c>
      <c r="AP86" s="123">
        <f>AN86/AN92*10000+AM86/AM92*1000+AI86/AI92*100+IF(AQ86=0,ROW(),AQ86)/2000000</f>
        <v>4319.0484006676188</v>
      </c>
      <c r="AQ86" s="126">
        <f t="shared" si="37"/>
        <v>1563.24</v>
      </c>
      <c r="AR86" s="125" t="str">
        <f t="shared" si="50"/>
        <v>ABCDE</v>
      </c>
      <c r="AS86" s="129" t="str">
        <f t="shared" si="46"/>
        <v/>
      </c>
      <c r="AT86" s="130" t="str">
        <f>"Ⓖ "&amp;AE86</f>
        <v>Ⓖ Egypt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6</v>
      </c>
      <c r="AK87" s="123" t="s">
        <v>3188</v>
      </c>
      <c r="AL87" s="123">
        <f t="shared" si="43"/>
        <v>-2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4602.3816630959527</v>
      </c>
      <c r="AQ87" s="126">
        <f t="shared" si="37"/>
        <v>1421.43</v>
      </c>
      <c r="AR87" s="125" t="str">
        <f t="shared" si="50"/>
        <v>ABCDEH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Ⓑ Qatar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1</v>
      </c>
      <c r="AN88" s="123">
        <f t="shared" si="45"/>
        <v>3</v>
      </c>
      <c r="AP88" s="123">
        <f>AN88/AN92*10000+AM88/AM92*1000+AI88/AI92*100+IF(AQ88=0,ROW(),AQ88)/2000000</f>
        <v>4602.3817968759522</v>
      </c>
      <c r="AQ88" s="126">
        <f t="shared" si="37"/>
        <v>1688.99</v>
      </c>
      <c r="AR88" s="125" t="str">
        <f t="shared" si="50"/>
        <v>ABCDEHI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5</v>
      </c>
      <c r="AK89" s="123" t="s">
        <v>3190</v>
      </c>
      <c r="AL89" s="123">
        <f t="shared" si="43"/>
        <v>-3</v>
      </c>
      <c r="AM89" s="123">
        <f t="shared" si="44"/>
        <v>0</v>
      </c>
      <c r="AN89" s="123">
        <f t="shared" si="45"/>
        <v>3</v>
      </c>
      <c r="AP89" s="123">
        <f>AN89/AN92*10000+AM89/AM92*1000+AI89/AI92*100+IF(AQ89=0,ROW(),AQ89)/2000000</f>
        <v>4319.048401177618</v>
      </c>
      <c r="AQ89" s="126">
        <f t="shared" si="37"/>
        <v>1564.26</v>
      </c>
      <c r="AR89" s="125" t="str">
        <f t="shared" si="50"/>
        <v>ABCDEHI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Egypt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3</v>
      </c>
      <c r="AJ90" s="123">
        <f t="shared" si="42"/>
        <v>5</v>
      </c>
      <c r="AK90" s="123" t="s">
        <v>3191</v>
      </c>
      <c r="AL90" s="123">
        <f t="shared" si="43"/>
        <v>-2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1728.5721612414284</v>
      </c>
      <c r="AQ90" s="126">
        <f t="shared" si="37"/>
        <v>1465.34</v>
      </c>
      <c r="AR90" s="125" t="str">
        <f t="shared" si="50"/>
        <v>ABCDEHI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Sweden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4 - 5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4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5</v>
      </c>
      <c r="AK91" s="123" t="s">
        <v>3192</v>
      </c>
      <c r="AL91" s="123">
        <f>VLOOKUP($AE91,$AE$8:$AQ$78,8,FALSE)</f>
        <v>-1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4852.3816255359525</v>
      </c>
      <c r="AQ91" s="126">
        <f t="shared" si="37"/>
        <v>1346.31</v>
      </c>
      <c r="AR91" s="125" t="str">
        <f t="shared" si="50"/>
        <v>ABCDEHIL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3 - 5</v>
      </c>
      <c r="P92" s="107">
        <f t="shared" si="48"/>
        <v>1</v>
      </c>
      <c r="AF92" s="123">
        <f>MAX(AF80:AF91)+1</f>
        <v>3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-3</v>
      </c>
      <c r="AM92" s="123">
        <f>MAX(AM80:AM91)+1</f>
        <v>4</v>
      </c>
      <c r="AN92" s="123">
        <f>MAX(AN80:AN91)+1</f>
        <v>7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468</v>
      </c>
      <c r="C3" s="121" t="str">
        <f>'2026 World Cup'!AR91</f>
        <v>ABCDEHIL</v>
      </c>
      <c r="D3" s="121" t="str">
        <f>VLOOKUP($C3,$C$6:$K$500,2,FALSE)</f>
        <v>3H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juan carlos smith gonzales</cp:lastModifiedBy>
  <cp:revision/>
  <dcterms:created xsi:type="dcterms:W3CDTF">2017-12-27T19:32:51Z</dcterms:created>
  <dcterms:modified xsi:type="dcterms:W3CDTF">2026-06-06T21:15:41Z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