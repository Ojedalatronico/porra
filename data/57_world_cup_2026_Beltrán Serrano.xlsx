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vonordisk-my.sharepoint.com/personal/vqyg_novonordisk_com/Documents/Escritorio/"/>
    </mc:Choice>
  </mc:AlternateContent>
  <xr:revisionPtr revIDLastSave="157" documentId="8_{0358F7D5-6E65-476C-A7D6-D3DD3C7AD800}" xr6:coauthVersionLast="47" xr6:coauthVersionMax="47" xr10:uidLastSave="{FD4A204B-0F70-49C6-B8DB-BD23DC714F67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S51" i="3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8" i="3"/>
  <c r="T51" i="3"/>
  <c r="S54" i="3"/>
  <c r="S77" i="3"/>
  <c r="T78" i="3"/>
  <c r="S50" i="3"/>
  <c r="S76" i="3"/>
  <c r="S47" i="3"/>
  <c r="S67" i="3"/>
  <c r="T43" i="3"/>
  <c r="S72" i="3"/>
  <c r="S70" i="3"/>
  <c r="T21" i="3"/>
  <c r="S42" i="3"/>
  <c r="S64" i="3"/>
  <c r="S40" i="3"/>
  <c r="S62" i="3"/>
  <c r="S38" i="3"/>
  <c r="S65" i="3"/>
  <c r="S55" i="3"/>
  <c r="S57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 l="1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 l="1"/>
  <c r="AP58" i="3" s="1"/>
  <c r="BI57" i="3"/>
  <c r="AP57" i="3" s="1"/>
  <c r="BI59" i="3"/>
  <c r="AP59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R58" i="3"/>
  <c r="AR59" i="3"/>
  <c r="AR10" i="3"/>
  <c r="AR11" i="3"/>
  <c r="AR9" i="3"/>
  <c r="AR28" i="3"/>
  <c r="AR35" i="3"/>
  <c r="AR33" i="3"/>
  <c r="AR34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9" i="3" l="1"/>
  <c r="AD56" i="3"/>
  <c r="M57" i="3" s="1"/>
  <c r="AD57" i="3"/>
  <c r="AD58" i="3"/>
  <c r="AD10" i="3"/>
  <c r="AD53" i="3"/>
  <c r="AD9" i="3"/>
  <c r="AD11" i="3"/>
  <c r="AD8" i="3"/>
  <c r="AD76" i="3"/>
  <c r="AD34" i="3"/>
  <c r="AD20" i="3"/>
  <c r="AD14" i="3"/>
  <c r="AD32" i="3"/>
  <c r="AD75" i="3"/>
  <c r="AD35" i="3"/>
  <c r="AD28" i="3"/>
  <c r="AD68" i="3"/>
  <c r="L69" i="3" s="1"/>
  <c r="AD41" i="3"/>
  <c r="AD63" i="3"/>
  <c r="AD15" i="3"/>
  <c r="AD22" i="3"/>
  <c r="AD33" i="3"/>
  <c r="AD71" i="3"/>
  <c r="AD29" i="3"/>
  <c r="AD21" i="3"/>
  <c r="AD26" i="3"/>
  <c r="AD62" i="3"/>
  <c r="AD27" i="3"/>
  <c r="AD44" i="3"/>
  <c r="AD77" i="3"/>
  <c r="AD74" i="3"/>
  <c r="AD47" i="3"/>
  <c r="AD70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O45" i="3" l="1"/>
  <c r="O57" i="3"/>
  <c r="M60" i="3"/>
  <c r="L58" i="3"/>
  <c r="O60" i="3"/>
  <c r="L39" i="3"/>
  <c r="N60" i="3"/>
  <c r="J59" i="3"/>
  <c r="AE88" i="3" s="1"/>
  <c r="AQ88" i="3" s="1"/>
  <c r="J57" i="3"/>
  <c r="AS56" i="3" s="1"/>
  <c r="BL14" i="3" s="1"/>
  <c r="M59" i="3"/>
  <c r="L60" i="3"/>
  <c r="O59" i="3"/>
  <c r="M58" i="3"/>
  <c r="J58" i="3"/>
  <c r="AS57" i="3" s="1"/>
  <c r="BL47" i="3" s="1"/>
  <c r="BS45" i="3" s="1"/>
  <c r="J60" i="3"/>
  <c r="L57" i="3"/>
  <c r="N57" i="3"/>
  <c r="O58" i="3"/>
  <c r="N58" i="3"/>
  <c r="N59" i="3"/>
  <c r="L59" i="3"/>
  <c r="J75" i="3"/>
  <c r="AS74" i="3" s="1"/>
  <c r="BL54" i="3" s="1"/>
  <c r="O11" i="3"/>
  <c r="L33" i="3"/>
  <c r="O10" i="3"/>
  <c r="N10" i="3"/>
  <c r="J12" i="3"/>
  <c r="L27" i="3"/>
  <c r="N21" i="3"/>
  <c r="N12" i="3"/>
  <c r="L10" i="3"/>
  <c r="O33" i="3"/>
  <c r="M10" i="3"/>
  <c r="L11" i="3"/>
  <c r="M33" i="3"/>
  <c r="J9" i="3"/>
  <c r="AS8" i="3" s="1"/>
  <c r="BL50" i="3" s="1"/>
  <c r="J11" i="3"/>
  <c r="AE80" i="3" s="1"/>
  <c r="AQ80" i="3" s="1"/>
  <c r="J21" i="3"/>
  <c r="AS20" i="3" s="1"/>
  <c r="BL42" i="3" s="1"/>
  <c r="BS44" i="3" s="1"/>
  <c r="BZ48" i="3" s="1"/>
  <c r="M12" i="3"/>
  <c r="O12" i="3"/>
  <c r="L12" i="3"/>
  <c r="M9" i="3"/>
  <c r="L9" i="3"/>
  <c r="J10" i="3"/>
  <c r="AS9" i="3" s="1"/>
  <c r="BL18" i="3" s="1"/>
  <c r="N9" i="3"/>
  <c r="M11" i="3"/>
  <c r="O9" i="3"/>
  <c r="N11" i="3"/>
  <c r="M21" i="3"/>
  <c r="O21" i="3"/>
  <c r="L21" i="3"/>
  <c r="M45" i="3"/>
  <c r="M16" i="3"/>
  <c r="O47" i="3"/>
  <c r="L16" i="3"/>
  <c r="J33" i="3"/>
  <c r="AS32" i="3" s="1"/>
  <c r="BL10" i="3" s="1"/>
  <c r="N33" i="3"/>
  <c r="O16" i="3"/>
  <c r="N16" i="3"/>
  <c r="J16" i="3"/>
  <c r="AS15" i="3" s="1"/>
  <c r="BL19" i="3" s="1"/>
  <c r="L45" i="3"/>
  <c r="M18" i="3"/>
  <c r="N70" i="3"/>
  <c r="N17" i="3"/>
  <c r="M35" i="3"/>
  <c r="J45" i="3"/>
  <c r="AS44" i="3" s="1"/>
  <c r="BL38" i="3" s="1"/>
  <c r="N65" i="3"/>
  <c r="J71" i="3"/>
  <c r="AE90" i="3" s="1"/>
  <c r="AQ90" i="3" s="1"/>
  <c r="J69" i="3"/>
  <c r="AS68" i="3" s="1"/>
  <c r="BL70" i="3" s="1"/>
  <c r="M69" i="3"/>
  <c r="P69" i="3" s="1"/>
  <c r="J18" i="3"/>
  <c r="O76" i="3"/>
  <c r="O78" i="3"/>
  <c r="N75" i="3"/>
  <c r="O75" i="3"/>
  <c r="O24" i="3"/>
  <c r="L78" i="3"/>
  <c r="L75" i="3"/>
  <c r="J72" i="3"/>
  <c r="O69" i="3"/>
  <c r="N69" i="3"/>
  <c r="J34" i="3"/>
  <c r="AS33" i="3" s="1"/>
  <c r="BL46" i="3" s="1"/>
  <c r="J35" i="3"/>
  <c r="AE84" i="3" s="1"/>
  <c r="AQ84" i="3" s="1"/>
  <c r="M77" i="3"/>
  <c r="J77" i="3"/>
  <c r="AE91" i="3" s="1"/>
  <c r="AQ91" i="3" s="1"/>
  <c r="M65" i="3"/>
  <c r="L77" i="3"/>
  <c r="M47" i="3"/>
  <c r="O77" i="3"/>
  <c r="J76" i="3"/>
  <c r="AS75" i="3" s="1"/>
  <c r="BL27" i="3" s="1"/>
  <c r="L46" i="3"/>
  <c r="J39" i="3"/>
  <c r="AS38" i="3" s="1"/>
  <c r="BL22" i="3" s="1"/>
  <c r="M24" i="3"/>
  <c r="L70" i="3"/>
  <c r="N24" i="3"/>
  <c r="J70" i="3"/>
  <c r="AS69" i="3" s="1"/>
  <c r="BL26" i="3" s="1"/>
  <c r="N34" i="3"/>
  <c r="L24" i="3"/>
  <c r="N36" i="3"/>
  <c r="M22" i="3"/>
  <c r="O29" i="3"/>
  <c r="L18" i="3"/>
  <c r="O40" i="3"/>
  <c r="N39" i="3"/>
  <c r="M34" i="3"/>
  <c r="N18" i="3"/>
  <c r="J29" i="3"/>
  <c r="AE83" i="3" s="1"/>
  <c r="AQ83" i="3" s="1"/>
  <c r="O18" i="3"/>
  <c r="M54" i="3"/>
  <c r="O65" i="3"/>
  <c r="L47" i="3"/>
  <c r="J30" i="3"/>
  <c r="J24" i="3"/>
  <c r="L66" i="3"/>
  <c r="O51" i="3"/>
  <c r="N47" i="3"/>
  <c r="M36" i="3"/>
  <c r="L30" i="3"/>
  <c r="O23" i="3"/>
  <c r="L29" i="3"/>
  <c r="M63" i="3"/>
  <c r="L63" i="3"/>
  <c r="J36" i="3"/>
  <c r="N22" i="3"/>
  <c r="L42" i="3"/>
  <c r="M70" i="3"/>
  <c r="M51" i="3"/>
  <c r="L65" i="3"/>
  <c r="N29" i="3"/>
  <c r="J40" i="3"/>
  <c r="AS39" i="3" s="1"/>
  <c r="BL43" i="3" s="1"/>
  <c r="M41" i="3"/>
  <c r="N46" i="3"/>
  <c r="J27" i="3"/>
  <c r="AS26" i="3" s="1"/>
  <c r="BL34" i="3" s="1"/>
  <c r="N35" i="3"/>
  <c r="O36" i="3"/>
  <c r="J47" i="3"/>
  <c r="AE86" i="3" s="1"/>
  <c r="AQ86" i="3" s="1"/>
  <c r="J48" i="3"/>
  <c r="M30" i="3"/>
  <c r="M78" i="3"/>
  <c r="J65" i="3"/>
  <c r="AE89" i="3" s="1"/>
  <c r="AQ89" i="3" s="1"/>
  <c r="L48" i="3"/>
  <c r="M39" i="3"/>
  <c r="L36" i="3"/>
  <c r="L28" i="3"/>
  <c r="L22" i="3"/>
  <c r="O64" i="3"/>
  <c r="O46" i="3"/>
  <c r="M27" i="3"/>
  <c r="O63" i="3"/>
  <c r="M29" i="3"/>
  <c r="N63" i="3"/>
  <c r="N27" i="3"/>
  <c r="J22" i="3"/>
  <c r="AS21" i="3" s="1"/>
  <c r="BL23" i="3" s="1"/>
  <c r="J51" i="3"/>
  <c r="AS50" i="3" s="1"/>
  <c r="BL30" i="3" s="1"/>
  <c r="L35" i="3"/>
  <c r="O27" i="3"/>
  <c r="N51" i="3"/>
  <c r="J46" i="3"/>
  <c r="AS45" i="3" s="1"/>
  <c r="BL63" i="3" s="1"/>
  <c r="O30" i="3"/>
  <c r="L51" i="3"/>
  <c r="L34" i="3"/>
  <c r="M28" i="3"/>
  <c r="O22" i="3"/>
  <c r="J52" i="3"/>
  <c r="AS51" i="3" s="1"/>
  <c r="BL59" i="3" s="1"/>
  <c r="O35" i="3"/>
  <c r="N48" i="3"/>
  <c r="J63" i="3"/>
  <c r="AS62" i="3" s="1"/>
  <c r="BL58" i="3" s="1"/>
  <c r="BS60" i="3" s="1"/>
  <c r="BZ64" i="3" s="1"/>
  <c r="O39" i="3"/>
  <c r="O34" i="3"/>
  <c r="O28" i="3"/>
  <c r="L23" i="3"/>
  <c r="N78" i="3"/>
  <c r="M48" i="3"/>
  <c r="O48" i="3"/>
  <c r="N40" i="3"/>
  <c r="N64" i="3"/>
  <c r="M64" i="3"/>
  <c r="L64" i="3"/>
  <c r="J41" i="3"/>
  <c r="AE85" i="3" s="1"/>
  <c r="AQ85" i="3" s="1"/>
  <c r="M72" i="3"/>
  <c r="J66" i="3"/>
  <c r="L17" i="3"/>
  <c r="O71" i="3"/>
  <c r="M66" i="3"/>
  <c r="L15" i="3"/>
  <c r="O54" i="3"/>
  <c r="M17" i="3"/>
  <c r="O72" i="3"/>
  <c r="J42" i="3"/>
  <c r="N72" i="3"/>
  <c r="J64" i="3"/>
  <c r="AS63" i="3" s="1"/>
  <c r="BL31" i="3" s="1"/>
  <c r="M42" i="3"/>
  <c r="L76" i="3"/>
  <c r="L72" i="3"/>
  <c r="M76" i="3"/>
  <c r="O66" i="3"/>
  <c r="L54" i="3"/>
  <c r="O17" i="3"/>
  <c r="J78" i="3"/>
  <c r="N71" i="3"/>
  <c r="N66" i="3"/>
  <c r="N52" i="3"/>
  <c r="M46" i="3"/>
  <c r="N76" i="3"/>
  <c r="M71" i="3"/>
  <c r="N45" i="3"/>
  <c r="O42" i="3"/>
  <c r="N30" i="3"/>
  <c r="J28" i="3"/>
  <c r="AS27" i="3" s="1"/>
  <c r="BL62" i="3" s="1"/>
  <c r="BS61" i="3" s="1"/>
  <c r="M75" i="3"/>
  <c r="L71" i="3"/>
  <c r="N54" i="3"/>
  <c r="L40" i="3"/>
  <c r="N28" i="3"/>
  <c r="N77" i="3"/>
  <c r="O70" i="3"/>
  <c r="M40" i="3"/>
  <c r="N53" i="3"/>
  <c r="J54" i="3"/>
  <c r="O52" i="3"/>
  <c r="O41" i="3"/>
  <c r="L41" i="3"/>
  <c r="N23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N42" i="3"/>
  <c r="M15" i="3"/>
  <c r="O15" i="3"/>
  <c r="J15" i="3"/>
  <c r="AS14" i="3" s="1"/>
  <c r="BL66" i="3" s="1"/>
  <c r="P39" i="3" l="1"/>
  <c r="P60" i="3"/>
  <c r="AH88" i="3"/>
  <c r="AG88" i="3"/>
  <c r="P58" i="3"/>
  <c r="K58" i="3"/>
  <c r="P22" i="3"/>
  <c r="K60" i="3"/>
  <c r="AI88" i="3"/>
  <c r="K57" i="3"/>
  <c r="P57" i="3"/>
  <c r="P54" i="3"/>
  <c r="P59" i="3"/>
  <c r="AN88" i="3"/>
  <c r="K59" i="3"/>
  <c r="AL88" i="3"/>
  <c r="AJ88" i="3"/>
  <c r="AT88" i="3"/>
  <c r="AF88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21" i="3"/>
  <c r="P33" i="3"/>
  <c r="K10" i="3"/>
  <c r="P63" i="3"/>
  <c r="P9" i="3"/>
  <c r="K33" i="3"/>
  <c r="P27" i="3"/>
  <c r="P12" i="3"/>
  <c r="K12" i="3"/>
  <c r="AN80" i="3"/>
  <c r="AL80" i="3"/>
  <c r="AT80" i="3"/>
  <c r="AJ80" i="3"/>
  <c r="P10" i="3"/>
  <c r="P11" i="3"/>
  <c r="K9" i="3"/>
  <c r="AI80" i="3"/>
  <c r="AH80" i="3"/>
  <c r="AG80" i="3"/>
  <c r="AF80" i="3"/>
  <c r="K11" i="3"/>
  <c r="P16" i="3"/>
  <c r="K21" i="3"/>
  <c r="AL84" i="3"/>
  <c r="AJ84" i="3"/>
  <c r="P76" i="3"/>
  <c r="P45" i="3"/>
  <c r="AT84" i="3"/>
  <c r="AN84" i="3"/>
  <c r="K16" i="3"/>
  <c r="K45" i="3"/>
  <c r="AI84" i="3"/>
  <c r="AF84" i="3"/>
  <c r="AF90" i="3"/>
  <c r="AG90" i="3"/>
  <c r="P18" i="3"/>
  <c r="AH84" i="3"/>
  <c r="AG84" i="3"/>
  <c r="P41" i="3"/>
  <c r="P77" i="3"/>
  <c r="P34" i="3"/>
  <c r="K69" i="3"/>
  <c r="AJ90" i="3"/>
  <c r="P35" i="3"/>
  <c r="AT90" i="3"/>
  <c r="AN90" i="3"/>
  <c r="AI90" i="3"/>
  <c r="AH90" i="3"/>
  <c r="P75" i="3"/>
  <c r="K75" i="3"/>
  <c r="P70" i="3"/>
  <c r="AF89" i="3"/>
  <c r="AL90" i="3"/>
  <c r="P66" i="3"/>
  <c r="P71" i="3"/>
  <c r="K29" i="3"/>
  <c r="AF91" i="3"/>
  <c r="AG89" i="3"/>
  <c r="AL91" i="3"/>
  <c r="K15" i="3"/>
  <c r="K34" i="3"/>
  <c r="P28" i="3"/>
  <c r="P65" i="3"/>
  <c r="AI91" i="3"/>
  <c r="P51" i="3"/>
  <c r="P47" i="3"/>
  <c r="K18" i="3"/>
  <c r="AJ91" i="3"/>
  <c r="K48" i="3"/>
  <c r="K77" i="3"/>
  <c r="AT82" i="3"/>
  <c r="AH91" i="3"/>
  <c r="AN82" i="3"/>
  <c r="AG91" i="3"/>
  <c r="P24" i="3"/>
  <c r="AL87" i="3"/>
  <c r="K65" i="3"/>
  <c r="P64" i="3"/>
  <c r="AN87" i="3"/>
  <c r="AJ87" i="3"/>
  <c r="K39" i="3"/>
  <c r="P48" i="3"/>
  <c r="K24" i="3"/>
  <c r="AT89" i="3"/>
  <c r="P29" i="3"/>
  <c r="K35" i="3"/>
  <c r="AN89" i="3"/>
  <c r="AL89" i="3"/>
  <c r="K47" i="3"/>
  <c r="AJ89" i="3"/>
  <c r="AT91" i="3"/>
  <c r="P46" i="3"/>
  <c r="AI89" i="3"/>
  <c r="AN91" i="3"/>
  <c r="P23" i="3"/>
  <c r="P36" i="3"/>
  <c r="K66" i="3"/>
  <c r="AH89" i="3"/>
  <c r="K51" i="3"/>
  <c r="AT83" i="3"/>
  <c r="AN83" i="3"/>
  <c r="P15" i="3"/>
  <c r="P52" i="3"/>
  <c r="K28" i="3"/>
  <c r="K78" i="3"/>
  <c r="AI83" i="3"/>
  <c r="AH83" i="3"/>
  <c r="AG83" i="3"/>
  <c r="K36" i="3"/>
  <c r="AT87" i="3"/>
  <c r="K40" i="3"/>
  <c r="P17" i="3"/>
  <c r="P42" i="3"/>
  <c r="K72" i="3"/>
  <c r="AL83" i="3"/>
  <c r="AJ83" i="3"/>
  <c r="AF83" i="3"/>
  <c r="K27" i="3"/>
  <c r="K30" i="3"/>
  <c r="K22" i="3"/>
  <c r="AL81" i="3"/>
  <c r="AT85" i="3"/>
  <c r="AJ86" i="3"/>
  <c r="P78" i="3"/>
  <c r="K42" i="3"/>
  <c r="AJ81" i="3"/>
  <c r="K63" i="3"/>
  <c r="AI81" i="3"/>
  <c r="AL85" i="3"/>
  <c r="AH86" i="3"/>
  <c r="K64" i="3"/>
  <c r="K70" i="3"/>
  <c r="AI85" i="3"/>
  <c r="AH85" i="3"/>
  <c r="K41" i="3"/>
  <c r="AT86" i="3"/>
  <c r="AT81" i="3"/>
  <c r="P30" i="3"/>
  <c r="AN86" i="3"/>
  <c r="AG86" i="3"/>
  <c r="AF86" i="3"/>
  <c r="AG85" i="3"/>
  <c r="P72" i="3"/>
  <c r="AN81" i="3"/>
  <c r="AL86" i="3"/>
  <c r="AN85" i="3"/>
  <c r="AI86" i="3"/>
  <c r="AH81" i="3"/>
  <c r="AJ85" i="3"/>
  <c r="AG81" i="3"/>
  <c r="AF85" i="3"/>
  <c r="K53" i="3"/>
  <c r="AF82" i="3"/>
  <c r="AF87" i="3"/>
  <c r="K46" i="3"/>
  <c r="K54" i="3"/>
  <c r="K76" i="3"/>
  <c r="AG87" i="3"/>
  <c r="AI82" i="3"/>
  <c r="AG82" i="3"/>
  <c r="K17" i="3"/>
  <c r="P40" i="3"/>
  <c r="K23" i="3"/>
  <c r="AH87" i="3"/>
  <c r="P53" i="3"/>
  <c r="K71" i="3"/>
  <c r="AJ82" i="3"/>
  <c r="AH82" i="3"/>
  <c r="AF81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S92" i="3"/>
  <c r="AN92" i="3"/>
  <c r="AF92" i="3"/>
  <c r="AH92" i="3"/>
  <c r="AJ92" i="3"/>
  <c r="AI92" i="3"/>
  <c r="AG92" i="3"/>
  <c r="AL92" i="3"/>
  <c r="AM88" i="3" s="1"/>
  <c r="S103" i="3" l="1"/>
  <c r="T103" i="3" s="1" a="1"/>
  <c r="T103" i="3" s="1"/>
  <c r="CG24" i="3"/>
  <c r="AM87" i="3"/>
  <c r="AM81" i="3"/>
  <c r="AM80" i="3"/>
  <c r="AM89" i="3"/>
  <c r="AM90" i="3"/>
  <c r="AM91" i="3"/>
  <c r="AM82" i="3"/>
  <c r="AM83" i="3"/>
  <c r="AM86" i="3"/>
  <c r="AM84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9" i="3"/>
  <c r="AP84" i="3"/>
  <c r="AP82" i="3"/>
  <c r="AP80" i="3"/>
  <c r="AP85" i="3"/>
  <c r="AP91" i="3"/>
  <c r="AP83" i="3"/>
  <c r="AP88" i="3"/>
  <c r="AP90" i="3"/>
  <c r="AP86" i="3"/>
  <c r="AP81" i="3"/>
  <c r="CN37" i="3" l="1"/>
  <c r="CN48" i="3"/>
  <c r="AD85" i="3"/>
  <c r="AS85" i="3" s="1"/>
  <c r="AD84" i="3"/>
  <c r="AS84" i="3" s="1"/>
  <c r="AD89" i="3"/>
  <c r="AS89" i="3" s="1"/>
  <c r="AD81" i="3"/>
  <c r="AS81" i="3" s="1"/>
  <c r="AD83" i="3"/>
  <c r="AS83" i="3" s="1"/>
  <c r="AD86" i="3"/>
  <c r="AS86" i="3" s="1"/>
  <c r="AD80" i="3"/>
  <c r="AS80" i="3" s="1"/>
  <c r="AD88" i="3"/>
  <c r="AS88" i="3" s="1"/>
  <c r="AD90" i="3"/>
  <c r="AS90" i="3" s="1"/>
  <c r="AD82" i="3"/>
  <c r="AS82" i="3" s="1"/>
  <c r="AD87" i="3"/>
  <c r="AS87" i="3" s="1"/>
  <c r="AD91" i="3"/>
  <c r="AS91" i="3" s="1"/>
  <c r="N91" i="3" l="1"/>
  <c r="J81" i="3"/>
  <c r="M91" i="3"/>
  <c r="M85" i="3"/>
  <c r="O81" i="3"/>
  <c r="J89" i="3"/>
  <c r="O84" i="3"/>
  <c r="O88" i="3"/>
  <c r="O90" i="3"/>
  <c r="N81" i="3"/>
  <c r="N84" i="3"/>
  <c r="J84" i="3"/>
  <c r="O87" i="3"/>
  <c r="N88" i="3"/>
  <c r="M88" i="3"/>
  <c r="M89" i="3"/>
  <c r="L89" i="3"/>
  <c r="O86" i="3"/>
  <c r="L85" i="3"/>
  <c r="M81" i="3"/>
  <c r="O91" i="3"/>
  <c r="J88" i="3"/>
  <c r="O82" i="3"/>
  <c r="N83" i="3"/>
  <c r="L91" i="3"/>
  <c r="L86" i="3"/>
  <c r="O85" i="3"/>
  <c r="L90" i="3"/>
  <c r="N85" i="3"/>
  <c r="J91" i="3"/>
  <c r="L81" i="3"/>
  <c r="M84" i="3"/>
  <c r="M90" i="3"/>
  <c r="M87" i="3"/>
  <c r="J92" i="3"/>
  <c r="M83" i="3"/>
  <c r="M82" i="3"/>
  <c r="O89" i="3"/>
  <c r="J86" i="3"/>
  <c r="N86" i="3"/>
  <c r="N82" i="3"/>
  <c r="M86" i="3"/>
  <c r="N87" i="3"/>
  <c r="L84" i="3"/>
  <c r="J9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9" i="3"/>
  <c r="L87" i="3"/>
  <c r="J82" i="3"/>
  <c r="O92" i="3"/>
  <c r="J87" i="3"/>
  <c r="N92" i="3"/>
  <c r="L82" i="3"/>
  <c r="L88" i="3"/>
  <c r="L83" i="3"/>
  <c r="J83" i="3"/>
  <c r="N90" i="3"/>
  <c r="O83" i="3"/>
  <c r="M92" i="3"/>
  <c r="L92" i="3"/>
  <c r="J85" i="3"/>
  <c r="P91" i="3" l="1"/>
  <c r="P88" i="3"/>
  <c r="P86" i="3"/>
  <c r="K89" i="3"/>
  <c r="K91" i="3"/>
  <c r="K86" i="3"/>
  <c r="P85" i="3"/>
  <c r="P90" i="3"/>
  <c r="K85" i="3"/>
  <c r="K82" i="3"/>
  <c r="P83" i="3"/>
  <c r="P81" i="3"/>
  <c r="K92" i="3"/>
  <c r="P82" i="3"/>
  <c r="K81" i="3"/>
  <c r="K87" i="3"/>
  <c r="K84" i="3"/>
  <c r="P89" i="3"/>
  <c r="K90" i="3"/>
  <c r="K83" i="3"/>
  <c r="K88" i="3"/>
  <c r="P87" i="3"/>
  <c r="P84" i="3"/>
  <c r="E3" i="4"/>
  <c r="BL67" i="3" s="1"/>
  <c r="P92" i="3"/>
  <c r="K3" i="4"/>
  <c r="BL55" i="3" s="1"/>
  <c r="D3" i="4"/>
  <c r="BL51" i="3" s="1"/>
  <c r="B3" i="4"/>
  <c r="G3" i="4"/>
  <c r="BL11" i="3" s="1"/>
  <c r="I3" i="4"/>
  <c r="BL15" i="3" s="1"/>
  <c r="J3" i="4"/>
  <c r="BL71" i="3" s="1"/>
  <c r="H3" i="4"/>
  <c r="BL39" i="3" s="1"/>
  <c r="BS53" i="3"/>
  <c r="BS52" i="3"/>
  <c r="BS69" i="3"/>
  <c r="BZ65" i="3" s="1"/>
  <c r="CG56" i="3" s="1"/>
  <c r="CN38" i="3" s="1"/>
  <c r="CK6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<sst xmlns="http://schemas.openxmlformats.org/spreadsheetml/2006/main" count="9785" uniqueCount="3699">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</sst>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39" zoomScaleNormal="100" workbookViewId="0">
      <selection activeCell="CO38" sqref="CO38"/>
    </sheetView>
  </sheetViews>
  <sheetFormatPr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3</v>
      </c>
      <c r="AL8" s="123">
        <f>AI8-AJ8</f>
        <v>4</v>
      </c>
      <c r="AM8" s="123">
        <f>AL8-AL12</f>
        <v>8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97305933.065700293</v>
      </c>
      <c r="AQ8" s="126">
        <f>VLOOKUP(AE8,db_fifarank,2,FALSE)</f>
        <v>1681.03</v>
      </c>
      <c r="AR8" s="125">
        <f>AP8/AP12</f>
        <v>0.99999998972313442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7 - 3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6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0.25071486500000001</v>
      </c>
      <c r="AQ9" s="126">
        <f>VLOOKUP(AE9,db_fifarank,2,FALSE)</f>
        <v>1429.73</v>
      </c>
      <c r="AR9" s="125">
        <f>AP9/AP12</f>
        <v>2.5765629548421893E-9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2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5 - 3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3</v>
      </c>
      <c r="AL10" s="123">
        <f>AI10-AJ10</f>
        <v>2</v>
      </c>
      <c r="AM10" s="123">
        <f>AL10-AL12</f>
        <v>6</v>
      </c>
      <c r="AN10" s="123">
        <f>AF10*3+AG10</f>
        <v>7</v>
      </c>
      <c r="AO10" s="123">
        <f>AN10/AN12*10+BA10</f>
        <v>9.7305825242718456</v>
      </c>
      <c r="AP10" s="123">
        <f>AO10*10000000+BI10*100+AM10/AM12*10+AI10/AI12*1++IF(AQ10=0,ROW(),AQ10)/2000000</f>
        <v>97305930.59343189</v>
      </c>
      <c r="AQ10" s="126">
        <f>VLOOKUP(AE10,db_fifarank,2,FALSE)</f>
        <v>1588.66</v>
      </c>
      <c r="AR10" s="125">
        <f>AP10/AP12</f>
        <v>0.9999999643159645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1</v>
      </c>
      <c r="W11" s="123">
        <f t="shared" si="4"/>
        <v>1</v>
      </c>
      <c r="X11" s="123">
        <f t="shared" si="9"/>
        <v>1</v>
      </c>
      <c r="Y11" s="123">
        <f t="shared" si="10"/>
        <v>1</v>
      </c>
      <c r="Z11" s="123">
        <f t="shared" si="11"/>
        <v>1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5</v>
      </c>
      <c r="AL11" s="123">
        <f>AI11-AJ11</f>
        <v>-2</v>
      </c>
      <c r="AM11" s="123">
        <f>AL11-AL12</f>
        <v>2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37500002.597972915</v>
      </c>
      <c r="AQ11" s="126">
        <f>VLOOKUP(AE11,db_fifarank,2,FALSE)</f>
        <v>1501.38</v>
      </c>
      <c r="AR11" s="125">
        <f>AP11/AP12</f>
        <v>0.3853824842034112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Sweden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8</v>
      </c>
      <c r="AL12" s="123">
        <f>MIN(AL8:AL11)</f>
        <v>-4</v>
      </c>
      <c r="AM12" s="123">
        <f>MAX(AM8:AM11)+1</f>
        <v>9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97305934.065700293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6</v>
      </c>
      <c r="AN14" s="123">
        <f>AF14*3+AG14</f>
        <v>7</v>
      </c>
      <c r="AO14" s="123">
        <f>AN14/AN18*10+BA14</f>
        <v>9.7306451612903224</v>
      </c>
      <c r="AP14" s="123">
        <f>AO14*10000000+BI14*100+AM14/AM18*10+AI14/AI18*1++IF(AQ14=0,ROW(),AQ14)/2000000</f>
        <v>97306558.011530921</v>
      </c>
      <c r="AQ14" s="126">
        <f>VLOOKUP(AE14,db_fifarank,2,FALSE)</f>
        <v>1556.48</v>
      </c>
      <c r="AR14" s="125">
        <f>AP14/AP18</f>
        <v>0.99999997687672393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4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6.9291999999999997E-4</v>
      </c>
      <c r="AQ15" s="126">
        <f>VLOOKUP(AE15,db_fifarank,2,FALSE)</f>
        <v>1385.84</v>
      </c>
      <c r="AR15" s="125">
        <f>AP15/AP18</f>
        <v>7.1209998394487224E-12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Belgium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5 - 3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3</v>
      </c>
      <c r="AL16" s="123">
        <f>AI16-AJ16</f>
        <v>-1</v>
      </c>
      <c r="AM16" s="123">
        <f>AL16-AL18</f>
        <v>3</v>
      </c>
      <c r="AN16" s="123">
        <f>AF16*3+AG16</f>
        <v>3</v>
      </c>
      <c r="AO16" s="123">
        <f>AN16/AN18*10+BA16</f>
        <v>3.75</v>
      </c>
      <c r="AP16" s="123">
        <f>AO16*10000000+BI16*100+AM16/AM18*10+AI16/AI18*1++IF(AQ16=0,ROW(),AQ16)/2000000</f>
        <v>37500004.084060818</v>
      </c>
      <c r="AQ16" s="126">
        <f>VLOOKUP(AE16,db_fifarank,2,FALSE)</f>
        <v>1454.96</v>
      </c>
      <c r="AR16" s="125">
        <f>AP16/AP18</f>
        <v>0.38538001942781785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2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7</v>
      </c>
      <c r="AN17" s="123">
        <f>AF17*3+AG17</f>
        <v>7</v>
      </c>
      <c r="AO17" s="123">
        <f>AN17/AN18*10+BA17</f>
        <v>9.7306451612903224</v>
      </c>
      <c r="AP17" s="123">
        <f>AO17*10000000+BI17*100+AM17/AM18*10+AI17/AI18*1++IF(AQ17=0,ROW(),AQ17)/2000000</f>
        <v>97306559.261577383</v>
      </c>
      <c r="AQ17" s="126">
        <f>VLOOKUP(AE17,db_fifarank,2,FALSE)</f>
        <v>1649.4</v>
      </c>
      <c r="AR17" s="125">
        <f>AP17/AP18</f>
        <v>0.99999998972320059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50.666666666666664</v>
      </c>
      <c r="BA17" s="126">
        <f>AZ17/AZ18</f>
        <v>0.98064516129032253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50.666666666666664</v>
      </c>
      <c r="BI17" s="126">
        <f>BH17/BH18</f>
        <v>0.98064516129032253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0 - 4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-4</v>
      </c>
      <c r="AM18" s="123">
        <f>MAX(AM14:AM17)+1</f>
        <v>8</v>
      </c>
      <c r="AN18" s="123">
        <f>MAX(AN14:AN17)+1</f>
        <v>8</v>
      </c>
      <c r="AO18" s="123">
        <f>MAX(AO14:AO17)+1</f>
        <v>10.730645161290322</v>
      </c>
      <c r="AP18" s="123">
        <f>MAX(AP14:AP17)+1</f>
        <v>97306560.261577383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9</v>
      </c>
      <c r="AN20" s="123">
        <f>AF20*3+AG20</f>
        <v>7</v>
      </c>
      <c r="AO20" s="123">
        <f>AN20/AN24*10+BA20</f>
        <v>9.7401960784313726</v>
      </c>
      <c r="AP20" s="123">
        <f>AO20*10000000+BI20*100+AM20/AM24*10+AI20/AI24*1++IF(AQ20=0,ROW(),AQ20)/2000000</f>
        <v>97402069.661945</v>
      </c>
      <c r="AQ20" s="126">
        <f>VLOOKUP(AE20,db_fifarank,2,FALSE)</f>
        <v>1761.16</v>
      </c>
      <c r="AR20" s="125">
        <f>AP20/AP24</f>
        <v>0.99999998973327786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101</v>
      </c>
      <c r="BA20" s="126">
        <f>AZ20/AZ24</f>
        <v>0.99019607843137258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101</v>
      </c>
      <c r="BI20" s="126">
        <f>BH20/BH24</f>
        <v>0.99019607843137258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9</v>
      </c>
      <c r="AN21" s="123">
        <f>AF21*3+AG21</f>
        <v>7</v>
      </c>
      <c r="AO21" s="123">
        <f>AN21/AN24*10+BA21</f>
        <v>9.7401960784313726</v>
      </c>
      <c r="AP21" s="123">
        <f>AO21*10000000+BI21*100+AM21/AM24*10+AI21/AI24*1++IF(AQ21=0,ROW(),AQ21)/2000000</f>
        <v>97402069.661942348</v>
      </c>
      <c r="AQ21" s="126">
        <f>VLOOKUP(AE21,db_fifarank,2,FALSE)</f>
        <v>1755.87</v>
      </c>
      <c r="AR21" s="125">
        <f>AP21/AP24</f>
        <v>0.99999998973325055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101</v>
      </c>
      <c r="BA21" s="126">
        <f>AZ21/AZ24</f>
        <v>0.99019607843137258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101</v>
      </c>
      <c r="BI21" s="126">
        <f>BH21/BH24</f>
        <v>0.99019607843137258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6</v>
      </c>
      <c r="AL22" s="123">
        <f>AI22-AJ22</f>
        <v>-5</v>
      </c>
      <c r="AM22" s="123">
        <f>AL22-AL24</f>
        <v>0</v>
      </c>
      <c r="AN22" s="123">
        <f>AF22*3+AG22</f>
        <v>1</v>
      </c>
      <c r="AO22" s="123">
        <f>AN22/AN24*10+BA22</f>
        <v>2.2401960784313726</v>
      </c>
      <c r="AP22" s="123">
        <f>AO22*10000000+BI22*100+AM22/AM24*10+AI22/AI24*1++IF(AQ22=0,ROW(),AQ22)/2000000</f>
        <v>22402059.947424565</v>
      </c>
      <c r="AQ22" s="126">
        <f>VLOOKUP(AE22,db_fifarank,2,FALSE)</f>
        <v>1291.71</v>
      </c>
      <c r="AR22" s="125">
        <f>AP22/AP24</f>
        <v>0.22999572591403902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1</v>
      </c>
      <c r="AW22" s="126" cm="1">
        <f t="array" ref="AW22">SUMPRODUCT(($E$7:$E$78=AE22)*($U$7:$U$78)*($G$7:$G$78))+SUMPRODUCT(($H$7:$H$78=AE22)*($U$7:$U$78)*($F$7:$F$78))</f>
        <v>1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101</v>
      </c>
      <c r="BA22" s="126">
        <f>AZ22/AZ24</f>
        <v>0.99019607843137258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1</v>
      </c>
      <c r="BE22" s="126" cm="1">
        <f t="array" ref="BE22">SUMPRODUCT(($E$7:$E$78=AE22)*($X$7:$X$78)*($G$7:$G$78))+SUMPRODUCT(($H$7:$H$78=AE22)*($X$7:$X$78)*($F$7:$F$78))</f>
        <v>1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101</v>
      </c>
      <c r="BI22" s="126">
        <f>BH22/BH24</f>
        <v>0.99019607843137258</v>
      </c>
      <c r="BK22" s="14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3 - 6</v>
      </c>
      <c r="P23" s="34">
        <f>L23*3+M23</f>
        <v>1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6</v>
      </c>
      <c r="AL23" s="123">
        <f>AI23-AJ23</f>
        <v>-3</v>
      </c>
      <c r="AM23" s="123">
        <f>AL23-AL24</f>
        <v>2</v>
      </c>
      <c r="AN23" s="123">
        <f>AF23*3+AG23</f>
        <v>1</v>
      </c>
      <c r="AO23" s="123">
        <f>AN23/AN24*10+BA23</f>
        <v>2.2401960784313726</v>
      </c>
      <c r="AP23" s="123">
        <f>AO23*10000000+BI23*100+AM23/AM24*10+AI23/AI24*1++IF(AQ23=0,ROW(),AQ23)/2000000</f>
        <v>22402062.233242173</v>
      </c>
      <c r="AQ23" s="126">
        <f>VLOOKUP(AE23,db_fifarank,2,FALSE)</f>
        <v>1498.35</v>
      </c>
      <c r="AR23" s="125">
        <f>AP23/AP24</f>
        <v>0.22999574938189338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101</v>
      </c>
      <c r="BA23" s="126">
        <f>AZ23/AZ24</f>
        <v>0.99019607843137258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101</v>
      </c>
      <c r="BI23" s="126">
        <f>BH23/BH24</f>
        <v>0.99019607843137258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0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1 - 6</v>
      </c>
      <c r="P24" s="37">
        <f>L24*3+M24</f>
        <v>1</v>
      </c>
      <c r="R24" s="123">
        <f>DATE(2026,6,16)+TIME(11,0,0)+gmt_delta</f>
        <v>46190</v>
      </c>
      <c r="S24" s="127" t="str">
        <f t="shared" si="1"/>
        <v>Iraq_draw</v>
      </c>
      <c r="T24" s="127" t="str">
        <f t="shared" si="2"/>
        <v>Norway_draw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0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7</v>
      </c>
      <c r="AL24" s="123">
        <f>MIN(AL20:AL23)</f>
        <v>-5</v>
      </c>
      <c r="AM24" s="123">
        <f>MAX(AM20:AM23)+1</f>
        <v>10</v>
      </c>
      <c r="AN24" s="123">
        <f>MAX(AN20:AN23)+1</f>
        <v>8</v>
      </c>
      <c r="AO24" s="123">
        <f>MAX(AO20:AO23)+1</f>
        <v>10.740196078431373</v>
      </c>
      <c r="AP24" s="123">
        <f>MAX(AP20:AP23)+1</f>
        <v>97402070.661945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102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102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3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62500005.800836563</v>
      </c>
      <c r="AQ26" s="126">
        <f>VLOOKUP(AE26,db_fifarank,2,FALSE)</f>
        <v>1673.13</v>
      </c>
      <c r="AR26" s="125">
        <f>AP26/AP30</f>
        <v>0.71428569785337614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0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25000000.400751747</v>
      </c>
      <c r="AQ27" s="126">
        <f>VLOOKUP(AE27,db_fifarank,2,FALSE)</f>
        <v>1503.5</v>
      </c>
      <c r="AR27" s="125">
        <f>AP27/AP30</f>
        <v>0.28571425720326293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2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12500000.000790335</v>
      </c>
      <c r="AQ28" s="126">
        <f>VLOOKUP(AE28,db_fifarank,2,FALSE)</f>
        <v>1580.67</v>
      </c>
      <c r="AR28" s="125">
        <f>AP28/AP30</f>
        <v>0.14285712632065417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1</v>
      </c>
      <c r="AL29" s="123">
        <f>AI29-AJ29</f>
        <v>3</v>
      </c>
      <c r="AM29" s="123">
        <f>AL29-AL30</f>
        <v>5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87500009.134132847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0 - 2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3</v>
      </c>
      <c r="AI30" s="123">
        <f>MAX(AI26:AI29)+1</f>
        <v>5</v>
      </c>
      <c r="AL30" s="123">
        <f>MIN(AL26:AL29)</f>
        <v>-2</v>
      </c>
      <c r="AM30" s="123">
        <f>MAX(AM26:AM29)+1</f>
        <v>6</v>
      </c>
      <c r="AN30" s="123">
        <f>MAX(AN26:AN29)+1</f>
        <v>8</v>
      </c>
      <c r="AO30" s="123">
        <f>MAX(AO26:AO29)+1</f>
        <v>9.75</v>
      </c>
      <c r="AP30" s="123">
        <f>MAX(AP26:AP29)+1</f>
        <v>87500010.134132847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90000010.186579481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5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1.9803921568627452</v>
      </c>
      <c r="AP33" s="123">
        <f>AO33*10000000+BI33*100+AM33/AM36*10+AI33/AI36*1++IF(AQ33=0,ROW(),AQ33)/2000000</f>
        <v>19804019.608490463</v>
      </c>
      <c r="AQ33" s="126">
        <f>VLOOKUP(AE33,db_fifarank,2,FALSE)</f>
        <v>1294.6500000000001</v>
      </c>
      <c r="AR33" s="125">
        <f>AP33/AP36</f>
        <v>0.22004463496604071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</v>
      </c>
      <c r="BA33" s="126">
        <f>AZ33/AZ36</f>
        <v>0.98039215686274506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</v>
      </c>
      <c r="BI33" s="126">
        <f>BH33/BH36</f>
        <v>0.98039215686274506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5</v>
      </c>
      <c r="AL34" s="123">
        <f>AI34-AJ34</f>
        <v>-5</v>
      </c>
      <c r="AM34" s="123">
        <f>AL34-AL36</f>
        <v>0</v>
      </c>
      <c r="AN34" s="123">
        <f>AF34*3+AG34</f>
        <v>1</v>
      </c>
      <c r="AO34" s="123">
        <f>AN34/AN36*10+BA34</f>
        <v>1.9803921568627452</v>
      </c>
      <c r="AP34" s="123">
        <f>AO34*10000000+BI34*100+AM34/AM36*10+AI34/AI36*1++IF(AQ34=0,ROW(),AQ34)/2000000</f>
        <v>19804019.608609628</v>
      </c>
      <c r="AQ34" s="126">
        <f>VLOOKUP(AE34,db_fifarank,2,FALSE)</f>
        <v>1532.98</v>
      </c>
      <c r="AR34" s="125">
        <f>AP34/AP36</f>
        <v>0.22004463496736476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</v>
      </c>
      <c r="BA34" s="126">
        <f>AZ34/AZ36</f>
        <v>0.98039215686274506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</v>
      </c>
      <c r="BI34" s="126">
        <f>BH34/BH36</f>
        <v>0.98039215686274506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0 - 5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7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60000005.500797391</v>
      </c>
      <c r="AQ35" s="126">
        <f>VLOOKUP(AE35,db_fifarank,2,FALSE)</f>
        <v>1594.78</v>
      </c>
      <c r="AR35" s="125">
        <f>AP35/AP36</f>
        <v>0.66666664492308869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0 - 5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10</v>
      </c>
      <c r="AL36" s="123">
        <f>MIN(AL32:AL35)</f>
        <v>-5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90000011.186579481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51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51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Egypt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90000009.87587893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6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60000006.625830218</v>
      </c>
      <c r="AQ39" s="126">
        <f>VLOOKUP(AE39,db_fifarank,2,FALSE)</f>
        <v>1660.43</v>
      </c>
      <c r="AR39" s="125">
        <f>AP39/AP42</f>
        <v>0.66666665972493711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5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30000005.500757385</v>
      </c>
      <c r="AQ40" s="126">
        <f>VLOOKUP(AE40,db_fifarank,2,FALSE)</f>
        <v>1514.77</v>
      </c>
      <c r="AR40" s="125">
        <f>AP40/AP42</f>
        <v>0.33333335417182425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8.2391656710203511E-12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8</v>
      </c>
      <c r="AL42" s="123">
        <f>MIN(AL38:AL41)</f>
        <v>-5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90000010.87587893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3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1</v>
      </c>
      <c r="AH44" s="123">
        <f>COUNTIF($S$7:$T$78,"=" &amp; AE44 &amp; "_lose")</f>
        <v>1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3</v>
      </c>
      <c r="AL44" s="123">
        <f>AI44-AJ44</f>
        <v>1</v>
      </c>
      <c r="AM44" s="123">
        <f>AL44-AL48</f>
        <v>6</v>
      </c>
      <c r="AN44" s="123">
        <f>AF44*3+AG44</f>
        <v>4</v>
      </c>
      <c r="AO44" s="123">
        <f>AN44/AN48*10+BA44</f>
        <v>5</v>
      </c>
      <c r="AP44" s="123">
        <f>AO44*10000000+BI44*100+AM44/AM48*10+AI44/AI48*1++IF(AQ44=0,ROW(),AQ44)/2000000</f>
        <v>50000007.467534013</v>
      </c>
      <c r="AQ44" s="126">
        <f>VLOOKUP(AE44,db_fifarank,2,FALSE)</f>
        <v>1734.71</v>
      </c>
      <c r="AR44" s="125">
        <f>AP44/AP48</f>
        <v>0.57091650644296332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-2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4 - 1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1</v>
      </c>
      <c r="AL45" s="123">
        <f>AI45-AJ45</f>
        <v>3</v>
      </c>
      <c r="AM45" s="123">
        <f>AL45-AL48</f>
        <v>8</v>
      </c>
      <c r="AN45" s="123">
        <f>AF45*3+AG45</f>
        <v>7</v>
      </c>
      <c r="AO45" s="123">
        <f>AN45/AN48*10+BA45</f>
        <v>8.7578482668410729</v>
      </c>
      <c r="AP45" s="123">
        <f>AO45*10000000+BI45*100+AM45/AM48*10+AI45/AI48*1++IF(AQ45=0,ROW(),AQ45)/2000000</f>
        <v>87578492.358081251</v>
      </c>
      <c r="AQ45" s="126">
        <f>VLOOKUP(AE45,db_fifarank,2,FALSE)</f>
        <v>1563.24</v>
      </c>
      <c r="AR45" s="125">
        <f>AP45/AP48</f>
        <v>0.99999998858167161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2</v>
      </c>
      <c r="AZ45" s="126">
        <f>AT45/AT48*1000+AU45/AU48*100+AY45/AY48*10+AV45/AV48</f>
        <v>4</v>
      </c>
      <c r="BA45" s="126">
        <f>AZ45/AZ48</f>
        <v>7.8482668410725966E-3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2 - 1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5</v>
      </c>
      <c r="AL46" s="123">
        <f>AI46-AJ46</f>
        <v>-5</v>
      </c>
      <c r="AM46" s="123">
        <f>AL46-AL48</f>
        <v>0</v>
      </c>
      <c r="AN46" s="123">
        <f>AF46*3+AG46</f>
        <v>1</v>
      </c>
      <c r="AO46" s="123">
        <f>AN46/AN48*10+BA46</f>
        <v>1.2578482668410726</v>
      </c>
      <c r="AP46" s="123">
        <f>AO46*10000000+BI46*100+AM46/AM48*10+AI46/AI48*1++IF(AQ46=0,ROW(),AQ46)/2000000</f>
        <v>12578482.669218376</v>
      </c>
      <c r="AQ46" s="126">
        <f>VLOOKUP(AE46,db_fifarank,2,FALSE)</f>
        <v>1615.3</v>
      </c>
      <c r="AR46" s="125">
        <f>AP46/AP48</f>
        <v>0.14362524618674208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2</v>
      </c>
      <c r="AZ46" s="126">
        <f>AT46/AT48*1000+AU46/AU48*100+AY46/AY48*10+AV46/AV48</f>
        <v>4</v>
      </c>
      <c r="BA46" s="126">
        <f>AZ46/AZ48</f>
        <v>7.8482668410725966E-3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Belgium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1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1</v>
      </c>
      <c r="AL47" s="123">
        <f>AI47-AJ47</f>
        <v>1</v>
      </c>
      <c r="AM47" s="123">
        <f>AL47-AL48</f>
        <v>6</v>
      </c>
      <c r="AN47" s="123">
        <f>AF47*3+AG47</f>
        <v>4</v>
      </c>
      <c r="AO47" s="123">
        <f>AN47/AN48*10+BA47</f>
        <v>5.9980379332897318</v>
      </c>
      <c r="AP47" s="123">
        <f>AO47*10000000+BI47*100+AM47/AM48*10+AI47/AI48*1++IF(AQ47=0,ROW(),AQ47)/2000000</f>
        <v>59980386.40020477</v>
      </c>
      <c r="AQ47" s="126">
        <f>VLOOKUP(AE47,db_fifarank,2,FALSE)</f>
        <v>1281.57</v>
      </c>
      <c r="AR47" s="125">
        <f>AP47/AP48</f>
        <v>0.68487575088741937</v>
      </c>
      <c r="AT47" s="126" cm="1">
        <f t="array" ref="AT47">SUMPRODUCT(($S$7:$S$78=AE47&amp;"_win")*($U$7:$U$78))+SUMPRODUCT(($T$7:$T$78=AE47&amp;"_win")*($U$7:$U$78))</f>
        <v>1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2</v>
      </c>
      <c r="AY47" s="126">
        <f>AX47-MIN(AX44:AX47)</f>
        <v>4</v>
      </c>
      <c r="AZ47" s="126">
        <f>AT47/AT48*1000+AU47/AU48*100+AY47/AY48*10+AV47/AV48</f>
        <v>508.66666666666669</v>
      </c>
      <c r="BA47" s="126">
        <f>AZ47/AZ48</f>
        <v>0.99803793328973189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5</v>
      </c>
      <c r="AL48" s="123">
        <f>MIN(AL44:AL47)</f>
        <v>-5</v>
      </c>
      <c r="AM48" s="123">
        <f>MAX(AM44:AM47)+1</f>
        <v>9</v>
      </c>
      <c r="AN48" s="123">
        <f>MAX(AN44:AN47)+1</f>
        <v>8</v>
      </c>
      <c r="AO48" s="123">
        <f>MAX(AO44:AO47)+1</f>
        <v>9.7578482668410729</v>
      </c>
      <c r="AP48" s="123">
        <f>MAX(AP44:AP47)+1</f>
        <v>87578493.358081251</v>
      </c>
      <c r="AT48" s="126">
        <f>MAX(AT44:AT47)-MIN(AT44:AT47)+1</f>
        <v>2</v>
      </c>
      <c r="AU48" s="126">
        <f>MAX(AU44:AU47)-MIN(AU44:AU47)+1</f>
        <v>1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5</v>
      </c>
      <c r="AZ48" s="126">
        <f>MAX(AZ44:AZ47)+1</f>
        <v>509.66666666666669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2</v>
      </c>
      <c r="AL50" s="123">
        <f>AI50-AJ50</f>
        <v>6</v>
      </c>
      <c r="AM50" s="123">
        <f>AL50-AL54</f>
        <v>10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90000009.980736196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4</v>
      </c>
      <c r="AL51" s="123">
        <f>AI51-AJ51</f>
        <v>-4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0.22004463546971234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42"/>
      <c r="BL51" s="26" t="str">
        <f>IF(group_round_completed,VLOOKUP('3rd places'!D3,AK80:AS91,9,FALSE),"3rd Group C/E/F/H/I")</f>
        <v>Norway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6</v>
      </c>
      <c r="AL52" s="123">
        <f>AI52-AJ52</f>
        <v>-4</v>
      </c>
      <c r="AM52" s="123">
        <f>AL52-AL54</f>
        <v>0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19804019.830776077</v>
      </c>
      <c r="AQ52" s="126">
        <f>VLOOKUP(AE52,db_fifarank,2,FALSE)</f>
        <v>1421.43</v>
      </c>
      <c r="AR52" s="125">
        <f>AP52/AP54</f>
        <v>0.22004463793915507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6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60000006.122048654</v>
      </c>
      <c r="AQ53" s="126">
        <f>VLOOKUP(AE53,db_fifarank,2,FALSE)</f>
        <v>1673.07</v>
      </c>
      <c r="AR53" s="125">
        <f>AP53/AP54</f>
        <v>0.66666665335064446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0 - 4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9</v>
      </c>
      <c r="AL54" s="123">
        <f>MIN(AL50:AL53)</f>
        <v>-4</v>
      </c>
      <c r="AM54" s="123">
        <f>MAX(AM50:AM53)+1</f>
        <v>11</v>
      </c>
      <c r="AN54" s="123">
        <f>MAX(AN50:AN53)+1</f>
        <v>10</v>
      </c>
      <c r="AO54" s="123">
        <f>MAX(AO50:AO53)+1</f>
        <v>10</v>
      </c>
      <c r="AP54" s="123">
        <f>MAX(AP50:AP53)+1</f>
        <v>90000010.980736196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90000010.067605332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2</v>
      </c>
      <c r="W57" s="123">
        <f t="shared" si="22"/>
        <v>2</v>
      </c>
      <c r="X57" s="123">
        <f t="shared" si="9"/>
        <v>1</v>
      </c>
      <c r="Y57" s="123">
        <f t="shared" si="10"/>
        <v>2</v>
      </c>
      <c r="Z57" s="123">
        <f t="shared" si="11"/>
        <v>2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4</v>
      </c>
      <c r="AL57" s="123">
        <f>AI57-AJ57</f>
        <v>-1</v>
      </c>
      <c r="AM57" s="123">
        <f>AL57-AL60</f>
        <v>3</v>
      </c>
      <c r="AN57" s="123">
        <f>AF57*3+AG57</f>
        <v>4</v>
      </c>
      <c r="AO57" s="123">
        <f>AN57/AN60*10+BA57</f>
        <v>4</v>
      </c>
      <c r="AP57" s="123">
        <f>AO57*10000000+BI57*100+AM57/AM60*10+AI57/AI60*1++IF(AQ57=0,ROW(),AQ57)/2000000</f>
        <v>40000002.800844491</v>
      </c>
      <c r="AQ57" s="126">
        <f>VLOOKUP(AE57,db_fifarank,2,FALSE)</f>
        <v>1688.99</v>
      </c>
      <c r="AR57" s="125">
        <f>AP57/AP60</f>
        <v>0.44444442091010056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3 - 4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4</v>
      </c>
      <c r="AL58" s="123">
        <f>AI58-AJ58</f>
        <v>-4</v>
      </c>
      <c r="AM58" s="123">
        <f>AL58-AL60</f>
        <v>0</v>
      </c>
      <c r="AN58" s="123">
        <f>AF58*3+AG58</f>
        <v>1</v>
      </c>
      <c r="AO58" s="123">
        <f>AN58/AN60*10+BA58</f>
        <v>1</v>
      </c>
      <c r="AP58" s="123">
        <f>AO58*10000000+BI58*100+AM58/AM60*10+AI58/AI60*1++IF(AQ58=0,ROW(),AQ58)/2000000</f>
        <v>10000000.000723571</v>
      </c>
      <c r="AQ58" s="126">
        <f>VLOOKUP(AE58,db_fifarank,2,FALSE)</f>
        <v>1447.14</v>
      </c>
      <c r="AR58" s="125">
        <f>AP58/AP60</f>
        <v>0.11111109745544218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0</v>
      </c>
      <c r="M59" s="23">
        <f>VLOOKUP(3,AD56:AN59,4,FALSE)</f>
        <v>2</v>
      </c>
      <c r="N59" s="23">
        <f>VLOOKUP(3,AD56:AN59,5,FALSE)</f>
        <v>1</v>
      </c>
      <c r="O59" s="23" t="str">
        <f>VLOOKUP(3,AD56:AN59,6,FALSE) &amp; " - " &amp; VLOOKUP(3,AD56:AN59,7,FALSE)</f>
        <v>2 - 4</v>
      </c>
      <c r="P59" s="34">
        <f>L59*3+M59</f>
        <v>2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0</v>
      </c>
      <c r="AG59" s="123">
        <f>COUNTIF($S$7:$T$78,"=" &amp; AE59 &amp; "_draw")</f>
        <v>2</v>
      </c>
      <c r="AH59" s="123">
        <f>COUNTIF($S$7:$T$78,"=" &amp; AE59 &amp; "_lose")</f>
        <v>1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4</v>
      </c>
      <c r="AL59" s="123">
        <f>AI59-AJ59</f>
        <v>-2</v>
      </c>
      <c r="AM59" s="123">
        <f>AL59-AL60</f>
        <v>2</v>
      </c>
      <c r="AN59" s="123">
        <f>AF59*3+AG59</f>
        <v>2</v>
      </c>
      <c r="AO59" s="123">
        <f>AN59/AN60*10+BA59</f>
        <v>2</v>
      </c>
      <c r="AP59" s="123">
        <f>AO59*10000000+BI59*100+AM59/AM60*10+AI59/AI60*1++IF(AQ59=0,ROW(),AQ59)/2000000</f>
        <v>20000001.867442138</v>
      </c>
      <c r="AQ59" s="126">
        <f>VLOOKUP(AE59,db_fifarank,2,FALSE)</f>
        <v>1550.94</v>
      </c>
      <c r="AR59" s="125">
        <f>AP59/AP60</f>
        <v>0.22222221564415956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0 - 4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3</v>
      </c>
      <c r="AH60" s="123">
        <f t="shared" si="27"/>
        <v>3</v>
      </c>
      <c r="AI60" s="123">
        <f>MAX(AI56:AI59)+1</f>
        <v>10</v>
      </c>
      <c r="AL60" s="123">
        <f>MIN(AL56:AL59)</f>
        <v>-4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90000011.067605332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0</v>
      </c>
      <c r="W61" s="123">
        <f t="shared" si="22"/>
        <v>0</v>
      </c>
      <c r="X61" s="123">
        <f t="shared" si="9"/>
        <v>1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2</v>
      </c>
      <c r="AL62" s="123">
        <f>AI62-AJ62</f>
        <v>7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90000010.186651707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3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30000002.343639269</v>
      </c>
      <c r="AQ63" s="126">
        <f>VLOOKUP(AE63,db_fifarank,2,FALSE)</f>
        <v>1564.26</v>
      </c>
      <c r="AR63" s="125">
        <f>AP63/AP66</f>
        <v>0.33333331794172821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New Zealand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3</v>
      </c>
      <c r="AL64" s="123">
        <f>AI64-AJ64</f>
        <v>2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60000006.215082444</v>
      </c>
      <c r="AQ64" s="126">
        <f>VLOOKUP(AE64,db_fifarank,2,FALSE)</f>
        <v>1593.45</v>
      </c>
      <c r="AR64" s="125">
        <f>AP64/AP66</f>
        <v>0.66666665285905324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7.7302768169342857E-12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10</v>
      </c>
      <c r="AL66" s="123">
        <f>MIN(AL62:AL65)</f>
        <v>-6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90000011.186651707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4</v>
      </c>
      <c r="AJ68" s="123">
        <f>SUMIF($E$7:$E$78,$AE68,$G$7:$G$78) + SUMIF($H$7:$H$78,$AE68,$F$7:$F$78)</f>
        <v>0</v>
      </c>
      <c r="AL68" s="123">
        <f>AI68-AJ68</f>
        <v>4</v>
      </c>
      <c r="AM68" s="123">
        <f>AL68-AL72</f>
        <v>9</v>
      </c>
      <c r="AN68" s="123">
        <f>AF68*3+AG68</f>
        <v>7</v>
      </c>
      <c r="AO68" s="123">
        <f>AN68/AN72*10+BA68</f>
        <v>9.7303921568627452</v>
      </c>
      <c r="AP68" s="123">
        <f>AO68*10000000+BI68*100+AM68/AM72*10+AI68/AI72*1++IF(AQ68=0,ROW(),AQ68)/2000000</f>
        <v>97304029.408725038</v>
      </c>
      <c r="AQ68" s="126">
        <f>VLOOKUP(AE68,db_fifarank,2,FALSE)</f>
        <v>1763.83</v>
      </c>
      <c r="AR68" s="125">
        <f>AP68/AP72</f>
        <v>0.99999998972293336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</v>
      </c>
      <c r="BA68" s="126">
        <f>AZ68/AZ72</f>
        <v>0.98039215686274506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</v>
      </c>
      <c r="BI68" s="126">
        <f>BH68/BH72</f>
        <v>0.98039215686274506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4 - 0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7.5965506967707232E-12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2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3 - 0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Zealand_win</v>
      </c>
      <c r="T70" s="127" t="str">
        <f t="shared" si="20"/>
        <v>Belgium_lose</v>
      </c>
      <c r="U70" s="123">
        <f t="shared" si="8"/>
        <v>1</v>
      </c>
      <c r="V70" s="123">
        <f t="shared" si="21"/>
        <v>2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3</v>
      </c>
      <c r="AL70" s="123">
        <f>AI70-AJ70</f>
        <v>-2</v>
      </c>
      <c r="AM70" s="123">
        <f>AL70-AL72</f>
        <v>3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37500003.200732671</v>
      </c>
      <c r="AQ70" s="126">
        <f>VLOOKUP(AE70,db_fifarank,2,FALSE)</f>
        <v>1465.34</v>
      </c>
      <c r="AR70" s="125">
        <f>AP70/AP72</f>
        <v>0.38539003002459526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1 - 3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0</v>
      </c>
      <c r="AL71" s="123">
        <f>AI71-AJ71</f>
        <v>3</v>
      </c>
      <c r="AM71" s="123">
        <f>AL71-AL72</f>
        <v>8</v>
      </c>
      <c r="AN71" s="123">
        <f>AF71*3+AG71</f>
        <v>7</v>
      </c>
      <c r="AO71" s="123">
        <f>AN71/AN72*10+BA71</f>
        <v>9.7303921568627452</v>
      </c>
      <c r="AP71" s="123">
        <f>AO71*10000000+BI71*100+AM71/AM72*10+AI71/AI72*1++IF(AQ71=0,ROW(),AQ71)/2000000</f>
        <v>97304028.208689675</v>
      </c>
      <c r="AQ71" s="126">
        <f>VLOOKUP(AE71,db_fifarank,2,FALSE)</f>
        <v>1693.09</v>
      </c>
      <c r="AR71" s="125">
        <f>AP71/AP72</f>
        <v>0.99999997739009006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</v>
      </c>
      <c r="BA71" s="126">
        <f>AZ71/AZ72</f>
        <v>0.98039215686274506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</v>
      </c>
      <c r="BI71" s="126">
        <f>BH71/BH72</f>
        <v>0.98039215686274506</v>
      </c>
      <c r="BK71" s="14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0 - 5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5</v>
      </c>
      <c r="AL72" s="123">
        <f>MIN(AL68:AL71)</f>
        <v>-5</v>
      </c>
      <c r="AM72" s="123">
        <f>MAX(AM68:AM71)+1</f>
        <v>10</v>
      </c>
      <c r="AN72" s="123">
        <f>MAX(AN68:AN71)+1</f>
        <v>8</v>
      </c>
      <c r="AO72" s="123">
        <f>MAX(AO68:AO71)+1</f>
        <v>10.730392156862745</v>
      </c>
      <c r="AP72" s="123">
        <f>MAX(AP68:AP71)+1</f>
        <v>97304030.408725038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3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90000010.067579657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9 - 3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4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60000006.434191875</v>
      </c>
      <c r="AQ75" s="126">
        <f>VLOOKUP(AE75,db_fifarank,2,FALSE)</f>
        <v>1717.07</v>
      </c>
      <c r="AR75" s="125">
        <f>AP75/AP78</f>
        <v>0.66666665617561727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6</v>
      </c>
      <c r="AL76" s="123">
        <f>AI76-AJ76</f>
        <v>-5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0.100673155</v>
      </c>
      <c r="AQ76" s="126">
        <f>VLOOKUP(AE76,db_fifarank,2,FALSE)</f>
        <v>1346.31</v>
      </c>
      <c r="AR76" s="125">
        <f>AP76/AP78</f>
        <v>1.1185904735545649E-9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0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0</v>
      </c>
      <c r="W77" s="123">
        <f t="shared" si="22"/>
        <v>0</v>
      </c>
      <c r="X77" s="123">
        <f t="shared" si="32"/>
        <v>1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2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30000001.867436986</v>
      </c>
      <c r="AQ77" s="126">
        <f>VLOOKUP(AE77,db_fifarank,2,FALSE)</f>
        <v>1540.64</v>
      </c>
      <c r="AR77" s="125">
        <f>AP77/AP78</f>
        <v>0.33333331309159991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10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90000011.067579657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5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6488.5721792614286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Belgium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3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6611.4292989085716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10</v>
      </c>
      <c r="AE82" s="124" t="str">
        <f>J23</f>
        <v>Scotland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3</v>
      </c>
      <c r="AJ82" s="123">
        <f t="shared" si="42"/>
        <v>6</v>
      </c>
      <c r="AK82" s="123" t="s">
        <v>3182</v>
      </c>
      <c r="AL82" s="123">
        <f t="shared" si="43"/>
        <v>-3</v>
      </c>
      <c r="AM82" s="123">
        <f t="shared" si="44"/>
        <v>2</v>
      </c>
      <c r="AN82" s="123">
        <f t="shared" si="45"/>
        <v>1</v>
      </c>
      <c r="AP82" s="123">
        <f>AN82/AN92*10000+AM82/AM92*1000+AI82/AI92*100+IF(AQ82=0,ROW(),AQ82)/2000000</f>
        <v>2345.7150348892856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Ⓑ Qatar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2 - 3</v>
      </c>
      <c r="P83" s="101">
        <f t="shared" si="48"/>
        <v>3</v>
      </c>
      <c r="AD83" s="123">
        <f t="shared" si="38"/>
        <v>9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4468.5721803214283</v>
      </c>
      <c r="AQ83" s="126">
        <f t="shared" si="37"/>
        <v>1503.5</v>
      </c>
      <c r="AR83" s="125" t="str">
        <f t="shared" si="50"/>
        <v>AB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12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0</v>
      </c>
      <c r="AJ84" s="123">
        <f t="shared" si="42"/>
        <v>5</v>
      </c>
      <c r="AK84" s="123" t="s">
        <v>3185</v>
      </c>
      <c r="AL84" s="123">
        <f t="shared" si="43"/>
        <v>-5</v>
      </c>
      <c r="AM84" s="123">
        <f t="shared" si="44"/>
        <v>0</v>
      </c>
      <c r="AN84" s="123">
        <f t="shared" si="45"/>
        <v>1</v>
      </c>
      <c r="AP84" s="123">
        <f>AN84/AN92*10000+AM84/AM92*1000+AI84/AI92*100+IF(AQ84=0,ROW(),AQ84)/2000000</f>
        <v>2000.0007664899999</v>
      </c>
      <c r="AQ84" s="126">
        <f t="shared" si="37"/>
        <v>1532.98</v>
      </c>
      <c r="AR84" s="125" t="str">
        <f t="shared" si="50"/>
        <v>AB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Ⓚ Uzbekistan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6794.2864716707145</v>
      </c>
      <c r="AQ85" s="126">
        <f t="shared" si="37"/>
        <v>1514.77</v>
      </c>
      <c r="AR85" s="125" t="str">
        <f t="shared" si="50"/>
        <v>ABF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</v>
      </c>
      <c r="AE86" s="124" t="str">
        <f>J47</f>
        <v>Belgium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3</v>
      </c>
      <c r="AK86" s="123" t="s">
        <v>3187</v>
      </c>
      <c r="AL86" s="123">
        <f t="shared" si="43"/>
        <v>1</v>
      </c>
      <c r="AM86" s="123">
        <f t="shared" si="44"/>
        <v>6</v>
      </c>
      <c r="AN86" s="123">
        <f t="shared" si="45"/>
        <v>4</v>
      </c>
      <c r="AP86" s="123">
        <f>AN86/AN92*10000+AM86/AM92*1000+AI86/AI92*100+IF(AQ86=0,ROW(),AQ86)/2000000</f>
        <v>8937.143724497857</v>
      </c>
      <c r="AQ86" s="126">
        <f t="shared" si="37"/>
        <v>1734.71</v>
      </c>
      <c r="AR86" s="125" t="str">
        <f t="shared" si="50"/>
        <v>ABFG</v>
      </c>
      <c r="AS86" s="129" t="str">
        <f t="shared" si="46"/>
        <v>Belgium</v>
      </c>
      <c r="AT86" s="130" t="str">
        <f>"Ⓖ "&amp;AE86</f>
        <v>Ⓖ Belgium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Ⓛ Panama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1</v>
      </c>
      <c r="AN87" s="123">
        <f t="shared" si="45"/>
        <v>1</v>
      </c>
      <c r="AP87" s="123">
        <f>AN87/AN92*10000+AM87/AM92*1000+AI87/AI92*100+IF(AQ87=0,ROW(),AQ87)/2000000</f>
        <v>2182.8578535721426</v>
      </c>
      <c r="AQ87" s="126">
        <f t="shared" si="37"/>
        <v>1421.43</v>
      </c>
      <c r="AR87" s="125" t="str">
        <f t="shared" si="50"/>
        <v>ABFG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Ⓘ Norway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2 - 4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8</v>
      </c>
      <c r="AE88" s="124" t="str">
        <f>J59</f>
        <v>Norway</v>
      </c>
      <c r="AF88" s="123">
        <f t="shared" si="39"/>
        <v>0</v>
      </c>
      <c r="AG88" s="123">
        <f t="shared" si="49"/>
        <v>2</v>
      </c>
      <c r="AH88" s="123">
        <f t="shared" si="40"/>
        <v>1</v>
      </c>
      <c r="AI88" s="123">
        <f t="shared" si="41"/>
        <v>2</v>
      </c>
      <c r="AJ88" s="123">
        <f t="shared" si="42"/>
        <v>4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2</v>
      </c>
      <c r="AP88" s="123">
        <f>AN88/AN92*10000+AM88/AM92*1000+AI88/AI92*100+IF(AQ88=0,ROW(),AQ88)/2000000</f>
        <v>4468.5722040414284</v>
      </c>
      <c r="AQ88" s="126">
        <f t="shared" si="37"/>
        <v>1550.94</v>
      </c>
      <c r="AR88" s="125" t="str">
        <f t="shared" si="50"/>
        <v>ABFGI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6325.7150678442849</v>
      </c>
      <c r="AQ89" s="126">
        <f t="shared" si="37"/>
        <v>1564.26</v>
      </c>
      <c r="AR89" s="125" t="str">
        <f t="shared" si="50"/>
        <v>ABFGIJ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Ⓒ Scotland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5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3</v>
      </c>
      <c r="AK90" s="123" t="s">
        <v>3191</v>
      </c>
      <c r="AL90" s="123">
        <f t="shared" si="43"/>
        <v>-2</v>
      </c>
      <c r="AM90" s="123">
        <f t="shared" si="44"/>
        <v>3</v>
      </c>
      <c r="AN90" s="123">
        <f t="shared" si="45"/>
        <v>3</v>
      </c>
      <c r="AP90" s="123">
        <f>AN90/AN92*10000+AM90/AM92*1000+AI90/AI92*100+IF(AQ90=0,ROW(),AQ90)/2000000</f>
        <v>6448.5721612414281</v>
      </c>
      <c r="AQ90" s="126">
        <f t="shared" si="37"/>
        <v>1465.34</v>
      </c>
      <c r="AR90" s="125" t="str">
        <f t="shared" si="50"/>
        <v>ABFGIJK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7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6325.7150560342852</v>
      </c>
      <c r="AQ91" s="126">
        <f t="shared" si="37"/>
        <v>1540.64</v>
      </c>
      <c r="AR91" s="125" t="str">
        <f t="shared" si="50"/>
        <v>ABFGIJKL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Ⓔ Ivory Coast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288</v>
      </c>
      <c r="C3" s="121" t="str">
        <f>'2026 World Cup'!AR91</f>
        <v>ABFGIJKL</v>
      </c>
      <c r="D3" s="121" t="str">
        <f>VLOOKUP($C3,$C$6:$K$500,2,FALSE)</f>
        <v>3I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3F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VQYG (Vicente Serrano Gil)</cp:lastModifiedBy>
  <cp:revision/>
  <dcterms:created xsi:type="dcterms:W3CDTF">2017-12-27T19:32:51Z</dcterms:created>
  <dcterms:modified xsi:type="dcterms:W3CDTF">2026-06-07T14:49:39Z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