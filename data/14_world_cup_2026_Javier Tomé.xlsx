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Javi\Personal\"/>
    </mc:Choice>
  </mc:AlternateContent>
  <xr:revisionPtr revIDLastSave="0" documentId="13_ncr:1_{51AF010F-E0F4-4B00-8A0F-B293B7DA39DD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S70" i="3"/>
  <c r="S42" i="3"/>
  <c r="S64" i="3"/>
  <c r="T41" i="3"/>
  <c r="S40" i="3"/>
  <c r="S62" i="3"/>
  <c r="T61" i="3"/>
  <c r="S38" i="3"/>
  <c r="S65" i="3"/>
  <c r="S55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11" i="3"/>
  <c r="AR10" i="3"/>
  <c r="AR9" i="3"/>
  <c r="AR21" i="3"/>
  <c r="AR28" i="3"/>
  <c r="AR35" i="3"/>
  <c r="AR34" i="3"/>
  <c r="AR33" i="3"/>
  <c r="AR22" i="3" l="1"/>
  <c r="AR75" i="3"/>
  <c r="AR76" i="3"/>
  <c r="AR77" i="3"/>
  <c r="AD77" i="3" s="1"/>
  <c r="AR65" i="3"/>
  <c r="AR40" i="3"/>
  <c r="AR41" i="3"/>
  <c r="AR29" i="3"/>
  <c r="AR69" i="3"/>
  <c r="AR70" i="3"/>
  <c r="AD68" i="3" s="1"/>
  <c r="AR71" i="3"/>
  <c r="AR27" i="3"/>
  <c r="AD28" i="3" s="1"/>
  <c r="AR23" i="3"/>
  <c r="AD22" i="3" s="1"/>
  <c r="AR51" i="3"/>
  <c r="AR52" i="3"/>
  <c r="AR53" i="3"/>
  <c r="AD53" i="3" s="1"/>
  <c r="AR46" i="3"/>
  <c r="AR15" i="3"/>
  <c r="AD15" i="3" s="1"/>
  <c r="AR45" i="3"/>
  <c r="AR63" i="3"/>
  <c r="AR47" i="3"/>
  <c r="AD44" i="3" s="1"/>
  <c r="AR64" i="3"/>
  <c r="AD62" i="3" s="1"/>
  <c r="AR39" i="3"/>
  <c r="AD41" i="3" s="1"/>
  <c r="AD56" i="3"/>
  <c r="M58" i="3" s="1"/>
  <c r="AR16" i="3"/>
  <c r="AR17" i="3"/>
  <c r="AD59" i="3"/>
  <c r="AD75" i="3"/>
  <c r="AD47" i="3"/>
  <c r="AD33" i="3"/>
  <c r="AD32" i="3"/>
  <c r="AD34" i="3"/>
  <c r="AD35" i="3"/>
  <c r="AD21" i="3"/>
  <c r="AD20" i="3"/>
  <c r="AD9" i="3"/>
  <c r="AD8" i="3"/>
  <c r="AD10" i="3"/>
  <c r="AD11" i="3"/>
  <c r="AD71" i="3" l="1"/>
  <c r="AD76" i="3"/>
  <c r="O60" i="3"/>
  <c r="L59" i="3"/>
  <c r="P59" i="3" s="1"/>
  <c r="AD74" i="3"/>
  <c r="N58" i="3"/>
  <c r="K58" i="3" s="1"/>
  <c r="AD63" i="3"/>
  <c r="N64" i="3" s="1"/>
  <c r="AD29" i="3"/>
  <c r="AD70" i="3"/>
  <c r="M72" i="3" s="1"/>
  <c r="M59" i="3"/>
  <c r="AD26" i="3"/>
  <c r="N29" i="3" s="1"/>
  <c r="AD14" i="3"/>
  <c r="M16" i="3" s="1"/>
  <c r="L58" i="3"/>
  <c r="AD27" i="3"/>
  <c r="AD69" i="3"/>
  <c r="AD39" i="3"/>
  <c r="O40" i="3" s="1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L23" i="3" s="1"/>
  <c r="AD65" i="3"/>
  <c r="AD51" i="3"/>
  <c r="O58" i="3"/>
  <c r="N57" i="3"/>
  <c r="K57" i="3" s="1"/>
  <c r="J60" i="3"/>
  <c r="J58" i="3"/>
  <c r="AS57" i="3" s="1"/>
  <c r="BL47" i="3" s="1"/>
  <c r="BS45" i="3" s="1"/>
  <c r="BZ48" i="3" s="1"/>
  <c r="O59" i="3"/>
  <c r="AD45" i="3"/>
  <c r="J48" i="3" s="1"/>
  <c r="AD40" i="3"/>
  <c r="AD52" i="3"/>
  <c r="AD38" i="3"/>
  <c r="AD50" i="3"/>
  <c r="O54" i="3" s="1"/>
  <c r="N59" i="3"/>
  <c r="AD17" i="3"/>
  <c r="AN88" i="3"/>
  <c r="AT88" i="3"/>
  <c r="P58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L15" i="3"/>
  <c r="N18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M29" i="3"/>
  <c r="M27" i="3"/>
  <c r="N28" i="3"/>
  <c r="N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L39" i="3"/>
  <c r="L40" i="3"/>
  <c r="O42" i="3"/>
  <c r="M39" i="3"/>
  <c r="O39" i="3"/>
  <c r="N40" i="3"/>
  <c r="M42" i="3"/>
  <c r="J45" i="3"/>
  <c r="AS44" i="3" s="1"/>
  <c r="BL38" i="3" s="1"/>
  <c r="M45" i="3"/>
  <c r="N45" i="3"/>
  <c r="L45" i="3"/>
  <c r="O45" i="3"/>
  <c r="M54" i="3"/>
  <c r="M51" i="3"/>
  <c r="L51" i="3"/>
  <c r="N51" i="3"/>
  <c r="O51" i="3"/>
  <c r="L63" i="3"/>
  <c r="M63" i="3"/>
  <c r="N63" i="3"/>
  <c r="O63" i="3"/>
  <c r="L64" i="3"/>
  <c r="M64" i="3"/>
  <c r="M65" i="3"/>
  <c r="L66" i="3"/>
  <c r="M66" i="3"/>
  <c r="N66" i="3"/>
  <c r="O66" i="3"/>
  <c r="J66" i="3"/>
  <c r="J65" i="3"/>
  <c r="AE89" i="3" s="1"/>
  <c r="AQ89" i="3" s="1"/>
  <c r="J63" i="3"/>
  <c r="AS62" i="3" s="1"/>
  <c r="BL58" i="3" s="1"/>
  <c r="BS60" i="3" s="1"/>
  <c r="BZ64" i="3" s="1"/>
  <c r="L69" i="3"/>
  <c r="M69" i="3"/>
  <c r="N69" i="3"/>
  <c r="O69" i="3"/>
  <c r="N70" i="3"/>
  <c r="O70" i="3"/>
  <c r="L71" i="3"/>
  <c r="M71" i="3"/>
  <c r="N71" i="3"/>
  <c r="O71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O48" i="3" l="1"/>
  <c r="O46" i="3"/>
  <c r="O27" i="3"/>
  <c r="L46" i="3"/>
  <c r="K46" i="3" s="1"/>
  <c r="M28" i="3"/>
  <c r="J28" i="3"/>
  <c r="AS27" i="3" s="1"/>
  <c r="BL62" i="3" s="1"/>
  <c r="BS61" i="3" s="1"/>
  <c r="J18" i="3"/>
  <c r="AG88" i="3"/>
  <c r="J72" i="3"/>
  <c r="M48" i="3"/>
  <c r="K48" i="3" s="1"/>
  <c r="M30" i="3"/>
  <c r="K30" i="3" s="1"/>
  <c r="J29" i="3"/>
  <c r="AE83" i="3" s="1"/>
  <c r="AQ83" i="3" s="1"/>
  <c r="O16" i="3"/>
  <c r="AF88" i="3"/>
  <c r="N17" i="3"/>
  <c r="O72" i="3"/>
  <c r="O65" i="3"/>
  <c r="L54" i="3"/>
  <c r="M47" i="3"/>
  <c r="L47" i="3"/>
  <c r="K47" i="3" s="1"/>
  <c r="M40" i="3"/>
  <c r="P40" i="3" s="1"/>
  <c r="O28" i="3"/>
  <c r="J30" i="3"/>
  <c r="N16" i="3"/>
  <c r="K16" i="3" s="1"/>
  <c r="N72" i="3"/>
  <c r="N65" i="3"/>
  <c r="N52" i="3"/>
  <c r="N47" i="3"/>
  <c r="L42" i="3"/>
  <c r="L28" i="3"/>
  <c r="O23" i="3"/>
  <c r="M18" i="3"/>
  <c r="P18" i="3" s="1"/>
  <c r="K59" i="3"/>
  <c r="M17" i="3"/>
  <c r="K17" i="3" s="1"/>
  <c r="AJ88" i="3"/>
  <c r="J27" i="3"/>
  <c r="AS26" i="3" s="1"/>
  <c r="BL34" i="3" s="1"/>
  <c r="L16" i="3"/>
  <c r="AI88" i="3"/>
  <c r="M70" i="3"/>
  <c r="L48" i="3"/>
  <c r="N54" i="3"/>
  <c r="O29" i="3"/>
  <c r="L17" i="3"/>
  <c r="P17" i="3" s="1"/>
  <c r="O30" i="3"/>
  <c r="L70" i="3"/>
  <c r="K70" i="3" s="1"/>
  <c r="N46" i="3"/>
  <c r="L72" i="3"/>
  <c r="P72" i="3" s="1"/>
  <c r="L65" i="3"/>
  <c r="P65" i="3" s="1"/>
  <c r="N48" i="3"/>
  <c r="O64" i="3"/>
  <c r="J52" i="3"/>
  <c r="AS51" i="3" s="1"/>
  <c r="BL59" i="3" s="1"/>
  <c r="O47" i="3"/>
  <c r="J47" i="3"/>
  <c r="AE86" i="3" s="1"/>
  <c r="AQ86" i="3" s="1"/>
  <c r="L29" i="3"/>
  <c r="P29" i="3" s="1"/>
  <c r="O17" i="3"/>
  <c r="N53" i="3"/>
  <c r="O18" i="3"/>
  <c r="N27" i="3"/>
  <c r="L27" i="3"/>
  <c r="P27" i="3" s="1"/>
  <c r="J16" i="3"/>
  <c r="AS15" i="3" s="1"/>
  <c r="BL19" i="3" s="1"/>
  <c r="J46" i="3"/>
  <c r="AS45" i="3" s="1"/>
  <c r="BL63" i="3" s="1"/>
  <c r="J64" i="3"/>
  <c r="AS63" i="3" s="1"/>
  <c r="BL31" i="3" s="1"/>
  <c r="J51" i="3"/>
  <c r="AS50" i="3" s="1"/>
  <c r="BL30" i="3" s="1"/>
  <c r="M46" i="3"/>
  <c r="L30" i="3"/>
  <c r="L18" i="3"/>
  <c r="K18" i="3" s="1"/>
  <c r="M41" i="3"/>
  <c r="J54" i="3"/>
  <c r="O52" i="3"/>
  <c r="O41" i="3"/>
  <c r="L41" i="3"/>
  <c r="K41" i="3" s="1"/>
  <c r="N23" i="3"/>
  <c r="K23" i="3" s="1"/>
  <c r="AL88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1" i="3"/>
  <c r="K71" i="3"/>
  <c r="P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4" i="3"/>
  <c r="K64" i="3"/>
  <c r="P63" i="3"/>
  <c r="K63" i="3"/>
  <c r="P54" i="3"/>
  <c r="K54" i="3"/>
  <c r="K53" i="3"/>
  <c r="AF87" i="3"/>
  <c r="AG87" i="3"/>
  <c r="K51" i="3"/>
  <c r="P51" i="3"/>
  <c r="K45" i="3"/>
  <c r="P45" i="3"/>
  <c r="P46" i="3"/>
  <c r="AF86" i="3"/>
  <c r="AG86" i="3"/>
  <c r="AH86" i="3"/>
  <c r="AI86" i="3"/>
  <c r="AJ86" i="3"/>
  <c r="AL86" i="3"/>
  <c r="AN86" i="3"/>
  <c r="AT86" i="3"/>
  <c r="K40" i="3"/>
  <c r="K42" i="3"/>
  <c r="P42" i="3"/>
  <c r="P39" i="3"/>
  <c r="K39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P28" i="3"/>
  <c r="K28" i="3"/>
  <c r="K27" i="3"/>
  <c r="K29" i="3"/>
  <c r="P23" i="3"/>
  <c r="P22" i="3"/>
  <c r="K22" i="3"/>
  <c r="K24" i="3"/>
  <c r="P24" i="3"/>
  <c r="P21" i="3"/>
  <c r="K21" i="3"/>
  <c r="AN82" i="3"/>
  <c r="P16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H82" i="3" l="1"/>
  <c r="AL83" i="3"/>
  <c r="P30" i="3"/>
  <c r="P48" i="3"/>
  <c r="K72" i="3"/>
  <c r="AH83" i="3"/>
  <c r="P41" i="3"/>
  <c r="P53" i="3"/>
  <c r="AG83" i="3"/>
  <c r="AG92" i="3" s="1"/>
  <c r="AT87" i="3"/>
  <c r="AI82" i="3"/>
  <c r="AN83" i="3"/>
  <c r="AN92" i="3" s="1"/>
  <c r="AG82" i="3"/>
  <c r="AJ83" i="3"/>
  <c r="AF83" i="3"/>
  <c r="P47" i="3"/>
  <c r="AL87" i="3"/>
  <c r="K65" i="3"/>
  <c r="AJ82" i="3"/>
  <c r="AJ92" i="3" s="1"/>
  <c r="AT83" i="3"/>
  <c r="AF82" i="3"/>
  <c r="AF92" i="3" s="1"/>
  <c r="AI83" i="3"/>
  <c r="AN87" i="3"/>
  <c r="AJ87" i="3"/>
  <c r="AT82" i="3"/>
  <c r="AH87" i="3"/>
  <c r="AL82" i="3"/>
  <c r="AI87" i="3"/>
  <c r="K52" i="3"/>
  <c r="AH92" i="3"/>
  <c r="AS92" i="3"/>
  <c r="AI92" i="3" l="1"/>
  <c r="AL92" i="3"/>
  <c r="AM88" i="3" s="1"/>
  <c r="AM89" i="3"/>
  <c r="AM80" i="3"/>
  <c r="AM81" i="3"/>
  <c r="AM87" i="3"/>
  <c r="AM86" i="3"/>
  <c r="AM85" i="3"/>
  <c r="AM90" i="3" l="1"/>
  <c r="AM82" i="3"/>
  <c r="AM91" i="3"/>
  <c r="AM83" i="3"/>
  <c r="AM84" i="3"/>
  <c r="AM92" i="3"/>
  <c r="AP87" i="3" s="1"/>
  <c r="S85" i="3"/>
  <c r="T85" i="3" s="1" a="1"/>
  <c r="T85" i="3" s="1"/>
  <c r="BS13" i="3"/>
  <c r="S84" i="3"/>
  <c r="T84" i="3" s="1" a="1"/>
  <c r="T84" i="3" s="1"/>
  <c r="BS12" i="3"/>
  <c r="BZ16" i="3" l="1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AD85" i="3" l="1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<sst xmlns="http://schemas.openxmlformats.org/spreadsheetml/2006/main" count="9785" uniqueCount="3699">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</sst>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N57" sqref="CN57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90000009.857983366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6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0.28642915071428571</v>
      </c>
      <c r="AQ9" s="126">
        <f>VLOOKUP(AE9,db_fifarank,2,FALSE)</f>
        <v>1429.73</v>
      </c>
      <c r="AR9" s="125">
        <f>AP9/AP12</f>
        <v>3.1825457350917451E-9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4</v>
      </c>
      <c r="AL10" s="123">
        <f>AI10-AJ10</f>
        <v>1</v>
      </c>
      <c r="AM10" s="123">
        <f>AL10-AL12</f>
        <v>5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60000005.715080045</v>
      </c>
      <c r="AQ10" s="126">
        <f>VLOOKUP(AE10,db_fifarank,2,FALSE)</f>
        <v>1588.66</v>
      </c>
      <c r="AR10" s="125">
        <f>AP10/AP12</f>
        <v>0.66666664973805168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5</v>
      </c>
      <c r="AL11" s="123">
        <f>AI11-AJ11</f>
        <v>-2</v>
      </c>
      <c r="AM11" s="123">
        <f>AL11-AL12</f>
        <v>2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30000002.42932212</v>
      </c>
      <c r="AQ11" s="126">
        <f>VLOOKUP(AE11,db_fifarank,2,FALSE)</f>
        <v>1501.38</v>
      </c>
      <c r="AR11" s="125">
        <f>AP11/AP12</f>
        <v>0.33333332011104971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1</v>
      </c>
      <c r="V12" s="123">
        <f t="shared" si="3"/>
        <v>1</v>
      </c>
      <c r="W12" s="123">
        <f t="shared" si="4"/>
        <v>1</v>
      </c>
      <c r="X12" s="123">
        <f t="shared" si="9"/>
        <v>1</v>
      </c>
      <c r="Y12" s="123">
        <f t="shared" si="10"/>
        <v>1</v>
      </c>
      <c r="Z12" s="123">
        <f t="shared" si="11"/>
        <v>1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7</v>
      </c>
      <c r="AL12" s="123">
        <f>MIN(AL8:AL11)</f>
        <v>-4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90000010.857983366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8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60000006.779624395</v>
      </c>
      <c r="AQ14" s="126">
        <f>VLOOKUP(AE14,db_fifarank,2,FALSE)</f>
        <v>1556.48</v>
      </c>
      <c r="AR14" s="125">
        <f>AP14/AP18</f>
        <v>0.66666665972476125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7</v>
      </c>
      <c r="AL15" s="123">
        <f>AI15-AJ15</f>
        <v>-6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0.12569292000000001</v>
      </c>
      <c r="AQ15" s="126">
        <f>VLOOKUP(AE15,db_fifarank,2,FALSE)</f>
        <v>1385.84</v>
      </c>
      <c r="AR15" s="125">
        <f>AP15/AP18</f>
        <v>1.3965878276518457E-9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Egypt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5</v>
      </c>
      <c r="AL16" s="123">
        <f>AI16-AJ16</f>
        <v>-2</v>
      </c>
      <c r="AM16" s="123">
        <f>AL16-AL18</f>
        <v>4</v>
      </c>
      <c r="AN16" s="123">
        <f>AF16*3+AG16</f>
        <v>3</v>
      </c>
      <c r="AO16" s="123">
        <f>AN16/AN18*10+BA16</f>
        <v>3</v>
      </c>
      <c r="AP16" s="123">
        <f>AO16*10000000+BI16*100+AM16/AM18*10+AI16/AI18*1++IF(AQ16=0,ROW(),AQ16)/2000000</f>
        <v>30000003.452650554</v>
      </c>
      <c r="AQ16" s="126">
        <f>VLOOKUP(AE16,db_fifarank,2,FALSE)</f>
        <v>1454.96</v>
      </c>
      <c r="AR16" s="125">
        <f>AP16/AP18</f>
        <v>0.33333333056058451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1</v>
      </c>
      <c r="AL17" s="123">
        <f>AI17-AJ17</f>
        <v>6</v>
      </c>
      <c r="AM17" s="123">
        <f>AL17-AL18</f>
        <v>12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90000010.106593937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8</v>
      </c>
      <c r="AL18" s="123">
        <f>MIN(AL14:AL17)</f>
        <v>-6</v>
      </c>
      <c r="AM18" s="123">
        <f>MAX(AM14:AM17)+1</f>
        <v>13</v>
      </c>
      <c r="AN18" s="123">
        <f>MAX(AN14:AN17)+1</f>
        <v>10</v>
      </c>
      <c r="AO18" s="123">
        <f>MAX(AO14:AO17)+1</f>
        <v>10</v>
      </c>
      <c r="AP18" s="123">
        <f>MAX(AP14:AP17)+1</f>
        <v>90000011.106593937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14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97305933.510184795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3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1</v>
      </c>
      <c r="AL21" s="123">
        <f>AI21-AJ21</f>
        <v>5</v>
      </c>
      <c r="AM21" s="123">
        <f>AL21-AL24</f>
        <v>13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97305932.718515486</v>
      </c>
      <c r="AQ21" s="126">
        <f>VLOOKUP(AE21,db_fifarank,2,FALSE)</f>
        <v>1755.87</v>
      </c>
      <c r="AR21" s="125">
        <f>AP21/AP24</f>
        <v>0.99999998158725556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Netherlands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6 - 1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6.637364958787789E-12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5</v>
      </c>
      <c r="AL23" s="123">
        <f>AI23-AJ23</f>
        <v>-3</v>
      </c>
      <c r="AM23" s="123">
        <f>AL23-AL24</f>
        <v>5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37500003.584082514</v>
      </c>
      <c r="AQ23" s="126">
        <f>VLOOKUP(AE23,db_fifarank,2,FALSE)</f>
        <v>1498.35</v>
      </c>
      <c r="AR23" s="125">
        <f>AP23/AP24</f>
        <v>0.38538249257713542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-8</v>
      </c>
      <c r="AM24" s="123">
        <f>MAX(AM20:AM23)+1</f>
        <v>15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97305934.510184795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3</v>
      </c>
      <c r="CI24" s="64"/>
      <c r="CJ24" s="27"/>
      <c r="CK24" s="113">
        <f>IF(CK23="","",CH24*1000+CI24*10+CJ24)</f>
        <v>3000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8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90000009.746868312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>
        <v>1</v>
      </c>
      <c r="BO26" s="25">
        <v>4</v>
      </c>
      <c r="BP26" s="112">
        <f>IF(OR(BM26="",BM27="",AND(BN26="",BN27&lt;&gt;""),AND(BN27="",BN26&lt;&gt;""),AND(BO26="",BO27&lt;&gt;""),AND(BO27="",BO26&lt;&gt;"")),"",BM26*1000+BN26*10+BO26)</f>
        <v>1014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2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6</v>
      </c>
      <c r="AL27" s="123">
        <f>AI27-AJ27</f>
        <v>-4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0.28646603571428569</v>
      </c>
      <c r="AQ27" s="126">
        <f>VLOOKUP(AE27,db_fifarank,2,FALSE)</f>
        <v>1503.5</v>
      </c>
      <c r="AR27" s="125">
        <f>AP27/AP30</f>
        <v>3.1829555723053481E-9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>
        <v>1</v>
      </c>
      <c r="BO27" s="27">
        <v>5</v>
      </c>
      <c r="BP27" s="113">
        <f>IF(BP26="","",BM27*1000+BN27*10+BO27)</f>
        <v>1015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4</v>
      </c>
      <c r="AL28" s="123">
        <f>AI28-AJ28</f>
        <v>0</v>
      </c>
      <c r="AM28" s="123">
        <f>AL28-AL30</f>
        <v>4</v>
      </c>
      <c r="AN28" s="123">
        <f>AF28*3+AG28</f>
        <v>4</v>
      </c>
      <c r="AO28" s="123">
        <f>AN28/AN30*10+BA28</f>
        <v>4.9805825242718447</v>
      </c>
      <c r="AP28" s="123">
        <f>AO28*10000000+BI28*100+AM28/AM30*10+AI28/AI30*1++IF(AQ28=0,ROW(),AQ28)/2000000</f>
        <v>49805928.317634225</v>
      </c>
      <c r="AQ28" s="126">
        <f>VLOOKUP(AE28,db_fifarank,2,FALSE)</f>
        <v>1580.67</v>
      </c>
      <c r="AR28" s="125">
        <f>AP28/AP30</f>
        <v>0.55339913744807301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4 - 4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4</v>
      </c>
      <c r="AL29" s="123">
        <f>AI29-AJ29</f>
        <v>0</v>
      </c>
      <c r="AM29" s="123">
        <f>AL29-AL30</f>
        <v>4</v>
      </c>
      <c r="AN29" s="123">
        <f>AF29*3+AG29</f>
        <v>4</v>
      </c>
      <c r="AO29" s="123">
        <f>AN29/AN30*10+BA29</f>
        <v>4.9805825242718447</v>
      </c>
      <c r="AP29" s="123">
        <f>AO29*10000000+BI29*100+AM29/AM30*10+AI29/AI30*1++IF(AQ29=0,ROW(),AQ29)/2000000</f>
        <v>49805928.317643411</v>
      </c>
      <c r="AQ29" s="126">
        <f>VLOOKUP(AE29,db_fifarank,2,FALSE)</f>
        <v>1599.04</v>
      </c>
      <c r="AR29" s="125">
        <f>AP29/AP30</f>
        <v>0.55339913744817504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90000010.746868312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3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90000010.20919852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7.1924991041983299E-12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7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30000005.042433158</v>
      </c>
      <c r="AQ34" s="126">
        <f>VLOOKUP(AE34,db_fifarank,2,FALSE)</f>
        <v>1532.98</v>
      </c>
      <c r="AR34" s="125">
        <f>AP34/AP36</f>
        <v>0.33333334784481655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3</v>
      </c>
      <c r="AL35" s="123">
        <f>AI35-AJ35</f>
        <v>3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60000008.084130727</v>
      </c>
      <c r="AQ35" s="126">
        <f>VLOOKUP(AE35,db_fifarank,2,FALSE)</f>
        <v>1594.78</v>
      </c>
      <c r="AR35" s="125">
        <f>AP35/AP36</f>
        <v>0.66666667345924047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-8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90000011.20919852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1010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2</v>
      </c>
      <c r="AL38" s="123">
        <f>AI38-AJ38</f>
        <v>5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90000009.966788024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1</v>
      </c>
      <c r="CP38" s="64">
        <v>0</v>
      </c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3</v>
      </c>
      <c r="AL39" s="123">
        <f>AI39-AJ39</f>
        <v>2</v>
      </c>
      <c r="AM39" s="123">
        <f>AL39-AL42</f>
        <v>7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60000006.989466585</v>
      </c>
      <c r="AQ39" s="126">
        <f>VLOOKUP(AE39,db_fifarank,2,FALSE)</f>
        <v>1660.43</v>
      </c>
      <c r="AR39" s="125">
        <f>AP39/AP42</f>
        <v>0.66666666309194011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3</v>
      </c>
      <c r="AN40" s="123">
        <f>AF40*3+AG40</f>
        <v>1</v>
      </c>
      <c r="AO40" s="123">
        <f>AN40/AN42*10+BA40</f>
        <v>1.9805825242718447</v>
      </c>
      <c r="AP40" s="123">
        <f>AO40*10000000+BI40*100+AM40/AM42*10+AI40/AI42*1++IF(AQ40=0,ROW(),AQ40)/2000000</f>
        <v>19805926.404000986</v>
      </c>
      <c r="AQ40" s="126">
        <f>VLOOKUP(AE40,db_fifarank,2,FALSE)</f>
        <v>1514.77</v>
      </c>
      <c r="AR40" s="125">
        <f>AP40/AP42</f>
        <v>0.2200658221176196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6</v>
      </c>
      <c r="AL41" s="123">
        <f>AI41-AJ41</f>
        <v>-5</v>
      </c>
      <c r="AM41" s="123">
        <f>AL41-AL42</f>
        <v>0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19805923.426712401</v>
      </c>
      <c r="AQ41" s="126">
        <f>VLOOKUP(AE41,db_fifarank,2,FALSE)</f>
        <v>1483.05</v>
      </c>
      <c r="AR41" s="125">
        <f>AP41/AP42</f>
        <v>0.22006578903663934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1 - 6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8</v>
      </c>
      <c r="AL42" s="123">
        <f>MIN(AL38:AL41)</f>
        <v>-5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90000010.966788024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15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90000010.250867352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4</v>
      </c>
      <c r="AL45" s="123">
        <f>AI45-AJ45</f>
        <v>0</v>
      </c>
      <c r="AM45" s="123">
        <f>AL45-AL48</f>
        <v>9</v>
      </c>
      <c r="AN45" s="123">
        <f>AF45*3+AG45</f>
        <v>3</v>
      </c>
      <c r="AO45" s="123">
        <f>AN45/AN48*10+BA45</f>
        <v>3</v>
      </c>
      <c r="AP45" s="123">
        <f>AO45*10000000+BI45*100+AM45/AM48*10+AI45/AI48*1++IF(AQ45=0,ROW(),AQ45)/2000000</f>
        <v>30000006.125781622</v>
      </c>
      <c r="AQ45" s="126">
        <f>VLOOKUP(AE45,db_fifarank,2,FALSE)</f>
        <v>1563.24</v>
      </c>
      <c r="AR45" s="125">
        <f>AP45/AP48</f>
        <v>0.33333335972769118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3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6 - 3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2</v>
      </c>
      <c r="AG46" s="123">
        <f>COUNTIF($S$7:$T$78,"=" &amp; AE46 &amp; "_draw")</f>
        <v>0</v>
      </c>
      <c r="AH46" s="123">
        <f>COUNTIF($S$7:$T$78,"=" &amp; AE46 &amp; "_lose")</f>
        <v>1</v>
      </c>
      <c r="AI46" s="123">
        <f>SUMIF($E$7:$E$78,$AE46,$F$7:$F$78) + SUMIF($H$7:$H$78,$AE46,$G$7:$G$78)</f>
        <v>6</v>
      </c>
      <c r="AJ46" s="123">
        <f>SUMIF($E$7:$E$78,$AE46,$G$7:$G$78) + SUMIF($H$7:$H$78,$AE46,$F$7:$F$78)</f>
        <v>3</v>
      </c>
      <c r="AL46" s="123">
        <f>AI46-AJ46</f>
        <v>3</v>
      </c>
      <c r="AM46" s="123">
        <f>AL46-AL48</f>
        <v>12</v>
      </c>
      <c r="AN46" s="123">
        <f>AF46*3+AG46</f>
        <v>6</v>
      </c>
      <c r="AO46" s="123">
        <f>AN46/AN48*10+BA46</f>
        <v>6</v>
      </c>
      <c r="AP46" s="123">
        <f>AO46*10000000+BI46*100+AM46/AM48*10+AI46/AI48*1++IF(AQ46=0,ROW(),AQ46)/2000000</f>
        <v>60000008.25080765</v>
      </c>
      <c r="AQ46" s="126">
        <f>VLOOKUP(AE46,db_fifarank,2,FALSE)</f>
        <v>1615.3</v>
      </c>
      <c r="AR46" s="125">
        <f>AP46/AP48</f>
        <v>0.66666667500254806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4 - 4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9</v>
      </c>
      <c r="AL47" s="123">
        <f>AI47-AJ47</f>
        <v>-9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7.1198324432856616E-12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0 - 9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8</v>
      </c>
      <c r="AL48" s="123">
        <f>MIN(AL44:AL47)</f>
        <v>-9</v>
      </c>
      <c r="AM48" s="123">
        <f>MAX(AM44:AM47)+1</f>
        <v>16</v>
      </c>
      <c r="AN48" s="123">
        <f>MAX(AN44:AN47)+1</f>
        <v>10</v>
      </c>
      <c r="AO48" s="123">
        <f>MAX(AO44:AO47)+1</f>
        <v>10</v>
      </c>
      <c r="AP48" s="123">
        <f>MAX(AP44:AP47)+1</f>
        <v>90000011.250867352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2</v>
      </c>
      <c r="CB48" s="63">
        <v>2</v>
      </c>
      <c r="CC48" s="25">
        <v>5</v>
      </c>
      <c r="CD48" s="112">
        <f>IF(OR(CA48="",CA49="",AND(CB48="",CB49&lt;&gt;""),AND(CB49="",CB48&lt;&gt;""),AND(CC48="",CC49&lt;&gt;""),AND(CC49="",CC48&lt;&gt;"")),"",CA48*1000+CB48*10+CC48)</f>
        <v>2025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2</v>
      </c>
      <c r="CP48" s="63">
        <v>3</v>
      </c>
      <c r="CQ48" s="25">
        <v>5</v>
      </c>
      <c r="CR48" s="111">
        <f>IF(OR(CO48="",CO49="",AND(CP48="",CP49&lt;&gt;""),AND(CP49="",CP48&lt;&gt;""),AND(CQ48="",CQ49&lt;&gt;""),AND(CQ49="",CQ48&lt;&gt;"")),"",CO48*1000+CP48*10+CQ48)</f>
        <v>2035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>
        <v>2</v>
      </c>
      <c r="CC49" s="27">
        <v>6</v>
      </c>
      <c r="CD49" s="113">
        <f>IF(CD48="","",CA49*1000+CB49*10+CC49)</f>
        <v>2026</v>
      </c>
      <c r="CK49" s="114"/>
      <c r="CL49" s="115"/>
      <c r="CM49" s="142"/>
      <c r="CN49" s="26" t="str">
        <f>IF(CK55&gt;CK56,CG56,IF(CK55&lt;CK56,CG55,""))</f>
        <v>England</v>
      </c>
      <c r="CO49" s="62">
        <v>2</v>
      </c>
      <c r="CP49" s="64">
        <v>3</v>
      </c>
      <c r="CQ49" s="27">
        <v>7</v>
      </c>
      <c r="CR49" s="111">
        <f>IF(CR48="","",CO49*1000+CP49*10+CQ49)</f>
        <v>2037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90000010.223160431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8</v>
      </c>
      <c r="AL51" s="123">
        <f>AI51-AJ51</f>
        <v>-7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0.1117941761111111</v>
      </c>
      <c r="AQ51" s="126">
        <f>VLOOKUP(AE51,db_fifarank,2,FALSE)</f>
        <v>1366.13</v>
      </c>
      <c r="AR51" s="125">
        <f>AP51/AP54</f>
        <v>1.2421573574464422E-9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Ivory Coast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6</v>
      </c>
      <c r="AL52" s="123">
        <f>AI52-AJ52</f>
        <v>-4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30000002.222932938</v>
      </c>
      <c r="AQ52" s="126">
        <f>VLOOKUP(AE52,db_fifarank,2,FALSE)</f>
        <v>1421.43</v>
      </c>
      <c r="AR52" s="125">
        <f>AP52/AP54</f>
        <v>0.33333331646532943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11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60000008.000836536</v>
      </c>
      <c r="AQ53" s="126">
        <f>VLOOKUP(AE53,db_fifarank,2,FALSE)</f>
        <v>1673.07</v>
      </c>
      <c r="AR53" s="125">
        <f>AP53/AP54</f>
        <v>0.66666667243032796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-7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90000011.223160431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1</v>
      </c>
      <c r="AL56" s="123">
        <f>AI56-AJ56</f>
        <v>7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90000010.175541833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3</v>
      </c>
      <c r="AL57" s="123">
        <f>AI57-AJ57</f>
        <v>2</v>
      </c>
      <c r="AM57" s="123">
        <f>AL57-AL60</f>
        <v>8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60000006.270685762</v>
      </c>
      <c r="AQ57" s="126">
        <f>VLOOKUP(AE57,db_fifarank,2,FALSE)</f>
        <v>1688.99</v>
      </c>
      <c r="AR57" s="125">
        <f>AP57/AP60</f>
        <v>0.66666665355916321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2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1.2426074136033331E-9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6</v>
      </c>
      <c r="AL59" s="123">
        <f>AI59-AJ59</f>
        <v>-3</v>
      </c>
      <c r="AM59" s="123">
        <f>AL59-AL60</f>
        <v>3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30000002.476965945</v>
      </c>
      <c r="AQ59" s="126">
        <f>VLOOKUP(AE59,db_fifarank,2,FALSE)</f>
        <v>1550.94</v>
      </c>
      <c r="AR59" s="125">
        <f>AP59/AP60</f>
        <v>0.33333331946428324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-6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90000011.175541833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90000010.223159641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4</v>
      </c>
      <c r="AL63" s="123">
        <f>AI63-AJ63</f>
        <v>-1</v>
      </c>
      <c r="AM63" s="123">
        <f>AL63-AL66</f>
        <v>6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49805927.635086335</v>
      </c>
      <c r="AQ63" s="126">
        <f>VLOOKUP(AE63,db_fifarank,2,FALSE)</f>
        <v>1564.26</v>
      </c>
      <c r="AR63" s="125">
        <f>AP63/AP66</f>
        <v>0.55339912693555093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Iran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8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49805929.079545379</v>
      </c>
      <c r="AQ64" s="126">
        <f>VLOOKUP(AE64,db_fifarank,2,FALSE)</f>
        <v>1593.45</v>
      </c>
      <c r="AR64" s="125">
        <f>AP64/AP66</f>
        <v>0.55339914298509396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7.7302768137985474E-12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9</v>
      </c>
      <c r="AL66" s="123">
        <f>MIN(AL62:AL65)</f>
        <v>-7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90000011.223159641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90000010.120540038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19805923.412821162</v>
      </c>
      <c r="AQ69" s="126">
        <f>VLOOKUP(AE69,db_fifarank,2,FALSE)</f>
        <v>1478.35</v>
      </c>
      <c r="AR69" s="125">
        <f>AP69/AP72</f>
        <v>0.22006578850634168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19805923.412814658</v>
      </c>
      <c r="AQ70" s="126">
        <f>VLOOKUP(AE70,db_fifarank,2,FALSE)</f>
        <v>1465.34</v>
      </c>
      <c r="AR70" s="125">
        <f>AP70/AP72</f>
        <v>0.2200657885062694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41">
        <v>87</v>
      </c>
      <c r="BL70" s="24" t="str">
        <f>AS68</f>
        <v>Portugal</v>
      </c>
      <c r="BM70" s="61">
        <v>4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4000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60000006.710248247</v>
      </c>
      <c r="AQ71" s="126">
        <f>VLOOKUP(AE71,db_fifarank,2,FALSE)</f>
        <v>1693.09</v>
      </c>
      <c r="AR71" s="125">
        <f>AP71/AP72</f>
        <v>0.66666665885061083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-5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90000011.120540038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1</v>
      </c>
      <c r="AL74" s="123">
        <f>AI74-AJ74</f>
        <v>7</v>
      </c>
      <c r="AM74" s="123">
        <f>AL74-AL78</f>
        <v>15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90000010.264801875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2</v>
      </c>
      <c r="AL75" s="123">
        <f>AI75-AJ75</f>
        <v>4</v>
      </c>
      <c r="AM75" s="123">
        <f>AL75-AL78</f>
        <v>12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60000008.167525202</v>
      </c>
      <c r="AQ75" s="126">
        <f>VLOOKUP(AE75,db_fifarank,2,FALSE)</f>
        <v>1717.07</v>
      </c>
      <c r="AR75" s="125">
        <f>AP75/AP78</f>
        <v>0.66666667397396895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8</v>
      </c>
      <c r="AL76" s="123">
        <f>AI76-AJ76</f>
        <v>-8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6.7315499999999993E-4</v>
      </c>
      <c r="AQ76" s="126">
        <f>VLOOKUP(AE76,db_fifarank,2,FALSE)</f>
        <v>1346.31</v>
      </c>
      <c r="AR76" s="125">
        <f>AP76/AP78</f>
        <v>7.4794990638324984E-12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5</v>
      </c>
      <c r="AN77" s="123">
        <f>AF77*3+AG77</f>
        <v>3</v>
      </c>
      <c r="AO77" s="123">
        <f>AN77/AN78*10+BA77</f>
        <v>3</v>
      </c>
      <c r="AP77" s="123">
        <f>AO77*10000000+BI77*100+AM77/AM78*10+AI77/AI78*1++IF(AQ77=0,ROW(),AQ77)/2000000</f>
        <v>30000003.347992543</v>
      </c>
      <c r="AQ77" s="126">
        <f>VLOOKUP(AE77,db_fifarank,2,FALSE)</f>
        <v>1540.64</v>
      </c>
      <c r="AR77" s="125">
        <f>AP77/AP78</f>
        <v>0.33333332881176264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0 - 8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-8</v>
      </c>
      <c r="AM78" s="123">
        <f>MAX(AM74:AM77)+1</f>
        <v>16</v>
      </c>
      <c r="AN78" s="123">
        <f>MAX(AN74:AN77)+1</f>
        <v>10</v>
      </c>
      <c r="AO78" s="123">
        <f>MAX(AO74:AO77)+1</f>
        <v>10</v>
      </c>
      <c r="AP78" s="123">
        <f>MAX(AP74:AP77)+1</f>
        <v>90000011.264801875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5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6560.0007506900001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Australia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6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6560.00072748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Ⓙ Algeria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3 - 4</v>
      </c>
      <c r="P82" s="101">
        <f t="shared" ref="P82:P92" si="48">L82*3+M82</f>
        <v>4</v>
      </c>
      <c r="AD82" s="123">
        <f t="shared" si="38"/>
        <v>9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5</v>
      </c>
      <c r="AK82" s="123" t="s">
        <v>3182</v>
      </c>
      <c r="AL82" s="123">
        <f t="shared" si="43"/>
        <v>-3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6373.3340825083333</v>
      </c>
      <c r="AQ82" s="126">
        <f t="shared" si="37"/>
        <v>1498.35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Ⓖ Egypt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4 - 4</v>
      </c>
      <c r="P83" s="101">
        <f t="shared" si="48"/>
        <v>3</v>
      </c>
      <c r="AD83" s="123">
        <f t="shared" si="38"/>
        <v>1</v>
      </c>
      <c r="AE83" s="124" t="str">
        <f>J29</f>
        <v>Australia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4</v>
      </c>
      <c r="AJ83" s="123">
        <f t="shared" si="42"/>
        <v>4</v>
      </c>
      <c r="AK83" s="123" t="s">
        <v>3184</v>
      </c>
      <c r="AL83" s="123">
        <f t="shared" si="43"/>
        <v>0</v>
      </c>
      <c r="AM83" s="123">
        <f t="shared" si="44"/>
        <v>5</v>
      </c>
      <c r="AN83" s="123">
        <f t="shared" si="45"/>
        <v>4</v>
      </c>
      <c r="AP83" s="123">
        <f>AN83/AN92*10000+AM83/AM92*1000+AI83/AI92*100+IF(AQ83=0,ROW(),AQ83)/2000000</f>
        <v>8913.3341236683336</v>
      </c>
      <c r="AQ83" s="126">
        <f t="shared" si="37"/>
        <v>1580.67</v>
      </c>
      <c r="AR83" s="125" t="str">
        <f t="shared" si="50"/>
        <v>ABD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6726.6674331566674</v>
      </c>
      <c r="AQ84" s="126">
        <f t="shared" si="37"/>
        <v>1532.98</v>
      </c>
      <c r="AR84" s="125" t="str">
        <f t="shared" si="50"/>
        <v>ABDE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Ⓐ Czech Republic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3</v>
      </c>
      <c r="AN85" s="123">
        <f t="shared" si="45"/>
        <v>1</v>
      </c>
      <c r="AP85" s="123">
        <f>AN85/AN92*10000+AM85/AM92*1000+AI85/AI92*100+IF(AQ85=0,ROW(),AQ85)/2000000</f>
        <v>2560.0007573849998</v>
      </c>
      <c r="AQ85" s="126">
        <f t="shared" si="37"/>
        <v>1514.77</v>
      </c>
      <c r="AR85" s="125" t="str">
        <f t="shared" si="50"/>
        <v>ABDE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Ⓑ Qatar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3</v>
      </c>
      <c r="AE86" s="124" t="str">
        <f>J47</f>
        <v>Egypt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4</v>
      </c>
      <c r="AJ86" s="123">
        <f t="shared" si="42"/>
        <v>4</v>
      </c>
      <c r="AK86" s="123" t="s">
        <v>3187</v>
      </c>
      <c r="AL86" s="123">
        <f t="shared" si="43"/>
        <v>0</v>
      </c>
      <c r="AM86" s="123">
        <f t="shared" si="44"/>
        <v>5</v>
      </c>
      <c r="AN86" s="123">
        <f t="shared" si="45"/>
        <v>3</v>
      </c>
      <c r="AP86" s="123">
        <f>AN86/AN92*10000+AM86/AM92*1000+AI86/AI92*100+IF(AQ86=0,ROW(),AQ86)/2000000</f>
        <v>6913.3341149533335</v>
      </c>
      <c r="AQ86" s="126">
        <f t="shared" si="37"/>
        <v>1563.24</v>
      </c>
      <c r="AR86" s="125" t="str">
        <f t="shared" si="50"/>
        <v>ABDEG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Ⓘ Norway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6</v>
      </c>
      <c r="AK87" s="123" t="s">
        <v>3188</v>
      </c>
      <c r="AL87" s="123">
        <f t="shared" si="43"/>
        <v>-4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6206.6673773816674</v>
      </c>
      <c r="AQ87" s="126">
        <f t="shared" si="37"/>
        <v>1421.43</v>
      </c>
      <c r="AR87" s="125" t="str">
        <f t="shared" si="50"/>
        <v>ABDEG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Ⓛ Panama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7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6</v>
      </c>
      <c r="AK88" s="123" t="s">
        <v>3189</v>
      </c>
      <c r="AL88" s="123">
        <f t="shared" si="43"/>
        <v>-3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6393.334108803333</v>
      </c>
      <c r="AQ88" s="126">
        <f t="shared" si="37"/>
        <v>1550.94</v>
      </c>
      <c r="AR88" s="125" t="str">
        <f t="shared" si="50"/>
        <v>ABDEGI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Ⓒ Scotland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2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4</v>
      </c>
      <c r="AK89" s="123" t="s">
        <v>3190</v>
      </c>
      <c r="AL89" s="123">
        <f t="shared" si="43"/>
        <v>-1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8726.6674487966666</v>
      </c>
      <c r="AQ89" s="126">
        <f t="shared" si="37"/>
        <v>1564.26</v>
      </c>
      <c r="AR89" s="125" t="str">
        <f t="shared" si="50"/>
        <v>ABDEGIJ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2 - 6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2020.000739175</v>
      </c>
      <c r="AQ90" s="126">
        <f t="shared" si="37"/>
        <v>1478.35</v>
      </c>
      <c r="AR90" s="125" t="str">
        <f t="shared" si="50"/>
        <v>ABDEGIJ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Sweden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8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5</v>
      </c>
      <c r="AK91" s="123" t="s">
        <v>3192</v>
      </c>
      <c r="AL91" s="123">
        <f>VLOOKUP($AE91,$AE$8:$AQ$78,8,FALSE)</f>
        <v>-3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6373.3341036533329</v>
      </c>
      <c r="AQ91" s="126">
        <f t="shared" si="37"/>
        <v>1540.64</v>
      </c>
      <c r="AR91" s="125" t="str">
        <f t="shared" si="50"/>
        <v>ABDEGIJL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342</v>
      </c>
      <c r="C3" s="121" t="str">
        <f>'2026 World Cup'!AR91</f>
        <v>ABDEGIJL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javier tomé garcía</cp:lastModifiedBy>
  <cp:revision/>
  <dcterms:created xsi:type="dcterms:W3CDTF">2017-12-27T19:32:51Z</dcterms:created>
  <dcterms:modified xsi:type="dcterms:W3CDTF">2026-06-02T09:15:53Z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