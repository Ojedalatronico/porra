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25220\Downloads\"/>
    </mc:Choice>
  </mc:AlternateContent>
  <xr:revisionPtr revIDLastSave="0" documentId="13_ncr:1_{66F5F6D0-5DE4-4FA4-9D6E-D472C5CADD32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 s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S48" i="3"/>
  <c r="T48" i="3" s="1"/>
  <c r="S43" i="3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S54" i="3"/>
  <c r="S77" i="3"/>
  <c r="S50" i="3"/>
  <c r="S76" i="3"/>
  <c r="T25" i="3"/>
  <c r="S47" i="3"/>
  <c r="S67" i="3"/>
  <c r="T23" i="3"/>
  <c r="T43" i="3"/>
  <c r="S72" i="3"/>
  <c r="T46" i="3"/>
  <c r="S70" i="3"/>
  <c r="S42" i="3"/>
  <c r="S64" i="3"/>
  <c r="T41" i="3"/>
  <c r="S40" i="3"/>
  <c r="S62" i="3"/>
  <c r="S38" i="3"/>
  <c r="S65" i="3"/>
  <c r="T37" i="3"/>
  <c r="S55" i="3"/>
  <c r="S57" i="3"/>
  <c r="T8" i="3"/>
  <c r="T33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R11" i="3" l="1"/>
  <c r="AR10" i="3"/>
  <c r="AR9" i="3"/>
  <c r="AR21" i="3"/>
  <c r="AR28" i="3"/>
  <c r="AR35" i="3"/>
  <c r="AR33" i="3"/>
  <c r="AR34" i="3"/>
  <c r="AR22" i="3"/>
  <c r="AD58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11" i="3" l="1"/>
  <c r="AD8" i="3"/>
  <c r="O9" i="3" s="1"/>
  <c r="AD10" i="3"/>
  <c r="AD9" i="3"/>
  <c r="M58" i="3"/>
  <c r="AD22" i="3"/>
  <c r="AD33" i="3"/>
  <c r="AD53" i="3"/>
  <c r="AD32" i="3"/>
  <c r="AD75" i="3"/>
  <c r="AD15" i="3"/>
  <c r="AD28" i="3"/>
  <c r="AD41" i="3"/>
  <c r="AD35" i="3"/>
  <c r="AD34" i="3"/>
  <c r="AD77" i="3"/>
  <c r="AD70" i="3"/>
  <c r="AD68" i="3"/>
  <c r="O60" i="3"/>
  <c r="AD27" i="3"/>
  <c r="L58" i="3"/>
  <c r="L59" i="3"/>
  <c r="N58" i="3"/>
  <c r="AD62" i="3"/>
  <c r="O63" i="3" s="1"/>
  <c r="AD44" i="3"/>
  <c r="M45" i="3" s="1"/>
  <c r="AD71" i="3"/>
  <c r="AD63" i="3"/>
  <c r="AD29" i="3"/>
  <c r="AD47" i="3"/>
  <c r="AD20" i="3"/>
  <c r="AD21" i="3"/>
  <c r="M59" i="3"/>
  <c r="AD76" i="3"/>
  <c r="AD26" i="3"/>
  <c r="AD14" i="3"/>
  <c r="AD74" i="3"/>
  <c r="N75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J39" i="3" s="1"/>
  <c r="AS38" i="3" s="1"/>
  <c r="BL22" i="3" s="1"/>
  <c r="AD50" i="3"/>
  <c r="N59" i="3"/>
  <c r="AD17" i="3"/>
  <c r="M69" i="3" l="1"/>
  <c r="J36" i="3"/>
  <c r="M33" i="3"/>
  <c r="O33" i="3"/>
  <c r="J9" i="3"/>
  <c r="AS8" i="3" s="1"/>
  <c r="BL50" i="3" s="1"/>
  <c r="M10" i="3"/>
  <c r="L9" i="3"/>
  <c r="M9" i="3"/>
  <c r="N9" i="3"/>
  <c r="J12" i="3"/>
  <c r="M36" i="3"/>
  <c r="L12" i="3"/>
  <c r="J10" i="3"/>
  <c r="AS9" i="3" s="1"/>
  <c r="BL18" i="3" s="1"/>
  <c r="M12" i="3"/>
  <c r="N11" i="3"/>
  <c r="O10" i="3"/>
  <c r="O12" i="3"/>
  <c r="L10" i="3"/>
  <c r="M11" i="3"/>
  <c r="J11" i="3"/>
  <c r="AE80" i="3" s="1"/>
  <c r="AQ80" i="3" s="1"/>
  <c r="L11" i="3"/>
  <c r="O11" i="3"/>
  <c r="N12" i="3"/>
  <c r="N10" i="3"/>
  <c r="O36" i="3"/>
  <c r="L36" i="3"/>
  <c r="P58" i="3"/>
  <c r="M51" i="3"/>
  <c r="O35" i="3"/>
  <c r="L33" i="3"/>
  <c r="N33" i="3"/>
  <c r="J33" i="3"/>
  <c r="AS32" i="3" s="1"/>
  <c r="BL10" i="3" s="1"/>
  <c r="L69" i="3"/>
  <c r="P69" i="3" s="1"/>
  <c r="N36" i="3"/>
  <c r="M35" i="3"/>
  <c r="N34" i="3"/>
  <c r="M34" i="3"/>
  <c r="N35" i="3"/>
  <c r="J35" i="3"/>
  <c r="AE84" i="3" s="1"/>
  <c r="AQ84" i="3" s="1"/>
  <c r="O34" i="3"/>
  <c r="L35" i="3"/>
  <c r="J34" i="3"/>
  <c r="AS33" i="3" s="1"/>
  <c r="BL46" i="3" s="1"/>
  <c r="O21" i="3"/>
  <c r="L34" i="3"/>
  <c r="N71" i="3"/>
  <c r="J69" i="3"/>
  <c r="AS68" i="3" s="1"/>
  <c r="BL70" i="3" s="1"/>
  <c r="O69" i="3"/>
  <c r="N69" i="3"/>
  <c r="N21" i="3"/>
  <c r="M54" i="3"/>
  <c r="O64" i="3"/>
  <c r="N29" i="3"/>
  <c r="O40" i="3"/>
  <c r="O70" i="3"/>
  <c r="J63" i="3"/>
  <c r="AS62" i="3" s="1"/>
  <c r="BL58" i="3" s="1"/>
  <c r="BS60" i="3" s="1"/>
  <c r="BZ64" i="3" s="1"/>
  <c r="J16" i="3"/>
  <c r="AS15" i="3" s="1"/>
  <c r="BL19" i="3" s="1"/>
  <c r="J66" i="3"/>
  <c r="N40" i="3"/>
  <c r="O39" i="3"/>
  <c r="J45" i="3"/>
  <c r="AS44" i="3" s="1"/>
  <c r="BL38" i="3" s="1"/>
  <c r="J72" i="3"/>
  <c r="O72" i="3"/>
  <c r="N72" i="3"/>
  <c r="L40" i="3"/>
  <c r="M72" i="3"/>
  <c r="N65" i="3"/>
  <c r="O71" i="3"/>
  <c r="L39" i="3"/>
  <c r="M42" i="3"/>
  <c r="M71" i="3"/>
  <c r="L71" i="3"/>
  <c r="M76" i="3"/>
  <c r="N70" i="3"/>
  <c r="L51" i="3"/>
  <c r="J75" i="3"/>
  <c r="AS74" i="3" s="1"/>
  <c r="BL54" i="3" s="1"/>
  <c r="O45" i="3"/>
  <c r="J65" i="3"/>
  <c r="AE89" i="3" s="1"/>
  <c r="AQ89" i="3" s="1"/>
  <c r="M40" i="3"/>
  <c r="O76" i="3"/>
  <c r="N63" i="3"/>
  <c r="O78" i="3"/>
  <c r="M63" i="3"/>
  <c r="J47" i="3"/>
  <c r="AE86" i="3" s="1"/>
  <c r="AQ86" i="3" s="1"/>
  <c r="L76" i="3"/>
  <c r="L63" i="3"/>
  <c r="O75" i="3"/>
  <c r="N45" i="3"/>
  <c r="L75" i="3"/>
  <c r="AN88" i="3"/>
  <c r="N17" i="3"/>
  <c r="M16" i="3"/>
  <c r="L64" i="3"/>
  <c r="J41" i="3"/>
  <c r="AE85" i="3" s="1"/>
  <c r="AQ85" i="3" s="1"/>
  <c r="J42" i="3"/>
  <c r="L77" i="3"/>
  <c r="M65" i="3"/>
  <c r="O66" i="3"/>
  <c r="N76" i="3"/>
  <c r="M75" i="3"/>
  <c r="O42" i="3"/>
  <c r="AT88" i="3"/>
  <c r="K57" i="3"/>
  <c r="L18" i="3"/>
  <c r="N18" i="3"/>
  <c r="N66" i="3"/>
  <c r="M66" i="3"/>
  <c r="L54" i="3"/>
  <c r="O18" i="3"/>
  <c r="O54" i="3"/>
  <c r="J70" i="3"/>
  <c r="AS69" i="3" s="1"/>
  <c r="BL26" i="3" s="1"/>
  <c r="M70" i="3"/>
  <c r="L66" i="3"/>
  <c r="O51" i="3"/>
  <c r="M17" i="3"/>
  <c r="P57" i="3"/>
  <c r="J48" i="3"/>
  <c r="J71" i="3"/>
  <c r="AE90" i="3" s="1"/>
  <c r="AQ90" i="3" s="1"/>
  <c r="L70" i="3"/>
  <c r="O65" i="3"/>
  <c r="N51" i="3"/>
  <c r="M39" i="3"/>
  <c r="L16" i="3"/>
  <c r="N64" i="3"/>
  <c r="L15" i="3"/>
  <c r="O16" i="3"/>
  <c r="N24" i="3"/>
  <c r="J18" i="3"/>
  <c r="L65" i="3"/>
  <c r="N16" i="3"/>
  <c r="M64" i="3"/>
  <c r="O24" i="3"/>
  <c r="M18" i="3"/>
  <c r="K58" i="3"/>
  <c r="P59" i="3"/>
  <c r="L72" i="3"/>
  <c r="L45" i="3"/>
  <c r="J40" i="3"/>
  <c r="AS39" i="3" s="1"/>
  <c r="BL43" i="3" s="1"/>
  <c r="L22" i="3"/>
  <c r="M24" i="3"/>
  <c r="O30" i="3"/>
  <c r="N78" i="3"/>
  <c r="AG88" i="3"/>
  <c r="L24" i="3"/>
  <c r="AF88" i="3"/>
  <c r="N30" i="3"/>
  <c r="M27" i="3"/>
  <c r="O46" i="3"/>
  <c r="AJ88" i="3"/>
  <c r="J27" i="3"/>
  <c r="AS26" i="3" s="1"/>
  <c r="BL34" i="3" s="1"/>
  <c r="L48" i="3"/>
  <c r="N46" i="3"/>
  <c r="M30" i="3"/>
  <c r="N77" i="3"/>
  <c r="M47" i="3"/>
  <c r="M22" i="3"/>
  <c r="M77" i="3"/>
  <c r="J78" i="3"/>
  <c r="N52" i="3"/>
  <c r="N47" i="3"/>
  <c r="L42" i="3"/>
  <c r="L28" i="3"/>
  <c r="O23" i="3"/>
  <c r="L21" i="3"/>
  <c r="K59" i="3"/>
  <c r="O48" i="3"/>
  <c r="N28" i="3"/>
  <c r="L46" i="3"/>
  <c r="J28" i="3"/>
  <c r="AS27" i="3" s="1"/>
  <c r="BL62" i="3" s="1"/>
  <c r="BS61" i="3" s="1"/>
  <c r="L47" i="3"/>
  <c r="J30" i="3"/>
  <c r="L23" i="3"/>
  <c r="O29" i="3"/>
  <c r="J22" i="3"/>
  <c r="AS21" i="3" s="1"/>
  <c r="BL23" i="3" s="1"/>
  <c r="L17" i="3"/>
  <c r="P17" i="3" s="1"/>
  <c r="M29" i="3"/>
  <c r="L78" i="3"/>
  <c r="O27" i="3"/>
  <c r="N27" i="3"/>
  <c r="M78" i="3"/>
  <c r="AI88" i="3"/>
  <c r="M28" i="3"/>
  <c r="M48" i="3"/>
  <c r="J29" i="3"/>
  <c r="AE83" i="3" s="1"/>
  <c r="AQ83" i="3" s="1"/>
  <c r="O28" i="3"/>
  <c r="J77" i="3"/>
  <c r="AE91" i="3" s="1"/>
  <c r="AQ91" i="3" s="1"/>
  <c r="L27" i="3"/>
  <c r="N22" i="3"/>
  <c r="J21" i="3"/>
  <c r="AS20" i="3" s="1"/>
  <c r="BL42" i="3" s="1"/>
  <c r="BS44" i="3" s="1"/>
  <c r="O77" i="3"/>
  <c r="N54" i="3"/>
  <c r="N48" i="3"/>
  <c r="J46" i="3"/>
  <c r="AS45" i="3" s="1"/>
  <c r="BL63" i="3" s="1"/>
  <c r="M21" i="3"/>
  <c r="J52" i="3"/>
  <c r="AS51" i="3" s="1"/>
  <c r="BL59" i="3" s="1"/>
  <c r="O47" i="3"/>
  <c r="N39" i="3"/>
  <c r="L29" i="3"/>
  <c r="O22" i="3"/>
  <c r="J24" i="3"/>
  <c r="O17" i="3"/>
  <c r="N53" i="3"/>
  <c r="J76" i="3"/>
  <c r="AS75" i="3" s="1"/>
  <c r="BL27" i="3" s="1"/>
  <c r="J64" i="3"/>
  <c r="AS63" i="3" s="1"/>
  <c r="BL31" i="3" s="1"/>
  <c r="J51" i="3"/>
  <c r="AS50" i="3" s="1"/>
  <c r="BL30" i="3" s="1"/>
  <c r="M46" i="3"/>
  <c r="L30" i="3"/>
  <c r="M41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10" i="3" l="1"/>
  <c r="P11" i="3"/>
  <c r="K9" i="3"/>
  <c r="P9" i="3"/>
  <c r="P33" i="3"/>
  <c r="P36" i="3"/>
  <c r="AJ80" i="3"/>
  <c r="AI80" i="3"/>
  <c r="AL80" i="3"/>
  <c r="K11" i="3"/>
  <c r="K36" i="3"/>
  <c r="AH80" i="3"/>
  <c r="AG80" i="3"/>
  <c r="K10" i="3"/>
  <c r="P12" i="3"/>
  <c r="AT80" i="3"/>
  <c r="AN80" i="3"/>
  <c r="K12" i="3"/>
  <c r="AF80" i="3"/>
  <c r="P35" i="3"/>
  <c r="K33" i="3"/>
  <c r="AT84" i="3"/>
  <c r="AL84" i="3"/>
  <c r="K35" i="3"/>
  <c r="AN84" i="3"/>
  <c r="AI84" i="3"/>
  <c r="K69" i="3"/>
  <c r="AJ84" i="3"/>
  <c r="AH84" i="3"/>
  <c r="AG84" i="3"/>
  <c r="AF84" i="3"/>
  <c r="P34" i="3"/>
  <c r="K34" i="3"/>
  <c r="P54" i="3"/>
  <c r="AI86" i="3"/>
  <c r="P76" i="3"/>
  <c r="AJ86" i="3"/>
  <c r="P65" i="3"/>
  <c r="AH86" i="3"/>
  <c r="AH82" i="3"/>
  <c r="P39" i="3"/>
  <c r="AT82" i="3"/>
  <c r="AG86" i="3"/>
  <c r="AN82" i="3"/>
  <c r="AG82" i="3"/>
  <c r="AF82" i="3"/>
  <c r="AJ82" i="3"/>
  <c r="P71" i="3"/>
  <c r="AJ90" i="3"/>
  <c r="AG90" i="3"/>
  <c r="AI90" i="3"/>
  <c r="AL85" i="3"/>
  <c r="AG85" i="3"/>
  <c r="P30" i="3"/>
  <c r="K51" i="3"/>
  <c r="P46" i="3"/>
  <c r="K71" i="3"/>
  <c r="P40" i="3"/>
  <c r="K65" i="3"/>
  <c r="AN89" i="3"/>
  <c r="P63" i="3"/>
  <c r="AL89" i="3"/>
  <c r="AT85" i="3"/>
  <c r="AJ89" i="3"/>
  <c r="AF85" i="3"/>
  <c r="AI82" i="3"/>
  <c r="AL86" i="3"/>
  <c r="P18" i="3"/>
  <c r="AG89" i="3"/>
  <c r="K16" i="3"/>
  <c r="K40" i="3"/>
  <c r="AI89" i="3"/>
  <c r="AF91" i="3"/>
  <c r="AF89" i="3"/>
  <c r="P77" i="3"/>
  <c r="K18" i="3"/>
  <c r="AH89" i="3"/>
  <c r="P75" i="3"/>
  <c r="P24" i="3"/>
  <c r="K47" i="3"/>
  <c r="P23" i="3"/>
  <c r="P72" i="3"/>
  <c r="AJ85" i="3"/>
  <c r="AT89" i="3"/>
  <c r="AL90" i="3"/>
  <c r="AF86" i="3"/>
  <c r="P51" i="3"/>
  <c r="K76" i="3"/>
  <c r="P78" i="3"/>
  <c r="AL83" i="3"/>
  <c r="AN81" i="3"/>
  <c r="K30" i="3"/>
  <c r="AG91" i="3"/>
  <c r="K27" i="3"/>
  <c r="K48" i="3"/>
  <c r="P22" i="3"/>
  <c r="K24" i="3"/>
  <c r="K75" i="3"/>
  <c r="P64" i="3"/>
  <c r="AL81" i="3"/>
  <c r="K29" i="3"/>
  <c r="K54" i="3"/>
  <c r="K64" i="3"/>
  <c r="K78" i="3"/>
  <c r="AT81" i="3"/>
  <c r="AT86" i="3"/>
  <c r="K63" i="3"/>
  <c r="P28" i="3"/>
  <c r="AN86" i="3"/>
  <c r="K39" i="3"/>
  <c r="P42" i="3"/>
  <c r="K45" i="3"/>
  <c r="P15" i="3"/>
  <c r="K66" i="3"/>
  <c r="P70" i="3"/>
  <c r="K42" i="3"/>
  <c r="P45" i="3"/>
  <c r="K53" i="3"/>
  <c r="AH90" i="3"/>
  <c r="AN85" i="3"/>
  <c r="AF90" i="3"/>
  <c r="AI85" i="3"/>
  <c r="P16" i="3"/>
  <c r="AT83" i="3"/>
  <c r="AN83" i="3"/>
  <c r="AH85" i="3"/>
  <c r="AJ83" i="3"/>
  <c r="K70" i="3"/>
  <c r="AH83" i="3"/>
  <c r="AF87" i="3"/>
  <c r="AI81" i="3"/>
  <c r="AG83" i="3"/>
  <c r="P66" i="3"/>
  <c r="AH81" i="3"/>
  <c r="AF83" i="3"/>
  <c r="K72" i="3"/>
  <c r="K15" i="3"/>
  <c r="P47" i="3"/>
  <c r="AI83" i="3"/>
  <c r="AJ81" i="3"/>
  <c r="K28" i="3"/>
  <c r="AT90" i="3"/>
  <c r="AG81" i="3"/>
  <c r="AF81" i="3"/>
  <c r="AN90" i="3"/>
  <c r="AH91" i="3"/>
  <c r="K41" i="3"/>
  <c r="K22" i="3"/>
  <c r="P21" i="3"/>
  <c r="K46" i="3"/>
  <c r="P48" i="3"/>
  <c r="P52" i="3"/>
  <c r="P41" i="3"/>
  <c r="K77" i="3"/>
  <c r="P53" i="3"/>
  <c r="K17" i="3"/>
  <c r="K21" i="3"/>
  <c r="AT87" i="3"/>
  <c r="AT91" i="3"/>
  <c r="P29" i="3"/>
  <c r="AL87" i="3"/>
  <c r="AN91" i="3"/>
  <c r="AN87" i="3"/>
  <c r="AJ87" i="3"/>
  <c r="AL91" i="3"/>
  <c r="P27" i="3"/>
  <c r="AH87" i="3"/>
  <c r="AJ91" i="3"/>
  <c r="AG87" i="3"/>
  <c r="AI91" i="3"/>
  <c r="K23" i="3"/>
  <c r="AL82" i="3"/>
  <c r="AI87" i="3"/>
  <c r="K52" i="3"/>
  <c r="AG92" i="3" l="1"/>
  <c r="AN92" i="3"/>
  <c r="AF92" i="3"/>
  <c r="AH92" i="3"/>
  <c r="AS92" i="3"/>
  <c r="AJ92" i="3"/>
  <c r="AI92" i="3"/>
  <c r="AL92" i="3"/>
  <c r="AM88" i="3" s="1"/>
  <c r="AM90" i="3" l="1"/>
  <c r="AM83" i="3"/>
  <c r="AM82" i="3"/>
  <c r="AM91" i="3"/>
  <c r="AM89" i="3"/>
  <c r="AM80" i="3"/>
  <c r="AM81" i="3"/>
  <c r="AM85" i="3"/>
  <c r="AM86" i="3"/>
  <c r="AM87" i="3"/>
  <c r="AM84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AP81" i="3" l="1"/>
  <c r="AP80" i="3"/>
  <c r="AP89" i="3"/>
  <c r="AP86" i="3"/>
  <c r="AP84" i="3"/>
  <c r="AP83" i="3"/>
  <c r="AP85" i="3"/>
  <c r="AP91" i="3"/>
  <c r="AP82" i="3"/>
  <c r="AP88" i="3"/>
  <c r="AP90" i="3"/>
  <c r="AD84" i="3" l="1"/>
  <c r="AS84" i="3" s="1"/>
  <c r="AD85" i="3"/>
  <c r="AS85" i="3" s="1"/>
  <c r="AD90" i="3"/>
  <c r="AS90" i="3" s="1"/>
  <c r="AD91" i="3"/>
  <c r="AS91" i="3" s="1"/>
  <c r="AD83" i="3"/>
  <c r="AS83" i="3" s="1"/>
  <c r="AD86" i="3"/>
  <c r="AS86" i="3" s="1"/>
  <c r="AD89" i="3"/>
  <c r="AS89" i="3" s="1"/>
  <c r="AD88" i="3"/>
  <c r="AS88" i="3" s="1"/>
  <c r="AD82" i="3"/>
  <c r="AS82" i="3" s="1"/>
  <c r="AD81" i="3"/>
  <c r="AS81" i="3" s="1"/>
  <c r="AD80" i="3"/>
  <c r="AD87" i="3"/>
  <c r="AS87" i="3" s="1"/>
  <c r="L83" i="3" l="1"/>
  <c r="O83" i="3"/>
  <c r="AS80" i="3"/>
  <c r="M90" i="3"/>
  <c r="N82" i="3"/>
  <c r="L91" i="3"/>
  <c r="O92" i="3"/>
  <c r="N86" i="3"/>
  <c r="M92" i="3"/>
  <c r="L87" i="3"/>
  <c r="L86" i="3"/>
  <c r="O87" i="3"/>
  <c r="O81" i="3"/>
  <c r="J89" i="3"/>
  <c r="M83" i="3"/>
  <c r="L82" i="3"/>
  <c r="J84" i="3"/>
  <c r="L90" i="3"/>
  <c r="J83" i="3"/>
  <c r="J86" i="3"/>
  <c r="N88" i="3"/>
  <c r="L84" i="3"/>
  <c r="J92" i="3"/>
  <c r="J85" i="3"/>
  <c r="M88" i="3"/>
  <c r="M86" i="3"/>
  <c r="J81" i="3"/>
  <c r="O86" i="3"/>
  <c r="O85" i="3"/>
  <c r="M82" i="3"/>
  <c r="L92" i="3"/>
  <c r="O88" i="3"/>
  <c r="N85" i="3"/>
  <c r="M89" i="3"/>
  <c r="J90" i="3"/>
  <c r="N89" i="3"/>
  <c r="O90" i="3"/>
  <c r="J87" i="3"/>
  <c r="M91" i="3"/>
  <c r="L89" i="3"/>
  <c r="J82" i="3"/>
  <c r="O89" i="3"/>
  <c r="O91" i="3"/>
  <c r="L88" i="3"/>
  <c r="O84" i="3"/>
  <c r="N92" i="3"/>
  <c r="N91" i="3"/>
  <c r="N90" i="3"/>
  <c r="M85" i="3"/>
  <c r="L85" i="3"/>
  <c r="M84" i="3"/>
  <c r="L81" i="3"/>
  <c r="M87" i="3"/>
  <c r="M81" i="3"/>
  <c r="O82" i="3"/>
  <c r="N87" i="3"/>
  <c r="J88" i="3"/>
  <c r="N84" i="3"/>
  <c r="J91" i="3"/>
  <c r="N83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1" i="3"/>
  <c r="P83" i="3" l="1"/>
  <c r="K85" i="3"/>
  <c r="K86" i="3"/>
  <c r="K89" i="3"/>
  <c r="K87" i="3"/>
  <c r="P84" i="3"/>
  <c r="P91" i="3"/>
  <c r="K84" i="3"/>
  <c r="P81" i="3"/>
  <c r="K82" i="3"/>
  <c r="P90" i="3"/>
  <c r="I3" i="4"/>
  <c r="BL15" i="3" s="1"/>
  <c r="P82" i="3"/>
  <c r="H3" i="4"/>
  <c r="BL39" i="3" s="1"/>
  <c r="K91" i="3"/>
  <c r="B3" i="4"/>
  <c r="J3" i="4"/>
  <c r="BL71" i="3" s="1"/>
  <c r="K88" i="3"/>
  <c r="G3" i="4"/>
  <c r="BL11" i="3" s="1"/>
  <c r="K92" i="3"/>
  <c r="K83" i="3"/>
  <c r="K90" i="3"/>
  <c r="P85" i="3"/>
  <c r="K81" i="3"/>
  <c r="P89" i="3"/>
  <c r="P92" i="3"/>
  <c r="P87" i="3"/>
  <c r="P88" i="3"/>
  <c r="E3" i="4"/>
  <c r="BL67" i="3" s="1"/>
  <c r="P86" i="3"/>
  <c r="K3" i="4"/>
  <c r="D3" i="4"/>
  <c r="BL51" i="3" s="1"/>
  <c r="BS53" i="3"/>
  <c r="BL55" i="3"/>
  <c r="BS52" i="3"/>
  <c r="BZ49" i="3" s="1"/>
  <c r="CG55" i="3" s="1"/>
  <c r="BS69" i="3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<sst xmlns="http://schemas.openxmlformats.org/spreadsheetml/2006/main" count="9785" uniqueCount="3699">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</sst>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O50" sqref="CO50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25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0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0</v>
      </c>
      <c r="AL8" s="123">
        <f>AI8-AJ8</f>
        <v>4</v>
      </c>
      <c r="AM8" s="123">
        <f>AL8-AL12</f>
        <v>7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90000009.550840512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4 - 0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2</v>
      </c>
      <c r="AE9" s="124" t="str">
        <f>VLOOKUP("South Africa",T,lang,FALSE)</f>
        <v>South Africa</v>
      </c>
      <c r="AF9" s="123">
        <f>COUNTIF($S$7:$T$78,"=" &amp; AE9 &amp; "_win")</f>
        <v>2</v>
      </c>
      <c r="AG9" s="123">
        <f>COUNTIF($S$7:$T$78,"=" &amp; AE9 &amp; "_draw")</f>
        <v>0</v>
      </c>
      <c r="AH9" s="123">
        <f>COUNTIF($S$7:$T$78,"=" &amp; AE9 &amp; "_lose")</f>
        <v>1</v>
      </c>
      <c r="AI9" s="123">
        <f>SUMIF($E$7:$E$78,$AE9,$F$7:$F$78) + SUMIF($H$7:$H$78,$AE9,$G$7:$G$78)</f>
        <v>3</v>
      </c>
      <c r="AJ9" s="123">
        <f>SUMIF($E$7:$E$78,$AE9,$G$7:$G$78) + SUMIF($H$7:$H$78,$AE9,$F$7:$F$78)</f>
        <v>2</v>
      </c>
      <c r="AL9" s="123">
        <f>AI9-AJ9</f>
        <v>1</v>
      </c>
      <c r="AM9" s="123">
        <f>AL9-AL12</f>
        <v>4</v>
      </c>
      <c r="AN9" s="123">
        <f>AF9*3+AG9</f>
        <v>6</v>
      </c>
      <c r="AO9" s="123">
        <f>AN9/AN12*10+BA9</f>
        <v>6</v>
      </c>
      <c r="AP9" s="123">
        <f>AO9*10000000+BI9*100+AM9/AM12*10+AI9/AI12*1++IF(AQ9=0,ROW(),AQ9)/2000000</f>
        <v>60000005.60071487</v>
      </c>
      <c r="AQ9" s="126">
        <f>VLOOKUP(AE9,db_fifarank,2,FALSE)</f>
        <v>1429.73</v>
      </c>
      <c r="AR9" s="125">
        <f>AP9/AP12</f>
        <v>0.66666665074245957</v>
      </c>
      <c r="AS9" s="125" t="str">
        <f>IF(SUM(AF8:AH11)=12,J10,"2A")</f>
        <v>South Africa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1</v>
      </c>
      <c r="H10" s="80" t="str">
        <f>AE27</f>
        <v>Paraguay</v>
      </c>
      <c r="J10" s="33" t="str">
        <f>VLOOKUP(2,AD8:AN11,2,FALSE)</f>
        <v>South Africa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6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0</v>
      </c>
      <c r="AJ10" s="123">
        <f>SUMIF($E$7:$E$78,$AE10,$G$7:$G$78) + SUMIF($H$7:$H$78,$AE10,$F$7:$F$78)</f>
        <v>3</v>
      </c>
      <c r="AL10" s="123">
        <f>AI10-AJ10</f>
        <v>-3</v>
      </c>
      <c r="AM10" s="123">
        <f>AL10-AL12</f>
        <v>0</v>
      </c>
      <c r="AN10" s="123">
        <f>AF10*3+AG10</f>
        <v>1</v>
      </c>
      <c r="AO10" s="123">
        <f>AN10/AN12*10+BA10</f>
        <v>1.9803921568627452</v>
      </c>
      <c r="AP10" s="123">
        <f>AO10*10000000+BI10*100+AM10/AM12*10+AI10/AI12*1++IF(AQ10=0,ROW(),AQ10)/2000000</f>
        <v>19804019.608637467</v>
      </c>
      <c r="AQ10" s="126">
        <f>VLOOKUP(AE10,db_fifarank,2,FALSE)</f>
        <v>1588.66</v>
      </c>
      <c r="AR10" s="125">
        <f>AP10/AP12</f>
        <v>0.22004463652201781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</v>
      </c>
      <c r="BA10" s="126">
        <f>AZ10/AZ12</f>
        <v>0.98039215686274506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</v>
      </c>
      <c r="BI10" s="126">
        <f>BH10/BH12</f>
        <v>0.98039215686274506</v>
      </c>
      <c r="BK10" s="13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1</v>
      </c>
      <c r="N11" s="23">
        <f>VLOOKUP(3,AD8:AN11,5,FALSE)</f>
        <v>2</v>
      </c>
      <c r="O11" s="23" t="str">
        <f>VLOOKUP(3,AD8:AN11,6,FALSE) &amp; " - " &amp; VLOOKUP(3,AD8:AN11,7,FALSE)</f>
        <v>1 - 3</v>
      </c>
      <c r="P11" s="34">
        <f>L11*3+M11</f>
        <v>1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1</v>
      </c>
      <c r="AH11" s="123">
        <f>COUNTIF($S$7:$T$78,"=" &amp; AE11 &amp; "_lose")</f>
        <v>2</v>
      </c>
      <c r="AI11" s="123">
        <f>SUMIF($E$7:$E$78,$AE11,$F$7:$F$78) + SUMIF($H$7:$H$78,$AE11,$G$7:$G$78)</f>
        <v>1</v>
      </c>
      <c r="AJ11" s="123">
        <f>SUMIF($E$7:$E$78,$AE11,$G$7:$G$78) + SUMIF($H$7:$H$78,$AE11,$F$7:$F$78)</f>
        <v>3</v>
      </c>
      <c r="AL11" s="123">
        <f>AI11-AJ11</f>
        <v>-2</v>
      </c>
      <c r="AM11" s="123">
        <f>AL11-AL12</f>
        <v>1</v>
      </c>
      <c r="AN11" s="123">
        <f>AF11*3+AG11</f>
        <v>1</v>
      </c>
      <c r="AO11" s="123">
        <f>AN11/AN12*10+BA11</f>
        <v>1.9803921568627452</v>
      </c>
      <c r="AP11" s="123">
        <f>AO11*10000000+BI11*100+AM11/AM12*10+AI11/AI12*1++IF(AQ11=0,ROW(),AQ11)/2000000</f>
        <v>19804021.058593828</v>
      </c>
      <c r="AQ11" s="126">
        <f>VLOOKUP(AE11,db_fifarank,2,FALSE)</f>
        <v>1501.38</v>
      </c>
      <c r="AR11" s="125">
        <f>AP11/AP12</f>
        <v>0.22004465263264214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</v>
      </c>
      <c r="BA11" s="126">
        <f>AZ11/AZ12</f>
        <v>0.98039215686274506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</v>
      </c>
      <c r="BI11" s="126">
        <f>BH11/BH12</f>
        <v>0.98039215686274506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0 - 3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3</v>
      </c>
      <c r="AI12" s="123">
        <f>MAX(AI8:AI11)+1</f>
        <v>5</v>
      </c>
      <c r="AL12" s="123">
        <f>MIN(AL8:AL11)</f>
        <v>-3</v>
      </c>
      <c r="AM12" s="123">
        <f>MAX(AM8:AM11)+1</f>
        <v>8</v>
      </c>
      <c r="AN12" s="123">
        <f>MAX(AN8:AN11)+1</f>
        <v>10</v>
      </c>
      <c r="AO12" s="123">
        <f>MAX(AO8:AO11)+1</f>
        <v>10</v>
      </c>
      <c r="AP12" s="123">
        <f>MAX(AP8:AP11)+1</f>
        <v>90000010.550840512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51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51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3</v>
      </c>
      <c r="AG14" s="123">
        <f>COUNTIF($S$7:$T$78,"=" &amp; AE14 &amp; "_draw")</f>
        <v>0</v>
      </c>
      <c r="AH14" s="123">
        <f>COUNTIF($S$7:$T$78,"=" &amp; AE14 &amp; "_lose")</f>
        <v>0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1</v>
      </c>
      <c r="AL14" s="123">
        <f>AI14-AJ14</f>
        <v>4</v>
      </c>
      <c r="AM14" s="123">
        <f>AL14-AL18</f>
        <v>9</v>
      </c>
      <c r="AN14" s="123">
        <f>AF14*3+AG14</f>
        <v>9</v>
      </c>
      <c r="AO14" s="123">
        <f>AN14/AN18*10+BA14</f>
        <v>9</v>
      </c>
      <c r="AP14" s="123">
        <f>AO14*10000000+BI14*100+AM14/AM18*10+AI14/AI18*1++IF(AQ14=0,ROW(),AQ14)/2000000</f>
        <v>90000009.834111571</v>
      </c>
      <c r="AQ14" s="126">
        <f>VLOOKUP(AE14,db_fifarank,2,FALSE)</f>
        <v>1556.48</v>
      </c>
      <c r="AR14" s="125">
        <f>AP14/AP18</f>
        <v>0.99999998888889019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5 - 1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2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6</v>
      </c>
      <c r="AN15" s="123">
        <f>AF15*3+AG15</f>
        <v>4</v>
      </c>
      <c r="AO15" s="123">
        <f>AN15/AN18*10+BA15</f>
        <v>4.9805825242718447</v>
      </c>
      <c r="AP15" s="123">
        <f>AO15*10000000+BI15*100+AM15/AM18*10+AI15/AI18*1++IF(AQ15=0,ROW(),AQ15)/2000000</f>
        <v>49805929.96833045</v>
      </c>
      <c r="AQ15" s="126">
        <f>VLOOKUP(AE15,db_fifarank,2,FALSE)</f>
        <v>1385.84</v>
      </c>
      <c r="AR15" s="125">
        <f>AP15/AP18</f>
        <v>0.55339915525269179</v>
      </c>
      <c r="AS15" s="125" t="str">
        <f>IF(SUM(AF14:AH17)=12,J16,"2B")</f>
        <v>Bosnia and Herzegovina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1</v>
      </c>
      <c r="AW15" s="126" cm="1">
        <f t="array" ref="AW15">SUMPRODUCT(($E$7:$E$78=AE15)*($U$7:$U$78)*($G$7:$G$78))+SUMPRODUCT(($H$7:$H$78=AE15)*($U$7:$U$78)*($F$7:$F$78))</f>
        <v>1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50.5</v>
      </c>
      <c r="BA15" s="126">
        <f>AZ15/AZ18</f>
        <v>0.98058252427184467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1</v>
      </c>
      <c r="BE15" s="126" cm="1">
        <f t="array" ref="BE15">SUMPRODUCT(($E$7:$E$78=AE15)*($X$7:$X$78)*($G$7:$G$78))+SUMPRODUCT(($H$7:$H$78=AE15)*($X$7:$X$78)*($F$7:$F$78))</f>
        <v>1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50.5</v>
      </c>
      <c r="BI15" s="126">
        <f>BH15/BH18</f>
        <v>0.98058252427184467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Bosnia and Herzegovina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8.0831101380742543E-12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2</v>
      </c>
      <c r="G17" s="20">
        <v>0</v>
      </c>
      <c r="H17" s="80" t="str">
        <f>AE39</f>
        <v>Japan</v>
      </c>
      <c r="J17" s="33" t="str">
        <f>VLOOKUP(3,AD14:AN17,2,FALSE)</f>
        <v>Switzerland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2 - 2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3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1</v>
      </c>
      <c r="AH17" s="123">
        <f>COUNTIF($S$7:$T$78,"=" &amp; AE17 &amp; "_lose")</f>
        <v>1</v>
      </c>
      <c r="AI17" s="123">
        <f>SUMIF($E$7:$E$78,$AE17,$F$7:$F$78) + SUMIF($H$7:$H$78,$AE17,$G$7:$G$78)</f>
        <v>2</v>
      </c>
      <c r="AJ17" s="123">
        <f>SUMIF($E$7:$E$78,$AE17,$G$7:$G$78) + SUMIF($H$7:$H$78,$AE17,$F$7:$F$78)</f>
        <v>2</v>
      </c>
      <c r="AL17" s="123">
        <f>AI17-AJ17</f>
        <v>0</v>
      </c>
      <c r="AM17" s="123">
        <f>AL17-AL18</f>
        <v>5</v>
      </c>
      <c r="AN17" s="123">
        <f>AF17*3+AG17</f>
        <v>4</v>
      </c>
      <c r="AO17" s="123">
        <f>AN17/AN18*10+BA17</f>
        <v>4.9805825242718447</v>
      </c>
      <c r="AP17" s="123">
        <f>AO17*10000000+BI17*100+AM17/AM18*10+AI17/AI18*1++IF(AQ17=0,ROW(),AQ17)/2000000</f>
        <v>49805928.6351289</v>
      </c>
      <c r="AQ17" s="126">
        <f>VLOOKUP(AE17,db_fifarank,2,FALSE)</f>
        <v>1649.4</v>
      </c>
      <c r="AR17" s="125">
        <f>AP17/AP18</f>
        <v>0.55339914043934302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1</v>
      </c>
      <c r="AV17" s="126" cm="1">
        <f t="array" ref="AV17">SUMPRODUCT(($E$7:$E$78=AE17)*($U$7:$U$78)*($F$7:$F$78))+SUMPRODUCT(($H$7:$H$78=AE17)*($U$7:$U$78)*($G$7:$G$78))</f>
        <v>1</v>
      </c>
      <c r="AW17" s="126" cm="1">
        <f t="array" ref="AW17">SUMPRODUCT(($E$7:$E$78=AE17)*($U$7:$U$78)*($G$7:$G$78))+SUMPRODUCT(($H$7:$H$78=AE17)*($U$7:$U$78)*($F$7:$F$78))</f>
        <v>1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50.5</v>
      </c>
      <c r="BA17" s="126">
        <f>AZ17/AZ18</f>
        <v>0.98058252427184467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1</v>
      </c>
      <c r="BD17" s="126" cm="1">
        <f t="array" ref="BD17">SUMPRODUCT(($E$7:$E$78=AE17)*($X$7:$X$78)*($F$7:$F$78))+SUMPRODUCT(($H$7:$H$78=AE17)*($X$7:$X$78)*($G$7:$G$78))</f>
        <v>1</v>
      </c>
      <c r="BE17" s="126" cm="1">
        <f t="array" ref="BE17">SUMPRODUCT(($E$7:$E$78=AE17)*($X$7:$X$78)*($G$7:$G$78))+SUMPRODUCT(($H$7:$H$78=AE17)*($X$7:$X$78)*($F$7:$F$78))</f>
        <v>1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50.5</v>
      </c>
      <c r="BI17" s="126">
        <f>BH17/BH18</f>
        <v>0.98058252427184467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6</v>
      </c>
      <c r="AL18" s="123">
        <f>MIN(AL14:AL17)</f>
        <v>-5</v>
      </c>
      <c r="AM18" s="123">
        <f>MAX(AM14:AM17)+1</f>
        <v>10</v>
      </c>
      <c r="AN18" s="123">
        <f>MAX(AN14:AN17)+1</f>
        <v>10</v>
      </c>
      <c r="AO18" s="123">
        <f>MAX(AO14:AO17)+1</f>
        <v>10</v>
      </c>
      <c r="AP18" s="123">
        <f>MAX(AP14:AP17)+1</f>
        <v>90000010.834111571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2</v>
      </c>
      <c r="AW18" s="126">
        <f>MAX(AW14:AW17)-MIN(AW14:AW17)+1</f>
        <v>2</v>
      </c>
      <c r="AY18" s="126">
        <f>MAX(AY14:AY17)-MIN(AY14:AY17)+1</f>
        <v>1</v>
      </c>
      <c r="AZ18" s="126">
        <f>MAX(AZ14:AZ17)+1</f>
        <v>51.5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2</v>
      </c>
      <c r="BE18" s="126">
        <f>MAX(BE14:BE17)-MIN(BE14:BE17)+1</f>
        <v>2</v>
      </c>
      <c r="BG18" s="126">
        <f>MAX(BG14:BG17)-MIN(BG14:BG17)+1</f>
        <v>1</v>
      </c>
      <c r="BH18" s="126">
        <f>MAX(BH14:BH17)+1</f>
        <v>51.5</v>
      </c>
      <c r="BK18" s="131">
        <v>73</v>
      </c>
      <c r="BL18" s="24" t="str">
        <f>AS9</f>
        <v>South Africa</v>
      </c>
      <c r="BM18" s="61">
        <v>0</v>
      </c>
      <c r="BN18" s="63">
        <v>0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Bosnia and Herzegovina</v>
      </c>
      <c r="BM19" s="62">
        <v>0</v>
      </c>
      <c r="BN19" s="64">
        <v>0</v>
      </c>
      <c r="BO19" s="27">
        <v>4</v>
      </c>
      <c r="BP19" s="113">
        <f>IF(BP18="","",BM19*1000+BN19*10+BO19)</f>
        <v>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0</v>
      </c>
      <c r="AL20" s="123">
        <f>AI20-AJ20</f>
        <v>8</v>
      </c>
      <c r="AM20" s="123">
        <f>AL20-AL24</f>
        <v>16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90000010.301534191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South Africa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3</v>
      </c>
      <c r="AJ21" s="123">
        <f>SUMIF($E$7:$E$78,$AE21,$G$7:$G$78) + SUMIF($H$7:$H$78,$AE21,$F$7:$F$78)</f>
        <v>2</v>
      </c>
      <c r="AL21" s="123">
        <f>AI21-AJ21</f>
        <v>1</v>
      </c>
      <c r="AM21" s="123">
        <f>AL21-AL24</f>
        <v>9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60000005.628328912</v>
      </c>
      <c r="AQ21" s="126">
        <f>VLOOKUP(AE21,db_fifarank,2,FALSE)</f>
        <v>1755.87</v>
      </c>
      <c r="AR21" s="125">
        <f>AP21/AP24</f>
        <v>0.66666664548858912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3 - 2</v>
      </c>
      <c r="P22" s="34">
        <f>L22*3+M22</f>
        <v>6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7.176165765536858E-12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>
        <v>2</v>
      </c>
      <c r="BO22" s="25"/>
      <c r="BP22" s="116">
        <f>IF(OR(BM22="",BM23="",AND(BN22="",BN23&lt;&gt;""),AND(BN23="",BN22&lt;&gt;""),AND(BO22="",BO23&lt;&gt;""),AND(BO23="",BO22&lt;&gt;"")),"",BM22*1000+BN22*10+BO22)</f>
        <v>1020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1</v>
      </c>
      <c r="G23" s="20">
        <v>0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2 - 3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2</v>
      </c>
      <c r="AJ23" s="123">
        <f>SUMIF($E$7:$E$78,$AE23,$G$7:$G$78) + SUMIF($H$7:$H$78,$AE23,$F$7:$F$78)</f>
        <v>3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30000004.340618458</v>
      </c>
      <c r="AQ23" s="126">
        <f>VLOOKUP(AE23,db_fifarank,2,FALSE)</f>
        <v>1498.35</v>
      </c>
      <c r="AR23" s="125">
        <f>AP23/AP24</f>
        <v>0.33333333970489248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>
        <v>1</v>
      </c>
      <c r="BO23" s="27"/>
      <c r="BP23" s="112">
        <f>IF(BP22="","",BM23*1000+BN23*10+BO23)</f>
        <v>1010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2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9</v>
      </c>
      <c r="AL24" s="123">
        <f>MIN(AL20:AL23)</f>
        <v>-8</v>
      </c>
      <c r="AM24" s="123">
        <f>MAX(AM20:AM23)+1</f>
        <v>17</v>
      </c>
      <c r="AN24" s="123">
        <f>MAX(AN20:AN23)+1</f>
        <v>10</v>
      </c>
      <c r="AO24" s="123">
        <f>MAX(AO20:AO23)+1</f>
        <v>10</v>
      </c>
      <c r="AP24" s="123">
        <f>MAX(AP20:AP23)+1</f>
        <v>90000011.301534191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2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2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4</v>
      </c>
      <c r="AJ26" s="123">
        <f>SUMIF($E$7:$E$78,$AE26,$G$7:$G$78) + SUMIF($H$7:$H$78,$AE26,$F$7:$F$78)</f>
        <v>3</v>
      </c>
      <c r="AL26" s="123">
        <f>AI26-AJ26</f>
        <v>1</v>
      </c>
      <c r="AM26" s="123">
        <f>AL26-AL30</f>
        <v>5</v>
      </c>
      <c r="AN26" s="123">
        <f>AF26*3+AG26</f>
        <v>5</v>
      </c>
      <c r="AO26" s="123">
        <f>AN26/AN30*10+BA26</f>
        <v>6.25</v>
      </c>
      <c r="AP26" s="123">
        <f>AO26*10000000+BI26*100+AM26/AM30*10+AI26/AI30*1++IF(AQ26=0,ROW(),AQ26)/2000000</f>
        <v>62500007.943693705</v>
      </c>
      <c r="AQ26" s="126">
        <f>VLOOKUP(AE26,db_fifarank,2,FALSE)</f>
        <v>1673.13</v>
      </c>
      <c r="AR26" s="125">
        <f>AP26/AP30</f>
        <v>0.71428572039953475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0</v>
      </c>
      <c r="BN26" s="63">
        <v>0</v>
      </c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4 - 2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2</v>
      </c>
      <c r="AL27" s="123">
        <f>AI27-AJ27</f>
        <v>1</v>
      </c>
      <c r="AM27" s="123">
        <f>AL27-AL30</f>
        <v>5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50000007.743608892</v>
      </c>
      <c r="AQ27" s="126">
        <f>VLOOKUP(AE27,db_fifarank,2,FALSE)</f>
        <v>1503.5</v>
      </c>
      <c r="AR27" s="125">
        <f>AP27/AP30</f>
        <v>0.57142859218995656</v>
      </c>
      <c r="AS27" s="125" t="str">
        <f>IF(SUM(AF26:AH29)=12,J28,"2D")</f>
        <v>United States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Ghana</v>
      </c>
      <c r="BM27" s="62">
        <v>0</v>
      </c>
      <c r="BN27" s="64">
        <v>1</v>
      </c>
      <c r="BO27" s="27"/>
      <c r="BP27" s="113">
        <f>IF(BP26="","",BM27*1000+BN27*10+BO27)</f>
        <v>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0</v>
      </c>
      <c r="H28" s="80" t="str">
        <f>AE75</f>
        <v>Croatia</v>
      </c>
      <c r="J28" s="33" t="str">
        <f>VLOOKUP(2,AD26:AN29,2,FALSE)</f>
        <v>United States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4 - 3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2</v>
      </c>
      <c r="AJ28" s="123">
        <f>SUMIF($E$7:$E$78,$AE28,$G$7:$G$78) + SUMIF($H$7:$H$78,$AE28,$F$7:$F$78)</f>
        <v>6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0.400790335</v>
      </c>
      <c r="AQ28" s="126">
        <f>VLOOKUP(AE28,db_fifarank,2,FALSE)</f>
        <v>1580.67</v>
      </c>
      <c r="AR28" s="125">
        <f>AP28/AP30</f>
        <v>4.5804604284619397E-9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Ghana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3 - 2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6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87500009.372228086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0</v>
      </c>
      <c r="G30" s="20">
        <v>1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2 - 6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5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87500010.372228086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2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Republic_lose</v>
      </c>
      <c r="T31" s="127" t="str">
        <f t="shared" si="2"/>
        <v>South Africa_win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-1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1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90000010.223087415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>
        <v>1</v>
      </c>
      <c r="CC32" s="25">
        <v>4</v>
      </c>
      <c r="CD32" s="116">
        <f>IF(OR(CA32="",CA33="",AND(CB32="",CB33&lt;&gt;""),AND(CB33="",CB32&lt;&gt;""),AND(CC32="",CC33&lt;&gt;""),AND(CC33="",CC32&lt;&gt;"")),"",CA32*1000+CB32*10+CC32)</f>
        <v>1014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8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0.11175843611111111</v>
      </c>
      <c r="AQ33" s="126">
        <f>VLOOKUP(AE33,db_fifarank,2,FALSE)</f>
        <v>1294.6500000000001</v>
      </c>
      <c r="AR33" s="125">
        <f>AP33/AP36</f>
        <v>1.241760246385859E-9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1</v>
      </c>
      <c r="CB33" s="64">
        <v>1</v>
      </c>
      <c r="CC33" s="27">
        <v>3</v>
      </c>
      <c r="CD33" s="112">
        <f>IF(CD32="","",CA33*1000+CB33*10+CC33)</f>
        <v>1013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2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3</v>
      </c>
      <c r="AL34" s="123">
        <f>AI34-AJ34</f>
        <v>0</v>
      </c>
      <c r="AM34" s="123">
        <f>AL34-AL36</f>
        <v>7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49805928.301737361</v>
      </c>
      <c r="AQ34" s="126">
        <f>VLOOKUP(AE34,db_fifarank,2,FALSE)</f>
        <v>1532.98</v>
      </c>
      <c r="AR34" s="125">
        <f>AP34/AP36</f>
        <v>0.55339913434322774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3 - 3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7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49805928.41287937</v>
      </c>
      <c r="AQ35" s="126">
        <f>VLOOKUP(AE35,db_fifarank,2,FALSE)</f>
        <v>1594.78</v>
      </c>
      <c r="AR35" s="125">
        <f>AP35/AP36</f>
        <v>0.5533991355781388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32"/>
      <c r="BL35" s="26" t="str">
        <f>IF(group_round_completed,VLOOKUP('3rd places'!F3,AK80:AS91,9,FALSE),"3rd Group B/E/F/I/J")</f>
        <v>Switzerland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1 - 8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9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90000011.223087415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2</v>
      </c>
      <c r="BU37" s="64"/>
      <c r="BV37" s="27"/>
      <c r="BW37" s="112">
        <f>IF(BW36="","",BT37*1000+BU37*10+BV37)</f>
        <v>2000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0</v>
      </c>
      <c r="AL38" s="123">
        <f>AI38-AJ38</f>
        <v>5</v>
      </c>
      <c r="AM38" s="123">
        <f>AL38-AL42</f>
        <v>10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90000009.925121352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5 - 0</v>
      </c>
      <c r="P39" s="32">
        <f>L39*3+M39</f>
        <v>9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1</v>
      </c>
      <c r="AH39" s="123">
        <f>COUNTIF($S$7:$T$78,"=" &amp; AE39 &amp; "_lose")</f>
        <v>1</v>
      </c>
      <c r="AI39" s="123">
        <f>SUMIF($E$7:$E$78,$AE39,$F$7:$F$78) + SUMIF($H$7:$H$78,$AE39,$G$7:$G$78)</f>
        <v>3</v>
      </c>
      <c r="AJ39" s="123">
        <f>SUMIF($E$7:$E$78,$AE39,$G$7:$G$78) + SUMIF($H$7:$H$78,$AE39,$F$7:$F$78)</f>
        <v>3</v>
      </c>
      <c r="AL39" s="123">
        <f>AI39-AJ39</f>
        <v>0</v>
      </c>
      <c r="AM39" s="123">
        <f>AL39-AL42</f>
        <v>5</v>
      </c>
      <c r="AN39" s="123">
        <f>AF39*3+AG39</f>
        <v>4</v>
      </c>
      <c r="AO39" s="123">
        <f>AN39/AN42*10+BA39</f>
        <v>4.9805825242718447</v>
      </c>
      <c r="AP39" s="123">
        <f>AO39*10000000+BI39*100+AM39/AM42*10+AI39/AI42*1++IF(AQ39=0,ROW(),AQ39)/2000000</f>
        <v>49805928.347255632</v>
      </c>
      <c r="AQ39" s="126">
        <f>VLOOKUP(AE39,db_fifarank,2,FALSE)</f>
        <v>1660.43</v>
      </c>
      <c r="AR39" s="125">
        <f>AP39/AP42</f>
        <v>0.55339913668114338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32"/>
      <c r="BL39" s="26" t="str">
        <f>IF(group_round_completed,VLOOKUP('3rd places'!H3,AK80:AS91,9,FALSE),"3rd Group A/E/H/I/J")</f>
        <v>Saudi Arabia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3 - 3</v>
      </c>
      <c r="P40" s="34">
        <f>L40*3+M40</f>
        <v>4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1</v>
      </c>
      <c r="AH40" s="123">
        <f>COUNTIF($S$7:$T$78,"=" &amp; AE40 &amp; "_lose")</f>
        <v>1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2</v>
      </c>
      <c r="AL40" s="123">
        <f>AI40-AJ40</f>
        <v>0</v>
      </c>
      <c r="AM40" s="123">
        <f>AL40-AL42</f>
        <v>5</v>
      </c>
      <c r="AN40" s="123">
        <f>AF40*3+AG40</f>
        <v>4</v>
      </c>
      <c r="AO40" s="123">
        <f>AN40/AN42*10+BA40</f>
        <v>4.9805825242718447</v>
      </c>
      <c r="AP40" s="123">
        <f>AO40*10000000+BI40*100+AM40/AM42*10+AI40/AI42*1++IF(AQ40=0,ROW(),AQ40)/2000000</f>
        <v>49805928.180516131</v>
      </c>
      <c r="AQ40" s="126">
        <f>VLOOKUP(AE40,db_fifarank,2,FALSE)</f>
        <v>1514.77</v>
      </c>
      <c r="AR40" s="125">
        <f>AP40/AP42</f>
        <v>0.55339913482848258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1</v>
      </c>
      <c r="AW40" s="126" cm="1">
        <f t="array" ref="AW40">SUMPRODUCT(($E$7:$E$78=AE40)*($U$7:$U$78)*($G$7:$G$78))+SUMPRODUCT(($H$7:$H$78=AE40)*($U$7:$U$78)*($F$7:$F$78))</f>
        <v>1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50.5</v>
      </c>
      <c r="BA40" s="126">
        <f>AZ40/AZ42</f>
        <v>0.98058252427184467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1</v>
      </c>
      <c r="BE40" s="126" cm="1">
        <f t="array" ref="BE40">SUMPRODUCT(($E$7:$E$78=AE40)*($X$7:$X$78)*($G$7:$G$78))+SUMPRODUCT(($H$7:$H$78=AE40)*($X$7:$X$78)*($F$7:$F$78))</f>
        <v>1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50.5</v>
      </c>
      <c r="BI40" s="126">
        <f>BH40/BH42</f>
        <v>0.98058252427184467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1</v>
      </c>
      <c r="N41" s="23">
        <f>VLOOKUP(3,AD38:AN41,5,FALSE)</f>
        <v>1</v>
      </c>
      <c r="O41" s="23" t="str">
        <f>VLOOKUP(3,AD38:AN41,6,FALSE) &amp; " - " &amp; VLOOKUP(3,AD38:AN41,7,FALSE)</f>
        <v>2 - 2</v>
      </c>
      <c r="P41" s="34">
        <f>L41*3+M41</f>
        <v>4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8.2391656665123913E-12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11</v>
      </c>
      <c r="AN42" s="123">
        <f>MAX(AN38:AN41)+1</f>
        <v>10</v>
      </c>
      <c r="AO42" s="123">
        <f>MAX(AO38:AO41)+1</f>
        <v>10</v>
      </c>
      <c r="AP42" s="123">
        <f>MAX(AP38:AP41)+1</f>
        <v>90000010.925121352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3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3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1</v>
      </c>
      <c r="AL44" s="123">
        <f>AI44-AJ44</f>
        <v>5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90000009.858010203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6 - 1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3</v>
      </c>
      <c r="AL45" s="123">
        <f>AI45-AJ45</f>
        <v>1</v>
      </c>
      <c r="AM45" s="123">
        <f>AL45-AL48</f>
        <v>5</v>
      </c>
      <c r="AN45" s="123">
        <f>AF45*3+AG45</f>
        <v>4</v>
      </c>
      <c r="AO45" s="123">
        <f>AN45/AN48*10+BA45</f>
        <v>4</v>
      </c>
      <c r="AP45" s="123">
        <f>AO45*10000000+BI45*100+AM45/AM48*10+AI45/AI48*1++IF(AQ45=0,ROW(),AQ45)/2000000</f>
        <v>40000005.572210193</v>
      </c>
      <c r="AQ45" s="126">
        <f>VLOOKUP(AE45,db_fifarank,2,FALSE)</f>
        <v>1563.24</v>
      </c>
      <c r="AR45" s="125">
        <f>AP45/AP48</f>
        <v>0.44444445273808658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36"/>
      <c r="CN45" s="137"/>
      <c r="CO45" s="137"/>
      <c r="CP45" s="137"/>
      <c r="CQ45" s="138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4 - 3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2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2</v>
      </c>
      <c r="AN46" s="123">
        <f>AF46*3+AG46</f>
        <v>2</v>
      </c>
      <c r="AO46" s="123">
        <f>AN46/AN48*10+BA46</f>
        <v>2</v>
      </c>
      <c r="AP46" s="123">
        <f>AO46*10000000+BI46*100+AM46/AM48*10+AI46/AI48*1++IF(AQ46=0,ROW(),AQ46)/2000000</f>
        <v>20000002.143664792</v>
      </c>
      <c r="AQ46" s="126">
        <f>VLOOKUP(AE46,db_fifarank,2,FALSE)</f>
        <v>1615.3</v>
      </c>
      <c r="AR46" s="125">
        <f>AP46/AP48</f>
        <v>0.22222221923081853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1 - 3</v>
      </c>
      <c r="P47" s="34">
        <f>L47*3+M47</f>
        <v>2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4</v>
      </c>
      <c r="AL47" s="123">
        <f>AI47-AJ47</f>
        <v>-4</v>
      </c>
      <c r="AM47" s="123">
        <f>AL47-AL48</f>
        <v>0</v>
      </c>
      <c r="AN47" s="123">
        <f>AF47*3+AG47</f>
        <v>1</v>
      </c>
      <c r="AO47" s="123">
        <f>AN47/AN48*10+BA47</f>
        <v>1</v>
      </c>
      <c r="AP47" s="123">
        <f>AO47*10000000+BI47*100+AM47/AM48*10+AI47/AI48*1++IF(AQ47=0,ROW(),AQ47)/2000000</f>
        <v>10000000.000640785</v>
      </c>
      <c r="AQ47" s="126">
        <f>VLOOKUP(AE47,db_fifarank,2,FALSE)</f>
        <v>1281.57</v>
      </c>
      <c r="AR47" s="125">
        <f>AP47/AP48</f>
        <v>0.1111110977132817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1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0 - 4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3</v>
      </c>
      <c r="AH48" s="123">
        <f t="shared" si="24"/>
        <v>3</v>
      </c>
      <c r="AI48" s="123">
        <f>MAX(AI44:AI47)+1</f>
        <v>7</v>
      </c>
      <c r="AL48" s="123">
        <f>MIN(AL44:AL47)</f>
        <v>-4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90000010.858010203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31">
        <v>103</v>
      </c>
      <c r="CN48" s="24" t="str">
        <f>IF(CK23&gt;CK24,CG24,IF(CK23&lt;CK24,CG23,""))</f>
        <v>Germany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Mexico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3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2</v>
      </c>
      <c r="AL50" s="123">
        <f>AI50-AJ50</f>
        <v>7</v>
      </c>
      <c r="AM50" s="123">
        <f>AL50-AL54</f>
        <v>16</v>
      </c>
      <c r="AN50" s="123">
        <f>AF50*3+AG50</f>
        <v>7</v>
      </c>
      <c r="AO50" s="123">
        <f>AN50/AN54*10+BA50</f>
        <v>9.7305825242718456</v>
      </c>
      <c r="AP50" s="123">
        <f>AO50*10000000+BI50*100+AM50/AM54*10+AI50/AI54*1++IF(AQ50=0,ROW(),AQ50)/2000000</f>
        <v>97305933.613673806</v>
      </c>
      <c r="AQ50" s="126">
        <f>VLOOKUP(AE50,db_fifarank,2,FALSE)</f>
        <v>1876.4</v>
      </c>
      <c r="AR50" s="125">
        <f>AP50/AP54</f>
        <v>0.99999998972313453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1</v>
      </c>
      <c r="AV50" s="126" cm="1">
        <f t="array" ref="AV50">SUMPRODUCT(($E$7:$E$78=AE50)*($U$7:$U$78)*($F$7:$F$78))+SUMPRODUCT(($H$7:$H$78=AE50)*($U$7:$U$78)*($G$7:$G$78))</f>
        <v>1</v>
      </c>
      <c r="AW50" s="126" cm="1">
        <f t="array" ref="AW50">SUMPRODUCT(($E$7:$E$78=AE50)*($U$7:$U$78)*($G$7:$G$78))+SUMPRODUCT(($H$7:$H$78=AE50)*($U$7:$U$78)*($F$7:$F$78))</f>
        <v>1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50.5</v>
      </c>
      <c r="BA50" s="126">
        <f>AZ50/AZ54</f>
        <v>0.98058252427184467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1</v>
      </c>
      <c r="BD50" s="126" cm="1">
        <f t="array" ref="BD50">SUMPRODUCT(($E$7:$E$78=AE50)*($X$7:$X$78)*($F$7:$F$78))+SUMPRODUCT(($H$7:$H$78=AE50)*($X$7:$X$78)*($G$7:$G$78))</f>
        <v>1</v>
      </c>
      <c r="BE50" s="126" cm="1">
        <f t="array" ref="BE50">SUMPRODUCT(($E$7:$E$78=AE50)*($X$7:$X$78)*($G$7:$G$78))+SUMPRODUCT(($H$7:$H$78=AE50)*($X$7:$X$78)*($F$7:$F$78))</f>
        <v>1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50.5</v>
      </c>
      <c r="BI50" s="126">
        <f>BH50/BH54</f>
        <v>0.98058252427184467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9 - 2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9</v>
      </c>
      <c r="AL51" s="123">
        <f>AI51-AJ51</f>
        <v>-9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7.0197671160748828E-12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1</v>
      </c>
      <c r="N52" s="23">
        <f>VLOOKUP(2,AD50:AN53,5,FALSE)</f>
        <v>0</v>
      </c>
      <c r="O52" s="23" t="str">
        <f>VLOOKUP(2,AD50:AN53,6,FALSE) &amp; " - " &amp; VLOOKUP(2,AD50:AN53,7,FALSE)</f>
        <v>5 - 1</v>
      </c>
      <c r="P52" s="34">
        <f>L52*3+M52</f>
        <v>7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5</v>
      </c>
      <c r="AL52" s="123">
        <f>AI52-AJ52</f>
        <v>-2</v>
      </c>
      <c r="AM52" s="123">
        <f>AL52-AL54</f>
        <v>7</v>
      </c>
      <c r="AN52" s="123">
        <f>AF52*3+AG52</f>
        <v>3</v>
      </c>
      <c r="AO52" s="123">
        <f>AN52/AN54*10+BA52</f>
        <v>3.75</v>
      </c>
      <c r="AP52" s="123">
        <f>AO52*10000000+BI52*100+AM52/AM54*10+AI52/AI54*1++IF(AQ52=0,ROW(),AQ52)/2000000</f>
        <v>37500004.418357775</v>
      </c>
      <c r="AQ52" s="126">
        <f>VLOOKUP(AE52,db_fifarank,2,FALSE)</f>
        <v>1421.43</v>
      </c>
      <c r="AR52" s="125">
        <f>AP52/AP54</f>
        <v>0.38538250074099928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1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1000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3 - 5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1</v>
      </c>
      <c r="AH53" s="123">
        <f>COUNTIF($S$7:$T$78,"=" &amp; AE53 &amp; "_lose")</f>
        <v>0</v>
      </c>
      <c r="AI53" s="123">
        <f>SUMIF($E$7:$E$78,$AE53,$F$7:$F$78) + SUMIF($H$7:$H$78,$AE53,$G$7:$G$78)</f>
        <v>5</v>
      </c>
      <c r="AJ53" s="123">
        <f>SUMIF($E$7:$E$78,$AE53,$G$7:$G$78) + SUMIF($H$7:$H$78,$AE53,$F$7:$F$78)</f>
        <v>1</v>
      </c>
      <c r="AL53" s="123">
        <f>AI53-AJ53</f>
        <v>4</v>
      </c>
      <c r="AM53" s="123">
        <f>AL53-AL54</f>
        <v>13</v>
      </c>
      <c r="AN53" s="123">
        <f>AF53*3+AG53</f>
        <v>7</v>
      </c>
      <c r="AO53" s="123">
        <f>AN53/AN54*10+BA53</f>
        <v>9.7305825242718456</v>
      </c>
      <c r="AP53" s="123">
        <f>AO53*10000000+BI53*100+AM53/AM54*10+AI53/AI54*1++IF(AQ53=0,ROW(),AQ53)/2000000</f>
        <v>97305931.448866248</v>
      </c>
      <c r="AQ53" s="126">
        <f>VLOOKUP(AE53,db_fifarank,2,FALSE)</f>
        <v>1673.07</v>
      </c>
      <c r="AR53" s="125">
        <f>AP53/AP54</f>
        <v>0.99999996747569841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0</v>
      </c>
      <c r="BU53" s="64"/>
      <c r="BV53" s="27"/>
      <c r="BW53" s="112">
        <f>IF(BW52="","",BT53*1000+BU53*10+BV53)</f>
        <v>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0 - 9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2</v>
      </c>
      <c r="AH54" s="123">
        <f t="shared" si="25"/>
        <v>4</v>
      </c>
      <c r="AI54" s="123">
        <f>MAX(AI50:AI53)+1</f>
        <v>10</v>
      </c>
      <c r="AL54" s="123">
        <f>MIN(AL50:AL53)</f>
        <v>-9</v>
      </c>
      <c r="AM54" s="123">
        <f>MAX(AM50:AM53)+1</f>
        <v>17</v>
      </c>
      <c r="AN54" s="123">
        <f>MAX(AN50:AN53)+1</f>
        <v>8</v>
      </c>
      <c r="AO54" s="123">
        <f>MAX(AO50:AO53)+1</f>
        <v>10.730582524271846</v>
      </c>
      <c r="AP54" s="123">
        <f>MAX(AP50:AP53)+1</f>
        <v>97305934.613673806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11</v>
      </c>
      <c r="AN56" s="123">
        <f>AF56*3+AG56</f>
        <v>7</v>
      </c>
      <c r="AO56" s="123">
        <f>AN56/AN60*10+BA56</f>
        <v>9.7305825242718456</v>
      </c>
      <c r="AP56" s="123">
        <f>AO56*10000000+BI56*100+AM56/AM60*10+AI56/AI60*1++IF(AQ56=0,ROW(),AQ56)/2000000</f>
        <v>97305933.325719059</v>
      </c>
      <c r="AQ56" s="126">
        <f>VLOOKUP(AE56,db_fifarank,2,FALSE)</f>
        <v>1877.32</v>
      </c>
      <c r="AR56" s="125">
        <f>AP56/AP60</f>
        <v>0.99999998972313453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50.5</v>
      </c>
      <c r="BA56" s="126">
        <f>AZ56/AZ60</f>
        <v>0.98058252427184467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50.5</v>
      </c>
      <c r="BI56" s="126">
        <f>BH56/BH60</f>
        <v>0.98058252427184467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Switzerland_lose</v>
      </c>
      <c r="T57" s="127" t="str">
        <f t="shared" si="20"/>
        <v>Canada_win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-1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2</v>
      </c>
      <c r="AJ57" s="123">
        <f>SUMIF($E$7:$E$78,$AE57,$G$7:$G$78) + SUMIF($H$7:$H$78,$AE57,$F$7:$F$78)</f>
        <v>2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37500006.119892113</v>
      </c>
      <c r="AQ57" s="126">
        <f>VLOOKUP(AE57,db_fifarank,2,FALSE)</f>
        <v>1688.99</v>
      </c>
      <c r="AR57" s="125">
        <f>AP57/AP60</f>
        <v>0.38538251936789059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4 - 1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0.14358071285714286</v>
      </c>
      <c r="AQ58" s="126">
        <f>VLOOKUP(AE58,db_fifarank,2,FALSE)</f>
        <v>1447.14</v>
      </c>
      <c r="AR58" s="125">
        <f>AP58/AP60</f>
        <v>1.4755596752868633E-9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>
        <v>2</v>
      </c>
      <c r="BO58" s="25"/>
      <c r="BP58" s="112">
        <f>IF(OR(BM58="",BM59="",AND(BN58="",BN59&lt;&gt;""),AND(BN59="",BN58&lt;&gt;""),AND(BO58="",BO59&lt;&gt;""),AND(BO59="",BO58&lt;&gt;"")),"",BM58*1000+BN58*10+BO58)</f>
        <v>1020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0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2 - 2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4</v>
      </c>
      <c r="AJ59" s="123">
        <f>SUMIF($E$7:$E$78,$AE59,$G$7:$G$78) + SUMIF($H$7:$H$78,$AE59,$F$7:$F$78)</f>
        <v>1</v>
      </c>
      <c r="AL59" s="123">
        <f>AI59-AJ59</f>
        <v>3</v>
      </c>
      <c r="AM59" s="123">
        <f>AL59-AL60</f>
        <v>10</v>
      </c>
      <c r="AN59" s="123">
        <f>AF59*3+AG59</f>
        <v>7</v>
      </c>
      <c r="AO59" s="123">
        <f>AN59/AN60*10+BA59</f>
        <v>9.7305825242718456</v>
      </c>
      <c r="AP59" s="123">
        <f>AO59*10000000+BI59*100+AM59/AM60*10+AI59/AI60*1++IF(AQ59=0,ROW(),AQ59)/2000000</f>
        <v>97305932.206508249</v>
      </c>
      <c r="AQ59" s="126">
        <f>VLOOKUP(AE59,db_fifarank,2,FALSE)</f>
        <v>1550.94</v>
      </c>
      <c r="AR59" s="125">
        <f>AP59/AP60</f>
        <v>0.99999997822115549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32"/>
      <c r="BL59" s="26" t="str">
        <f>AS51</f>
        <v>Uruguay</v>
      </c>
      <c r="BM59" s="62">
        <v>1</v>
      </c>
      <c r="BN59" s="64">
        <v>1</v>
      </c>
      <c r="BO59" s="27"/>
      <c r="BP59" s="113">
        <f>IF(BP58="","",BM59*1000+BN59*10+BO59)</f>
        <v>1010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7</v>
      </c>
      <c r="AL60" s="123">
        <f>MIN(AL56:AL59)</f>
        <v>-7</v>
      </c>
      <c r="AM60" s="123">
        <f>MAX(AM56:AM59)+1</f>
        <v>12</v>
      </c>
      <c r="AN60" s="123">
        <f>MAX(AN56:AN59)+1</f>
        <v>8</v>
      </c>
      <c r="AO60" s="123">
        <f>MAX(AO56:AO59)+1</f>
        <v>10.730582524271846</v>
      </c>
      <c r="AP60" s="123">
        <f>MAX(AP56:AP59)+1</f>
        <v>97305934.325719059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>
        <v>2</v>
      </c>
      <c r="BV60" s="25"/>
      <c r="BW60" s="112">
        <f>IF(OR(BT60="",BT61="",AND(BU60="",BU61&lt;&gt;""),AND(BU61="",BU60&lt;&gt;""),AND(BV60="",BV61&lt;&gt;""),AND(BV61="",BV60&lt;&gt;"")),"",BT60*1000+BU60*10+BV60)</f>
        <v>1020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United States</v>
      </c>
      <c r="BT61" s="62">
        <v>1</v>
      </c>
      <c r="BU61" s="64">
        <v>1</v>
      </c>
      <c r="BV61" s="27"/>
      <c r="BW61" s="113">
        <f>IF(BW60="","",BT61*1000+BU61*10+BV61)</f>
        <v>1010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90000010.042604089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United States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1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1</v>
      </c>
      <c r="W63" s="123">
        <f t="shared" si="22"/>
        <v>1</v>
      </c>
      <c r="X63" s="123">
        <f t="shared" si="9"/>
        <v>1</v>
      </c>
      <c r="Y63" s="123">
        <f t="shared" si="10"/>
        <v>1</v>
      </c>
      <c r="Z63" s="123">
        <f t="shared" si="11"/>
        <v>1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0</v>
      </c>
      <c r="AH63" s="123">
        <f>COUNTIF($S$7:$T$78,"=" &amp; AE63 &amp; "_lose")</f>
        <v>2</v>
      </c>
      <c r="AI63" s="123">
        <f>SUMIF($E$7:$E$78,$AE63,$F$7:$F$78) + SUMIF($H$7:$H$78,$AE63,$G$7:$G$78)</f>
        <v>1</v>
      </c>
      <c r="AJ63" s="123">
        <f>SUMIF($E$7:$E$78,$AE63,$G$7:$G$78) + SUMIF($H$7:$H$78,$AE63,$F$7:$F$78)</f>
        <v>3</v>
      </c>
      <c r="AL63" s="123">
        <f>AI63-AJ63</f>
        <v>-2</v>
      </c>
      <c r="AM63" s="123">
        <f>AL63-AL66</f>
        <v>3</v>
      </c>
      <c r="AN63" s="123">
        <f>AF63*3+AG63</f>
        <v>3</v>
      </c>
      <c r="AO63" s="123">
        <f>AN63/AN66*10+BA63</f>
        <v>3</v>
      </c>
      <c r="AP63" s="123">
        <f>AO63*10000000+BI63*100+AM63/AM66*10+AI63/AI66*1++IF(AQ63=0,ROW(),AQ63)/2000000</f>
        <v>30000002.625782128</v>
      </c>
      <c r="AQ63" s="126">
        <f>VLOOKUP(AE63,db_fifarank,2,FALSE)</f>
        <v>1564.26</v>
      </c>
      <c r="AR63" s="125">
        <f>AP63/AP66</f>
        <v>0.33333332161015811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25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3 - 2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2</v>
      </c>
      <c r="AL64" s="123">
        <f>AI64-AJ64</f>
        <v>1</v>
      </c>
      <c r="AM64" s="123">
        <f>AL64-AL66</f>
        <v>6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60000005.375796728</v>
      </c>
      <c r="AQ64" s="126">
        <f>VLOOKUP(AE64,db_fifarank,2,FALSE)</f>
        <v>1593.45</v>
      </c>
      <c r="AR64" s="125">
        <f>AP64/AP66</f>
        <v>0.66666664460067682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1 - 3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7.7302768293068171E-12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Canada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2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8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90000011.042604089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32"/>
      <c r="BL67" s="26" t="str">
        <f>IF(group_round_completed,VLOOKUP('3rd places'!E3,AK80:AS91,9,FALSE),"3rd Group E/F/G/I/J")</f>
        <v>Ivory Coast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2</v>
      </c>
      <c r="AL68" s="123">
        <f>AI68-AJ68</f>
        <v>5</v>
      </c>
      <c r="AM68" s="123">
        <f>AL68-AL72</f>
        <v>10</v>
      </c>
      <c r="AN68" s="123">
        <f>AF68*3+AG68</f>
        <v>7</v>
      </c>
      <c r="AO68" s="123">
        <f>AN68/AN72*10+BA68</f>
        <v>9.7401639344262296</v>
      </c>
      <c r="AP68" s="123">
        <f>AO68*10000000+BI68*100+AM68/AM72*10+AI68/AI72*1++IF(AQ68=0,ROW(),AQ68)/2000000</f>
        <v>97401748.327446744</v>
      </c>
      <c r="AQ68" s="126">
        <f>VLOOKUP(AE68,db_fifarank,2,FALSE)</f>
        <v>1763.83</v>
      </c>
      <c r="AR68" s="125">
        <f>AP68/AP72</f>
        <v>0.99999998973324389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100.66666666666667</v>
      </c>
      <c r="BA68" s="126">
        <f>AZ68/AZ72</f>
        <v>0.99016393442622952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100.66666666666667</v>
      </c>
      <c r="BI68" s="126">
        <f>BH68/BH72</f>
        <v>0.99016393442622952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1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0</v>
      </c>
      <c r="AJ69" s="123">
        <f>SUMIF($E$7:$E$78,$AE69,$G$7:$G$78) + SUMIF($H$7:$H$78,$AE69,$F$7:$F$78)</f>
        <v>5</v>
      </c>
      <c r="AL69" s="123">
        <f>AI69-AJ69</f>
        <v>-5</v>
      </c>
      <c r="AM69" s="123">
        <f>AL69-AL72</f>
        <v>0</v>
      </c>
      <c r="AN69" s="123">
        <f>AF69*3+AG69</f>
        <v>1</v>
      </c>
      <c r="AO69" s="123">
        <f>AN69/AN72*10+BA69</f>
        <v>2.2336065573770494</v>
      </c>
      <c r="AP69" s="123">
        <f>AO69*10000000+BI69*100+AM69/AM72*10+AI69/AI72*1++IF(AQ69=0,ROW(),AQ69)/2000000</f>
        <v>22336163.935165405</v>
      </c>
      <c r="AQ69" s="126">
        <f>VLOOKUP(AE69,db_fifarank,2,FALSE)</f>
        <v>1478.35</v>
      </c>
      <c r="AR69" s="125">
        <f>AP69/AP72</f>
        <v>0.22931994640132525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100</v>
      </c>
      <c r="BA69" s="126">
        <f>AZ69/AZ72</f>
        <v>0.98360655737704916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100</v>
      </c>
      <c r="BI69" s="126">
        <f>BH69/BH72</f>
        <v>0.98360655737704916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Croatia</v>
      </c>
      <c r="BT69" s="62">
        <v>0</v>
      </c>
      <c r="BU69" s="64"/>
      <c r="BV69" s="27"/>
      <c r="BW69" s="112">
        <f>IF(BW68="","",BT69*1000+BU69*10+BV69)</f>
        <v>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0</v>
      </c>
      <c r="AJ70" s="123">
        <f>SUMIF($E$7:$E$78,$AE70,$G$7:$G$78) + SUMIF($H$7:$H$78,$AE70,$F$7:$F$78)</f>
        <v>3</v>
      </c>
      <c r="AL70" s="123">
        <f>AI70-AJ70</f>
        <v>-3</v>
      </c>
      <c r="AM70" s="123">
        <f>AL70-AL72</f>
        <v>2</v>
      </c>
      <c r="AN70" s="123">
        <f>AF70*3+AG70</f>
        <v>1</v>
      </c>
      <c r="AO70" s="123">
        <f>AN70/AN72*10+BA70</f>
        <v>2.2336065573770494</v>
      </c>
      <c r="AP70" s="123">
        <f>AO70*10000000+BI70*100+AM70/AM72*10+AI70/AI72*1++IF(AQ70=0,ROW(),AQ70)/2000000</f>
        <v>22336165.753340717</v>
      </c>
      <c r="AQ70" s="126">
        <f>VLOOKUP(AE70,db_fifarank,2,FALSE)</f>
        <v>1465.34</v>
      </c>
      <c r="AR70" s="125">
        <f>AP70/AP72</f>
        <v>0.22931996506808766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100</v>
      </c>
      <c r="BA70" s="126">
        <f>AZ70/AZ72</f>
        <v>0.98360655737704916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100</v>
      </c>
      <c r="BI70" s="126">
        <f>BH70/BH72</f>
        <v>0.98360655737704916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0 - 3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8</v>
      </c>
      <c r="AN71" s="123">
        <f>AF71*3+AG71</f>
        <v>7</v>
      </c>
      <c r="AO71" s="123">
        <f>AN71/AN72*10+BA71</f>
        <v>9.7401639344262296</v>
      </c>
      <c r="AP71" s="123">
        <f>AO71*10000000+BI71*100+AM71/AM72*10+AI71/AI72*1++IF(AQ71=0,ROW(),AQ71)/2000000</f>
        <v>97401746.259229556</v>
      </c>
      <c r="AQ71" s="126">
        <f>VLOOKUP(AE71,db_fifarank,2,FALSE)</f>
        <v>1693.09</v>
      </c>
      <c r="AR71" s="125">
        <f>AP71/AP72</f>
        <v>0.99999996849936257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100.66666666666667</v>
      </c>
      <c r="BA71" s="126">
        <f>AZ71/AZ72</f>
        <v>0.99016393442622952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100.66666666666667</v>
      </c>
      <c r="BI71" s="126">
        <f>BH71/BH72</f>
        <v>0.99016393442622952</v>
      </c>
      <c r="BK71" s="132"/>
      <c r="BL71" s="26" t="str">
        <f>IF(group_round_completed,VLOOKUP('3rd places'!J3,AK80:AS91,9,FALSE),"3rd Group D/E/I/J/L")</f>
        <v>Croatia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1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0 - 5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Uruguay_draw</v>
      </c>
      <c r="T72" s="127" t="str">
        <f t="shared" si="20"/>
        <v>Spain_draw</v>
      </c>
      <c r="U72" s="123">
        <f t="shared" ref="U72:U78" si="31">IF(S72="",0,IF(VLOOKUP(E72,$AE$8:$AN$77,10,FALSE)=VLOOKUP(H72,$AE$8:$AN$77,10,FALSE),1,0))</f>
        <v>1</v>
      </c>
      <c r="V72" s="123">
        <f t="shared" si="21"/>
        <v>1</v>
      </c>
      <c r="W72" s="123">
        <f t="shared" si="22"/>
        <v>1</v>
      </c>
      <c r="X72" s="123">
        <f t="shared" ref="X72:X78" si="32">IF(S72="",0,IF(VLOOKUP(E72,$AE$8:$AO$77,11,FALSE)=VLOOKUP(H72,$AE$8:$AO$77,11,FALSE),1,0))</f>
        <v>1</v>
      </c>
      <c r="Y72" s="123">
        <f t="shared" ref="Y72:Y78" si="33">X72*F72</f>
        <v>1</v>
      </c>
      <c r="Z72" s="123">
        <f t="shared" ref="Z72:Z78" si="34">X72*G72</f>
        <v>1</v>
      </c>
      <c r="AA72" s="123">
        <f t="shared" si="29"/>
        <v>0</v>
      </c>
      <c r="AB72" s="123">
        <f t="shared" si="23"/>
        <v>0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-5</v>
      </c>
      <c r="AM72" s="123">
        <f>MAX(AM68:AM71)+1</f>
        <v>11</v>
      </c>
      <c r="AN72" s="123">
        <f>MAX(AN68:AN71)+1</f>
        <v>8</v>
      </c>
      <c r="AO72" s="123">
        <f>MAX(AO68:AO71)+1</f>
        <v>10.74016393442623</v>
      </c>
      <c r="AP72" s="123">
        <f>MAX(AP68:AP71)+1</f>
        <v>97401749.327446744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101.66666666666667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101.66666666666667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Croatia_lose</v>
      </c>
      <c r="T74" s="127" t="str">
        <f t="shared" si="20"/>
        <v>Ghana_win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-1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87500009.723135203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0</v>
      </c>
      <c r="AH75" s="123">
        <f>COUNTIF($S$7:$T$78,"=" &amp; AE75 &amp; "_lose")</f>
        <v>2</v>
      </c>
      <c r="AI75" s="123">
        <f>SUMIF($E$7:$E$78,$AE75,$F$7:$F$78) + SUMIF($H$7:$H$78,$AE75,$G$7:$G$78)</f>
        <v>2</v>
      </c>
      <c r="AJ75" s="123">
        <f>SUMIF($E$7:$E$78,$AE75,$G$7:$G$78) + SUMIF($H$7:$H$78,$AE75,$F$7:$F$78)</f>
        <v>3</v>
      </c>
      <c r="AL75" s="123">
        <f>AI75-AJ75</f>
        <v>-1</v>
      </c>
      <c r="AM75" s="123">
        <f>AL75-AL78</f>
        <v>3</v>
      </c>
      <c r="AN75" s="123">
        <f>AF75*3+AG75</f>
        <v>3</v>
      </c>
      <c r="AO75" s="123">
        <f>AN75/AN78*10+BA75</f>
        <v>3.75</v>
      </c>
      <c r="AP75" s="123">
        <f>AO75*10000000+BI75*100+AM75/AM78*10+AI75/AI78*1++IF(AQ75=0,ROW(),AQ75)/2000000</f>
        <v>37500003.667525209</v>
      </c>
      <c r="AQ75" s="126">
        <f>VLOOKUP(AE75,db_fifarank,2,FALSE)</f>
        <v>1717.07</v>
      </c>
      <c r="AR75" s="125">
        <f>AP75/AP78</f>
        <v>0.42857141796452514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3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3 - 2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2</v>
      </c>
      <c r="AH76" s="123">
        <f>COUNTIF($S$7:$T$78,"=" &amp; AE76 &amp; "_lose")</f>
        <v>0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2</v>
      </c>
      <c r="AL76" s="123">
        <f>AI76-AJ76</f>
        <v>1</v>
      </c>
      <c r="AM76" s="123">
        <f>AL76-AL78</f>
        <v>5</v>
      </c>
      <c r="AN76" s="123">
        <f>AF76*3+AG76</f>
        <v>5</v>
      </c>
      <c r="AO76" s="123">
        <f>AN76/AN78*10+BA76</f>
        <v>6.25</v>
      </c>
      <c r="AP76" s="123">
        <f>AO76*10000000+BI76*100+AM76/AM78*10+AI76/AI78*1++IF(AQ76=0,ROW(),AQ76)/2000000</f>
        <v>62500006.056228705</v>
      </c>
      <c r="AQ76" s="126">
        <f>VLOOKUP(AE76,db_fifarank,2,FALSE)</f>
        <v>1346.31</v>
      </c>
      <c r="AR76" s="125">
        <f>AP76/AP78</f>
        <v>0.7142856959639613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2 - 3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4</v>
      </c>
      <c r="AL77" s="123">
        <f>AI77-AJ77</f>
        <v>-4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12500000.000770319</v>
      </c>
      <c r="AQ77" s="126">
        <f>VLOOKUP(AE77,db_fifarank,2,FALSE)</f>
        <v>1540.64</v>
      </c>
      <c r="AR77" s="125">
        <f>AP77/AP78</f>
        <v>0.14285712535878914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0</v>
      </c>
      <c r="G78" s="20">
        <v>0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0 - 4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0</v>
      </c>
      <c r="W78" s="123">
        <f t="shared" si="22"/>
        <v>0</v>
      </c>
      <c r="X78" s="123">
        <f t="shared" si="32"/>
        <v>1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3</v>
      </c>
      <c r="AH78" s="123">
        <f t="shared" si="36"/>
        <v>3</v>
      </c>
      <c r="AI78" s="123">
        <f>MAX(AI74:AI77)+1</f>
        <v>6</v>
      </c>
      <c r="AL78" s="123">
        <f>MIN(AL74:AL77)</f>
        <v>-4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87500010.723135203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11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1</v>
      </c>
      <c r="AH80" s="123">
        <f>VLOOKUP($AE80,$AE$8:$AQ$78,4,FALSE)</f>
        <v>2</v>
      </c>
      <c r="AI80" s="123">
        <f>VLOOKUP($AE80,$AE$8:$AQ$78,5,FALSE)</f>
        <v>1</v>
      </c>
      <c r="AJ80" s="123">
        <f>VLOOKUP($AE80,$AE$8:$AQ$78,6,FALSE)</f>
        <v>3</v>
      </c>
      <c r="AK80" s="123" t="s">
        <v>3180</v>
      </c>
      <c r="AL80" s="123">
        <f>VLOOKUP($AE80,$AE$8:$AQ$78,8,FALSE)</f>
        <v>-2</v>
      </c>
      <c r="AM80" s="123">
        <f>AL80-$AL$92</f>
        <v>1</v>
      </c>
      <c r="AN80" s="123">
        <f>VLOOKUP($AE80,$AE$8:$AQ$78,10,FALSE)</f>
        <v>1</v>
      </c>
      <c r="AP80" s="123">
        <f>AN80/AN92*10000+AM80/AM92*1000+AI80/AI92*100+IF(AQ80=0,ROW(),AQ80)/2000000</f>
        <v>2225.0007506900001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Ⓓ Paraguay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3</v>
      </c>
      <c r="AE81" s="124" t="str">
        <f>J17</f>
        <v>Switzerland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0</v>
      </c>
      <c r="AM81" s="123">
        <f t="shared" ref="AM81:AM91" si="44">AL81-$AL$92</f>
        <v>3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8650.0008247000005</v>
      </c>
      <c r="AQ81" s="126">
        <f t="shared" si="37"/>
        <v>1649.4</v>
      </c>
      <c r="AR81" s="125" t="str">
        <f>AR80&amp;IF(AD81&lt;=8,RIGHT(AK81,1),"")</f>
        <v>B</v>
      </c>
      <c r="AS81" s="129" t="str">
        <f t="shared" ref="AS81:AS91" si="46">IF(AD81&lt;=8,AE81,"")</f>
        <v>Switzerland</v>
      </c>
      <c r="AT81" s="130" t="str">
        <f>"Ⓑ "&amp;AE81</f>
        <v>Ⓑ Switzerland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Ⓔ Ivory Coast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3 - 3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2</v>
      </c>
      <c r="AJ82" s="123">
        <f t="shared" si="42"/>
        <v>3</v>
      </c>
      <c r="AK82" s="123" t="s">
        <v>3182</v>
      </c>
      <c r="AL82" s="123">
        <f t="shared" si="43"/>
        <v>-1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6450.0007491750002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Ⓑ Switzerland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2 - 2</v>
      </c>
      <c r="P83" s="101">
        <f t="shared" si="48"/>
        <v>4</v>
      </c>
      <c r="AD83" s="123">
        <f t="shared" si="38"/>
        <v>1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3</v>
      </c>
      <c r="AJ83" s="123">
        <f t="shared" si="42"/>
        <v>2</v>
      </c>
      <c r="AK83" s="123" t="s">
        <v>3184</v>
      </c>
      <c r="AL83" s="123">
        <f t="shared" si="43"/>
        <v>1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8875.0007517499998</v>
      </c>
      <c r="AQ83" s="126">
        <f t="shared" si="37"/>
        <v>1503.5</v>
      </c>
      <c r="AR83" s="125" t="str">
        <f t="shared" si="50"/>
        <v>BCD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Ⓕ Sweden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2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3</v>
      </c>
      <c r="AK84" s="123" t="s">
        <v>3185</v>
      </c>
      <c r="AL84" s="123">
        <f t="shared" si="43"/>
        <v>0</v>
      </c>
      <c r="AM84" s="123">
        <f t="shared" si="44"/>
        <v>3</v>
      </c>
      <c r="AN84" s="123">
        <f t="shared" si="45"/>
        <v>4</v>
      </c>
      <c r="AP84" s="123">
        <f>AN84/AN92*10000+AM84/AM92*1000+AI84/AI92*100+IF(AQ84=0,ROW(),AQ84)/2000000</f>
        <v>8675.0007664900004</v>
      </c>
      <c r="AQ84" s="126">
        <f t="shared" si="37"/>
        <v>1532.98</v>
      </c>
      <c r="AR84" s="125" t="str">
        <f t="shared" si="50"/>
        <v>BCDE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2 - 2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4</v>
      </c>
      <c r="AE85" s="124" t="str">
        <f>J41</f>
        <v>Sweden</v>
      </c>
      <c r="AF85" s="123">
        <f t="shared" si="39"/>
        <v>1</v>
      </c>
      <c r="AG85" s="123">
        <f t="shared" si="49"/>
        <v>1</v>
      </c>
      <c r="AH85" s="123">
        <f t="shared" si="40"/>
        <v>1</v>
      </c>
      <c r="AI85" s="123">
        <f t="shared" si="41"/>
        <v>2</v>
      </c>
      <c r="AJ85" s="123">
        <f t="shared" si="42"/>
        <v>2</v>
      </c>
      <c r="AK85" s="123" t="s">
        <v>3186</v>
      </c>
      <c r="AL85" s="123">
        <f t="shared" si="43"/>
        <v>0</v>
      </c>
      <c r="AM85" s="123">
        <f t="shared" si="44"/>
        <v>3</v>
      </c>
      <c r="AN85" s="123">
        <f t="shared" si="45"/>
        <v>4</v>
      </c>
      <c r="AP85" s="123">
        <f>AN85/AN92*10000+AM85/AM92*1000+AI85/AI92*100+IF(AQ85=0,ROW(),AQ85)/2000000</f>
        <v>8650.0007573849998</v>
      </c>
      <c r="AQ85" s="126">
        <f t="shared" si="37"/>
        <v>1514.77</v>
      </c>
      <c r="AR85" s="125" t="str">
        <f t="shared" si="50"/>
        <v>BCDEF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Ⓛ Croatia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2 - 3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Ghana</v>
      </c>
      <c r="T86" s="127" t="str" cm="1">
        <f t="array" ref="T86">IF(OR(S86="",S86="draw"),INDEX(T,88,lang),S86)</f>
        <v>Ghana</v>
      </c>
      <c r="AD86" s="123">
        <f t="shared" si="38"/>
        <v>10</v>
      </c>
      <c r="AE86" s="124" t="str">
        <f>J47</f>
        <v>Iran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3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2</v>
      </c>
      <c r="AP86" s="123">
        <f>AN86/AN92*10000+AM86/AM92*1000+AI86/AI92*100+IF(AQ86=0,ROW(),AQ86)/2000000</f>
        <v>4225.0008076499998</v>
      </c>
      <c r="AQ86" s="126">
        <f t="shared" si="37"/>
        <v>1615.3</v>
      </c>
      <c r="AR86" s="125" t="str">
        <f t="shared" si="50"/>
        <v>BCDEF</v>
      </c>
      <c r="AS86" s="129" t="str">
        <f t="shared" si="46"/>
        <v/>
      </c>
      <c r="AT86" s="130" t="str">
        <f>"Ⓖ "&amp;AE86</f>
        <v>Ⓖ Iran</v>
      </c>
    </row>
    <row r="87" spans="1:46" ht="15" customHeight="1" x14ac:dyDescent="0.25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3</v>
      </c>
      <c r="AP87" s="123">
        <f>AN87/AN92*10000+AM87/AM92*1000+AI87/AI92*100+IF(AQ87=0,ROW(),AQ87)/2000000</f>
        <v>6275.0007107150004</v>
      </c>
      <c r="AQ87" s="126">
        <f t="shared" si="37"/>
        <v>1421.43</v>
      </c>
      <c r="AR87" s="125" t="str">
        <f t="shared" si="50"/>
        <v>BCDEFH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Ⓗ Saudi Arabia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South Africa</v>
      </c>
      <c r="T88" s="127" t="str" cm="1">
        <f t="array" ref="T88">IF(OR(S88="",S88="draw"),INDEX(T,90,lang),S88)</f>
        <v>South Africa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2</v>
      </c>
      <c r="AJ88" s="123">
        <f t="shared" si="42"/>
        <v>2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6650.0008444949999</v>
      </c>
      <c r="AQ88" s="126">
        <f t="shared" si="37"/>
        <v>1688.99</v>
      </c>
      <c r="AR88" s="125" t="str">
        <f t="shared" si="50"/>
        <v>BCDEFHI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Algeria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9</v>
      </c>
      <c r="AE89" s="124" t="str">
        <f>J65</f>
        <v>Algeria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1</v>
      </c>
      <c r="AJ89" s="123">
        <f t="shared" si="42"/>
        <v>3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6225.0007821299996</v>
      </c>
      <c r="AQ89" s="126">
        <f t="shared" si="37"/>
        <v>1564.26</v>
      </c>
      <c r="AR89" s="125" t="str">
        <f t="shared" si="50"/>
        <v>BCDEFHI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Iran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0</v>
      </c>
      <c r="AJ90" s="123">
        <f t="shared" si="42"/>
        <v>3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2000.0007326699999</v>
      </c>
      <c r="AQ90" s="126">
        <f t="shared" si="37"/>
        <v>1465.34</v>
      </c>
      <c r="AR90" s="125" t="str">
        <f t="shared" si="50"/>
        <v>BCDEFHI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Ⓐ Czech Republic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1 - 3</v>
      </c>
      <c r="P91" s="104">
        <f t="shared" si="48"/>
        <v>1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6</v>
      </c>
      <c r="AE91" s="124" t="str">
        <f>J77</f>
        <v>Croatia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2</v>
      </c>
      <c r="AJ91" s="123">
        <f>VLOOKUP($AE91,$AE$8:$AQ$78,6,FALSE)</f>
        <v>3</v>
      </c>
      <c r="AK91" s="123" t="s">
        <v>3192</v>
      </c>
      <c r="AL91" s="123">
        <f>VLOOKUP($AE91,$AE$8:$AQ$78,8,FALSE)</f>
        <v>-1</v>
      </c>
      <c r="AM91" s="123">
        <f t="shared" si="44"/>
        <v>2</v>
      </c>
      <c r="AN91" s="123">
        <f>VLOOKUP($AE91,$AE$8:$AQ$78,10,FALSE)</f>
        <v>3</v>
      </c>
      <c r="AP91" s="123">
        <f>AN91/AN92*10000+AM91/AM92*1000+AI91/AI92*100+IF(AQ91=0,ROW(),AQ91)/2000000</f>
        <v>6450.0008585349997</v>
      </c>
      <c r="AQ91" s="126">
        <f t="shared" si="37"/>
        <v>1717.07</v>
      </c>
      <c r="AR91" s="125" t="str">
        <f t="shared" si="50"/>
        <v>BCDEFHIL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0 - 3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4</v>
      </c>
      <c r="AJ92" s="123">
        <f>MAX(AJ80:AJ91)+1</f>
        <v>6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153</v>
      </c>
      <c r="C3" s="121" t="str">
        <f>'2026 World Cup'!AR91</f>
        <v>BCDEFHIL</v>
      </c>
      <c r="D3" s="121" t="str">
        <f>VLOOKUP($C3,$C$6:$K$500,2,FALSE)</f>
        <v>3C</v>
      </c>
      <c r="E3" s="121" t="str">
        <f>VLOOKUP($C3,$C$6:$K$500,3,FALSE)</f>
        <v>3E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JESUS MARTIN RUIZ</cp:lastModifiedBy>
  <cp:revision/>
  <dcterms:created xsi:type="dcterms:W3CDTF">2017-12-27T19:32:51Z</dcterms:created>
  <dcterms:modified xsi:type="dcterms:W3CDTF">2026-06-03T10:50:36Z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