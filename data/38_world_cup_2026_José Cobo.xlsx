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cobo/Desktop/"/>
    </mc:Choice>
  </mc:AlternateContent>
  <xr:revisionPtr revIDLastSave="0" documentId="13_ncr:1_{90F99078-8056-E140-955A-3711A2B86655}" xr6:coauthVersionLast="47" xr6:coauthVersionMax="47" xr10:uidLastSave="{00000000-0000-0000-0000-000000000000}"/>
  <bookViews>
    <workbookView xWindow="0" yWindow="660" windowWidth="29140" windowHeight="16640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9" i="3" l="1"/>
  <c r="AP59" i="3" s="1"/>
  <c r="BI57" i="3"/>
  <c r="AP57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8" i="3"/>
  <c r="AR59" i="3"/>
  <c r="AR9" i="3"/>
  <c r="AR33" i="3"/>
  <c r="AR34" i="3"/>
  <c r="AR10" i="3"/>
  <c r="AR35" i="3"/>
  <c r="AR11" i="3"/>
  <c r="AR22" i="3"/>
  <c r="AR21" i="3"/>
  <c r="AR2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D44" i="3" s="1"/>
  <c r="AR64" i="3"/>
  <c r="AR39" i="3"/>
  <c r="AR16" i="3"/>
  <c r="AR17" i="3"/>
  <c r="AD57" i="3" l="1"/>
  <c r="AD56" i="3"/>
  <c r="AD58" i="3"/>
  <c r="AD59" i="3"/>
  <c r="AD77" i="3"/>
  <c r="AD14" i="3"/>
  <c r="AD47" i="3"/>
  <c r="AD15" i="3"/>
  <c r="AD33" i="3"/>
  <c r="AD32" i="3"/>
  <c r="AD9" i="3"/>
  <c r="AD8" i="3"/>
  <c r="AD34" i="3"/>
  <c r="AD35" i="3"/>
  <c r="AD28" i="3"/>
  <c r="AD22" i="3"/>
  <c r="AD75" i="3"/>
  <c r="AD10" i="3"/>
  <c r="AD11" i="3"/>
  <c r="AD74" i="3"/>
  <c r="AD29" i="3"/>
  <c r="AD76" i="3"/>
  <c r="AD71" i="3"/>
  <c r="AD53" i="3"/>
  <c r="AD63" i="3"/>
  <c r="AD62" i="3"/>
  <c r="AD68" i="3"/>
  <c r="AD70" i="3"/>
  <c r="AD41" i="3"/>
  <c r="AD27" i="3"/>
  <c r="AD26" i="3"/>
  <c r="AD21" i="3"/>
  <c r="AD20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N58" i="3" l="1"/>
  <c r="L58" i="3"/>
  <c r="J57" i="3"/>
  <c r="AS56" i="3" s="1"/>
  <c r="BL14" i="3" s="1"/>
  <c r="O58" i="3"/>
  <c r="M58" i="3"/>
  <c r="N57" i="3"/>
  <c r="J58" i="3"/>
  <c r="AS57" i="3" s="1"/>
  <c r="BL47" i="3" s="1"/>
  <c r="BS45" i="3" s="1"/>
  <c r="L57" i="3"/>
  <c r="O57" i="3"/>
  <c r="M57" i="3"/>
  <c r="M59" i="3"/>
  <c r="L59" i="3"/>
  <c r="O60" i="3"/>
  <c r="L60" i="3"/>
  <c r="N59" i="3"/>
  <c r="J59" i="3"/>
  <c r="AE88" i="3" s="1"/>
  <c r="AQ88" i="3" s="1"/>
  <c r="M60" i="3"/>
  <c r="J60" i="3"/>
  <c r="N60" i="3"/>
  <c r="O59" i="3"/>
  <c r="J45" i="3"/>
  <c r="AS44" i="3" s="1"/>
  <c r="BL38" i="3" s="1"/>
  <c r="M45" i="3"/>
  <c r="N45" i="3"/>
  <c r="L45" i="3"/>
  <c r="O45" i="3"/>
  <c r="M16" i="3"/>
  <c r="J16" i="3"/>
  <c r="AS15" i="3" s="1"/>
  <c r="BL19" i="3" s="1"/>
  <c r="M18" i="3"/>
  <c r="N16" i="3"/>
  <c r="O16" i="3"/>
  <c r="J18" i="3"/>
  <c r="L16" i="3"/>
  <c r="O18" i="3"/>
  <c r="N17" i="3"/>
  <c r="O54" i="3"/>
  <c r="N18" i="3"/>
  <c r="L18" i="3"/>
  <c r="N12" i="3"/>
  <c r="J12" i="3"/>
  <c r="O9" i="3"/>
  <c r="N9" i="3"/>
  <c r="O12" i="3"/>
  <c r="M9" i="3"/>
  <c r="L12" i="3"/>
  <c r="M12" i="3"/>
  <c r="J9" i="3"/>
  <c r="AS8" i="3" s="1"/>
  <c r="BL50" i="3" s="1"/>
  <c r="L9" i="3"/>
  <c r="J35" i="3"/>
  <c r="AE84" i="3" s="1"/>
  <c r="AQ84" i="3" s="1"/>
  <c r="J34" i="3"/>
  <c r="AS33" i="3" s="1"/>
  <c r="BL46" i="3" s="1"/>
  <c r="J36" i="3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O17" i="3"/>
  <c r="L17" i="3"/>
  <c r="M17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L63" i="3"/>
  <c r="M63" i="3"/>
  <c r="N63" i="3"/>
  <c r="O63" i="3"/>
  <c r="L65" i="3"/>
  <c r="M65" i="3"/>
  <c r="N65" i="3"/>
  <c r="O65" i="3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L23" i="3"/>
  <c r="M41" i="3"/>
  <c r="N53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M64" i="3"/>
  <c r="O64" i="3"/>
  <c r="M66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J51" i="3"/>
  <c r="AS50" i="3" s="1"/>
  <c r="BL30" i="3" s="1"/>
  <c r="N54" i="3"/>
  <c r="N52" i="3"/>
  <c r="L64" i="3"/>
  <c r="N64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N47" i="3"/>
  <c r="L47" i="3"/>
  <c r="N46" i="3"/>
  <c r="L46" i="3"/>
  <c r="O46" i="3"/>
  <c r="O48" i="3"/>
  <c r="M46" i="3"/>
  <c r="O47" i="3"/>
  <c r="N48" i="3"/>
  <c r="M47" i="3"/>
  <c r="M48" i="3"/>
  <c r="L48" i="3"/>
  <c r="M54" i="3"/>
  <c r="M51" i="3"/>
  <c r="L51" i="3"/>
  <c r="N51" i="3"/>
  <c r="J52" i="3"/>
  <c r="AS51" i="3" s="1"/>
  <c r="BL59" i="3" s="1"/>
  <c r="O51" i="3"/>
  <c r="L54" i="3"/>
  <c r="L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Z48" i="3" l="1"/>
  <c r="S91" i="3"/>
  <c r="T91" i="3" s="1" a="1"/>
  <c r="BS37" i="3"/>
  <c r="S90" i="3"/>
  <c r="T90" i="3" s="1" a="1"/>
  <c r="BS36" i="3"/>
  <c r="S89" i="3"/>
  <c r="T89" i="3" s="1" a="1"/>
  <c r="BS21" i="3"/>
  <c r="S87" i="3"/>
  <c r="T87" i="3" s="1" a="1"/>
  <c r="BS29" i="3"/>
  <c r="S86" i="3"/>
  <c r="T86" i="3" s="1" a="1"/>
  <c r="BS28" i="3"/>
  <c r="S88" i="3"/>
  <c r="T88" i="3" s="1" a="1"/>
  <c r="BS20" i="3"/>
  <c r="P58" i="3"/>
  <c r="K58" i="3"/>
  <c r="P57" i="3"/>
  <c r="K57" i="3"/>
  <c r="K59" i="3"/>
  <c r="P59" i="3"/>
  <c r="AF88" i="3"/>
  <c r="AI88" i="3"/>
  <c r="AJ88" i="3"/>
  <c r="AT88" i="3"/>
  <c r="AG88" i="3"/>
  <c r="AN88" i="3"/>
  <c r="AH88" i="3"/>
  <c r="P60" i="3"/>
  <c r="AL88" i="3"/>
  <c r="K60" i="3"/>
  <c r="K45" i="3"/>
  <c r="P45" i="3"/>
  <c r="P16" i="3"/>
  <c r="K16" i="3"/>
  <c r="AF91" i="3"/>
  <c r="AG91" i="3"/>
  <c r="AH91" i="3"/>
  <c r="AI91" i="3"/>
  <c r="AJ91" i="3"/>
  <c r="AL91" i="3"/>
  <c r="AN91" i="3"/>
  <c r="AT91" i="3"/>
  <c r="P77" i="3"/>
  <c r="K77" i="3"/>
  <c r="K78" i="3"/>
  <c r="P78" i="3"/>
  <c r="P24" i="3"/>
  <c r="P18" i="3"/>
  <c r="K18" i="3"/>
  <c r="AL80" i="3"/>
  <c r="AJ80" i="3"/>
  <c r="K11" i="3"/>
  <c r="K34" i="3"/>
  <c r="AN80" i="3"/>
  <c r="P11" i="3"/>
  <c r="P34" i="3"/>
  <c r="AI80" i="3"/>
  <c r="AT80" i="3"/>
  <c r="K76" i="3"/>
  <c r="K75" i="3"/>
  <c r="P65" i="3"/>
  <c r="K35" i="3"/>
  <c r="K36" i="3"/>
  <c r="K33" i="3"/>
  <c r="AF84" i="3"/>
  <c r="AI84" i="3"/>
  <c r="AL84" i="3"/>
  <c r="AT84" i="3"/>
  <c r="K9" i="3"/>
  <c r="P12" i="3"/>
  <c r="K12" i="3"/>
  <c r="AG84" i="3"/>
  <c r="P76" i="3"/>
  <c r="K65" i="3"/>
  <c r="P35" i="3"/>
  <c r="P36" i="3"/>
  <c r="P33" i="3"/>
  <c r="AH84" i="3"/>
  <c r="AJ84" i="3"/>
  <c r="AN84" i="3"/>
  <c r="P9" i="3"/>
  <c r="P75" i="3"/>
  <c r="P63" i="3"/>
  <c r="K63" i="3"/>
  <c r="AF85" i="3"/>
  <c r="AG85" i="3"/>
  <c r="AH85" i="3"/>
  <c r="AI85" i="3"/>
  <c r="AJ85" i="3"/>
  <c r="AL85" i="3"/>
  <c r="AN85" i="3"/>
  <c r="AT85" i="3"/>
  <c r="P22" i="3"/>
  <c r="K22" i="3"/>
  <c r="K24" i="3"/>
  <c r="P21" i="3"/>
  <c r="K21" i="3"/>
  <c r="P17" i="3"/>
  <c r="K17" i="3"/>
  <c r="AF81" i="3"/>
  <c r="AG81" i="3"/>
  <c r="AH81" i="3"/>
  <c r="AI81" i="3"/>
  <c r="AJ81" i="3"/>
  <c r="AL81" i="3"/>
  <c r="AN81" i="3"/>
  <c r="AT81" i="3"/>
  <c r="K10" i="3"/>
  <c r="P10" i="3"/>
  <c r="AF80" i="3"/>
  <c r="AG80" i="3"/>
  <c r="AH80" i="3"/>
  <c r="K23" i="3"/>
  <c r="P53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4" i="3"/>
  <c r="K64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AF82" i="3"/>
  <c r="AG82" i="3"/>
  <c r="AH82" i="3"/>
  <c r="AI82" i="3"/>
  <c r="AJ82" i="3"/>
  <c r="AN82" i="3"/>
  <c r="AT82" i="3"/>
  <c r="P15" i="3"/>
  <c r="K15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S92" i="3"/>
  <c r="AL92" i="3"/>
  <c r="AM88" i="3" s="1"/>
  <c r="AG92" i="3"/>
  <c r="AF92" i="3"/>
  <c r="AN92" i="3"/>
  <c r="AI92" i="3"/>
  <c r="AJ92" i="3"/>
  <c r="AH92" i="3"/>
  <c r="S103" i="3" l="1"/>
  <c r="T103" i="3" s="1" a="1"/>
  <c r="CG24" i="3"/>
  <c r="S111" i="3" s="1"/>
  <c r="T111" i="3" s="1"/>
  <c r="AM81" i="3"/>
  <c r="AM83" i="3"/>
  <c r="AM82" i="3"/>
  <c r="AM91" i="3"/>
  <c r="AM90" i="3"/>
  <c r="AM89" i="3"/>
  <c r="AM80" i="3"/>
  <c r="AM87" i="3"/>
  <c r="AM86" i="3"/>
  <c r="AM85" i="3"/>
  <c r="AM84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9" i="3"/>
  <c r="AP90" i="3"/>
  <c r="AP80" i="3"/>
  <c r="AP88" i="3"/>
  <c r="AP85" i="3"/>
  <c r="AP81" i="3"/>
  <c r="AP84" i="3"/>
  <c r="AP86" i="3"/>
  <c r="AP82" i="3"/>
  <c r="AP83" i="3"/>
  <c r="AP91" i="3"/>
  <c r="CN37" i="3" l="1"/>
  <c r="CK68" i="3" s="1"/>
  <c r="CN48" i="3"/>
  <c r="AD85" i="3"/>
  <c r="AS85" i="3" s="1"/>
  <c r="AD89" i="3"/>
  <c r="AS89" i="3" s="1"/>
  <c r="AD86" i="3"/>
  <c r="AS86" i="3" s="1"/>
  <c r="AD84" i="3"/>
  <c r="AS84" i="3" s="1"/>
  <c r="AD88" i="3"/>
  <c r="AS88" i="3" s="1"/>
  <c r="AD83" i="3"/>
  <c r="AS83" i="3" s="1"/>
  <c r="AD91" i="3"/>
  <c r="AS91" i="3" s="1"/>
  <c r="AD82" i="3"/>
  <c r="AS82" i="3" s="1"/>
  <c r="AD90" i="3"/>
  <c r="AS90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O82" i="3"/>
  <c r="M89" i="3"/>
  <c r="J85" i="3"/>
  <c r="L91" i="3"/>
  <c r="N82" i="3"/>
  <c r="J86" i="3"/>
  <c r="N81" i="3"/>
  <c r="J88" i="3"/>
  <c r="L81" i="3"/>
  <c r="N90" i="3"/>
  <c r="O91" i="3"/>
  <c r="J83" i="3"/>
  <c r="O84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6" i="3"/>
  <c r="M84" i="3"/>
  <c r="M81" i="3"/>
  <c r="N88" i="3"/>
  <c r="N87" i="3"/>
  <c r="M83" i="3"/>
  <c r="N91" i="3"/>
  <c r="O89" i="3"/>
  <c r="N89" i="3"/>
  <c r="L92" i="3"/>
  <c r="J81" i="3"/>
  <c r="J89" i="3"/>
  <c r="O81" i="3"/>
  <c r="M90" i="3"/>
  <c r="N83" i="3"/>
  <c r="J91" i="3"/>
  <c r="L89" i="3"/>
  <c r="J84" i="3"/>
  <c r="N92" i="3"/>
  <c r="J82" i="3"/>
  <c r="J90" i="3"/>
  <c r="M82" i="3"/>
  <c r="M86" i="3"/>
  <c r="N86" i="3"/>
  <c r="L87" i="3"/>
  <c r="M92" i="3"/>
  <c r="L85" i="3"/>
  <c r="O85" i="3"/>
  <c r="P92" i="3" l="1"/>
  <c r="K91" i="3"/>
  <c r="K82" i="3"/>
  <c r="P81" i="3"/>
  <c r="K90" i="3"/>
  <c r="K81" i="3"/>
  <c r="P86" i="3"/>
  <c r="K92" i="3"/>
  <c r="P82" i="3"/>
  <c r="P83" i="3"/>
  <c r="P90" i="3"/>
  <c r="K89" i="3"/>
  <c r="K86" i="3"/>
  <c r="P91" i="3"/>
  <c r="P88" i="3"/>
  <c r="P85" i="3"/>
  <c r="E3" i="4"/>
  <c r="K87" i="3"/>
  <c r="P87" i="3"/>
  <c r="K84" i="3"/>
  <c r="K83" i="3"/>
  <c r="P84" i="3"/>
  <c r="K85" i="3"/>
  <c r="K88" i="3"/>
  <c r="H3" i="4"/>
  <c r="BL39" i="3" s="1"/>
  <c r="I3" i="4"/>
  <c r="BL15" i="3" s="1"/>
  <c r="P89" i="3"/>
  <c r="G3" i="4"/>
  <c r="BL11" i="3" s="1"/>
  <c r="J3" i="4"/>
  <c r="B3" i="4"/>
  <c r="D3" i="4"/>
  <c r="K3" i="4"/>
  <c r="BS53" i="3"/>
  <c r="BS52" i="3"/>
  <c r="BS69" i="3"/>
  <c r="BZ65" i="3" s="1"/>
  <c r="CG56" i="3" s="1"/>
  <c r="CN49" i="3" s="1"/>
  <c r="BS68" i="3"/>
  <c r="BZ49" i="3" l="1"/>
  <c r="CG55" i="3" s="1"/>
  <c r="CN38" i="3" s="1"/>
  <c r="BL55" i="3"/>
  <c r="BL51" i="3"/>
  <c r="BL71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<sst xmlns="http://schemas.openxmlformats.org/spreadsheetml/2006/main" count="9785" uniqueCount="3699">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</sst>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"/>
  <cols>
    <col min="1" max="1" width="24.1640625" bestFit="1" customWidth="1"/>
    <col min="2" max="42" width="14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640625" defaultRowHeight="15" x14ac:dyDescent="0.2"/>
  <cols>
    <col min="1" max="1" width="1.1640625" style="10" customWidth="1"/>
    <col min="2" max="2" width="18.83203125" style="10" bestFit="1" customWidth="1"/>
    <col min="3" max="3" width="20.33203125" style="10" customWidth="1"/>
    <col min="4" max="4" width="9.1640625" style="10"/>
    <col min="5" max="5" width="1.1640625" style="10" customWidth="1"/>
    <col min="6" max="6" width="9.1640625" style="10"/>
    <col min="7" max="7" width="27.5" style="10" bestFit="1" customWidth="1"/>
    <col min="8" max="8" width="2.6640625" style="10" customWidth="1"/>
    <col min="9" max="9" width="1.1640625" style="10" customWidth="1"/>
    <col min="10" max="16384" width="9.1640625" style="10"/>
  </cols>
  <sheetData>
    <row r="1" spans="2:27" ht="7.5" customHeight="1" x14ac:dyDescent="0.2"/>
    <row r="2" spans="2:27" ht="17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6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E7" sqref="E7"/>
    </sheetView>
  </sheetViews>
  <sheetFormatPr baseColWidth="10" defaultColWidth="9.1640625" defaultRowHeight="15" x14ac:dyDescent="0.2"/>
  <cols>
    <col min="1" max="1" width="4.83203125" style="3" customWidth="1"/>
    <col min="2" max="2" width="6.1640625" style="3" customWidth="1"/>
    <col min="3" max="3" width="11.6640625" style="3" bestFit="1" customWidth="1"/>
    <col min="4" max="4" width="9" style="4" customWidth="1"/>
    <col min="5" max="5" width="22.5" style="5" customWidth="1"/>
    <col min="6" max="7" width="4.33203125" style="6" customWidth="1"/>
    <col min="8" max="8" width="22.5" style="7" customWidth="1"/>
    <col min="9" max="9" width="3.5" style="2" customWidth="1"/>
    <col min="10" max="10" width="19.5" style="8" customWidth="1"/>
    <col min="11" max="14" width="5.5" style="9" customWidth="1"/>
    <col min="15" max="15" width="7.6640625" style="9" customWidth="1"/>
    <col min="16" max="16" width="6.6640625" style="9" customWidth="1"/>
    <col min="17" max="17" width="3.5" style="68" customWidth="1"/>
    <col min="18" max="18" width="15.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5" style="123" hidden="1" customWidth="1"/>
    <col min="31" max="31" width="13.5" style="124" hidden="1" customWidth="1"/>
    <col min="32" max="36" width="5.5" style="123" hidden="1" customWidth="1"/>
    <col min="37" max="39" width="6" style="123" hidden="1" customWidth="1"/>
    <col min="40" max="40" width="5.5" style="123" hidden="1" customWidth="1"/>
    <col min="41" max="42" width="6" style="123" hidden="1" customWidth="1"/>
    <col min="43" max="43" width="7.164062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640625" style="125" hidden="1" customWidth="1"/>
    <col min="52" max="61" width="9.1640625" style="126" hidden="1" customWidth="1"/>
    <col min="62" max="62" width="9.164062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320312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640625" style="2"/>
  </cols>
  <sheetData>
    <row r="1" spans="1:95" ht="47" x14ac:dyDescent="0.2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1.9805825242718447</v>
      </c>
      <c r="AP9" s="123">
        <f>AO9*10000000+BI9*100+AM9/AM12*10+AI9/AI12*1++IF(AQ9=0,ROW(),AQ9)/2000000</f>
        <v>19805923.444542881</v>
      </c>
      <c r="AQ9" s="126">
        <f>VLOOKUP(AE9,db_fifarank,2,FALSE)</f>
        <v>1429.73</v>
      </c>
      <c r="AR9" s="125">
        <f>AP9/AP12</f>
        <v>0.22006578977248833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1</v>
      </c>
      <c r="AW9" s="126" cm="1">
        <f t="array" ref="AW9">SUMPRODUCT(($E$7:$E$78=AE9)*($U$7:$U$78)*($G$7:$G$78))+SUMPRODUCT(($H$7:$H$78=AE9)*($U$7:$U$78)*($F$7:$F$78))</f>
        <v>1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50.5</v>
      </c>
      <c r="BA9" s="126">
        <f>AZ9/AZ12</f>
        <v>0.98058252427184467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1</v>
      </c>
      <c r="BE9" s="126" cm="1">
        <f t="array" ref="BE9">SUMPRODUCT(($E$7:$E$78=AE9)*($X$7:$X$78)*($G$7:$G$78))+SUMPRODUCT(($H$7:$H$78=AE9)*($X$7:$X$78)*($F$7:$F$78))</f>
        <v>1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50.5</v>
      </c>
      <c r="BI9" s="126">
        <f>BH9/BH12</f>
        <v>0.98058252427184467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60000004.873810202</v>
      </c>
      <c r="AQ10" s="126">
        <f>VLOOKUP(AE10,db_fifarank,2,FALSE)</f>
        <v>1588.66</v>
      </c>
      <c r="AR10" s="125">
        <f>AP10/AP12</f>
        <v>0.66666664121365515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1 - 4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4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1.9805825242718447</v>
      </c>
      <c r="AP11" s="123">
        <f>AO11*10000000+BI11*100+AM11/AM12*10+AI11/AI12*1++IF(AQ11=0,ROW(),AQ11)/2000000</f>
        <v>19805923.444578707</v>
      </c>
      <c r="AQ11" s="126">
        <f>VLOOKUP(AE11,db_fifarank,2,FALSE)</f>
        <v>1501.38</v>
      </c>
      <c r="AR11" s="125">
        <f>AP11/AP12</f>
        <v>0.22006578977288641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1</v>
      </c>
      <c r="AL14" s="123">
        <f>AI14-AJ14</f>
        <v>3</v>
      </c>
      <c r="AM14" s="123">
        <f>AL14-AL18</f>
        <v>7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87500009.55077824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4</v>
      </c>
      <c r="AL15" s="123">
        <f>AI15-AJ15</f>
        <v>-4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6.9291999999999997E-4</v>
      </c>
      <c r="AQ15" s="126">
        <f>VLOOKUP(AE15,db_fifarank,2,FALSE)</f>
        <v>1385.84</v>
      </c>
      <c r="AR15" s="125">
        <f>AP15/AP18</f>
        <v>7.9190847593999174E-12</v>
      </c>
      <c r="AS15" s="125" t="str">
        <f>IF(SUM(AF14:AH17)=12,J16,"2B")</f>
        <v>Qatar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Australia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Qatar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2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2</v>
      </c>
      <c r="AH16" s="123">
        <f>COUNTIF($S$7:$T$78,"=" &amp; AE16 &amp; "_lose")</f>
        <v>0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2</v>
      </c>
      <c r="AL16" s="123">
        <f>AI16-AJ16</f>
        <v>1</v>
      </c>
      <c r="AM16" s="123">
        <f>AL16-AL18</f>
        <v>5</v>
      </c>
      <c r="AN16" s="123">
        <f>AF16*3+AG16</f>
        <v>5</v>
      </c>
      <c r="AO16" s="123">
        <f>AN16/AN18*10+BA16</f>
        <v>6.25</v>
      </c>
      <c r="AP16" s="123">
        <f>AO16*10000000+BI16*100+AM16/AM18*10+AI16/AI18*1++IF(AQ16=0,ROW(),AQ16)/2000000</f>
        <v>62500006.850727484</v>
      </c>
      <c r="AQ16" s="126">
        <f>VLOOKUP(AE16,db_fifarank,2,FALSE)</f>
        <v>1454.96</v>
      </c>
      <c r="AR16" s="125">
        <f>AP16/AP18</f>
        <v>0.71428570645094169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2</v>
      </c>
      <c r="AL17" s="123">
        <f>AI17-AJ17</f>
        <v>0</v>
      </c>
      <c r="AM17" s="123">
        <f>AL17-AL18</f>
        <v>4</v>
      </c>
      <c r="AN17" s="123">
        <f>AF17*3+AG17</f>
        <v>4</v>
      </c>
      <c r="AO17" s="123">
        <f>AN17/AN18*10+BA17</f>
        <v>5</v>
      </c>
      <c r="AP17" s="123">
        <f>AO17*10000000+BI17*100+AM17/AM18*10+AI17/AI18*1++IF(AQ17=0,ROW(),AQ17)/2000000</f>
        <v>50000005.400824696</v>
      </c>
      <c r="AQ17" s="126">
        <f>VLOOKUP(AE17,db_fifarank,2,FALSE)</f>
        <v>1649.4</v>
      </c>
      <c r="AR17" s="125">
        <f>AP17/AP18</f>
        <v>0.57142856424924149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0 - 4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0</v>
      </c>
      <c r="W18" s="123">
        <f t="shared" si="4"/>
        <v>0</v>
      </c>
      <c r="X18" s="123">
        <f t="shared" si="9"/>
        <v>1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-4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87500010.55077824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Qatar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1</v>
      </c>
      <c r="AL20" s="123">
        <f>AI20-AJ20</f>
        <v>6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90000010.042547256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2</v>
      </c>
      <c r="AL21" s="123">
        <f>AI21-AJ21</f>
        <v>1</v>
      </c>
      <c r="AM21" s="123">
        <f>AL21-AL24</f>
        <v>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60000005.375877932</v>
      </c>
      <c r="AQ21" s="126">
        <f>VLOOKUP(AE21,db_fifarank,2,FALSE)</f>
        <v>1755.87</v>
      </c>
      <c r="AR21" s="125">
        <f>AP21/AP24</f>
        <v>0.66666664460200009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3 - 2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5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7.1761657861872241E-12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3</v>
      </c>
      <c r="AL23" s="123">
        <f>AI23-AJ23</f>
        <v>-2</v>
      </c>
      <c r="AM23" s="123">
        <f>AL23-AL24</f>
        <v>3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30000002.625749175</v>
      </c>
      <c r="AQ23" s="126">
        <f>VLOOKUP(AE23,db_fifarank,2,FALSE)</f>
        <v>1498.35</v>
      </c>
      <c r="AR23" s="125">
        <f>AP23/AP24</f>
        <v>0.33333332161000245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0 - 5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-5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90000011.042547256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0</v>
      </c>
      <c r="AL26" s="123">
        <f>AI26-AJ26</f>
        <v>5</v>
      </c>
      <c r="AM26" s="123">
        <f>AL26-AL30</f>
        <v>9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90000009.834169894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5 - 0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5</v>
      </c>
      <c r="AL27" s="123">
        <f>AI27-AJ27</f>
        <v>-4</v>
      </c>
      <c r="AM27" s="123">
        <f>AL27-AL30</f>
        <v>0</v>
      </c>
      <c r="AN27" s="123">
        <f>AF27*3+AG27</f>
        <v>1</v>
      </c>
      <c r="AO27" s="123">
        <f>AN27/AN30*10+BA27</f>
        <v>1.9805825242718447</v>
      </c>
      <c r="AP27" s="123">
        <f>AO27*10000000+BI27*100+AM27/AM30*10+AI27/AI30*1++IF(AQ27=0,ROW(),AQ27)/2000000</f>
        <v>19805923.468389291</v>
      </c>
      <c r="AQ27" s="126">
        <f>VLOOKUP(AE27,db_fifarank,2,FALSE)</f>
        <v>1503.5</v>
      </c>
      <c r="AR27" s="125">
        <f>AP27/AP30</f>
        <v>0.22006578982399042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3 - 2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2</v>
      </c>
      <c r="AN28" s="123">
        <f>AF28*3+AG28</f>
        <v>1</v>
      </c>
      <c r="AO28" s="123">
        <f>AN28/AN30*10+BA28</f>
        <v>1.9805825242718447</v>
      </c>
      <c r="AP28" s="123">
        <f>AO28*10000000+BI28*100+AM28/AM30*10+AI28/AI30*1++IF(AQ28=0,ROW(),AQ28)/2000000</f>
        <v>19805925.468427878</v>
      </c>
      <c r="AQ28" s="126">
        <f>VLOOKUP(AE28,db_fifarank,2,FALSE)</f>
        <v>1580.67</v>
      </c>
      <c r="AR28" s="125">
        <f>AP28/AP30</f>
        <v>0.22006581204663869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2</v>
      </c>
      <c r="AL29" s="123">
        <f>AI29-AJ29</f>
        <v>1</v>
      </c>
      <c r="AM29" s="123">
        <f>AL29-AL30</f>
        <v>5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60000005.500799522</v>
      </c>
      <c r="AQ29" s="126">
        <f>VLOOKUP(AE29,db_fifarank,2,FALSE)</f>
        <v>1599.04</v>
      </c>
      <c r="AR29" s="125">
        <f>AP29/AP30</f>
        <v>0.66666664753355331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-4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90000010.834169894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1</v>
      </c>
      <c r="Y31" s="123">
        <f t="shared" si="10"/>
        <v>1</v>
      </c>
      <c r="Z31" s="123">
        <f t="shared" si="11"/>
        <v>1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10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87500009.948917136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1.25</v>
      </c>
      <c r="AP33" s="123">
        <f>AO33*10000000+BI33*100+AM33/AM36*10+AI33/AI36*1++IF(AQ33=0,ROW(),AQ33)/2000000</f>
        <v>12500000.000647325</v>
      </c>
      <c r="AQ33" s="126">
        <f>VLOOKUP(AE33,db_fifarank,2,FALSE)</f>
        <v>1294.6500000000001</v>
      </c>
      <c r="AR33" s="125">
        <f>AP33/AP36</f>
        <v>0.14285712498876002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4 - 2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3</v>
      </c>
      <c r="AN34" s="123">
        <f>AF34*3+AG34</f>
        <v>2</v>
      </c>
      <c r="AO34" s="123">
        <f>AN34/AN36*10+BA34</f>
        <v>2.5</v>
      </c>
      <c r="AP34" s="123">
        <f>AO34*10000000+BI34*100+AM34/AM36*10+AI34/AI36*1++IF(AQ34=0,ROW(),AQ34)/2000000</f>
        <v>25000002.870896358</v>
      </c>
      <c r="AQ34" s="126">
        <f>VLOOKUP(AE34,db_fifarank,2,FALSE)</f>
        <v>1532.98</v>
      </c>
      <c r="AR34" s="125">
        <f>AP34/AP36</f>
        <v>0.28571428277296401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1 - 3</v>
      </c>
      <c r="P35" s="34">
        <f>L35*3+M35</f>
        <v>2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7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62500006.935862333</v>
      </c>
      <c r="AQ35" s="126">
        <f>VLOOKUP(AE35,db_fifarank,2,FALSE)</f>
        <v>1594.78</v>
      </c>
      <c r="AR35" s="125">
        <f>AP35/AP36</f>
        <v>0.71428570417379822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Switzerland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0 - 5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3</v>
      </c>
      <c r="AI36" s="123">
        <f>MAX(AI32:AI35)+1</f>
        <v>7</v>
      </c>
      <c r="AL36" s="123">
        <f>MIN(AL32:AL35)</f>
        <v>-5</v>
      </c>
      <c r="AM36" s="123">
        <f>MAX(AM32:AM35)+1</f>
        <v>11</v>
      </c>
      <c r="AN36" s="123">
        <f>MAX(AN32:AN35)+1</f>
        <v>8</v>
      </c>
      <c r="AO36" s="123">
        <f>MAX(AO32:AO35)+1</f>
        <v>9.75</v>
      </c>
      <c r="AP36" s="123">
        <f>MAX(AP32:AP35)+1</f>
        <v>87500010.948917136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6</v>
      </c>
      <c r="AN38" s="123">
        <f>AF38*3+AG38</f>
        <v>7</v>
      </c>
      <c r="AO38" s="123">
        <f>AN38/AN42*10+BA38</f>
        <v>9.7401477832512313</v>
      </c>
      <c r="AP38" s="123">
        <f>AO38*10000000+BI38*100+AM38/AM42*10+AI38/AI42*1++IF(AQ38=0,ROW(),AQ38)/2000000</f>
        <v>97401586.219598144</v>
      </c>
      <c r="AQ38" s="126">
        <f>VLOOKUP(AE38,db_fifarank,2,FALSE)</f>
        <v>1757.87</v>
      </c>
      <c r="AR38" s="125">
        <f>AP38/AP42</f>
        <v>0.9999999897332269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100.5</v>
      </c>
      <c r="BA38" s="126">
        <f>AZ38/AZ42</f>
        <v>0.99014778325123154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100.5</v>
      </c>
      <c r="BI38" s="126">
        <f>BH38/BH42</f>
        <v>0.99014778325123154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1</v>
      </c>
      <c r="AL39" s="123">
        <f>AI39-AJ39</f>
        <v>2</v>
      </c>
      <c r="AM39" s="123">
        <f>AL39-AL42</f>
        <v>5</v>
      </c>
      <c r="AN39" s="123">
        <f>AF39*3+AG39</f>
        <v>7</v>
      </c>
      <c r="AO39" s="123">
        <f>AN39/AN42*10+BA39</f>
        <v>9.7401477832512313</v>
      </c>
      <c r="AP39" s="123">
        <f>AO39*10000000+BI39*100+AM39/AM42*10+AI39/AI42*1++IF(AQ39=0,ROW(),AQ39)/2000000</f>
        <v>97401584.590978011</v>
      </c>
      <c r="AQ39" s="126">
        <f>VLOOKUP(AE39,db_fifarank,2,FALSE)</f>
        <v>1660.43</v>
      </c>
      <c r="AR39" s="125">
        <f>AP39/AP42</f>
        <v>0.99999997301255339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100.5</v>
      </c>
      <c r="BA39" s="126">
        <f>AZ39/AZ42</f>
        <v>0.99014778325123154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100.5</v>
      </c>
      <c r="BI39" s="126">
        <f>BH39/BH42</f>
        <v>0.99014778325123154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3 - 1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3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2.2352216748768474</v>
      </c>
      <c r="AP40" s="123">
        <f>AO40*10000000+BI40*100+AM40/AM42*10+AI40/AI42*1++IF(AQ40=0,ROW(),AQ40)/2000000</f>
        <v>22352315.271693349</v>
      </c>
      <c r="AQ40" s="126">
        <f>VLOOKUP(AE40,db_fifarank,2,FALSE)</f>
        <v>1514.77</v>
      </c>
      <c r="AR40" s="125">
        <f>AP40/AP42</f>
        <v>0.22948615017226173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100</v>
      </c>
      <c r="BA40" s="126">
        <f>AZ40/AZ42</f>
        <v>0.98522167487684731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100</v>
      </c>
      <c r="BI40" s="126">
        <f>BH40/BH42</f>
        <v>0.98522167487684731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0 - 2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2</v>
      </c>
      <c r="AL41" s="123">
        <f>AI41-AJ41</f>
        <v>-2</v>
      </c>
      <c r="AM41" s="123">
        <f>AL41-AL42</f>
        <v>1</v>
      </c>
      <c r="AN41" s="123">
        <f>AF41*3+AG41</f>
        <v>1</v>
      </c>
      <c r="AO41" s="123">
        <f>AN41/AN42*10+BA41</f>
        <v>2.2352216748768474</v>
      </c>
      <c r="AP41" s="123">
        <f>AO41*10000000+BI41*100+AM41/AM42*10+AI41/AI42*1++IF(AQ41=0,ROW(),AQ41)/2000000</f>
        <v>22352316.700248919</v>
      </c>
      <c r="AQ41" s="126">
        <f>VLOOKUP(AE41,db_fifarank,2,FALSE)</f>
        <v>1483.05</v>
      </c>
      <c r="AR41" s="125">
        <f>AP41/AP42</f>
        <v>0.22948616483891771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100</v>
      </c>
      <c r="BA41" s="126">
        <f>AZ41/AZ42</f>
        <v>0.98522167487684731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100</v>
      </c>
      <c r="BI41" s="126">
        <f>BH41/BH42</f>
        <v>0.98522167487684731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0 - 3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5</v>
      </c>
      <c r="AL42" s="123">
        <f>MIN(AL38:AL41)</f>
        <v>-3</v>
      </c>
      <c r="AM42" s="123">
        <f>MAX(AM38:AM41)+1</f>
        <v>7</v>
      </c>
      <c r="AN42" s="123">
        <f>MAX(AN38:AN41)+1</f>
        <v>8</v>
      </c>
      <c r="AO42" s="123">
        <f>MAX(AO38:AO41)+1</f>
        <v>10.740147783251231</v>
      </c>
      <c r="AP42" s="123">
        <f>MAX(AP38:AP41)+1</f>
        <v>97401587.219598144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101.5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101.5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1</v>
      </c>
      <c r="AL44" s="123">
        <f>AI44-AJ44</f>
        <v>2</v>
      </c>
      <c r="AM44" s="123">
        <f>AL44-AL48</f>
        <v>4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87500008.750867352</v>
      </c>
      <c r="AQ44" s="126">
        <f>VLOOKUP(AE44,db_fifarank,2,FALSE)</f>
        <v>1734.71</v>
      </c>
      <c r="AR44" s="125">
        <f>AP44/AP48</f>
        <v>0.9999999885714298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3 - 1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3</v>
      </c>
      <c r="AH45" s="123">
        <f>COUNTIF($S$7:$T$78,"=" &amp; AE45 &amp; "_lose")</f>
        <v>0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2</v>
      </c>
      <c r="AN45" s="123">
        <f>AF45*3+AG45</f>
        <v>3</v>
      </c>
      <c r="AO45" s="123">
        <f>AN45/AN48*10+BA45</f>
        <v>3.75</v>
      </c>
      <c r="AP45" s="123">
        <f>AO45*10000000+BI45*100+AM45/AM48*10+AI45/AI48*1++IF(AQ45=0,ROW(),AQ45)/2000000</f>
        <v>37500004.750781618</v>
      </c>
      <c r="AQ45" s="126">
        <f>VLOOKUP(AE45,db_fifarank,2,FALSE)</f>
        <v>1563.24</v>
      </c>
      <c r="AR45" s="125">
        <f>AP45/AP48</f>
        <v>0.42857143510672463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2</v>
      </c>
      <c r="AL46" s="123">
        <f>AI46-AJ46</f>
        <v>0</v>
      </c>
      <c r="AM46" s="123">
        <f>AL46-AL48</f>
        <v>2</v>
      </c>
      <c r="AN46" s="123">
        <f>AF46*3+AG46</f>
        <v>4</v>
      </c>
      <c r="AO46" s="123">
        <f>AN46/AN48*10+BA46</f>
        <v>5</v>
      </c>
      <c r="AP46" s="123">
        <f>AO46*10000000+BI46*100+AM46/AM48*10+AI46/AI48*1++IF(AQ46=0,ROW(),AQ46)/2000000</f>
        <v>50000004.50080765</v>
      </c>
      <c r="AQ46" s="126">
        <f>VLOOKUP(AE46,db_fifarank,2,FALSE)</f>
        <v>1615.3</v>
      </c>
      <c r="AR46" s="125">
        <f>AP46/AP48</f>
        <v>0.57142855918724078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3 - 3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3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12500000.250640785</v>
      </c>
      <c r="AQ47" s="126">
        <f>VLOOKUP(AE47,db_fifarank,2,FALSE)</f>
        <v>1281.57</v>
      </c>
      <c r="AR47" s="125">
        <f>AP47/AP48</f>
        <v>0.14285712980182699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4</v>
      </c>
      <c r="AL48" s="123">
        <f>MIN(AL44:AL47)</f>
        <v>-2</v>
      </c>
      <c r="AM48" s="123">
        <f>MAX(AM44:AM47)+1</f>
        <v>5</v>
      </c>
      <c r="AN48" s="123">
        <f>MAX(AN44:AN47)+1</f>
        <v>8</v>
      </c>
      <c r="AO48" s="123">
        <f>MAX(AO44:AO47)+1</f>
        <v>9.75</v>
      </c>
      <c r="AP48" s="123">
        <f>MAX(AP44:AP47)+1</f>
        <v>87500009.750867352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0</v>
      </c>
      <c r="W50" s="123">
        <f t="shared" si="22"/>
        <v>0</v>
      </c>
      <c r="X50" s="123">
        <f t="shared" si="9"/>
        <v>1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0</v>
      </c>
      <c r="AL50" s="123">
        <f>AI50-AJ50</f>
        <v>5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90000009.834271535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5 - 0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4</v>
      </c>
      <c r="AL51" s="123">
        <f>AI51-AJ51</f>
        <v>-4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7.589610197467804E-12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2 - 1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3</v>
      </c>
      <c r="AL52" s="123">
        <f>AI52-AJ52</f>
        <v>-2</v>
      </c>
      <c r="AM52" s="123">
        <f>AL52-AL54</f>
        <v>2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30000002.167377383</v>
      </c>
      <c r="AQ52" s="126">
        <f>VLOOKUP(AE52,db_fifarank,2,FALSE)</f>
        <v>1421.43</v>
      </c>
      <c r="AR52" s="125">
        <f>AP52/AP54</f>
        <v>0.33333331728837456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1 - 3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2</v>
      </c>
      <c r="AJ53" s="123">
        <f>SUMIF($E$7:$E$78,$AE53,$G$7:$G$78) + SUMIF($H$7:$H$78,$AE53,$F$7:$F$78)</f>
        <v>1</v>
      </c>
      <c r="AL53" s="123">
        <f>AI53-AJ53</f>
        <v>1</v>
      </c>
      <c r="AM53" s="123">
        <f>AL53-AL54</f>
        <v>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60000005.334169872</v>
      </c>
      <c r="AQ53" s="126">
        <f>VLOOKUP(AE53,db_fifarank,2,FALSE)</f>
        <v>1673.07</v>
      </c>
      <c r="AR53" s="125">
        <f>AP53/AP54</f>
        <v>0.66666664568136014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0 - 4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6</v>
      </c>
      <c r="AL54" s="123">
        <f>MIN(AL50:AL53)</f>
        <v>-4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90000010.834271535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1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4</v>
      </c>
      <c r="AJ56" s="123">
        <f>SUMIF($E$7:$E$78,$AE56,$G$7:$G$78) + SUMIF($H$7:$H$78,$AE56,$F$7:$F$78)</f>
        <v>1</v>
      </c>
      <c r="AL56" s="123">
        <f>AI56-AJ56</f>
        <v>3</v>
      </c>
      <c r="AM56" s="123">
        <f>AL56-AL60</f>
        <v>7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87500009.550938651</v>
      </c>
      <c r="AQ56" s="126">
        <f>VLOOKUP(AE56,db_fifarank,2,FALSE)</f>
        <v>1877.32</v>
      </c>
      <c r="AR56" s="125">
        <f>AP56/AP60</f>
        <v>0.99999998857142991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4 - 1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2</v>
      </c>
      <c r="AL57" s="123">
        <f>AI57-AJ57</f>
        <v>0</v>
      </c>
      <c r="AM57" s="123">
        <f>AL57-AL60</f>
        <v>4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50000005.400844492</v>
      </c>
      <c r="AQ57" s="126">
        <f>VLOOKUP(AE57,db_fifarank,2,FALSE)</f>
        <v>1688.99</v>
      </c>
      <c r="AR57" s="125">
        <f>AP57/AP60</f>
        <v>0.57142856424842015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2 - 1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4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8.2693704314329143E-12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2 - 2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1</v>
      </c>
      <c r="AL59" s="123">
        <f>AI59-AJ59</f>
        <v>1</v>
      </c>
      <c r="AM59" s="123">
        <f>AL59-AL60</f>
        <v>5</v>
      </c>
      <c r="AN59" s="123">
        <f>AF59*3+AG59</f>
        <v>6</v>
      </c>
      <c r="AO59" s="123">
        <f>AN59/AN60*10+BA59</f>
        <v>7.5</v>
      </c>
      <c r="AP59" s="123">
        <f>AO59*10000000+BI59*100+AM59/AM60*10+AI59/AI60*1++IF(AQ59=0,ROW(),AQ59)/2000000</f>
        <v>75000006.650775477</v>
      </c>
      <c r="AQ59" s="126">
        <f>VLOOKUP(AE59,db_fifarank,2,FALSE)</f>
        <v>1550.94</v>
      </c>
      <c r="AR59" s="125">
        <f>AP59/AP60</f>
        <v>0.85714282979558931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0 - 4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5</v>
      </c>
      <c r="AL60" s="123">
        <f>MIN(AL56:AL59)</f>
        <v>-4</v>
      </c>
      <c r="AM60" s="123">
        <f>MAX(AM56:AM59)+1</f>
        <v>8</v>
      </c>
      <c r="AN60" s="123">
        <f>MAX(AN56:AN59)+1</f>
        <v>8</v>
      </c>
      <c r="AO60" s="123">
        <f>MAX(AO56:AO59)+1</f>
        <v>9.75</v>
      </c>
      <c r="AP60" s="123">
        <f>MAX(AP56:AP59)+1</f>
        <v>87500010.550938651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0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1</v>
      </c>
      <c r="AL62" s="123">
        <f>AI62-AJ62</f>
        <v>5</v>
      </c>
      <c r="AM62" s="123">
        <f>AL62-AL66</f>
        <v>8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90000009.746969163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6 - 1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0</v>
      </c>
      <c r="AJ63" s="123">
        <f>SUMIF($E$7:$E$78,$AE63,$G$7:$G$78) + SUMIF($H$7:$H$78,$AE63,$F$7:$F$78)</f>
        <v>3</v>
      </c>
      <c r="AL63" s="123">
        <f>AI63-AJ63</f>
        <v>-3</v>
      </c>
      <c r="AM63" s="123">
        <f>AL63-AL66</f>
        <v>0</v>
      </c>
      <c r="AN63" s="123">
        <f>AF63*3+AG63</f>
        <v>1</v>
      </c>
      <c r="AO63" s="123">
        <f>AN63/AN66*10+BA63</f>
        <v>1.9803921568627452</v>
      </c>
      <c r="AP63" s="123">
        <f>AO63*10000000+BI63*100+AM63/AM66*10+AI63/AI66*1++IF(AQ63=0,ROW(),AQ63)/2000000</f>
        <v>19804019.608625267</v>
      </c>
      <c r="AQ63" s="126">
        <f>VLOOKUP(AE63,db_fifarank,2,FALSE)</f>
        <v>1564.26</v>
      </c>
      <c r="AR63" s="125">
        <f>AP63/AP66</f>
        <v>0.22004463604235944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4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60000004.873812601</v>
      </c>
      <c r="AQ64" s="126">
        <f>VLOOKUP(AE64,db_fifarank,2,FALSE)</f>
        <v>1593.45</v>
      </c>
      <c r="AR64" s="125">
        <f>AP64/AP66</f>
        <v>0.66666664121296404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0 - 3</v>
      </c>
      <c r="P65" s="34">
        <f>L65*3+M65</f>
        <v>1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3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1.9803921568627452</v>
      </c>
      <c r="AP65" s="123">
        <f>AO65*10000000+BI65*100+AM65/AM66*10+AI65/AI66*1++IF(AQ65=0,ROW(),AQ65)/2000000</f>
        <v>19804019.608538862</v>
      </c>
      <c r="AQ65" s="126">
        <f>VLOOKUP(AE65,db_fifarank,2,FALSE)</f>
        <v>1391.45</v>
      </c>
      <c r="AR65" s="125">
        <f>AP65/AP66</f>
        <v>0.22004463604139937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</v>
      </c>
      <c r="BA65" s="126">
        <f>AZ65/AZ66</f>
        <v>0.98039215686274506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</v>
      </c>
      <c r="BI65" s="126">
        <f>BH65/BH66</f>
        <v>0.98039215686274506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0 - 3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9</v>
      </c>
      <c r="AN66" s="123">
        <f>MAX(AN62:AN65)+1</f>
        <v>10</v>
      </c>
      <c r="AO66" s="123">
        <f>MAX(AO62:AO65)+1</f>
        <v>10</v>
      </c>
      <c r="AP66" s="123">
        <f>MAX(AP62:AP65)+1</f>
        <v>90000010.746969163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1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9.7401477832512313</v>
      </c>
      <c r="AP68" s="123">
        <f>AO68*10000000+BI68*100+AM68/AM72*10+AI68/AI72*1++IF(AQ68=0,ROW(),AQ68)/2000000</f>
        <v>97401586.570394784</v>
      </c>
      <c r="AQ68" s="126">
        <f>VLOOKUP(AE68,db_fifarank,2,FALSE)</f>
        <v>1763.83</v>
      </c>
      <c r="AR68" s="125">
        <f>AP68/AP72</f>
        <v>0.9999999897332269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0.99014778325123154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0.99014778325123154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5 - 1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2.2352216748768474</v>
      </c>
      <c r="AP69" s="123">
        <f>AO69*10000000+BI69*100+AM69/AM72*10+AI69/AI72*1++IF(AQ69=0,ROW(),AQ69)/2000000</f>
        <v>22352315.27167514</v>
      </c>
      <c r="AQ69" s="126">
        <f>VLOOKUP(AE69,db_fifarank,2,FALSE)</f>
        <v>1478.35</v>
      </c>
      <c r="AR69" s="125">
        <f>AP69/AP72</f>
        <v>0.22948614934556905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0.98522167487684731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0.98522167487684731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2.2352216748768474</v>
      </c>
      <c r="AP70" s="123">
        <f>AO70*10000000+BI70*100+AM70/AM72*10+AI70/AI72*1++IF(AQ70=0,ROW(),AQ70)/2000000</f>
        <v>22352315.271668635</v>
      </c>
      <c r="AQ70" s="126">
        <f>VLOOKUP(AE70,db_fifarank,2,FALSE)</f>
        <v>1465.34</v>
      </c>
      <c r="AR70" s="125">
        <f>AP70/AP72</f>
        <v>0.22948614934550227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0.98522167487684731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0.98522167487684731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8</v>
      </c>
      <c r="AN71" s="123">
        <f>AF71*3+AG71</f>
        <v>7</v>
      </c>
      <c r="AO71" s="123">
        <f>AN71/AN72*10+BA71</f>
        <v>9.7401477832512313</v>
      </c>
      <c r="AP71" s="123">
        <f>AO71*10000000+BI71*100+AM71/AM72*10+AI71/AI72*1++IF(AQ71=0,ROW(),AQ71)/2000000</f>
        <v>97401586.570359424</v>
      </c>
      <c r="AQ71" s="126">
        <f>VLOOKUP(AE71,db_fifarank,2,FALSE)</f>
        <v>1693.09</v>
      </c>
      <c r="AR71" s="125">
        <f>AP71/AP72</f>
        <v>0.99999998973286386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0.99014778325123154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0.99014778325123154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6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10.740147783251231</v>
      </c>
      <c r="AP72" s="123">
        <f>MAX(AP68:AP71)+1</f>
        <v>97401587.570394784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101.5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1</v>
      </c>
      <c r="AL74" s="123">
        <f>AI74-AJ74</f>
        <v>3</v>
      </c>
      <c r="AM74" s="123">
        <f>AL74-AL78</f>
        <v>6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87500009.372341543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4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62500006.315144256</v>
      </c>
      <c r="AQ75" s="126">
        <f>VLOOKUP(AE75,db_fifarank,2,FALSE)</f>
        <v>1717.07</v>
      </c>
      <c r="AR75" s="125">
        <f>AP75/AP78</f>
        <v>0.7142857017866171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3 - 2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3</v>
      </c>
      <c r="AL76" s="123">
        <f>AI76-AJ76</f>
        <v>-1</v>
      </c>
      <c r="AM76" s="123">
        <f>AL76-AL78</f>
        <v>2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50000003.257816009</v>
      </c>
      <c r="AQ76" s="126">
        <f>VLOOKUP(AE76,db_fifarank,2,FALSE)</f>
        <v>1346.31</v>
      </c>
      <c r="AR76" s="125">
        <f>AP76/AP78</f>
        <v>0.57142854092301731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2 - 3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3</v>
      </c>
      <c r="AL77" s="123">
        <f>AI77-AJ77</f>
        <v>-3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8.803656099262538E-12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0 - 3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5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9.75</v>
      </c>
      <c r="AP78" s="123">
        <f>MAX(AP74:AP77)+1</f>
        <v>87500010.372341543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4</v>
      </c>
      <c r="AK80" s="123" t="s">
        <v>3180</v>
      </c>
      <c r="AL80" s="123">
        <f>VLOOKUP($AE80,$AE$8:$AQ$78,8,FALSE)</f>
        <v>-3</v>
      </c>
      <c r="AM80" s="123">
        <f>AL80-$AL$92</f>
        <v>1</v>
      </c>
      <c r="AN80" s="123">
        <f>VLOOKUP($AE80,$AE$8:$AQ$78,10,FALSE)</f>
        <v>1</v>
      </c>
      <c r="AP80" s="123">
        <f>AN80/AN92*10000+AM80/AM92*1000+AI80/AI92*100+IF(AQ80=0,ROW(),AQ80)/2000000</f>
        <v>2225.0007506900001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Senegal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2 - 2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Switzerland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8850.0008247000005</v>
      </c>
      <c r="AQ81" s="126">
        <f t="shared" si="37"/>
        <v>1649.4</v>
      </c>
      <c r="AR81" s="125" t="str">
        <f>AR80&amp;IF(AD81&lt;=8,RIGHT(AK81,1),"")</f>
        <v>B</v>
      </c>
      <c r="AS81" s="129" t="str">
        <f t="shared" ref="AS81:AS91" si="46">IF(AD81&lt;=8,AE81,"")</f>
        <v>Switzerland</v>
      </c>
      <c r="AT81" s="130" t="str">
        <f>"Ⓑ "&amp;AE81</f>
        <v>Ⓑ Switzerland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Switzerland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3</v>
      </c>
      <c r="AK82" s="123" t="s">
        <v>3182</v>
      </c>
      <c r="AL82" s="123">
        <f t="shared" si="43"/>
        <v>-2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6425.0007491750002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2 - 3</v>
      </c>
      <c r="P83" s="101">
        <f t="shared" si="48"/>
        <v>4</v>
      </c>
      <c r="AD83" s="123">
        <f t="shared" si="38"/>
        <v>8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2425.0007903350001</v>
      </c>
      <c r="AQ83" s="126">
        <f t="shared" si="37"/>
        <v>1580.67</v>
      </c>
      <c r="AR83" s="125" t="str">
        <f t="shared" si="50"/>
        <v>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3 - 3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Ivory Coast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2</v>
      </c>
      <c r="AN84" s="123">
        <f t="shared" si="45"/>
        <v>2</v>
      </c>
      <c r="AP84" s="123">
        <f>AN84/AN92*10000+AM84/AM92*1000+AI84/AI92*100+IF(AQ84=0,ROW(),AQ84)/2000000</f>
        <v>4425.0007664900004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0</v>
      </c>
      <c r="AJ85" s="123">
        <f t="shared" si="42"/>
        <v>2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2400.0007415250002</v>
      </c>
      <c r="AQ85" s="126">
        <f t="shared" si="37"/>
        <v>1483.05</v>
      </c>
      <c r="AR85" s="125" t="str">
        <f t="shared" si="50"/>
        <v>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3</v>
      </c>
      <c r="AJ86" s="123">
        <f t="shared" si="42"/>
        <v>3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6875.0007816200005</v>
      </c>
      <c r="AQ86" s="126">
        <f t="shared" si="37"/>
        <v>1563.24</v>
      </c>
      <c r="AR86" s="125" t="str">
        <f t="shared" si="50"/>
        <v>BCDEG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Ivory Coast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1 - 3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3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6425.0007107150004</v>
      </c>
      <c r="AQ87" s="126">
        <f t="shared" si="37"/>
        <v>1421.43</v>
      </c>
      <c r="AR87" s="125" t="str">
        <f t="shared" si="50"/>
        <v>BCDEGH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Ⓓ Australia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1 - 3</v>
      </c>
      <c r="P88" s="101">
        <f t="shared" si="48"/>
        <v>1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2</v>
      </c>
      <c r="AJ88" s="123">
        <f t="shared" si="42"/>
        <v>2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8850.0008444949999</v>
      </c>
      <c r="AQ88" s="126">
        <f t="shared" si="37"/>
        <v>1688.99</v>
      </c>
      <c r="AR88" s="125" t="str">
        <f t="shared" si="50"/>
        <v>BCDEGHI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Tunisia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0 - 2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11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0</v>
      </c>
      <c r="AJ89" s="123">
        <f t="shared" si="42"/>
        <v>3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2200.0007821300001</v>
      </c>
      <c r="AQ89" s="126">
        <f t="shared" si="37"/>
        <v>1564.26</v>
      </c>
      <c r="AR89" s="125" t="str">
        <f t="shared" si="50"/>
        <v>BCDEGHI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BCDEGHI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Ⓙ Algeria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3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8650.0006731550002</v>
      </c>
      <c r="AQ91" s="126">
        <f t="shared" si="37"/>
        <v>1346.31</v>
      </c>
      <c r="AR91" s="125" t="str">
        <f t="shared" si="50"/>
        <v>BCDEGHIL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4</v>
      </c>
      <c r="AJ92" s="123">
        <f>MAX(AJ80:AJ91)+1</f>
        <v>5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640625" defaultRowHeight="15" x14ac:dyDescent="0.2"/>
  <cols>
    <col min="1" max="1" width="2.5" style="82" customWidth="1"/>
    <col min="2" max="2" width="9.1640625" style="81"/>
    <col min="3" max="3" width="13.6640625" style="81" customWidth="1"/>
    <col min="4" max="11" width="9.5" style="81" customWidth="1"/>
    <col min="12" max="16384" width="9.16406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143</v>
      </c>
      <c r="C3" s="121" t="str">
        <f>'2026 World Cup'!AR91</f>
        <v>BCDEGHIL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3H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Jose Ramon Cobo Benita</cp:lastModifiedBy>
  <cp:revision/>
  <dcterms:created xsi:type="dcterms:W3CDTF">2017-12-27T19:32:51Z</dcterms:created>
  <dcterms:modified xsi:type="dcterms:W3CDTF">2026-06-06T23:49:16Z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