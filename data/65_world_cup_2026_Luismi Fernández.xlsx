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G1\Downloads\"/>
    </mc:Choice>
  </mc:AlternateContent>
  <xr:revisionPtr revIDLastSave="0" documentId="8_{8374F343-8B02-48F5-A9E7-8B61CE954A5E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BP11" i="3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S86" i="3"/>
  <c r="S87" i="3"/>
  <c r="S88" i="3"/>
  <c r="S89" i="3"/>
  <c r="S90" i="3"/>
  <c r="S91" i="3"/>
  <c r="S96" i="3"/>
  <c r="S97" i="3"/>
  <c r="S98" i="3"/>
  <c r="S102" i="3"/>
  <c r="U102" i="3"/>
  <c r="S103" i="3"/>
  <c r="U103" i="3"/>
  <c r="T107" i="3"/>
  <c r="S111" i="3"/>
  <c r="T111" i="3" s="1"/>
  <c r="J80" i="3"/>
  <c r="CR38" i="3" l="1"/>
  <c r="CK68" i="3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6" i="3" a="1"/>
  <c r="T96" i="3" s="1"/>
  <c r="T97" i="3" a="1"/>
  <c r="T97" i="3" s="1"/>
  <c r="T98" i="3" a="1"/>
  <c r="T98" i="3" s="1"/>
  <c r="T102" i="3" a="1"/>
  <c r="T102" i="3" s="1"/>
  <c r="AC102" i="3" a="1"/>
  <c r="AC102" i="3" s="1"/>
  <c r="T103" i="3" a="1"/>
  <c r="T103" i="3" s="1"/>
  <c r="AC103" i="3" a="1"/>
  <c r="AC103" i="3" s="1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S26" i="3"/>
  <c r="S75" i="3"/>
  <c r="T75" i="3" s="1"/>
  <c r="S25" i="3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S21" i="3"/>
  <c r="S45" i="3"/>
  <c r="T45" i="3" s="1"/>
  <c r="S18" i="3"/>
  <c r="S63" i="3"/>
  <c r="S17" i="3"/>
  <c r="T17" i="3" s="1"/>
  <c r="S41" i="3"/>
  <c r="S15" i="3"/>
  <c r="T15" i="3" s="1"/>
  <c r="S61" i="3"/>
  <c r="S16" i="3"/>
  <c r="S39" i="3"/>
  <c r="T39" i="3" s="1"/>
  <c r="S66" i="3"/>
  <c r="T66" i="3" s="1"/>
  <c r="S10" i="3"/>
  <c r="T10" i="3" s="1"/>
  <c r="S37" i="3"/>
  <c r="S11" i="3"/>
  <c r="T11" i="3" s="1"/>
  <c r="S56" i="3"/>
  <c r="S13" i="3"/>
  <c r="T13" i="3" s="1"/>
  <c r="S32" i="3"/>
  <c r="T32" i="3" s="1"/>
  <c r="S14" i="3"/>
  <c r="T14" i="3" s="1"/>
  <c r="S8" i="3"/>
  <c r="S9" i="3"/>
  <c r="T9" i="3" s="1"/>
  <c r="S33" i="3"/>
  <c r="S60" i="3"/>
  <c r="T60" i="3" s="1"/>
  <c r="S34" i="3"/>
  <c r="T34" i="3" s="1"/>
  <c r="S29" i="3"/>
  <c r="T29" i="3" s="1"/>
  <c r="S53" i="3"/>
  <c r="S35" i="3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T78" i="3"/>
  <c r="S50" i="3"/>
  <c r="S76" i="3"/>
  <c r="T26" i="3"/>
  <c r="T25" i="3"/>
  <c r="S47" i="3"/>
  <c r="S67" i="3"/>
  <c r="T23" i="3"/>
  <c r="T48" i="3"/>
  <c r="T43" i="3"/>
  <c r="S72" i="3"/>
  <c r="T19" i="3"/>
  <c r="T46" i="3"/>
  <c r="S70" i="3"/>
  <c r="T21" i="3"/>
  <c r="S42" i="3"/>
  <c r="S64" i="3"/>
  <c r="T18" i="3"/>
  <c r="T63" i="3"/>
  <c r="T41" i="3"/>
  <c r="S40" i="3"/>
  <c r="S62" i="3"/>
  <c r="T61" i="3"/>
  <c r="T16" i="3"/>
  <c r="S38" i="3"/>
  <c r="S65" i="3"/>
  <c r="T37" i="3"/>
  <c r="S55" i="3"/>
  <c r="T56" i="3"/>
  <c r="S57" i="3"/>
  <c r="T8" i="3"/>
  <c r="T33" i="3"/>
  <c r="T53" i="3"/>
  <c r="S36" i="3"/>
  <c r="T35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BS29" i="3"/>
  <c r="BS20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BS21" i="3"/>
  <c r="BZ17" i="3" s="1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BS28" i="3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BZ32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BZ65" i="3"/>
  <c r="CG56" i="3" s="1"/>
  <c r="CN38" i="3"/>
  <c r="CN49" i="3"/>
  <c r="BS37" i="3"/>
  <c r="BS36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BZ3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CG24" i="3"/>
  <c r="CG23" i="3"/>
  <c r="CN37" i="3" s="1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CN48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/>
  <c r="AP26" i="3" s="1"/>
  <c r="BI20" i="3" l="1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AP12" i="3" s="1"/>
  <c r="AR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AP36" i="3" s="1"/>
  <c r="AR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/>
  <c r="AR11" i="3"/>
  <c r="AR10" i="3"/>
  <c r="AR9" i="3"/>
  <c r="AR22" i="3"/>
  <c r="AR21" i="3"/>
  <c r="AR28" i="3"/>
  <c r="AR35" i="3"/>
  <c r="AR34" i="3"/>
  <c r="AR33" i="3"/>
  <c r="AR75" i="3" l="1"/>
  <c r="AR76" i="3"/>
  <c r="AR77" i="3"/>
  <c r="AD77" i="3" s="1"/>
  <c r="AR65" i="3"/>
  <c r="AR40" i="3"/>
  <c r="AR41" i="3"/>
  <c r="AR29" i="3"/>
  <c r="AR69" i="3"/>
  <c r="AR70" i="3"/>
  <c r="AR71" i="3"/>
  <c r="AR27" i="3"/>
  <c r="AD28" i="3" s="1"/>
  <c r="AR23" i="3"/>
  <c r="AD22" i="3" s="1"/>
  <c r="AR51" i="3"/>
  <c r="AR52" i="3"/>
  <c r="AR53" i="3"/>
  <c r="AD53" i="3" s="1"/>
  <c r="AR46" i="3"/>
  <c r="AR15" i="3"/>
  <c r="AR45" i="3"/>
  <c r="AR63" i="3"/>
  <c r="AR47" i="3"/>
  <c r="AD44" i="3" s="1"/>
  <c r="AR64" i="3"/>
  <c r="AD62" i="3" s="1"/>
  <c r="AR39" i="3"/>
  <c r="AD56" i="3"/>
  <c r="AR16" i="3"/>
  <c r="AR17" i="3"/>
  <c r="AD14" i="3" s="1"/>
  <c r="AD59" i="3"/>
  <c r="M59" i="3" s="1"/>
  <c r="AD75" i="3"/>
  <c r="AD68" i="3"/>
  <c r="AD70" i="3"/>
  <c r="AD47" i="3"/>
  <c r="AD41" i="3"/>
  <c r="AD33" i="3"/>
  <c r="AD32" i="3"/>
  <c r="AD34" i="3"/>
  <c r="AD35" i="3"/>
  <c r="AD27" i="3"/>
  <c r="AD26" i="3"/>
  <c r="AD21" i="3"/>
  <c r="AD20" i="3"/>
  <c r="AD15" i="3"/>
  <c r="AD9" i="3"/>
  <c r="AD8" i="3"/>
  <c r="AD10" i="3"/>
  <c r="AD11" i="3"/>
  <c r="N58" i="3"/>
  <c r="L59" i="3"/>
  <c r="O60" i="3"/>
  <c r="L58" i="3"/>
  <c r="M58" i="3" l="1"/>
  <c r="AD74" i="3"/>
  <c r="AD76" i="3"/>
  <c r="AD29" i="3"/>
  <c r="AD71" i="3"/>
  <c r="AD63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P57" i="3" s="1"/>
  <c r="AD23" i="3"/>
  <c r="L23" i="3" s="1"/>
  <c r="AD65" i="3"/>
  <c r="AD51" i="3"/>
  <c r="O58" i="3"/>
  <c r="N57" i="3"/>
  <c r="K57" i="3" s="1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O54" i="3" s="1"/>
  <c r="N59" i="3"/>
  <c r="K59" i="3" s="1"/>
  <c r="AD17" i="3"/>
  <c r="AF88" i="3"/>
  <c r="AG88" i="3"/>
  <c r="AI88" i="3"/>
  <c r="AJ88" i="3"/>
  <c r="AN88" i="3"/>
  <c r="AT88" i="3"/>
  <c r="P58" i="3"/>
  <c r="K58" i="3"/>
  <c r="P59" i="3"/>
  <c r="J12" i="3"/>
  <c r="N12" i="3"/>
  <c r="O9" i="3"/>
  <c r="N9" i="3"/>
  <c r="O12" i="3"/>
  <c r="M9" i="3"/>
  <c r="L12" i="3"/>
  <c r="M12" i="3"/>
  <c r="J9" i="3"/>
  <c r="AS8" i="3" s="1"/>
  <c r="BL50" i="3" s="1"/>
  <c r="L9" i="3"/>
  <c r="L11" i="3"/>
  <c r="M10" i="3"/>
  <c r="N10" i="3"/>
  <c r="O11" i="3"/>
  <c r="J11" i="3"/>
  <c r="AE80" i="3" s="1"/>
  <c r="AQ80" i="3" s="1"/>
  <c r="L10" i="3"/>
  <c r="O10" i="3"/>
  <c r="N11" i="3"/>
  <c r="M11" i="3"/>
  <c r="J10" i="3"/>
  <c r="AS9" i="3" s="1"/>
  <c r="BL18" i="3" s="1"/>
  <c r="L15" i="3"/>
  <c r="M16" i="3"/>
  <c r="O17" i="3"/>
  <c r="L17" i="3"/>
  <c r="J16" i="3"/>
  <c r="AS15" i="3" s="1"/>
  <c r="BL19" i="3" s="1"/>
  <c r="M18" i="3"/>
  <c r="N16" i="3"/>
  <c r="O16" i="3"/>
  <c r="J18" i="3"/>
  <c r="L16" i="3"/>
  <c r="M17" i="3"/>
  <c r="O18" i="3"/>
  <c r="N18" i="3"/>
  <c r="L18" i="3"/>
  <c r="J24" i="3"/>
  <c r="J22" i="3"/>
  <c r="AS21" i="3" s="1"/>
  <c r="BL23" i="3" s="1"/>
  <c r="J21" i="3"/>
  <c r="AS20" i="3" s="1"/>
  <c r="BL42" i="3" s="1"/>
  <c r="BS44" i="3" s="1"/>
  <c r="L21" i="3"/>
  <c r="M22" i="3"/>
  <c r="L24" i="3"/>
  <c r="M24" i="3"/>
  <c r="N24" i="3"/>
  <c r="O21" i="3"/>
  <c r="L22" i="3"/>
  <c r="O24" i="3"/>
  <c r="N21" i="3"/>
  <c r="O22" i="3"/>
  <c r="M21" i="3"/>
  <c r="N22" i="3"/>
  <c r="O23" i="3"/>
  <c r="J30" i="3"/>
  <c r="J29" i="3"/>
  <c r="AE83" i="3" s="1"/>
  <c r="AQ83" i="3" s="1"/>
  <c r="J28" i="3"/>
  <c r="AS27" i="3" s="1"/>
  <c r="BL62" i="3" s="1"/>
  <c r="BS61" i="3" s="1"/>
  <c r="J27" i="3"/>
  <c r="AS26" i="3" s="1"/>
  <c r="BL34" i="3" s="1"/>
  <c r="N27" i="3"/>
  <c r="M29" i="3"/>
  <c r="M27" i="3"/>
  <c r="N29" i="3"/>
  <c r="L29" i="3"/>
  <c r="O29" i="3"/>
  <c r="L27" i="3"/>
  <c r="L28" i="3"/>
  <c r="O28" i="3"/>
  <c r="M30" i="3"/>
  <c r="M28" i="3"/>
  <c r="O30" i="3"/>
  <c r="O27" i="3"/>
  <c r="N28" i="3"/>
  <c r="N30" i="3"/>
  <c r="L30" i="3"/>
  <c r="J36" i="3"/>
  <c r="J35" i="3"/>
  <c r="AE84" i="3" s="1"/>
  <c r="AQ84" i="3" s="1"/>
  <c r="J34" i="3"/>
  <c r="AS33" i="3" s="1"/>
  <c r="BL46" i="3" s="1"/>
  <c r="J33" i="3"/>
  <c r="AS32" i="3" s="1"/>
  <c r="BL10" i="3" s="1"/>
  <c r="N33" i="3"/>
  <c r="L33" i="3"/>
  <c r="O33" i="3"/>
  <c r="M33" i="3"/>
  <c r="M35" i="3"/>
  <c r="L36" i="3"/>
  <c r="O34" i="3"/>
  <c r="O35" i="3"/>
  <c r="L34" i="3"/>
  <c r="O36" i="3"/>
  <c r="L35" i="3"/>
  <c r="M36" i="3"/>
  <c r="N35" i="3"/>
  <c r="M34" i="3"/>
  <c r="N36" i="3"/>
  <c r="N34" i="3"/>
  <c r="J42" i="3"/>
  <c r="J41" i="3"/>
  <c r="AE85" i="3" s="1"/>
  <c r="AQ85" i="3" s="1"/>
  <c r="J40" i="3"/>
  <c r="AS39" i="3" s="1"/>
  <c r="BL43" i="3" s="1"/>
  <c r="J39" i="3"/>
  <c r="AS38" i="3" s="1"/>
  <c r="BL22" i="3" s="1"/>
  <c r="N39" i="3"/>
  <c r="O40" i="3"/>
  <c r="L39" i="3"/>
  <c r="L42" i="3"/>
  <c r="M40" i="3"/>
  <c r="L40" i="3"/>
  <c r="O42" i="3"/>
  <c r="M39" i="3"/>
  <c r="O39" i="3"/>
  <c r="N40" i="3"/>
  <c r="M42" i="3"/>
  <c r="J48" i="3"/>
  <c r="J47" i="3"/>
  <c r="AE86" i="3" s="1"/>
  <c r="AQ86" i="3" s="1"/>
  <c r="J46" i="3"/>
  <c r="AS45" i="3" s="1"/>
  <c r="BL63" i="3" s="1"/>
  <c r="J45" i="3"/>
  <c r="AS44" i="3" s="1"/>
  <c r="BL38" i="3" s="1"/>
  <c r="N47" i="3"/>
  <c r="L47" i="3"/>
  <c r="N46" i="3"/>
  <c r="L46" i="3"/>
  <c r="M45" i="3"/>
  <c r="O46" i="3"/>
  <c r="O48" i="3"/>
  <c r="N45" i="3"/>
  <c r="M46" i="3"/>
  <c r="O47" i="3"/>
  <c r="N48" i="3"/>
  <c r="L45" i="3"/>
  <c r="O45" i="3"/>
  <c r="M47" i="3"/>
  <c r="M48" i="3"/>
  <c r="L48" i="3"/>
  <c r="M54" i="3"/>
  <c r="M51" i="3"/>
  <c r="L51" i="3"/>
  <c r="N51" i="3"/>
  <c r="J51" i="3"/>
  <c r="AS50" i="3" s="1"/>
  <c r="BL30" i="3" s="1"/>
  <c r="J52" i="3"/>
  <c r="AS51" i="3" s="1"/>
  <c r="BL59" i="3" s="1"/>
  <c r="N54" i="3"/>
  <c r="O51" i="3"/>
  <c r="N52" i="3"/>
  <c r="L54" i="3"/>
  <c r="L63" i="3"/>
  <c r="M63" i="3"/>
  <c r="N63" i="3"/>
  <c r="O63" i="3"/>
  <c r="L64" i="3"/>
  <c r="M64" i="3"/>
  <c r="N64" i="3"/>
  <c r="O64" i="3"/>
  <c r="L65" i="3"/>
  <c r="M65" i="3"/>
  <c r="N65" i="3"/>
  <c r="O65" i="3"/>
  <c r="L66" i="3"/>
  <c r="M66" i="3"/>
  <c r="N66" i="3"/>
  <c r="O66" i="3"/>
  <c r="J66" i="3"/>
  <c r="J65" i="3"/>
  <c r="AE89" i="3" s="1"/>
  <c r="AQ89" i="3" s="1"/>
  <c r="J64" i="3"/>
  <c r="AS63" i="3" s="1"/>
  <c r="BL31" i="3" s="1"/>
  <c r="J63" i="3"/>
  <c r="AS62" i="3" s="1"/>
  <c r="BL58" i="3" s="1"/>
  <c r="BS60" i="3" s="1"/>
  <c r="BZ64" i="3" s="1"/>
  <c r="L69" i="3"/>
  <c r="M69" i="3"/>
  <c r="N69" i="3"/>
  <c r="O69" i="3"/>
  <c r="L70" i="3"/>
  <c r="M70" i="3"/>
  <c r="N70" i="3"/>
  <c r="O70" i="3"/>
  <c r="L71" i="3"/>
  <c r="M71" i="3"/>
  <c r="N71" i="3"/>
  <c r="O71" i="3"/>
  <c r="L72" i="3"/>
  <c r="M72" i="3"/>
  <c r="N72" i="3"/>
  <c r="O72" i="3"/>
  <c r="J72" i="3"/>
  <c r="J71" i="3"/>
  <c r="AE90" i="3" s="1"/>
  <c r="AQ90" i="3" s="1"/>
  <c r="J70" i="3"/>
  <c r="AS69" i="3" s="1"/>
  <c r="BL26" i="3" s="1"/>
  <c r="J69" i="3"/>
  <c r="AS68" i="3" s="1"/>
  <c r="BL70" i="3" s="1"/>
  <c r="L75" i="3"/>
  <c r="O75" i="3"/>
  <c r="N75" i="3"/>
  <c r="J75" i="3"/>
  <c r="AS74" i="3" s="1"/>
  <c r="BL54" i="3" s="1"/>
  <c r="M75" i="3"/>
  <c r="N76" i="3"/>
  <c r="J78" i="3"/>
  <c r="M76" i="3"/>
  <c r="L76" i="3"/>
  <c r="N78" i="3"/>
  <c r="M78" i="3"/>
  <c r="L78" i="3"/>
  <c r="O78" i="3"/>
  <c r="O76" i="3"/>
  <c r="J76" i="3"/>
  <c r="AS75" i="3" s="1"/>
  <c r="BL27" i="3" s="1"/>
  <c r="L77" i="3"/>
  <c r="O77" i="3"/>
  <c r="J77" i="3"/>
  <c r="AE91" i="3" s="1"/>
  <c r="AQ91" i="3" s="1"/>
  <c r="M77" i="3"/>
  <c r="N77" i="3"/>
  <c r="N17" i="3" l="1"/>
  <c r="M41" i="3"/>
  <c r="N53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P52" i="3" s="1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75" i="3"/>
  <c r="AF91" i="3"/>
  <c r="AG91" i="3"/>
  <c r="AH91" i="3"/>
  <c r="AI91" i="3"/>
  <c r="AJ91" i="3"/>
  <c r="AL91" i="3"/>
  <c r="AN91" i="3"/>
  <c r="AT91" i="3"/>
  <c r="P77" i="3"/>
  <c r="K77" i="3"/>
  <c r="K78" i="3"/>
  <c r="P78" i="3"/>
  <c r="P76" i="3"/>
  <c r="K76" i="3"/>
  <c r="K75" i="3"/>
  <c r="AF90" i="3"/>
  <c r="AG90" i="3"/>
  <c r="AH90" i="3"/>
  <c r="AI90" i="3"/>
  <c r="AJ90" i="3"/>
  <c r="AL90" i="3"/>
  <c r="AN90" i="3"/>
  <c r="AT90" i="3"/>
  <c r="P72" i="3"/>
  <c r="K72" i="3"/>
  <c r="P71" i="3"/>
  <c r="K71" i="3"/>
  <c r="P70" i="3"/>
  <c r="K70" i="3"/>
  <c r="P69" i="3"/>
  <c r="K69" i="3"/>
  <c r="AF89" i="3"/>
  <c r="AG89" i="3"/>
  <c r="AH89" i="3"/>
  <c r="AI89" i="3"/>
  <c r="AJ89" i="3"/>
  <c r="AL89" i="3"/>
  <c r="AN89" i="3"/>
  <c r="AT89" i="3"/>
  <c r="P66" i="3"/>
  <c r="K66" i="3"/>
  <c r="P65" i="3"/>
  <c r="K65" i="3"/>
  <c r="P64" i="3"/>
  <c r="K64" i="3"/>
  <c r="P63" i="3"/>
  <c r="K63" i="3"/>
  <c r="P54" i="3"/>
  <c r="K54" i="3"/>
  <c r="K53" i="3"/>
  <c r="AF87" i="3"/>
  <c r="AG87" i="3"/>
  <c r="AH87" i="3"/>
  <c r="AJ87" i="3"/>
  <c r="AL87" i="3"/>
  <c r="AN87" i="3"/>
  <c r="AT87" i="3"/>
  <c r="K51" i="3"/>
  <c r="P51" i="3"/>
  <c r="K48" i="3"/>
  <c r="P48" i="3"/>
  <c r="K45" i="3"/>
  <c r="P45" i="3"/>
  <c r="P46" i="3"/>
  <c r="K46" i="3"/>
  <c r="K47" i="3"/>
  <c r="P47" i="3"/>
  <c r="AF86" i="3"/>
  <c r="AG86" i="3"/>
  <c r="AH86" i="3"/>
  <c r="AI86" i="3"/>
  <c r="AJ86" i="3"/>
  <c r="AL86" i="3"/>
  <c r="AN86" i="3"/>
  <c r="AT86" i="3"/>
  <c r="K40" i="3"/>
  <c r="P40" i="3"/>
  <c r="K42" i="3"/>
  <c r="P42" i="3"/>
  <c r="P39" i="3"/>
  <c r="K39" i="3"/>
  <c r="P41" i="3"/>
  <c r="K41" i="3"/>
  <c r="AF85" i="3"/>
  <c r="AG85" i="3"/>
  <c r="AH85" i="3"/>
  <c r="AI85" i="3"/>
  <c r="AJ85" i="3"/>
  <c r="AL85" i="3"/>
  <c r="AN85" i="3"/>
  <c r="AT85" i="3"/>
  <c r="P35" i="3"/>
  <c r="K35" i="3"/>
  <c r="P34" i="3"/>
  <c r="K34" i="3"/>
  <c r="P36" i="3"/>
  <c r="K36" i="3"/>
  <c r="P33" i="3"/>
  <c r="K33" i="3"/>
  <c r="AF84" i="3"/>
  <c r="AG84" i="3"/>
  <c r="AH84" i="3"/>
  <c r="AI84" i="3"/>
  <c r="AJ84" i="3"/>
  <c r="AL84" i="3"/>
  <c r="AN84" i="3"/>
  <c r="AT84" i="3"/>
  <c r="K30" i="3"/>
  <c r="P30" i="3"/>
  <c r="P28" i="3"/>
  <c r="K28" i="3"/>
  <c r="K27" i="3"/>
  <c r="P27" i="3"/>
  <c r="K29" i="3"/>
  <c r="P29" i="3"/>
  <c r="AF83" i="3"/>
  <c r="AG83" i="3"/>
  <c r="AH83" i="3"/>
  <c r="AI83" i="3"/>
  <c r="AJ83" i="3"/>
  <c r="AL83" i="3"/>
  <c r="AN83" i="3"/>
  <c r="AT83" i="3"/>
  <c r="P23" i="3"/>
  <c r="P22" i="3"/>
  <c r="K22" i="3"/>
  <c r="K24" i="3"/>
  <c r="P24" i="3"/>
  <c r="P21" i="3"/>
  <c r="K21" i="3"/>
  <c r="AF82" i="3"/>
  <c r="AG82" i="3"/>
  <c r="AH82" i="3"/>
  <c r="AI82" i="3"/>
  <c r="AJ82" i="3"/>
  <c r="AN82" i="3"/>
  <c r="AT82" i="3"/>
  <c r="P18" i="3"/>
  <c r="K18" i="3"/>
  <c r="P16" i="3"/>
  <c r="K16" i="3"/>
  <c r="P17" i="3"/>
  <c r="K17" i="3"/>
  <c r="AF81" i="3"/>
  <c r="AG81" i="3"/>
  <c r="AH81" i="3"/>
  <c r="AI81" i="3"/>
  <c r="AJ81" i="3"/>
  <c r="AL81" i="3"/>
  <c r="AN81" i="3"/>
  <c r="AT81" i="3"/>
  <c r="P15" i="3"/>
  <c r="K15" i="3"/>
  <c r="K10" i="3"/>
  <c r="P10" i="3"/>
  <c r="AF80" i="3"/>
  <c r="AG80" i="3"/>
  <c r="AH80" i="3"/>
  <c r="AI80" i="3"/>
  <c r="AJ80" i="3"/>
  <c r="AL80" i="3"/>
  <c r="AN80" i="3"/>
  <c r="AT80" i="3"/>
  <c r="P11" i="3"/>
  <c r="K11" i="3"/>
  <c r="P9" i="3"/>
  <c r="K9" i="3"/>
  <c r="P12" i="3"/>
  <c r="K12" i="3"/>
  <c r="K23" i="3" l="1"/>
  <c r="P53" i="3"/>
  <c r="AL82" i="3"/>
  <c r="AL92" i="3" s="1"/>
  <c r="AM88" i="3" s="1"/>
  <c r="AI87" i="3"/>
  <c r="AI92" i="3" s="1"/>
  <c r="K52" i="3"/>
  <c r="AJ92" i="3"/>
  <c r="AG92" i="3"/>
  <c r="AF92" i="3"/>
  <c r="AH92" i="3"/>
  <c r="AS92" i="3"/>
  <c r="AN92" i="3"/>
  <c r="AM83" i="3" l="1"/>
  <c r="AM91" i="3"/>
  <c r="AM82" i="3"/>
  <c r="AM90" i="3"/>
  <c r="AM89" i="3"/>
  <c r="AM80" i="3"/>
  <c r="AM81" i="3"/>
  <c r="AM87" i="3"/>
  <c r="AM86" i="3"/>
  <c r="AM85" i="3"/>
  <c r="AM84" i="3"/>
  <c r="AM92" i="3" l="1"/>
  <c r="AP87" i="3" s="1"/>
  <c r="S85" i="3"/>
  <c r="T85" i="3" s="1" a="1"/>
  <c r="T85" i="3" s="1"/>
  <c r="BS13" i="3"/>
  <c r="S84" i="3"/>
  <c r="T84" i="3" s="1" a="1"/>
  <c r="T84" i="3" s="1"/>
  <c r="BS12" i="3"/>
  <c r="BZ16" i="3" l="1"/>
  <c r="S95" i="3"/>
  <c r="T95" i="3" s="1" a="1"/>
  <c r="T95" i="3" s="1"/>
  <c r="AP81" i="3"/>
  <c r="AP84" i="3"/>
  <c r="AP86" i="3"/>
  <c r="AP89" i="3"/>
  <c r="AP90" i="3"/>
  <c r="AP88" i="3"/>
  <c r="AP82" i="3"/>
  <c r="AP83" i="3"/>
  <c r="AP91" i="3"/>
  <c r="AP85" i="3"/>
  <c r="AP80" i="3"/>
  <c r="AD85" i="3" l="1"/>
  <c r="AS85" i="3" s="1"/>
  <c r="AD89" i="3"/>
  <c r="AS89" i="3" s="1"/>
  <c r="AD86" i="3"/>
  <c r="AS86" i="3" s="1"/>
  <c r="AD84" i="3"/>
  <c r="AS84" i="3" s="1"/>
  <c r="AD83" i="3"/>
  <c r="AS83" i="3" s="1"/>
  <c r="AD91" i="3"/>
  <c r="AS91" i="3" s="1"/>
  <c r="AD82" i="3"/>
  <c r="AS82" i="3" s="1"/>
  <c r="AD90" i="3"/>
  <c r="AS90" i="3" s="1"/>
  <c r="AD88" i="3"/>
  <c r="AS88" i="3" s="1"/>
  <c r="AD87" i="3"/>
  <c r="AS87" i="3" s="1"/>
  <c r="AD80" i="3"/>
  <c r="AD81" i="3"/>
  <c r="AS81" i="3" s="1"/>
  <c r="J92" i="3" l="1"/>
  <c r="M88" i="3"/>
  <c r="O87" i="3"/>
  <c r="AS80" i="3"/>
  <c r="O83" i="3"/>
  <c r="L83" i="3"/>
  <c r="N84" i="3"/>
  <c r="M87" i="3"/>
  <c r="M85" i="3"/>
  <c r="L88" i="3"/>
  <c r="J87" i="3"/>
  <c r="N85" i="3"/>
  <c r="L84" i="3"/>
  <c r="J85" i="3"/>
  <c r="L91" i="3"/>
  <c r="N82" i="3"/>
  <c r="J86" i="3"/>
  <c r="N81" i="3"/>
  <c r="J88" i="3"/>
  <c r="L81" i="3"/>
  <c r="N90" i="3"/>
  <c r="O91" i="3"/>
  <c r="O90" i="3"/>
  <c r="O88" i="3"/>
  <c r="O86" i="3"/>
  <c r="M91" i="3"/>
  <c r="L90" i="3"/>
  <c r="L82" i="3"/>
  <c r="O92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87" i="3"/>
  <c r="M83" i="3"/>
  <c r="N91" i="3"/>
  <c r="O89" i="3"/>
  <c r="N89" i="3"/>
  <c r="L92" i="3"/>
  <c r="J81" i="3"/>
  <c r="J89" i="3"/>
  <c r="O81" i="3"/>
  <c r="M90" i="3"/>
  <c r="L86" i="3"/>
  <c r="N83" i="3"/>
  <c r="O82" i="3"/>
  <c r="M84" i="3"/>
  <c r="N92" i="3"/>
  <c r="J82" i="3"/>
  <c r="J90" i="3"/>
  <c r="M82" i="3"/>
  <c r="M86" i="3"/>
  <c r="N86" i="3"/>
  <c r="L87" i="3"/>
  <c r="M92" i="3"/>
  <c r="J83" i="3"/>
  <c r="J91" i="3"/>
  <c r="M81" i="3"/>
  <c r="L85" i="3"/>
  <c r="O84" i="3"/>
  <c r="L89" i="3"/>
  <c r="M89" i="3"/>
  <c r="O85" i="3"/>
  <c r="N88" i="3"/>
  <c r="J84" i="3"/>
  <c r="P88" i="3" l="1"/>
  <c r="P92" i="3"/>
  <c r="K91" i="3"/>
  <c r="K82" i="3"/>
  <c r="P81" i="3"/>
  <c r="K84" i="3"/>
  <c r="K90" i="3"/>
  <c r="K83" i="3"/>
  <c r="K81" i="3"/>
  <c r="K87" i="3"/>
  <c r="P86" i="3"/>
  <c r="K92" i="3"/>
  <c r="P84" i="3"/>
  <c r="P87" i="3"/>
  <c r="K85" i="3"/>
  <c r="P82" i="3"/>
  <c r="P85" i="3"/>
  <c r="P83" i="3"/>
  <c r="P90" i="3"/>
  <c r="K89" i="3"/>
  <c r="K86" i="3"/>
  <c r="P91" i="3"/>
  <c r="K88" i="3"/>
  <c r="E3" i="4"/>
  <c r="H3" i="4"/>
  <c r="BL39" i="3" s="1"/>
  <c r="I3" i="4"/>
  <c r="BL15" i="3" s="1"/>
  <c r="P89" i="3"/>
  <c r="G3" i="4"/>
  <c r="BL11" i="3" s="1"/>
  <c r="J3" i="4"/>
  <c r="B3" i="4"/>
  <c r="D3" i="4"/>
  <c r="K3" i="4"/>
  <c r="BS53" i="3" l="1"/>
  <c r="BL55" i="3"/>
  <c r="BS52" i="3"/>
  <c r="BZ49" i="3" s="1"/>
  <c r="CG55" i="3" s="1"/>
  <c r="BL51" i="3"/>
  <c r="BS69" i="3"/>
  <c r="BL71" i="3"/>
  <c r="BS68" i="3"/>
  <c r="BL67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<sst xmlns="http://schemas.openxmlformats.org/spreadsheetml/2006/main" count="9785" uniqueCount="3699">
  <si>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</si>
  <si>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</si>
  <si>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</si>
  <si>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</si>
  <si>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</si>
  <si>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</si>
  <si>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</si>
  <si>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</si>
  <si>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</si>
  <si>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</si>
  <si>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</si>
  <si>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</si>
  <si>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</si>
  <si>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</si>
  <si>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</si>
  <si>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</si>
  <si>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</si>
  <si>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</si>
  <si>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</si>
  <si>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</si>
  <si>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</si>
  <si>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</si>
  <si>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</si>
  <si>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</si>
  <si>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</si>
  <si>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</si>
  <si>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</si>
  <si>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</si>
  <si>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</si>
  <si>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</si>
  <si>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</si>
  <si>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</si>
  <si>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</si>
  <si>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</si>
  <si>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</si>
  <si>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</si>
  <si>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</si>
  <si>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</si>
  <si>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</si>
  <si>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</si>
  <si>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</si>
  <si>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</si>
  <si>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</si>
  <si>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</si>
  <si>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</si>
  <si>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</si>
  <si>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</si>
  <si>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</si>
  <si>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</si>
  <si>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</si>
  <si>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</si>
  <si>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</si>
  <si>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</si>
  <si>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</si>
  <si>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</si>
  <si>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</si>
  <si>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</si>
  <si>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</si>
  <si>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</si>
  <si>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</si>
  <si>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</si>
  <si>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</si>
  <si>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</si>
  <si>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</si>
  <si>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</si>
  <si>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</si>
  <si>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</si>
  <si>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</si>
  <si>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</si>
  <si>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</si>
  <si>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</si>
  <si>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</si>
  <si>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</si>
  <si>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</si>
  <si>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</si>
  <si>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</si>
  <si>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</si>
  <si>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</si>
  <si>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</si>
  <si>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</si>
  <si>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</si>
  <si>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</si>
  <si>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</si>
  <si>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</si>
  <si>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</si>
  <si>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</si>
  <si>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</si>
  <si>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</si>
  <si>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</si>
  <si>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</si>
  <si>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</si>
  <si>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</si>
  <si>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</si>
  <si>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</si>
  <si>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</si>
  <si>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</si>
  <si>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</si>
  <si>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</si>
  <si>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</si>
  <si>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</si>
  <si>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</si>
  <si>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</si>
  <si>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</si>
  <si>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</si>
  <si>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</si>
  <si>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</si>
  <si>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</si>
  <si>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</si>
  <si>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</si>
  <si>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</si>
  <si>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</si>
  <si>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</si>
  <si>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</si>
  <si>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</si>
  <si>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</si>
  <si>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</si>
  <si>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</si>
  <si>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</si>
  <si>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</si>
  <si>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</si>
  <si>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</si>
  <si>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</si>
  <si>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</si>
  <si>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</si>
  <si>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</si>
  <si>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</si>
  <si>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</si>
  <si>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</si>
  <si>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</si>
  <si>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</si>
  <si>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</si>
  <si>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</si>
  <si>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</si>
  <si>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</si>
  <si>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</si>
  <si>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</si>
  <si>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</si>
  <si>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</si>
  <si>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</si>
  <si>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</si>
  <si>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</si>
  <si>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</si>
  <si>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</si>
  <si>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</si>
  <si>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</si>
  <si>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</si>
  <si>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</si>
  <si>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</si>
  <si>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</si>
  <si>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</si>
  <si>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</si>
  <si>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</si>
  <si>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</si>
  <si>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</si>
  <si>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</si>
  <si>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</si>
  <si>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</si>
  <si>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</si>
  <si>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</si>
  <si>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</si>
  <si>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</si>
  <si>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</si>
  <si>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</si>
  <si>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</si>
  <si>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</si>
  <si>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</si>
  <si>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</si>
  <si>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</si>
  <si>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</si>
  <si>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</si>
  <si>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</si>
  <si>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</si>
  <si>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</si>
  <si>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</si>
  <si>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</si>
  <si>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</si>
  <si>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</si>
  <si>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</si>
  <si>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</si>
  <si>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</si>
  <si>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</si>
  <si>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</si>
  <si>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</si>
  <si>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</si>
  <si>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</si>
  <si>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</si>
  <si>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</si>
  <si>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</si>
  <si>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</si>
  <si>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</si>
  <si>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</si>
  <si>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</si>
  <si>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</si>
  <si>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</si>
  <si>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</si>
  <si>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</si>
  <si>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</si>
  <si>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</si>
  <si>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</si>
  <si>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</si>
  <si>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</si>
  <si>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</si>
  <si>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</si>
  <si>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</si>
  <si>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</si>
  <si>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</si>
  <si>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</si>
  <si>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</si>
  <si>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</si>
  <si>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</si>
  <si>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</si>
  <si>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</si>
  <si>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</si>
  <si>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</si>
  <si>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</si>
  <si>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</si>
  <si>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</si>
  <si>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</si>
  <si>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</si>
  <si>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</si>
  <si>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</si>
  <si>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</si>
  <si>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</si>
  <si>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</si>
  <si>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</si>
  <si>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</si>
  <si>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</si>
  <si>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</si>
  <si>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</si>
  <si>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</si>
  <si>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</si>
  <si>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</si>
  <si>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</si>
  <si>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</si>
  <si>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</si>
  <si>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</si>
  <si>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</si>
  <si>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</si>
  <si>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</si>
  <si>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</si>
  <si>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</si>
  <si>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</si>
  <si>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</si>
  <si>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</si>
  <si>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</si>
  <si>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</si>
  <si>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</si>
  <si>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</si>
  <si>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</si>
  <si>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</si>
  <si>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</si>
  <si>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</si>
  <si>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</si>
  <si>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</si>
  <si>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</si>
  <si>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</si>
  <si>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</si>
  <si>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</si>
  <si>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</si>
  <si>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</si>
  <si>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</si>
  <si>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</si>
  <si>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</si>
  <si>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</si>
  <si>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</si>
  <si>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</si>
  <si>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</si>
  <si>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</si>
  <si>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</si>
  <si>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</si>
  <si>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</si>
  <si>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</si>
  <si>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</si>
  <si>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</si>
  <si>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</si>
  <si>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</si>
  <si>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</si>
  <si>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</si>
  <si>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</si>
  <si>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</si>
  <si>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</si>
  <si>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</si>
  <si>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</si>
  <si>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</si>
  <si>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</si>
  <si>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</si>
  <si>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</si>
  <si>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</si>
  <si>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</si>
  <si>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</si>
  <si>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</si>
  <si>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</si>
  <si>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</si>
  <si>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</si>
  <si>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</si>
  <si>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</si>
  <si>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</si>
  <si>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</si>
  <si>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</si>
  <si>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</si>
  <si>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</si>
  <si>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</si>
  <si>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</si>
  <si>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</si>
  <si>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</si>
  <si>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</si>
  <si>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</si>
  <si>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</si>
  <si>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</si>
  <si>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</si>
  <si>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</si>
  <si>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</si>
  <si>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</si>
  <si>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</si>
  <si>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</si>
  <si>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</si>
  <si>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</si>
  <si>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</si>
  <si>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</si>
  <si>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</si>
  <si>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</si>
  <si>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</si>
  <si>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</si>
  <si>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</si>
  <si>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</si>
  <si>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</si>
  <si>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</si>
  <si>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</si>
  <si>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</si>
  <si>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</si>
  <si>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</si>
  <si>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</si>
  <si>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</si>
  <si>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</si>
  <si>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</si>
  <si>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</si>
  <si>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</si>
  <si>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</si>
  <si>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</si>
  <si>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</si>
  <si>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</si>
  <si>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</si>
  <si>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</si>
  <si>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</si>
  <si>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</si>
  <si>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</si>
  <si>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</si>
  <si>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</si>
  <si>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</si>
  <si>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</si>
  <si>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</si>
  <si>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</si>
  <si>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</si>
  <si>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</si>
  <si>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</si>
  <si>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</si>
  <si>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</si>
  <si>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</si>
  <si>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</si>
  <si>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</si>
  <si>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</si>
  <si>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</si>
  <si>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</si>
  <si>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</si>
  <si>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</si>
  <si>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</si>
  <si>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</si>
  <si>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</si>
  <si>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</si>
  <si>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</si>
  <si>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</si>
  <si>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</si>
  <si>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</si>
  <si>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</si>
  <si>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</si>
  <si>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</si>
  <si>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</si>
  <si>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</si>
  <si>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</si>
  <si>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</si>
  <si>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</si>
  <si>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</si>
  <si>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</si>
  <si>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</si>
  <si>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</si>
  <si>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</si>
  <si>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</si>
  <si>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</si>
  <si>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</si>
  <si>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</si>
  <si>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</si>
  <si>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</si>
  <si>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</si>
  <si>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</si>
  <si>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</si>
  <si>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</si>
  <si>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</si>
  <si>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</si>
  <si>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</si>
  <si>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</si>
  <si>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</si>
  <si>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</si>
  <si>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</si>
  <si>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</si>
  <si>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</si>
  <si>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</si>
  <si>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</si>
  <si>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</si>
  <si>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</si>
  <si>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</si>
  <si>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</si>
  <si>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</si>
  <si>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</si>
  <si>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</si>
  <si>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</si>
  <si>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</si>
  <si>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</si>
  <si>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</si>
  <si>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</si>
  <si>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</si>
  <si>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</si>
  <si>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</si>
  <si>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</si>
  <si>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</si>
  <si>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</si>
  <si>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</si>
  <si>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</si>
  <si>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</si>
  <si>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</si>
  <si>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</si>
  <si>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</si>
  <si>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</si>
  <si>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</si>
  <si>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</si>
  <si>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</si>
  <si>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</si>
  <si>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</si>
  <si>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</si>
  <si>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</si>
  <si>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</si>
  <si>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</si>
  <si>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</si>
  <si>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</si>
  <si>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</si>
  <si>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</si>
  <si>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</si>
  <si>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</si>
  <si>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</si>
  <si>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</si>
  <si>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</si>
  <si>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</si>
  <si>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</si>
  <si>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</si>
  <si>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</si>
  <si>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</si>
  <si>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</si>
  <si>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</si>
  <si>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</si>
  <si>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</si>
  <si>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</si>
  <si>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</si>
  <si>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</si>
  <si>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</si>
  <si>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</si>
  <si>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</si>
  <si>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</si>
  <si>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</si>
  <si>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</si>
  <si>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</si>
  <si>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</si>
  <si>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</si>
  <si>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</si>
  <si>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</si>
  <si>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</si>
  <si>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</si>
  <si>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</si>
  <si>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</si>
  <si>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</si>
  <si>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</si>
  <si>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</si>
  <si>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</si>
  <si>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</si>
  <si>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</si>
  <si>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</si>
  <si>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</si>
  <si>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</si>
  <si>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</si>
  <si>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</si>
  <si>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</si>
  <si>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</si>
  <si>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</si>
  <si>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</si>
  <si>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</si>
  <si>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</si>
  <si>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</si>
  <si>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</si>
  <si>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</si>
  <si>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</si>
  <si>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</si>
  <si>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</si>
  <si>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</si>
  <si>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</si>
  <si>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</si>
  <si>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</si>
  <si>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</si>
  <si>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</si>
  <si>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</si>
  <si>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</si>
  <si>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</si>
  <si>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</si>
  <si>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</si>
  <si>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</si>
  <si>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</si>
  <si>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</si>
  <si>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</si>
  <si>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</si>
  <si>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</si>
  <si>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</si>
  <si>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</si>
  <si>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</si>
  <si>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</si>
  <si>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</si>
  <si>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</si>
  <si>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</si>
  <si>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</si>
  <si>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</si>
  <si>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</si>
  <si>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</si>
  <si>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</si>
  <si>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</si>
  <si>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</si>
  <si>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</si>
  <si>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</si>
  <si>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</si>
  <si>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</si>
  <si>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</si>
  <si>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</si>
  <si>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</si>
  <si>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</si>
  <si>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</si>
  <si>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</si>
  <si>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</si>
  <si>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</si>
  <si>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</si>
  <si>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</si>
  <si>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</si>
  <si>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</si>
  <si>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</si>
  <si>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</si>
  <si>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</si>
  <si>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</si>
  <si>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</si>
  <si>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</si>
  <si>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</si>
  <si>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</si>
  <si>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</si>
  <si>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</si>
  <si>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</si>
  <si>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</si>
  <si>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</si>
  <si>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</si>
  <si>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</si>
  <si>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</si>
  <si>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</si>
  <si>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</si>
  <si>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</si>
  <si>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</si>
  <si>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</si>
  <si>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</si>
  <si>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</si>
  <si>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</si>
  <si>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</si>
  <si>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</si>
  <si>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</si>
  <si>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</si>
  <si>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</si>
  <si>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</si>
  <si>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</si>
  <si>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</si>
  <si>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</si>
  <si>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</si>
  <si>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</si>
  <si>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</si>
  <si>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</si>
  <si>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</si>
  <si>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</si>
  <si>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</si>
  <si>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</si>
  <si>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</si>
  <si>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</si>
  <si>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</si>
  <si>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</si>
  <si>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</si>
  <si>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</si>
  <si>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</si>
  <si>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</si>
  <si>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</si>
  <si>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</si>
  <si>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</si>
  <si>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</si>
  <si>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</si>
  <si>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</si>
  <si>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</si>
  <si>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</si>
  <si>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</si>
  <si>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</si>
  <si>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</si>
  <si>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</si>
  <si>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</si>
  <si>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</si>
  <si>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</si>
  <si>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</si>
  <si>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</si>
  <si>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</si>
  <si>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</si>
  <si>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</si>
  <si>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</si>
  <si>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</si>
  <si>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</si>
  <si>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</si>
  <si>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</si>
  <si>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</si>
  <si>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</si>
  <si>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</si>
  <si>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</si>
  <si>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</si>
  <si>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</si>
  <si>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</si>
  <si>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</si>
  <si>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</si>
  <si>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</si>
  <si>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</si>
  <si>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</si>
  <si>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</si>
  <si>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</si>
  <si>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</si>
  <si>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</si>
  <si>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</si>
  <si>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</si>
  <si>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</si>
  <si>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</si>
  <si>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</si>
  <si>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</si>
  <si>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</si>
  <si>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</si>
  <si>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</si>
  <si>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</si>
  <si>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</si>
  <si>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</si>
  <si>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</si>
  <si>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</si>
  <si>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</si>
  <si>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</si>
  <si>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</si>
  <si>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</si>
  <si>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</si>
  <si>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</si>
  <si>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</si>
  <si>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</si>
  <si>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</si>
  <si>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</si>
  <si>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</si>
  <si>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</si>
  <si>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</si>
  <si>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</si>
  <si>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</si>
  <si>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</si>
  <si>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</si>
  <si>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</si>
  <si>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</si>
  <si>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</si>
  <si>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</si>
  <si>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</si>
  <si>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</si>
  <si>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</si>
  <si>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</si>
  <si>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</si>
  <si>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</si>
  <si>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</si>
  <si>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</si>
  <si>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</si>
  <si>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</si>
  <si>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</si>
  <si>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</si>
  <si>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</si>
  <si>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</si>
  <si>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</si>
  <si>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</si>
  <si>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</si>
  <si>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</si>
  <si>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</si>
  <si>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</si>
  <si>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</si>
  <si>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</si>
  <si>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</si>
  <si>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</si>
  <si>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</si>
  <si>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</si>
  <si>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</si>
  <si>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</si>
  <si>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</si>
  <si>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</si>
  <si>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</si>
  <si>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</si>
  <si>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</si>
  <si>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</si>
  <si>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</si>
  <si>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</si>
  <si>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</si>
  <si>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</si>
  <si>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</si>
  <si>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</si>
  <si>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</si>
  <si>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</si>
  <si>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</si>
  <si>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</si>
  <si>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</si>
  <si>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</si>
  <si>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</si>
  <si>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</si>
  <si>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</si>
  <si>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</si>
  <si>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</si>
  <si>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</si>
  <si>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</si>
  <si>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</si>
  <si>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</si>
  <si>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</si>
  <si>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</si>
  <si>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</si>
  <si>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</si>
  <si>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</si>
  <si>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</si>
  <si>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</si>
  <si>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</si>
  <si>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</si>
  <si>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</si>
  <si>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</si>
  <si>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</si>
  <si>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</si>
  <si>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</si>
  <si>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</si>
  <si>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</si>
  <si>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</si>
  <si>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</si>
  <si>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</si>
  <si>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</si>
  <si>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</si>
  <si>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</si>
  <si>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</si>
  <si>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</si>
  <si>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</si>
  <si>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</si>
  <si>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</si>
  <si>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</si>
  <si>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</si>
  <si>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</si>
  <si>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</si>
  <si>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</si>
  <si>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</si>
  <si>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</si>
  <si>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</si>
  <si>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</si>
  <si>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</si>
  <si>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</si>
  <si>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</si>
  <si>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</si>
  <si>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</si>
  <si>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</si>
  <si>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</si>
  <si>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</si>
  <si>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</si>
  <si>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</si>
  <si>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</si>
  <si>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</si>
  <si>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</si>
  <si>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</si>
  <si>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</si>
  <si>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</si>
  <si>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</si>
  <si>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</si>
  <si>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</si>
  <si>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</si>
  <si>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</si>
  <si>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</si>
  <si>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</si>
  <si>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</si>
  <si>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</si>
  <si>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</si>
  <si>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</si>
  <si>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</si>
  <si>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</si>
  <si>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</si>
  <si>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</si>
  <si>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</si>
  <si>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</si>
  <si>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</si>
  <si>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</si>
  <si>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</si>
  <si>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</si>
  <si>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</si>
  <si>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</si>
  <si>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</si>
  <si>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</si>
  <si>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</si>
  <si>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</si>
  <si>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</si>
  <si>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</si>
  <si>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</si>
  <si>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</si>
  <si>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</si>
  <si>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</si>
  <si>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</si>
  <si>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</si>
  <si>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</si>
  <si>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</si>
  <si>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</si>
  <si>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</si>
  <si>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</si>
  <si>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</si>
  <si>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</si>
  <si>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</si>
  <si>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</si>
  <si>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</si>
  <si>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</si>
  <si>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</si>
  <si>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</si>
  <si>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</si>
  <si>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</si>
  <si>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</si>
  <si>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</si>
  <si>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</si>
  <si>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</si>
  <si>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</si>
  <si>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</si>
  <si>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</si>
  <si>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</si>
  <si>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</si>
  <si>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</si>
  <si>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</si>
  <si>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</si>
  <si>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</si>
  <si>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</si>
  <si>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</si>
  <si>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</si>
  <si>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</si>
  <si>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</si>
  <si>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</si>
  <si>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</si>
  <si>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</si>
  <si>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</si>
  <si>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</si>
  <si>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</si>
  <si>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</si>
  <si>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</si>
  <si>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</si>
  <si>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</si>
  <si>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</si>
  <si>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</si>
  <si>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</si>
  <si>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</si>
  <si>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</si>
  <si>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</si>
  <si>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</si>
  <si>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</si>
  <si>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</si>
  <si>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</si>
  <si>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</si>
  <si>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</si>
  <si>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</si>
  <si>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</si>
  <si>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</si>
  <si>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</si>
  <si>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</si>
  <si>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</si>
  <si>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</si>
  <si>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</si>
  <si>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</si>
  <si>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</si>
  <si>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</si>
  <si>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</si>
  <si>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</si>
  <si>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</si>
  <si>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</si>
  <si>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</si>
  <si>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</si>
  <si>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</si>
  <si>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</si>
  <si>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</si>
  <si>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</si>
  <si>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</si>
  <si>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</si>
  <si>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</si>
  <si>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</si>
  <si>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</si>
  <si>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</si>
  <si>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</si>
  <si>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</si>
  <si>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</si>
  <si>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</si>
  <si>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</si>
  <si>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</si>
  <si>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</si>
  <si>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</si>
  <si>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</si>
  <si>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</si>
  <si>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</si>
  <si>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</si>
  <si>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</si>
  <si>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</si>
  <si>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</si>
  <si>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</si>
  <si>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</si>
  <si>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</si>
  <si>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</si>
  <si>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</si>
  <si>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</si>
  <si>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</si>
  <si>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</si>
  <si>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</si>
  <si>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</si>
  <si>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</si>
  <si>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</si>
  <si>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</si>
  <si>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</si>
  <si>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</si>
  <si>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</si>
  <si>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</si>
  <si>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</si>
  <si>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</si>
  <si>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</si>
  <si>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</si>
  <si>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</si>
  <si>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</si>
  <si>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</si>
  <si>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</si>
  <si>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</si>
  <si>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</si>
  <si>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</si>
  <si>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</si>
  <si>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</si>
  <si>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</si>
  <si>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</si>
  <si>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</si>
  <si>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</si>
  <si>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</si>
  <si>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</si>
  <si>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</si>
  <si>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</si>
  <si>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</si>
  <si>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</si>
  <si>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</si>
  <si>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</si>
  <si>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</si>
  <si>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</si>
  <si>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</si>
  <si>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</si>
  <si>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</si>
  <si>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</si>
  <si>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</si>
  <si>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</si>
  <si>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</si>
  <si>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</si>
  <si>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</si>
  <si>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</si>
  <si>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</si>
  <si>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</si>
  <si>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</si>
  <si>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</si>
  <si>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</si>
  <si>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</si>
  <si>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</si>
  <si>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</si>
  <si>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</si>
  <si>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</si>
  <si>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</si>
  <si>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</si>
  <si>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</si>
  <si>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</si>
  <si>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</si>
  <si>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</si>
  <si>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</si>
  <si>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</si>
  <si>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</si>
  <si>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</si>
  <si>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</si>
  <si>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</si>
  <si>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</si>
  <si>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</si>
  <si>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</si>
  <si>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</si>
  <si>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</si>
  <si>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</si>
  <si>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</si>
  <si>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</si>
  <si>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</si>
  <si>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</si>
  <si>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</si>
  <si>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</si>
  <si>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</si>
  <si>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</si>
  <si>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</si>
  <si>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</si>
  <si>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</si>
  <si>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</si>
  <si>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</si>
  <si>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</si>
  <si>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</si>
  <si>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</si>
  <si>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</si>
  <si>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</si>
  <si>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</si>
  <si>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</si>
  <si>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</si>
  <si>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</si>
  <si>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</si>
  <si>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</si>
  <si>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</si>
  <si>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</si>
  <si>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</si>
  <si>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</si>
  <si>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</si>
  <si>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</si>
  <si>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</si>
  <si>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</si>
  <si>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</si>
  <si>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</si>
  <si>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</si>
  <si>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</si>
  <si>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</si>
  <si>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</si>
  <si>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</si>
  <si>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</si>
  <si>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</si>
  <si>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</si>
  <si>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</si>
  <si>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</si>
  <si>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</si>
  <si>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</si>
  <si>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</si>
  <si>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</si>
  <si>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</si>
  <si>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</si>
  <si>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</si>
  <si>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</si>
  <si>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</si>
  <si>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</si>
  <si>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</si>
  <si>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</si>
  <si>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</si>
  <si>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</si>
  <si>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</si>
  <si>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</si>
  <si>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</si>
  <si>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</si>
  <si>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</si>
  <si>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</si>
  <si>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</si>
  <si>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</si>
  <si>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</si>
  <si>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</si>
  <si>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</si>
  <si>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</si>
  <si>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</si>
  <si>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</si>
  <si>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</si>
  <si>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</si>
  <si>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</si>
  <si>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</si>
  <si>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</si>
  <si>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</si>
  <si>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</si>
  <si>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</si>
  <si>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</si>
  <si>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</si>
  <si>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</si>
  <si>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</si>
  <si>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</si>
  <si>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</si>
  <si>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</si>
  <si>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</si>
  <si>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</si>
  <si>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</si>
  <si>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</si>
  <si>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</si>
  <si>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</si>
  <si>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</si>
  <si>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</si>
  <si>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</si>
  <si>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</si>
  <si>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</si>
  <si>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</si>
  <si>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</si>
  <si>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</si>
  <si>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</si>
  <si>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</si>
  <si>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</si>
  <si>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</si>
  <si>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</si>
  <si>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</si>
  <si>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</si>
  <si>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</si>
  <si>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</si>
  <si>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</si>
  <si>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</si>
  <si>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</si>
  <si>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</si>
  <si>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</si>
  <si>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</si>
  <si>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</si>
  <si>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</si>
  <si>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</si>
  <si>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</si>
  <si>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</si>
  <si>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</si>
  <si>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</si>
  <si>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</si>
  <si>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</si>
  <si>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</si>
  <si>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</si>
  <si>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</si>
  <si>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</si>
  <si>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</si>
  <si>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</si>
  <si>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</si>
  <si>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</si>
  <si>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</si>
  <si>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</si>
  <si>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</si>
  <si>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</si>
  <si>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</si>
  <si>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</si>
  <si>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</si>
  <si>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</si>
  <si>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</si>
  <si>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</si>
  <si>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</si>
  <si>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</si>
  <si>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</si>
  <si>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</si>
  <si>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</si>
  <si>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</si>
  <si>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</si>
  <si>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</si>
  <si>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</si>
  <si>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</si>
  <si>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</si>
  <si>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</si>
  <si>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</si>
  <si>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</si>
  <si>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</si>
  <si>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</si>
  <si>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</si>
  <si>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</si>
  <si>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</si>
  <si>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</si>
  <si>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</si>
  <si>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</si>
  <si>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</si>
  <si>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</si>
  <si>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</si>
  <si>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</si>
  <si>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</si>
  <si>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</si>
  <si>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</si>
  <si>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</si>
  <si>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</si>
  <si>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</si>
  <si>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</si>
  <si>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</si>
  <si>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</si>
  <si>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</si>
  <si>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</si>
  <si>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</si>
  <si>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</si>
  <si>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</si>
  <si>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</si>
  <si>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</si>
  <si>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</si>
  <si>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</si>
  <si>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</si>
  <si>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</si>
  <si>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</si>
  <si>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</si>
  <si>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</si>
  <si>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</si>
  <si>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</si>
  <si>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</si>
  <si>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</si>
  <si>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</si>
  <si>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</si>
  <si>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</si>
  <si>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</si>
  <si>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</si>
  <si>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</si>
  <si>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</si>
  <si>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</si>
  <si>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</si>
  <si>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</si>
  <si>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</si>
  <si>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</si>
  <si>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</si>
  <si>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</si>
  <si>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</si>
  <si>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</si>
  <si>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</si>
  <si>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</si>
  <si>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</si>
  <si>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</si>
  <si>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</si>
  <si>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</si>
  <si>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</si>
  <si>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</si>
  <si>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</si>
  <si>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</si>
  <si>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</si>
  <si>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</si>
  <si>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</si>
  <si>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</si>
  <si>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</si>
  <si>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</si>
  <si>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</si>
  <si>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</si>
  <si>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</si>
  <si>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</si>
  <si>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</si>
  <si>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</si>
  <si>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</si>
  <si>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</si>
  <si>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</si>
  <si>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</si>
  <si>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</si>
  <si>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</si>
  <si>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</si>
  <si>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</si>
  <si>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</si>
  <si>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</si>
  <si>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</si>
  <si>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</si>
  <si>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</si>
  <si>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</si>
  <si>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</si>
  <si>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</si>
  <si>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</si>
  <si>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</si>
  <si>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</si>
  <si>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</si>
  <si>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</si>
  <si>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</si>
  <si>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</si>
  <si>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</si>
  <si>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</si>
  <si>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</si>
  <si>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</si>
  <si>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</si>
  <si>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</si>
  <si>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</si>
  <si>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</si>
  <si>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</si>
  <si>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</si>
  <si>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</si>
  <si>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</si>
  <si>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</si>
  <si>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</si>
  <si>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</si>
  <si>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</si>
  <si>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</si>
  <si>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</si>
  <si>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</si>
  <si>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</si>
  <si>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</si>
  <si>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</si>
  <si>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</si>
  <si>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</si>
  <si>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</si>
  <si>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</si>
  <si>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</si>
  <si>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</si>
  <si>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</si>
  <si>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</si>
  <si>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</si>
  <si>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</si>
  <si>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</si>
  <si>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</si>
  <si>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</si>
  <si>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</si>
  <si>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</si>
  <si>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</si>
  <si>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</si>
  <si>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</si>
  <si>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</si>
  <si>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</si>
  <si>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</si>
  <si>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</si>
  <si>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</si>
  <si>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</si>
  <si>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</si>
  <si>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</si>
  <si>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</si>
  <si>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</si>
  <si>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</si>
  <si>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</si>
  <si>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</si>
  <si>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</si>
  <si>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</si>
  <si>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</si>
  <si>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</si>
  <si>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</si>
  <si>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</si>
  <si>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</si>
  <si>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</si>
  <si>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</si>
  <si>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</si>
  <si>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</si>
  <si>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</si>
  <si>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</si>
  <si>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</si>
  <si>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</si>
  <si>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</si>
  <si>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</si>
  <si>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</si>
  <si>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</si>
  <si>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</si>
  <si>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</si>
  <si>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</si>
  <si>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</si>
  <si>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</si>
  <si>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</si>
  <si>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</si>
  <si>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</si>
  <si>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</si>
  <si>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</si>
  <si>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</si>
  <si>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</si>
  <si>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</si>
  <si>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</si>
  <si>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</si>
  <si>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</si>
  <si>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</si>
  <si>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</si>
  <si>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</si>
  <si>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</si>
  <si>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</si>
  <si>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</si>
  <si>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</si>
  <si>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</si>
  <si>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</si>
  <si>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</si>
  <si>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</si>
  <si>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</si>
  <si>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</si>
  <si>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</si>
  <si>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</si>
  <si>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</si>
  <si>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</si>
  <si>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</si>
  <si>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</si>
  <si>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</si>
  <si>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</si>
  <si>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</si>
  <si>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</si>
  <si>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</si>
  <si>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</si>
  <si>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</si>
  <si>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</si>
  <si>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</si>
  <si>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</si>
  <si>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</si>
  <si>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</si>
  <si>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</si>
  <si>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</si>
  <si>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</si>
  <si>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</si>
  <si>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</si>
  <si>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</si>
  <si>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</si>
  <si>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</si>
  <si>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</si>
  <si>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</si>
  <si>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</si>
  <si>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</si>
  <si>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</si>
  <si>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</si>
  <si>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</si>
  <si>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</si>
  <si>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</si>
  <si>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</si>
  <si>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</si>
  <si>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</si>
  <si>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</si>
  <si>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</si>
  <si>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</si>
  <si>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</si>
  <si>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</si>
  <si>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</si>
  <si>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</si>
  <si>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</si>
  <si>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</si>
  <si>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</si>
  <si>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</si>
  <si>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</si>
  <si>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</si>
  <si>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</si>
  <si>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</si>
  <si>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</si>
  <si>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</si>
  <si>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</si>
  <si>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</si>
  <si>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</si>
  <si>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</si>
  <si>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</si>
  <si>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</si>
  <si>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</si>
  <si>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</si>
  <si>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</si>
  <si>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</si>
  <si>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</si>
  <si>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</si>
  <si>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</si>
  <si>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</si>
  <si>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</si>
  <si>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</si>
  <si>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</si>
  <si>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</si>
  <si>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</si>
  <si>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</si>
  <si>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</si>
  <si>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</si>
  <si>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</si>
  <si>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</si>
  <si>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</si>
  <si>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</si>
  <si>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</si>
  <si>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</si>
  <si>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</si>
  <si>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</si>
  <si>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</si>
  <si>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</si>
  <si>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</si>
  <si>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</si>
  <si>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</si>
  <si>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</si>
  <si>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</si>
  <si>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</si>
  <si>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</si>
  <si>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</si>
  <si>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</si>
  <si>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</si>
  <si>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</si>
  <si>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</si>
  <si>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</si>
  <si>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</si>
  <si>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</si>
  <si>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</si>
  <si>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</si>
  <si>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</si>
  <si>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</si>
  <si>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</si>
  <si>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</si>
  <si>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</si>
  <si>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</si>
  <si>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</si>
  <si>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</si>
  <si>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</si>
  <si>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</si>
  <si>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</si>
  <si>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</si>
  <si>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</si>
  <si>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</si>
  <si>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</si>
  <si>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</si>
  <si>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</si>
  <si>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</si>
  <si>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</si>
  <si>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</si>
  <si>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</si>
  <si>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</si>
  <si>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</si>
  <si>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</si>
  <si>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</si>
  <si>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</si>
  <si>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</si>
  <si>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</si>
  <si>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</si>
  <si>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</si>
  <si>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</si>
  <si>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</si>
  <si>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</si>
  <si>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</si>
  <si>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</si>
  <si>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</si>
  <si>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</si>
  <si>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</si>
  <si>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</si>
  <si>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</si>
  <si>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</si>
  <si>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</si>
  <si>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</si>
  <si>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</si>
  <si>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</si>
  <si>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</si>
  <si>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</si>
  <si>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</si>
  <si>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</si>
  <si>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</si>
  <si>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</si>
  <si>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</si>
  <si>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</si>
  <si>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</si>
  <si>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</si>
  <si>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</si>
  <si>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</si>
  <si>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</si>
  <si>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</si>
  <si>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</si>
  <si>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</si>
  <si>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</si>
  <si>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</si>
  <si>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</si>
  <si>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</si>
  <si>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</si>
  <si>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</si>
  <si>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</si>
  <si>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</si>
  <si>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</si>
  <si>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</si>
  <si>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</si>
  <si>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</si>
  <si>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</si>
  <si>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</si>
  <si>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</si>
  <si>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</si>
  <si>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</si>
  <si>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</si>
  <si>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</si>
  <si>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</si>
  <si>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</si>
  <si>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</si>
  <si>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</si>
  <si>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</si>
  <si>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</si>
  <si>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</si>
  <si>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</si>
  <si>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</si>
  <si>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</si>
  <si>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</si>
  <si>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</si>
  <si>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</si>
  <si>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</si>
  <si>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</si>
  <si>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</si>
  <si>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</si>
  <si>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</si>
  <si>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</si>
  <si>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</si>
  <si>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</si>
  <si>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</si>
  <si>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</si>
  <si>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</si>
  <si>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</si>
  <si>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</si>
  <si>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</si>
  <si>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</si>
  <si>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</si>
  <si>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</si>
  <si>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</si>
  <si>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</si>
  <si>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</si>
  <si>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</si>
  <si>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</si>
  <si>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</si>
  <si>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</si>
  <si>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</si>
  <si>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</si>
  <si>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</si>
  <si>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</si>
  <si>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</si>
  <si>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</si>
  <si>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</si>
  <si>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</si>
  <si>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</si>
  <si>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</si>
  <si>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</si>
  <si>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</si>
  <si>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</si>
  <si>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</si>
  <si>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</si>
  <si>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</si>
  <si>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</si>
  <si>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</si>
  <si>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</si>
  <si>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</si>
  <si>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</si>
  <si>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</si>
  <si>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</si>
  <si>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</si>
  <si>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</si>
  <si>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</si>
  <si>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</si>
  <si>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</si>
  <si>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</si>
  <si>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</si>
  <si>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</si>
  <si>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</si>
  <si>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</si>
  <si>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</si>
  <si>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</si>
  <si>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</si>
  <si>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</si>
  <si>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</si>
  <si>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</si>
  <si>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</si>
  <si>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</si>
  <si>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</si>
  <si>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</si>
  <si>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</si>
  <si>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</si>
  <si>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</si>
  <si>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</si>
  <si>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</si>
  <si>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</si>
  <si>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</si>
  <si>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</si>
  <si>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</si>
  <si>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</si>
  <si>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</si>
  <si>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</si>
  <si>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</si>
  <si>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</si>
  <si>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</si>
  <si>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</si>
  <si>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</si>
  <si>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</si>
  <si>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</si>
  <si>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</si>
  <si>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</si>
  <si>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</si>
  <si>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</si>
  <si>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</si>
  <si>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</si>
  <si>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</si>
  <si>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</si>
  <si>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</si>
  <si>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</si>
  <si>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</si>
  <si>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</si>
  <si>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</si>
  <si>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</si>
  <si>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</si>
  <si>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</si>
  <si>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</si>
  <si>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</si>
  <si>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</si>
  <si>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</si>
  <si>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</si>
  <si>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</si>
  <si>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</si>
  <si>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</si>
  <si>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</si>
  <si>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</si>
  <si>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</si>
  <si>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</si>
  <si>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</si>
  <si>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</si>
  <si>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</si>
  <si>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</si>
  <si>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</si>
  <si>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</si>
  <si>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</si>
  <si>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</si>
  <si>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</si>
  <si>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</si>
  <si>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</si>
  <si>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</si>
  <si>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</si>
  <si>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</si>
  <si>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</si>
  <si>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</si>
  <si>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</si>
  <si>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</si>
  <si>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</si>
  <si>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</si>
  <si>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</si>
  <si>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</si>
  <si>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</si>
  <si>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</si>
  <si>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</si>
  <si>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</si>
  <si>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</si>
  <si>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</si>
  <si>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</si>
  <si>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</si>
  <si>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</si>
  <si>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</si>
  <si>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</si>
  <si>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</si>
  <si>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</si>
  <si>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</si>
  <si>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</si>
  <si>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</si>
  <si>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</si>
  <si>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</si>
  <si>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</si>
  <si>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</si>
  <si>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</si>
  <si>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</si>
  <si>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</si>
  <si>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</si>
  <si>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</si>
  <si>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</si>
  <si>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</si>
  <si>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</si>
  <si>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</si>
  <si>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</si>
  <si>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</si>
  <si>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</si>
  <si>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</si>
  <si>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</si>
  <si>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</si>
  <si>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</si>
  <si>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</si>
  <si>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</si>
  <si>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</si>
  <si>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</si>
  <si>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</si>
  <si>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</si>
  <si>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</si>
  <si>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</si>
  <si>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</si>
  <si>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</si>
  <si>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</si>
  <si>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</si>
  <si>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</si>
  <si>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</si>
  <si>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</si>
  <si>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</si>
  <si>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</si>
  <si>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</si>
  <si>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</si>
  <si>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</si>
  <si>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</si>
  <si>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</si>
  <si>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</si>
  <si>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</si>
  <si>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</si>
  <si>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</si>
  <si>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</si>
  <si>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</si>
  <si>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</si>
  <si>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</si>
  <si>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</si>
  <si>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</si>
  <si>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</si>
  <si>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</si>
  <si>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</si>
  <si>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</si>
  <si>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</si>
  <si>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</si>
  <si>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</si>
  <si>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</si>
  <si>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</si>
  <si>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</si>
  <si>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</si>
  <si>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</si>
  <si>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</si>
  <si>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</si>
  <si>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</si>
  <si>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</si>
  <si>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</si>
  <si>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</si>
  <si>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</si>
  <si>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</si>
  <si>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</si>
  <si>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</si>
  <si>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</si>
  <si>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</si>
  <si>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</si>
  <si>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</si>
  <si>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</si>
  <si>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</si>
  <si>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</si>
  <si>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</si>
  <si>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</si>
  <si>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</si>
  <si>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</si>
  <si>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</si>
  <si>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</si>
  <si>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</si>
  <si>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</si>
  <si>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</si>
  <si>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</si>
  <si>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</si>
  <si>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</si>
  <si>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</si>
  <si>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</si>
  <si>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</si>
  <si>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</si>
  <si>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</si>
  <si>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</si>
  <si>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</si>
  <si>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</si>
  <si>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</si>
  <si>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</si>
  <si>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</si>
  <si>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</si>
  <si>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</si>
  <si>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</si>
  <si>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</si>
  <si>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</si>
  <si>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</si>
  <si>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</si>
  <si>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</si>
  <si>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</si>
  <si>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</si>
  <si>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</si>
  <si>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</si>
  <si>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</si>
  <si>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</si>
  <si>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</si>
  <si>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</si>
  <si>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</si>
  <si>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</si>
  <si>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</si>
  <si>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</si>
  <si>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</si>
  <si>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</si>
  <si>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</si>
  <si>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</si>
  <si>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</si>
  <si>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</si>
  <si>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</si>
  <si>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</si>
  <si>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</si>
  <si>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</si>
  <si>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</si>
  <si>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</si>
  <si>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</si>
  <si>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</si>
  <si>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</si>
  <si>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</si>
  <si>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</si>
  <si>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</si>
  <si>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</si>
  <si>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</si>
  <si>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</si>
  <si>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</si>
  <si>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</si>
  <si>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</si>
  <si>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</si>
  <si>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</si>
  <si>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</si>
  <si>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</si>
  <si>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</si>
  <si>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</si>
  <si>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</si>
  <si>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</si>
  <si>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</si>
  <si>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</si>
  <si>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</si>
  <si>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</si>
  <si>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</si>
  <si>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</si>
  <si>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</si>
  <si>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</si>
  <si>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</si>
  <si>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</si>
  <si>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</si>
  <si>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</si>
  <si>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</si>
  <si>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</si>
  <si>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</si>
  <si>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</si>
  <si>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</si>
  <si>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</si>
  <si>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</si>
  <si>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</si>
  <si>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</si>
  <si>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</si>
  <si>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</si>
  <si>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</si>
  <si>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</si>
  <si>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</si>
  <si>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</si>
  <si>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</si>
  <si>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</si>
  <si>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</si>
  <si>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</si>
  <si>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</si>
  <si>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</si>
  <si>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</si>
  <si>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</si>
  <si>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</si>
  <si>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</si>
  <si>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</si>
  <si>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</si>
  <si>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</si>
  <si>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</si>
  <si>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</si>
  <si>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</si>
  <si>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</si>
  <si>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</si>
  <si>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</si>
  <si>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</si>
  <si>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</si>
  <si>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</si>
  <si>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</si>
  <si>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</si>
  <si>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</si>
  <si>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</si>
  <si>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</si>
  <si>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</si>
  <si>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</si>
  <si>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</si>
  <si>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</si>
  <si>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</si>
  <si>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</si>
  <si>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</si>
  <si>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</si>
  <si>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</si>
  <si>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</si>
  <si>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</si>
  <si>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</si>
  <si>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</si>
  <si>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</si>
  <si>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</si>
  <si>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</si>
  <si>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</si>
  <si>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</si>
  <si>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</si>
  <si>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</si>
  <si>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</si>
  <si>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</si>
  <si>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</si>
  <si>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</si>
  <si>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</si>
  <si>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</si>
  <si>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</si>
  <si>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</si>
  <si>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</si>
  <si>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</si>
  <si>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</si>
  <si>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</si>
  <si>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</si>
  <si>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</si>
  <si>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</si>
  <si>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</si>
  <si>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</si>
  <si>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</si>
  <si>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</si>
  <si>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</si>
  <si>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</si>
  <si>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</si>
  <si>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</si>
  <si>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</si>
  <si>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</si>
  <si>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</si>
  <si>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</si>
  <si>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</si>
  <si>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</si>
  <si>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</si>
  <si>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</si>
  <si>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</si>
  <si>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</si>
  <si>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</si>
  <si>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</si>
  <si>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</si>
  <si>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</si>
  <si>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</si>
  <si>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</si>
  <si>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</si>
  <si>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</si>
  <si>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</si>
  <si>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</si>
  <si>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</si>
  <si>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</si>
  <si>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</si>
  <si>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</si>
  <si>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</si>
  <si>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</si>
  <si>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</si>
  <si>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</si>
  <si>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</si>
  <si>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</si>
  <si>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</si>
  <si>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</si>
  <si>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</si>
  <si>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</si>
  <si>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</si>
  <si>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</si>
  <si>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</si>
  <si>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</si>
  <si>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</si>
  <si>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</si>
  <si>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</si>
  <si>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</si>
  <si>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</si>
  <si>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</si>
  <si>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</si>
  <si>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</si>
  <si>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</si>
  <si>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</si>
  <si>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</si>
  <si>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</si>
  <si>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</si>
  <si>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</si>
  <si>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</si>
  <si>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</si>
  <si>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</si>
  <si>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</si>
  <si>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</si>
  <si>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</si>
  <si>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</si>
  <si>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</si>
  <si>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</si>
  <si>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</si>
  <si>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</si>
  <si>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</si>
  <si>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</si>
  <si>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</si>
  <si>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</si>
  <si>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</si>
  <si>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</si>
  <si>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</si>
  <si>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</si>
  <si>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</si>
  <si>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</si>
  <si>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</si>
  <si>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</si>
  <si>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</si>
  <si>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</si>
  <si>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</si>
  <si>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</si>
  <si>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</si>
  <si>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</si>
  <si>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</si>
  <si>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</si>
  <si>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</si>
  <si>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</si>
  <si>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</si>
  <si>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</si>
  <si>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</si>
  <si>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</si>
  <si>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</si>
  <si>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</si>
  <si>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</si>
  <si>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</si>
  <si>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</si>
  <si>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</si>
  <si>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</si>
  <si>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</si>
  <si>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</si>
  <si>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</si>
  <si>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</si>
  <si>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</si>
  <si>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</si>
  <si>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</si>
  <si>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</si>
  <si>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</si>
  <si>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</si>
  <si>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</si>
  <si>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</si>
  <si>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</si>
  <si>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</si>
  <si>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</si>
  <si>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</si>
  <si>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</si>
  <si>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</si>
  <si>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</si>
  <si>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</si>
  <si>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</si>
  <si>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</si>
  <si>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</si>
  <si>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</si>
  <si>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</si>
  <si>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</si>
  <si>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</si>
  <si>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</si>
  <si>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</si>
  <si>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</si>
  <si>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</si>
  <si>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</si>
  <si>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</si>
  <si>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</si>
  <si>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</si>
  <si>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</si>
  <si>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</si>
  <si>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</si>
  <si>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</si>
  <si>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</si>
  <si>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</si>
  <si>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</si>
  <si>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</si>
  <si>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</si>
  <si>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</si>
  <si>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</si>
  <si>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</si>
  <si>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</si>
  <si>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</si>
  <si>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</si>
  <si>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</si>
  <si>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</si>
  <si>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</si>
  <si>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</si>
  <si>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</si>
  <si>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</si>
  <si>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</si>
  <si>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</si>
  <si>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</si>
  <si>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</si>
  <si>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</si>
  <si>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</si>
  <si>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</si>
  <si>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</si>
  <si>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</si>
  <si>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</si>
  <si>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</si>
  <si>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</si>
  <si>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</si>
  <si>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</si>
  <si>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</si>
  <si>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</si>
  <si>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</si>
  <si>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</si>
  <si>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</si>
  <si>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</si>
  <si>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</si>
  <si>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</si>
  <si>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</si>
  <si>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</si>
  <si>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</si>
  <si>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</si>
  <si>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</si>
  <si>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</si>
  <si>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</si>
  <si>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</si>
  <si>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</si>
  <si>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</si>
  <si>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</si>
  <si>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</si>
  <si>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</si>
  <si>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</si>
  <si>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</si>
  <si>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</si>
  <si>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</si>
  <si>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</si>
  <si>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</si>
  <si>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</si>
  <si>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</si>
  <si>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</si>
  <si>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</si>
  <si>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</si>
  <si>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</si>
  <si>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</si>
  <si>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</si>
  <si>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</si>
  <si>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</si>
  <si>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</si>
  <si>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</si>
  <si>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</si>
  <si>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</si>
  <si>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</si>
  <si>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</si>
  <si>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</si>
  <si>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</si>
  <si>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</si>
  <si>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</si>
  <si>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</si>
  <si>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</si>
  <si>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</si>
  <si>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</si>
  <si>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</si>
  <si>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</si>
  <si>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</si>
  <si>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</si>
  <si>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</si>
  <si>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</si>
  <si>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</si>
  <si>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</si>
  <si>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</si>
  <si>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</si>
  <si>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</si>
  <si>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</si>
  <si>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</si>
  <si>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</si>
  <si>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</si>
  <si>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</si>
  <si>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</si>
  <si>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</si>
  <si>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</si>
  <si>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</si>
  <si>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</si>
  <si>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</si>
  <si>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</si>
  <si>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</si>
  <si>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</si>
  <si>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</si>
  <si>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</si>
  <si>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</si>
  <si>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</si>
  <si>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</si>
  <si>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</si>
  <si>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</si>
  <si>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</si>
  <si>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</si>
  <si>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</si>
  <si>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</si>
  <si>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</si>
  <si>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</si>
  <si>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</si>
  <si>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</si>
  <si>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</si>
  <si>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</si>
  <si>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</si>
  <si>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</si>
  <si>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</si>
  <si>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</si>
  <si>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</si>
  <si>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</si>
  <si>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</si>
  <si>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</si>
  <si>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</si>
  <si>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</si>
  <si>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</si>
  <si>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</si>
  <si>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</si>
  <si>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</si>
  <si>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</si>
  <si>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</si>
  <si>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</si>
  <si>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</si>
  <si>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</si>
  <si>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</si>
  <si>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</si>
  <si>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</si>
  <si>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</si>
  <si>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</si>
  <si>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</si>
  <si>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</si>
  <si>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</si>
  <si>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</si>
  <si>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</si>
  <si>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</si>
  <si>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</si>
  <si>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</si>
  <si>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</si>
  <si>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</si>
  <si>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</si>
  <si>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</si>
  <si>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</si>
  <si>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</si>
  <si>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</si>
  <si>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</si>
  <si>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</si>
  <si>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</si>
  <si>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</si>
  <si>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</si>
  <si>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</si>
  <si>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</si>
  <si>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</si>
  <si>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</si>
  <si>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</si>
  <si>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</si>
  <si>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</si>
  <si>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</si>
  <si>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</si>
  <si>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</si>
  <si>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</si>
  <si>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</si>
  <si>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</si>
  <si>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</si>
  <si>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</si>
  <si>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</si>
  <si>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</si>
  <si>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</si>
  <si>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</si>
  <si>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</si>
  <si>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</si>
  <si>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</si>
  <si>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</si>
  <si>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</si>
  <si>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</si>
  <si>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</si>
  <si>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</si>
  <si>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</si>
  <si>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</si>
  <si>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</si>
  <si>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</si>
  <si>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</si>
  <si>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</si>
  <si>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</si>
  <si>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</si>
  <si>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</si>
  <si>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</si>
  <si>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</si>
  <si>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</si>
  <si>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</si>
  <si>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</si>
  <si>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</si>
  <si>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</si>
  <si>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</si>
  <si>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</si>
  <si>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</si>
  <si>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</si>
  <si>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</si>
  <si>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</si>
  <si>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</si>
  <si>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</si>
  <si>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</si>
  <si>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</si>
  <si>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</si>
  <si>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</si>
  <si>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</si>
  <si>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</si>
  <si>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</si>
  <si>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</si>
  <si>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</si>
  <si>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</si>
  <si>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</si>
  <si>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</si>
  <si>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</si>
  <si>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</si>
  <si>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</si>
  <si>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</si>
  <si>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</si>
  <si>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</si>
  <si>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</si>
  <si>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</si>
  <si>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</si>
  <si>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</si>
  <si>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</si>
  <si>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</si>
  <si>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</si>
  <si>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</si>
  <si>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</si>
  <si>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</si>
  <si>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</si>
  <si>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</si>
  <si>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</si>
  <si>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</si>
  <si>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</si>
  <si>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</si>
  <si>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</si>
  <si>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</si>
  <si>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</si>
  <si>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</si>
  <si>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</si>
  <si>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</si>
  <si>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</si>
  <si>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</si>
  <si>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</si>
  <si>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</si>
  <si>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</si>
  <si>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</si>
  <si>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</si>
  <si>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</si>
  <si>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</si>
  <si>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</si>
  <si>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</si>
  <si>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</si>
  <si>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</si>
  <si>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</si>
  <si>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</si>
  <si>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</si>
  <si>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</si>
  <si>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</si>
  <si>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</si>
  <si>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</si>
  <si>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</si>
  <si>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</si>
  <si>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</si>
  <si>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</si>
  <si>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</si>
  <si>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</si>
  <si>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</si>
  <si>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</si>
  <si>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</si>
  <si>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</si>
  <si>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</si>
  <si>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</si>
  <si>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</si>
  <si>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</si>
  <si>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</si>
  <si>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</si>
  <si>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</si>
  <si>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</si>
  <si>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</si>
  <si>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</si>
  <si>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</si>
  <si>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</si>
  <si>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</si>
  <si>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</si>
  <si>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</si>
  <si>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</si>
  <si>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</si>
  <si>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</si>
  <si>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</si>
  <si>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</si>
  <si>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</si>
  <si>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</si>
  <si>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</si>
  <si>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</si>
  <si>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</si>
  <si>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</si>
  <si>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</si>
  <si>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</si>
  <si>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</si>
  <si>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</si>
  <si>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</si>
  <si>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</si>
  <si>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</si>
  <si>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</si>
  <si>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</si>
  <si>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</si>
  <si>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</si>
  <si>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</si>
  <si>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</si>
  <si>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</si>
  <si>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</si>
  <si>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</si>
  <si>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</si>
  <si>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</si>
  <si>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</si>
  <si>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</si>
  <si>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</si>
  <si>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</si>
  <si>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</si>
  <si>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</si>
  <si>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</si>
  <si>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</si>
  <si>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</si>
  <si>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</si>
  <si>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</si>
  <si>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</si>
  <si>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</si>
  <si>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</si>
  <si>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</si>
  <si>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</si>
  <si>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</si>
  <si>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</si>
  <si>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</si>
  <si>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</si>
  <si>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</si>
  <si>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</si>
  <si>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</si>
  <si>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</si>
  <si>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</si>
  <si>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</si>
  <si>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</si>
  <si>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</si>
  <si>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</si>
  <si>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</si>
  <si>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</si>
  <si>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</si>
  <si>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</si>
  <si>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</si>
  <si>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</si>
  <si>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</si>
  <si>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</si>
  <si>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</si>
  <si>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</si>
  <si>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</si>
  <si>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</si>
  <si>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</si>
  <si>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</si>
  <si>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</si>
  <si>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</si>
  <si>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</si>
  <si>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</si>
  <si>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</si>
  <si>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</si>
  <si>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</si>
  <si>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</si>
  <si>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</si>
  <si>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</si>
  <si>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</si>
  <si>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</si>
  <si>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</si>
  <si>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</si>
  <si>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</si>
  <si>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</si>
  <si>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</si>
  <si>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</si>
  <si>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</si>
  <si>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</si>
  <si>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</si>
  <si>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</si>
  <si>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</si>
  <si>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</si>
  <si>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</si>
  <si>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</si>
  <si>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</si>
  <si>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</si>
  <si>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</si>
  <si>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</si>
  <si>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</si>
  <si>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</si>
  <si>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</si>
  <si>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</si>
  <si>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</si>
  <si>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</si>
  <si>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</si>
  <si>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</si>
  <si>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</si>
  <si>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</si>
  <si>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</si>
  <si>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</si>
  <si>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</si>
  <si>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</si>
  <si>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</si>
  <si>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</si>
  <si>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</si>
  <si>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</si>
  <si>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</si>
  <si>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</si>
  <si>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</si>
  <si>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</si>
  <si>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</si>
  <si>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</si>
  <si>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</si>
  <si>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</si>
  <si>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</si>
  <si>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</si>
  <si>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</si>
  <si>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</si>
  <si>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</si>
  <si>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</si>
  <si>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</si>
  <si>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</si>
  <si>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</si>
  <si>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</si>
  <si>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</si>
  <si>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</si>
  <si>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</si>
  <si>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</si>
  <si>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</si>
  <si>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</si>
  <si>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</si>
  <si>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</si>
  <si>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</si>
  <si>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</si>
  <si>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</si>
  <si>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</si>
  <si>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</si>
  <si>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</si>
  <si>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</si>
  <si>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</si>
  <si>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</si>
  <si>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</si>
  <si>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</si>
  <si>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</si>
  <si>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</si>
  <si>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</si>
  <si>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</si>
  <si>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</si>
  <si>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</si>
  <si>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</si>
  <si>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</si>
  <si>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</si>
  <si>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</si>
  <si>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</si>
  <si>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</si>
  <si>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</si>
  <si>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</si>
  <si>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</si>
  <si>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</si>
  <si>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</si>
  <si>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</si>
  <si>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</si>
  <si>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</si>
  <si>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</si>
  <si>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</si>
  <si>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</si>
  <si>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</si>
  <si>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</si>
  <si>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</si>
  <si>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</si>
  <si>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</si>
  <si>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</si>
  <si>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</si>
  <si>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</si>
  <si>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</si>
  <si>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</si>
  <si>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</si>
  <si>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</si>
  <si>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</si>
  <si>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</si>
  <si>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</si>
  <si>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</si>
  <si>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</si>
  <si>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</si>
  <si>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</si>
  <si>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</si>
  <si>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</si>
  <si>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</si>
  <si>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</si>
  <si>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</si>
  <si>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</si>
  <si>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</si>
  <si>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</si>
  <si>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</si>
  <si>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</si>
  <si>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</si>
  <si>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</si>
  <si>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</si>
  <si>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</si>
  <si>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</si>
  <si>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</si>
  <si>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</si>
  <si>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</si>
  <si>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</si>
  <si>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</si>
  <si>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</si>
  <si>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</si>
  <si>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</si>
  <si>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</si>
  <si>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</si>
  <si>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</si>
  <si>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</si>
  <si>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</si>
  <si>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</si>
  <si>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</si>
  <si>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</si>
  <si>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</si>
  <si>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</si>
  <si>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</si>
  <si>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</si>
  <si>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</si>
  <si>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</si>
  <si>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</si>
  <si>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</si>
  <si>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</si>
  <si>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</si>
  <si>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</si>
  <si>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</si>
  <si>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</si>
  <si>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</si>
  <si>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</si>
  <si>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</si>
  <si>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</si>
  <si>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</si>
  <si>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</si>
  <si>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</si>
  <si>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</si>
  <si>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</si>
  <si>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</si>
  <si>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</si>
  <si>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</si>
  <si>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</si>
  <si>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</si>
  <si>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</si>
  <si>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</si>
  <si>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</si>
  <si>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</si>
  <si>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</si>
  <si>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</si>
  <si>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</si>
  <si>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</si>
  <si>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</si>
  <si>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</si>
  <si>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</si>
  <si>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</si>
  <si>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</si>
  <si>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</si>
  <si>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</si>
  <si>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</si>
  <si>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</si>
  <si>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</si>
  <si>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</si>
  <si>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</si>
  <si>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</si>
  <si>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</si>
  <si>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</si>
  <si>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</si>
  <si>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</si>
  <si>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</si>
  <si>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</si>
  <si>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</si>
  <si>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</si>
  <si>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</si>
  <si>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</si>
  <si>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</si>
  <si>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</si>
  <si>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</si>
  <si>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</si>
  <si>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</si>
  <si>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</si>
  <si>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</si>
  <si>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</si>
  <si>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</si>
  <si>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</si>
  <si>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</si>
  <si>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</si>
  <si>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</si>
  <si>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</si>
  <si>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</si>
  <si>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</si>
  <si>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</si>
  <si>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</si>
  <si>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</si>
  <si>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</si>
  <si>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</si>
  <si>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</si>
  <si>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</si>
  <si>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</si>
  <si>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</si>
  <si>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</si>
  <si>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</si>
  <si>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</si>
  <si>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</si>
  <si>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</si>
  <si>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</si>
  <si>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</si>
  <si>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</si>
  <si>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</si>
  <si>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</si>
  <si>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</si>
  <si>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</si>
  <si>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</si>
  <si>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</si>
  <si>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</si>
  <si>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</si>
  <si>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</si>
  <si>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</si>
  <si>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</si>
  <si>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</si>
  <si>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</si>
  <si>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</si>
  <si>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</si>
  <si>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</si>
  <si>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</si>
  <si>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</si>
  <si>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</si>
  <si>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</si>
  <si>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</si>
  <si>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</si>
  <si>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</si>
  <si>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</si>
  <si>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</si>
  <si>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</si>
  <si>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</si>
  <si>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</si>
  <si>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</si>
  <si>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</si>
  <si>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</si>
  <si>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</si>
  <si>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</si>
  <si>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</si>
  <si>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</si>
  <si>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</si>
  <si>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</si>
  <si>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</si>
  <si>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</si>
  <si>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</si>
  <si>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</si>
  <si>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</si>
  <si>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</si>
  <si>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</si>
  <si>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</si>
  <si>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</si>
  <si>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</si>
  <si>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</si>
  <si>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</si>
  <si>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</si>
  <si>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</si>
  <si>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</si>
  <si>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</si>
  <si>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</si>
  <si>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</si>
  <si>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</si>
  <si>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</si>
  <si>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</si>
  <si>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</si>
  <si>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</si>
  <si>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</si>
  <si>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</si>
  <si>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</si>
  <si>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</si>
  <si>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</si>
  <si>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</si>
  <si>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</si>
  <si>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</si>
  <si>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</si>
  <si>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</si>
  <si>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</si>
  <si>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</si>
  <si>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</si>
  <si>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</si>
  <si>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</si>
  <si>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</si>
  <si>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</si>
  <si>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</si>
  <si>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</si>
  <si>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</si>
  <si>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</si>
  <si>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</si>
  <si>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</si>
  <si>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</si>
  <si>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</si>
  <si>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</si>
  <si>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</si>
  <si>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</si>
  <si>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</si>
  <si>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</si>
  <si>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</si>
  <si>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</si>
  <si>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</si>
  <si>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</si>
  <si>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</si>
  <si>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</si>
  <si>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</si>
  <si>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</si>
  <si>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</si>
  <si>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</si>
  <si>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</si>
  <si>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</si>
  <si>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</si>
  <si>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</si>
  <si>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</si>
  <si>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</si>
  <si>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</si>
  <si>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</si>
  <si>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</si>
  <si>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</si>
  <si>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</si>
  <si>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</si>
  <si>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</si>
  <si>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</si>
  <si>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</si>
  <si>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</si>
  <si>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</si>
  <si>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</si>
  <si>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</si>
  <si>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</si>
  <si>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</si>
  <si>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</si>
  <si>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</si>
  <si>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</si>
  <si>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</si>
  <si>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</si>
  <si>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</si>
  <si>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</si>
  <si>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</si>
  <si>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</si>
  <si>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</si>
  <si>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</si>
  <si>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</si>
  <si>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</si>
  <si>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</si>
  <si>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</si>
  <si>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</si>
  <si>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</si>
  <si>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</si>
  <si>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</si>
  <si>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</si>
  <si>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</si>
  <si>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</si>
  <si>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</si>
  <si>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</si>
  <si>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</si>
  <si>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</si>
  <si>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</si>
  <si>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</si>
  <si>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</si>
  <si>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</si>
  <si>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</si>
  <si>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</si>
  <si>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</si>
  <si>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</si>
  <si>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</si>
  <si>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</si>
  <si>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</si>
  <si>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</si>
  <si>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</si>
  <si>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</si>
  <si>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</si>
  <si>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</si>
  <si>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</si>
  <si>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</si>
  <si>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</si>
  <si>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</si>
  <si>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</si>
  <si>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</si>
  <si>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</si>
  <si>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</si>
  <si>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</si>
  <si>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</si>
  <si>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</si>
  <si>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</si>
  <si>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</si>
  <si>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</si>
  <si>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</si>
  <si>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</si>
  <si>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</si>
  <si>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</si>
  <si>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</si>
  <si>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</si>
  <si>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</si>
  <si>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</si>
  <si>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</si>
  <si>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</si>
  <si>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</si>
  <si>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</si>
  <si>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</si>
  <si>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</si>
  <si>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</si>
  <si>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</si>
  <si>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</si>
  <si>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</si>
  <si>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</si>
  <si>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</si>
  <si>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</si>
  <si>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</si>
  <si>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</si>
  <si>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</si>
  <si>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</si>
  <si>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</si>
  <si>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</si>
  <si>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</si>
  <si>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</si>
  <si>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</si>
  <si>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</si>
  <si>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</si>
  <si>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</si>
  <si>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</si>
  <si>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</si>
  <si>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</si>
  <si>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</si>
  <si>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</si>
  <si>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</si>
  <si>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</si>
  <si>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</si>
  <si>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</si>
  <si>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</si>
  <si>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</si>
  <si>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</si>
  <si>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</si>
  <si>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</si>
  <si>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</si>
  <si>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</si>
  <si>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</si>
  <si>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</si>
  <si>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</si>
  <si>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</si>
  <si>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</si>
  <si>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</si>
  <si>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</si>
  <si>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</si>
  <si>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</si>
  <si>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</si>
  <si>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</si>
  <si>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</si>
  <si>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</si>
  <si>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</si>
  <si>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</si>
  <si>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</si>
  <si>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</si>
  <si>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</si>
  <si>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</si>
  <si>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</si>
  <si>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</si>
  <si>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</si>
  <si>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</si>
  <si>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</si>
  <si>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</si>
  <si>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</si>
  <si>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</si>
  <si>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</si>
  <si>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</si>
  <si>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</si>
  <si>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</si>
  <si>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</si>
  <si>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</si>
  <si>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</si>
  <si>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</si>
  <si>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</si>
  <si>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</si>
  <si>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</si>
  <si>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</si>
  <si>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</si>
  <si>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</si>
  <si>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</si>
  <si>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</si>
  <si>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</si>
  <si>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</si>
  <si>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</si>
  <si>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</si>
  <si>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</si>
  <si>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</si>
  <si>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</si>
  <si>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</si>
  <si>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</si>
  <si>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</si>
  <si>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</si>
  <si>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</si>
  <si>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</si>
  <si>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</si>
  <si>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</si>
  <si>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</si>
  <si>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</si>
  <si>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</si>
  <si>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</si>
  <si>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</si>
  <si>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</si>
  <si>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</si>
  <si>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</si>
  <si>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</si>
  <si>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</si>
  <si>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</si>
  <si>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</si>
  <si>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</si>
  <si>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</si>
  <si>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</si>
  <si>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</si>
  <si>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</si>
  <si>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</si>
  <si>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</si>
  <si>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</si>
  <si>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</si>
  <si>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</si>
  <si>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</si>
  <si>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</si>
  <si>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</si>
  <si>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</si>
  <si>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</si>
  <si>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</si>
  <si>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</si>
  <si>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</si>
  <si>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</si>
  <si>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</si>
  <si>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</si>
  <si>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</si>
  <si>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</si>
  <si>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</si>
  <si>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</si>
  <si>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</si>
  <si>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</si>
  <si>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</si>
  <si>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</si>
  <si>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</si>
  <si>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</si>
  <si>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</si>
  <si>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</si>
  <si>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</si>
  <si>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</si>
  <si>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</si>
  <si>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</si>
  <si>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</si>
  <si>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</si>
  <si>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</si>
  <si>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</si>
  <si>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</si>
  <si>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</si>
  <si>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</si>
  <si>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</si>
  <si>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</si>
  <si>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</si>
  <si>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</si>
  <si>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</si>
  <si>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</si>
  <si>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</si>
  <si>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</si>
  <si>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</si>
  <si>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</si>
  <si>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</si>
  <si>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</si>
  <si>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</si>
  <si>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</si>
  <si>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</si>
  <si>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</si>
  <si>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</si>
  <si>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</si>
  <si>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</si>
  <si>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</si>
  <si>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</si>
  <si>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</si>
  <si>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</si>
  <si>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</si>
  <si>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</si>
  <si>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</si>
  <si>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</si>
  <si>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</si>
  <si>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</si>
  <si>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</si>
  <si>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</si>
  <si>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</si>
  <si>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</si>
  <si>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</si>
  <si>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</si>
  <si>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</si>
  <si>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</si>
  <si>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</si>
  <si>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</si>
  <si>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</si>
  <si>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</si>
  <si>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</si>
  <si>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</si>
  <si>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</si>
  <si>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</si>
  <si>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</si>
  <si>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</si>
  <si>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</si>
  <si>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</si>
  <si>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</si>
  <si>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</si>
  <si>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</si>
  <si>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</si>
  <si>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</si>
  <si>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</si>
  <si>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</si>
  <si>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</si>
  <si>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</si>
  <si>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</si>
  <si>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</si>
  <si>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</si>
  <si>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</si>
  <si>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</si>
  <si>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</si>
  <si>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</si>
  <si>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</si>
  <si>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</si>
  <si>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</si>
  <si>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Yes</t>
  </si>
  <si>
    <t>Step #2</t>
  </si>
  <si>
    <t>Concerned teams (Pnt, GF-GA, GF)</t>
  </si>
  <si>
    <t>Step #3</t>
  </si>
  <si>
    <t>Goal Difference</t>
  </si>
  <si>
    <t>GTM-Time</t>
  </si>
  <si>
    <t>GMT + 1:00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</si>
  <si>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</si>
  <si>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</si>
  <si>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</si>
  <si>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</si>
  <si>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</si>
  <si>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</si>
  <si>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</si>
  <si>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</si>
  <si>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No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</si>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</sst>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bottomRight" activeCell="A2" sqref="A2"/>
      <selection pane="bottomLeft" activeCell="A2" sqref="A2"/>
      <selection pane="topRight" activeCell="B1" sqref="B1"/>
    </sheetView>
  </sheetViews>
  <sheetFormatPr defaultColWidth="14" defaultRowHeight="14.45"/>
  <cols>
    <col min="1" max="1" width="24.140625" bestFit="1" customWidth="1"/>
    <col min="2" max="42" width="14" customWidth="1"/>
  </cols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>
      <c r="A145" s="1"/>
    </row>
    <row r="146" spans="1:42">
      <c r="A146" s="1"/>
    </row>
    <row r="147" spans="1:42">
      <c r="A147" s="1"/>
    </row>
    <row r="148" spans="1:42">
      <c r="A148" s="1"/>
    </row>
    <row r="149" spans="1:42">
      <c r="A149" s="1"/>
    </row>
    <row r="150" spans="1:42">
      <c r="A150" s="1"/>
    </row>
    <row r="151" spans="1:42">
      <c r="A151" s="1"/>
    </row>
    <row r="152" spans="1:42">
      <c r="A152" s="1"/>
    </row>
    <row r="153" spans="1:42">
      <c r="A153" s="1"/>
    </row>
    <row r="154" spans="1:42">
      <c r="A154" s="1"/>
    </row>
    <row r="155" spans="1:42">
      <c r="A155" s="1"/>
    </row>
    <row r="156" spans="1:42">
      <c r="A156" s="1"/>
    </row>
    <row r="157" spans="1:42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defaultColWidth="9.140625" defaultRowHeight="14.4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/>
    <row r="2" spans="2:27" ht="16.149999999999999" thickBot="1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>
      <c r="B3" s="42"/>
      <c r="C3" s="43"/>
      <c r="D3" s="44"/>
      <c r="F3" s="42"/>
      <c r="G3" s="43"/>
      <c r="H3" s="44"/>
    </row>
    <row r="4" spans="2:27">
      <c r="B4" s="54" t="s">
        <v>3117</v>
      </c>
      <c r="C4" s="60" t="s">
        <v>0</v>
      </c>
      <c r="D4" s="44"/>
      <c r="F4" s="42"/>
      <c r="G4" s="45"/>
      <c r="H4" s="44"/>
    </row>
    <row r="5" spans="2:27">
      <c r="B5" s="42"/>
      <c r="C5" s="43"/>
      <c r="D5" s="44"/>
      <c r="F5" s="46" t="s">
        <v>3118</v>
      </c>
      <c r="G5" s="47" t="s">
        <v>3119</v>
      </c>
      <c r="H5" s="44"/>
    </row>
    <row r="6" spans="2:27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>
      <c r="B11" s="54"/>
      <c r="C11" s="43"/>
      <c r="D11" s="44"/>
      <c r="F11" s="51"/>
      <c r="G11" s="52"/>
      <c r="H11" s="53"/>
    </row>
    <row r="12" spans="2:27" ht="15" customHeight="1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>
      <c r="B14" s="54" t="s">
        <v>3135</v>
      </c>
      <c r="C14" s="60" t="s">
        <v>3136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>
      <c r="B15" s="51"/>
      <c r="C15" s="52"/>
      <c r="D15" s="53"/>
      <c r="F15" s="118" t="s">
        <v>3137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>
      <c r="F16" s="118" t="s">
        <v>3138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>
      <c r="B18" s="42"/>
      <c r="C18" s="58" t="s">
        <v>3131</v>
      </c>
      <c r="D18" s="44"/>
      <c r="F18" s="118" t="s">
        <v>3139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>
      <c r="B19" s="59" t="str">
        <f>VLOOKUP("France",T,lang,FALSE)</f>
        <v>France</v>
      </c>
      <c r="C19" s="65">
        <v>1877.32</v>
      </c>
      <c r="D19" s="44"/>
      <c r="F19" s="118" t="s">
        <v>3140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>
      <c r="B20" s="59" t="str">
        <f>VLOOKUP("Spain",T,lang,FALSE)</f>
        <v>Spain</v>
      </c>
      <c r="C20" s="66">
        <v>1876.4</v>
      </c>
      <c r="D20" s="44"/>
      <c r="F20" s="118" t="s">
        <v>3141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>
      <c r="B21" s="59" t="str">
        <f>VLOOKUP("Argentina",T,lang,FALSE)</f>
        <v>Argentina</v>
      </c>
      <c r="C21" s="66">
        <v>1874.82</v>
      </c>
      <c r="D21" s="44"/>
      <c r="F21" s="118" t="s">
        <v>3142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>
      <c r="B22" s="59" t="str">
        <f>VLOOKUP("England",T,lang,FALSE)</f>
        <v>England</v>
      </c>
      <c r="C22" s="66">
        <v>1825.97</v>
      </c>
      <c r="D22" s="44"/>
      <c r="F22" s="118" t="s">
        <v>3143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>
      <c r="B23" s="59" t="str">
        <f>VLOOKUP("Portugal",T,lang,FALSE)</f>
        <v>Portugal</v>
      </c>
      <c r="C23" s="66">
        <v>1763.83</v>
      </c>
      <c r="D23" s="44"/>
      <c r="F23" s="118" t="s">
        <v>3144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>
      <c r="B24" s="59" t="str">
        <f>VLOOKUP("Brazil",T,lang,FALSE)</f>
        <v>Brazil</v>
      </c>
      <c r="C24" s="66">
        <v>1761.16</v>
      </c>
      <c r="D24" s="44"/>
      <c r="F24" s="118" t="s">
        <v>3145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>
      <c r="B25" s="59" t="str">
        <f>VLOOKUP("Netherlands",T,lang,FALSE)</f>
        <v>Netherlands</v>
      </c>
      <c r="C25" s="66">
        <v>1757.87</v>
      </c>
      <c r="D25" s="44"/>
      <c r="F25" s="118" t="s">
        <v>3146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>
      <c r="B26" s="59" t="str">
        <f>VLOOKUP("Morocco",T,lang,FALSE)</f>
        <v>Morocco</v>
      </c>
      <c r="C26" s="66">
        <v>1755.87</v>
      </c>
      <c r="D26" s="44"/>
      <c r="F26" s="118" t="s">
        <v>3147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>
      <c r="B27" s="59" t="str">
        <f>VLOOKUP("Belgium",T,lang,FALSE)</f>
        <v>Belgium</v>
      </c>
      <c r="C27" s="66">
        <v>1734.71</v>
      </c>
      <c r="D27" s="44"/>
      <c r="F27" s="118" t="s">
        <v>3148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>
      <c r="B28" s="59" t="str">
        <f>VLOOKUP("Germany",T,lang,FALSE)</f>
        <v>Germany</v>
      </c>
      <c r="C28" s="66">
        <v>1730.37</v>
      </c>
      <c r="D28" s="44"/>
      <c r="F28" s="118" t="s">
        <v>3149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>
      <c r="B29" s="59" t="str">
        <f>VLOOKUP("Croatia",T,lang,FALSE)</f>
        <v>Croatia</v>
      </c>
      <c r="C29" s="66">
        <v>1717.07</v>
      </c>
      <c r="D29" s="44"/>
      <c r="F29" s="118" t="s">
        <v>3150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>
      <c r="B30" s="59" t="str">
        <f>VLOOKUP("Colombia",T,lang,FALSE)</f>
        <v>Colombia</v>
      </c>
      <c r="C30" s="66">
        <v>1693.09</v>
      </c>
      <c r="D30" s="44"/>
      <c r="F30" s="118" t="s">
        <v>3127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>
      <c r="B31" s="59" t="str">
        <f>VLOOKUP("Senegal",T,lang,FALSE)</f>
        <v>Senegal</v>
      </c>
      <c r="C31" s="66">
        <v>1688.99</v>
      </c>
      <c r="D31" s="44"/>
      <c r="F31" s="118" t="s">
        <v>3151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>
      <c r="B32" s="59" t="str">
        <f>VLOOKUP("Mexico",T,lang,FALSE)</f>
        <v>Mexico</v>
      </c>
      <c r="C32" s="66">
        <v>1681.03</v>
      </c>
      <c r="D32" s="44"/>
      <c r="F32" s="118" t="s">
        <v>3152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>
      <c r="B33" s="59" t="str">
        <f>VLOOKUP("United States",T,lang,FALSE)</f>
        <v>United States</v>
      </c>
      <c r="C33" s="66">
        <v>1673.13</v>
      </c>
      <c r="D33" s="44"/>
      <c r="F33" s="118" t="s">
        <v>3153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>
      <c r="B34" s="59" t="str">
        <f>VLOOKUP("Uruguay",T,lang,FALSE)</f>
        <v>Uruguay</v>
      </c>
      <c r="C34" s="66">
        <v>1673.07</v>
      </c>
      <c r="D34" s="44"/>
      <c r="F34" s="118" t="s">
        <v>3154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>
      <c r="B35" s="59" t="str">
        <f>VLOOKUP("Japan",T,lang,FALSE)</f>
        <v>Japan</v>
      </c>
      <c r="C35" s="66">
        <v>1660.43</v>
      </c>
      <c r="D35" s="44"/>
      <c r="F35" s="118" t="s">
        <v>3155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>
      <c r="B36" s="59" t="str">
        <f>VLOOKUP("Switzerland",T,lang,FALSE)</f>
        <v>Switzerland</v>
      </c>
      <c r="C36" s="66">
        <v>1649.4</v>
      </c>
      <c r="D36" s="44"/>
      <c r="F36" s="118" t="s">
        <v>3156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>
      <c r="B37" s="59" t="str">
        <f>VLOOKUP("Iran",T,lang,FALSE)</f>
        <v>Iran</v>
      </c>
      <c r="C37" s="66">
        <v>1615.3</v>
      </c>
      <c r="D37" s="44"/>
      <c r="F37" s="118" t="s">
        <v>3157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>
      <c r="B38" s="59" t="str">
        <f>VLOOKUP("Turkey",T,lang,FALSE)</f>
        <v>Turkey</v>
      </c>
      <c r="C38" s="66">
        <v>1599.04</v>
      </c>
      <c r="D38" s="44"/>
      <c r="F38" s="118" t="s">
        <v>3158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>
      <c r="B39" s="59" t="str">
        <f>VLOOKUP("Ecuador",T,lang,FALSE)</f>
        <v>Ecuador</v>
      </c>
      <c r="C39" s="66">
        <v>1594.78</v>
      </c>
      <c r="D39" s="44"/>
      <c r="F39" s="118" t="s">
        <v>3159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>
      <c r="B40" s="59" t="str">
        <f>VLOOKUP("Austria",T,lang,FALSE)</f>
        <v>Austria</v>
      </c>
      <c r="C40" s="66">
        <v>1593.45</v>
      </c>
      <c r="D40" s="44"/>
      <c r="F40" s="118" t="s">
        <v>3160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>
      <c r="B41" s="59" t="str">
        <f>VLOOKUP("Korea Republic",T,lang,FALSE)</f>
        <v>Korea Republic</v>
      </c>
      <c r="C41" s="66">
        <v>1588.66</v>
      </c>
      <c r="D41" s="44"/>
      <c r="F41" s="118" t="s">
        <v>3161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>
      <c r="B42" s="59" t="str">
        <f>VLOOKUP("Australia",T,lang,FALSE)</f>
        <v>Australia</v>
      </c>
      <c r="C42" s="66">
        <v>1580.67</v>
      </c>
      <c r="D42" s="44"/>
      <c r="F42" s="118" t="s">
        <v>3162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>
      <c r="B45" s="59" t="str">
        <f>VLOOKUP("Canada",T,lang,FALSE)</f>
        <v>Canada</v>
      </c>
      <c r="C45" s="66">
        <v>1556.48</v>
      </c>
      <c r="D45" s="44"/>
      <c r="F45" s="118" t="s">
        <v>3163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>
      <c r="B46" s="59" t="str">
        <f>VLOOKUP("Norway",T,lang,FALSE)</f>
        <v>Norway</v>
      </c>
      <c r="C46" s="66">
        <v>1550.94</v>
      </c>
      <c r="D46" s="44"/>
      <c r="F46" s="118" t="s">
        <v>3164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>
      <c r="B47" s="59" t="str">
        <f>VLOOKUP("Panama",T,lang,FALSE)</f>
        <v>Panama</v>
      </c>
      <c r="C47" s="66">
        <v>1540.64</v>
      </c>
      <c r="D47" s="44"/>
      <c r="F47" s="118" t="s">
        <v>3165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>
      <c r="B65" s="59" t="str">
        <f>VLOOKUP("Haiti",T,lang,FALSE)</f>
        <v>Haiti</v>
      </c>
      <c r="C65" s="66">
        <v>1291.71</v>
      </c>
      <c r="D65" s="44"/>
      <c r="F65" s="118" t="s">
        <v>3166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J32" zoomScaleNormal="100" workbookViewId="0">
      <selection activeCell="CO49" sqref="CO49"/>
    </sheetView>
  </sheetViews>
  <sheetFormatPr defaultColWidth="9.140625" defaultRowHeight="14.4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1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/>
    <row r="5" spans="1:9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3167</v>
      </c>
      <c r="K5" s="159"/>
      <c r="L5" s="159"/>
      <c r="M5" s="159"/>
      <c r="N5" s="159"/>
      <c r="O5" s="159"/>
      <c r="P5" s="160"/>
    </row>
    <row r="6" spans="1:95" ht="15" customHeight="1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3168</v>
      </c>
      <c r="V6" s="123" t="s">
        <v>3169</v>
      </c>
      <c r="W6" s="123" t="s">
        <v>3170</v>
      </c>
      <c r="Y6" s="123" t="s">
        <v>3169</v>
      </c>
      <c r="Z6" s="123" t="s">
        <v>3170</v>
      </c>
      <c r="AA6" s="123">
        <f>IF(Settings!C14="Yes",INT(MATCH(my_team,$AE$8:$AE$78,0)/6),-1)</f>
        <v>-1</v>
      </c>
      <c r="AD6" s="123" t="s">
        <v>3171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3169</v>
      </c>
      <c r="AJ6" s="123" t="s">
        <v>3170</v>
      </c>
      <c r="AL6" s="123" t="s">
        <v>3172</v>
      </c>
      <c r="AM6" s="123" t="s">
        <v>3173</v>
      </c>
      <c r="AN6" s="123" t="s">
        <v>3174</v>
      </c>
      <c r="AO6" s="123" t="s">
        <v>3175</v>
      </c>
      <c r="AP6" s="123" t="s">
        <v>3176</v>
      </c>
      <c r="AQ6" s="126" t="s">
        <v>3177</v>
      </c>
      <c r="AR6" s="126" t="s">
        <v>3178</v>
      </c>
      <c r="AT6" s="126" t="s">
        <v>370</v>
      </c>
      <c r="AU6" s="126" t="s">
        <v>406</v>
      </c>
      <c r="AV6" s="126" t="s">
        <v>3169</v>
      </c>
      <c r="AW6" s="126" t="s">
        <v>3170</v>
      </c>
      <c r="AX6" s="126" t="s">
        <v>3172</v>
      </c>
      <c r="AY6" s="126" t="s">
        <v>3173</v>
      </c>
      <c r="AZ6" s="126" t="s">
        <v>3178</v>
      </c>
      <c r="BA6" s="128" t="s">
        <v>3179</v>
      </c>
      <c r="BB6" s="128" t="s">
        <v>370</v>
      </c>
      <c r="BC6" s="128" t="s">
        <v>406</v>
      </c>
      <c r="BD6" s="128" t="s">
        <v>3169</v>
      </c>
      <c r="BE6" s="128" t="s">
        <v>3170</v>
      </c>
      <c r="BF6" s="128" t="s">
        <v>3172</v>
      </c>
      <c r="BG6" s="128" t="s">
        <v>3173</v>
      </c>
      <c r="BH6" s="128" t="s">
        <v>3178</v>
      </c>
      <c r="BI6" s="128" t="s">
        <v>3179</v>
      </c>
      <c r="BK6" s="144" t="s">
        <v>3180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3</v>
      </c>
      <c r="AE8" s="124" t="str">
        <f>VLOOKUP("Mexico",T,lang,FALSE)</f>
        <v>Mexico</v>
      </c>
      <c r="AF8" s="123">
        <f>COUNTIF($S$7:$T$78,"=" &amp; AE8 &amp; "_win")</f>
        <v>1</v>
      </c>
      <c r="AG8" s="123">
        <f>COUNTIF($S$7:$T$78,"=" &amp; AE8 &amp; "_draw")</f>
        <v>1</v>
      </c>
      <c r="AH8" s="123">
        <f>COUNTIF($S$7:$T$78,"=" &amp; AE8 &amp; "_lose")</f>
        <v>1</v>
      </c>
      <c r="AI8" s="123">
        <f>SUMIF($E$7:$E$78,$AE8,$F$7:$F$78) + SUMIF($H$7:$H$78,$AE8,$G$7:$G$78)</f>
        <v>4</v>
      </c>
      <c r="AJ8" s="123">
        <f>SUMIF($E$7:$E$78,$AE8,$G$7:$G$78) + SUMIF($H$7:$H$78,$AE8,$F$7:$F$78)</f>
        <v>4</v>
      </c>
      <c r="AL8" s="123">
        <f>AI8-AJ8</f>
        <v>0</v>
      </c>
      <c r="AM8" s="123">
        <f>AL8-AL12</f>
        <v>3</v>
      </c>
      <c r="AN8" s="123">
        <f>AF8*3+AG8</f>
        <v>4</v>
      </c>
      <c r="AO8" s="123">
        <f>AN8/AN12*10+BA8</f>
        <v>5</v>
      </c>
      <c r="AP8" s="123">
        <f>AO8*10000000+BI8*100+AM8/AM12*10+AI8/AI12*1++IF(AQ8=0,ROW(),AQ8)/2000000</f>
        <v>50000005.667507179</v>
      </c>
      <c r="AQ8" s="126">
        <f>VLOOKUP(AE8,db_fifarank,2,FALSE)</f>
        <v>1681.03</v>
      </c>
      <c r="AR8" s="125">
        <f>AP8/AP12</f>
        <v>0.57142856980033696</v>
      </c>
      <c r="AS8" s="125" t="str">
        <f>IF(SUM(AF8:AH11)=12,J9,"1A")</f>
        <v>Korea Republic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2</v>
      </c>
      <c r="H9" s="80" t="str">
        <f>AE15</f>
        <v>Bosnia and Herzegovina</v>
      </c>
      <c r="J9" s="30" t="str">
        <f>VLOOKUP(1,AD8:AN11,2,FALSE)</f>
        <v>Korea Republic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5 - 3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1</v>
      </c>
      <c r="V9" s="123">
        <f t="shared" si="3"/>
        <v>2</v>
      </c>
      <c r="W9" s="123">
        <f t="shared" si="4"/>
        <v>2</v>
      </c>
      <c r="X9" s="123">
        <f t="shared" si="9"/>
        <v>1</v>
      </c>
      <c r="Y9" s="123">
        <f t="shared" si="10"/>
        <v>2</v>
      </c>
      <c r="Z9" s="123">
        <f t="shared" si="11"/>
        <v>2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3</v>
      </c>
      <c r="AJ9" s="123">
        <f>SUMIF($E$7:$E$78,$AE9,$G$7:$G$78) + SUMIF($H$7:$H$78,$AE9,$F$7:$F$78)</f>
        <v>6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0.50071486499999995</v>
      </c>
      <c r="AQ9" s="126">
        <f>VLOOKUP(AE9,db_fifarank,2,FALSE)</f>
        <v>1429.73</v>
      </c>
      <c r="AR9" s="125">
        <f>AP9/AP12</f>
        <v>5.7224549350532874E-9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4 - 3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1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5</v>
      </c>
      <c r="AJ10" s="123">
        <f>SUMIF($E$7:$E$78,$AE10,$G$7:$G$78) + SUMIF($H$7:$H$78,$AE10,$F$7:$F$78)</f>
        <v>3</v>
      </c>
      <c r="AL10" s="123">
        <f>AI10-AJ10</f>
        <v>2</v>
      </c>
      <c r="AM10" s="123">
        <f>AL10-AL12</f>
        <v>5</v>
      </c>
      <c r="AN10" s="123">
        <f>AF10*3+AG10</f>
        <v>7</v>
      </c>
      <c r="AO10" s="123">
        <f>AN10/AN12*10+BA10</f>
        <v>8.75</v>
      </c>
      <c r="AP10" s="123">
        <f>AO10*10000000+BI10*100+AM10/AM12*10+AI10/AI12*1++IF(AQ10=0,ROW(),AQ10)/2000000</f>
        <v>87500009.167460993</v>
      </c>
      <c r="AQ10" s="126">
        <f>VLOOKUP(AE10,db_fifarank,2,FALSE)</f>
        <v>1588.66</v>
      </c>
      <c r="AR10" s="125">
        <f>AP10/AP12</f>
        <v>0.99999998857142991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Mexico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4 - 4</v>
      </c>
      <c r="P11" s="34">
        <f>L11*3+M11</f>
        <v>4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3</v>
      </c>
      <c r="AL11" s="123">
        <f>AI11-AJ11</f>
        <v>1</v>
      </c>
      <c r="AM11" s="123">
        <f>AL11-AL12</f>
        <v>4</v>
      </c>
      <c r="AN11" s="123">
        <f>AF11*3+AG11</f>
        <v>5</v>
      </c>
      <c r="AO11" s="123">
        <f>AN11/AN12*10+BA11</f>
        <v>6.25</v>
      </c>
      <c r="AP11" s="123">
        <f>AO11*10000000+BI11*100+AM11/AM12*10+AI11/AI12*1++IF(AQ11=0,ROW(),AQ11)/2000000</f>
        <v>62500007.334084019</v>
      </c>
      <c r="AQ11" s="126">
        <f>VLOOKUP(AE11,db_fifarank,2,FALSE)</f>
        <v>1501.38</v>
      </c>
      <c r="AR11" s="125">
        <f>AP11/AP12</f>
        <v>0.71428571510413574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3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3 - 6</v>
      </c>
      <c r="P12" s="37">
        <f>L12*3+M12</f>
        <v>0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3</v>
      </c>
      <c r="AH12" s="123">
        <f t="shared" si="12"/>
        <v>4</v>
      </c>
      <c r="AI12" s="123">
        <f>MAX(AI8:AI11)+1</f>
        <v>6</v>
      </c>
      <c r="AL12" s="123">
        <f>MIN(AL8:AL11)</f>
        <v>-3</v>
      </c>
      <c r="AM12" s="123">
        <f>MAX(AM8:AM11)+1</f>
        <v>6</v>
      </c>
      <c r="AN12" s="123">
        <f>MAX(AN8:AN11)+1</f>
        <v>8</v>
      </c>
      <c r="AO12" s="123">
        <f>MAX(AO8:AO11)+1</f>
        <v>9.75</v>
      </c>
      <c r="AP12" s="123">
        <f>MAX(AP8:AP11)+1</f>
        <v>87500010.167460993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42"/>
      <c r="BS13" s="26" t="str">
        <f>IF(BP14&gt;BP15,BL14,IF(BP14&lt;BP15,BL15,""))</f>
        <v>France</v>
      </c>
      <c r="BT13" s="62">
        <v>0</v>
      </c>
      <c r="BU13" s="64"/>
      <c r="BV13" s="27"/>
      <c r="BW13" s="113">
        <f>IF(BW12="","",BT13*1000+BU13*10+BV13)</f>
        <v>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3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5</v>
      </c>
      <c r="AJ14" s="123">
        <f>SUMIF($E$7:$E$78,$AE14,$G$7:$G$78) + SUMIF($H$7:$H$78,$AE14,$F$7:$F$78)</f>
        <v>3</v>
      </c>
      <c r="AL14" s="123">
        <f>AI14-AJ14</f>
        <v>2</v>
      </c>
      <c r="AM14" s="123">
        <f>AL14-AL18</f>
        <v>9</v>
      </c>
      <c r="AN14" s="123">
        <f>AF14*3+AG14</f>
        <v>4</v>
      </c>
      <c r="AO14" s="123">
        <f>AN14/AN18*10+BA14</f>
        <v>4.9806451612903224</v>
      </c>
      <c r="AP14" s="123">
        <f>AO14*10000000+BI14*100+AM14/AM18*10+AI14/AI18*1++IF(AQ14=0,ROW(),AQ14)/2000000</f>
        <v>49806556.821054734</v>
      </c>
      <c r="AQ14" s="126">
        <f>VLOOKUP(AE14,db_fifarank,2,FALSE)</f>
        <v>1556.48</v>
      </c>
      <c r="AR14" s="125">
        <f>AP14/AP18</f>
        <v>0.55340611837858911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1</v>
      </c>
      <c r="AV14" s="126" cm="1">
        <f t="array" ref="AV14">SUMPRODUCT(($E$7:$E$78=AE14)*($U$7:$U$78)*($F$7:$F$78))+SUMPRODUCT(($H$7:$H$78=AE14)*($U$7:$U$78)*($G$7:$G$78))</f>
        <v>2</v>
      </c>
      <c r="AW14" s="126" cm="1">
        <f t="array" ref="AW14">SUMPRODUCT(($E$7:$E$78=AE14)*($U$7:$U$78)*($G$7:$G$78))+SUMPRODUCT(($H$7:$H$78=AE14)*($U$7:$U$78)*($F$7:$F$78))</f>
        <v>2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50.666666666666664</v>
      </c>
      <c r="BA14" s="126">
        <f>AZ14/AZ18</f>
        <v>0.98064516129032253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1</v>
      </c>
      <c r="BD14" s="126" cm="1">
        <f t="array" ref="BD14">SUMPRODUCT(($E$7:$E$78=AE14)*($X$7:$X$78)*($F$7:$F$78))+SUMPRODUCT(($H$7:$H$78=AE14)*($X$7:$X$78)*($G$7:$G$78))</f>
        <v>2</v>
      </c>
      <c r="BE14" s="126" cm="1">
        <f t="array" ref="BE14">SUMPRODUCT(($E$7:$E$78=AE14)*($X$7:$X$78)*($G$7:$G$78))+SUMPRODUCT(($H$7:$H$78=AE14)*($X$7:$X$78)*($F$7:$F$78))</f>
        <v>2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50.666666666666664</v>
      </c>
      <c r="BI14" s="126">
        <f>BH14/BH18</f>
        <v>0.98064516129032253</v>
      </c>
      <c r="BK14" s="14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6 - 0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4</v>
      </c>
      <c r="AL15" s="123">
        <f>AI15-AJ15</f>
        <v>-1</v>
      </c>
      <c r="AM15" s="123">
        <f>AL15-AL18</f>
        <v>6</v>
      </c>
      <c r="AN15" s="123">
        <f>AF15*3+AG15</f>
        <v>4</v>
      </c>
      <c r="AO15" s="123">
        <f>AN15/AN18*10+BA15</f>
        <v>4.9806451612903224</v>
      </c>
      <c r="AP15" s="123">
        <f>AO15*10000000+BI15*100+AM15/AM18*10+AI15/AI18*1++IF(AQ15=0,ROW(),AQ15)/2000000</f>
        <v>49806554.392397977</v>
      </c>
      <c r="AQ15" s="126">
        <f>VLOOKUP(AE15,db_fifarank,2,FALSE)</f>
        <v>1385.84</v>
      </c>
      <c r="AR15" s="125">
        <f>AP15/AP18</f>
        <v>0.55340609139351737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2</v>
      </c>
      <c r="AW15" s="126" cm="1">
        <f t="array" ref="AW15">SUMPRODUCT(($E$7:$E$78=AE15)*($U$7:$U$78)*($G$7:$G$78))+SUMPRODUCT(($H$7:$H$78=AE15)*($U$7:$U$78)*($F$7:$F$78))</f>
        <v>2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50.666666666666664</v>
      </c>
      <c r="BA15" s="126">
        <f>AZ15/AZ18</f>
        <v>0.98064516129032253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2</v>
      </c>
      <c r="BE15" s="126" cm="1">
        <f t="array" ref="BE15">SUMPRODUCT(($E$7:$E$78=AE15)*($X$7:$X$78)*($G$7:$G$78))+SUMPRODUCT(($H$7:$H$78=AE15)*($X$7:$X$78)*($F$7:$F$78))</f>
        <v>2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50.666666666666664</v>
      </c>
      <c r="BI15" s="126">
        <f>BH15/BH18</f>
        <v>0.98064516129032253</v>
      </c>
      <c r="BK15" s="14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7</v>
      </c>
      <c r="G16" s="20">
        <v>1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5 - 3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7</v>
      </c>
      <c r="AL16" s="123">
        <f>AI16-AJ16</f>
        <v>-7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8.0831101102710289E-12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Germany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3 - 4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1</v>
      </c>
      <c r="W17" s="123">
        <f t="shared" si="4"/>
        <v>1</v>
      </c>
      <c r="X17" s="123">
        <f t="shared" si="9"/>
        <v>1</v>
      </c>
      <c r="Y17" s="123">
        <f t="shared" si="10"/>
        <v>1</v>
      </c>
      <c r="Z17" s="123">
        <f t="shared" si="11"/>
        <v>1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0</v>
      </c>
      <c r="AL17" s="123">
        <f>AI17-AJ17</f>
        <v>6</v>
      </c>
      <c r="AM17" s="123">
        <f>AL17-AL18</f>
        <v>13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90000010.143681839</v>
      </c>
      <c r="AQ17" s="126">
        <f>VLOOKUP(AE17,db_fifarank,2,FALSE)</f>
        <v>1649.4</v>
      </c>
      <c r="AR17" s="125">
        <f>AP17/AP18</f>
        <v>0.9999999888888903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0 - 7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4</v>
      </c>
      <c r="AI18" s="123">
        <f>MAX(AI14:AI17)+1</f>
        <v>7</v>
      </c>
      <c r="AL18" s="123">
        <f>MIN(AL14:AL17)</f>
        <v>-7</v>
      </c>
      <c r="AM18" s="123">
        <f>MAX(AM14:AM17)+1</f>
        <v>14</v>
      </c>
      <c r="AN18" s="123">
        <f>MAX(AN14:AN17)+1</f>
        <v>10</v>
      </c>
      <c r="AO18" s="123">
        <f>MAX(AO14:AO17)+1</f>
        <v>10</v>
      </c>
      <c r="AP18" s="123">
        <f>MAX(AP14:AP17)+1</f>
        <v>90000011.143681839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3</v>
      </c>
      <c r="AW18" s="126">
        <f>MAX(AW14:AW17)-MIN(AW14:AW17)+1</f>
        <v>3</v>
      </c>
      <c r="AY18" s="126">
        <f>MAX(AY14:AY17)-MIN(AY14:AY17)+1</f>
        <v>1</v>
      </c>
      <c r="AZ18" s="126">
        <f>MAX(AZ14:AZ17)+1</f>
        <v>51.666666666666664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3</v>
      </c>
      <c r="BE18" s="126">
        <f>MAX(BE14:BE17)-MIN(BE14:BE17)+1</f>
        <v>3</v>
      </c>
      <c r="BG18" s="126">
        <f>MAX(BG14:BG17)-MIN(BG14:BG17)+1</f>
        <v>1</v>
      </c>
      <c r="BH18" s="126">
        <f>MAX(BH14:BH17)+1</f>
        <v>51.666666666666664</v>
      </c>
      <c r="BK18" s="141">
        <v>73</v>
      </c>
      <c r="BL18" s="24" t="str">
        <f>AS9</f>
        <v>Czech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3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6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11</v>
      </c>
      <c r="AJ20" s="123">
        <f>SUMIF($E$7:$E$78,$AE20,$G$7:$G$78) + SUMIF($H$7:$H$78,$AE20,$F$7:$F$78)</f>
        <v>3</v>
      </c>
      <c r="AL20" s="123">
        <f>AI20-AJ20</f>
        <v>8</v>
      </c>
      <c r="AM20" s="123">
        <f>AL20-AL24</f>
        <v>21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97306560.140421152</v>
      </c>
      <c r="AQ20" s="126">
        <f>VLOOKUP(AE20,db_fifarank,2,FALSE)</f>
        <v>1761.16</v>
      </c>
      <c r="AR20" s="125">
        <f>AP20/AP24</f>
        <v>0.9999999897232007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Canada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11 - 3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8</v>
      </c>
      <c r="AJ21" s="123">
        <f>SUMIF($E$7:$E$78,$AE21,$G$7:$G$78) + SUMIF($H$7:$H$78,$AE21,$F$7:$F$78)</f>
        <v>3</v>
      </c>
      <c r="AL21" s="123">
        <f>AI21-AJ21</f>
        <v>5</v>
      </c>
      <c r="AM21" s="123">
        <f>AL21-AL24</f>
        <v>18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97306558.52678214</v>
      </c>
      <c r="AQ21" s="126">
        <f>VLOOKUP(AE21,db_fifarank,2,FALSE)</f>
        <v>1755.87</v>
      </c>
      <c r="AR21" s="125">
        <f>AP21/AP24</f>
        <v>0.99999997314015643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4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8 - 3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13</v>
      </c>
      <c r="AL22" s="123">
        <f>AI22-AJ22</f>
        <v>-13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6.6373222157957007E-12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Japan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5</v>
      </c>
      <c r="AL23" s="123">
        <f>AI23-AJ23</f>
        <v>0</v>
      </c>
      <c r="AM23" s="123">
        <f>AL23-AL24</f>
        <v>13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37500006.326506749</v>
      </c>
      <c r="AQ23" s="126">
        <f>VLOOKUP(AE23,db_fifarank,2,FALSE)</f>
        <v>1498.35</v>
      </c>
      <c r="AR23" s="125">
        <f>AP23/AP24</f>
        <v>0.38538003899234752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Germany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1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0 - 13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12</v>
      </c>
      <c r="AL24" s="123">
        <f>MIN(AL20:AL23)</f>
        <v>-13</v>
      </c>
      <c r="AM24" s="123">
        <f>MAX(AM20:AM23)+1</f>
        <v>22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97306561.140421152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2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1</v>
      </c>
      <c r="AL26" s="123">
        <f>AI26-AJ26</f>
        <v>4</v>
      </c>
      <c r="AM26" s="123">
        <f>AL26-AL30</f>
        <v>8</v>
      </c>
      <c r="AN26" s="123">
        <f>AF26*3+AG26</f>
        <v>7</v>
      </c>
      <c r="AO26" s="123">
        <f>AN26/AN30*10+BA26</f>
        <v>9.7305825242718456</v>
      </c>
      <c r="AP26" s="123">
        <f>AO26*10000000+BI26*100+AM26/AM30*10+AI26/AI30*1++IF(AQ26=0,ROW(),AQ26)/2000000</f>
        <v>97305932.815696344</v>
      </c>
      <c r="AQ26" s="126">
        <f>VLOOKUP(AE26,db_fifarank,2,FALSE)</f>
        <v>1673.13</v>
      </c>
      <c r="AR26" s="125">
        <f>AP26/AP30</f>
        <v>0.99999998972313442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1</v>
      </c>
      <c r="AW26" s="126" cm="1">
        <f t="array" ref="AW26">SUMPRODUCT(($E$7:$E$78=AE26)*($U$7:$U$78)*($G$7:$G$78))+SUMPRODUCT(($H$7:$H$78=AE26)*($U$7:$U$78)*($F$7:$F$78))</f>
        <v>1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50.5</v>
      </c>
      <c r="BA26" s="126">
        <f>AZ26/AZ30</f>
        <v>0.98058252427184467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1</v>
      </c>
      <c r="BE26" s="126" cm="1">
        <f t="array" ref="BE26">SUMPRODUCT(($E$7:$E$78=AE26)*($X$7:$X$78)*($G$7:$G$78))+SUMPRODUCT(($H$7:$H$78=AE26)*($X$7:$X$78)*($F$7:$F$78))</f>
        <v>1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50.5</v>
      </c>
      <c r="BI26" s="126">
        <f>BH26/BH30</f>
        <v>0.98058252427184467</v>
      </c>
      <c r="BK26" s="141">
        <v>83</v>
      </c>
      <c r="BL26" s="24" t="str">
        <f>AS69</f>
        <v>Uzbekistan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3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5 - 1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0</v>
      </c>
      <c r="AH27" s="123">
        <f>COUNTIF($S$7:$T$78,"=" &amp; AE27 &amp; "_lose")</f>
        <v>3</v>
      </c>
      <c r="AI27" s="123">
        <f>SUMIF($E$7:$E$78,$AE27,$F$7:$F$78) + SUMIF($H$7:$H$78,$AE27,$G$7:$G$78)</f>
        <v>3</v>
      </c>
      <c r="AJ27" s="123">
        <f>SUMIF($E$7:$E$78,$AE27,$G$7:$G$78) + SUMIF($H$7:$H$78,$AE27,$F$7:$F$78)</f>
        <v>7</v>
      </c>
      <c r="AL27" s="123">
        <f>AI27-AJ27</f>
        <v>-4</v>
      </c>
      <c r="AM27" s="123">
        <f>AL27-AL30</f>
        <v>0</v>
      </c>
      <c r="AN27" s="123">
        <f>AF27*3+AG27</f>
        <v>0</v>
      </c>
      <c r="AO27" s="123">
        <f>AN27/AN30*10+BA27</f>
        <v>0</v>
      </c>
      <c r="AP27" s="123">
        <f>AO27*10000000+BI27*100+AM27/AM30*10+AI27/AI30*1++IF(AQ27=0,ROW(),AQ27)/2000000</f>
        <v>0.37575175</v>
      </c>
      <c r="AQ27" s="126">
        <f>VLOOKUP(AE27,db_fifarank,2,FALSE)</f>
        <v>1503.5</v>
      </c>
      <c r="AR27" s="125">
        <f>AP27/AP30</f>
        <v>3.8615502186300147E-9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Ghana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2</v>
      </c>
      <c r="M28" s="23">
        <f>VLOOKUP(2,AD26:AN29,4,FALSE)</f>
        <v>1</v>
      </c>
      <c r="N28" s="23">
        <f>VLOOKUP(2,AD26:AN29,5,FALSE)</f>
        <v>0</v>
      </c>
      <c r="O28" s="23" t="str">
        <f>VLOOKUP(2,AD26:AN29,6,FALSE) &amp; " - " &amp; VLOOKUP(2,AD26:AN29,7,FALSE)</f>
        <v>7 - 4</v>
      </c>
      <c r="P28" s="34">
        <f>L28*3+M28</f>
        <v>7</v>
      </c>
      <c r="R28" s="123">
        <f>DATE(2026,6,17)+TIME(9,0,0)+gmt_delta</f>
        <v>46190.916666666664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6</v>
      </c>
      <c r="AL28" s="123">
        <f>AI28-AJ28</f>
        <v>-3</v>
      </c>
      <c r="AM28" s="123">
        <f>AL28-AL30</f>
        <v>1</v>
      </c>
      <c r="AN28" s="123">
        <f>AF28*3+AG28</f>
        <v>3</v>
      </c>
      <c r="AO28" s="123">
        <f>AN28/AN30*10+BA28</f>
        <v>3.75</v>
      </c>
      <c r="AP28" s="123">
        <f>AO28*10000000+BI28*100+AM28/AM30*10+AI28/AI30*1++IF(AQ28=0,ROW(),AQ28)/2000000</f>
        <v>37500001.486901447</v>
      </c>
      <c r="AQ28" s="126">
        <f>VLOOKUP(AE28,db_fifarank,2,FALSE)</f>
        <v>1580.67</v>
      </c>
      <c r="AR28" s="125">
        <f>AP28/AP30</f>
        <v>0.38538247377522572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Uzbekistan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5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3 - 6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7</v>
      </c>
      <c r="AJ29" s="123">
        <f>SUMIF($E$7:$E$78,$AE29,$G$7:$G$78) + SUMIF($H$7:$H$78,$AE29,$F$7:$F$78)</f>
        <v>4</v>
      </c>
      <c r="AL29" s="123">
        <f>AI29-AJ29</f>
        <v>3</v>
      </c>
      <c r="AM29" s="123">
        <f>AL29-AL30</f>
        <v>7</v>
      </c>
      <c r="AN29" s="123">
        <f>AF29*3+AG29</f>
        <v>7</v>
      </c>
      <c r="AO29" s="123">
        <f>AN29/AN30*10+BA29</f>
        <v>9.7305825242718456</v>
      </c>
      <c r="AP29" s="123">
        <f>AO29*10000000+BI29*100+AM29/AM30*10+AI29/AI30*1++IF(AQ29=0,ROW(),AQ29)/2000000</f>
        <v>97305931.95454818</v>
      </c>
      <c r="AQ29" s="126">
        <f>VLOOKUP(AE29,db_fifarank,2,FALSE)</f>
        <v>1599.04</v>
      </c>
      <c r="AR29" s="125">
        <f>AP29/AP30</f>
        <v>0.9999999808732305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1</v>
      </c>
      <c r="AW29" s="126" cm="1">
        <f t="array" ref="AW29">SUMPRODUCT(($E$7:$E$78=AE29)*($U$7:$U$78)*($G$7:$G$78))+SUMPRODUCT(($H$7:$H$78=AE29)*($U$7:$U$78)*($F$7:$F$78))</f>
        <v>1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50.5</v>
      </c>
      <c r="BA29" s="126">
        <f>AZ29/AZ30</f>
        <v>0.98058252427184467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1</v>
      </c>
      <c r="BE29" s="126" cm="1">
        <f t="array" ref="BE29">SUMPRODUCT(($E$7:$E$78=AE29)*($X$7:$X$78)*($G$7:$G$78))+SUMPRODUCT(($H$7:$H$78=AE29)*($X$7:$X$78)*($F$7:$F$78))</f>
        <v>1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50.5</v>
      </c>
      <c r="BI29" s="126">
        <f>BH29/BH30</f>
        <v>0.98058252427184467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4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2</v>
      </c>
      <c r="G30" s="20">
        <v>1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3 - 7</v>
      </c>
      <c r="P30" s="37">
        <f>L30*3+M30</f>
        <v>0</v>
      </c>
      <c r="R30" s="123">
        <f>DATE(2026,6,17)+TIME(15,0,0)+gmt_delta</f>
        <v>46191.166666666664</v>
      </c>
      <c r="S30" s="127" t="str">
        <f t="shared" si="1"/>
        <v>Uzbekistan_win</v>
      </c>
      <c r="T30" s="127" t="str">
        <f t="shared" si="2"/>
        <v>Colombia_lose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1</v>
      </c>
      <c r="AF30" s="123">
        <f t="shared" ref="AF30:AH30" si="15">MAX(AF26:AF29)-MIN(AF26:AF29)+1</f>
        <v>3</v>
      </c>
      <c r="AG30" s="123">
        <f t="shared" si="15"/>
        <v>2</v>
      </c>
      <c r="AH30" s="123">
        <f t="shared" si="15"/>
        <v>4</v>
      </c>
      <c r="AI30" s="123">
        <f>MAX(AI26:AI29)+1</f>
        <v>8</v>
      </c>
      <c r="AL30" s="123">
        <f>MIN(AL26:AL29)</f>
        <v>-4</v>
      </c>
      <c r="AM30" s="123">
        <f>MAX(AM26:AM29)+1</f>
        <v>9</v>
      </c>
      <c r="AN30" s="123">
        <f>MAX(AN26:AN29)+1</f>
        <v>8</v>
      </c>
      <c r="AO30" s="123">
        <f>MAX(AO26:AO29)+1</f>
        <v>10.730582524271846</v>
      </c>
      <c r="AP30" s="123">
        <f>MAX(AP26:AP29)+1</f>
        <v>97305933.815696344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2</v>
      </c>
      <c r="AW30" s="126">
        <f>MAX(AW26:AW29)-MIN(AW26:AW29)+1</f>
        <v>2</v>
      </c>
      <c r="AY30" s="126">
        <f>MAX(AY26:AY29)-MIN(AY26:AY29)+1</f>
        <v>1</v>
      </c>
      <c r="AZ30" s="126">
        <f>MAX(AZ26:AZ29)+1</f>
        <v>51.5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2</v>
      </c>
      <c r="BE30" s="126">
        <f>MAX(BE26:BE29)-MIN(BE26:BE29)+1</f>
        <v>2</v>
      </c>
      <c r="BG30" s="126">
        <f>MAX(BG26:BG29)-MIN(BG26:BG29)+1</f>
        <v>1</v>
      </c>
      <c r="BH30" s="126">
        <f>MAX(BH26:BH29)+1</f>
        <v>51.5</v>
      </c>
      <c r="BK30" s="14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14</v>
      </c>
      <c r="AJ32" s="123">
        <f>SUMIF($E$7:$E$78,$AE32,$G$7:$G$78) + SUMIF($H$7:$H$78,$AE32,$F$7:$F$78)</f>
        <v>2</v>
      </c>
      <c r="AL32" s="123">
        <f>AI32-AJ32</f>
        <v>12</v>
      </c>
      <c r="AM32" s="123">
        <f>AL32-AL36</f>
        <v>24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90000010.534198523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3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14 - 2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14</v>
      </c>
      <c r="AL33" s="123">
        <f>AI33-AJ33</f>
        <v>-12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0.13398065833333334</v>
      </c>
      <c r="AQ33" s="126">
        <f>VLOOKUP(AE33,db_fifarank,2,FALSE)</f>
        <v>1294.6500000000001</v>
      </c>
      <c r="AR33" s="125">
        <f>AP33/AP36</f>
        <v>1.4886737906963811E-9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2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7 - 5</v>
      </c>
      <c r="P34" s="34">
        <f>L34*3+M34</f>
        <v>4</v>
      </c>
      <c r="R34" s="123">
        <f>DATE(2026,6,18)+TIME(14,0,0)+gmt_delta</f>
        <v>46192.125</v>
      </c>
      <c r="S34" s="127" t="str">
        <f t="shared" si="1"/>
        <v>Mexico_lose</v>
      </c>
      <c r="T34" s="127" t="str">
        <f t="shared" si="2"/>
        <v>Korea Republic_win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-1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7</v>
      </c>
      <c r="AJ34" s="123">
        <f>SUMIF($E$7:$E$78,$AE34,$G$7:$G$78) + SUMIF($H$7:$H$78,$AE34,$F$7:$F$78)</f>
        <v>5</v>
      </c>
      <c r="AL34" s="123">
        <f>AI34-AJ34</f>
        <v>2</v>
      </c>
      <c r="AM34" s="123">
        <f>AL34-AL36</f>
        <v>14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49805929.368404031</v>
      </c>
      <c r="AQ34" s="126">
        <f>VLOOKUP(AE34,db_fifarank,2,FALSE)</f>
        <v>1532.98</v>
      </c>
      <c r="AR34" s="125">
        <f>AP34/AP36</f>
        <v>0.5533991442820938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4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6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3 - 5</v>
      </c>
      <c r="P35" s="34">
        <f>L35*3+M35</f>
        <v>4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5</v>
      </c>
      <c r="AL35" s="123">
        <f>AI35-AJ35</f>
        <v>-2</v>
      </c>
      <c r="AM35" s="123">
        <f>AL35-AL36</f>
        <v>10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49805927.501768261</v>
      </c>
      <c r="AQ35" s="126">
        <f>VLOOKUP(AE35,db_fifarank,2,FALSE)</f>
        <v>1594.78</v>
      </c>
      <c r="AR35" s="125">
        <f>AP35/AP36</f>
        <v>0.55339912354169896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2 - 14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15</v>
      </c>
      <c r="AL36" s="123">
        <f>MIN(AL32:AL35)</f>
        <v>-12</v>
      </c>
      <c r="AM36" s="123">
        <f>MAX(AM32:AM35)+1</f>
        <v>25</v>
      </c>
      <c r="AN36" s="123">
        <f>MAX(AN32:AN35)+1</f>
        <v>10</v>
      </c>
      <c r="AO36" s="123">
        <f>MAX(AO32:AO35)+1</f>
        <v>10</v>
      </c>
      <c r="AP36" s="123">
        <f>MAX(AP32:AP35)+1</f>
        <v>90000011.534198523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0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4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3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2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4</v>
      </c>
      <c r="AJ38" s="123">
        <f>SUMIF($E$7:$E$78,$AE38,$G$7:$G$78) + SUMIF($H$7:$H$78,$AE38,$F$7:$F$78)</f>
        <v>1</v>
      </c>
      <c r="AL38" s="123">
        <f>AI38-AJ38</f>
        <v>3</v>
      </c>
      <c r="AM38" s="123">
        <f>AL38-AL42</f>
        <v>9</v>
      </c>
      <c r="AN38" s="123">
        <f>AF38*3+AG38</f>
        <v>7</v>
      </c>
      <c r="AO38" s="123">
        <f>AN38/AN42*10+BA38</f>
        <v>9.7305825242718456</v>
      </c>
      <c r="AP38" s="123">
        <f>AO38*10000000+BI38*100+AM38/AM42*10+AI38/AI42*1++IF(AQ38=0,ROW(),AQ38)/2000000</f>
        <v>97305932.873278379</v>
      </c>
      <c r="AQ38" s="126">
        <f>VLOOKUP(AE38,db_fifarank,2,FALSE)</f>
        <v>1757.87</v>
      </c>
      <c r="AR38" s="125">
        <f>AP38/AP42</f>
        <v>0.99999998678738777</v>
      </c>
      <c r="AS38" s="125" t="str">
        <f>IF(SUM(AF38:AH41)=12,J39,"1F")</f>
        <v>Japan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1</v>
      </c>
      <c r="AW38" s="126" cm="1">
        <f t="array" ref="AW38">SUMPRODUCT(($E$7:$E$78=AE38)*($U$7:$U$78)*($G$7:$G$78))+SUMPRODUCT(($H$7:$H$78=AE38)*($U$7:$U$78)*($F$7:$F$78))</f>
        <v>1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50.5</v>
      </c>
      <c r="BA38" s="126">
        <f>AZ38/AZ42</f>
        <v>0.98058252427184467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1</v>
      </c>
      <c r="BE38" s="126" cm="1">
        <f t="array" ref="BE38">SUMPRODUCT(($E$7:$E$78=AE38)*($X$7:$X$78)*($G$7:$G$78))+SUMPRODUCT(($H$7:$H$78=AE38)*($X$7:$X$78)*($F$7:$F$78))</f>
        <v>1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50.5</v>
      </c>
      <c r="BI38" s="126">
        <f>BH38/BH42</f>
        <v>0.98058252427184467</v>
      </c>
      <c r="BK38" s="14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Argentina</v>
      </c>
      <c r="CO38" s="62">
        <v>0</v>
      </c>
      <c r="CP38" s="64"/>
      <c r="CQ38" s="27"/>
      <c r="CR38" s="111">
        <f>IF(CR37="","",CO38*1000+CP38*10+CQ38)</f>
        <v>0</v>
      </c>
    </row>
    <row r="39" spans="1:96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Japan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6 - 3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1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6</v>
      </c>
      <c r="AJ39" s="123">
        <f>SUMIF($E$7:$E$78,$AE39,$G$7:$G$78) + SUMIF($H$7:$H$78,$AE39,$F$7:$F$78)</f>
        <v>3</v>
      </c>
      <c r="AL39" s="123">
        <f>AI39-AJ39</f>
        <v>3</v>
      </c>
      <c r="AM39" s="123">
        <f>AL39-AL42</f>
        <v>9</v>
      </c>
      <c r="AN39" s="123">
        <f>AF39*3+AG39</f>
        <v>7</v>
      </c>
      <c r="AO39" s="123">
        <f>AN39/AN42*10+BA39</f>
        <v>9.7305825242718456</v>
      </c>
      <c r="AP39" s="123">
        <f>AO39*10000000+BI39*100+AM39/AM42*10+AI39/AI42*1++IF(AQ39=0,ROW(),AQ39)/2000000</f>
        <v>97305933.158943951</v>
      </c>
      <c r="AQ39" s="126">
        <f>VLOOKUP(AE39,db_fifarank,2,FALSE)</f>
        <v>1660.43</v>
      </c>
      <c r="AR39" s="125">
        <f>AP39/AP42</f>
        <v>0.99999998972313453</v>
      </c>
      <c r="AS39" s="125" t="str">
        <f>IF(SUM(AF38:AH41)=12,J40,"2F")</f>
        <v>Netherlands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42"/>
      <c r="BL39" s="26" t="str">
        <f>IF(group_round_completed,VLOOKUP('3rd places'!H3,AK80:AS91,9,FALSE),"3rd Group A/E/H/I/J")</f>
        <v>Mexico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Netherlands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4 - 1</v>
      </c>
      <c r="P40" s="34">
        <f>L40*3+M40</f>
        <v>7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3</v>
      </c>
      <c r="AL40" s="123">
        <f>AI40-AJ40</f>
        <v>0</v>
      </c>
      <c r="AM40" s="123">
        <f>AL40-AL42</f>
        <v>6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37500006.429328807</v>
      </c>
      <c r="AQ40" s="126">
        <f>VLOOKUP(AE40,db_fifarank,2,FALSE)</f>
        <v>1514.77</v>
      </c>
      <c r="AR40" s="125">
        <f>AP40/AP42</f>
        <v>0.38538252320844674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1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3 - 3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1</v>
      </c>
      <c r="AJ41" s="123">
        <f>SUMIF($E$7:$E$78,$AE41,$G$7:$G$78) + SUMIF($H$7:$H$78,$AE41,$F$7:$F$78)</f>
        <v>7</v>
      </c>
      <c r="AL41" s="123">
        <f>AI41-AJ41</f>
        <v>-6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0.14359866785714284</v>
      </c>
      <c r="AQ41" s="126">
        <f>VLOOKUP(AE41,db_fifarank,2,FALSE)</f>
        <v>1483.05</v>
      </c>
      <c r="AR41" s="125">
        <f>AP41/AP42</f>
        <v>1.4757441989363386E-9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3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1 - 7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7</v>
      </c>
      <c r="AL42" s="123">
        <f>MIN(AL38:AL41)</f>
        <v>-6</v>
      </c>
      <c r="AM42" s="123">
        <f>MAX(AM38:AM41)+1</f>
        <v>10</v>
      </c>
      <c r="AN42" s="123">
        <f>MAX(AN38:AN41)+1</f>
        <v>8</v>
      </c>
      <c r="AO42" s="123">
        <f>MAX(AO38:AO41)+1</f>
        <v>10.730582524271846</v>
      </c>
      <c r="AP42" s="123">
        <f>MAX(AP38:AP41)+1</f>
        <v>97305934.158943951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4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5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Netherlands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10</v>
      </c>
      <c r="AJ44" s="123">
        <f>SUMIF($E$7:$E$78,$AE44,$G$7:$G$78) + SUMIF($H$7:$H$78,$AE44,$F$7:$F$78)</f>
        <v>3</v>
      </c>
      <c r="AL44" s="123">
        <f>AI44-AJ44</f>
        <v>7</v>
      </c>
      <c r="AM44" s="123">
        <f>AL44-AL48</f>
        <v>13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90000010.195672542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3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10 - 3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3</v>
      </c>
      <c r="AL45" s="123">
        <f>AI45-AJ45</f>
        <v>2</v>
      </c>
      <c r="AM45" s="123">
        <f>AL45-AL48</f>
        <v>8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60000006.169612788</v>
      </c>
      <c r="AQ45" s="126">
        <f>VLOOKUP(AE45,db_fifarank,2,FALSE)</f>
        <v>1563.24</v>
      </c>
      <c r="AR45" s="125">
        <f>AP45/AP48</f>
        <v>0.66666665228701394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4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47"/>
      <c r="CN45" s="148"/>
      <c r="CO45" s="148"/>
      <c r="CP45" s="148"/>
      <c r="CQ45" s="149"/>
    </row>
    <row r="46" spans="1:96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5 - 3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5</v>
      </c>
      <c r="AL46" s="123">
        <f>AI46-AJ46</f>
        <v>-3</v>
      </c>
      <c r="AM46" s="123">
        <f>AL46-AL48</f>
        <v>3</v>
      </c>
      <c r="AN46" s="123">
        <f>AF46*3+AG46</f>
        <v>3</v>
      </c>
      <c r="AO46" s="123">
        <f>AN46/AN48*10+BA46</f>
        <v>3</v>
      </c>
      <c r="AP46" s="123">
        <f>AO46*10000000+BI46*100+AM46/AM48*10+AI46/AI48*1++IF(AQ46=0,ROW(),AQ46)/2000000</f>
        <v>30000002.325482976</v>
      </c>
      <c r="AQ46" s="126">
        <f>VLOOKUP(AE46,db_fifarank,2,FALSE)</f>
        <v>1615.3</v>
      </c>
      <c r="AR46" s="125">
        <f>AP46/AP48</f>
        <v>0.33333331770658114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1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2 - 5</v>
      </c>
      <c r="P47" s="34">
        <f>L47*3+M47</f>
        <v>3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Norway_draw</v>
      </c>
      <c r="T47" s="127" t="str">
        <f t="shared" ref="T47:T78" si="20">IF(S47="","",IF(F47&lt;G47,H47&amp;"_win",IF(F47&gt;G47,H47&amp;"_lose",H47&amp;"_draw")))</f>
        <v>Senegal_draw</v>
      </c>
      <c r="U47" s="123">
        <f t="shared" si="8"/>
        <v>1</v>
      </c>
      <c r="V47" s="123">
        <f t="shared" ref="V47:V78" si="21">U47*F47</f>
        <v>1</v>
      </c>
      <c r="W47" s="123">
        <f t="shared" ref="W47:W78" si="22">U47*G47</f>
        <v>1</v>
      </c>
      <c r="X47" s="123">
        <f t="shared" si="9"/>
        <v>1</v>
      </c>
      <c r="Y47" s="123">
        <f t="shared" si="10"/>
        <v>1</v>
      </c>
      <c r="Z47" s="123">
        <f t="shared" si="11"/>
        <v>1</v>
      </c>
      <c r="AA47" s="123">
        <f t="shared" si="17"/>
        <v>0</v>
      </c>
      <c r="AB47" s="123">
        <f t="shared" ref="AB47:AB78" si="23">IF(OR(F47="",G47=""),"",IF(F47&gt;G47,1,IF(F47&lt;G47,-1,0)))</f>
        <v>0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7</v>
      </c>
      <c r="AL47" s="123">
        <f>AI47-AJ47</f>
        <v>-6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9.1549875909090916E-2</v>
      </c>
      <c r="AQ47" s="126">
        <f>VLOOKUP(AE47,db_fifarank,2,FALSE)</f>
        <v>1281.57</v>
      </c>
      <c r="AR47" s="125">
        <f>AP47/AP48</f>
        <v>1.0172207168957874E-9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7</v>
      </c>
      <c r="G48" s="20">
        <v>2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1 - 7</v>
      </c>
      <c r="P48" s="37">
        <f>L48*3+M48</f>
        <v>0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11</v>
      </c>
      <c r="AL48" s="123">
        <f>MIN(AL44:AL47)</f>
        <v>-6</v>
      </c>
      <c r="AM48" s="123">
        <f>MAX(AM44:AM47)+1</f>
        <v>14</v>
      </c>
      <c r="AN48" s="123">
        <f>MAX(AN44:AN47)+1</f>
        <v>10</v>
      </c>
      <c r="AO48" s="123">
        <f>MAX(AO44:AO47)+1</f>
        <v>10</v>
      </c>
      <c r="AP48" s="123">
        <f>MAX(AP44:AP47)+1</f>
        <v>90000011.195672542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0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0</v>
      </c>
      <c r="CK48" s="114"/>
      <c r="CL48" s="112"/>
      <c r="CM48" s="141">
        <v>103</v>
      </c>
      <c r="CN48" s="24" t="str">
        <f>IF(CK23&gt;CK24,CG24,IF(CK23&lt;CK24,CG23,""))</f>
        <v>Germany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/>
      <c r="CC49" s="27"/>
      <c r="CD49" s="113">
        <f>IF(CD48="","",CA49*1000+CB49*10+CC49)</f>
        <v>1000</v>
      </c>
      <c r="CK49" s="114"/>
      <c r="CL49" s="115"/>
      <c r="CM49" s="142"/>
      <c r="CN49" s="26" t="str">
        <f>IF(CK55&gt;CK56,CG56,IF(CK55&lt;CK56,CG55,""))</f>
        <v>England</v>
      </c>
      <c r="CO49" s="62">
        <v>1</v>
      </c>
      <c r="CP49" s="64"/>
      <c r="CQ49" s="27"/>
      <c r="CR49" s="111">
        <f>IF(CR48="","",CO49*1000+CP49*10+CQ49)</f>
        <v>1000</v>
      </c>
    </row>
    <row r="50" spans="1:96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1</v>
      </c>
      <c r="G50" s="20">
        <v>3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10</v>
      </c>
      <c r="AJ50" s="123">
        <f>SUMIF($E$7:$E$78,$AE50,$G$7:$G$78) + SUMIF($H$7:$H$78,$AE50,$F$7:$F$78)</f>
        <v>1</v>
      </c>
      <c r="AL50" s="123">
        <f>AI50-AJ50</f>
        <v>9</v>
      </c>
      <c r="AM50" s="123">
        <f>AL50-AL54</f>
        <v>20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90000010.433838636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Korea Republic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10 - 1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13</v>
      </c>
      <c r="AL51" s="123">
        <f>AI51-AJ51</f>
        <v>-11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0.18250124681818183</v>
      </c>
      <c r="AQ51" s="126">
        <f>VLOOKUP(AE51,db_fifarank,2,FALSE)</f>
        <v>1366.13</v>
      </c>
      <c r="AR51" s="125">
        <f>AP51/AP54</f>
        <v>2.0277913736971385E-9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Ecuador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9 - 4</v>
      </c>
      <c r="P52" s="34">
        <f>L52*3+M52</f>
        <v>6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3</v>
      </c>
      <c r="AJ52" s="123">
        <f>SUMIF($E$7:$E$78,$AE52,$G$7:$G$78) + SUMIF($H$7:$H$78,$AE52,$F$7:$F$78)</f>
        <v>6</v>
      </c>
      <c r="AL52" s="123">
        <f>AI52-AJ52</f>
        <v>-3</v>
      </c>
      <c r="AM52" s="123">
        <f>AL52-AL54</f>
        <v>8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30000004.082961798</v>
      </c>
      <c r="AQ52" s="126">
        <f>VLOOKUP(AE52,db_fifarank,2,FALSE)</f>
        <v>1421.43</v>
      </c>
      <c r="AR52" s="125">
        <f>AP52/AP54</f>
        <v>0.33333333635202467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Korea Republic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2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3 - 6</v>
      </c>
      <c r="P53" s="34">
        <f>L53*3+M53</f>
        <v>3</v>
      </c>
      <c r="R53" s="123">
        <f>DATE(2026,6,23)+TIME(6,0,0)+gmt_delta</f>
        <v>46196.791666666664</v>
      </c>
      <c r="S53" s="127" t="str">
        <f t="shared" si="19"/>
        <v>Portugal_draw</v>
      </c>
      <c r="T53" s="127" t="str">
        <f t="shared" si="20"/>
        <v>Uzbekistan_draw</v>
      </c>
      <c r="U53" s="123">
        <f t="shared" si="8"/>
        <v>1</v>
      </c>
      <c r="V53" s="123">
        <f t="shared" si="21"/>
        <v>2</v>
      </c>
      <c r="W53" s="123">
        <f t="shared" si="22"/>
        <v>2</v>
      </c>
      <c r="X53" s="123">
        <f t="shared" si="9"/>
        <v>1</v>
      </c>
      <c r="Y53" s="123">
        <f t="shared" si="10"/>
        <v>2</v>
      </c>
      <c r="Z53" s="123">
        <f t="shared" si="11"/>
        <v>2</v>
      </c>
      <c r="AA53" s="123">
        <f t="shared" si="17"/>
        <v>0</v>
      </c>
      <c r="AB53" s="123">
        <f t="shared" si="23"/>
        <v>0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9</v>
      </c>
      <c r="AJ53" s="123">
        <f>SUMIF($E$7:$E$78,$AE53,$G$7:$G$78) + SUMIF($H$7:$H$78,$AE53,$F$7:$F$78)</f>
        <v>4</v>
      </c>
      <c r="AL53" s="123">
        <f>AI53-AJ53</f>
        <v>5</v>
      </c>
      <c r="AM53" s="123">
        <f>AL53-AL54</f>
        <v>16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60000008.438065976</v>
      </c>
      <c r="AQ53" s="126">
        <f>VLOOKUP(AE53,db_fifarank,2,FALSE)</f>
        <v>1673.07</v>
      </c>
      <c r="AR53" s="125">
        <f>AP53/AP54</f>
        <v>0.6666666757278531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4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4</v>
      </c>
      <c r="G54" s="20">
        <v>2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2 - 13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11</v>
      </c>
      <c r="AL54" s="123">
        <f>MIN(AL50:AL53)</f>
        <v>-11</v>
      </c>
      <c r="AM54" s="123">
        <f>MAX(AM50:AM53)+1</f>
        <v>21</v>
      </c>
      <c r="AN54" s="123">
        <f>MAX(AN50:AN53)+1</f>
        <v>10</v>
      </c>
      <c r="AO54" s="123">
        <f>MAX(AO50:AO53)+1</f>
        <v>10</v>
      </c>
      <c r="AP54" s="123">
        <f>MAX(AP50:AP53)+1</f>
        <v>90000011.433838636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3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Colombia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0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0</v>
      </c>
      <c r="CL55" s="112"/>
    </row>
    <row r="56" spans="1:96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4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12</v>
      </c>
      <c r="AJ56" s="123">
        <f>SUMIF($E$7:$E$78,$AE56,$G$7:$G$78) + SUMIF($H$7:$H$78,$AE56,$F$7:$F$78)</f>
        <v>4</v>
      </c>
      <c r="AL56" s="123">
        <f>AI56-AJ56</f>
        <v>8</v>
      </c>
      <c r="AM56" s="123">
        <f>AL56-AL60</f>
        <v>17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90000010.368460029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1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12 - 4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1</v>
      </c>
      <c r="AH57" s="123">
        <f>COUNTIF($S$7:$T$78,"=" &amp; AE57 &amp; "_lose")</f>
        <v>1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5</v>
      </c>
      <c r="AL57" s="123">
        <f>AI57-AJ57</f>
        <v>1</v>
      </c>
      <c r="AM57" s="123">
        <f>AL57-AL60</f>
        <v>10</v>
      </c>
      <c r="AN57" s="123">
        <f>AF57*3+AG57</f>
        <v>4</v>
      </c>
      <c r="AO57" s="123">
        <f>AN57/AN60*10+BA57</f>
        <v>4.9805825242718447</v>
      </c>
      <c r="AP57" s="123">
        <f>AO57*10000000+BI57*100+AM57/AM60*10+AI57/AI60*1++IF(AQ57=0,ROW(),AQ57)/2000000</f>
        <v>49805929.318909377</v>
      </c>
      <c r="AQ57" s="126">
        <f>VLOOKUP(AE57,db_fifarank,2,FALSE)</f>
        <v>1688.99</v>
      </c>
      <c r="AR57" s="125">
        <f>AP57/AP60</f>
        <v>0.55339914475125906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1</v>
      </c>
      <c r="AW57" s="126" cm="1">
        <f t="array" ref="AW57">SUMPRODUCT(($E$7:$E$78=AE57)*($U$7:$U$78)*($G$7:$G$78))+SUMPRODUCT(($H$7:$H$78=AE57)*($U$7:$U$78)*($F$7:$F$78))</f>
        <v>1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50.5</v>
      </c>
      <c r="BA57" s="126">
        <f>AZ57/AZ60</f>
        <v>0.98058252427184467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1</v>
      </c>
      <c r="BE57" s="126" cm="1">
        <f t="array" ref="BE57">SUMPRODUCT(($E$7:$E$78=AE57)*($X$7:$X$78)*($G$7:$G$78))+SUMPRODUCT(($H$7:$H$78=AE57)*($X$7:$X$78)*($F$7:$F$78))</f>
        <v>1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50.5</v>
      </c>
      <c r="BI57" s="126">
        <f>BH57/BH60</f>
        <v>0.98058252427184467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1</v>
      </c>
      <c r="M58" s="23">
        <f>VLOOKUP(2,AD56:AN59,4,FALSE)</f>
        <v>1</v>
      </c>
      <c r="N58" s="23">
        <f>VLOOKUP(2,AD56:AN59,5,FALSE)</f>
        <v>1</v>
      </c>
      <c r="O58" s="23" t="str">
        <f>VLOOKUP(2,AD56:AN59,6,FALSE) &amp; " - " &amp; VLOOKUP(2,AD56:AN59,7,FALSE)</f>
        <v>6 - 5</v>
      </c>
      <c r="P58" s="34">
        <f>L58*3+M58</f>
        <v>4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5</v>
      </c>
      <c r="AJ58" s="123">
        <f>SUMIF($E$7:$E$78,$AE58,$G$7:$G$78) + SUMIF($H$7:$H$78,$AE58,$F$7:$F$78)</f>
        <v>14</v>
      </c>
      <c r="AL58" s="123">
        <f>AI58-AJ58</f>
        <v>-9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0.38533895461538464</v>
      </c>
      <c r="AQ58" s="126">
        <f>VLOOKUP(AE58,db_fifarank,2,FALSE)</f>
        <v>1447.14</v>
      </c>
      <c r="AR58" s="125">
        <f>AP58/AP60</f>
        <v>4.2815433993425518E-9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5 - 5</v>
      </c>
      <c r="P59" s="34">
        <f>L59*3+M59</f>
        <v>4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5</v>
      </c>
      <c r="AL59" s="123">
        <f>AI59-AJ59</f>
        <v>0</v>
      </c>
      <c r="AM59" s="123">
        <f>AL59-AL60</f>
        <v>9</v>
      </c>
      <c r="AN59" s="123">
        <f>AF59*3+AG59</f>
        <v>4</v>
      </c>
      <c r="AO59" s="123">
        <f>AN59/AN60*10+BA59</f>
        <v>4.9805825242718447</v>
      </c>
      <c r="AP59" s="123">
        <f>AO59*10000000+BI59*100+AM59/AM60*10+AI59/AI60*1++IF(AQ59=0,ROW(),AQ59)/2000000</f>
        <v>49805928.686361723</v>
      </c>
      <c r="AQ59" s="126">
        <f>VLOOKUP(AE59,db_fifarank,2,FALSE)</f>
        <v>1550.94</v>
      </c>
      <c r="AR59" s="125">
        <f>AP59/AP60</f>
        <v>0.55339913772295268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5 - 14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2</v>
      </c>
      <c r="AH60" s="123">
        <f t="shared" si="27"/>
        <v>4</v>
      </c>
      <c r="AI60" s="123">
        <f>MAX(AI56:AI59)+1</f>
        <v>13</v>
      </c>
      <c r="AL60" s="123">
        <f>MIN(AL56:AL59)</f>
        <v>-9</v>
      </c>
      <c r="AM60" s="123">
        <f>MAX(AM56:AM59)+1</f>
        <v>18</v>
      </c>
      <c r="AN60" s="123">
        <f>MAX(AN56:AN59)+1</f>
        <v>10</v>
      </c>
      <c r="AO60" s="123">
        <f>MAX(AO56:AO59)+1</f>
        <v>10</v>
      </c>
      <c r="AP60" s="123">
        <f>MAX(AP56:AP59)+1</f>
        <v>90000011.368460029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5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4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4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3</v>
      </c>
      <c r="AL62" s="123">
        <f>AI62-AJ62</f>
        <v>6</v>
      </c>
      <c r="AM62" s="123">
        <f>AL62-AL66</f>
        <v>13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90000010.186651707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9 - 3</v>
      </c>
      <c r="P63" s="32">
        <f>L63*3+M63</f>
        <v>9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2</v>
      </c>
      <c r="AG63" s="123">
        <f>COUNTIF($S$7:$T$78,"=" &amp; AE63 &amp; "_draw")</f>
        <v>0</v>
      </c>
      <c r="AH63" s="123">
        <f>COUNTIF($S$7:$T$78,"=" &amp; AE63 &amp; "_lose")</f>
        <v>1</v>
      </c>
      <c r="AI63" s="123">
        <f>SUMIF($E$7:$E$78,$AE63,$F$7:$F$78) + SUMIF($H$7:$H$78,$AE63,$G$7:$G$78)</f>
        <v>7</v>
      </c>
      <c r="AJ63" s="123">
        <f>SUMIF($E$7:$E$78,$AE63,$G$7:$G$78) + SUMIF($H$7:$H$78,$AE63,$F$7:$F$78)</f>
        <v>4</v>
      </c>
      <c r="AL63" s="123">
        <f>AI63-AJ63</f>
        <v>3</v>
      </c>
      <c r="AM63" s="123">
        <f>AL63-AL66</f>
        <v>10</v>
      </c>
      <c r="AN63" s="123">
        <f>AF63*3+AG63</f>
        <v>6</v>
      </c>
      <c r="AO63" s="123">
        <f>AN63/AN66*10+BA63</f>
        <v>6</v>
      </c>
      <c r="AP63" s="123">
        <f>AO63*10000000+BI63*100+AM63/AM66*10+AI63/AI66*1++IF(AQ63=0,ROW(),AQ63)/2000000</f>
        <v>60000007.843639277</v>
      </c>
      <c r="AQ63" s="126">
        <f>VLOOKUP(AE63,db_fifarank,2,FALSE)</f>
        <v>1564.26</v>
      </c>
      <c r="AR63" s="125">
        <f>AP63/AP66</f>
        <v>0.66666667095412691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7 - 4</v>
      </c>
      <c r="P64" s="34">
        <f>L64*3+M64</f>
        <v>6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0</v>
      </c>
      <c r="AH64" s="123">
        <f>COUNTIF($S$7:$T$78,"=" &amp; AE64 &amp; "_lose")</f>
        <v>2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5</v>
      </c>
      <c r="AL64" s="123">
        <f>AI64-AJ64</f>
        <v>-2</v>
      </c>
      <c r="AM64" s="123">
        <f>AL64-AL66</f>
        <v>5</v>
      </c>
      <c r="AN64" s="123">
        <f>AF64*3+AG64</f>
        <v>3</v>
      </c>
      <c r="AO64" s="123">
        <f>AN64/AN66*10+BA64</f>
        <v>3</v>
      </c>
      <c r="AP64" s="123">
        <f>AO64*10000000+BI64*100+AM64/AM66*10+AI64/AI66*1++IF(AQ64=0,ROW(),AQ64)/2000000</f>
        <v>30000003.872225296</v>
      </c>
      <c r="AQ64" s="126">
        <f>VLOOKUP(AE64,db_fifarank,2,FALSE)</f>
        <v>1593.45</v>
      </c>
      <c r="AR64" s="125">
        <f>AP64/AP66</f>
        <v>0.3333333349260153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3 - 5</v>
      </c>
      <c r="P65" s="34">
        <f>L65*3+M65</f>
        <v>3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1</v>
      </c>
      <c r="W65" s="123">
        <f t="shared" si="22"/>
        <v>1</v>
      </c>
      <c r="X65" s="123">
        <f t="shared" si="9"/>
        <v>1</v>
      </c>
      <c r="Y65" s="123">
        <f t="shared" si="10"/>
        <v>1</v>
      </c>
      <c r="Z65" s="123">
        <f t="shared" si="11"/>
        <v>1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9</v>
      </c>
      <c r="AL65" s="123">
        <f>AI65-AJ65</f>
        <v>-7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0.20069572500000002</v>
      </c>
      <c r="AQ65" s="126">
        <f>VLOOKUP(AE65,db_fifarank,2,FALSE)</f>
        <v>1391.45</v>
      </c>
      <c r="AR65" s="125">
        <f>AP65/AP66</f>
        <v>2.2299522228255688E-9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2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2 - 9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10</v>
      </c>
      <c r="AL66" s="123">
        <f>MIN(AL62:AL65)</f>
        <v>-7</v>
      </c>
      <c r="AM66" s="123">
        <f>MAX(AM62:AM65)+1</f>
        <v>14</v>
      </c>
      <c r="AN66" s="123">
        <f>MAX(AN62:AN65)+1</f>
        <v>10</v>
      </c>
      <c r="AO66" s="123">
        <f>MAX(AO62:AO65)+1</f>
        <v>10</v>
      </c>
      <c r="AP66" s="123">
        <f>MAX(AP62:AP65)+1</f>
        <v>90000011.186651707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3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Norway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4</v>
      </c>
      <c r="G68" s="20">
        <v>2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3</v>
      </c>
      <c r="AL68" s="123">
        <f>AI68-AJ68</f>
        <v>6</v>
      </c>
      <c r="AM68" s="123">
        <f>AL68-AL72</f>
        <v>14</v>
      </c>
      <c r="AN68" s="123">
        <f>AF68*3+AG68</f>
        <v>7</v>
      </c>
      <c r="AO68" s="123">
        <f>AN68/AN72*10+BA68</f>
        <v>9.7306451612903224</v>
      </c>
      <c r="AP68" s="123">
        <f>AO68*10000000+BI68*100+AM68/AM72*10+AI68/AI72*1++IF(AQ68=0,ROW(),AQ68)/2000000</f>
        <v>97306559.911634594</v>
      </c>
      <c r="AQ68" s="126">
        <f>VLOOKUP(AE68,db_fifarank,2,FALSE)</f>
        <v>1763.83</v>
      </c>
      <c r="AR68" s="125">
        <f>AP68/AP72</f>
        <v>0.9999999897232007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50.666666666666664</v>
      </c>
      <c r="BA68" s="126">
        <f>AZ68/AZ72</f>
        <v>0.98064516129032253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50.666666666666664</v>
      </c>
      <c r="BI68" s="126">
        <f>BH68/BH72</f>
        <v>0.98064516129032253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9 - 3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4</v>
      </c>
      <c r="AJ69" s="123">
        <f>SUMIF($E$7:$E$78,$AE69,$G$7:$G$78) + SUMIF($H$7:$H$78,$AE69,$F$7:$F$78)</f>
        <v>12</v>
      </c>
      <c r="AL69" s="123">
        <f>AI69-AJ69</f>
        <v>-8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0.400739175</v>
      </c>
      <c r="AQ69" s="126">
        <f>VLOOKUP(AE69,db_fifarank,2,FALSE)</f>
        <v>1478.35</v>
      </c>
      <c r="AR69" s="125">
        <f>AP69/AP72</f>
        <v>4.1183160852218037E-9</v>
      </c>
      <c r="AS69" s="125" t="str">
        <f>IF(SUM(AF68:AH71)=12,J70,"2K")</f>
        <v>Uzbekistan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4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4</v>
      </c>
      <c r="H70" s="80" t="str">
        <f>AE44</f>
        <v>Belgium</v>
      </c>
      <c r="I70" s="69"/>
      <c r="J70" s="33" t="str">
        <f>VLOOKUP(2,AD68:AN71,2,FALSE)</f>
        <v>Uzbekistan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7 - 5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2</v>
      </c>
      <c r="AE70" s="124" t="str">
        <f>VLOOKUP("Uzbekistan",T,lang,FALSE)</f>
        <v>Uzbekistan</v>
      </c>
      <c r="AF70" s="123">
        <f>COUNTIF($S$7:$T$78,"=" &amp; AE70 &amp; "_win")</f>
        <v>2</v>
      </c>
      <c r="AG70" s="123">
        <f>COUNTIF($S$7:$T$78,"=" &amp; AE70 &amp; "_draw")</f>
        <v>1</v>
      </c>
      <c r="AH70" s="123">
        <f>COUNTIF($S$7:$T$78,"=" &amp; AE70 &amp; "_lose")</f>
        <v>0</v>
      </c>
      <c r="AI70" s="123">
        <f>SUMIF($E$7:$E$78,$AE70,$F$7:$F$78) + SUMIF($H$7:$H$78,$AE70,$G$7:$G$78)</f>
        <v>7</v>
      </c>
      <c r="AJ70" s="123">
        <f>SUMIF($E$7:$E$78,$AE70,$G$7:$G$78) + SUMIF($H$7:$H$78,$AE70,$F$7:$F$78)</f>
        <v>5</v>
      </c>
      <c r="AL70" s="123">
        <f>AI70-AJ70</f>
        <v>2</v>
      </c>
      <c r="AM70" s="123">
        <f>AL70-AL72</f>
        <v>10</v>
      </c>
      <c r="AN70" s="123">
        <f>AF70*3+AG70</f>
        <v>7</v>
      </c>
      <c r="AO70" s="123">
        <f>AN70/AN72*10+BA70</f>
        <v>9.7306451612903224</v>
      </c>
      <c r="AP70" s="123">
        <f>AO70*10000000+BI70*100+AM70/AM72*10+AI70/AI72*1++IF(AQ70=0,ROW(),AQ70)/2000000</f>
        <v>97306557.044818699</v>
      </c>
      <c r="AQ70" s="126">
        <f>VLOOKUP(AE70,db_fifarank,2,FALSE)</f>
        <v>1465.34</v>
      </c>
      <c r="AR70" s="125">
        <f>AP70/AP72</f>
        <v>0.99999996026150895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2</v>
      </c>
      <c r="AW70" s="126" cm="1">
        <f t="array" ref="AW70">SUMPRODUCT(($E$7:$E$78=AE70)*($U$7:$U$78)*($G$7:$G$78))+SUMPRODUCT(($H$7:$H$78=AE70)*($U$7:$U$78)*($F$7:$F$78))</f>
        <v>2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50.666666666666664</v>
      </c>
      <c r="BA70" s="126">
        <f>AZ70/AZ72</f>
        <v>0.98064516129032253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2</v>
      </c>
      <c r="BE70" s="126" cm="1">
        <f t="array" ref="BE70">SUMPRODUCT(($E$7:$E$78=AE70)*($X$7:$X$78)*($G$7:$G$78))+SUMPRODUCT(($H$7:$H$78=AE70)*($X$7:$X$78)*($F$7:$F$78))</f>
        <v>2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50.666666666666664</v>
      </c>
      <c r="BI70" s="126">
        <f>BH70/BH72</f>
        <v>0.98064516129032253</v>
      </c>
      <c r="BK70" s="14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2</v>
      </c>
      <c r="H71" s="80" t="str">
        <f>AE52</f>
        <v>Saudi Arabia</v>
      </c>
      <c r="I71" s="69"/>
      <c r="J71" s="33" t="str">
        <f>VLOOKUP(3,AD68:AN71,2,FALSE)</f>
        <v>Colombia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6 - 6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3</v>
      </c>
      <c r="AE71" s="124" t="str">
        <f>VLOOKUP("Colombia",T,lang,FALSE)</f>
        <v>Colombia</v>
      </c>
      <c r="AF71" s="123">
        <f>COUNTIF($S$7:$T$78,"=" &amp; AE71 &amp; "_win")</f>
        <v>1</v>
      </c>
      <c r="AG71" s="123">
        <f>COUNTIF($S$7:$T$78,"=" &amp; AE71 &amp; "_draw")</f>
        <v>0</v>
      </c>
      <c r="AH71" s="123">
        <f>COUNTIF($S$7:$T$78,"=" &amp; AE71 &amp; "_lose")</f>
        <v>2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6</v>
      </c>
      <c r="AL71" s="123">
        <f>AI71-AJ71</f>
        <v>0</v>
      </c>
      <c r="AM71" s="123">
        <f>AL71-AL72</f>
        <v>8</v>
      </c>
      <c r="AN71" s="123">
        <f>AF71*3+AG71</f>
        <v>3</v>
      </c>
      <c r="AO71" s="123">
        <f>AN71/AN72*10+BA71</f>
        <v>3.75</v>
      </c>
      <c r="AP71" s="123">
        <f>AO71*10000000+BI71*100+AM71/AM72*10+AI71/AI72*1++IF(AQ71=0,ROW(),AQ71)/2000000</f>
        <v>37500005.93417988</v>
      </c>
      <c r="AQ71" s="126">
        <f>VLOOKUP(AE71,db_fifarank,2,FALSE)</f>
        <v>1693.09</v>
      </c>
      <c r="AR71" s="125">
        <f>AP71/AP72</f>
        <v>0.38538003586658603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Croatia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4 - 12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10</v>
      </c>
      <c r="AL72" s="123">
        <f>MIN(AL68:AL71)</f>
        <v>-8</v>
      </c>
      <c r="AM72" s="123">
        <f>MAX(AM68:AM71)+1</f>
        <v>15</v>
      </c>
      <c r="AN72" s="123">
        <f>MAX(AN68:AN71)+1</f>
        <v>8</v>
      </c>
      <c r="AO72" s="123">
        <f>MAX(AO68:AO71)+1</f>
        <v>10.730645161290322</v>
      </c>
      <c r="AP72" s="123">
        <f>MAX(AP68:AP71)+1</f>
        <v>97306560.911634594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2</v>
      </c>
      <c r="W74" s="123">
        <f t="shared" si="22"/>
        <v>2</v>
      </c>
      <c r="X74" s="123">
        <f t="shared" si="32"/>
        <v>1</v>
      </c>
      <c r="Y74" s="123">
        <f t="shared" si="33"/>
        <v>2</v>
      </c>
      <c r="Z74" s="123">
        <f t="shared" si="34"/>
        <v>2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2</v>
      </c>
      <c r="AL74" s="123">
        <f>AI74-AJ74</f>
        <v>5</v>
      </c>
      <c r="AM74" s="123">
        <f>AL74-AL78</f>
        <v>12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90000010.106682211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2</v>
      </c>
      <c r="G75" s="20">
        <v>0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7 - 2</v>
      </c>
      <c r="P75" s="32">
        <f>L75*3+M75</f>
        <v>9</v>
      </c>
      <c r="R75" s="123">
        <f>DATE(2026,6,27)+TIME(15,0,0)+gmt_delta</f>
        <v>46201.166666666664</v>
      </c>
      <c r="S75" s="127" t="str">
        <f t="shared" si="19"/>
        <v>Algeria_win</v>
      </c>
      <c r="T75" s="127" t="str">
        <f t="shared" si="20"/>
        <v>Austria_lose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1</v>
      </c>
      <c r="AD75" s="123">
        <f>COUNTIF(AR74:AR77,CONCATENATE("&gt;=",AR75))</f>
        <v>3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5</v>
      </c>
      <c r="AL75" s="123">
        <f>AI75-AJ75</f>
        <v>0</v>
      </c>
      <c r="AM75" s="123">
        <f>AL75-AL78</f>
        <v>7</v>
      </c>
      <c r="AN75" s="123">
        <f>AF75*3+AG75</f>
        <v>4</v>
      </c>
      <c r="AO75" s="123">
        <f>AN75/AN78*10+BA75</f>
        <v>4.9806451612903224</v>
      </c>
      <c r="AP75" s="123">
        <f>AO75*10000000+BI75*100+AM75/AM78*10+AI75/AI78*1++IF(AQ75=0,ROW(),AQ75)/2000000</f>
        <v>49806555.687893271</v>
      </c>
      <c r="AQ75" s="126">
        <f>VLOOKUP(AE75,db_fifarank,2,FALSE)</f>
        <v>1717.07</v>
      </c>
      <c r="AR75" s="125">
        <f>AP75/AP78</f>
        <v>0.55340610601541684</v>
      </c>
      <c r="AS75" s="125" t="str">
        <f>IF(SUM(AF74:AH77)=12,J76,"2L")</f>
        <v>Ghana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2</v>
      </c>
      <c r="AW75" s="126" cm="1">
        <f t="array" ref="AW75">SUMPRODUCT(($E$7:$E$78=AE75)*($U$7:$U$78)*($G$7:$G$78))+SUMPRODUCT(($H$7:$H$78=AE75)*($U$7:$U$78)*($F$7:$F$78))</f>
        <v>2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50.666666666666664</v>
      </c>
      <c r="BA75" s="126">
        <f>AZ75/AZ78</f>
        <v>0.98064516129032253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2</v>
      </c>
      <c r="BE75" s="126" cm="1">
        <f t="array" ref="BE75">SUMPRODUCT(($E$7:$E$78=AE75)*($X$7:$X$78)*($G$7:$G$78))+SUMPRODUCT(($H$7:$H$78=AE75)*($X$7:$X$78)*($F$7:$F$78))</f>
        <v>2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50.666666666666664</v>
      </c>
      <c r="BI75" s="126">
        <f>BH75/BH78</f>
        <v>0.98064516129032253</v>
      </c>
    </row>
    <row r="76" spans="1:9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4</v>
      </c>
      <c r="H76" s="80" t="str">
        <f>AE62</f>
        <v>Argentina</v>
      </c>
      <c r="I76" s="69"/>
      <c r="J76" s="33" t="str">
        <f>VLOOKUP(2,AD74:AN77,2,FALSE)</f>
        <v>Ghana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6 - 4</v>
      </c>
      <c r="P76" s="34">
        <f>L76*3+M76</f>
        <v>4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2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6</v>
      </c>
      <c r="AJ76" s="123">
        <f>SUMIF($E$7:$E$78,$AE76,$G$7:$G$78) + SUMIF($H$7:$H$78,$AE76,$F$7:$F$78)</f>
        <v>4</v>
      </c>
      <c r="AL76" s="123">
        <f>AI76-AJ76</f>
        <v>2</v>
      </c>
      <c r="AM76" s="123">
        <f>AL76-AL78</f>
        <v>9</v>
      </c>
      <c r="AN76" s="123">
        <f>AF76*3+AG76</f>
        <v>4</v>
      </c>
      <c r="AO76" s="123">
        <f>AN76/AN78*10+BA76</f>
        <v>4.9806451612903224</v>
      </c>
      <c r="AP76" s="123">
        <f>AO76*10000000+BI76*100+AM76/AM78*10+AI76/AI78*1++IF(AQ76=0,ROW(),AQ76)/2000000</f>
        <v>49806557.351169422</v>
      </c>
      <c r="AQ76" s="126">
        <f>VLOOKUP(AE76,db_fifarank,2,FALSE)</f>
        <v>1346.31</v>
      </c>
      <c r="AR76" s="125">
        <f>AP76/AP78</f>
        <v>0.5534061244962607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2</v>
      </c>
      <c r="AW76" s="126" cm="1">
        <f t="array" ref="AW76">SUMPRODUCT(($E$7:$E$78=AE76)*($U$7:$U$78)*($G$7:$G$78))+SUMPRODUCT(($H$7:$H$78=AE76)*($U$7:$U$78)*($F$7:$F$78))</f>
        <v>2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50.666666666666664</v>
      </c>
      <c r="BA76" s="126">
        <f>AZ76/AZ78</f>
        <v>0.98064516129032253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2</v>
      </c>
      <c r="BE76" s="126" cm="1">
        <f t="array" ref="BE76">SUMPRODUCT(($E$7:$E$78=AE76)*($X$7:$X$78)*($G$7:$G$78))+SUMPRODUCT(($H$7:$H$78=AE76)*($X$7:$X$78)*($F$7:$F$78))</f>
        <v>2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50.666666666666664</v>
      </c>
      <c r="BI76" s="126">
        <f>BH76/BH78</f>
        <v>0.98064516129032253</v>
      </c>
    </row>
    <row r="77" spans="1:95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Croatia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5 - 5</v>
      </c>
      <c r="P77" s="34">
        <f>L77*3+M77</f>
        <v>4</v>
      </c>
      <c r="R77" s="123">
        <f>DATE(2026,6,27)+TIME(12,30,0)+gmt_delta</f>
        <v>46201.0625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8</v>
      </c>
      <c r="AL77" s="123">
        <f>AI77-AJ77</f>
        <v>-7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0.12577031999999999</v>
      </c>
      <c r="AQ77" s="126">
        <f>VLOOKUP(AE77,db_fifarank,2,FALSE)</f>
        <v>1540.64</v>
      </c>
      <c r="AR77" s="125">
        <f>AP77/AP78</f>
        <v>1.3974478275443452E-9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2</v>
      </c>
      <c r="G78" s="20">
        <v>3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1 - 8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8</v>
      </c>
      <c r="AL78" s="123">
        <f>MIN(AL74:AL77)</f>
        <v>-7</v>
      </c>
      <c r="AM78" s="123">
        <f>MAX(AM74:AM77)+1</f>
        <v>13</v>
      </c>
      <c r="AN78" s="123">
        <f>MAX(AN74:AN77)+1</f>
        <v>10</v>
      </c>
      <c r="AO78" s="123">
        <f>MAX(AO74:AO77)+1</f>
        <v>10</v>
      </c>
      <c r="AP78" s="123">
        <f>MAX(AP74:AP77)+1</f>
        <v>90000011.106682211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1</v>
      </c>
      <c r="AZ78" s="126">
        <f>MAX(AZ74:AZ77)+1</f>
        <v>51.666666666666664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3</v>
      </c>
      <c r="BE78" s="126">
        <f>MAX(BE74:BE77)-MIN(BE74:BE77)+1</f>
        <v>3</v>
      </c>
      <c r="BG78" s="126">
        <f>MAX(BG74:BG77)-MIN(BG74:BG77)+1</f>
        <v>1</v>
      </c>
      <c r="BH78" s="126">
        <f>MAX(BH74:BH77)+1</f>
        <v>51.666666666666664</v>
      </c>
    </row>
    <row r="79" spans="1:9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3</v>
      </c>
      <c r="AE80" s="124" t="str">
        <f>J11</f>
        <v>Mexico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4</v>
      </c>
      <c r="AK80" s="123" t="s">
        <v>3181</v>
      </c>
      <c r="AL80" s="123">
        <f>VLOOKUP($AE80,$AE$8:$AQ$78,8,FALSE)</f>
        <v>0</v>
      </c>
      <c r="AM80" s="123">
        <f>AL80-$AL$92</f>
        <v>3</v>
      </c>
      <c r="AN80" s="123">
        <f>VLOOKUP($AE80,$AE$8:$AQ$78,10,FALSE)</f>
        <v>4</v>
      </c>
      <c r="AP80" s="123">
        <f>AN80/AN92*10000+AM80/AM92*1000+AI80/AI92*100+IF(AQ80=0,ROW(),AQ80)/2000000</f>
        <v>8807.143697657857</v>
      </c>
      <c r="AQ80" s="126">
        <f t="shared" ref="AQ80:AQ91" si="37">VLOOKUP($AE80,$AE$8:$AQ$78,13,FALSE)</f>
        <v>1681.03</v>
      </c>
      <c r="AR80" s="125" t="str">
        <f>IF(AD80&lt;=8,RIGHT(AK80,1),"")</f>
        <v>A</v>
      </c>
      <c r="AS80" s="129" t="str">
        <f>IF(AD80&lt;=8,AE80,"")</f>
        <v>Mexico</v>
      </c>
      <c r="AT80" s="130" t="str">
        <f>"Ⓐ "&amp;AE80</f>
        <v>Ⓐ Mexico</v>
      </c>
    </row>
    <row r="81" spans="1:46" ht="15" customHeight="1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Ⓛ Croatia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5 - 5</v>
      </c>
      <c r="P81" s="98">
        <f>L81*3+M81</f>
        <v>4</v>
      </c>
      <c r="AD81" s="123">
        <f t="shared" ref="AD81:AD91" si="38">COUNTIF($AP$80:$AP$91,CONCATENATE("&gt;=",AP81))</f>
        <v>4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4</v>
      </c>
      <c r="AK81" s="123" t="s">
        <v>3182</v>
      </c>
      <c r="AL81" s="123">
        <f t="shared" ref="AL81:AL90" si="43">VLOOKUP($AE81,$AE$8:$AQ$78,8,FALSE)</f>
        <v>-1</v>
      </c>
      <c r="AM81" s="123">
        <f t="shared" ref="AM81:AM91" si="44">AL81-$AL$92</f>
        <v>2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8542.8578357771439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Norway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5 - 5</v>
      </c>
      <c r="P82" s="101">
        <f t="shared" ref="P82:P92" si="48">L82*3+M82</f>
        <v>4</v>
      </c>
      <c r="AD82" s="123">
        <f t="shared" si="38"/>
        <v>7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5</v>
      </c>
      <c r="AK82" s="123" t="s">
        <v>3183</v>
      </c>
      <c r="AL82" s="123">
        <f t="shared" si="43"/>
        <v>0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6821.4293206035718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>
      <c r="A83" s="73"/>
      <c r="B83" s="73"/>
      <c r="C83" s="132" t="s">
        <v>3184</v>
      </c>
      <c r="D83" s="133"/>
      <c r="E83" s="133"/>
      <c r="F83" s="133"/>
      <c r="G83" s="134"/>
      <c r="H83" s="75"/>
      <c r="I83" s="69"/>
      <c r="J83" s="99" t="str">
        <f>VLOOKUP(3,$AD$80:$AT$91,17,FALSE)</f>
        <v>Ⓐ Mexico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4 - 4</v>
      </c>
      <c r="P83" s="101">
        <f t="shared" si="48"/>
        <v>4</v>
      </c>
      <c r="AD83" s="123">
        <f t="shared" si="38"/>
        <v>10</v>
      </c>
      <c r="AE83" s="124" t="str">
        <f>J29</f>
        <v>Australia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3</v>
      </c>
      <c r="AJ83" s="123">
        <f t="shared" si="42"/>
        <v>6</v>
      </c>
      <c r="AK83" s="123" t="s">
        <v>3185</v>
      </c>
      <c r="AL83" s="123">
        <f t="shared" si="43"/>
        <v>-3</v>
      </c>
      <c r="AM83" s="123">
        <f t="shared" si="44"/>
        <v>0</v>
      </c>
      <c r="AN83" s="123">
        <f t="shared" si="45"/>
        <v>3</v>
      </c>
      <c r="AP83" s="123">
        <f>AN83/AN92*10000+AM83/AM92*1000+AI83/AI92*100+IF(AQ83=0,ROW(),AQ83)/2000000</f>
        <v>6042.8579331921428</v>
      </c>
      <c r="AQ83" s="126">
        <f t="shared" si="37"/>
        <v>1580.67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Australia</v>
      </c>
    </row>
    <row r="84" spans="1:46" ht="15" customHeight="1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Ⓑ Bosnia and Herzegovina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3 - 4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5</v>
      </c>
      <c r="AE84" s="124" t="str">
        <f>J35</f>
        <v>Ecuador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3</v>
      </c>
      <c r="AJ84" s="123">
        <f t="shared" si="42"/>
        <v>5</v>
      </c>
      <c r="AK84" s="123" t="s">
        <v>3186</v>
      </c>
      <c r="AL84" s="123">
        <f t="shared" si="43"/>
        <v>-2</v>
      </c>
      <c r="AM84" s="123">
        <f t="shared" si="44"/>
        <v>1</v>
      </c>
      <c r="AN84" s="123">
        <f t="shared" si="45"/>
        <v>4</v>
      </c>
      <c r="AP84" s="123">
        <f>AN84/AN92*10000+AM84/AM92*1000+AI84/AI92*100+IF(AQ84=0,ROW(),AQ84)/2000000</f>
        <v>8292.8579402471423</v>
      </c>
      <c r="AQ84" s="126">
        <f t="shared" si="37"/>
        <v>1594.78</v>
      </c>
      <c r="AR84" s="125" t="str">
        <f t="shared" si="50"/>
        <v>ABCE</v>
      </c>
      <c r="AS84" s="129" t="str">
        <f t="shared" si="46"/>
        <v>Ecuador</v>
      </c>
      <c r="AT84" s="130" t="str">
        <f>"Ⓔ "&amp;AE84</f>
        <v>Ⓔ Ecuador</v>
      </c>
    </row>
    <row r="85" spans="1:46" ht="15" customHeight="1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Ⓔ Ecuador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1</v>
      </c>
      <c r="N85" s="100">
        <f>VLOOKUP(5,$AD$80:$AN$91,5,FALSE)</f>
        <v>1</v>
      </c>
      <c r="O85" s="100" t="str">
        <f>VLOOKUP(5,$AD$80:$AN$91,6,FALSE) &amp; " - " &amp; VLOOKUP(5,$AD$80:$AN$91,7,FALSE)</f>
        <v>3 - 5</v>
      </c>
      <c r="P85" s="101">
        <f t="shared" si="48"/>
        <v>4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3</v>
      </c>
      <c r="AJ85" s="123">
        <f t="shared" si="42"/>
        <v>3</v>
      </c>
      <c r="AK85" s="123" t="s">
        <v>3187</v>
      </c>
      <c r="AL85" s="123">
        <f t="shared" si="43"/>
        <v>0</v>
      </c>
      <c r="AM85" s="123">
        <f t="shared" si="44"/>
        <v>3</v>
      </c>
      <c r="AN85" s="123">
        <f t="shared" si="45"/>
        <v>3</v>
      </c>
      <c r="AP85" s="123">
        <f>AN85/AN92*10000+AM85/AM92*1000+AI85/AI92*100+IF(AQ85=0,ROW(),AQ85)/2000000</f>
        <v>6792.8579002421429</v>
      </c>
      <c r="AQ85" s="126">
        <f t="shared" si="37"/>
        <v>1514.77</v>
      </c>
      <c r="AR85" s="125" t="str">
        <f t="shared" si="50"/>
        <v>ABCEF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Ⓚ Colombia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6 - 6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Uzbekistan</v>
      </c>
      <c r="T86" s="127" t="str" cm="1">
        <f t="array" ref="T86">IF(OR(S86="",S86="draw"),INDEX(T,88,lang),S86)</f>
        <v>Uzbekistan</v>
      </c>
      <c r="AD86" s="123">
        <f t="shared" si="38"/>
        <v>12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2</v>
      </c>
      <c r="AJ86" s="123">
        <f t="shared" si="42"/>
        <v>5</v>
      </c>
      <c r="AK86" s="123" t="s">
        <v>3188</v>
      </c>
      <c r="AL86" s="123">
        <f t="shared" si="43"/>
        <v>-3</v>
      </c>
      <c r="AM86" s="123">
        <f t="shared" si="44"/>
        <v>0</v>
      </c>
      <c r="AN86" s="123">
        <f t="shared" si="45"/>
        <v>3</v>
      </c>
      <c r="AP86" s="123">
        <f>AN86/AN92*10000+AM86/AM92*1000+AI86/AI92*100+IF(AQ86=0,ROW(),AQ86)/2000000</f>
        <v>6028.5722362214283</v>
      </c>
      <c r="AQ86" s="126">
        <f t="shared" si="37"/>
        <v>1615.3</v>
      </c>
      <c r="AR86" s="125" t="str">
        <f t="shared" si="50"/>
        <v>ABCEF</v>
      </c>
      <c r="AS86" s="129" t="str">
        <f t="shared" si="46"/>
        <v/>
      </c>
      <c r="AT86" s="130" t="str">
        <f>"Ⓖ "&amp;AE86</f>
        <v>Ⓖ Iran</v>
      </c>
    </row>
    <row r="87" spans="1:46" ht="15" customHeight="1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Ⓒ Scotland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5 - 5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11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3</v>
      </c>
      <c r="AJ87" s="123">
        <f t="shared" si="42"/>
        <v>6</v>
      </c>
      <c r="AK87" s="123" t="s">
        <v>3189</v>
      </c>
      <c r="AL87" s="123">
        <f t="shared" si="43"/>
        <v>-3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6042.8578535721435</v>
      </c>
      <c r="AQ87" s="126">
        <f t="shared" si="37"/>
        <v>1421.43</v>
      </c>
      <c r="AR87" s="125" t="str">
        <f t="shared" si="50"/>
        <v>ABCEF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Ⓕ Sweden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3 - 3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2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5</v>
      </c>
      <c r="AJ88" s="123">
        <f t="shared" si="42"/>
        <v>5</v>
      </c>
      <c r="AK88" s="123" t="s">
        <v>3190</v>
      </c>
      <c r="AL88" s="123">
        <f t="shared" si="43"/>
        <v>0</v>
      </c>
      <c r="AM88" s="123">
        <f t="shared" si="44"/>
        <v>3</v>
      </c>
      <c r="AN88" s="123">
        <f t="shared" si="45"/>
        <v>4</v>
      </c>
      <c r="AP88" s="123">
        <f>AN88/AN92*10000+AM88/AM92*1000+AI88/AI92*100+IF(AQ88=0,ROW(),AQ88)/2000000</f>
        <v>8821.4293468985707</v>
      </c>
      <c r="AQ88" s="126">
        <f t="shared" si="37"/>
        <v>1550.94</v>
      </c>
      <c r="AR88" s="125" t="str">
        <f t="shared" si="50"/>
        <v>ABCEFI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Ⓙ Austria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3 - 5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9</v>
      </c>
      <c r="AE89" s="124" t="str">
        <f>J65</f>
        <v>Austria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3</v>
      </c>
      <c r="AJ89" s="123">
        <f t="shared" si="42"/>
        <v>5</v>
      </c>
      <c r="AK89" s="123" t="s">
        <v>3191</v>
      </c>
      <c r="AL89" s="123">
        <f t="shared" si="43"/>
        <v>-2</v>
      </c>
      <c r="AM89" s="123">
        <f t="shared" si="44"/>
        <v>1</v>
      </c>
      <c r="AN89" s="123">
        <f t="shared" si="45"/>
        <v>3</v>
      </c>
      <c r="AP89" s="123">
        <f>AN89/AN92*10000+AM89/AM92*1000+AI89/AI92*100+IF(AQ89=0,ROW(),AQ89)/2000000</f>
        <v>6292.8579395821434</v>
      </c>
      <c r="AQ89" s="126">
        <f t="shared" si="37"/>
        <v>1593.45</v>
      </c>
      <c r="AR89" s="125" t="str">
        <f t="shared" si="50"/>
        <v>ABCEFI</v>
      </c>
      <c r="AS89" s="129" t="str">
        <f t="shared" si="46"/>
        <v/>
      </c>
      <c r="AT89" s="130" t="str">
        <f>"Ⓙ "&amp;AE89</f>
        <v>Ⓙ Austria</v>
      </c>
    </row>
    <row r="90" spans="1:46" ht="15" customHeight="1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Australia</v>
      </c>
      <c r="K90" s="103">
        <f t="shared" si="47"/>
        <v>3</v>
      </c>
      <c r="L90" s="103">
        <f>VLOOKUP(10,$AD$80:$AN$91,3,FALSE)</f>
        <v>1</v>
      </c>
      <c r="M90" s="103">
        <f>VLOOKUP(10,$AD$80:$AN$91,4,FALSE)</f>
        <v>0</v>
      </c>
      <c r="N90" s="103">
        <f>VLOOKUP(10,$AD$80:$AN$91,5,FALSE)</f>
        <v>2</v>
      </c>
      <c r="O90" s="103" t="str">
        <f>VLOOKUP(10,$AD$80:$AN$91,6,FALSE) &amp; " - " &amp; VLOOKUP(10,$AD$80:$AN$91,7,FALSE)</f>
        <v>3 - 6</v>
      </c>
      <c r="P90" s="104">
        <f t="shared" si="48"/>
        <v>3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6</v>
      </c>
      <c r="AE90" s="124" t="str">
        <f>J71</f>
        <v>Colombia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6</v>
      </c>
      <c r="AJ90" s="123">
        <f t="shared" si="42"/>
        <v>6</v>
      </c>
      <c r="AK90" s="123" t="s">
        <v>3192</v>
      </c>
      <c r="AL90" s="123">
        <f t="shared" si="43"/>
        <v>0</v>
      </c>
      <c r="AM90" s="123">
        <f t="shared" si="44"/>
        <v>3</v>
      </c>
      <c r="AN90" s="123">
        <f t="shared" si="45"/>
        <v>3</v>
      </c>
      <c r="AP90" s="123">
        <f>AN90/AN92*10000+AM90/AM92*1000+AI90/AI92*100+IF(AQ90=0,ROW(),AQ90)/2000000</f>
        <v>6835.7151322592854</v>
      </c>
      <c r="AQ90" s="126">
        <f t="shared" si="37"/>
        <v>1693.09</v>
      </c>
      <c r="AR90" s="125" t="str">
        <f t="shared" si="50"/>
        <v>ABCEFIK</v>
      </c>
      <c r="AS90" s="129" t="str">
        <f t="shared" si="46"/>
        <v>Colombia</v>
      </c>
      <c r="AT90" s="130" t="str">
        <f>"Ⓚ "&amp;AE90</f>
        <v>Ⓚ Colombia</v>
      </c>
    </row>
    <row r="91" spans="1:46" ht="15" customHeight="1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Ⓗ Saudi Arabia</v>
      </c>
      <c r="K91" s="103">
        <f t="shared" si="47"/>
        <v>3</v>
      </c>
      <c r="L91" s="103">
        <f>VLOOKUP(11,$AD$80:$AN$91,3,FALSE)</f>
        <v>1</v>
      </c>
      <c r="M91" s="103">
        <f>VLOOKUP(11,$AD$80:$AN$91,4,FALSE)</f>
        <v>0</v>
      </c>
      <c r="N91" s="103">
        <f>VLOOKUP(11,$AD$80:$AN$91,5,FALSE)</f>
        <v>2</v>
      </c>
      <c r="O91" s="103" t="str">
        <f>VLOOKUP(11,$AD$80:$AN$91,6,FALSE) &amp; " - " &amp; VLOOKUP(11,$AD$80:$AN$91,7,FALSE)</f>
        <v>3 - 6</v>
      </c>
      <c r="P91" s="104">
        <f t="shared" si="48"/>
        <v>3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</v>
      </c>
      <c r="AE91" s="124" t="str">
        <f>J77</f>
        <v>Croatia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5</v>
      </c>
      <c r="AJ91" s="123">
        <f>VLOOKUP($AE91,$AE$8:$AQ$78,6,FALSE)</f>
        <v>5</v>
      </c>
      <c r="AK91" s="123" t="s">
        <v>3193</v>
      </c>
      <c r="AL91" s="123">
        <f>VLOOKUP($AE91,$AE$8:$AQ$78,8,FALSE)</f>
        <v>0</v>
      </c>
      <c r="AM91" s="123">
        <f t="shared" si="44"/>
        <v>3</v>
      </c>
      <c r="AN91" s="123">
        <f>VLOOKUP($AE91,$AE$8:$AQ$78,10,FALSE)</f>
        <v>4</v>
      </c>
      <c r="AP91" s="123">
        <f>AN91/AN92*10000+AM91/AM92*1000+AI91/AI92*100+IF(AQ91=0,ROW(),AQ91)/2000000</f>
        <v>8821.4294299635712</v>
      </c>
      <c r="AQ91" s="126">
        <f t="shared" si="37"/>
        <v>1717.07</v>
      </c>
      <c r="AR91" s="125" t="str">
        <f t="shared" si="50"/>
        <v>ABCEFIKL</v>
      </c>
      <c r="AS91" s="129" t="str">
        <f t="shared" si="46"/>
        <v>Croatia</v>
      </c>
      <c r="AT91" s="130" t="str">
        <f>"Ⓛ "&amp;AE91</f>
        <v>Ⓛ Croatia</v>
      </c>
    </row>
    <row r="92" spans="1:46" ht="15" customHeight="1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Ⓖ Iran</v>
      </c>
      <c r="K92" s="106">
        <f t="shared" si="47"/>
        <v>3</v>
      </c>
      <c r="L92" s="106">
        <f>VLOOKUP(12,$AD$80:$AN$91,3,FALSE)</f>
        <v>1</v>
      </c>
      <c r="M92" s="106">
        <f>VLOOKUP(12,$AD$80:$AN$91,4,FALSE)</f>
        <v>0</v>
      </c>
      <c r="N92" s="106">
        <f>VLOOKUP(12,$AD$80:$AN$91,5,FALSE)</f>
        <v>2</v>
      </c>
      <c r="O92" s="106" t="str">
        <f>VLOOKUP(12,$AD$80:$AN$91,6,FALSE) &amp; " - " &amp; VLOOKUP(12,$AD$80:$AN$91,7,FALSE)</f>
        <v>2 - 5</v>
      </c>
      <c r="P92" s="107">
        <f t="shared" si="48"/>
        <v>3</v>
      </c>
      <c r="AF92" s="123">
        <f>MAX(AF80:AF91)+1</f>
        <v>2</v>
      </c>
      <c r="AG92" s="123">
        <f>MAX(AG80:AG91)+1</f>
        <v>2</v>
      </c>
      <c r="AH92" s="123">
        <f>MAX(AH80:AH91)+1</f>
        <v>3</v>
      </c>
      <c r="AI92" s="123">
        <f>MAX(AI80:AI91)+1</f>
        <v>7</v>
      </c>
      <c r="AJ92" s="123">
        <f>MAX(AJ80:AJ91)+1</f>
        <v>7</v>
      </c>
      <c r="AL92" s="123">
        <f>MIN(AL80:AL91)</f>
        <v>-3</v>
      </c>
      <c r="AM92" s="123">
        <f>MAX(AM80:AM91)+1</f>
        <v>4</v>
      </c>
      <c r="AN92" s="123">
        <f>MAX(AN80:AN91)+1</f>
        <v>5</v>
      </c>
      <c r="AS92" s="126" t="b">
        <f>SUM(K9:K78)=144</f>
        <v>1</v>
      </c>
    </row>
    <row r="93" spans="1:46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Germany</v>
      </c>
      <c r="T102" s="127" t="str" cm="1">
        <f t="array" ref="T102">IF(OR(S102="",S102="draw"),INDEX(T,98,lang),S102)</f>
        <v>Germany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4.4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/>
    <row r="2" spans="2:11" ht="21">
      <c r="B2" s="108" t="s">
        <v>3194</v>
      </c>
    </row>
    <row r="3" spans="2:11">
      <c r="B3" s="109">
        <f>MATCH(C3,C6:C500,0)</f>
        <v>407</v>
      </c>
      <c r="C3" s="121" t="str">
        <f>'2026 World Cup'!AR91</f>
        <v>ABCEFIKL</v>
      </c>
      <c r="D3" s="121" t="str">
        <f>VLOOKUP($C3,$C$6:$K$500,2,FALSE)</f>
        <v>3E</v>
      </c>
      <c r="E3" s="121" t="str">
        <f>VLOOKUP($C3,$C$6:$K$500,3,FALSE)</f>
        <v>3I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3K</v>
      </c>
    </row>
    <row r="5" spans="2:11" ht="19.5" customHeight="1">
      <c r="B5" s="84" t="s">
        <v>3195</v>
      </c>
      <c r="C5" s="85"/>
      <c r="D5" s="86" t="s">
        <v>3196</v>
      </c>
      <c r="E5" s="86" t="s">
        <v>3197</v>
      </c>
      <c r="F5" s="86" t="s">
        <v>3198</v>
      </c>
      <c r="G5" s="86" t="s">
        <v>3199</v>
      </c>
      <c r="H5" s="86" t="s">
        <v>3200</v>
      </c>
      <c r="I5" s="86" t="s">
        <v>3201</v>
      </c>
      <c r="J5" s="86" t="s">
        <v>3202</v>
      </c>
      <c r="K5" s="87" t="s">
        <v>3203</v>
      </c>
    </row>
    <row r="6" spans="2:11">
      <c r="B6" s="88">
        <v>1</v>
      </c>
      <c r="C6" s="83" t="s">
        <v>3204</v>
      </c>
      <c r="D6" s="83" t="s">
        <v>3186</v>
      </c>
      <c r="E6" s="83" t="s">
        <v>3191</v>
      </c>
      <c r="F6" s="83" t="s">
        <v>3190</v>
      </c>
      <c r="G6" s="83" t="s">
        <v>3187</v>
      </c>
      <c r="H6" s="83" t="s">
        <v>3189</v>
      </c>
      <c r="I6" s="83" t="s">
        <v>3188</v>
      </c>
      <c r="J6" s="83" t="s">
        <v>3193</v>
      </c>
      <c r="K6" s="89" t="s">
        <v>3192</v>
      </c>
    </row>
    <row r="7" spans="2:11">
      <c r="B7" s="88">
        <v>2</v>
      </c>
      <c r="C7" s="83" t="s">
        <v>3205</v>
      </c>
      <c r="D7" s="83" t="s">
        <v>3189</v>
      </c>
      <c r="E7" s="83" t="s">
        <v>3188</v>
      </c>
      <c r="F7" s="83" t="s">
        <v>3190</v>
      </c>
      <c r="G7" s="83" t="s">
        <v>3185</v>
      </c>
      <c r="H7" s="83" t="s">
        <v>3191</v>
      </c>
      <c r="I7" s="83" t="s">
        <v>3187</v>
      </c>
      <c r="J7" s="83" t="s">
        <v>3193</v>
      </c>
      <c r="K7" s="89" t="s">
        <v>3192</v>
      </c>
    </row>
    <row r="8" spans="2:11">
      <c r="B8" s="88">
        <v>3</v>
      </c>
      <c r="C8" s="83" t="s">
        <v>3206</v>
      </c>
      <c r="D8" s="83" t="s">
        <v>3186</v>
      </c>
      <c r="E8" s="83" t="s">
        <v>3191</v>
      </c>
      <c r="F8" s="83" t="s">
        <v>3190</v>
      </c>
      <c r="G8" s="83" t="s">
        <v>3185</v>
      </c>
      <c r="H8" s="83" t="s">
        <v>3189</v>
      </c>
      <c r="I8" s="83" t="s">
        <v>3188</v>
      </c>
      <c r="J8" s="83" t="s">
        <v>3193</v>
      </c>
      <c r="K8" s="89" t="s">
        <v>3192</v>
      </c>
    </row>
    <row r="9" spans="2:11">
      <c r="B9" s="88">
        <v>4</v>
      </c>
      <c r="C9" s="83" t="s">
        <v>3207</v>
      </c>
      <c r="D9" s="83" t="s">
        <v>3186</v>
      </c>
      <c r="E9" s="83" t="s">
        <v>3191</v>
      </c>
      <c r="F9" s="83" t="s">
        <v>3190</v>
      </c>
      <c r="G9" s="83" t="s">
        <v>3185</v>
      </c>
      <c r="H9" s="83" t="s">
        <v>3189</v>
      </c>
      <c r="I9" s="83" t="s">
        <v>3187</v>
      </c>
      <c r="J9" s="83" t="s">
        <v>3193</v>
      </c>
      <c r="K9" s="89" t="s">
        <v>3192</v>
      </c>
    </row>
    <row r="10" spans="2:11">
      <c r="B10" s="88">
        <v>5</v>
      </c>
      <c r="C10" s="83" t="s">
        <v>3208</v>
      </c>
      <c r="D10" s="83" t="s">
        <v>3186</v>
      </c>
      <c r="E10" s="83" t="s">
        <v>3188</v>
      </c>
      <c r="F10" s="83" t="s">
        <v>3190</v>
      </c>
      <c r="G10" s="83" t="s">
        <v>3185</v>
      </c>
      <c r="H10" s="83" t="s">
        <v>3191</v>
      </c>
      <c r="I10" s="83" t="s">
        <v>3187</v>
      </c>
      <c r="J10" s="83" t="s">
        <v>3193</v>
      </c>
      <c r="K10" s="89" t="s">
        <v>3192</v>
      </c>
    </row>
    <row r="11" spans="2:11">
      <c r="B11" s="88">
        <v>6</v>
      </c>
      <c r="C11" s="83" t="s">
        <v>3209</v>
      </c>
      <c r="D11" s="83" t="s">
        <v>3186</v>
      </c>
      <c r="E11" s="83" t="s">
        <v>3188</v>
      </c>
      <c r="F11" s="83" t="s">
        <v>3191</v>
      </c>
      <c r="G11" s="83" t="s">
        <v>3185</v>
      </c>
      <c r="H11" s="83" t="s">
        <v>3189</v>
      </c>
      <c r="I11" s="83" t="s">
        <v>3187</v>
      </c>
      <c r="J11" s="83" t="s">
        <v>3193</v>
      </c>
      <c r="K11" s="89" t="s">
        <v>3192</v>
      </c>
    </row>
    <row r="12" spans="2:11">
      <c r="B12" s="88">
        <v>7</v>
      </c>
      <c r="C12" s="83" t="s">
        <v>3210</v>
      </c>
      <c r="D12" s="83" t="s">
        <v>3186</v>
      </c>
      <c r="E12" s="83" t="s">
        <v>3188</v>
      </c>
      <c r="F12" s="83" t="s">
        <v>3190</v>
      </c>
      <c r="G12" s="83" t="s">
        <v>3185</v>
      </c>
      <c r="H12" s="83" t="s">
        <v>3189</v>
      </c>
      <c r="I12" s="83" t="s">
        <v>3187</v>
      </c>
      <c r="J12" s="83" t="s">
        <v>3193</v>
      </c>
      <c r="K12" s="89" t="s">
        <v>3192</v>
      </c>
    </row>
    <row r="13" spans="2:11">
      <c r="B13" s="88">
        <v>8</v>
      </c>
      <c r="C13" s="83" t="s">
        <v>3211</v>
      </c>
      <c r="D13" s="83" t="s">
        <v>3186</v>
      </c>
      <c r="E13" s="83" t="s">
        <v>3188</v>
      </c>
      <c r="F13" s="83" t="s">
        <v>3191</v>
      </c>
      <c r="G13" s="83" t="s">
        <v>3185</v>
      </c>
      <c r="H13" s="83" t="s">
        <v>3189</v>
      </c>
      <c r="I13" s="83" t="s">
        <v>3187</v>
      </c>
      <c r="J13" s="83" t="s">
        <v>3193</v>
      </c>
      <c r="K13" s="89" t="s">
        <v>3190</v>
      </c>
    </row>
    <row r="14" spans="2:11">
      <c r="B14" s="88">
        <v>9</v>
      </c>
      <c r="C14" s="83" t="s">
        <v>3212</v>
      </c>
      <c r="D14" s="83" t="s">
        <v>3186</v>
      </c>
      <c r="E14" s="83" t="s">
        <v>3188</v>
      </c>
      <c r="F14" s="83" t="s">
        <v>3191</v>
      </c>
      <c r="G14" s="83" t="s">
        <v>3185</v>
      </c>
      <c r="H14" s="83" t="s">
        <v>3189</v>
      </c>
      <c r="I14" s="83" t="s">
        <v>3187</v>
      </c>
      <c r="J14" s="83" t="s">
        <v>3190</v>
      </c>
      <c r="K14" s="89" t="s">
        <v>3192</v>
      </c>
    </row>
    <row r="15" spans="2:11">
      <c r="B15" s="88">
        <v>10</v>
      </c>
      <c r="C15" s="83" t="s">
        <v>3213</v>
      </c>
      <c r="D15" s="83" t="s">
        <v>3189</v>
      </c>
      <c r="E15" s="83" t="s">
        <v>3188</v>
      </c>
      <c r="F15" s="83" t="s">
        <v>3190</v>
      </c>
      <c r="G15" s="83" t="s">
        <v>3183</v>
      </c>
      <c r="H15" s="83" t="s">
        <v>3191</v>
      </c>
      <c r="I15" s="83" t="s">
        <v>3187</v>
      </c>
      <c r="J15" s="83" t="s">
        <v>3193</v>
      </c>
      <c r="K15" s="89" t="s">
        <v>3192</v>
      </c>
    </row>
    <row r="16" spans="2:11">
      <c r="B16" s="88">
        <v>11</v>
      </c>
      <c r="C16" s="83" t="s">
        <v>3214</v>
      </c>
      <c r="D16" s="83" t="s">
        <v>3186</v>
      </c>
      <c r="E16" s="83" t="s">
        <v>3191</v>
      </c>
      <c r="F16" s="83" t="s">
        <v>3190</v>
      </c>
      <c r="G16" s="83" t="s">
        <v>3183</v>
      </c>
      <c r="H16" s="83" t="s">
        <v>3189</v>
      </c>
      <c r="I16" s="83" t="s">
        <v>3188</v>
      </c>
      <c r="J16" s="83" t="s">
        <v>3193</v>
      </c>
      <c r="K16" s="89" t="s">
        <v>3192</v>
      </c>
    </row>
    <row r="17" spans="2:11">
      <c r="B17" s="88">
        <v>12</v>
      </c>
      <c r="C17" s="83" t="s">
        <v>3215</v>
      </c>
      <c r="D17" s="83" t="s">
        <v>3186</v>
      </c>
      <c r="E17" s="83" t="s">
        <v>3191</v>
      </c>
      <c r="F17" s="83" t="s">
        <v>3190</v>
      </c>
      <c r="G17" s="83" t="s">
        <v>3183</v>
      </c>
      <c r="H17" s="83" t="s">
        <v>3189</v>
      </c>
      <c r="I17" s="83" t="s">
        <v>3187</v>
      </c>
      <c r="J17" s="83" t="s">
        <v>3193</v>
      </c>
      <c r="K17" s="89" t="s">
        <v>3192</v>
      </c>
    </row>
    <row r="18" spans="2:11">
      <c r="B18" s="88">
        <v>13</v>
      </c>
      <c r="C18" s="83" t="s">
        <v>3216</v>
      </c>
      <c r="D18" s="83" t="s">
        <v>3186</v>
      </c>
      <c r="E18" s="83" t="s">
        <v>3188</v>
      </c>
      <c r="F18" s="83" t="s">
        <v>3190</v>
      </c>
      <c r="G18" s="83" t="s">
        <v>3183</v>
      </c>
      <c r="H18" s="83" t="s">
        <v>3191</v>
      </c>
      <c r="I18" s="83" t="s">
        <v>3187</v>
      </c>
      <c r="J18" s="83" t="s">
        <v>3193</v>
      </c>
      <c r="K18" s="89" t="s">
        <v>3192</v>
      </c>
    </row>
    <row r="19" spans="2:11">
      <c r="B19" s="88">
        <v>14</v>
      </c>
      <c r="C19" s="83" t="s">
        <v>3217</v>
      </c>
      <c r="D19" s="83" t="s">
        <v>3186</v>
      </c>
      <c r="E19" s="83" t="s">
        <v>3188</v>
      </c>
      <c r="F19" s="83" t="s">
        <v>3191</v>
      </c>
      <c r="G19" s="83" t="s">
        <v>3183</v>
      </c>
      <c r="H19" s="83" t="s">
        <v>3189</v>
      </c>
      <c r="I19" s="83" t="s">
        <v>3187</v>
      </c>
      <c r="J19" s="83" t="s">
        <v>3193</v>
      </c>
      <c r="K19" s="89" t="s">
        <v>3192</v>
      </c>
    </row>
    <row r="20" spans="2:11">
      <c r="B20" s="88">
        <v>15</v>
      </c>
      <c r="C20" s="83" t="s">
        <v>3218</v>
      </c>
      <c r="D20" s="83" t="s">
        <v>3186</v>
      </c>
      <c r="E20" s="83" t="s">
        <v>3188</v>
      </c>
      <c r="F20" s="83" t="s">
        <v>3190</v>
      </c>
      <c r="G20" s="83" t="s">
        <v>3183</v>
      </c>
      <c r="H20" s="83" t="s">
        <v>3189</v>
      </c>
      <c r="I20" s="83" t="s">
        <v>3187</v>
      </c>
      <c r="J20" s="83" t="s">
        <v>3193</v>
      </c>
      <c r="K20" s="89" t="s">
        <v>3192</v>
      </c>
    </row>
    <row r="21" spans="2:11">
      <c r="B21" s="88">
        <v>16</v>
      </c>
      <c r="C21" s="83" t="s">
        <v>3219</v>
      </c>
      <c r="D21" s="83" t="s">
        <v>3186</v>
      </c>
      <c r="E21" s="83" t="s">
        <v>3188</v>
      </c>
      <c r="F21" s="83" t="s">
        <v>3191</v>
      </c>
      <c r="G21" s="83" t="s">
        <v>3183</v>
      </c>
      <c r="H21" s="83" t="s">
        <v>3189</v>
      </c>
      <c r="I21" s="83" t="s">
        <v>3187</v>
      </c>
      <c r="J21" s="83" t="s">
        <v>3193</v>
      </c>
      <c r="K21" s="89" t="s">
        <v>3190</v>
      </c>
    </row>
    <row r="22" spans="2:11">
      <c r="B22" s="88">
        <v>17</v>
      </c>
      <c r="C22" s="83" t="s">
        <v>3220</v>
      </c>
      <c r="D22" s="83" t="s">
        <v>3186</v>
      </c>
      <c r="E22" s="83" t="s">
        <v>3188</v>
      </c>
      <c r="F22" s="83" t="s">
        <v>3191</v>
      </c>
      <c r="G22" s="83" t="s">
        <v>3183</v>
      </c>
      <c r="H22" s="83" t="s">
        <v>3189</v>
      </c>
      <c r="I22" s="83" t="s">
        <v>3187</v>
      </c>
      <c r="J22" s="83" t="s">
        <v>3190</v>
      </c>
      <c r="K22" s="89" t="s">
        <v>3192</v>
      </c>
    </row>
    <row r="23" spans="2:11">
      <c r="B23" s="88">
        <v>18</v>
      </c>
      <c r="C23" s="83" t="s">
        <v>3221</v>
      </c>
      <c r="D23" s="83" t="s">
        <v>3189</v>
      </c>
      <c r="E23" s="83" t="s">
        <v>3188</v>
      </c>
      <c r="F23" s="83" t="s">
        <v>3190</v>
      </c>
      <c r="G23" s="83" t="s">
        <v>3183</v>
      </c>
      <c r="H23" s="83" t="s">
        <v>3191</v>
      </c>
      <c r="I23" s="83" t="s">
        <v>3185</v>
      </c>
      <c r="J23" s="83" t="s">
        <v>3193</v>
      </c>
      <c r="K23" s="89" t="s">
        <v>3192</v>
      </c>
    </row>
    <row r="24" spans="2:11">
      <c r="B24" s="88">
        <v>19</v>
      </c>
      <c r="C24" s="83" t="s">
        <v>3222</v>
      </c>
      <c r="D24" s="83" t="s">
        <v>3183</v>
      </c>
      <c r="E24" s="83" t="s">
        <v>3191</v>
      </c>
      <c r="F24" s="83" t="s">
        <v>3190</v>
      </c>
      <c r="G24" s="83" t="s">
        <v>3185</v>
      </c>
      <c r="H24" s="83" t="s">
        <v>3189</v>
      </c>
      <c r="I24" s="83" t="s">
        <v>3187</v>
      </c>
      <c r="J24" s="83" t="s">
        <v>3193</v>
      </c>
      <c r="K24" s="89" t="s">
        <v>3192</v>
      </c>
    </row>
    <row r="25" spans="2:11">
      <c r="B25" s="88">
        <v>20</v>
      </c>
      <c r="C25" s="83" t="s">
        <v>3223</v>
      </c>
      <c r="D25" s="83" t="s">
        <v>3183</v>
      </c>
      <c r="E25" s="83" t="s">
        <v>3188</v>
      </c>
      <c r="F25" s="83" t="s">
        <v>3190</v>
      </c>
      <c r="G25" s="83" t="s">
        <v>3185</v>
      </c>
      <c r="H25" s="83" t="s">
        <v>3191</v>
      </c>
      <c r="I25" s="83" t="s">
        <v>3187</v>
      </c>
      <c r="J25" s="83" t="s">
        <v>3193</v>
      </c>
      <c r="K25" s="89" t="s">
        <v>3192</v>
      </c>
    </row>
    <row r="26" spans="2:11">
      <c r="B26" s="88">
        <v>21</v>
      </c>
      <c r="C26" s="83" t="s">
        <v>3224</v>
      </c>
      <c r="D26" s="83" t="s">
        <v>3183</v>
      </c>
      <c r="E26" s="83" t="s">
        <v>3188</v>
      </c>
      <c r="F26" s="83" t="s">
        <v>3191</v>
      </c>
      <c r="G26" s="83" t="s">
        <v>3185</v>
      </c>
      <c r="H26" s="83" t="s">
        <v>3189</v>
      </c>
      <c r="I26" s="83" t="s">
        <v>3187</v>
      </c>
      <c r="J26" s="83" t="s">
        <v>3193</v>
      </c>
      <c r="K26" s="89" t="s">
        <v>3192</v>
      </c>
    </row>
    <row r="27" spans="2:11">
      <c r="B27" s="88">
        <v>22</v>
      </c>
      <c r="C27" s="83" t="s">
        <v>3225</v>
      </c>
      <c r="D27" s="83" t="s">
        <v>3183</v>
      </c>
      <c r="E27" s="83" t="s">
        <v>3188</v>
      </c>
      <c r="F27" s="83" t="s">
        <v>3190</v>
      </c>
      <c r="G27" s="83" t="s">
        <v>3185</v>
      </c>
      <c r="H27" s="83" t="s">
        <v>3189</v>
      </c>
      <c r="I27" s="83" t="s">
        <v>3187</v>
      </c>
      <c r="J27" s="83" t="s">
        <v>3193</v>
      </c>
      <c r="K27" s="89" t="s">
        <v>3192</v>
      </c>
    </row>
    <row r="28" spans="2:11">
      <c r="B28" s="88">
        <v>23</v>
      </c>
      <c r="C28" s="83" t="s">
        <v>3226</v>
      </c>
      <c r="D28" s="83" t="s">
        <v>3183</v>
      </c>
      <c r="E28" s="83" t="s">
        <v>3188</v>
      </c>
      <c r="F28" s="83" t="s">
        <v>3191</v>
      </c>
      <c r="G28" s="83" t="s">
        <v>3185</v>
      </c>
      <c r="H28" s="83" t="s">
        <v>3189</v>
      </c>
      <c r="I28" s="83" t="s">
        <v>3187</v>
      </c>
      <c r="J28" s="83" t="s">
        <v>3193</v>
      </c>
      <c r="K28" s="89" t="s">
        <v>3190</v>
      </c>
    </row>
    <row r="29" spans="2:11">
      <c r="B29" s="88">
        <v>24</v>
      </c>
      <c r="C29" s="83" t="s">
        <v>3227</v>
      </c>
      <c r="D29" s="83" t="s">
        <v>3183</v>
      </c>
      <c r="E29" s="83" t="s">
        <v>3188</v>
      </c>
      <c r="F29" s="83" t="s">
        <v>3191</v>
      </c>
      <c r="G29" s="83" t="s">
        <v>3185</v>
      </c>
      <c r="H29" s="83" t="s">
        <v>3189</v>
      </c>
      <c r="I29" s="83" t="s">
        <v>3187</v>
      </c>
      <c r="J29" s="83" t="s">
        <v>3190</v>
      </c>
      <c r="K29" s="89" t="s">
        <v>3192</v>
      </c>
    </row>
    <row r="30" spans="2:11">
      <c r="B30" s="88">
        <v>25</v>
      </c>
      <c r="C30" s="83" t="s">
        <v>3228</v>
      </c>
      <c r="D30" s="83" t="s">
        <v>3186</v>
      </c>
      <c r="E30" s="83" t="s">
        <v>3191</v>
      </c>
      <c r="F30" s="83" t="s">
        <v>3190</v>
      </c>
      <c r="G30" s="83" t="s">
        <v>3183</v>
      </c>
      <c r="H30" s="83" t="s">
        <v>3189</v>
      </c>
      <c r="I30" s="83" t="s">
        <v>3185</v>
      </c>
      <c r="J30" s="83" t="s">
        <v>3193</v>
      </c>
      <c r="K30" s="89" t="s">
        <v>3192</v>
      </c>
    </row>
    <row r="31" spans="2:11">
      <c r="B31" s="88">
        <v>26</v>
      </c>
      <c r="C31" s="83" t="s">
        <v>3229</v>
      </c>
      <c r="D31" s="83" t="s">
        <v>3186</v>
      </c>
      <c r="E31" s="83" t="s">
        <v>3188</v>
      </c>
      <c r="F31" s="83" t="s">
        <v>3190</v>
      </c>
      <c r="G31" s="83" t="s">
        <v>3183</v>
      </c>
      <c r="H31" s="83" t="s">
        <v>3191</v>
      </c>
      <c r="I31" s="83" t="s">
        <v>3185</v>
      </c>
      <c r="J31" s="83" t="s">
        <v>3193</v>
      </c>
      <c r="K31" s="89" t="s">
        <v>3192</v>
      </c>
    </row>
    <row r="32" spans="2:11">
      <c r="B32" s="88">
        <v>27</v>
      </c>
      <c r="C32" s="83" t="s">
        <v>3230</v>
      </c>
      <c r="D32" s="83" t="s">
        <v>3186</v>
      </c>
      <c r="E32" s="83" t="s">
        <v>3188</v>
      </c>
      <c r="F32" s="83" t="s">
        <v>3191</v>
      </c>
      <c r="G32" s="83" t="s">
        <v>3183</v>
      </c>
      <c r="H32" s="83" t="s">
        <v>3189</v>
      </c>
      <c r="I32" s="83" t="s">
        <v>3185</v>
      </c>
      <c r="J32" s="83" t="s">
        <v>3193</v>
      </c>
      <c r="K32" s="89" t="s">
        <v>3192</v>
      </c>
    </row>
    <row r="33" spans="2:11">
      <c r="B33" s="88">
        <v>28</v>
      </c>
      <c r="C33" s="83" t="s">
        <v>3231</v>
      </c>
      <c r="D33" s="83" t="s">
        <v>3186</v>
      </c>
      <c r="E33" s="83" t="s">
        <v>3188</v>
      </c>
      <c r="F33" s="83" t="s">
        <v>3190</v>
      </c>
      <c r="G33" s="83" t="s">
        <v>3183</v>
      </c>
      <c r="H33" s="83" t="s">
        <v>3189</v>
      </c>
      <c r="I33" s="83" t="s">
        <v>3185</v>
      </c>
      <c r="J33" s="83" t="s">
        <v>3193</v>
      </c>
      <c r="K33" s="89" t="s">
        <v>3192</v>
      </c>
    </row>
    <row r="34" spans="2:11">
      <c r="B34" s="88">
        <v>29</v>
      </c>
      <c r="C34" s="83" t="s">
        <v>3232</v>
      </c>
      <c r="D34" s="83" t="s">
        <v>3186</v>
      </c>
      <c r="E34" s="83" t="s">
        <v>3188</v>
      </c>
      <c r="F34" s="83" t="s">
        <v>3191</v>
      </c>
      <c r="G34" s="83" t="s">
        <v>3183</v>
      </c>
      <c r="H34" s="83" t="s">
        <v>3189</v>
      </c>
      <c r="I34" s="83" t="s">
        <v>3185</v>
      </c>
      <c r="J34" s="83" t="s">
        <v>3193</v>
      </c>
      <c r="K34" s="89" t="s">
        <v>3190</v>
      </c>
    </row>
    <row r="35" spans="2:11">
      <c r="B35" s="88">
        <v>30</v>
      </c>
      <c r="C35" s="83" t="s">
        <v>3233</v>
      </c>
      <c r="D35" s="83" t="s">
        <v>3186</v>
      </c>
      <c r="E35" s="83" t="s">
        <v>3188</v>
      </c>
      <c r="F35" s="83" t="s">
        <v>3191</v>
      </c>
      <c r="G35" s="83" t="s">
        <v>3183</v>
      </c>
      <c r="H35" s="83" t="s">
        <v>3189</v>
      </c>
      <c r="I35" s="83" t="s">
        <v>3185</v>
      </c>
      <c r="J35" s="83" t="s">
        <v>3190</v>
      </c>
      <c r="K35" s="89" t="s">
        <v>3192</v>
      </c>
    </row>
    <row r="36" spans="2:11">
      <c r="B36" s="88">
        <v>31</v>
      </c>
      <c r="C36" s="83" t="s">
        <v>3234</v>
      </c>
      <c r="D36" s="83" t="s">
        <v>3183</v>
      </c>
      <c r="E36" s="83" t="s">
        <v>3191</v>
      </c>
      <c r="F36" s="83" t="s">
        <v>3186</v>
      </c>
      <c r="G36" s="83" t="s">
        <v>3185</v>
      </c>
      <c r="H36" s="83" t="s">
        <v>3190</v>
      </c>
      <c r="I36" s="83" t="s">
        <v>3187</v>
      </c>
      <c r="J36" s="83" t="s">
        <v>3193</v>
      </c>
      <c r="K36" s="89" t="s">
        <v>3192</v>
      </c>
    </row>
    <row r="37" spans="2:11">
      <c r="B37" s="88">
        <v>32</v>
      </c>
      <c r="C37" s="83" t="s">
        <v>3235</v>
      </c>
      <c r="D37" s="83" t="s">
        <v>3183</v>
      </c>
      <c r="E37" s="83" t="s">
        <v>3191</v>
      </c>
      <c r="F37" s="83" t="s">
        <v>3186</v>
      </c>
      <c r="G37" s="83" t="s">
        <v>3185</v>
      </c>
      <c r="H37" s="83" t="s">
        <v>3189</v>
      </c>
      <c r="I37" s="83" t="s">
        <v>3187</v>
      </c>
      <c r="J37" s="83" t="s">
        <v>3193</v>
      </c>
      <c r="K37" s="89" t="s">
        <v>3192</v>
      </c>
    </row>
    <row r="38" spans="2:11">
      <c r="B38" s="88">
        <v>33</v>
      </c>
      <c r="C38" s="83" t="s">
        <v>3236</v>
      </c>
      <c r="D38" s="83" t="s">
        <v>3183</v>
      </c>
      <c r="E38" s="83" t="s">
        <v>3186</v>
      </c>
      <c r="F38" s="83" t="s">
        <v>3190</v>
      </c>
      <c r="G38" s="83" t="s">
        <v>3185</v>
      </c>
      <c r="H38" s="83" t="s">
        <v>3189</v>
      </c>
      <c r="I38" s="83" t="s">
        <v>3187</v>
      </c>
      <c r="J38" s="83" t="s">
        <v>3193</v>
      </c>
      <c r="K38" s="89" t="s">
        <v>3192</v>
      </c>
    </row>
    <row r="39" spans="2:11">
      <c r="B39" s="88">
        <v>34</v>
      </c>
      <c r="C39" s="83" t="s">
        <v>3237</v>
      </c>
      <c r="D39" s="83" t="s">
        <v>3183</v>
      </c>
      <c r="E39" s="83" t="s">
        <v>3191</v>
      </c>
      <c r="F39" s="83" t="s">
        <v>3186</v>
      </c>
      <c r="G39" s="83" t="s">
        <v>3185</v>
      </c>
      <c r="H39" s="83" t="s">
        <v>3189</v>
      </c>
      <c r="I39" s="83" t="s">
        <v>3187</v>
      </c>
      <c r="J39" s="83" t="s">
        <v>3193</v>
      </c>
      <c r="K39" s="89" t="s">
        <v>3190</v>
      </c>
    </row>
    <row r="40" spans="2:11">
      <c r="B40" s="88">
        <v>35</v>
      </c>
      <c r="C40" s="83" t="s">
        <v>3238</v>
      </c>
      <c r="D40" s="83" t="s">
        <v>3183</v>
      </c>
      <c r="E40" s="83" t="s">
        <v>3191</v>
      </c>
      <c r="F40" s="83" t="s">
        <v>3186</v>
      </c>
      <c r="G40" s="83" t="s">
        <v>3185</v>
      </c>
      <c r="H40" s="83" t="s">
        <v>3189</v>
      </c>
      <c r="I40" s="83" t="s">
        <v>3187</v>
      </c>
      <c r="J40" s="83" t="s">
        <v>3190</v>
      </c>
      <c r="K40" s="89" t="s">
        <v>3192</v>
      </c>
    </row>
    <row r="41" spans="2:11">
      <c r="B41" s="88">
        <v>36</v>
      </c>
      <c r="C41" s="83" t="s">
        <v>3239</v>
      </c>
      <c r="D41" s="83" t="s">
        <v>3183</v>
      </c>
      <c r="E41" s="83" t="s">
        <v>3188</v>
      </c>
      <c r="F41" s="83" t="s">
        <v>3186</v>
      </c>
      <c r="G41" s="83" t="s">
        <v>3185</v>
      </c>
      <c r="H41" s="83" t="s">
        <v>3191</v>
      </c>
      <c r="I41" s="83" t="s">
        <v>3187</v>
      </c>
      <c r="J41" s="83" t="s">
        <v>3193</v>
      </c>
      <c r="K41" s="89" t="s">
        <v>3192</v>
      </c>
    </row>
    <row r="42" spans="2:11">
      <c r="B42" s="88">
        <v>37</v>
      </c>
      <c r="C42" s="83" t="s">
        <v>3240</v>
      </c>
      <c r="D42" s="83" t="s">
        <v>3183</v>
      </c>
      <c r="E42" s="83" t="s">
        <v>3188</v>
      </c>
      <c r="F42" s="83" t="s">
        <v>3186</v>
      </c>
      <c r="G42" s="83" t="s">
        <v>3185</v>
      </c>
      <c r="H42" s="83" t="s">
        <v>3190</v>
      </c>
      <c r="I42" s="83" t="s">
        <v>3187</v>
      </c>
      <c r="J42" s="83" t="s">
        <v>3193</v>
      </c>
      <c r="K42" s="89" t="s">
        <v>3192</v>
      </c>
    </row>
    <row r="43" spans="2:11">
      <c r="B43" s="88">
        <v>38</v>
      </c>
      <c r="C43" s="83" t="s">
        <v>3241</v>
      </c>
      <c r="D43" s="83" t="s">
        <v>3183</v>
      </c>
      <c r="E43" s="83" t="s">
        <v>3188</v>
      </c>
      <c r="F43" s="83" t="s">
        <v>3186</v>
      </c>
      <c r="G43" s="83" t="s">
        <v>3185</v>
      </c>
      <c r="H43" s="83" t="s">
        <v>3191</v>
      </c>
      <c r="I43" s="83" t="s">
        <v>3187</v>
      </c>
      <c r="J43" s="83" t="s">
        <v>3193</v>
      </c>
      <c r="K43" s="89" t="s">
        <v>3190</v>
      </c>
    </row>
    <row r="44" spans="2:11">
      <c r="B44" s="88">
        <v>39</v>
      </c>
      <c r="C44" s="83" t="s">
        <v>3242</v>
      </c>
      <c r="D44" s="83" t="s">
        <v>3183</v>
      </c>
      <c r="E44" s="83" t="s">
        <v>3188</v>
      </c>
      <c r="F44" s="83" t="s">
        <v>3186</v>
      </c>
      <c r="G44" s="83" t="s">
        <v>3185</v>
      </c>
      <c r="H44" s="83" t="s">
        <v>3191</v>
      </c>
      <c r="I44" s="83" t="s">
        <v>3187</v>
      </c>
      <c r="J44" s="83" t="s">
        <v>3190</v>
      </c>
      <c r="K44" s="89" t="s">
        <v>3192</v>
      </c>
    </row>
    <row r="45" spans="2:11">
      <c r="B45" s="88">
        <v>40</v>
      </c>
      <c r="C45" s="83" t="s">
        <v>3243</v>
      </c>
      <c r="D45" s="83" t="s">
        <v>3183</v>
      </c>
      <c r="E45" s="83" t="s">
        <v>3188</v>
      </c>
      <c r="F45" s="83" t="s">
        <v>3186</v>
      </c>
      <c r="G45" s="83" t="s">
        <v>3185</v>
      </c>
      <c r="H45" s="83" t="s">
        <v>3189</v>
      </c>
      <c r="I45" s="83" t="s">
        <v>3187</v>
      </c>
      <c r="J45" s="83" t="s">
        <v>3193</v>
      </c>
      <c r="K45" s="89" t="s">
        <v>3192</v>
      </c>
    </row>
    <row r="46" spans="2:11">
      <c r="B46" s="88">
        <v>41</v>
      </c>
      <c r="C46" s="83" t="s">
        <v>3244</v>
      </c>
      <c r="D46" s="83" t="s">
        <v>3183</v>
      </c>
      <c r="E46" s="83" t="s">
        <v>3188</v>
      </c>
      <c r="F46" s="83" t="s">
        <v>3191</v>
      </c>
      <c r="G46" s="83" t="s">
        <v>3185</v>
      </c>
      <c r="H46" s="83" t="s">
        <v>3189</v>
      </c>
      <c r="I46" s="83" t="s">
        <v>3187</v>
      </c>
      <c r="J46" s="83" t="s">
        <v>3193</v>
      </c>
      <c r="K46" s="89" t="s">
        <v>3186</v>
      </c>
    </row>
    <row r="47" spans="2:11">
      <c r="B47" s="88">
        <v>42</v>
      </c>
      <c r="C47" s="83" t="s">
        <v>3245</v>
      </c>
      <c r="D47" s="83" t="s">
        <v>3183</v>
      </c>
      <c r="E47" s="83" t="s">
        <v>3188</v>
      </c>
      <c r="F47" s="83" t="s">
        <v>3191</v>
      </c>
      <c r="G47" s="83" t="s">
        <v>3185</v>
      </c>
      <c r="H47" s="83" t="s">
        <v>3189</v>
      </c>
      <c r="I47" s="83" t="s">
        <v>3187</v>
      </c>
      <c r="J47" s="83" t="s">
        <v>3186</v>
      </c>
      <c r="K47" s="89" t="s">
        <v>3192</v>
      </c>
    </row>
    <row r="48" spans="2:11">
      <c r="B48" s="88">
        <v>43</v>
      </c>
      <c r="C48" s="83" t="s">
        <v>3246</v>
      </c>
      <c r="D48" s="83" t="s">
        <v>3183</v>
      </c>
      <c r="E48" s="83" t="s">
        <v>3188</v>
      </c>
      <c r="F48" s="83" t="s">
        <v>3186</v>
      </c>
      <c r="G48" s="83" t="s">
        <v>3185</v>
      </c>
      <c r="H48" s="83" t="s">
        <v>3189</v>
      </c>
      <c r="I48" s="83" t="s">
        <v>3187</v>
      </c>
      <c r="J48" s="83" t="s">
        <v>3193</v>
      </c>
      <c r="K48" s="89" t="s">
        <v>3190</v>
      </c>
    </row>
    <row r="49" spans="2:11">
      <c r="B49" s="88">
        <v>44</v>
      </c>
      <c r="C49" s="83" t="s">
        <v>3247</v>
      </c>
      <c r="D49" s="83" t="s">
        <v>3183</v>
      </c>
      <c r="E49" s="83" t="s">
        <v>3188</v>
      </c>
      <c r="F49" s="83" t="s">
        <v>3186</v>
      </c>
      <c r="G49" s="83" t="s">
        <v>3185</v>
      </c>
      <c r="H49" s="83" t="s">
        <v>3189</v>
      </c>
      <c r="I49" s="83" t="s">
        <v>3187</v>
      </c>
      <c r="J49" s="83" t="s">
        <v>3190</v>
      </c>
      <c r="K49" s="89" t="s">
        <v>3192</v>
      </c>
    </row>
    <row r="50" spans="2:11">
      <c r="B50" s="88">
        <v>45</v>
      </c>
      <c r="C50" s="83" t="s">
        <v>3248</v>
      </c>
      <c r="D50" s="83" t="s">
        <v>3183</v>
      </c>
      <c r="E50" s="83" t="s">
        <v>3188</v>
      </c>
      <c r="F50" s="83" t="s">
        <v>3191</v>
      </c>
      <c r="G50" s="83" t="s">
        <v>3185</v>
      </c>
      <c r="H50" s="83" t="s">
        <v>3189</v>
      </c>
      <c r="I50" s="83" t="s">
        <v>3187</v>
      </c>
      <c r="J50" s="83" t="s">
        <v>3186</v>
      </c>
      <c r="K50" s="89" t="s">
        <v>3190</v>
      </c>
    </row>
    <row r="51" spans="2:11">
      <c r="B51" s="88">
        <v>46</v>
      </c>
      <c r="C51" s="83" t="s">
        <v>3249</v>
      </c>
      <c r="D51" s="83" t="s">
        <v>3189</v>
      </c>
      <c r="E51" s="83" t="s">
        <v>3191</v>
      </c>
      <c r="F51" s="83" t="s">
        <v>3182</v>
      </c>
      <c r="G51" s="83" t="s">
        <v>3187</v>
      </c>
      <c r="H51" s="83" t="s">
        <v>3190</v>
      </c>
      <c r="I51" s="83" t="s">
        <v>3188</v>
      </c>
      <c r="J51" s="83" t="s">
        <v>3193</v>
      </c>
      <c r="K51" s="89" t="s">
        <v>3192</v>
      </c>
    </row>
    <row r="52" spans="2:11">
      <c r="B52" s="88">
        <v>47</v>
      </c>
      <c r="C52" s="83" t="s">
        <v>3250</v>
      </c>
      <c r="D52" s="83" t="s">
        <v>3186</v>
      </c>
      <c r="E52" s="83" t="s">
        <v>3191</v>
      </c>
      <c r="F52" s="83" t="s">
        <v>3190</v>
      </c>
      <c r="G52" s="83" t="s">
        <v>3182</v>
      </c>
      <c r="H52" s="83" t="s">
        <v>3189</v>
      </c>
      <c r="I52" s="83" t="s">
        <v>3188</v>
      </c>
      <c r="J52" s="83" t="s">
        <v>3193</v>
      </c>
      <c r="K52" s="89" t="s">
        <v>3192</v>
      </c>
    </row>
    <row r="53" spans="2:11">
      <c r="B53" s="88">
        <v>48</v>
      </c>
      <c r="C53" s="83" t="s">
        <v>3251</v>
      </c>
      <c r="D53" s="83" t="s">
        <v>3186</v>
      </c>
      <c r="E53" s="83" t="s">
        <v>3191</v>
      </c>
      <c r="F53" s="83" t="s">
        <v>3182</v>
      </c>
      <c r="G53" s="83" t="s">
        <v>3187</v>
      </c>
      <c r="H53" s="83" t="s">
        <v>3190</v>
      </c>
      <c r="I53" s="83" t="s">
        <v>3189</v>
      </c>
      <c r="J53" s="83" t="s">
        <v>3193</v>
      </c>
      <c r="K53" s="89" t="s">
        <v>3192</v>
      </c>
    </row>
    <row r="54" spans="2:11">
      <c r="B54" s="88">
        <v>49</v>
      </c>
      <c r="C54" s="83" t="s">
        <v>3252</v>
      </c>
      <c r="D54" s="83" t="s">
        <v>3186</v>
      </c>
      <c r="E54" s="83" t="s">
        <v>3191</v>
      </c>
      <c r="F54" s="83" t="s">
        <v>3182</v>
      </c>
      <c r="G54" s="83" t="s">
        <v>3187</v>
      </c>
      <c r="H54" s="83" t="s">
        <v>3190</v>
      </c>
      <c r="I54" s="83" t="s">
        <v>3188</v>
      </c>
      <c r="J54" s="83" t="s">
        <v>3193</v>
      </c>
      <c r="K54" s="89" t="s">
        <v>3192</v>
      </c>
    </row>
    <row r="55" spans="2:11">
      <c r="B55" s="88">
        <v>50</v>
      </c>
      <c r="C55" s="83" t="s">
        <v>3253</v>
      </c>
      <c r="D55" s="83" t="s">
        <v>3186</v>
      </c>
      <c r="E55" s="83" t="s">
        <v>3191</v>
      </c>
      <c r="F55" s="83" t="s">
        <v>3182</v>
      </c>
      <c r="G55" s="83" t="s">
        <v>3187</v>
      </c>
      <c r="H55" s="83" t="s">
        <v>3189</v>
      </c>
      <c r="I55" s="83" t="s">
        <v>3188</v>
      </c>
      <c r="J55" s="83" t="s">
        <v>3193</v>
      </c>
      <c r="K55" s="89" t="s">
        <v>3192</v>
      </c>
    </row>
    <row r="56" spans="2:11">
      <c r="B56" s="88">
        <v>51</v>
      </c>
      <c r="C56" s="83" t="s">
        <v>3254</v>
      </c>
      <c r="D56" s="83" t="s">
        <v>3186</v>
      </c>
      <c r="E56" s="83" t="s">
        <v>3188</v>
      </c>
      <c r="F56" s="83" t="s">
        <v>3182</v>
      </c>
      <c r="G56" s="83" t="s">
        <v>3187</v>
      </c>
      <c r="H56" s="83" t="s">
        <v>3190</v>
      </c>
      <c r="I56" s="83" t="s">
        <v>3189</v>
      </c>
      <c r="J56" s="83" t="s">
        <v>3193</v>
      </c>
      <c r="K56" s="89" t="s">
        <v>3192</v>
      </c>
    </row>
    <row r="57" spans="2:11">
      <c r="B57" s="88">
        <v>52</v>
      </c>
      <c r="C57" s="83" t="s">
        <v>3255</v>
      </c>
      <c r="D57" s="83" t="s">
        <v>3186</v>
      </c>
      <c r="E57" s="83" t="s">
        <v>3191</v>
      </c>
      <c r="F57" s="83" t="s">
        <v>3182</v>
      </c>
      <c r="G57" s="83" t="s">
        <v>3187</v>
      </c>
      <c r="H57" s="83" t="s">
        <v>3189</v>
      </c>
      <c r="I57" s="83" t="s">
        <v>3188</v>
      </c>
      <c r="J57" s="83" t="s">
        <v>3193</v>
      </c>
      <c r="K57" s="89" t="s">
        <v>3190</v>
      </c>
    </row>
    <row r="58" spans="2:11">
      <c r="B58" s="88">
        <v>53</v>
      </c>
      <c r="C58" s="83" t="s">
        <v>3256</v>
      </c>
      <c r="D58" s="83" t="s">
        <v>3186</v>
      </c>
      <c r="E58" s="83" t="s">
        <v>3191</v>
      </c>
      <c r="F58" s="83" t="s">
        <v>3182</v>
      </c>
      <c r="G58" s="83" t="s">
        <v>3187</v>
      </c>
      <c r="H58" s="83" t="s">
        <v>3189</v>
      </c>
      <c r="I58" s="83" t="s">
        <v>3188</v>
      </c>
      <c r="J58" s="83" t="s">
        <v>3190</v>
      </c>
      <c r="K58" s="89" t="s">
        <v>3192</v>
      </c>
    </row>
    <row r="59" spans="2:11">
      <c r="B59" s="88">
        <v>54</v>
      </c>
      <c r="C59" s="83" t="s">
        <v>3257</v>
      </c>
      <c r="D59" s="83" t="s">
        <v>3189</v>
      </c>
      <c r="E59" s="83" t="s">
        <v>3191</v>
      </c>
      <c r="F59" s="83" t="s">
        <v>3182</v>
      </c>
      <c r="G59" s="83" t="s">
        <v>3185</v>
      </c>
      <c r="H59" s="83" t="s">
        <v>3190</v>
      </c>
      <c r="I59" s="83" t="s">
        <v>3188</v>
      </c>
      <c r="J59" s="83" t="s">
        <v>3193</v>
      </c>
      <c r="K59" s="89" t="s">
        <v>3192</v>
      </c>
    </row>
    <row r="60" spans="2:11">
      <c r="B60" s="88">
        <v>55</v>
      </c>
      <c r="C60" s="83" t="s">
        <v>3258</v>
      </c>
      <c r="D60" s="83" t="s">
        <v>3189</v>
      </c>
      <c r="E60" s="83" t="s">
        <v>3191</v>
      </c>
      <c r="F60" s="83" t="s">
        <v>3182</v>
      </c>
      <c r="G60" s="83" t="s">
        <v>3185</v>
      </c>
      <c r="H60" s="83" t="s">
        <v>3190</v>
      </c>
      <c r="I60" s="83" t="s">
        <v>3187</v>
      </c>
      <c r="J60" s="83" t="s">
        <v>3193</v>
      </c>
      <c r="K60" s="89" t="s">
        <v>3192</v>
      </c>
    </row>
    <row r="61" spans="2:11">
      <c r="B61" s="88">
        <v>56</v>
      </c>
      <c r="C61" s="83" t="s">
        <v>3259</v>
      </c>
      <c r="D61" s="83" t="s">
        <v>3190</v>
      </c>
      <c r="E61" s="83" t="s">
        <v>3188</v>
      </c>
      <c r="F61" s="83" t="s">
        <v>3182</v>
      </c>
      <c r="G61" s="83" t="s">
        <v>3185</v>
      </c>
      <c r="H61" s="83" t="s">
        <v>3191</v>
      </c>
      <c r="I61" s="83" t="s">
        <v>3187</v>
      </c>
      <c r="J61" s="83" t="s">
        <v>3193</v>
      </c>
      <c r="K61" s="89" t="s">
        <v>3192</v>
      </c>
    </row>
    <row r="62" spans="2:11">
      <c r="B62" s="88">
        <v>57</v>
      </c>
      <c r="C62" s="83" t="s">
        <v>3260</v>
      </c>
      <c r="D62" s="83" t="s">
        <v>3189</v>
      </c>
      <c r="E62" s="83" t="s">
        <v>3188</v>
      </c>
      <c r="F62" s="83" t="s">
        <v>3182</v>
      </c>
      <c r="G62" s="83" t="s">
        <v>3185</v>
      </c>
      <c r="H62" s="83" t="s">
        <v>3191</v>
      </c>
      <c r="I62" s="83" t="s">
        <v>3187</v>
      </c>
      <c r="J62" s="83" t="s">
        <v>3193</v>
      </c>
      <c r="K62" s="89" t="s">
        <v>3192</v>
      </c>
    </row>
    <row r="63" spans="2:11">
      <c r="B63" s="88">
        <v>58</v>
      </c>
      <c r="C63" s="83" t="s">
        <v>3261</v>
      </c>
      <c r="D63" s="83" t="s">
        <v>3189</v>
      </c>
      <c r="E63" s="83" t="s">
        <v>3188</v>
      </c>
      <c r="F63" s="83" t="s">
        <v>3182</v>
      </c>
      <c r="G63" s="83" t="s">
        <v>3185</v>
      </c>
      <c r="H63" s="83" t="s">
        <v>3190</v>
      </c>
      <c r="I63" s="83" t="s">
        <v>3187</v>
      </c>
      <c r="J63" s="83" t="s">
        <v>3193</v>
      </c>
      <c r="K63" s="89" t="s">
        <v>3192</v>
      </c>
    </row>
    <row r="64" spans="2:11">
      <c r="B64" s="88">
        <v>59</v>
      </c>
      <c r="C64" s="83" t="s">
        <v>3262</v>
      </c>
      <c r="D64" s="83" t="s">
        <v>3189</v>
      </c>
      <c r="E64" s="83" t="s">
        <v>3188</v>
      </c>
      <c r="F64" s="83" t="s">
        <v>3182</v>
      </c>
      <c r="G64" s="83" t="s">
        <v>3185</v>
      </c>
      <c r="H64" s="83" t="s">
        <v>3191</v>
      </c>
      <c r="I64" s="83" t="s">
        <v>3187</v>
      </c>
      <c r="J64" s="83" t="s">
        <v>3193</v>
      </c>
      <c r="K64" s="89" t="s">
        <v>3190</v>
      </c>
    </row>
    <row r="65" spans="2:11">
      <c r="B65" s="88">
        <v>60</v>
      </c>
      <c r="C65" s="83" t="s">
        <v>3263</v>
      </c>
      <c r="D65" s="83" t="s">
        <v>3189</v>
      </c>
      <c r="E65" s="83" t="s">
        <v>3188</v>
      </c>
      <c r="F65" s="83" t="s">
        <v>3182</v>
      </c>
      <c r="G65" s="83" t="s">
        <v>3185</v>
      </c>
      <c r="H65" s="83" t="s">
        <v>3191</v>
      </c>
      <c r="I65" s="83" t="s">
        <v>3187</v>
      </c>
      <c r="J65" s="83" t="s">
        <v>3190</v>
      </c>
      <c r="K65" s="89" t="s">
        <v>3192</v>
      </c>
    </row>
    <row r="66" spans="2:11">
      <c r="B66" s="88">
        <v>61</v>
      </c>
      <c r="C66" s="83" t="s">
        <v>3264</v>
      </c>
      <c r="D66" s="83" t="s">
        <v>3186</v>
      </c>
      <c r="E66" s="83" t="s">
        <v>3191</v>
      </c>
      <c r="F66" s="83" t="s">
        <v>3182</v>
      </c>
      <c r="G66" s="83" t="s">
        <v>3185</v>
      </c>
      <c r="H66" s="83" t="s">
        <v>3190</v>
      </c>
      <c r="I66" s="83" t="s">
        <v>3189</v>
      </c>
      <c r="J66" s="83" t="s">
        <v>3193</v>
      </c>
      <c r="K66" s="89" t="s">
        <v>3192</v>
      </c>
    </row>
    <row r="67" spans="2:11">
      <c r="B67" s="88">
        <v>62</v>
      </c>
      <c r="C67" s="83" t="s">
        <v>3265</v>
      </c>
      <c r="D67" s="83" t="s">
        <v>3186</v>
      </c>
      <c r="E67" s="83" t="s">
        <v>3191</v>
      </c>
      <c r="F67" s="83" t="s">
        <v>3182</v>
      </c>
      <c r="G67" s="83" t="s">
        <v>3185</v>
      </c>
      <c r="H67" s="83" t="s">
        <v>3190</v>
      </c>
      <c r="I67" s="83" t="s">
        <v>3188</v>
      </c>
      <c r="J67" s="83" t="s">
        <v>3193</v>
      </c>
      <c r="K67" s="89" t="s">
        <v>3192</v>
      </c>
    </row>
    <row r="68" spans="2:11">
      <c r="B68" s="88">
        <v>63</v>
      </c>
      <c r="C68" s="83" t="s">
        <v>3266</v>
      </c>
      <c r="D68" s="83" t="s">
        <v>3186</v>
      </c>
      <c r="E68" s="83" t="s">
        <v>3191</v>
      </c>
      <c r="F68" s="83" t="s">
        <v>3182</v>
      </c>
      <c r="G68" s="83" t="s">
        <v>3185</v>
      </c>
      <c r="H68" s="83" t="s">
        <v>3189</v>
      </c>
      <c r="I68" s="83" t="s">
        <v>3188</v>
      </c>
      <c r="J68" s="83" t="s">
        <v>3193</v>
      </c>
      <c r="K68" s="89" t="s">
        <v>3192</v>
      </c>
    </row>
    <row r="69" spans="2:11">
      <c r="B69" s="88">
        <v>64</v>
      </c>
      <c r="C69" s="83" t="s">
        <v>3267</v>
      </c>
      <c r="D69" s="83" t="s">
        <v>3186</v>
      </c>
      <c r="E69" s="83" t="s">
        <v>3188</v>
      </c>
      <c r="F69" s="83" t="s">
        <v>3182</v>
      </c>
      <c r="G69" s="83" t="s">
        <v>3185</v>
      </c>
      <c r="H69" s="83" t="s">
        <v>3190</v>
      </c>
      <c r="I69" s="83" t="s">
        <v>3189</v>
      </c>
      <c r="J69" s="83" t="s">
        <v>3193</v>
      </c>
      <c r="K69" s="89" t="s">
        <v>3192</v>
      </c>
    </row>
    <row r="70" spans="2:11">
      <c r="B70" s="88">
        <v>65</v>
      </c>
      <c r="C70" s="83" t="s">
        <v>3268</v>
      </c>
      <c r="D70" s="83" t="s">
        <v>3186</v>
      </c>
      <c r="E70" s="83" t="s">
        <v>3191</v>
      </c>
      <c r="F70" s="83" t="s">
        <v>3182</v>
      </c>
      <c r="G70" s="83" t="s">
        <v>3185</v>
      </c>
      <c r="H70" s="83" t="s">
        <v>3189</v>
      </c>
      <c r="I70" s="83" t="s">
        <v>3188</v>
      </c>
      <c r="J70" s="83" t="s">
        <v>3193</v>
      </c>
      <c r="K70" s="89" t="s">
        <v>3190</v>
      </c>
    </row>
    <row r="71" spans="2:11">
      <c r="B71" s="88">
        <v>66</v>
      </c>
      <c r="C71" s="83" t="s">
        <v>3269</v>
      </c>
      <c r="D71" s="83" t="s">
        <v>3186</v>
      </c>
      <c r="E71" s="83" t="s">
        <v>3191</v>
      </c>
      <c r="F71" s="83" t="s">
        <v>3182</v>
      </c>
      <c r="G71" s="83" t="s">
        <v>3185</v>
      </c>
      <c r="H71" s="83" t="s">
        <v>3189</v>
      </c>
      <c r="I71" s="83" t="s">
        <v>3188</v>
      </c>
      <c r="J71" s="83" t="s">
        <v>3190</v>
      </c>
      <c r="K71" s="89" t="s">
        <v>3192</v>
      </c>
    </row>
    <row r="72" spans="2:11">
      <c r="B72" s="88">
        <v>67</v>
      </c>
      <c r="C72" s="83" t="s">
        <v>3270</v>
      </c>
      <c r="D72" s="83" t="s">
        <v>3186</v>
      </c>
      <c r="E72" s="83" t="s">
        <v>3191</v>
      </c>
      <c r="F72" s="83" t="s">
        <v>3182</v>
      </c>
      <c r="G72" s="83" t="s">
        <v>3185</v>
      </c>
      <c r="H72" s="83" t="s">
        <v>3190</v>
      </c>
      <c r="I72" s="83" t="s">
        <v>3187</v>
      </c>
      <c r="J72" s="83" t="s">
        <v>3193</v>
      </c>
      <c r="K72" s="89" t="s">
        <v>3192</v>
      </c>
    </row>
    <row r="73" spans="2:11">
      <c r="B73" s="88">
        <v>68</v>
      </c>
      <c r="C73" s="83" t="s">
        <v>3271</v>
      </c>
      <c r="D73" s="83" t="s">
        <v>3186</v>
      </c>
      <c r="E73" s="83" t="s">
        <v>3191</v>
      </c>
      <c r="F73" s="83" t="s">
        <v>3182</v>
      </c>
      <c r="G73" s="83" t="s">
        <v>3185</v>
      </c>
      <c r="H73" s="83" t="s">
        <v>3189</v>
      </c>
      <c r="I73" s="83" t="s">
        <v>3187</v>
      </c>
      <c r="J73" s="83" t="s">
        <v>3193</v>
      </c>
      <c r="K73" s="89" t="s">
        <v>3192</v>
      </c>
    </row>
    <row r="74" spans="2:11">
      <c r="B74" s="88">
        <v>69</v>
      </c>
      <c r="C74" s="83" t="s">
        <v>3272</v>
      </c>
      <c r="D74" s="83" t="s">
        <v>3186</v>
      </c>
      <c r="E74" s="83" t="s">
        <v>3190</v>
      </c>
      <c r="F74" s="83" t="s">
        <v>3182</v>
      </c>
      <c r="G74" s="83" t="s">
        <v>3185</v>
      </c>
      <c r="H74" s="83" t="s">
        <v>3189</v>
      </c>
      <c r="I74" s="83" t="s">
        <v>3187</v>
      </c>
      <c r="J74" s="83" t="s">
        <v>3193</v>
      </c>
      <c r="K74" s="89" t="s">
        <v>3192</v>
      </c>
    </row>
    <row r="75" spans="2:11">
      <c r="B75" s="88">
        <v>70</v>
      </c>
      <c r="C75" s="83" t="s">
        <v>3273</v>
      </c>
      <c r="D75" s="83" t="s">
        <v>3186</v>
      </c>
      <c r="E75" s="83" t="s">
        <v>3191</v>
      </c>
      <c r="F75" s="83" t="s">
        <v>3182</v>
      </c>
      <c r="G75" s="83" t="s">
        <v>3185</v>
      </c>
      <c r="H75" s="83" t="s">
        <v>3189</v>
      </c>
      <c r="I75" s="83" t="s">
        <v>3187</v>
      </c>
      <c r="J75" s="83" t="s">
        <v>3193</v>
      </c>
      <c r="K75" s="89" t="s">
        <v>3190</v>
      </c>
    </row>
    <row r="76" spans="2:11">
      <c r="B76" s="88">
        <v>71</v>
      </c>
      <c r="C76" s="83" t="s">
        <v>3274</v>
      </c>
      <c r="D76" s="83" t="s">
        <v>3186</v>
      </c>
      <c r="E76" s="83" t="s">
        <v>3191</v>
      </c>
      <c r="F76" s="83" t="s">
        <v>3182</v>
      </c>
      <c r="G76" s="83" t="s">
        <v>3185</v>
      </c>
      <c r="H76" s="83" t="s">
        <v>3189</v>
      </c>
      <c r="I76" s="83" t="s">
        <v>3187</v>
      </c>
      <c r="J76" s="83" t="s">
        <v>3190</v>
      </c>
      <c r="K76" s="89" t="s">
        <v>3192</v>
      </c>
    </row>
    <row r="77" spans="2:11">
      <c r="B77" s="88">
        <v>72</v>
      </c>
      <c r="C77" s="83" t="s">
        <v>3275</v>
      </c>
      <c r="D77" s="83" t="s">
        <v>3186</v>
      </c>
      <c r="E77" s="83" t="s">
        <v>3188</v>
      </c>
      <c r="F77" s="83" t="s">
        <v>3182</v>
      </c>
      <c r="G77" s="83" t="s">
        <v>3185</v>
      </c>
      <c r="H77" s="83" t="s">
        <v>3191</v>
      </c>
      <c r="I77" s="83" t="s">
        <v>3187</v>
      </c>
      <c r="J77" s="83" t="s">
        <v>3193</v>
      </c>
      <c r="K77" s="89" t="s">
        <v>3192</v>
      </c>
    </row>
    <row r="78" spans="2:11">
      <c r="B78" s="88">
        <v>73</v>
      </c>
      <c r="C78" s="83" t="s">
        <v>3276</v>
      </c>
      <c r="D78" s="83" t="s">
        <v>3186</v>
      </c>
      <c r="E78" s="83" t="s">
        <v>3188</v>
      </c>
      <c r="F78" s="83" t="s">
        <v>3182</v>
      </c>
      <c r="G78" s="83" t="s">
        <v>3185</v>
      </c>
      <c r="H78" s="83" t="s">
        <v>3190</v>
      </c>
      <c r="I78" s="83" t="s">
        <v>3187</v>
      </c>
      <c r="J78" s="83" t="s">
        <v>3193</v>
      </c>
      <c r="K78" s="89" t="s">
        <v>3192</v>
      </c>
    </row>
    <row r="79" spans="2:11">
      <c r="B79" s="88">
        <v>74</v>
      </c>
      <c r="C79" s="83" t="s">
        <v>3277</v>
      </c>
      <c r="D79" s="83" t="s">
        <v>3186</v>
      </c>
      <c r="E79" s="83" t="s">
        <v>3188</v>
      </c>
      <c r="F79" s="83" t="s">
        <v>3182</v>
      </c>
      <c r="G79" s="83" t="s">
        <v>3185</v>
      </c>
      <c r="H79" s="83" t="s">
        <v>3191</v>
      </c>
      <c r="I79" s="83" t="s">
        <v>3187</v>
      </c>
      <c r="J79" s="83" t="s">
        <v>3193</v>
      </c>
      <c r="K79" s="89" t="s">
        <v>3190</v>
      </c>
    </row>
    <row r="80" spans="2:11">
      <c r="B80" s="88">
        <v>75</v>
      </c>
      <c r="C80" s="83" t="s">
        <v>3278</v>
      </c>
      <c r="D80" s="83" t="s">
        <v>3186</v>
      </c>
      <c r="E80" s="83" t="s">
        <v>3188</v>
      </c>
      <c r="F80" s="83" t="s">
        <v>3182</v>
      </c>
      <c r="G80" s="83" t="s">
        <v>3185</v>
      </c>
      <c r="H80" s="83" t="s">
        <v>3191</v>
      </c>
      <c r="I80" s="83" t="s">
        <v>3187</v>
      </c>
      <c r="J80" s="83" t="s">
        <v>3190</v>
      </c>
      <c r="K80" s="89" t="s">
        <v>3192</v>
      </c>
    </row>
    <row r="81" spans="2:11">
      <c r="B81" s="88">
        <v>76</v>
      </c>
      <c r="C81" s="83" t="s">
        <v>3279</v>
      </c>
      <c r="D81" s="83" t="s">
        <v>3186</v>
      </c>
      <c r="E81" s="83" t="s">
        <v>3188</v>
      </c>
      <c r="F81" s="83" t="s">
        <v>3182</v>
      </c>
      <c r="G81" s="83" t="s">
        <v>3185</v>
      </c>
      <c r="H81" s="83" t="s">
        <v>3189</v>
      </c>
      <c r="I81" s="83" t="s">
        <v>3187</v>
      </c>
      <c r="J81" s="83" t="s">
        <v>3193</v>
      </c>
      <c r="K81" s="89" t="s">
        <v>3192</v>
      </c>
    </row>
    <row r="82" spans="2:11">
      <c r="B82" s="88">
        <v>77</v>
      </c>
      <c r="C82" s="83" t="s">
        <v>3280</v>
      </c>
      <c r="D82" s="83" t="s">
        <v>3189</v>
      </c>
      <c r="E82" s="83" t="s">
        <v>3188</v>
      </c>
      <c r="F82" s="83" t="s">
        <v>3182</v>
      </c>
      <c r="G82" s="83" t="s">
        <v>3185</v>
      </c>
      <c r="H82" s="83" t="s">
        <v>3191</v>
      </c>
      <c r="I82" s="83" t="s">
        <v>3187</v>
      </c>
      <c r="J82" s="83" t="s">
        <v>3193</v>
      </c>
      <c r="K82" s="89" t="s">
        <v>3186</v>
      </c>
    </row>
    <row r="83" spans="2:11">
      <c r="B83" s="88">
        <v>78</v>
      </c>
      <c r="C83" s="83" t="s">
        <v>3281</v>
      </c>
      <c r="D83" s="83" t="s">
        <v>3189</v>
      </c>
      <c r="E83" s="83" t="s">
        <v>3188</v>
      </c>
      <c r="F83" s="83" t="s">
        <v>3182</v>
      </c>
      <c r="G83" s="83" t="s">
        <v>3185</v>
      </c>
      <c r="H83" s="83" t="s">
        <v>3191</v>
      </c>
      <c r="I83" s="83" t="s">
        <v>3187</v>
      </c>
      <c r="J83" s="83" t="s">
        <v>3186</v>
      </c>
      <c r="K83" s="89" t="s">
        <v>3192</v>
      </c>
    </row>
    <row r="84" spans="2:11">
      <c r="B84" s="88">
        <v>79</v>
      </c>
      <c r="C84" s="83" t="s">
        <v>3282</v>
      </c>
      <c r="D84" s="83" t="s">
        <v>3186</v>
      </c>
      <c r="E84" s="83" t="s">
        <v>3188</v>
      </c>
      <c r="F84" s="83" t="s">
        <v>3182</v>
      </c>
      <c r="G84" s="83" t="s">
        <v>3185</v>
      </c>
      <c r="H84" s="83" t="s">
        <v>3189</v>
      </c>
      <c r="I84" s="83" t="s">
        <v>3187</v>
      </c>
      <c r="J84" s="83" t="s">
        <v>3193</v>
      </c>
      <c r="K84" s="89" t="s">
        <v>3190</v>
      </c>
    </row>
    <row r="85" spans="2:11">
      <c r="B85" s="88">
        <v>80</v>
      </c>
      <c r="C85" s="83" t="s">
        <v>3283</v>
      </c>
      <c r="D85" s="83" t="s">
        <v>3186</v>
      </c>
      <c r="E85" s="83" t="s">
        <v>3188</v>
      </c>
      <c r="F85" s="83" t="s">
        <v>3182</v>
      </c>
      <c r="G85" s="83" t="s">
        <v>3185</v>
      </c>
      <c r="H85" s="83" t="s">
        <v>3189</v>
      </c>
      <c r="I85" s="83" t="s">
        <v>3187</v>
      </c>
      <c r="J85" s="83" t="s">
        <v>3190</v>
      </c>
      <c r="K85" s="89" t="s">
        <v>3192</v>
      </c>
    </row>
    <row r="86" spans="2:11">
      <c r="B86" s="88">
        <v>81</v>
      </c>
      <c r="C86" s="83" t="s">
        <v>3284</v>
      </c>
      <c r="D86" s="83" t="s">
        <v>3189</v>
      </c>
      <c r="E86" s="83" t="s">
        <v>3188</v>
      </c>
      <c r="F86" s="83" t="s">
        <v>3182</v>
      </c>
      <c r="G86" s="83" t="s">
        <v>3185</v>
      </c>
      <c r="H86" s="83" t="s">
        <v>3191</v>
      </c>
      <c r="I86" s="83" t="s">
        <v>3187</v>
      </c>
      <c r="J86" s="83" t="s">
        <v>3186</v>
      </c>
      <c r="K86" s="89" t="s">
        <v>3190</v>
      </c>
    </row>
    <row r="87" spans="2:11">
      <c r="B87" s="88">
        <v>82</v>
      </c>
      <c r="C87" s="83" t="s">
        <v>3285</v>
      </c>
      <c r="D87" s="83" t="s">
        <v>3189</v>
      </c>
      <c r="E87" s="83" t="s">
        <v>3191</v>
      </c>
      <c r="F87" s="83" t="s">
        <v>3182</v>
      </c>
      <c r="G87" s="83" t="s">
        <v>3183</v>
      </c>
      <c r="H87" s="83" t="s">
        <v>3190</v>
      </c>
      <c r="I87" s="83" t="s">
        <v>3188</v>
      </c>
      <c r="J87" s="83" t="s">
        <v>3193</v>
      </c>
      <c r="K87" s="89" t="s">
        <v>3192</v>
      </c>
    </row>
    <row r="88" spans="2:11">
      <c r="B88" s="88">
        <v>83</v>
      </c>
      <c r="C88" s="83" t="s">
        <v>3286</v>
      </c>
      <c r="D88" s="83" t="s">
        <v>3189</v>
      </c>
      <c r="E88" s="83" t="s">
        <v>3191</v>
      </c>
      <c r="F88" s="83" t="s">
        <v>3182</v>
      </c>
      <c r="G88" s="83" t="s">
        <v>3183</v>
      </c>
      <c r="H88" s="83" t="s">
        <v>3190</v>
      </c>
      <c r="I88" s="83" t="s">
        <v>3187</v>
      </c>
      <c r="J88" s="83" t="s">
        <v>3193</v>
      </c>
      <c r="K88" s="89" t="s">
        <v>3192</v>
      </c>
    </row>
    <row r="89" spans="2:11">
      <c r="B89" s="88">
        <v>84</v>
      </c>
      <c r="C89" s="83" t="s">
        <v>3287</v>
      </c>
      <c r="D89" s="83" t="s">
        <v>3190</v>
      </c>
      <c r="E89" s="83" t="s">
        <v>3188</v>
      </c>
      <c r="F89" s="83" t="s">
        <v>3182</v>
      </c>
      <c r="G89" s="83" t="s">
        <v>3183</v>
      </c>
      <c r="H89" s="83" t="s">
        <v>3191</v>
      </c>
      <c r="I89" s="83" t="s">
        <v>3187</v>
      </c>
      <c r="J89" s="83" t="s">
        <v>3193</v>
      </c>
      <c r="K89" s="89" t="s">
        <v>3192</v>
      </c>
    </row>
    <row r="90" spans="2:11">
      <c r="B90" s="88">
        <v>85</v>
      </c>
      <c r="C90" s="83" t="s">
        <v>3288</v>
      </c>
      <c r="D90" s="83" t="s">
        <v>3189</v>
      </c>
      <c r="E90" s="83" t="s">
        <v>3188</v>
      </c>
      <c r="F90" s="83" t="s">
        <v>3182</v>
      </c>
      <c r="G90" s="83" t="s">
        <v>3183</v>
      </c>
      <c r="H90" s="83" t="s">
        <v>3191</v>
      </c>
      <c r="I90" s="83" t="s">
        <v>3187</v>
      </c>
      <c r="J90" s="83" t="s">
        <v>3193</v>
      </c>
      <c r="K90" s="89" t="s">
        <v>3192</v>
      </c>
    </row>
    <row r="91" spans="2:11">
      <c r="B91" s="88">
        <v>86</v>
      </c>
      <c r="C91" s="83" t="s">
        <v>3289</v>
      </c>
      <c r="D91" s="83" t="s">
        <v>3189</v>
      </c>
      <c r="E91" s="83" t="s">
        <v>3188</v>
      </c>
      <c r="F91" s="83" t="s">
        <v>3182</v>
      </c>
      <c r="G91" s="83" t="s">
        <v>3183</v>
      </c>
      <c r="H91" s="83" t="s">
        <v>3190</v>
      </c>
      <c r="I91" s="83" t="s">
        <v>3187</v>
      </c>
      <c r="J91" s="83" t="s">
        <v>3193</v>
      </c>
      <c r="K91" s="89" t="s">
        <v>3192</v>
      </c>
    </row>
    <row r="92" spans="2:11">
      <c r="B92" s="88">
        <v>87</v>
      </c>
      <c r="C92" s="83" t="s">
        <v>3290</v>
      </c>
      <c r="D92" s="83" t="s">
        <v>3189</v>
      </c>
      <c r="E92" s="83" t="s">
        <v>3188</v>
      </c>
      <c r="F92" s="83" t="s">
        <v>3182</v>
      </c>
      <c r="G92" s="83" t="s">
        <v>3183</v>
      </c>
      <c r="H92" s="83" t="s">
        <v>3191</v>
      </c>
      <c r="I92" s="83" t="s">
        <v>3187</v>
      </c>
      <c r="J92" s="83" t="s">
        <v>3193</v>
      </c>
      <c r="K92" s="89" t="s">
        <v>3190</v>
      </c>
    </row>
    <row r="93" spans="2:11">
      <c r="B93" s="88">
        <v>88</v>
      </c>
      <c r="C93" s="83" t="s">
        <v>3291</v>
      </c>
      <c r="D93" s="83" t="s">
        <v>3189</v>
      </c>
      <c r="E93" s="83" t="s">
        <v>3188</v>
      </c>
      <c r="F93" s="83" t="s">
        <v>3182</v>
      </c>
      <c r="G93" s="83" t="s">
        <v>3183</v>
      </c>
      <c r="H93" s="83" t="s">
        <v>3191</v>
      </c>
      <c r="I93" s="83" t="s">
        <v>3187</v>
      </c>
      <c r="J93" s="83" t="s">
        <v>3190</v>
      </c>
      <c r="K93" s="89" t="s">
        <v>3192</v>
      </c>
    </row>
    <row r="94" spans="2:11">
      <c r="B94" s="88">
        <v>89</v>
      </c>
      <c r="C94" s="83" t="s">
        <v>3292</v>
      </c>
      <c r="D94" s="83" t="s">
        <v>3186</v>
      </c>
      <c r="E94" s="83" t="s">
        <v>3191</v>
      </c>
      <c r="F94" s="83" t="s">
        <v>3182</v>
      </c>
      <c r="G94" s="83" t="s">
        <v>3183</v>
      </c>
      <c r="H94" s="83" t="s">
        <v>3190</v>
      </c>
      <c r="I94" s="83" t="s">
        <v>3189</v>
      </c>
      <c r="J94" s="83" t="s">
        <v>3193</v>
      </c>
      <c r="K94" s="89" t="s">
        <v>3192</v>
      </c>
    </row>
    <row r="95" spans="2:11">
      <c r="B95" s="88">
        <v>90</v>
      </c>
      <c r="C95" s="83" t="s">
        <v>3293</v>
      </c>
      <c r="D95" s="83" t="s">
        <v>3186</v>
      </c>
      <c r="E95" s="83" t="s">
        <v>3191</v>
      </c>
      <c r="F95" s="83" t="s">
        <v>3182</v>
      </c>
      <c r="G95" s="83" t="s">
        <v>3183</v>
      </c>
      <c r="H95" s="83" t="s">
        <v>3190</v>
      </c>
      <c r="I95" s="83" t="s">
        <v>3188</v>
      </c>
      <c r="J95" s="83" t="s">
        <v>3193</v>
      </c>
      <c r="K95" s="89" t="s">
        <v>3192</v>
      </c>
    </row>
    <row r="96" spans="2:11">
      <c r="B96" s="88">
        <v>91</v>
      </c>
      <c r="C96" s="83" t="s">
        <v>3294</v>
      </c>
      <c r="D96" s="83" t="s">
        <v>3186</v>
      </c>
      <c r="E96" s="83" t="s">
        <v>3191</v>
      </c>
      <c r="F96" s="83" t="s">
        <v>3182</v>
      </c>
      <c r="G96" s="83" t="s">
        <v>3183</v>
      </c>
      <c r="H96" s="83" t="s">
        <v>3189</v>
      </c>
      <c r="I96" s="83" t="s">
        <v>3188</v>
      </c>
      <c r="J96" s="83" t="s">
        <v>3193</v>
      </c>
      <c r="K96" s="89" t="s">
        <v>3192</v>
      </c>
    </row>
    <row r="97" spans="2:11">
      <c r="B97" s="88">
        <v>92</v>
      </c>
      <c r="C97" s="83" t="s">
        <v>3295</v>
      </c>
      <c r="D97" s="83" t="s">
        <v>3186</v>
      </c>
      <c r="E97" s="83" t="s">
        <v>3188</v>
      </c>
      <c r="F97" s="83" t="s">
        <v>3182</v>
      </c>
      <c r="G97" s="83" t="s">
        <v>3183</v>
      </c>
      <c r="H97" s="83" t="s">
        <v>3190</v>
      </c>
      <c r="I97" s="83" t="s">
        <v>3189</v>
      </c>
      <c r="J97" s="83" t="s">
        <v>3193</v>
      </c>
      <c r="K97" s="89" t="s">
        <v>3192</v>
      </c>
    </row>
    <row r="98" spans="2:11">
      <c r="B98" s="88">
        <v>93</v>
      </c>
      <c r="C98" s="83" t="s">
        <v>3296</v>
      </c>
      <c r="D98" s="83" t="s">
        <v>3186</v>
      </c>
      <c r="E98" s="83" t="s">
        <v>3191</v>
      </c>
      <c r="F98" s="83" t="s">
        <v>3182</v>
      </c>
      <c r="G98" s="83" t="s">
        <v>3183</v>
      </c>
      <c r="H98" s="83" t="s">
        <v>3189</v>
      </c>
      <c r="I98" s="83" t="s">
        <v>3188</v>
      </c>
      <c r="J98" s="83" t="s">
        <v>3193</v>
      </c>
      <c r="K98" s="89" t="s">
        <v>3190</v>
      </c>
    </row>
    <row r="99" spans="2:11">
      <c r="B99" s="88">
        <v>94</v>
      </c>
      <c r="C99" s="83" t="s">
        <v>3297</v>
      </c>
      <c r="D99" s="83" t="s">
        <v>3186</v>
      </c>
      <c r="E99" s="83" t="s">
        <v>3191</v>
      </c>
      <c r="F99" s="83" t="s">
        <v>3182</v>
      </c>
      <c r="G99" s="83" t="s">
        <v>3183</v>
      </c>
      <c r="H99" s="83" t="s">
        <v>3189</v>
      </c>
      <c r="I99" s="83" t="s">
        <v>3188</v>
      </c>
      <c r="J99" s="83" t="s">
        <v>3190</v>
      </c>
      <c r="K99" s="89" t="s">
        <v>3192</v>
      </c>
    </row>
    <row r="100" spans="2:11">
      <c r="B100" s="88">
        <v>95</v>
      </c>
      <c r="C100" s="83" t="s">
        <v>3298</v>
      </c>
      <c r="D100" s="83" t="s">
        <v>3186</v>
      </c>
      <c r="E100" s="83" t="s">
        <v>3191</v>
      </c>
      <c r="F100" s="83" t="s">
        <v>3182</v>
      </c>
      <c r="G100" s="83" t="s">
        <v>3183</v>
      </c>
      <c r="H100" s="83" t="s">
        <v>3190</v>
      </c>
      <c r="I100" s="83" t="s">
        <v>3187</v>
      </c>
      <c r="J100" s="83" t="s">
        <v>3193</v>
      </c>
      <c r="K100" s="89" t="s">
        <v>3192</v>
      </c>
    </row>
    <row r="101" spans="2:11">
      <c r="B101" s="88">
        <v>96</v>
      </c>
      <c r="C101" s="83" t="s">
        <v>3299</v>
      </c>
      <c r="D101" s="83" t="s">
        <v>3186</v>
      </c>
      <c r="E101" s="83" t="s">
        <v>3191</v>
      </c>
      <c r="F101" s="83" t="s">
        <v>3182</v>
      </c>
      <c r="G101" s="83" t="s">
        <v>3183</v>
      </c>
      <c r="H101" s="83" t="s">
        <v>3189</v>
      </c>
      <c r="I101" s="83" t="s">
        <v>3187</v>
      </c>
      <c r="J101" s="83" t="s">
        <v>3193</v>
      </c>
      <c r="K101" s="89" t="s">
        <v>3192</v>
      </c>
    </row>
    <row r="102" spans="2:11">
      <c r="B102" s="88">
        <v>97</v>
      </c>
      <c r="C102" s="83" t="s">
        <v>3300</v>
      </c>
      <c r="D102" s="83" t="s">
        <v>3186</v>
      </c>
      <c r="E102" s="83" t="s">
        <v>3190</v>
      </c>
      <c r="F102" s="83" t="s">
        <v>3182</v>
      </c>
      <c r="G102" s="83" t="s">
        <v>3183</v>
      </c>
      <c r="H102" s="83" t="s">
        <v>3189</v>
      </c>
      <c r="I102" s="83" t="s">
        <v>3187</v>
      </c>
      <c r="J102" s="83" t="s">
        <v>3193</v>
      </c>
      <c r="K102" s="89" t="s">
        <v>3192</v>
      </c>
    </row>
    <row r="103" spans="2:11">
      <c r="B103" s="88">
        <v>98</v>
      </c>
      <c r="C103" s="83" t="s">
        <v>3301</v>
      </c>
      <c r="D103" s="83" t="s">
        <v>3186</v>
      </c>
      <c r="E103" s="83" t="s">
        <v>3191</v>
      </c>
      <c r="F103" s="83" t="s">
        <v>3182</v>
      </c>
      <c r="G103" s="83" t="s">
        <v>3183</v>
      </c>
      <c r="H103" s="83" t="s">
        <v>3189</v>
      </c>
      <c r="I103" s="83" t="s">
        <v>3187</v>
      </c>
      <c r="J103" s="83" t="s">
        <v>3193</v>
      </c>
      <c r="K103" s="89" t="s">
        <v>3190</v>
      </c>
    </row>
    <row r="104" spans="2:11">
      <c r="B104" s="88">
        <v>99</v>
      </c>
      <c r="C104" s="83" t="s">
        <v>3302</v>
      </c>
      <c r="D104" s="83" t="s">
        <v>3186</v>
      </c>
      <c r="E104" s="83" t="s">
        <v>3191</v>
      </c>
      <c r="F104" s="83" t="s">
        <v>3182</v>
      </c>
      <c r="G104" s="83" t="s">
        <v>3183</v>
      </c>
      <c r="H104" s="83" t="s">
        <v>3189</v>
      </c>
      <c r="I104" s="83" t="s">
        <v>3187</v>
      </c>
      <c r="J104" s="83" t="s">
        <v>3190</v>
      </c>
      <c r="K104" s="89" t="s">
        <v>3192</v>
      </c>
    </row>
    <row r="105" spans="2:11">
      <c r="B105" s="88">
        <v>100</v>
      </c>
      <c r="C105" s="83" t="s">
        <v>3303</v>
      </c>
      <c r="D105" s="83" t="s">
        <v>3186</v>
      </c>
      <c r="E105" s="83" t="s">
        <v>3188</v>
      </c>
      <c r="F105" s="83" t="s">
        <v>3182</v>
      </c>
      <c r="G105" s="83" t="s">
        <v>3183</v>
      </c>
      <c r="H105" s="83" t="s">
        <v>3191</v>
      </c>
      <c r="I105" s="83" t="s">
        <v>3187</v>
      </c>
      <c r="J105" s="83" t="s">
        <v>3193</v>
      </c>
      <c r="K105" s="89" t="s">
        <v>3192</v>
      </c>
    </row>
    <row r="106" spans="2:11">
      <c r="B106" s="88">
        <v>101</v>
      </c>
      <c r="C106" s="83" t="s">
        <v>3304</v>
      </c>
      <c r="D106" s="83" t="s">
        <v>3186</v>
      </c>
      <c r="E106" s="83" t="s">
        <v>3188</v>
      </c>
      <c r="F106" s="83" t="s">
        <v>3182</v>
      </c>
      <c r="G106" s="83" t="s">
        <v>3183</v>
      </c>
      <c r="H106" s="83" t="s">
        <v>3190</v>
      </c>
      <c r="I106" s="83" t="s">
        <v>3187</v>
      </c>
      <c r="J106" s="83" t="s">
        <v>3193</v>
      </c>
      <c r="K106" s="89" t="s">
        <v>3192</v>
      </c>
    </row>
    <row r="107" spans="2:11">
      <c r="B107" s="88">
        <v>102</v>
      </c>
      <c r="C107" s="83" t="s">
        <v>3305</v>
      </c>
      <c r="D107" s="83" t="s">
        <v>3186</v>
      </c>
      <c r="E107" s="83" t="s">
        <v>3188</v>
      </c>
      <c r="F107" s="83" t="s">
        <v>3182</v>
      </c>
      <c r="G107" s="83" t="s">
        <v>3183</v>
      </c>
      <c r="H107" s="83" t="s">
        <v>3191</v>
      </c>
      <c r="I107" s="83" t="s">
        <v>3187</v>
      </c>
      <c r="J107" s="83" t="s">
        <v>3193</v>
      </c>
      <c r="K107" s="89" t="s">
        <v>3190</v>
      </c>
    </row>
    <row r="108" spans="2:11">
      <c r="B108" s="88">
        <v>103</v>
      </c>
      <c r="C108" s="83" t="s">
        <v>3306</v>
      </c>
      <c r="D108" s="83" t="s">
        <v>3186</v>
      </c>
      <c r="E108" s="83" t="s">
        <v>3188</v>
      </c>
      <c r="F108" s="83" t="s">
        <v>3182</v>
      </c>
      <c r="G108" s="83" t="s">
        <v>3183</v>
      </c>
      <c r="H108" s="83" t="s">
        <v>3191</v>
      </c>
      <c r="I108" s="83" t="s">
        <v>3187</v>
      </c>
      <c r="J108" s="83" t="s">
        <v>3190</v>
      </c>
      <c r="K108" s="89" t="s">
        <v>3192</v>
      </c>
    </row>
    <row r="109" spans="2:11">
      <c r="B109" s="88">
        <v>104</v>
      </c>
      <c r="C109" s="83" t="s">
        <v>3307</v>
      </c>
      <c r="D109" s="83" t="s">
        <v>3186</v>
      </c>
      <c r="E109" s="83" t="s">
        <v>3188</v>
      </c>
      <c r="F109" s="83" t="s">
        <v>3182</v>
      </c>
      <c r="G109" s="83" t="s">
        <v>3183</v>
      </c>
      <c r="H109" s="83" t="s">
        <v>3189</v>
      </c>
      <c r="I109" s="83" t="s">
        <v>3187</v>
      </c>
      <c r="J109" s="83" t="s">
        <v>3193</v>
      </c>
      <c r="K109" s="89" t="s">
        <v>3192</v>
      </c>
    </row>
    <row r="110" spans="2:11">
      <c r="B110" s="88">
        <v>105</v>
      </c>
      <c r="C110" s="83" t="s">
        <v>3308</v>
      </c>
      <c r="D110" s="83" t="s">
        <v>3189</v>
      </c>
      <c r="E110" s="83" t="s">
        <v>3188</v>
      </c>
      <c r="F110" s="83" t="s">
        <v>3182</v>
      </c>
      <c r="G110" s="83" t="s">
        <v>3183</v>
      </c>
      <c r="H110" s="83" t="s">
        <v>3191</v>
      </c>
      <c r="I110" s="83" t="s">
        <v>3187</v>
      </c>
      <c r="J110" s="83" t="s">
        <v>3193</v>
      </c>
      <c r="K110" s="89" t="s">
        <v>3186</v>
      </c>
    </row>
    <row r="111" spans="2:11">
      <c r="B111" s="88">
        <v>106</v>
      </c>
      <c r="C111" s="83" t="s">
        <v>3309</v>
      </c>
      <c r="D111" s="83" t="s">
        <v>3189</v>
      </c>
      <c r="E111" s="83" t="s">
        <v>3188</v>
      </c>
      <c r="F111" s="83" t="s">
        <v>3182</v>
      </c>
      <c r="G111" s="83" t="s">
        <v>3183</v>
      </c>
      <c r="H111" s="83" t="s">
        <v>3191</v>
      </c>
      <c r="I111" s="83" t="s">
        <v>3187</v>
      </c>
      <c r="J111" s="83" t="s">
        <v>3186</v>
      </c>
      <c r="K111" s="89" t="s">
        <v>3192</v>
      </c>
    </row>
    <row r="112" spans="2:11">
      <c r="B112" s="88">
        <v>107</v>
      </c>
      <c r="C112" s="83" t="s">
        <v>3310</v>
      </c>
      <c r="D112" s="83" t="s">
        <v>3186</v>
      </c>
      <c r="E112" s="83" t="s">
        <v>3188</v>
      </c>
      <c r="F112" s="83" t="s">
        <v>3182</v>
      </c>
      <c r="G112" s="83" t="s">
        <v>3183</v>
      </c>
      <c r="H112" s="83" t="s">
        <v>3189</v>
      </c>
      <c r="I112" s="83" t="s">
        <v>3187</v>
      </c>
      <c r="J112" s="83" t="s">
        <v>3193</v>
      </c>
      <c r="K112" s="89" t="s">
        <v>3190</v>
      </c>
    </row>
    <row r="113" spans="2:11">
      <c r="B113" s="88">
        <v>108</v>
      </c>
      <c r="C113" s="83" t="s">
        <v>3311</v>
      </c>
      <c r="D113" s="83" t="s">
        <v>3186</v>
      </c>
      <c r="E113" s="83" t="s">
        <v>3188</v>
      </c>
      <c r="F113" s="83" t="s">
        <v>3182</v>
      </c>
      <c r="G113" s="83" t="s">
        <v>3183</v>
      </c>
      <c r="H113" s="83" t="s">
        <v>3189</v>
      </c>
      <c r="I113" s="83" t="s">
        <v>3187</v>
      </c>
      <c r="J113" s="83" t="s">
        <v>3190</v>
      </c>
      <c r="K113" s="89" t="s">
        <v>3192</v>
      </c>
    </row>
    <row r="114" spans="2:11">
      <c r="B114" s="88">
        <v>109</v>
      </c>
      <c r="C114" s="83" t="s">
        <v>3312</v>
      </c>
      <c r="D114" s="83" t="s">
        <v>3189</v>
      </c>
      <c r="E114" s="83" t="s">
        <v>3188</v>
      </c>
      <c r="F114" s="83" t="s">
        <v>3182</v>
      </c>
      <c r="G114" s="83" t="s">
        <v>3183</v>
      </c>
      <c r="H114" s="83" t="s">
        <v>3191</v>
      </c>
      <c r="I114" s="83" t="s">
        <v>3187</v>
      </c>
      <c r="J114" s="83" t="s">
        <v>3186</v>
      </c>
      <c r="K114" s="89" t="s">
        <v>3190</v>
      </c>
    </row>
    <row r="115" spans="2:11">
      <c r="B115" s="88">
        <v>110</v>
      </c>
      <c r="C115" s="83" t="s">
        <v>3313</v>
      </c>
      <c r="D115" s="83" t="s">
        <v>3189</v>
      </c>
      <c r="E115" s="83" t="s">
        <v>3191</v>
      </c>
      <c r="F115" s="83" t="s">
        <v>3182</v>
      </c>
      <c r="G115" s="83" t="s">
        <v>3183</v>
      </c>
      <c r="H115" s="83" t="s">
        <v>3190</v>
      </c>
      <c r="I115" s="83" t="s">
        <v>3185</v>
      </c>
      <c r="J115" s="83" t="s">
        <v>3193</v>
      </c>
      <c r="K115" s="89" t="s">
        <v>3192</v>
      </c>
    </row>
    <row r="116" spans="2:11">
      <c r="B116" s="88">
        <v>111</v>
      </c>
      <c r="C116" s="83" t="s">
        <v>3314</v>
      </c>
      <c r="D116" s="83" t="s">
        <v>3190</v>
      </c>
      <c r="E116" s="83" t="s">
        <v>3188</v>
      </c>
      <c r="F116" s="83" t="s">
        <v>3182</v>
      </c>
      <c r="G116" s="83" t="s">
        <v>3183</v>
      </c>
      <c r="H116" s="83" t="s">
        <v>3191</v>
      </c>
      <c r="I116" s="83" t="s">
        <v>3185</v>
      </c>
      <c r="J116" s="83" t="s">
        <v>3193</v>
      </c>
      <c r="K116" s="89" t="s">
        <v>3192</v>
      </c>
    </row>
    <row r="117" spans="2:11">
      <c r="B117" s="88">
        <v>112</v>
      </c>
      <c r="C117" s="83" t="s">
        <v>3315</v>
      </c>
      <c r="D117" s="83" t="s">
        <v>3189</v>
      </c>
      <c r="E117" s="83" t="s">
        <v>3188</v>
      </c>
      <c r="F117" s="83" t="s">
        <v>3182</v>
      </c>
      <c r="G117" s="83" t="s">
        <v>3183</v>
      </c>
      <c r="H117" s="83" t="s">
        <v>3191</v>
      </c>
      <c r="I117" s="83" t="s">
        <v>3185</v>
      </c>
      <c r="J117" s="83" t="s">
        <v>3193</v>
      </c>
      <c r="K117" s="89" t="s">
        <v>3192</v>
      </c>
    </row>
    <row r="118" spans="2:11">
      <c r="B118" s="88">
        <v>113</v>
      </c>
      <c r="C118" s="83" t="s">
        <v>3316</v>
      </c>
      <c r="D118" s="83" t="s">
        <v>3189</v>
      </c>
      <c r="E118" s="83" t="s">
        <v>3188</v>
      </c>
      <c r="F118" s="83" t="s">
        <v>3182</v>
      </c>
      <c r="G118" s="83" t="s">
        <v>3183</v>
      </c>
      <c r="H118" s="83" t="s">
        <v>3190</v>
      </c>
      <c r="I118" s="83" t="s">
        <v>3185</v>
      </c>
      <c r="J118" s="83" t="s">
        <v>3193</v>
      </c>
      <c r="K118" s="89" t="s">
        <v>3192</v>
      </c>
    </row>
    <row r="119" spans="2:11">
      <c r="B119" s="88">
        <v>114</v>
      </c>
      <c r="C119" s="83" t="s">
        <v>3317</v>
      </c>
      <c r="D119" s="83" t="s">
        <v>3189</v>
      </c>
      <c r="E119" s="83" t="s">
        <v>3188</v>
      </c>
      <c r="F119" s="83" t="s">
        <v>3182</v>
      </c>
      <c r="G119" s="83" t="s">
        <v>3183</v>
      </c>
      <c r="H119" s="83" t="s">
        <v>3191</v>
      </c>
      <c r="I119" s="83" t="s">
        <v>3185</v>
      </c>
      <c r="J119" s="83" t="s">
        <v>3193</v>
      </c>
      <c r="K119" s="89" t="s">
        <v>3190</v>
      </c>
    </row>
    <row r="120" spans="2:11">
      <c r="B120" s="88">
        <v>115</v>
      </c>
      <c r="C120" s="83" t="s">
        <v>3318</v>
      </c>
      <c r="D120" s="83" t="s">
        <v>3189</v>
      </c>
      <c r="E120" s="83" t="s">
        <v>3188</v>
      </c>
      <c r="F120" s="83" t="s">
        <v>3182</v>
      </c>
      <c r="G120" s="83" t="s">
        <v>3183</v>
      </c>
      <c r="H120" s="83" t="s">
        <v>3191</v>
      </c>
      <c r="I120" s="83" t="s">
        <v>3185</v>
      </c>
      <c r="J120" s="83" t="s">
        <v>3190</v>
      </c>
      <c r="K120" s="89" t="s">
        <v>3192</v>
      </c>
    </row>
    <row r="121" spans="2:11">
      <c r="B121" s="88">
        <v>116</v>
      </c>
      <c r="C121" s="83" t="s">
        <v>3319</v>
      </c>
      <c r="D121" s="83" t="s">
        <v>3183</v>
      </c>
      <c r="E121" s="83" t="s">
        <v>3191</v>
      </c>
      <c r="F121" s="83" t="s">
        <v>3182</v>
      </c>
      <c r="G121" s="83" t="s">
        <v>3185</v>
      </c>
      <c r="H121" s="83" t="s">
        <v>3190</v>
      </c>
      <c r="I121" s="83" t="s">
        <v>3187</v>
      </c>
      <c r="J121" s="83" t="s">
        <v>3193</v>
      </c>
      <c r="K121" s="89" t="s">
        <v>3192</v>
      </c>
    </row>
    <row r="122" spans="2:11">
      <c r="B122" s="88">
        <v>117</v>
      </c>
      <c r="C122" s="83" t="s">
        <v>3320</v>
      </c>
      <c r="D122" s="83" t="s">
        <v>3183</v>
      </c>
      <c r="E122" s="83" t="s">
        <v>3191</v>
      </c>
      <c r="F122" s="83" t="s">
        <v>3182</v>
      </c>
      <c r="G122" s="83" t="s">
        <v>3185</v>
      </c>
      <c r="H122" s="83" t="s">
        <v>3189</v>
      </c>
      <c r="I122" s="83" t="s">
        <v>3187</v>
      </c>
      <c r="J122" s="83" t="s">
        <v>3193</v>
      </c>
      <c r="K122" s="89" t="s">
        <v>3192</v>
      </c>
    </row>
    <row r="123" spans="2:11">
      <c r="B123" s="88">
        <v>118</v>
      </c>
      <c r="C123" s="83" t="s">
        <v>3321</v>
      </c>
      <c r="D123" s="83" t="s">
        <v>3183</v>
      </c>
      <c r="E123" s="83" t="s">
        <v>3190</v>
      </c>
      <c r="F123" s="83" t="s">
        <v>3182</v>
      </c>
      <c r="G123" s="83" t="s">
        <v>3185</v>
      </c>
      <c r="H123" s="83" t="s">
        <v>3189</v>
      </c>
      <c r="I123" s="83" t="s">
        <v>3187</v>
      </c>
      <c r="J123" s="83" t="s">
        <v>3193</v>
      </c>
      <c r="K123" s="89" t="s">
        <v>3192</v>
      </c>
    </row>
    <row r="124" spans="2:11">
      <c r="B124" s="88">
        <v>119</v>
      </c>
      <c r="C124" s="83" t="s">
        <v>3322</v>
      </c>
      <c r="D124" s="83" t="s">
        <v>3183</v>
      </c>
      <c r="E124" s="83" t="s">
        <v>3191</v>
      </c>
      <c r="F124" s="83" t="s">
        <v>3182</v>
      </c>
      <c r="G124" s="83" t="s">
        <v>3185</v>
      </c>
      <c r="H124" s="83" t="s">
        <v>3189</v>
      </c>
      <c r="I124" s="83" t="s">
        <v>3187</v>
      </c>
      <c r="J124" s="83" t="s">
        <v>3193</v>
      </c>
      <c r="K124" s="89" t="s">
        <v>3190</v>
      </c>
    </row>
    <row r="125" spans="2:11">
      <c r="B125" s="88">
        <v>120</v>
      </c>
      <c r="C125" s="83" t="s">
        <v>3323</v>
      </c>
      <c r="D125" s="83" t="s">
        <v>3183</v>
      </c>
      <c r="E125" s="83" t="s">
        <v>3191</v>
      </c>
      <c r="F125" s="83" t="s">
        <v>3182</v>
      </c>
      <c r="G125" s="83" t="s">
        <v>3185</v>
      </c>
      <c r="H125" s="83" t="s">
        <v>3189</v>
      </c>
      <c r="I125" s="83" t="s">
        <v>3187</v>
      </c>
      <c r="J125" s="83" t="s">
        <v>3190</v>
      </c>
      <c r="K125" s="89" t="s">
        <v>3192</v>
      </c>
    </row>
    <row r="126" spans="2:11">
      <c r="B126" s="88">
        <v>121</v>
      </c>
      <c r="C126" s="83" t="s">
        <v>3324</v>
      </c>
      <c r="D126" s="83" t="s">
        <v>3183</v>
      </c>
      <c r="E126" s="83" t="s">
        <v>3188</v>
      </c>
      <c r="F126" s="83" t="s">
        <v>3182</v>
      </c>
      <c r="G126" s="83" t="s">
        <v>3185</v>
      </c>
      <c r="H126" s="83" t="s">
        <v>3191</v>
      </c>
      <c r="I126" s="83" t="s">
        <v>3187</v>
      </c>
      <c r="J126" s="83" t="s">
        <v>3193</v>
      </c>
      <c r="K126" s="89" t="s">
        <v>3192</v>
      </c>
    </row>
    <row r="127" spans="2:11">
      <c r="B127" s="88">
        <v>122</v>
      </c>
      <c r="C127" s="83" t="s">
        <v>3325</v>
      </c>
      <c r="D127" s="83" t="s">
        <v>3183</v>
      </c>
      <c r="E127" s="83" t="s">
        <v>3188</v>
      </c>
      <c r="F127" s="83" t="s">
        <v>3182</v>
      </c>
      <c r="G127" s="83" t="s">
        <v>3185</v>
      </c>
      <c r="H127" s="83" t="s">
        <v>3190</v>
      </c>
      <c r="I127" s="83" t="s">
        <v>3187</v>
      </c>
      <c r="J127" s="83" t="s">
        <v>3193</v>
      </c>
      <c r="K127" s="89" t="s">
        <v>3192</v>
      </c>
    </row>
    <row r="128" spans="2:11">
      <c r="B128" s="88">
        <v>123</v>
      </c>
      <c r="C128" s="83" t="s">
        <v>3326</v>
      </c>
      <c r="D128" s="83" t="s">
        <v>3183</v>
      </c>
      <c r="E128" s="83" t="s">
        <v>3188</v>
      </c>
      <c r="F128" s="83" t="s">
        <v>3182</v>
      </c>
      <c r="G128" s="83" t="s">
        <v>3185</v>
      </c>
      <c r="H128" s="83" t="s">
        <v>3191</v>
      </c>
      <c r="I128" s="83" t="s">
        <v>3187</v>
      </c>
      <c r="J128" s="83" t="s">
        <v>3193</v>
      </c>
      <c r="K128" s="89" t="s">
        <v>3190</v>
      </c>
    </row>
    <row r="129" spans="2:11">
      <c r="B129" s="88">
        <v>124</v>
      </c>
      <c r="C129" s="83" t="s">
        <v>3327</v>
      </c>
      <c r="D129" s="83" t="s">
        <v>3183</v>
      </c>
      <c r="E129" s="83" t="s">
        <v>3188</v>
      </c>
      <c r="F129" s="83" t="s">
        <v>3182</v>
      </c>
      <c r="G129" s="83" t="s">
        <v>3185</v>
      </c>
      <c r="H129" s="83" t="s">
        <v>3191</v>
      </c>
      <c r="I129" s="83" t="s">
        <v>3187</v>
      </c>
      <c r="J129" s="83" t="s">
        <v>3190</v>
      </c>
      <c r="K129" s="89" t="s">
        <v>3192</v>
      </c>
    </row>
    <row r="130" spans="2:11">
      <c r="B130" s="88">
        <v>125</v>
      </c>
      <c r="C130" s="83" t="s">
        <v>3328</v>
      </c>
      <c r="D130" s="83" t="s">
        <v>3183</v>
      </c>
      <c r="E130" s="83" t="s">
        <v>3188</v>
      </c>
      <c r="F130" s="83" t="s">
        <v>3182</v>
      </c>
      <c r="G130" s="83" t="s">
        <v>3185</v>
      </c>
      <c r="H130" s="83" t="s">
        <v>3189</v>
      </c>
      <c r="I130" s="83" t="s">
        <v>3187</v>
      </c>
      <c r="J130" s="83" t="s">
        <v>3193</v>
      </c>
      <c r="K130" s="89" t="s">
        <v>3192</v>
      </c>
    </row>
    <row r="131" spans="2:11">
      <c r="B131" s="88">
        <v>126</v>
      </c>
      <c r="C131" s="83" t="s">
        <v>3329</v>
      </c>
      <c r="D131" s="83" t="s">
        <v>3183</v>
      </c>
      <c r="E131" s="83" t="s">
        <v>3188</v>
      </c>
      <c r="F131" s="83" t="s">
        <v>3182</v>
      </c>
      <c r="G131" s="83" t="s">
        <v>3185</v>
      </c>
      <c r="H131" s="83" t="s">
        <v>3189</v>
      </c>
      <c r="I131" s="83" t="s">
        <v>3187</v>
      </c>
      <c r="J131" s="83" t="s">
        <v>3193</v>
      </c>
      <c r="K131" s="89" t="s">
        <v>3191</v>
      </c>
    </row>
    <row r="132" spans="2:11">
      <c r="B132" s="88">
        <v>127</v>
      </c>
      <c r="C132" s="83" t="s">
        <v>3330</v>
      </c>
      <c r="D132" s="83" t="s">
        <v>3189</v>
      </c>
      <c r="E132" s="83" t="s">
        <v>3188</v>
      </c>
      <c r="F132" s="83" t="s">
        <v>3182</v>
      </c>
      <c r="G132" s="83" t="s">
        <v>3183</v>
      </c>
      <c r="H132" s="83" t="s">
        <v>3191</v>
      </c>
      <c r="I132" s="83" t="s">
        <v>3187</v>
      </c>
      <c r="J132" s="83" t="s">
        <v>3185</v>
      </c>
      <c r="K132" s="89" t="s">
        <v>3192</v>
      </c>
    </row>
    <row r="133" spans="2:11">
      <c r="B133" s="88">
        <v>128</v>
      </c>
      <c r="C133" s="83" t="s">
        <v>3331</v>
      </c>
      <c r="D133" s="83" t="s">
        <v>3183</v>
      </c>
      <c r="E133" s="83" t="s">
        <v>3188</v>
      </c>
      <c r="F133" s="83" t="s">
        <v>3182</v>
      </c>
      <c r="G133" s="83" t="s">
        <v>3185</v>
      </c>
      <c r="H133" s="83" t="s">
        <v>3189</v>
      </c>
      <c r="I133" s="83" t="s">
        <v>3187</v>
      </c>
      <c r="J133" s="83" t="s">
        <v>3193</v>
      </c>
      <c r="K133" s="89" t="s">
        <v>3190</v>
      </c>
    </row>
    <row r="134" spans="2:11">
      <c r="B134" s="88">
        <v>129</v>
      </c>
      <c r="C134" s="83" t="s">
        <v>3332</v>
      </c>
      <c r="D134" s="83" t="s">
        <v>3183</v>
      </c>
      <c r="E134" s="83" t="s">
        <v>3188</v>
      </c>
      <c r="F134" s="83" t="s">
        <v>3182</v>
      </c>
      <c r="G134" s="83" t="s">
        <v>3185</v>
      </c>
      <c r="H134" s="83" t="s">
        <v>3189</v>
      </c>
      <c r="I134" s="83" t="s">
        <v>3187</v>
      </c>
      <c r="J134" s="83" t="s">
        <v>3190</v>
      </c>
      <c r="K134" s="89" t="s">
        <v>3192</v>
      </c>
    </row>
    <row r="135" spans="2:11">
      <c r="B135" s="88">
        <v>130</v>
      </c>
      <c r="C135" s="83" t="s">
        <v>3333</v>
      </c>
      <c r="D135" s="83" t="s">
        <v>3189</v>
      </c>
      <c r="E135" s="83" t="s">
        <v>3188</v>
      </c>
      <c r="F135" s="83" t="s">
        <v>3182</v>
      </c>
      <c r="G135" s="83" t="s">
        <v>3183</v>
      </c>
      <c r="H135" s="83" t="s">
        <v>3191</v>
      </c>
      <c r="I135" s="83" t="s">
        <v>3187</v>
      </c>
      <c r="J135" s="83" t="s">
        <v>3185</v>
      </c>
      <c r="K135" s="89" t="s">
        <v>3190</v>
      </c>
    </row>
    <row r="136" spans="2:11">
      <c r="B136" s="88">
        <v>131</v>
      </c>
      <c r="C136" s="83" t="s">
        <v>3334</v>
      </c>
      <c r="D136" s="83" t="s">
        <v>3186</v>
      </c>
      <c r="E136" s="83" t="s">
        <v>3191</v>
      </c>
      <c r="F136" s="83" t="s">
        <v>3182</v>
      </c>
      <c r="G136" s="83" t="s">
        <v>3183</v>
      </c>
      <c r="H136" s="83" t="s">
        <v>3190</v>
      </c>
      <c r="I136" s="83" t="s">
        <v>3185</v>
      </c>
      <c r="J136" s="83" t="s">
        <v>3193</v>
      </c>
      <c r="K136" s="89" t="s">
        <v>3192</v>
      </c>
    </row>
    <row r="137" spans="2:11">
      <c r="B137" s="88">
        <v>132</v>
      </c>
      <c r="C137" s="83" t="s">
        <v>3335</v>
      </c>
      <c r="D137" s="83" t="s">
        <v>3186</v>
      </c>
      <c r="E137" s="83" t="s">
        <v>3191</v>
      </c>
      <c r="F137" s="83" t="s">
        <v>3182</v>
      </c>
      <c r="G137" s="83" t="s">
        <v>3183</v>
      </c>
      <c r="H137" s="83" t="s">
        <v>3189</v>
      </c>
      <c r="I137" s="83" t="s">
        <v>3185</v>
      </c>
      <c r="J137" s="83" t="s">
        <v>3193</v>
      </c>
      <c r="K137" s="89" t="s">
        <v>3192</v>
      </c>
    </row>
    <row r="138" spans="2:11">
      <c r="B138" s="88">
        <v>133</v>
      </c>
      <c r="C138" s="83" t="s">
        <v>3336</v>
      </c>
      <c r="D138" s="83" t="s">
        <v>3186</v>
      </c>
      <c r="E138" s="83" t="s">
        <v>3190</v>
      </c>
      <c r="F138" s="83" t="s">
        <v>3182</v>
      </c>
      <c r="G138" s="83" t="s">
        <v>3183</v>
      </c>
      <c r="H138" s="83" t="s">
        <v>3189</v>
      </c>
      <c r="I138" s="83" t="s">
        <v>3185</v>
      </c>
      <c r="J138" s="83" t="s">
        <v>3193</v>
      </c>
      <c r="K138" s="89" t="s">
        <v>3192</v>
      </c>
    </row>
    <row r="139" spans="2:11">
      <c r="B139" s="88">
        <v>134</v>
      </c>
      <c r="C139" s="83" t="s">
        <v>3337</v>
      </c>
      <c r="D139" s="83" t="s">
        <v>3186</v>
      </c>
      <c r="E139" s="83" t="s">
        <v>3191</v>
      </c>
      <c r="F139" s="83" t="s">
        <v>3182</v>
      </c>
      <c r="G139" s="83" t="s">
        <v>3183</v>
      </c>
      <c r="H139" s="83" t="s">
        <v>3189</v>
      </c>
      <c r="I139" s="83" t="s">
        <v>3185</v>
      </c>
      <c r="J139" s="83" t="s">
        <v>3193</v>
      </c>
      <c r="K139" s="89" t="s">
        <v>3190</v>
      </c>
    </row>
    <row r="140" spans="2:11">
      <c r="B140" s="88">
        <v>135</v>
      </c>
      <c r="C140" s="83" t="s">
        <v>3338</v>
      </c>
      <c r="D140" s="83" t="s">
        <v>3186</v>
      </c>
      <c r="E140" s="83" t="s">
        <v>3191</v>
      </c>
      <c r="F140" s="83" t="s">
        <v>3182</v>
      </c>
      <c r="G140" s="83" t="s">
        <v>3183</v>
      </c>
      <c r="H140" s="83" t="s">
        <v>3189</v>
      </c>
      <c r="I140" s="83" t="s">
        <v>3185</v>
      </c>
      <c r="J140" s="83" t="s">
        <v>3190</v>
      </c>
      <c r="K140" s="89" t="s">
        <v>3192</v>
      </c>
    </row>
    <row r="141" spans="2:11">
      <c r="B141" s="88">
        <v>136</v>
      </c>
      <c r="C141" s="83" t="s">
        <v>3339</v>
      </c>
      <c r="D141" s="83" t="s">
        <v>3186</v>
      </c>
      <c r="E141" s="83" t="s">
        <v>3188</v>
      </c>
      <c r="F141" s="83" t="s">
        <v>3182</v>
      </c>
      <c r="G141" s="83" t="s">
        <v>3183</v>
      </c>
      <c r="H141" s="83" t="s">
        <v>3191</v>
      </c>
      <c r="I141" s="83" t="s">
        <v>3185</v>
      </c>
      <c r="J141" s="83" t="s">
        <v>3193</v>
      </c>
      <c r="K141" s="89" t="s">
        <v>3192</v>
      </c>
    </row>
    <row r="142" spans="2:11">
      <c r="B142" s="88">
        <v>137</v>
      </c>
      <c r="C142" s="83" t="s">
        <v>3340</v>
      </c>
      <c r="D142" s="83" t="s">
        <v>3186</v>
      </c>
      <c r="E142" s="83" t="s">
        <v>3188</v>
      </c>
      <c r="F142" s="83" t="s">
        <v>3182</v>
      </c>
      <c r="G142" s="83" t="s">
        <v>3183</v>
      </c>
      <c r="H142" s="83" t="s">
        <v>3190</v>
      </c>
      <c r="I142" s="83" t="s">
        <v>3185</v>
      </c>
      <c r="J142" s="83" t="s">
        <v>3193</v>
      </c>
      <c r="K142" s="89" t="s">
        <v>3192</v>
      </c>
    </row>
    <row r="143" spans="2:11">
      <c r="B143" s="88">
        <v>138</v>
      </c>
      <c r="C143" s="83" t="s">
        <v>3341</v>
      </c>
      <c r="D143" s="83" t="s">
        <v>3186</v>
      </c>
      <c r="E143" s="83" t="s">
        <v>3188</v>
      </c>
      <c r="F143" s="83" t="s">
        <v>3182</v>
      </c>
      <c r="G143" s="83" t="s">
        <v>3183</v>
      </c>
      <c r="H143" s="83" t="s">
        <v>3191</v>
      </c>
      <c r="I143" s="83" t="s">
        <v>3185</v>
      </c>
      <c r="J143" s="83" t="s">
        <v>3193</v>
      </c>
      <c r="K143" s="89" t="s">
        <v>3190</v>
      </c>
    </row>
    <row r="144" spans="2:11">
      <c r="B144" s="88">
        <v>139</v>
      </c>
      <c r="C144" s="83" t="s">
        <v>3342</v>
      </c>
      <c r="D144" s="83" t="s">
        <v>3186</v>
      </c>
      <c r="E144" s="83" t="s">
        <v>3188</v>
      </c>
      <c r="F144" s="83" t="s">
        <v>3182</v>
      </c>
      <c r="G144" s="83" t="s">
        <v>3183</v>
      </c>
      <c r="H144" s="83" t="s">
        <v>3191</v>
      </c>
      <c r="I144" s="83" t="s">
        <v>3185</v>
      </c>
      <c r="J144" s="83" t="s">
        <v>3190</v>
      </c>
      <c r="K144" s="89" t="s">
        <v>3192</v>
      </c>
    </row>
    <row r="145" spans="2:11">
      <c r="B145" s="88">
        <v>140</v>
      </c>
      <c r="C145" s="83" t="s">
        <v>3343</v>
      </c>
      <c r="D145" s="83" t="s">
        <v>3186</v>
      </c>
      <c r="E145" s="83" t="s">
        <v>3188</v>
      </c>
      <c r="F145" s="83" t="s">
        <v>3182</v>
      </c>
      <c r="G145" s="83" t="s">
        <v>3183</v>
      </c>
      <c r="H145" s="83" t="s">
        <v>3189</v>
      </c>
      <c r="I145" s="83" t="s">
        <v>3185</v>
      </c>
      <c r="J145" s="83" t="s">
        <v>3193</v>
      </c>
      <c r="K145" s="89" t="s">
        <v>3192</v>
      </c>
    </row>
    <row r="146" spans="2:11">
      <c r="B146" s="88">
        <v>141</v>
      </c>
      <c r="C146" s="83" t="s">
        <v>3344</v>
      </c>
      <c r="D146" s="83" t="s">
        <v>3189</v>
      </c>
      <c r="E146" s="83" t="s">
        <v>3188</v>
      </c>
      <c r="F146" s="83" t="s">
        <v>3182</v>
      </c>
      <c r="G146" s="83" t="s">
        <v>3183</v>
      </c>
      <c r="H146" s="83" t="s">
        <v>3191</v>
      </c>
      <c r="I146" s="83" t="s">
        <v>3185</v>
      </c>
      <c r="J146" s="83" t="s">
        <v>3193</v>
      </c>
      <c r="K146" s="89" t="s">
        <v>3186</v>
      </c>
    </row>
    <row r="147" spans="2:11">
      <c r="B147" s="88">
        <v>142</v>
      </c>
      <c r="C147" s="83" t="s">
        <v>3345</v>
      </c>
      <c r="D147" s="83" t="s">
        <v>3189</v>
      </c>
      <c r="E147" s="83" t="s">
        <v>3188</v>
      </c>
      <c r="F147" s="83" t="s">
        <v>3182</v>
      </c>
      <c r="G147" s="83" t="s">
        <v>3183</v>
      </c>
      <c r="H147" s="83" t="s">
        <v>3191</v>
      </c>
      <c r="I147" s="83" t="s">
        <v>3185</v>
      </c>
      <c r="J147" s="83" t="s">
        <v>3186</v>
      </c>
      <c r="K147" s="89" t="s">
        <v>3192</v>
      </c>
    </row>
    <row r="148" spans="2:11">
      <c r="B148" s="88">
        <v>143</v>
      </c>
      <c r="C148" s="83" t="s">
        <v>3346</v>
      </c>
      <c r="D148" s="83" t="s">
        <v>3186</v>
      </c>
      <c r="E148" s="83" t="s">
        <v>3188</v>
      </c>
      <c r="F148" s="83" t="s">
        <v>3182</v>
      </c>
      <c r="G148" s="83" t="s">
        <v>3183</v>
      </c>
      <c r="H148" s="83" t="s">
        <v>3189</v>
      </c>
      <c r="I148" s="83" t="s">
        <v>3185</v>
      </c>
      <c r="J148" s="83" t="s">
        <v>3193</v>
      </c>
      <c r="K148" s="89" t="s">
        <v>3190</v>
      </c>
    </row>
    <row r="149" spans="2:11">
      <c r="B149" s="88">
        <v>144</v>
      </c>
      <c r="C149" s="83" t="s">
        <v>3347</v>
      </c>
      <c r="D149" s="83" t="s">
        <v>3186</v>
      </c>
      <c r="E149" s="83" t="s">
        <v>3188</v>
      </c>
      <c r="F149" s="83" t="s">
        <v>3182</v>
      </c>
      <c r="G149" s="83" t="s">
        <v>3183</v>
      </c>
      <c r="H149" s="83" t="s">
        <v>3189</v>
      </c>
      <c r="I149" s="83" t="s">
        <v>3185</v>
      </c>
      <c r="J149" s="83" t="s">
        <v>3190</v>
      </c>
      <c r="K149" s="89" t="s">
        <v>3192</v>
      </c>
    </row>
    <row r="150" spans="2:11">
      <c r="B150" s="88">
        <v>145</v>
      </c>
      <c r="C150" s="83" t="s">
        <v>3348</v>
      </c>
      <c r="D150" s="83" t="s">
        <v>3189</v>
      </c>
      <c r="E150" s="83" t="s">
        <v>3188</v>
      </c>
      <c r="F150" s="83" t="s">
        <v>3182</v>
      </c>
      <c r="G150" s="83" t="s">
        <v>3183</v>
      </c>
      <c r="H150" s="83" t="s">
        <v>3191</v>
      </c>
      <c r="I150" s="83" t="s">
        <v>3185</v>
      </c>
      <c r="J150" s="83" t="s">
        <v>3186</v>
      </c>
      <c r="K150" s="89" t="s">
        <v>3190</v>
      </c>
    </row>
    <row r="151" spans="2:11">
      <c r="B151" s="88">
        <v>146</v>
      </c>
      <c r="C151" s="83" t="s">
        <v>3349</v>
      </c>
      <c r="D151" s="83" t="s">
        <v>3183</v>
      </c>
      <c r="E151" s="83" t="s">
        <v>3191</v>
      </c>
      <c r="F151" s="83" t="s">
        <v>3182</v>
      </c>
      <c r="G151" s="83" t="s">
        <v>3185</v>
      </c>
      <c r="H151" s="83" t="s">
        <v>3186</v>
      </c>
      <c r="I151" s="83" t="s">
        <v>3187</v>
      </c>
      <c r="J151" s="83" t="s">
        <v>3193</v>
      </c>
      <c r="K151" s="89" t="s">
        <v>3192</v>
      </c>
    </row>
    <row r="152" spans="2:11">
      <c r="B152" s="88">
        <v>147</v>
      </c>
      <c r="C152" s="83" t="s">
        <v>3350</v>
      </c>
      <c r="D152" s="83" t="s">
        <v>3183</v>
      </c>
      <c r="E152" s="83" t="s">
        <v>3186</v>
      </c>
      <c r="F152" s="83" t="s">
        <v>3182</v>
      </c>
      <c r="G152" s="83" t="s">
        <v>3185</v>
      </c>
      <c r="H152" s="83" t="s">
        <v>3190</v>
      </c>
      <c r="I152" s="83" t="s">
        <v>3187</v>
      </c>
      <c r="J152" s="83" t="s">
        <v>3193</v>
      </c>
      <c r="K152" s="89" t="s">
        <v>3192</v>
      </c>
    </row>
    <row r="153" spans="2:11">
      <c r="B153" s="88">
        <v>148</v>
      </c>
      <c r="C153" s="83" t="s">
        <v>3351</v>
      </c>
      <c r="D153" s="83" t="s">
        <v>3183</v>
      </c>
      <c r="E153" s="83" t="s">
        <v>3191</v>
      </c>
      <c r="F153" s="83" t="s">
        <v>3182</v>
      </c>
      <c r="G153" s="83" t="s">
        <v>3185</v>
      </c>
      <c r="H153" s="83" t="s">
        <v>3186</v>
      </c>
      <c r="I153" s="83" t="s">
        <v>3187</v>
      </c>
      <c r="J153" s="83" t="s">
        <v>3193</v>
      </c>
      <c r="K153" s="89" t="s">
        <v>3190</v>
      </c>
    </row>
    <row r="154" spans="2:11">
      <c r="B154" s="88">
        <v>149</v>
      </c>
      <c r="C154" s="83" t="s">
        <v>3352</v>
      </c>
      <c r="D154" s="83" t="s">
        <v>3183</v>
      </c>
      <c r="E154" s="83" t="s">
        <v>3191</v>
      </c>
      <c r="F154" s="83" t="s">
        <v>3182</v>
      </c>
      <c r="G154" s="83" t="s">
        <v>3185</v>
      </c>
      <c r="H154" s="83" t="s">
        <v>3186</v>
      </c>
      <c r="I154" s="83" t="s">
        <v>3187</v>
      </c>
      <c r="J154" s="83" t="s">
        <v>3190</v>
      </c>
      <c r="K154" s="89" t="s">
        <v>3192</v>
      </c>
    </row>
    <row r="155" spans="2:11">
      <c r="B155" s="88">
        <v>150</v>
      </c>
      <c r="C155" s="83" t="s">
        <v>3353</v>
      </c>
      <c r="D155" s="83" t="s">
        <v>3183</v>
      </c>
      <c r="E155" s="83" t="s">
        <v>3186</v>
      </c>
      <c r="F155" s="83" t="s">
        <v>3182</v>
      </c>
      <c r="G155" s="83" t="s">
        <v>3185</v>
      </c>
      <c r="H155" s="83" t="s">
        <v>3189</v>
      </c>
      <c r="I155" s="83" t="s">
        <v>3187</v>
      </c>
      <c r="J155" s="83" t="s">
        <v>3193</v>
      </c>
      <c r="K155" s="89" t="s">
        <v>3192</v>
      </c>
    </row>
    <row r="156" spans="2:11">
      <c r="B156" s="88">
        <v>151</v>
      </c>
      <c r="C156" s="83" t="s">
        <v>3354</v>
      </c>
      <c r="D156" s="83" t="s">
        <v>3183</v>
      </c>
      <c r="E156" s="83" t="s">
        <v>3191</v>
      </c>
      <c r="F156" s="83" t="s">
        <v>3182</v>
      </c>
      <c r="G156" s="83" t="s">
        <v>3185</v>
      </c>
      <c r="H156" s="83" t="s">
        <v>3189</v>
      </c>
      <c r="I156" s="83" t="s">
        <v>3187</v>
      </c>
      <c r="J156" s="83" t="s">
        <v>3193</v>
      </c>
      <c r="K156" s="89" t="s">
        <v>3186</v>
      </c>
    </row>
    <row r="157" spans="2:11">
      <c r="B157" s="88">
        <v>152</v>
      </c>
      <c r="C157" s="83" t="s">
        <v>3355</v>
      </c>
      <c r="D157" s="83" t="s">
        <v>3183</v>
      </c>
      <c r="E157" s="83" t="s">
        <v>3191</v>
      </c>
      <c r="F157" s="83" t="s">
        <v>3182</v>
      </c>
      <c r="G157" s="83" t="s">
        <v>3185</v>
      </c>
      <c r="H157" s="83" t="s">
        <v>3189</v>
      </c>
      <c r="I157" s="83" t="s">
        <v>3187</v>
      </c>
      <c r="J157" s="83" t="s">
        <v>3186</v>
      </c>
      <c r="K157" s="89" t="s">
        <v>3192</v>
      </c>
    </row>
    <row r="158" spans="2:11">
      <c r="B158" s="88">
        <v>153</v>
      </c>
      <c r="C158" s="83" t="s">
        <v>3356</v>
      </c>
      <c r="D158" s="83" t="s">
        <v>3183</v>
      </c>
      <c r="E158" s="83" t="s">
        <v>3186</v>
      </c>
      <c r="F158" s="83" t="s">
        <v>3182</v>
      </c>
      <c r="G158" s="83" t="s">
        <v>3185</v>
      </c>
      <c r="H158" s="83" t="s">
        <v>3189</v>
      </c>
      <c r="I158" s="83" t="s">
        <v>3187</v>
      </c>
      <c r="J158" s="83" t="s">
        <v>3193</v>
      </c>
      <c r="K158" s="89" t="s">
        <v>3190</v>
      </c>
    </row>
    <row r="159" spans="2:11">
      <c r="B159" s="88">
        <v>154</v>
      </c>
      <c r="C159" s="83" t="s">
        <v>3357</v>
      </c>
      <c r="D159" s="83" t="s">
        <v>3183</v>
      </c>
      <c r="E159" s="83" t="s">
        <v>3186</v>
      </c>
      <c r="F159" s="83" t="s">
        <v>3182</v>
      </c>
      <c r="G159" s="83" t="s">
        <v>3185</v>
      </c>
      <c r="H159" s="83" t="s">
        <v>3189</v>
      </c>
      <c r="I159" s="83" t="s">
        <v>3187</v>
      </c>
      <c r="J159" s="83" t="s">
        <v>3190</v>
      </c>
      <c r="K159" s="89" t="s">
        <v>3192</v>
      </c>
    </row>
    <row r="160" spans="2:11">
      <c r="B160" s="88">
        <v>155</v>
      </c>
      <c r="C160" s="83" t="s">
        <v>3358</v>
      </c>
      <c r="D160" s="83" t="s">
        <v>3183</v>
      </c>
      <c r="E160" s="83" t="s">
        <v>3191</v>
      </c>
      <c r="F160" s="83" t="s">
        <v>3182</v>
      </c>
      <c r="G160" s="83" t="s">
        <v>3185</v>
      </c>
      <c r="H160" s="83" t="s">
        <v>3189</v>
      </c>
      <c r="I160" s="83" t="s">
        <v>3187</v>
      </c>
      <c r="J160" s="83" t="s">
        <v>3186</v>
      </c>
      <c r="K160" s="89" t="s">
        <v>3190</v>
      </c>
    </row>
    <row r="161" spans="2:11">
      <c r="B161" s="88">
        <v>156</v>
      </c>
      <c r="C161" s="83" t="s">
        <v>3359</v>
      </c>
      <c r="D161" s="83" t="s">
        <v>3183</v>
      </c>
      <c r="E161" s="83" t="s">
        <v>3188</v>
      </c>
      <c r="F161" s="83" t="s">
        <v>3182</v>
      </c>
      <c r="G161" s="83" t="s">
        <v>3185</v>
      </c>
      <c r="H161" s="83" t="s">
        <v>3186</v>
      </c>
      <c r="I161" s="83" t="s">
        <v>3187</v>
      </c>
      <c r="J161" s="83" t="s">
        <v>3193</v>
      </c>
      <c r="K161" s="89" t="s">
        <v>3192</v>
      </c>
    </row>
    <row r="162" spans="2:11">
      <c r="B162" s="88">
        <v>157</v>
      </c>
      <c r="C162" s="83" t="s">
        <v>3360</v>
      </c>
      <c r="D162" s="83" t="s">
        <v>3183</v>
      </c>
      <c r="E162" s="83" t="s">
        <v>3188</v>
      </c>
      <c r="F162" s="83" t="s">
        <v>3182</v>
      </c>
      <c r="G162" s="83" t="s">
        <v>3185</v>
      </c>
      <c r="H162" s="83" t="s">
        <v>3191</v>
      </c>
      <c r="I162" s="83" t="s">
        <v>3187</v>
      </c>
      <c r="J162" s="83" t="s">
        <v>3193</v>
      </c>
      <c r="K162" s="89" t="s">
        <v>3186</v>
      </c>
    </row>
    <row r="163" spans="2:11">
      <c r="B163" s="88">
        <v>158</v>
      </c>
      <c r="C163" s="83" t="s">
        <v>3361</v>
      </c>
      <c r="D163" s="83" t="s">
        <v>3183</v>
      </c>
      <c r="E163" s="83" t="s">
        <v>3188</v>
      </c>
      <c r="F163" s="83" t="s">
        <v>3182</v>
      </c>
      <c r="G163" s="83" t="s">
        <v>3185</v>
      </c>
      <c r="H163" s="83" t="s">
        <v>3191</v>
      </c>
      <c r="I163" s="83" t="s">
        <v>3187</v>
      </c>
      <c r="J163" s="83" t="s">
        <v>3186</v>
      </c>
      <c r="K163" s="89" t="s">
        <v>3192</v>
      </c>
    </row>
    <row r="164" spans="2:11">
      <c r="B164" s="88">
        <v>159</v>
      </c>
      <c r="C164" s="83" t="s">
        <v>3362</v>
      </c>
      <c r="D164" s="83" t="s">
        <v>3183</v>
      </c>
      <c r="E164" s="83" t="s">
        <v>3188</v>
      </c>
      <c r="F164" s="83" t="s">
        <v>3182</v>
      </c>
      <c r="G164" s="83" t="s">
        <v>3185</v>
      </c>
      <c r="H164" s="83" t="s">
        <v>3186</v>
      </c>
      <c r="I164" s="83" t="s">
        <v>3187</v>
      </c>
      <c r="J164" s="83" t="s">
        <v>3193</v>
      </c>
      <c r="K164" s="89" t="s">
        <v>3190</v>
      </c>
    </row>
    <row r="165" spans="2:11">
      <c r="B165" s="88">
        <v>160</v>
      </c>
      <c r="C165" s="83" t="s">
        <v>3363</v>
      </c>
      <c r="D165" s="83" t="s">
        <v>3183</v>
      </c>
      <c r="E165" s="83" t="s">
        <v>3188</v>
      </c>
      <c r="F165" s="83" t="s">
        <v>3182</v>
      </c>
      <c r="G165" s="83" t="s">
        <v>3185</v>
      </c>
      <c r="H165" s="83" t="s">
        <v>3186</v>
      </c>
      <c r="I165" s="83" t="s">
        <v>3187</v>
      </c>
      <c r="J165" s="83" t="s">
        <v>3190</v>
      </c>
      <c r="K165" s="89" t="s">
        <v>3192</v>
      </c>
    </row>
    <row r="166" spans="2:11">
      <c r="B166" s="88">
        <v>161</v>
      </c>
      <c r="C166" s="83" t="s">
        <v>3364</v>
      </c>
      <c r="D166" s="83" t="s">
        <v>3183</v>
      </c>
      <c r="E166" s="83" t="s">
        <v>3188</v>
      </c>
      <c r="F166" s="83" t="s">
        <v>3182</v>
      </c>
      <c r="G166" s="83" t="s">
        <v>3185</v>
      </c>
      <c r="H166" s="83" t="s">
        <v>3191</v>
      </c>
      <c r="I166" s="83" t="s">
        <v>3187</v>
      </c>
      <c r="J166" s="83" t="s">
        <v>3186</v>
      </c>
      <c r="K166" s="89" t="s">
        <v>3190</v>
      </c>
    </row>
    <row r="167" spans="2:11">
      <c r="B167" s="88">
        <v>162</v>
      </c>
      <c r="C167" s="83" t="s">
        <v>3365</v>
      </c>
      <c r="D167" s="83" t="s">
        <v>3183</v>
      </c>
      <c r="E167" s="83" t="s">
        <v>3188</v>
      </c>
      <c r="F167" s="83" t="s">
        <v>3182</v>
      </c>
      <c r="G167" s="83" t="s">
        <v>3185</v>
      </c>
      <c r="H167" s="83" t="s">
        <v>3189</v>
      </c>
      <c r="I167" s="83" t="s">
        <v>3187</v>
      </c>
      <c r="J167" s="83" t="s">
        <v>3193</v>
      </c>
      <c r="K167" s="89" t="s">
        <v>3186</v>
      </c>
    </row>
    <row r="168" spans="2:11">
      <c r="B168" s="88">
        <v>163</v>
      </c>
      <c r="C168" s="83" t="s">
        <v>3366</v>
      </c>
      <c r="D168" s="83" t="s">
        <v>3183</v>
      </c>
      <c r="E168" s="83" t="s">
        <v>3188</v>
      </c>
      <c r="F168" s="83" t="s">
        <v>3182</v>
      </c>
      <c r="G168" s="83" t="s">
        <v>3185</v>
      </c>
      <c r="H168" s="83" t="s">
        <v>3189</v>
      </c>
      <c r="I168" s="83" t="s">
        <v>3187</v>
      </c>
      <c r="J168" s="83" t="s">
        <v>3186</v>
      </c>
      <c r="K168" s="89" t="s">
        <v>3192</v>
      </c>
    </row>
    <row r="169" spans="2:11">
      <c r="B169" s="88">
        <v>164</v>
      </c>
      <c r="C169" s="83" t="s">
        <v>3367</v>
      </c>
      <c r="D169" s="83" t="s">
        <v>3189</v>
      </c>
      <c r="E169" s="83" t="s">
        <v>3188</v>
      </c>
      <c r="F169" s="83" t="s">
        <v>3182</v>
      </c>
      <c r="G169" s="83" t="s">
        <v>3183</v>
      </c>
      <c r="H169" s="83" t="s">
        <v>3191</v>
      </c>
      <c r="I169" s="83" t="s">
        <v>3187</v>
      </c>
      <c r="J169" s="83" t="s">
        <v>3185</v>
      </c>
      <c r="K169" s="89" t="s">
        <v>3186</v>
      </c>
    </row>
    <row r="170" spans="2:11">
      <c r="B170" s="88">
        <v>165</v>
      </c>
      <c r="C170" s="83" t="s">
        <v>3368</v>
      </c>
      <c r="D170" s="83" t="s">
        <v>3183</v>
      </c>
      <c r="E170" s="83" t="s">
        <v>3188</v>
      </c>
      <c r="F170" s="83" t="s">
        <v>3182</v>
      </c>
      <c r="G170" s="83" t="s">
        <v>3185</v>
      </c>
      <c r="H170" s="83" t="s">
        <v>3189</v>
      </c>
      <c r="I170" s="83" t="s">
        <v>3187</v>
      </c>
      <c r="J170" s="83" t="s">
        <v>3186</v>
      </c>
      <c r="K170" s="89" t="s">
        <v>3190</v>
      </c>
    </row>
    <row r="171" spans="2:11">
      <c r="B171" s="88">
        <v>166</v>
      </c>
      <c r="C171" s="83" t="s">
        <v>3369</v>
      </c>
      <c r="D171" s="83" t="s">
        <v>3189</v>
      </c>
      <c r="E171" s="83" t="s">
        <v>3191</v>
      </c>
      <c r="F171" s="83" t="s">
        <v>3190</v>
      </c>
      <c r="G171" s="83" t="s">
        <v>3187</v>
      </c>
      <c r="H171" s="83" t="s">
        <v>3181</v>
      </c>
      <c r="I171" s="83" t="s">
        <v>3188</v>
      </c>
      <c r="J171" s="83" t="s">
        <v>3193</v>
      </c>
      <c r="K171" s="89" t="s">
        <v>3192</v>
      </c>
    </row>
    <row r="172" spans="2:11">
      <c r="B172" s="88">
        <v>167</v>
      </c>
      <c r="C172" s="83" t="s">
        <v>3370</v>
      </c>
      <c r="D172" s="83" t="s">
        <v>3186</v>
      </c>
      <c r="E172" s="83" t="s">
        <v>3191</v>
      </c>
      <c r="F172" s="83" t="s">
        <v>3190</v>
      </c>
      <c r="G172" s="83" t="s">
        <v>3181</v>
      </c>
      <c r="H172" s="83" t="s">
        <v>3189</v>
      </c>
      <c r="I172" s="83" t="s">
        <v>3188</v>
      </c>
      <c r="J172" s="83" t="s">
        <v>3193</v>
      </c>
      <c r="K172" s="89" t="s">
        <v>3192</v>
      </c>
    </row>
    <row r="173" spans="2:11">
      <c r="B173" s="88">
        <v>168</v>
      </c>
      <c r="C173" s="83" t="s">
        <v>3371</v>
      </c>
      <c r="D173" s="83" t="s">
        <v>3186</v>
      </c>
      <c r="E173" s="83" t="s">
        <v>3191</v>
      </c>
      <c r="F173" s="83" t="s">
        <v>3190</v>
      </c>
      <c r="G173" s="83" t="s">
        <v>3187</v>
      </c>
      <c r="H173" s="83" t="s">
        <v>3181</v>
      </c>
      <c r="I173" s="83" t="s">
        <v>3189</v>
      </c>
      <c r="J173" s="83" t="s">
        <v>3193</v>
      </c>
      <c r="K173" s="89" t="s">
        <v>3192</v>
      </c>
    </row>
    <row r="174" spans="2:11">
      <c r="B174" s="88">
        <v>169</v>
      </c>
      <c r="C174" s="83" t="s">
        <v>3372</v>
      </c>
      <c r="D174" s="83" t="s">
        <v>3186</v>
      </c>
      <c r="E174" s="83" t="s">
        <v>3191</v>
      </c>
      <c r="F174" s="83" t="s">
        <v>3190</v>
      </c>
      <c r="G174" s="83" t="s">
        <v>3187</v>
      </c>
      <c r="H174" s="83" t="s">
        <v>3181</v>
      </c>
      <c r="I174" s="83" t="s">
        <v>3188</v>
      </c>
      <c r="J174" s="83" t="s">
        <v>3193</v>
      </c>
      <c r="K174" s="89" t="s">
        <v>3192</v>
      </c>
    </row>
    <row r="175" spans="2:11">
      <c r="B175" s="88">
        <v>170</v>
      </c>
      <c r="C175" s="83" t="s">
        <v>3373</v>
      </c>
      <c r="D175" s="83" t="s">
        <v>3186</v>
      </c>
      <c r="E175" s="83" t="s">
        <v>3188</v>
      </c>
      <c r="F175" s="83" t="s">
        <v>3191</v>
      </c>
      <c r="G175" s="83" t="s">
        <v>3187</v>
      </c>
      <c r="H175" s="83" t="s">
        <v>3181</v>
      </c>
      <c r="I175" s="83" t="s">
        <v>3189</v>
      </c>
      <c r="J175" s="83" t="s">
        <v>3193</v>
      </c>
      <c r="K175" s="89" t="s">
        <v>3192</v>
      </c>
    </row>
    <row r="176" spans="2:11">
      <c r="B176" s="88">
        <v>171</v>
      </c>
      <c r="C176" s="83" t="s">
        <v>3374</v>
      </c>
      <c r="D176" s="83" t="s">
        <v>3186</v>
      </c>
      <c r="E176" s="83" t="s">
        <v>3188</v>
      </c>
      <c r="F176" s="83" t="s">
        <v>3190</v>
      </c>
      <c r="G176" s="83" t="s">
        <v>3187</v>
      </c>
      <c r="H176" s="83" t="s">
        <v>3181</v>
      </c>
      <c r="I176" s="83" t="s">
        <v>3189</v>
      </c>
      <c r="J176" s="83" t="s">
        <v>3193</v>
      </c>
      <c r="K176" s="89" t="s">
        <v>3192</v>
      </c>
    </row>
    <row r="177" spans="2:11">
      <c r="B177" s="88">
        <v>172</v>
      </c>
      <c r="C177" s="83" t="s">
        <v>3375</v>
      </c>
      <c r="D177" s="83" t="s">
        <v>3186</v>
      </c>
      <c r="E177" s="83" t="s">
        <v>3188</v>
      </c>
      <c r="F177" s="83" t="s">
        <v>3191</v>
      </c>
      <c r="G177" s="83" t="s">
        <v>3187</v>
      </c>
      <c r="H177" s="83" t="s">
        <v>3181</v>
      </c>
      <c r="I177" s="83" t="s">
        <v>3189</v>
      </c>
      <c r="J177" s="83" t="s">
        <v>3193</v>
      </c>
      <c r="K177" s="89" t="s">
        <v>3190</v>
      </c>
    </row>
    <row r="178" spans="2:11">
      <c r="B178" s="88">
        <v>173</v>
      </c>
      <c r="C178" s="83" t="s">
        <v>3376</v>
      </c>
      <c r="D178" s="83" t="s">
        <v>3186</v>
      </c>
      <c r="E178" s="83" t="s">
        <v>3188</v>
      </c>
      <c r="F178" s="83" t="s">
        <v>3191</v>
      </c>
      <c r="G178" s="83" t="s">
        <v>3187</v>
      </c>
      <c r="H178" s="83" t="s">
        <v>3181</v>
      </c>
      <c r="I178" s="83" t="s">
        <v>3189</v>
      </c>
      <c r="J178" s="83" t="s">
        <v>3190</v>
      </c>
      <c r="K178" s="89" t="s">
        <v>3192</v>
      </c>
    </row>
    <row r="179" spans="2:11">
      <c r="B179" s="88">
        <v>174</v>
      </c>
      <c r="C179" s="83" t="s">
        <v>3377</v>
      </c>
      <c r="D179" s="83" t="s">
        <v>3189</v>
      </c>
      <c r="E179" s="83" t="s">
        <v>3191</v>
      </c>
      <c r="F179" s="83" t="s">
        <v>3190</v>
      </c>
      <c r="G179" s="83" t="s">
        <v>3185</v>
      </c>
      <c r="H179" s="83" t="s">
        <v>3181</v>
      </c>
      <c r="I179" s="83" t="s">
        <v>3188</v>
      </c>
      <c r="J179" s="83" t="s">
        <v>3193</v>
      </c>
      <c r="K179" s="89" t="s">
        <v>3192</v>
      </c>
    </row>
    <row r="180" spans="2:11">
      <c r="B180" s="88">
        <v>175</v>
      </c>
      <c r="C180" s="83" t="s">
        <v>3378</v>
      </c>
      <c r="D180" s="83" t="s">
        <v>3189</v>
      </c>
      <c r="E180" s="83" t="s">
        <v>3191</v>
      </c>
      <c r="F180" s="83" t="s">
        <v>3190</v>
      </c>
      <c r="G180" s="83" t="s">
        <v>3185</v>
      </c>
      <c r="H180" s="83" t="s">
        <v>3181</v>
      </c>
      <c r="I180" s="83" t="s">
        <v>3187</v>
      </c>
      <c r="J180" s="83" t="s">
        <v>3193</v>
      </c>
      <c r="K180" s="89" t="s">
        <v>3192</v>
      </c>
    </row>
    <row r="181" spans="2:11">
      <c r="B181" s="88">
        <v>176</v>
      </c>
      <c r="C181" s="83" t="s">
        <v>3379</v>
      </c>
      <c r="D181" s="83" t="s">
        <v>3190</v>
      </c>
      <c r="E181" s="83" t="s">
        <v>3188</v>
      </c>
      <c r="F181" s="83" t="s">
        <v>3191</v>
      </c>
      <c r="G181" s="83" t="s">
        <v>3185</v>
      </c>
      <c r="H181" s="83" t="s">
        <v>3181</v>
      </c>
      <c r="I181" s="83" t="s">
        <v>3187</v>
      </c>
      <c r="J181" s="83" t="s">
        <v>3193</v>
      </c>
      <c r="K181" s="89" t="s">
        <v>3192</v>
      </c>
    </row>
    <row r="182" spans="2:11">
      <c r="B182" s="88">
        <v>177</v>
      </c>
      <c r="C182" s="83" t="s">
        <v>3380</v>
      </c>
      <c r="D182" s="83" t="s">
        <v>3189</v>
      </c>
      <c r="E182" s="83" t="s">
        <v>3188</v>
      </c>
      <c r="F182" s="83" t="s">
        <v>3191</v>
      </c>
      <c r="G182" s="83" t="s">
        <v>3185</v>
      </c>
      <c r="H182" s="83" t="s">
        <v>3181</v>
      </c>
      <c r="I182" s="83" t="s">
        <v>3187</v>
      </c>
      <c r="J182" s="83" t="s">
        <v>3193</v>
      </c>
      <c r="K182" s="89" t="s">
        <v>3192</v>
      </c>
    </row>
    <row r="183" spans="2:11">
      <c r="B183" s="88">
        <v>178</v>
      </c>
      <c r="C183" s="83" t="s">
        <v>3381</v>
      </c>
      <c r="D183" s="83" t="s">
        <v>3189</v>
      </c>
      <c r="E183" s="83" t="s">
        <v>3188</v>
      </c>
      <c r="F183" s="83" t="s">
        <v>3190</v>
      </c>
      <c r="G183" s="83" t="s">
        <v>3185</v>
      </c>
      <c r="H183" s="83" t="s">
        <v>3181</v>
      </c>
      <c r="I183" s="83" t="s">
        <v>3187</v>
      </c>
      <c r="J183" s="83" t="s">
        <v>3193</v>
      </c>
      <c r="K183" s="89" t="s">
        <v>3192</v>
      </c>
    </row>
    <row r="184" spans="2:11">
      <c r="B184" s="88">
        <v>179</v>
      </c>
      <c r="C184" s="83" t="s">
        <v>3382</v>
      </c>
      <c r="D184" s="83" t="s">
        <v>3189</v>
      </c>
      <c r="E184" s="83" t="s">
        <v>3188</v>
      </c>
      <c r="F184" s="83" t="s">
        <v>3191</v>
      </c>
      <c r="G184" s="83" t="s">
        <v>3185</v>
      </c>
      <c r="H184" s="83" t="s">
        <v>3181</v>
      </c>
      <c r="I184" s="83" t="s">
        <v>3187</v>
      </c>
      <c r="J184" s="83" t="s">
        <v>3193</v>
      </c>
      <c r="K184" s="89" t="s">
        <v>3190</v>
      </c>
    </row>
    <row r="185" spans="2:11">
      <c r="B185" s="88">
        <v>180</v>
      </c>
      <c r="C185" s="83" t="s">
        <v>3383</v>
      </c>
      <c r="D185" s="83" t="s">
        <v>3189</v>
      </c>
      <c r="E185" s="83" t="s">
        <v>3188</v>
      </c>
      <c r="F185" s="83" t="s">
        <v>3191</v>
      </c>
      <c r="G185" s="83" t="s">
        <v>3185</v>
      </c>
      <c r="H185" s="83" t="s">
        <v>3181</v>
      </c>
      <c r="I185" s="83" t="s">
        <v>3187</v>
      </c>
      <c r="J185" s="83" t="s">
        <v>3190</v>
      </c>
      <c r="K185" s="89" t="s">
        <v>3192</v>
      </c>
    </row>
    <row r="186" spans="2:11">
      <c r="B186" s="88">
        <v>181</v>
      </c>
      <c r="C186" s="83" t="s">
        <v>3384</v>
      </c>
      <c r="D186" s="83" t="s">
        <v>3186</v>
      </c>
      <c r="E186" s="83" t="s">
        <v>3191</v>
      </c>
      <c r="F186" s="83" t="s">
        <v>3190</v>
      </c>
      <c r="G186" s="83" t="s">
        <v>3185</v>
      </c>
      <c r="H186" s="83" t="s">
        <v>3181</v>
      </c>
      <c r="I186" s="83" t="s">
        <v>3189</v>
      </c>
      <c r="J186" s="83" t="s">
        <v>3193</v>
      </c>
      <c r="K186" s="89" t="s">
        <v>3192</v>
      </c>
    </row>
    <row r="187" spans="2:11">
      <c r="B187" s="88">
        <v>182</v>
      </c>
      <c r="C187" s="83" t="s">
        <v>3385</v>
      </c>
      <c r="D187" s="83" t="s">
        <v>3186</v>
      </c>
      <c r="E187" s="83" t="s">
        <v>3191</v>
      </c>
      <c r="F187" s="83" t="s">
        <v>3190</v>
      </c>
      <c r="G187" s="83" t="s">
        <v>3185</v>
      </c>
      <c r="H187" s="83" t="s">
        <v>3181</v>
      </c>
      <c r="I187" s="83" t="s">
        <v>3188</v>
      </c>
      <c r="J187" s="83" t="s">
        <v>3193</v>
      </c>
      <c r="K187" s="89" t="s">
        <v>3192</v>
      </c>
    </row>
    <row r="188" spans="2:11">
      <c r="B188" s="88">
        <v>183</v>
      </c>
      <c r="C188" s="83" t="s">
        <v>3386</v>
      </c>
      <c r="D188" s="83" t="s">
        <v>3186</v>
      </c>
      <c r="E188" s="83" t="s">
        <v>3188</v>
      </c>
      <c r="F188" s="83" t="s">
        <v>3191</v>
      </c>
      <c r="G188" s="83" t="s">
        <v>3185</v>
      </c>
      <c r="H188" s="83" t="s">
        <v>3181</v>
      </c>
      <c r="I188" s="83" t="s">
        <v>3189</v>
      </c>
      <c r="J188" s="83" t="s">
        <v>3193</v>
      </c>
      <c r="K188" s="89" t="s">
        <v>3192</v>
      </c>
    </row>
    <row r="189" spans="2:11">
      <c r="B189" s="88">
        <v>184</v>
      </c>
      <c r="C189" s="83" t="s">
        <v>3387</v>
      </c>
      <c r="D189" s="83" t="s">
        <v>3186</v>
      </c>
      <c r="E189" s="83" t="s">
        <v>3188</v>
      </c>
      <c r="F189" s="83" t="s">
        <v>3190</v>
      </c>
      <c r="G189" s="83" t="s">
        <v>3185</v>
      </c>
      <c r="H189" s="83" t="s">
        <v>3181</v>
      </c>
      <c r="I189" s="83" t="s">
        <v>3189</v>
      </c>
      <c r="J189" s="83" t="s">
        <v>3193</v>
      </c>
      <c r="K189" s="89" t="s">
        <v>3192</v>
      </c>
    </row>
    <row r="190" spans="2:11">
      <c r="B190" s="88">
        <v>185</v>
      </c>
      <c r="C190" s="83" t="s">
        <v>3388</v>
      </c>
      <c r="D190" s="83" t="s">
        <v>3186</v>
      </c>
      <c r="E190" s="83" t="s">
        <v>3188</v>
      </c>
      <c r="F190" s="83" t="s">
        <v>3191</v>
      </c>
      <c r="G190" s="83" t="s">
        <v>3185</v>
      </c>
      <c r="H190" s="83" t="s">
        <v>3181</v>
      </c>
      <c r="I190" s="83" t="s">
        <v>3189</v>
      </c>
      <c r="J190" s="83" t="s">
        <v>3193</v>
      </c>
      <c r="K190" s="89" t="s">
        <v>3190</v>
      </c>
    </row>
    <row r="191" spans="2:11">
      <c r="B191" s="88">
        <v>186</v>
      </c>
      <c r="C191" s="83" t="s">
        <v>3389</v>
      </c>
      <c r="D191" s="83" t="s">
        <v>3186</v>
      </c>
      <c r="E191" s="83" t="s">
        <v>3188</v>
      </c>
      <c r="F191" s="83" t="s">
        <v>3191</v>
      </c>
      <c r="G191" s="83" t="s">
        <v>3185</v>
      </c>
      <c r="H191" s="83" t="s">
        <v>3181</v>
      </c>
      <c r="I191" s="83" t="s">
        <v>3189</v>
      </c>
      <c r="J191" s="83" t="s">
        <v>3190</v>
      </c>
      <c r="K191" s="89" t="s">
        <v>3192</v>
      </c>
    </row>
    <row r="192" spans="2:11">
      <c r="B192" s="88">
        <v>187</v>
      </c>
      <c r="C192" s="83" t="s">
        <v>3390</v>
      </c>
      <c r="D192" s="83" t="s">
        <v>3186</v>
      </c>
      <c r="E192" s="83" t="s">
        <v>3191</v>
      </c>
      <c r="F192" s="83" t="s">
        <v>3190</v>
      </c>
      <c r="G192" s="83" t="s">
        <v>3185</v>
      </c>
      <c r="H192" s="83" t="s">
        <v>3181</v>
      </c>
      <c r="I192" s="83" t="s">
        <v>3187</v>
      </c>
      <c r="J192" s="83" t="s">
        <v>3193</v>
      </c>
      <c r="K192" s="89" t="s">
        <v>3192</v>
      </c>
    </row>
    <row r="193" spans="2:11">
      <c r="B193" s="88">
        <v>188</v>
      </c>
      <c r="C193" s="83" t="s">
        <v>3391</v>
      </c>
      <c r="D193" s="83" t="s">
        <v>3189</v>
      </c>
      <c r="E193" s="83" t="s">
        <v>3191</v>
      </c>
      <c r="F193" s="83" t="s">
        <v>3186</v>
      </c>
      <c r="G193" s="83" t="s">
        <v>3185</v>
      </c>
      <c r="H193" s="83" t="s">
        <v>3181</v>
      </c>
      <c r="I193" s="83" t="s">
        <v>3187</v>
      </c>
      <c r="J193" s="83" t="s">
        <v>3193</v>
      </c>
      <c r="K193" s="89" t="s">
        <v>3192</v>
      </c>
    </row>
    <row r="194" spans="2:11">
      <c r="B194" s="88">
        <v>189</v>
      </c>
      <c r="C194" s="83" t="s">
        <v>3392</v>
      </c>
      <c r="D194" s="83" t="s">
        <v>3189</v>
      </c>
      <c r="E194" s="83" t="s">
        <v>3186</v>
      </c>
      <c r="F194" s="83" t="s">
        <v>3190</v>
      </c>
      <c r="G194" s="83" t="s">
        <v>3185</v>
      </c>
      <c r="H194" s="83" t="s">
        <v>3181</v>
      </c>
      <c r="I194" s="83" t="s">
        <v>3187</v>
      </c>
      <c r="J194" s="83" t="s">
        <v>3193</v>
      </c>
      <c r="K194" s="89" t="s">
        <v>3192</v>
      </c>
    </row>
    <row r="195" spans="2:11">
      <c r="B195" s="88">
        <v>190</v>
      </c>
      <c r="C195" s="83" t="s">
        <v>3393</v>
      </c>
      <c r="D195" s="83" t="s">
        <v>3189</v>
      </c>
      <c r="E195" s="83" t="s">
        <v>3191</v>
      </c>
      <c r="F195" s="83" t="s">
        <v>3186</v>
      </c>
      <c r="G195" s="83" t="s">
        <v>3185</v>
      </c>
      <c r="H195" s="83" t="s">
        <v>3181</v>
      </c>
      <c r="I195" s="83" t="s">
        <v>3187</v>
      </c>
      <c r="J195" s="83" t="s">
        <v>3193</v>
      </c>
      <c r="K195" s="89" t="s">
        <v>3190</v>
      </c>
    </row>
    <row r="196" spans="2:11">
      <c r="B196" s="88">
        <v>191</v>
      </c>
      <c r="C196" s="83" t="s">
        <v>3394</v>
      </c>
      <c r="D196" s="83" t="s">
        <v>3189</v>
      </c>
      <c r="E196" s="83" t="s">
        <v>3191</v>
      </c>
      <c r="F196" s="83" t="s">
        <v>3186</v>
      </c>
      <c r="G196" s="83" t="s">
        <v>3185</v>
      </c>
      <c r="H196" s="83" t="s">
        <v>3181</v>
      </c>
      <c r="I196" s="83" t="s">
        <v>3187</v>
      </c>
      <c r="J196" s="83" t="s">
        <v>3190</v>
      </c>
      <c r="K196" s="89" t="s">
        <v>3192</v>
      </c>
    </row>
    <row r="197" spans="2:11">
      <c r="B197" s="88">
        <v>192</v>
      </c>
      <c r="C197" s="83" t="s">
        <v>3395</v>
      </c>
      <c r="D197" s="83" t="s">
        <v>3186</v>
      </c>
      <c r="E197" s="83" t="s">
        <v>3188</v>
      </c>
      <c r="F197" s="83" t="s">
        <v>3191</v>
      </c>
      <c r="G197" s="83" t="s">
        <v>3185</v>
      </c>
      <c r="H197" s="83" t="s">
        <v>3181</v>
      </c>
      <c r="I197" s="83" t="s">
        <v>3187</v>
      </c>
      <c r="J197" s="83" t="s">
        <v>3193</v>
      </c>
      <c r="K197" s="89" t="s">
        <v>3192</v>
      </c>
    </row>
    <row r="198" spans="2:11">
      <c r="B198" s="88">
        <v>193</v>
      </c>
      <c r="C198" s="83" t="s">
        <v>3396</v>
      </c>
      <c r="D198" s="83" t="s">
        <v>3186</v>
      </c>
      <c r="E198" s="83" t="s">
        <v>3188</v>
      </c>
      <c r="F198" s="83" t="s">
        <v>3190</v>
      </c>
      <c r="G198" s="83" t="s">
        <v>3185</v>
      </c>
      <c r="H198" s="83" t="s">
        <v>3181</v>
      </c>
      <c r="I198" s="83" t="s">
        <v>3187</v>
      </c>
      <c r="J198" s="83" t="s">
        <v>3193</v>
      </c>
      <c r="K198" s="89" t="s">
        <v>3192</v>
      </c>
    </row>
    <row r="199" spans="2:11">
      <c r="B199" s="88">
        <v>194</v>
      </c>
      <c r="C199" s="83" t="s">
        <v>3397</v>
      </c>
      <c r="D199" s="83" t="s">
        <v>3186</v>
      </c>
      <c r="E199" s="83" t="s">
        <v>3188</v>
      </c>
      <c r="F199" s="83" t="s">
        <v>3191</v>
      </c>
      <c r="G199" s="83" t="s">
        <v>3185</v>
      </c>
      <c r="H199" s="83" t="s">
        <v>3181</v>
      </c>
      <c r="I199" s="83" t="s">
        <v>3187</v>
      </c>
      <c r="J199" s="83" t="s">
        <v>3193</v>
      </c>
      <c r="K199" s="89" t="s">
        <v>3190</v>
      </c>
    </row>
    <row r="200" spans="2:11">
      <c r="B200" s="88">
        <v>195</v>
      </c>
      <c r="C200" s="83" t="s">
        <v>3398</v>
      </c>
      <c r="D200" s="83" t="s">
        <v>3186</v>
      </c>
      <c r="E200" s="83" t="s">
        <v>3188</v>
      </c>
      <c r="F200" s="83" t="s">
        <v>3191</v>
      </c>
      <c r="G200" s="83" t="s">
        <v>3185</v>
      </c>
      <c r="H200" s="83" t="s">
        <v>3181</v>
      </c>
      <c r="I200" s="83" t="s">
        <v>3187</v>
      </c>
      <c r="J200" s="83" t="s">
        <v>3190</v>
      </c>
      <c r="K200" s="89" t="s">
        <v>3192</v>
      </c>
    </row>
    <row r="201" spans="2:11">
      <c r="B201" s="88">
        <v>196</v>
      </c>
      <c r="C201" s="83" t="s">
        <v>3399</v>
      </c>
      <c r="D201" s="83" t="s">
        <v>3189</v>
      </c>
      <c r="E201" s="83" t="s">
        <v>3188</v>
      </c>
      <c r="F201" s="83" t="s">
        <v>3186</v>
      </c>
      <c r="G201" s="83" t="s">
        <v>3185</v>
      </c>
      <c r="H201" s="83" t="s">
        <v>3181</v>
      </c>
      <c r="I201" s="83" t="s">
        <v>3187</v>
      </c>
      <c r="J201" s="83" t="s">
        <v>3193</v>
      </c>
      <c r="K201" s="89" t="s">
        <v>3192</v>
      </c>
    </row>
    <row r="202" spans="2:11">
      <c r="B202" s="88">
        <v>197</v>
      </c>
      <c r="C202" s="83" t="s">
        <v>3400</v>
      </c>
      <c r="D202" s="83" t="s">
        <v>3189</v>
      </c>
      <c r="E202" s="83" t="s">
        <v>3188</v>
      </c>
      <c r="F202" s="83" t="s">
        <v>3191</v>
      </c>
      <c r="G202" s="83" t="s">
        <v>3185</v>
      </c>
      <c r="H202" s="83" t="s">
        <v>3181</v>
      </c>
      <c r="I202" s="83" t="s">
        <v>3187</v>
      </c>
      <c r="J202" s="83" t="s">
        <v>3193</v>
      </c>
      <c r="K202" s="89" t="s">
        <v>3186</v>
      </c>
    </row>
    <row r="203" spans="2:11">
      <c r="B203" s="88">
        <v>198</v>
      </c>
      <c r="C203" s="83" t="s">
        <v>3401</v>
      </c>
      <c r="D203" s="83" t="s">
        <v>3189</v>
      </c>
      <c r="E203" s="83" t="s">
        <v>3188</v>
      </c>
      <c r="F203" s="83" t="s">
        <v>3191</v>
      </c>
      <c r="G203" s="83" t="s">
        <v>3185</v>
      </c>
      <c r="H203" s="83" t="s">
        <v>3181</v>
      </c>
      <c r="I203" s="83" t="s">
        <v>3187</v>
      </c>
      <c r="J203" s="83" t="s">
        <v>3186</v>
      </c>
      <c r="K203" s="89" t="s">
        <v>3192</v>
      </c>
    </row>
    <row r="204" spans="2:11">
      <c r="B204" s="88">
        <v>199</v>
      </c>
      <c r="C204" s="83" t="s">
        <v>3402</v>
      </c>
      <c r="D204" s="83" t="s">
        <v>3189</v>
      </c>
      <c r="E204" s="83" t="s">
        <v>3188</v>
      </c>
      <c r="F204" s="83" t="s">
        <v>3186</v>
      </c>
      <c r="G204" s="83" t="s">
        <v>3185</v>
      </c>
      <c r="H204" s="83" t="s">
        <v>3181</v>
      </c>
      <c r="I204" s="83" t="s">
        <v>3187</v>
      </c>
      <c r="J204" s="83" t="s">
        <v>3193</v>
      </c>
      <c r="K204" s="89" t="s">
        <v>3190</v>
      </c>
    </row>
    <row r="205" spans="2:11">
      <c r="B205" s="88">
        <v>200</v>
      </c>
      <c r="C205" s="83" t="s">
        <v>3403</v>
      </c>
      <c r="D205" s="83" t="s">
        <v>3189</v>
      </c>
      <c r="E205" s="83" t="s">
        <v>3188</v>
      </c>
      <c r="F205" s="83" t="s">
        <v>3186</v>
      </c>
      <c r="G205" s="83" t="s">
        <v>3185</v>
      </c>
      <c r="H205" s="83" t="s">
        <v>3181</v>
      </c>
      <c r="I205" s="83" t="s">
        <v>3187</v>
      </c>
      <c r="J205" s="83" t="s">
        <v>3190</v>
      </c>
      <c r="K205" s="89" t="s">
        <v>3192</v>
      </c>
    </row>
    <row r="206" spans="2:11">
      <c r="B206" s="88">
        <v>201</v>
      </c>
      <c r="C206" s="83" t="s">
        <v>3404</v>
      </c>
      <c r="D206" s="83" t="s">
        <v>3189</v>
      </c>
      <c r="E206" s="83" t="s">
        <v>3188</v>
      </c>
      <c r="F206" s="83" t="s">
        <v>3191</v>
      </c>
      <c r="G206" s="83" t="s">
        <v>3185</v>
      </c>
      <c r="H206" s="83" t="s">
        <v>3181</v>
      </c>
      <c r="I206" s="83" t="s">
        <v>3187</v>
      </c>
      <c r="J206" s="83" t="s">
        <v>3186</v>
      </c>
      <c r="K206" s="89" t="s">
        <v>3190</v>
      </c>
    </row>
    <row r="207" spans="2:11">
      <c r="B207" s="88">
        <v>202</v>
      </c>
      <c r="C207" s="83" t="s">
        <v>3405</v>
      </c>
      <c r="D207" s="83" t="s">
        <v>3189</v>
      </c>
      <c r="E207" s="83" t="s">
        <v>3191</v>
      </c>
      <c r="F207" s="83" t="s">
        <v>3190</v>
      </c>
      <c r="G207" s="83" t="s">
        <v>3183</v>
      </c>
      <c r="H207" s="83" t="s">
        <v>3181</v>
      </c>
      <c r="I207" s="83" t="s">
        <v>3188</v>
      </c>
      <c r="J207" s="83" t="s">
        <v>3193</v>
      </c>
      <c r="K207" s="89" t="s">
        <v>3192</v>
      </c>
    </row>
    <row r="208" spans="2:11">
      <c r="B208" s="88">
        <v>203</v>
      </c>
      <c r="C208" s="83" t="s">
        <v>3406</v>
      </c>
      <c r="D208" s="83" t="s">
        <v>3189</v>
      </c>
      <c r="E208" s="83" t="s">
        <v>3191</v>
      </c>
      <c r="F208" s="83" t="s">
        <v>3190</v>
      </c>
      <c r="G208" s="83" t="s">
        <v>3183</v>
      </c>
      <c r="H208" s="83" t="s">
        <v>3181</v>
      </c>
      <c r="I208" s="83" t="s">
        <v>3187</v>
      </c>
      <c r="J208" s="83" t="s">
        <v>3193</v>
      </c>
      <c r="K208" s="89" t="s">
        <v>3192</v>
      </c>
    </row>
    <row r="209" spans="2:11">
      <c r="B209" s="88">
        <v>204</v>
      </c>
      <c r="C209" s="83" t="s">
        <v>3407</v>
      </c>
      <c r="D209" s="83" t="s">
        <v>3190</v>
      </c>
      <c r="E209" s="83" t="s">
        <v>3188</v>
      </c>
      <c r="F209" s="83" t="s">
        <v>3191</v>
      </c>
      <c r="G209" s="83" t="s">
        <v>3183</v>
      </c>
      <c r="H209" s="83" t="s">
        <v>3181</v>
      </c>
      <c r="I209" s="83" t="s">
        <v>3187</v>
      </c>
      <c r="J209" s="83" t="s">
        <v>3193</v>
      </c>
      <c r="K209" s="89" t="s">
        <v>3192</v>
      </c>
    </row>
    <row r="210" spans="2:11">
      <c r="B210" s="88">
        <v>205</v>
      </c>
      <c r="C210" s="83" t="s">
        <v>3408</v>
      </c>
      <c r="D210" s="83" t="s">
        <v>3189</v>
      </c>
      <c r="E210" s="83" t="s">
        <v>3188</v>
      </c>
      <c r="F210" s="83" t="s">
        <v>3191</v>
      </c>
      <c r="G210" s="83" t="s">
        <v>3183</v>
      </c>
      <c r="H210" s="83" t="s">
        <v>3181</v>
      </c>
      <c r="I210" s="83" t="s">
        <v>3187</v>
      </c>
      <c r="J210" s="83" t="s">
        <v>3193</v>
      </c>
      <c r="K210" s="89" t="s">
        <v>3192</v>
      </c>
    </row>
    <row r="211" spans="2:11">
      <c r="B211" s="88">
        <v>206</v>
      </c>
      <c r="C211" s="83" t="s">
        <v>3409</v>
      </c>
      <c r="D211" s="83" t="s">
        <v>3189</v>
      </c>
      <c r="E211" s="83" t="s">
        <v>3188</v>
      </c>
      <c r="F211" s="83" t="s">
        <v>3190</v>
      </c>
      <c r="G211" s="83" t="s">
        <v>3183</v>
      </c>
      <c r="H211" s="83" t="s">
        <v>3181</v>
      </c>
      <c r="I211" s="83" t="s">
        <v>3187</v>
      </c>
      <c r="J211" s="83" t="s">
        <v>3193</v>
      </c>
      <c r="K211" s="89" t="s">
        <v>3192</v>
      </c>
    </row>
    <row r="212" spans="2:11">
      <c r="B212" s="88">
        <v>207</v>
      </c>
      <c r="C212" s="83" t="s">
        <v>3410</v>
      </c>
      <c r="D212" s="83" t="s">
        <v>3189</v>
      </c>
      <c r="E212" s="83" t="s">
        <v>3188</v>
      </c>
      <c r="F212" s="83" t="s">
        <v>3191</v>
      </c>
      <c r="G212" s="83" t="s">
        <v>3183</v>
      </c>
      <c r="H212" s="83" t="s">
        <v>3181</v>
      </c>
      <c r="I212" s="83" t="s">
        <v>3187</v>
      </c>
      <c r="J212" s="83" t="s">
        <v>3193</v>
      </c>
      <c r="K212" s="89" t="s">
        <v>3190</v>
      </c>
    </row>
    <row r="213" spans="2:11">
      <c r="B213" s="88">
        <v>208</v>
      </c>
      <c r="C213" s="83" t="s">
        <v>3411</v>
      </c>
      <c r="D213" s="83" t="s">
        <v>3189</v>
      </c>
      <c r="E213" s="83" t="s">
        <v>3188</v>
      </c>
      <c r="F213" s="83" t="s">
        <v>3191</v>
      </c>
      <c r="G213" s="83" t="s">
        <v>3183</v>
      </c>
      <c r="H213" s="83" t="s">
        <v>3181</v>
      </c>
      <c r="I213" s="83" t="s">
        <v>3187</v>
      </c>
      <c r="J213" s="83" t="s">
        <v>3190</v>
      </c>
      <c r="K213" s="89" t="s">
        <v>3192</v>
      </c>
    </row>
    <row r="214" spans="2:11">
      <c r="B214" s="88">
        <v>209</v>
      </c>
      <c r="C214" s="83" t="s">
        <v>3412</v>
      </c>
      <c r="D214" s="83" t="s">
        <v>3186</v>
      </c>
      <c r="E214" s="83" t="s">
        <v>3191</v>
      </c>
      <c r="F214" s="83" t="s">
        <v>3190</v>
      </c>
      <c r="G214" s="83" t="s">
        <v>3183</v>
      </c>
      <c r="H214" s="83" t="s">
        <v>3181</v>
      </c>
      <c r="I214" s="83" t="s">
        <v>3189</v>
      </c>
      <c r="J214" s="83" t="s">
        <v>3193</v>
      </c>
      <c r="K214" s="89" t="s">
        <v>3192</v>
      </c>
    </row>
    <row r="215" spans="2:11">
      <c r="B215" s="88">
        <v>210</v>
      </c>
      <c r="C215" s="83" t="s">
        <v>3413</v>
      </c>
      <c r="D215" s="83" t="s">
        <v>3186</v>
      </c>
      <c r="E215" s="83" t="s">
        <v>3191</v>
      </c>
      <c r="F215" s="83" t="s">
        <v>3190</v>
      </c>
      <c r="G215" s="83" t="s">
        <v>3183</v>
      </c>
      <c r="H215" s="83" t="s">
        <v>3181</v>
      </c>
      <c r="I215" s="83" t="s">
        <v>3188</v>
      </c>
      <c r="J215" s="83" t="s">
        <v>3193</v>
      </c>
      <c r="K215" s="89" t="s">
        <v>3192</v>
      </c>
    </row>
    <row r="216" spans="2:11">
      <c r="B216" s="88">
        <v>211</v>
      </c>
      <c r="C216" s="83" t="s">
        <v>3414</v>
      </c>
      <c r="D216" s="83" t="s">
        <v>3186</v>
      </c>
      <c r="E216" s="83" t="s">
        <v>3188</v>
      </c>
      <c r="F216" s="83" t="s">
        <v>3191</v>
      </c>
      <c r="G216" s="83" t="s">
        <v>3183</v>
      </c>
      <c r="H216" s="83" t="s">
        <v>3181</v>
      </c>
      <c r="I216" s="83" t="s">
        <v>3189</v>
      </c>
      <c r="J216" s="83" t="s">
        <v>3193</v>
      </c>
      <c r="K216" s="89" t="s">
        <v>3192</v>
      </c>
    </row>
    <row r="217" spans="2:11">
      <c r="B217" s="88">
        <v>212</v>
      </c>
      <c r="C217" s="83" t="s">
        <v>3415</v>
      </c>
      <c r="D217" s="83" t="s">
        <v>3186</v>
      </c>
      <c r="E217" s="83" t="s">
        <v>3188</v>
      </c>
      <c r="F217" s="83" t="s">
        <v>3190</v>
      </c>
      <c r="G217" s="83" t="s">
        <v>3183</v>
      </c>
      <c r="H217" s="83" t="s">
        <v>3181</v>
      </c>
      <c r="I217" s="83" t="s">
        <v>3189</v>
      </c>
      <c r="J217" s="83" t="s">
        <v>3193</v>
      </c>
      <c r="K217" s="89" t="s">
        <v>3192</v>
      </c>
    </row>
    <row r="218" spans="2:11">
      <c r="B218" s="88">
        <v>213</v>
      </c>
      <c r="C218" s="83" t="s">
        <v>3416</v>
      </c>
      <c r="D218" s="83" t="s">
        <v>3186</v>
      </c>
      <c r="E218" s="83" t="s">
        <v>3188</v>
      </c>
      <c r="F218" s="83" t="s">
        <v>3191</v>
      </c>
      <c r="G218" s="83" t="s">
        <v>3183</v>
      </c>
      <c r="H218" s="83" t="s">
        <v>3181</v>
      </c>
      <c r="I218" s="83" t="s">
        <v>3189</v>
      </c>
      <c r="J218" s="83" t="s">
        <v>3193</v>
      </c>
      <c r="K218" s="89" t="s">
        <v>3190</v>
      </c>
    </row>
    <row r="219" spans="2:11">
      <c r="B219" s="88">
        <v>214</v>
      </c>
      <c r="C219" s="83" t="s">
        <v>3417</v>
      </c>
      <c r="D219" s="83" t="s">
        <v>3186</v>
      </c>
      <c r="E219" s="83" t="s">
        <v>3188</v>
      </c>
      <c r="F219" s="83" t="s">
        <v>3191</v>
      </c>
      <c r="G219" s="83" t="s">
        <v>3183</v>
      </c>
      <c r="H219" s="83" t="s">
        <v>3181</v>
      </c>
      <c r="I219" s="83" t="s">
        <v>3189</v>
      </c>
      <c r="J219" s="83" t="s">
        <v>3190</v>
      </c>
      <c r="K219" s="89" t="s">
        <v>3192</v>
      </c>
    </row>
    <row r="220" spans="2:11">
      <c r="B220" s="88">
        <v>215</v>
      </c>
      <c r="C220" s="83" t="s">
        <v>3418</v>
      </c>
      <c r="D220" s="83" t="s">
        <v>3186</v>
      </c>
      <c r="E220" s="83" t="s">
        <v>3191</v>
      </c>
      <c r="F220" s="83" t="s">
        <v>3190</v>
      </c>
      <c r="G220" s="83" t="s">
        <v>3183</v>
      </c>
      <c r="H220" s="83" t="s">
        <v>3181</v>
      </c>
      <c r="I220" s="83" t="s">
        <v>3187</v>
      </c>
      <c r="J220" s="83" t="s">
        <v>3193</v>
      </c>
      <c r="K220" s="89" t="s">
        <v>3192</v>
      </c>
    </row>
    <row r="221" spans="2:11">
      <c r="B221" s="88">
        <v>216</v>
      </c>
      <c r="C221" s="83" t="s">
        <v>3419</v>
      </c>
      <c r="D221" s="83" t="s">
        <v>3189</v>
      </c>
      <c r="E221" s="83" t="s">
        <v>3191</v>
      </c>
      <c r="F221" s="83" t="s">
        <v>3186</v>
      </c>
      <c r="G221" s="83" t="s">
        <v>3183</v>
      </c>
      <c r="H221" s="83" t="s">
        <v>3181</v>
      </c>
      <c r="I221" s="83" t="s">
        <v>3187</v>
      </c>
      <c r="J221" s="83" t="s">
        <v>3193</v>
      </c>
      <c r="K221" s="89" t="s">
        <v>3192</v>
      </c>
    </row>
    <row r="222" spans="2:11">
      <c r="B222" s="88">
        <v>217</v>
      </c>
      <c r="C222" s="83" t="s">
        <v>3420</v>
      </c>
      <c r="D222" s="83" t="s">
        <v>3189</v>
      </c>
      <c r="E222" s="83" t="s">
        <v>3186</v>
      </c>
      <c r="F222" s="83" t="s">
        <v>3190</v>
      </c>
      <c r="G222" s="83" t="s">
        <v>3183</v>
      </c>
      <c r="H222" s="83" t="s">
        <v>3181</v>
      </c>
      <c r="I222" s="83" t="s">
        <v>3187</v>
      </c>
      <c r="J222" s="83" t="s">
        <v>3193</v>
      </c>
      <c r="K222" s="89" t="s">
        <v>3192</v>
      </c>
    </row>
    <row r="223" spans="2:11">
      <c r="B223" s="88">
        <v>218</v>
      </c>
      <c r="C223" s="83" t="s">
        <v>3421</v>
      </c>
      <c r="D223" s="83" t="s">
        <v>3189</v>
      </c>
      <c r="E223" s="83" t="s">
        <v>3191</v>
      </c>
      <c r="F223" s="83" t="s">
        <v>3186</v>
      </c>
      <c r="G223" s="83" t="s">
        <v>3183</v>
      </c>
      <c r="H223" s="83" t="s">
        <v>3181</v>
      </c>
      <c r="I223" s="83" t="s">
        <v>3187</v>
      </c>
      <c r="J223" s="83" t="s">
        <v>3193</v>
      </c>
      <c r="K223" s="89" t="s">
        <v>3190</v>
      </c>
    </row>
    <row r="224" spans="2:11">
      <c r="B224" s="88">
        <v>219</v>
      </c>
      <c r="C224" s="83" t="s">
        <v>3422</v>
      </c>
      <c r="D224" s="83" t="s">
        <v>3189</v>
      </c>
      <c r="E224" s="83" t="s">
        <v>3191</v>
      </c>
      <c r="F224" s="83" t="s">
        <v>3186</v>
      </c>
      <c r="G224" s="83" t="s">
        <v>3183</v>
      </c>
      <c r="H224" s="83" t="s">
        <v>3181</v>
      </c>
      <c r="I224" s="83" t="s">
        <v>3187</v>
      </c>
      <c r="J224" s="83" t="s">
        <v>3190</v>
      </c>
      <c r="K224" s="89" t="s">
        <v>3192</v>
      </c>
    </row>
    <row r="225" spans="2:11">
      <c r="B225" s="88">
        <v>220</v>
      </c>
      <c r="C225" s="83" t="s">
        <v>3423</v>
      </c>
      <c r="D225" s="83" t="s">
        <v>3186</v>
      </c>
      <c r="E225" s="83" t="s">
        <v>3188</v>
      </c>
      <c r="F225" s="83" t="s">
        <v>3191</v>
      </c>
      <c r="G225" s="83" t="s">
        <v>3183</v>
      </c>
      <c r="H225" s="83" t="s">
        <v>3181</v>
      </c>
      <c r="I225" s="83" t="s">
        <v>3187</v>
      </c>
      <c r="J225" s="83" t="s">
        <v>3193</v>
      </c>
      <c r="K225" s="89" t="s">
        <v>3192</v>
      </c>
    </row>
    <row r="226" spans="2:11">
      <c r="B226" s="88">
        <v>221</v>
      </c>
      <c r="C226" s="83" t="s">
        <v>3424</v>
      </c>
      <c r="D226" s="83" t="s">
        <v>3186</v>
      </c>
      <c r="E226" s="83" t="s">
        <v>3188</v>
      </c>
      <c r="F226" s="83" t="s">
        <v>3190</v>
      </c>
      <c r="G226" s="83" t="s">
        <v>3183</v>
      </c>
      <c r="H226" s="83" t="s">
        <v>3181</v>
      </c>
      <c r="I226" s="83" t="s">
        <v>3187</v>
      </c>
      <c r="J226" s="83" t="s">
        <v>3193</v>
      </c>
      <c r="K226" s="89" t="s">
        <v>3192</v>
      </c>
    </row>
    <row r="227" spans="2:11">
      <c r="B227" s="88">
        <v>222</v>
      </c>
      <c r="C227" s="83" t="s">
        <v>3425</v>
      </c>
      <c r="D227" s="83" t="s">
        <v>3186</v>
      </c>
      <c r="E227" s="83" t="s">
        <v>3188</v>
      </c>
      <c r="F227" s="83" t="s">
        <v>3191</v>
      </c>
      <c r="G227" s="83" t="s">
        <v>3183</v>
      </c>
      <c r="H227" s="83" t="s">
        <v>3181</v>
      </c>
      <c r="I227" s="83" t="s">
        <v>3187</v>
      </c>
      <c r="J227" s="83" t="s">
        <v>3193</v>
      </c>
      <c r="K227" s="89" t="s">
        <v>3190</v>
      </c>
    </row>
    <row r="228" spans="2:11">
      <c r="B228" s="88">
        <v>223</v>
      </c>
      <c r="C228" s="83" t="s">
        <v>3426</v>
      </c>
      <c r="D228" s="83" t="s">
        <v>3186</v>
      </c>
      <c r="E228" s="83" t="s">
        <v>3188</v>
      </c>
      <c r="F228" s="83" t="s">
        <v>3191</v>
      </c>
      <c r="G228" s="83" t="s">
        <v>3183</v>
      </c>
      <c r="H228" s="83" t="s">
        <v>3181</v>
      </c>
      <c r="I228" s="83" t="s">
        <v>3187</v>
      </c>
      <c r="J228" s="83" t="s">
        <v>3190</v>
      </c>
      <c r="K228" s="89" t="s">
        <v>3192</v>
      </c>
    </row>
    <row r="229" spans="2:11">
      <c r="B229" s="88">
        <v>224</v>
      </c>
      <c r="C229" s="83" t="s">
        <v>3427</v>
      </c>
      <c r="D229" s="83" t="s">
        <v>3189</v>
      </c>
      <c r="E229" s="83" t="s">
        <v>3188</v>
      </c>
      <c r="F229" s="83" t="s">
        <v>3186</v>
      </c>
      <c r="G229" s="83" t="s">
        <v>3183</v>
      </c>
      <c r="H229" s="83" t="s">
        <v>3181</v>
      </c>
      <c r="I229" s="83" t="s">
        <v>3187</v>
      </c>
      <c r="J229" s="83" t="s">
        <v>3193</v>
      </c>
      <c r="K229" s="89" t="s">
        <v>3192</v>
      </c>
    </row>
    <row r="230" spans="2:11">
      <c r="B230" s="88">
        <v>225</v>
      </c>
      <c r="C230" s="83" t="s">
        <v>3428</v>
      </c>
      <c r="D230" s="83" t="s">
        <v>3189</v>
      </c>
      <c r="E230" s="83" t="s">
        <v>3188</v>
      </c>
      <c r="F230" s="83" t="s">
        <v>3191</v>
      </c>
      <c r="G230" s="83" t="s">
        <v>3183</v>
      </c>
      <c r="H230" s="83" t="s">
        <v>3181</v>
      </c>
      <c r="I230" s="83" t="s">
        <v>3187</v>
      </c>
      <c r="J230" s="83" t="s">
        <v>3193</v>
      </c>
      <c r="K230" s="89" t="s">
        <v>3186</v>
      </c>
    </row>
    <row r="231" spans="2:11">
      <c r="B231" s="88">
        <v>226</v>
      </c>
      <c r="C231" s="83" t="s">
        <v>3429</v>
      </c>
      <c r="D231" s="83" t="s">
        <v>3189</v>
      </c>
      <c r="E231" s="83" t="s">
        <v>3188</v>
      </c>
      <c r="F231" s="83" t="s">
        <v>3191</v>
      </c>
      <c r="G231" s="83" t="s">
        <v>3183</v>
      </c>
      <c r="H231" s="83" t="s">
        <v>3181</v>
      </c>
      <c r="I231" s="83" t="s">
        <v>3187</v>
      </c>
      <c r="J231" s="83" t="s">
        <v>3186</v>
      </c>
      <c r="K231" s="89" t="s">
        <v>3192</v>
      </c>
    </row>
    <row r="232" spans="2:11">
      <c r="B232" s="88">
        <v>227</v>
      </c>
      <c r="C232" s="83" t="s">
        <v>3430</v>
      </c>
      <c r="D232" s="83" t="s">
        <v>3189</v>
      </c>
      <c r="E232" s="83" t="s">
        <v>3188</v>
      </c>
      <c r="F232" s="83" t="s">
        <v>3186</v>
      </c>
      <c r="G232" s="83" t="s">
        <v>3183</v>
      </c>
      <c r="H232" s="83" t="s">
        <v>3181</v>
      </c>
      <c r="I232" s="83" t="s">
        <v>3187</v>
      </c>
      <c r="J232" s="83" t="s">
        <v>3193</v>
      </c>
      <c r="K232" s="89" t="s">
        <v>3190</v>
      </c>
    </row>
    <row r="233" spans="2:11">
      <c r="B233" s="88">
        <v>228</v>
      </c>
      <c r="C233" s="83" t="s">
        <v>3431</v>
      </c>
      <c r="D233" s="83" t="s">
        <v>3189</v>
      </c>
      <c r="E233" s="83" t="s">
        <v>3188</v>
      </c>
      <c r="F233" s="83" t="s">
        <v>3186</v>
      </c>
      <c r="G233" s="83" t="s">
        <v>3183</v>
      </c>
      <c r="H233" s="83" t="s">
        <v>3181</v>
      </c>
      <c r="I233" s="83" t="s">
        <v>3187</v>
      </c>
      <c r="J233" s="83" t="s">
        <v>3190</v>
      </c>
      <c r="K233" s="89" t="s">
        <v>3192</v>
      </c>
    </row>
    <row r="234" spans="2:11">
      <c r="B234" s="88">
        <v>229</v>
      </c>
      <c r="C234" s="83" t="s">
        <v>3432</v>
      </c>
      <c r="D234" s="83" t="s">
        <v>3189</v>
      </c>
      <c r="E234" s="83" t="s">
        <v>3188</v>
      </c>
      <c r="F234" s="83" t="s">
        <v>3191</v>
      </c>
      <c r="G234" s="83" t="s">
        <v>3183</v>
      </c>
      <c r="H234" s="83" t="s">
        <v>3181</v>
      </c>
      <c r="I234" s="83" t="s">
        <v>3187</v>
      </c>
      <c r="J234" s="83" t="s">
        <v>3186</v>
      </c>
      <c r="K234" s="89" t="s">
        <v>3190</v>
      </c>
    </row>
    <row r="235" spans="2:11">
      <c r="B235" s="88">
        <v>230</v>
      </c>
      <c r="C235" s="83" t="s">
        <v>3433</v>
      </c>
      <c r="D235" s="83" t="s">
        <v>3189</v>
      </c>
      <c r="E235" s="83" t="s">
        <v>3191</v>
      </c>
      <c r="F235" s="83" t="s">
        <v>3190</v>
      </c>
      <c r="G235" s="83" t="s">
        <v>3183</v>
      </c>
      <c r="H235" s="83" t="s">
        <v>3181</v>
      </c>
      <c r="I235" s="83" t="s">
        <v>3185</v>
      </c>
      <c r="J235" s="83" t="s">
        <v>3193</v>
      </c>
      <c r="K235" s="89" t="s">
        <v>3192</v>
      </c>
    </row>
    <row r="236" spans="2:11">
      <c r="B236" s="88">
        <v>231</v>
      </c>
      <c r="C236" s="83" t="s">
        <v>3434</v>
      </c>
      <c r="D236" s="83" t="s">
        <v>3190</v>
      </c>
      <c r="E236" s="83" t="s">
        <v>3188</v>
      </c>
      <c r="F236" s="83" t="s">
        <v>3191</v>
      </c>
      <c r="G236" s="83" t="s">
        <v>3183</v>
      </c>
      <c r="H236" s="83" t="s">
        <v>3181</v>
      </c>
      <c r="I236" s="83" t="s">
        <v>3185</v>
      </c>
      <c r="J236" s="83" t="s">
        <v>3193</v>
      </c>
      <c r="K236" s="89" t="s">
        <v>3192</v>
      </c>
    </row>
    <row r="237" spans="2:11">
      <c r="B237" s="88">
        <v>232</v>
      </c>
      <c r="C237" s="83" t="s">
        <v>3435</v>
      </c>
      <c r="D237" s="83" t="s">
        <v>3189</v>
      </c>
      <c r="E237" s="83" t="s">
        <v>3188</v>
      </c>
      <c r="F237" s="83" t="s">
        <v>3191</v>
      </c>
      <c r="G237" s="83" t="s">
        <v>3183</v>
      </c>
      <c r="H237" s="83" t="s">
        <v>3181</v>
      </c>
      <c r="I237" s="83" t="s">
        <v>3185</v>
      </c>
      <c r="J237" s="83" t="s">
        <v>3193</v>
      </c>
      <c r="K237" s="89" t="s">
        <v>3192</v>
      </c>
    </row>
    <row r="238" spans="2:11">
      <c r="B238" s="88">
        <v>233</v>
      </c>
      <c r="C238" s="83" t="s">
        <v>3436</v>
      </c>
      <c r="D238" s="83" t="s">
        <v>3189</v>
      </c>
      <c r="E238" s="83" t="s">
        <v>3188</v>
      </c>
      <c r="F238" s="83" t="s">
        <v>3190</v>
      </c>
      <c r="G238" s="83" t="s">
        <v>3183</v>
      </c>
      <c r="H238" s="83" t="s">
        <v>3181</v>
      </c>
      <c r="I238" s="83" t="s">
        <v>3185</v>
      </c>
      <c r="J238" s="83" t="s">
        <v>3193</v>
      </c>
      <c r="K238" s="89" t="s">
        <v>3192</v>
      </c>
    </row>
    <row r="239" spans="2:11">
      <c r="B239" s="88">
        <v>234</v>
      </c>
      <c r="C239" s="83" t="s">
        <v>3437</v>
      </c>
      <c r="D239" s="83" t="s">
        <v>3189</v>
      </c>
      <c r="E239" s="83" t="s">
        <v>3188</v>
      </c>
      <c r="F239" s="83" t="s">
        <v>3191</v>
      </c>
      <c r="G239" s="83" t="s">
        <v>3183</v>
      </c>
      <c r="H239" s="83" t="s">
        <v>3181</v>
      </c>
      <c r="I239" s="83" t="s">
        <v>3185</v>
      </c>
      <c r="J239" s="83" t="s">
        <v>3193</v>
      </c>
      <c r="K239" s="89" t="s">
        <v>3190</v>
      </c>
    </row>
    <row r="240" spans="2:11">
      <c r="B240" s="88">
        <v>235</v>
      </c>
      <c r="C240" s="83" t="s">
        <v>3438</v>
      </c>
      <c r="D240" s="83" t="s">
        <v>3189</v>
      </c>
      <c r="E240" s="83" t="s">
        <v>3188</v>
      </c>
      <c r="F240" s="83" t="s">
        <v>3191</v>
      </c>
      <c r="G240" s="83" t="s">
        <v>3183</v>
      </c>
      <c r="H240" s="83" t="s">
        <v>3181</v>
      </c>
      <c r="I240" s="83" t="s">
        <v>3185</v>
      </c>
      <c r="J240" s="83" t="s">
        <v>3190</v>
      </c>
      <c r="K240" s="89" t="s">
        <v>3192</v>
      </c>
    </row>
    <row r="241" spans="2:11">
      <c r="B241" s="88">
        <v>236</v>
      </c>
      <c r="C241" s="83" t="s">
        <v>3439</v>
      </c>
      <c r="D241" s="83" t="s">
        <v>3183</v>
      </c>
      <c r="E241" s="83" t="s">
        <v>3191</v>
      </c>
      <c r="F241" s="83" t="s">
        <v>3190</v>
      </c>
      <c r="G241" s="83" t="s">
        <v>3185</v>
      </c>
      <c r="H241" s="83" t="s">
        <v>3181</v>
      </c>
      <c r="I241" s="83" t="s">
        <v>3187</v>
      </c>
      <c r="J241" s="83" t="s">
        <v>3193</v>
      </c>
      <c r="K241" s="89" t="s">
        <v>3192</v>
      </c>
    </row>
    <row r="242" spans="2:11">
      <c r="B242" s="88">
        <v>237</v>
      </c>
      <c r="C242" s="83" t="s">
        <v>3440</v>
      </c>
      <c r="D242" s="83" t="s">
        <v>3189</v>
      </c>
      <c r="E242" s="83" t="s">
        <v>3191</v>
      </c>
      <c r="F242" s="83" t="s">
        <v>3187</v>
      </c>
      <c r="G242" s="83" t="s">
        <v>3183</v>
      </c>
      <c r="H242" s="83" t="s">
        <v>3181</v>
      </c>
      <c r="I242" s="83" t="s">
        <v>3185</v>
      </c>
      <c r="J242" s="83" t="s">
        <v>3193</v>
      </c>
      <c r="K242" s="89" t="s">
        <v>3192</v>
      </c>
    </row>
    <row r="243" spans="2:11">
      <c r="B243" s="88">
        <v>238</v>
      </c>
      <c r="C243" s="83" t="s">
        <v>3441</v>
      </c>
      <c r="D243" s="83" t="s">
        <v>3189</v>
      </c>
      <c r="E243" s="83" t="s">
        <v>3187</v>
      </c>
      <c r="F243" s="83" t="s">
        <v>3190</v>
      </c>
      <c r="G243" s="83" t="s">
        <v>3183</v>
      </c>
      <c r="H243" s="83" t="s">
        <v>3181</v>
      </c>
      <c r="I243" s="83" t="s">
        <v>3185</v>
      </c>
      <c r="J243" s="83" t="s">
        <v>3193</v>
      </c>
      <c r="K243" s="89" t="s">
        <v>3192</v>
      </c>
    </row>
    <row r="244" spans="2:11">
      <c r="B244" s="88">
        <v>239</v>
      </c>
      <c r="C244" s="83" t="s">
        <v>3442</v>
      </c>
      <c r="D244" s="83" t="s">
        <v>3189</v>
      </c>
      <c r="E244" s="83" t="s">
        <v>3191</v>
      </c>
      <c r="F244" s="83" t="s">
        <v>3187</v>
      </c>
      <c r="G244" s="83" t="s">
        <v>3183</v>
      </c>
      <c r="H244" s="83" t="s">
        <v>3181</v>
      </c>
      <c r="I244" s="83" t="s">
        <v>3185</v>
      </c>
      <c r="J244" s="83" t="s">
        <v>3193</v>
      </c>
      <c r="K244" s="89" t="s">
        <v>3190</v>
      </c>
    </row>
    <row r="245" spans="2:11">
      <c r="B245" s="88">
        <v>240</v>
      </c>
      <c r="C245" s="83" t="s">
        <v>3443</v>
      </c>
      <c r="D245" s="83" t="s">
        <v>3189</v>
      </c>
      <c r="E245" s="83" t="s">
        <v>3191</v>
      </c>
      <c r="F245" s="83" t="s">
        <v>3187</v>
      </c>
      <c r="G245" s="83" t="s">
        <v>3183</v>
      </c>
      <c r="H245" s="83" t="s">
        <v>3181</v>
      </c>
      <c r="I245" s="83" t="s">
        <v>3185</v>
      </c>
      <c r="J245" s="83" t="s">
        <v>3190</v>
      </c>
      <c r="K245" s="89" t="s">
        <v>3192</v>
      </c>
    </row>
    <row r="246" spans="2:11">
      <c r="B246" s="88">
        <v>241</v>
      </c>
      <c r="C246" s="83" t="s">
        <v>3444</v>
      </c>
      <c r="D246" s="83" t="s">
        <v>3183</v>
      </c>
      <c r="E246" s="83" t="s">
        <v>3188</v>
      </c>
      <c r="F246" s="83" t="s">
        <v>3191</v>
      </c>
      <c r="G246" s="83" t="s">
        <v>3185</v>
      </c>
      <c r="H246" s="83" t="s">
        <v>3181</v>
      </c>
      <c r="I246" s="83" t="s">
        <v>3187</v>
      </c>
      <c r="J246" s="83" t="s">
        <v>3193</v>
      </c>
      <c r="K246" s="89" t="s">
        <v>3192</v>
      </c>
    </row>
    <row r="247" spans="2:11">
      <c r="B247" s="88">
        <v>242</v>
      </c>
      <c r="C247" s="83" t="s">
        <v>3445</v>
      </c>
      <c r="D247" s="83" t="s">
        <v>3183</v>
      </c>
      <c r="E247" s="83" t="s">
        <v>3188</v>
      </c>
      <c r="F247" s="83" t="s">
        <v>3190</v>
      </c>
      <c r="G247" s="83" t="s">
        <v>3185</v>
      </c>
      <c r="H247" s="83" t="s">
        <v>3181</v>
      </c>
      <c r="I247" s="83" t="s">
        <v>3187</v>
      </c>
      <c r="J247" s="83" t="s">
        <v>3193</v>
      </c>
      <c r="K247" s="89" t="s">
        <v>3192</v>
      </c>
    </row>
    <row r="248" spans="2:11">
      <c r="B248" s="88">
        <v>243</v>
      </c>
      <c r="C248" s="83" t="s">
        <v>3446</v>
      </c>
      <c r="D248" s="83" t="s">
        <v>3183</v>
      </c>
      <c r="E248" s="83" t="s">
        <v>3188</v>
      </c>
      <c r="F248" s="83" t="s">
        <v>3191</v>
      </c>
      <c r="G248" s="83" t="s">
        <v>3185</v>
      </c>
      <c r="H248" s="83" t="s">
        <v>3181</v>
      </c>
      <c r="I248" s="83" t="s">
        <v>3187</v>
      </c>
      <c r="J248" s="83" t="s">
        <v>3193</v>
      </c>
      <c r="K248" s="89" t="s">
        <v>3190</v>
      </c>
    </row>
    <row r="249" spans="2:11">
      <c r="B249" s="88">
        <v>244</v>
      </c>
      <c r="C249" s="83" t="s">
        <v>3447</v>
      </c>
      <c r="D249" s="83" t="s">
        <v>3183</v>
      </c>
      <c r="E249" s="83" t="s">
        <v>3188</v>
      </c>
      <c r="F249" s="83" t="s">
        <v>3191</v>
      </c>
      <c r="G249" s="83" t="s">
        <v>3185</v>
      </c>
      <c r="H249" s="83" t="s">
        <v>3181</v>
      </c>
      <c r="I249" s="83" t="s">
        <v>3187</v>
      </c>
      <c r="J249" s="83" t="s">
        <v>3190</v>
      </c>
      <c r="K249" s="89" t="s">
        <v>3192</v>
      </c>
    </row>
    <row r="250" spans="2:11">
      <c r="B250" s="88">
        <v>245</v>
      </c>
      <c r="C250" s="83" t="s">
        <v>3448</v>
      </c>
      <c r="D250" s="83" t="s">
        <v>3189</v>
      </c>
      <c r="E250" s="83" t="s">
        <v>3188</v>
      </c>
      <c r="F250" s="83" t="s">
        <v>3187</v>
      </c>
      <c r="G250" s="83" t="s">
        <v>3183</v>
      </c>
      <c r="H250" s="83" t="s">
        <v>3181</v>
      </c>
      <c r="I250" s="83" t="s">
        <v>3185</v>
      </c>
      <c r="J250" s="83" t="s">
        <v>3193</v>
      </c>
      <c r="K250" s="89" t="s">
        <v>3192</v>
      </c>
    </row>
    <row r="251" spans="2:11">
      <c r="B251" s="88">
        <v>246</v>
      </c>
      <c r="C251" s="83" t="s">
        <v>3449</v>
      </c>
      <c r="D251" s="83" t="s">
        <v>3183</v>
      </c>
      <c r="E251" s="83" t="s">
        <v>3188</v>
      </c>
      <c r="F251" s="83" t="s">
        <v>3191</v>
      </c>
      <c r="G251" s="83" t="s">
        <v>3185</v>
      </c>
      <c r="H251" s="83" t="s">
        <v>3181</v>
      </c>
      <c r="I251" s="83" t="s">
        <v>3187</v>
      </c>
      <c r="J251" s="83" t="s">
        <v>3193</v>
      </c>
      <c r="K251" s="89" t="s">
        <v>3189</v>
      </c>
    </row>
    <row r="252" spans="2:11">
      <c r="B252" s="88">
        <v>247</v>
      </c>
      <c r="C252" s="83" t="s">
        <v>3450</v>
      </c>
      <c r="D252" s="83" t="s">
        <v>3189</v>
      </c>
      <c r="E252" s="83" t="s">
        <v>3188</v>
      </c>
      <c r="F252" s="83" t="s">
        <v>3191</v>
      </c>
      <c r="G252" s="83" t="s">
        <v>3183</v>
      </c>
      <c r="H252" s="83" t="s">
        <v>3181</v>
      </c>
      <c r="I252" s="83" t="s">
        <v>3187</v>
      </c>
      <c r="J252" s="83" t="s">
        <v>3185</v>
      </c>
      <c r="K252" s="89" t="s">
        <v>3192</v>
      </c>
    </row>
    <row r="253" spans="2:11">
      <c r="B253" s="88">
        <v>248</v>
      </c>
      <c r="C253" s="83" t="s">
        <v>3451</v>
      </c>
      <c r="D253" s="83" t="s">
        <v>3189</v>
      </c>
      <c r="E253" s="83" t="s">
        <v>3188</v>
      </c>
      <c r="F253" s="83" t="s">
        <v>3187</v>
      </c>
      <c r="G253" s="83" t="s">
        <v>3183</v>
      </c>
      <c r="H253" s="83" t="s">
        <v>3181</v>
      </c>
      <c r="I253" s="83" t="s">
        <v>3185</v>
      </c>
      <c r="J253" s="83" t="s">
        <v>3193</v>
      </c>
      <c r="K253" s="89" t="s">
        <v>3190</v>
      </c>
    </row>
    <row r="254" spans="2:11">
      <c r="B254" s="88">
        <v>249</v>
      </c>
      <c r="C254" s="83" t="s">
        <v>3452</v>
      </c>
      <c r="D254" s="83" t="s">
        <v>3189</v>
      </c>
      <c r="E254" s="83" t="s">
        <v>3188</v>
      </c>
      <c r="F254" s="83" t="s">
        <v>3187</v>
      </c>
      <c r="G254" s="83" t="s">
        <v>3183</v>
      </c>
      <c r="H254" s="83" t="s">
        <v>3181</v>
      </c>
      <c r="I254" s="83" t="s">
        <v>3185</v>
      </c>
      <c r="J254" s="83" t="s">
        <v>3190</v>
      </c>
      <c r="K254" s="89" t="s">
        <v>3192</v>
      </c>
    </row>
    <row r="255" spans="2:11">
      <c r="B255" s="88">
        <v>250</v>
      </c>
      <c r="C255" s="83" t="s">
        <v>3453</v>
      </c>
      <c r="D255" s="83" t="s">
        <v>3189</v>
      </c>
      <c r="E255" s="83" t="s">
        <v>3188</v>
      </c>
      <c r="F255" s="83" t="s">
        <v>3191</v>
      </c>
      <c r="G255" s="83" t="s">
        <v>3183</v>
      </c>
      <c r="H255" s="83" t="s">
        <v>3181</v>
      </c>
      <c r="I255" s="83" t="s">
        <v>3187</v>
      </c>
      <c r="J255" s="83" t="s">
        <v>3185</v>
      </c>
      <c r="K255" s="89" t="s">
        <v>3190</v>
      </c>
    </row>
    <row r="256" spans="2:11">
      <c r="B256" s="88">
        <v>251</v>
      </c>
      <c r="C256" s="83" t="s">
        <v>3454</v>
      </c>
      <c r="D256" s="83" t="s">
        <v>3186</v>
      </c>
      <c r="E256" s="83" t="s">
        <v>3191</v>
      </c>
      <c r="F256" s="83" t="s">
        <v>3190</v>
      </c>
      <c r="G256" s="83" t="s">
        <v>3183</v>
      </c>
      <c r="H256" s="83" t="s">
        <v>3181</v>
      </c>
      <c r="I256" s="83" t="s">
        <v>3185</v>
      </c>
      <c r="J256" s="83" t="s">
        <v>3193</v>
      </c>
      <c r="K256" s="89" t="s">
        <v>3192</v>
      </c>
    </row>
    <row r="257" spans="2:11">
      <c r="B257" s="88">
        <v>252</v>
      </c>
      <c r="C257" s="83" t="s">
        <v>3455</v>
      </c>
      <c r="D257" s="83" t="s">
        <v>3189</v>
      </c>
      <c r="E257" s="83" t="s">
        <v>3191</v>
      </c>
      <c r="F257" s="83" t="s">
        <v>3186</v>
      </c>
      <c r="G257" s="83" t="s">
        <v>3183</v>
      </c>
      <c r="H257" s="83" t="s">
        <v>3181</v>
      </c>
      <c r="I257" s="83" t="s">
        <v>3185</v>
      </c>
      <c r="J257" s="83" t="s">
        <v>3193</v>
      </c>
      <c r="K257" s="89" t="s">
        <v>3192</v>
      </c>
    </row>
    <row r="258" spans="2:11">
      <c r="B258" s="88">
        <v>253</v>
      </c>
      <c r="C258" s="83" t="s">
        <v>3456</v>
      </c>
      <c r="D258" s="83" t="s">
        <v>3189</v>
      </c>
      <c r="E258" s="83" t="s">
        <v>3186</v>
      </c>
      <c r="F258" s="83" t="s">
        <v>3190</v>
      </c>
      <c r="G258" s="83" t="s">
        <v>3183</v>
      </c>
      <c r="H258" s="83" t="s">
        <v>3181</v>
      </c>
      <c r="I258" s="83" t="s">
        <v>3185</v>
      </c>
      <c r="J258" s="83" t="s">
        <v>3193</v>
      </c>
      <c r="K258" s="89" t="s">
        <v>3192</v>
      </c>
    </row>
    <row r="259" spans="2:11">
      <c r="B259" s="88">
        <v>254</v>
      </c>
      <c r="C259" s="83" t="s">
        <v>3457</v>
      </c>
      <c r="D259" s="83" t="s">
        <v>3189</v>
      </c>
      <c r="E259" s="83" t="s">
        <v>3191</v>
      </c>
      <c r="F259" s="83" t="s">
        <v>3186</v>
      </c>
      <c r="G259" s="83" t="s">
        <v>3183</v>
      </c>
      <c r="H259" s="83" t="s">
        <v>3181</v>
      </c>
      <c r="I259" s="83" t="s">
        <v>3185</v>
      </c>
      <c r="J259" s="83" t="s">
        <v>3193</v>
      </c>
      <c r="K259" s="89" t="s">
        <v>3190</v>
      </c>
    </row>
    <row r="260" spans="2:11">
      <c r="B260" s="88">
        <v>255</v>
      </c>
      <c r="C260" s="83" t="s">
        <v>3458</v>
      </c>
      <c r="D260" s="83" t="s">
        <v>3189</v>
      </c>
      <c r="E260" s="83" t="s">
        <v>3191</v>
      </c>
      <c r="F260" s="83" t="s">
        <v>3186</v>
      </c>
      <c r="G260" s="83" t="s">
        <v>3183</v>
      </c>
      <c r="H260" s="83" t="s">
        <v>3181</v>
      </c>
      <c r="I260" s="83" t="s">
        <v>3185</v>
      </c>
      <c r="J260" s="83" t="s">
        <v>3190</v>
      </c>
      <c r="K260" s="89" t="s">
        <v>3192</v>
      </c>
    </row>
    <row r="261" spans="2:11">
      <c r="B261" s="88">
        <v>256</v>
      </c>
      <c r="C261" s="83" t="s">
        <v>3459</v>
      </c>
      <c r="D261" s="83" t="s">
        <v>3186</v>
      </c>
      <c r="E261" s="83" t="s">
        <v>3188</v>
      </c>
      <c r="F261" s="83" t="s">
        <v>3191</v>
      </c>
      <c r="G261" s="83" t="s">
        <v>3183</v>
      </c>
      <c r="H261" s="83" t="s">
        <v>3181</v>
      </c>
      <c r="I261" s="83" t="s">
        <v>3185</v>
      </c>
      <c r="J261" s="83" t="s">
        <v>3193</v>
      </c>
      <c r="K261" s="89" t="s">
        <v>3192</v>
      </c>
    </row>
    <row r="262" spans="2:11">
      <c r="B262" s="88">
        <v>257</v>
      </c>
      <c r="C262" s="83" t="s">
        <v>3460</v>
      </c>
      <c r="D262" s="83" t="s">
        <v>3186</v>
      </c>
      <c r="E262" s="83" t="s">
        <v>3188</v>
      </c>
      <c r="F262" s="83" t="s">
        <v>3190</v>
      </c>
      <c r="G262" s="83" t="s">
        <v>3183</v>
      </c>
      <c r="H262" s="83" t="s">
        <v>3181</v>
      </c>
      <c r="I262" s="83" t="s">
        <v>3185</v>
      </c>
      <c r="J262" s="83" t="s">
        <v>3193</v>
      </c>
      <c r="K262" s="89" t="s">
        <v>3192</v>
      </c>
    </row>
    <row r="263" spans="2:11">
      <c r="B263" s="88">
        <v>258</v>
      </c>
      <c r="C263" s="83" t="s">
        <v>3461</v>
      </c>
      <c r="D263" s="83" t="s">
        <v>3186</v>
      </c>
      <c r="E263" s="83" t="s">
        <v>3188</v>
      </c>
      <c r="F263" s="83" t="s">
        <v>3191</v>
      </c>
      <c r="G263" s="83" t="s">
        <v>3183</v>
      </c>
      <c r="H263" s="83" t="s">
        <v>3181</v>
      </c>
      <c r="I263" s="83" t="s">
        <v>3185</v>
      </c>
      <c r="J263" s="83" t="s">
        <v>3193</v>
      </c>
      <c r="K263" s="89" t="s">
        <v>3190</v>
      </c>
    </row>
    <row r="264" spans="2:11">
      <c r="B264" s="88">
        <v>259</v>
      </c>
      <c r="C264" s="83" t="s">
        <v>3462</v>
      </c>
      <c r="D264" s="83" t="s">
        <v>3186</v>
      </c>
      <c r="E264" s="83" t="s">
        <v>3188</v>
      </c>
      <c r="F264" s="83" t="s">
        <v>3191</v>
      </c>
      <c r="G264" s="83" t="s">
        <v>3183</v>
      </c>
      <c r="H264" s="83" t="s">
        <v>3181</v>
      </c>
      <c r="I264" s="83" t="s">
        <v>3185</v>
      </c>
      <c r="J264" s="83" t="s">
        <v>3190</v>
      </c>
      <c r="K264" s="89" t="s">
        <v>3192</v>
      </c>
    </row>
    <row r="265" spans="2:11">
      <c r="B265" s="88">
        <v>260</v>
      </c>
      <c r="C265" s="83" t="s">
        <v>3463</v>
      </c>
      <c r="D265" s="83" t="s">
        <v>3189</v>
      </c>
      <c r="E265" s="83" t="s">
        <v>3188</v>
      </c>
      <c r="F265" s="83" t="s">
        <v>3186</v>
      </c>
      <c r="G265" s="83" t="s">
        <v>3183</v>
      </c>
      <c r="H265" s="83" t="s">
        <v>3181</v>
      </c>
      <c r="I265" s="83" t="s">
        <v>3185</v>
      </c>
      <c r="J265" s="83" t="s">
        <v>3193</v>
      </c>
      <c r="K265" s="89" t="s">
        <v>3192</v>
      </c>
    </row>
    <row r="266" spans="2:11">
      <c r="B266" s="88">
        <v>261</v>
      </c>
      <c r="C266" s="83" t="s">
        <v>3464</v>
      </c>
      <c r="D266" s="83" t="s">
        <v>3189</v>
      </c>
      <c r="E266" s="83" t="s">
        <v>3188</v>
      </c>
      <c r="F266" s="83" t="s">
        <v>3191</v>
      </c>
      <c r="G266" s="83" t="s">
        <v>3183</v>
      </c>
      <c r="H266" s="83" t="s">
        <v>3181</v>
      </c>
      <c r="I266" s="83" t="s">
        <v>3185</v>
      </c>
      <c r="J266" s="83" t="s">
        <v>3193</v>
      </c>
      <c r="K266" s="89" t="s">
        <v>3186</v>
      </c>
    </row>
    <row r="267" spans="2:11">
      <c r="B267" s="88">
        <v>262</v>
      </c>
      <c r="C267" s="83" t="s">
        <v>3465</v>
      </c>
      <c r="D267" s="83" t="s">
        <v>3189</v>
      </c>
      <c r="E267" s="83" t="s">
        <v>3188</v>
      </c>
      <c r="F267" s="83" t="s">
        <v>3191</v>
      </c>
      <c r="G267" s="83" t="s">
        <v>3183</v>
      </c>
      <c r="H267" s="83" t="s">
        <v>3181</v>
      </c>
      <c r="I267" s="83" t="s">
        <v>3185</v>
      </c>
      <c r="J267" s="83" t="s">
        <v>3186</v>
      </c>
      <c r="K267" s="89" t="s">
        <v>3192</v>
      </c>
    </row>
    <row r="268" spans="2:11">
      <c r="B268" s="88">
        <v>263</v>
      </c>
      <c r="C268" s="83" t="s">
        <v>3466</v>
      </c>
      <c r="D268" s="83" t="s">
        <v>3189</v>
      </c>
      <c r="E268" s="83" t="s">
        <v>3188</v>
      </c>
      <c r="F268" s="83" t="s">
        <v>3186</v>
      </c>
      <c r="G268" s="83" t="s">
        <v>3183</v>
      </c>
      <c r="H268" s="83" t="s">
        <v>3181</v>
      </c>
      <c r="I268" s="83" t="s">
        <v>3185</v>
      </c>
      <c r="J268" s="83" t="s">
        <v>3193</v>
      </c>
      <c r="K268" s="89" t="s">
        <v>3190</v>
      </c>
    </row>
    <row r="269" spans="2:11">
      <c r="B269" s="88">
        <v>264</v>
      </c>
      <c r="C269" s="83" t="s">
        <v>3467</v>
      </c>
      <c r="D269" s="83" t="s">
        <v>3189</v>
      </c>
      <c r="E269" s="83" t="s">
        <v>3188</v>
      </c>
      <c r="F269" s="83" t="s">
        <v>3186</v>
      </c>
      <c r="G269" s="83" t="s">
        <v>3183</v>
      </c>
      <c r="H269" s="83" t="s">
        <v>3181</v>
      </c>
      <c r="I269" s="83" t="s">
        <v>3185</v>
      </c>
      <c r="J269" s="83" t="s">
        <v>3190</v>
      </c>
      <c r="K269" s="89" t="s">
        <v>3192</v>
      </c>
    </row>
    <row r="270" spans="2:11">
      <c r="B270" s="88">
        <v>265</v>
      </c>
      <c r="C270" s="83" t="s">
        <v>3468</v>
      </c>
      <c r="D270" s="83" t="s">
        <v>3189</v>
      </c>
      <c r="E270" s="83" t="s">
        <v>3188</v>
      </c>
      <c r="F270" s="83" t="s">
        <v>3191</v>
      </c>
      <c r="G270" s="83" t="s">
        <v>3183</v>
      </c>
      <c r="H270" s="83" t="s">
        <v>3181</v>
      </c>
      <c r="I270" s="83" t="s">
        <v>3185</v>
      </c>
      <c r="J270" s="83" t="s">
        <v>3186</v>
      </c>
      <c r="K270" s="89" t="s">
        <v>3190</v>
      </c>
    </row>
    <row r="271" spans="2:11">
      <c r="B271" s="88">
        <v>266</v>
      </c>
      <c r="C271" s="83" t="s">
        <v>3469</v>
      </c>
      <c r="D271" s="83" t="s">
        <v>3183</v>
      </c>
      <c r="E271" s="83" t="s">
        <v>3191</v>
      </c>
      <c r="F271" s="83" t="s">
        <v>3186</v>
      </c>
      <c r="G271" s="83" t="s">
        <v>3185</v>
      </c>
      <c r="H271" s="83" t="s">
        <v>3181</v>
      </c>
      <c r="I271" s="83" t="s">
        <v>3187</v>
      </c>
      <c r="J271" s="83" t="s">
        <v>3193</v>
      </c>
      <c r="K271" s="89" t="s">
        <v>3192</v>
      </c>
    </row>
    <row r="272" spans="2:11">
      <c r="B272" s="88">
        <v>267</v>
      </c>
      <c r="C272" s="83" t="s">
        <v>3470</v>
      </c>
      <c r="D272" s="83" t="s">
        <v>3183</v>
      </c>
      <c r="E272" s="83" t="s">
        <v>3186</v>
      </c>
      <c r="F272" s="83" t="s">
        <v>3190</v>
      </c>
      <c r="G272" s="83" t="s">
        <v>3185</v>
      </c>
      <c r="H272" s="83" t="s">
        <v>3181</v>
      </c>
      <c r="I272" s="83" t="s">
        <v>3187</v>
      </c>
      <c r="J272" s="83" t="s">
        <v>3193</v>
      </c>
      <c r="K272" s="89" t="s">
        <v>3192</v>
      </c>
    </row>
    <row r="273" spans="2:11">
      <c r="B273" s="88">
        <v>268</v>
      </c>
      <c r="C273" s="83" t="s">
        <v>3471</v>
      </c>
      <c r="D273" s="83" t="s">
        <v>3183</v>
      </c>
      <c r="E273" s="83" t="s">
        <v>3191</v>
      </c>
      <c r="F273" s="83" t="s">
        <v>3186</v>
      </c>
      <c r="G273" s="83" t="s">
        <v>3185</v>
      </c>
      <c r="H273" s="83" t="s">
        <v>3181</v>
      </c>
      <c r="I273" s="83" t="s">
        <v>3187</v>
      </c>
      <c r="J273" s="83" t="s">
        <v>3193</v>
      </c>
      <c r="K273" s="89" t="s">
        <v>3190</v>
      </c>
    </row>
    <row r="274" spans="2:11">
      <c r="B274" s="88">
        <v>269</v>
      </c>
      <c r="C274" s="83" t="s">
        <v>3472</v>
      </c>
      <c r="D274" s="83" t="s">
        <v>3183</v>
      </c>
      <c r="E274" s="83" t="s">
        <v>3191</v>
      </c>
      <c r="F274" s="83" t="s">
        <v>3186</v>
      </c>
      <c r="G274" s="83" t="s">
        <v>3185</v>
      </c>
      <c r="H274" s="83" t="s">
        <v>3181</v>
      </c>
      <c r="I274" s="83" t="s">
        <v>3187</v>
      </c>
      <c r="J274" s="83" t="s">
        <v>3190</v>
      </c>
      <c r="K274" s="89" t="s">
        <v>3192</v>
      </c>
    </row>
    <row r="275" spans="2:11">
      <c r="B275" s="88">
        <v>270</v>
      </c>
      <c r="C275" s="83" t="s">
        <v>3473</v>
      </c>
      <c r="D275" s="83" t="s">
        <v>3189</v>
      </c>
      <c r="E275" s="83" t="s">
        <v>3186</v>
      </c>
      <c r="F275" s="83" t="s">
        <v>3187</v>
      </c>
      <c r="G275" s="83" t="s">
        <v>3183</v>
      </c>
      <c r="H275" s="83" t="s">
        <v>3181</v>
      </c>
      <c r="I275" s="83" t="s">
        <v>3185</v>
      </c>
      <c r="J275" s="83" t="s">
        <v>3193</v>
      </c>
      <c r="K275" s="89" t="s">
        <v>3192</v>
      </c>
    </row>
    <row r="276" spans="2:11">
      <c r="B276" s="88">
        <v>271</v>
      </c>
      <c r="C276" s="83" t="s">
        <v>3474</v>
      </c>
      <c r="D276" s="83" t="s">
        <v>3189</v>
      </c>
      <c r="E276" s="83" t="s">
        <v>3191</v>
      </c>
      <c r="F276" s="83" t="s">
        <v>3187</v>
      </c>
      <c r="G276" s="83" t="s">
        <v>3183</v>
      </c>
      <c r="H276" s="83" t="s">
        <v>3181</v>
      </c>
      <c r="I276" s="83" t="s">
        <v>3185</v>
      </c>
      <c r="J276" s="83" t="s">
        <v>3193</v>
      </c>
      <c r="K276" s="89" t="s">
        <v>3186</v>
      </c>
    </row>
    <row r="277" spans="2:11">
      <c r="B277" s="88">
        <v>272</v>
      </c>
      <c r="C277" s="83" t="s">
        <v>3475</v>
      </c>
      <c r="D277" s="83" t="s">
        <v>3189</v>
      </c>
      <c r="E277" s="83" t="s">
        <v>3191</v>
      </c>
      <c r="F277" s="83" t="s">
        <v>3186</v>
      </c>
      <c r="G277" s="83" t="s">
        <v>3183</v>
      </c>
      <c r="H277" s="83" t="s">
        <v>3181</v>
      </c>
      <c r="I277" s="83" t="s">
        <v>3187</v>
      </c>
      <c r="J277" s="83" t="s">
        <v>3185</v>
      </c>
      <c r="K277" s="89" t="s">
        <v>3192</v>
      </c>
    </row>
    <row r="278" spans="2:11">
      <c r="B278" s="88">
        <v>273</v>
      </c>
      <c r="C278" s="83" t="s">
        <v>3476</v>
      </c>
      <c r="D278" s="83" t="s">
        <v>3189</v>
      </c>
      <c r="E278" s="83" t="s">
        <v>3186</v>
      </c>
      <c r="F278" s="83" t="s">
        <v>3187</v>
      </c>
      <c r="G278" s="83" t="s">
        <v>3183</v>
      </c>
      <c r="H278" s="83" t="s">
        <v>3181</v>
      </c>
      <c r="I278" s="83" t="s">
        <v>3185</v>
      </c>
      <c r="J278" s="83" t="s">
        <v>3193</v>
      </c>
      <c r="K278" s="89" t="s">
        <v>3190</v>
      </c>
    </row>
    <row r="279" spans="2:11">
      <c r="B279" s="88">
        <v>274</v>
      </c>
      <c r="C279" s="83" t="s">
        <v>3477</v>
      </c>
      <c r="D279" s="83" t="s">
        <v>3189</v>
      </c>
      <c r="E279" s="83" t="s">
        <v>3186</v>
      </c>
      <c r="F279" s="83" t="s">
        <v>3187</v>
      </c>
      <c r="G279" s="83" t="s">
        <v>3183</v>
      </c>
      <c r="H279" s="83" t="s">
        <v>3181</v>
      </c>
      <c r="I279" s="83" t="s">
        <v>3185</v>
      </c>
      <c r="J279" s="83" t="s">
        <v>3190</v>
      </c>
      <c r="K279" s="89" t="s">
        <v>3192</v>
      </c>
    </row>
    <row r="280" spans="2:11">
      <c r="B280" s="88">
        <v>275</v>
      </c>
      <c r="C280" s="83" t="s">
        <v>3478</v>
      </c>
      <c r="D280" s="83" t="s">
        <v>3189</v>
      </c>
      <c r="E280" s="83" t="s">
        <v>3191</v>
      </c>
      <c r="F280" s="83" t="s">
        <v>3186</v>
      </c>
      <c r="G280" s="83" t="s">
        <v>3183</v>
      </c>
      <c r="H280" s="83" t="s">
        <v>3181</v>
      </c>
      <c r="I280" s="83" t="s">
        <v>3187</v>
      </c>
      <c r="J280" s="83" t="s">
        <v>3185</v>
      </c>
      <c r="K280" s="89" t="s">
        <v>3190</v>
      </c>
    </row>
    <row r="281" spans="2:11">
      <c r="B281" s="88">
        <v>276</v>
      </c>
      <c r="C281" s="83" t="s">
        <v>3479</v>
      </c>
      <c r="D281" s="83" t="s">
        <v>3183</v>
      </c>
      <c r="E281" s="83" t="s">
        <v>3188</v>
      </c>
      <c r="F281" s="83" t="s">
        <v>3186</v>
      </c>
      <c r="G281" s="83" t="s">
        <v>3185</v>
      </c>
      <c r="H281" s="83" t="s">
        <v>3181</v>
      </c>
      <c r="I281" s="83" t="s">
        <v>3187</v>
      </c>
      <c r="J281" s="83" t="s">
        <v>3193</v>
      </c>
      <c r="K281" s="89" t="s">
        <v>3192</v>
      </c>
    </row>
    <row r="282" spans="2:11">
      <c r="B282" s="88">
        <v>277</v>
      </c>
      <c r="C282" s="83" t="s">
        <v>3480</v>
      </c>
      <c r="D282" s="83" t="s">
        <v>3183</v>
      </c>
      <c r="E282" s="83" t="s">
        <v>3188</v>
      </c>
      <c r="F282" s="83" t="s">
        <v>3191</v>
      </c>
      <c r="G282" s="83" t="s">
        <v>3185</v>
      </c>
      <c r="H282" s="83" t="s">
        <v>3181</v>
      </c>
      <c r="I282" s="83" t="s">
        <v>3187</v>
      </c>
      <c r="J282" s="83" t="s">
        <v>3193</v>
      </c>
      <c r="K282" s="89" t="s">
        <v>3186</v>
      </c>
    </row>
    <row r="283" spans="2:11">
      <c r="B283" s="88">
        <v>278</v>
      </c>
      <c r="C283" s="83" t="s">
        <v>3481</v>
      </c>
      <c r="D283" s="83" t="s">
        <v>3183</v>
      </c>
      <c r="E283" s="83" t="s">
        <v>3188</v>
      </c>
      <c r="F283" s="83" t="s">
        <v>3191</v>
      </c>
      <c r="G283" s="83" t="s">
        <v>3185</v>
      </c>
      <c r="H283" s="83" t="s">
        <v>3181</v>
      </c>
      <c r="I283" s="83" t="s">
        <v>3187</v>
      </c>
      <c r="J283" s="83" t="s">
        <v>3186</v>
      </c>
      <c r="K283" s="89" t="s">
        <v>3192</v>
      </c>
    </row>
    <row r="284" spans="2:11">
      <c r="B284" s="88">
        <v>279</v>
      </c>
      <c r="C284" s="83" t="s">
        <v>3482</v>
      </c>
      <c r="D284" s="83" t="s">
        <v>3183</v>
      </c>
      <c r="E284" s="83" t="s">
        <v>3188</v>
      </c>
      <c r="F284" s="83" t="s">
        <v>3186</v>
      </c>
      <c r="G284" s="83" t="s">
        <v>3185</v>
      </c>
      <c r="H284" s="83" t="s">
        <v>3181</v>
      </c>
      <c r="I284" s="83" t="s">
        <v>3187</v>
      </c>
      <c r="J284" s="83" t="s">
        <v>3193</v>
      </c>
      <c r="K284" s="89" t="s">
        <v>3190</v>
      </c>
    </row>
    <row r="285" spans="2:11">
      <c r="B285" s="88">
        <v>280</v>
      </c>
      <c r="C285" s="83" t="s">
        <v>3483</v>
      </c>
      <c r="D285" s="83" t="s">
        <v>3183</v>
      </c>
      <c r="E285" s="83" t="s">
        <v>3188</v>
      </c>
      <c r="F285" s="83" t="s">
        <v>3186</v>
      </c>
      <c r="G285" s="83" t="s">
        <v>3185</v>
      </c>
      <c r="H285" s="83" t="s">
        <v>3181</v>
      </c>
      <c r="I285" s="83" t="s">
        <v>3187</v>
      </c>
      <c r="J285" s="83" t="s">
        <v>3190</v>
      </c>
      <c r="K285" s="89" t="s">
        <v>3192</v>
      </c>
    </row>
    <row r="286" spans="2:11">
      <c r="B286" s="88">
        <v>281</v>
      </c>
      <c r="C286" s="83" t="s">
        <v>3484</v>
      </c>
      <c r="D286" s="83" t="s">
        <v>3183</v>
      </c>
      <c r="E286" s="83" t="s">
        <v>3188</v>
      </c>
      <c r="F286" s="83" t="s">
        <v>3191</v>
      </c>
      <c r="G286" s="83" t="s">
        <v>3185</v>
      </c>
      <c r="H286" s="83" t="s">
        <v>3181</v>
      </c>
      <c r="I286" s="83" t="s">
        <v>3187</v>
      </c>
      <c r="J286" s="83" t="s">
        <v>3186</v>
      </c>
      <c r="K286" s="89" t="s">
        <v>3190</v>
      </c>
    </row>
    <row r="287" spans="2:11">
      <c r="B287" s="88">
        <v>282</v>
      </c>
      <c r="C287" s="83" t="s">
        <v>3485</v>
      </c>
      <c r="D287" s="83" t="s">
        <v>3189</v>
      </c>
      <c r="E287" s="83" t="s">
        <v>3188</v>
      </c>
      <c r="F287" s="83" t="s">
        <v>3187</v>
      </c>
      <c r="G287" s="83" t="s">
        <v>3183</v>
      </c>
      <c r="H287" s="83" t="s">
        <v>3181</v>
      </c>
      <c r="I287" s="83" t="s">
        <v>3185</v>
      </c>
      <c r="J287" s="83" t="s">
        <v>3193</v>
      </c>
      <c r="K287" s="89" t="s">
        <v>3186</v>
      </c>
    </row>
    <row r="288" spans="2:11">
      <c r="B288" s="88">
        <v>283</v>
      </c>
      <c r="C288" s="83" t="s">
        <v>3486</v>
      </c>
      <c r="D288" s="83" t="s">
        <v>3189</v>
      </c>
      <c r="E288" s="83" t="s">
        <v>3188</v>
      </c>
      <c r="F288" s="83" t="s">
        <v>3186</v>
      </c>
      <c r="G288" s="83" t="s">
        <v>3183</v>
      </c>
      <c r="H288" s="83" t="s">
        <v>3181</v>
      </c>
      <c r="I288" s="83" t="s">
        <v>3187</v>
      </c>
      <c r="J288" s="83" t="s">
        <v>3185</v>
      </c>
      <c r="K288" s="89" t="s">
        <v>3192</v>
      </c>
    </row>
    <row r="289" spans="2:11">
      <c r="B289" s="88">
        <v>284</v>
      </c>
      <c r="C289" s="83" t="s">
        <v>3487</v>
      </c>
      <c r="D289" s="83" t="s">
        <v>3189</v>
      </c>
      <c r="E289" s="83" t="s">
        <v>3188</v>
      </c>
      <c r="F289" s="83" t="s">
        <v>3191</v>
      </c>
      <c r="G289" s="83" t="s">
        <v>3183</v>
      </c>
      <c r="H289" s="83" t="s">
        <v>3181</v>
      </c>
      <c r="I289" s="83" t="s">
        <v>3187</v>
      </c>
      <c r="J289" s="83" t="s">
        <v>3185</v>
      </c>
      <c r="K289" s="89" t="s">
        <v>3186</v>
      </c>
    </row>
    <row r="290" spans="2:11">
      <c r="B290" s="88">
        <v>285</v>
      </c>
      <c r="C290" s="83" t="s">
        <v>3488</v>
      </c>
      <c r="D290" s="83" t="s">
        <v>3189</v>
      </c>
      <c r="E290" s="83" t="s">
        <v>3188</v>
      </c>
      <c r="F290" s="83" t="s">
        <v>3186</v>
      </c>
      <c r="G290" s="83" t="s">
        <v>3183</v>
      </c>
      <c r="H290" s="83" t="s">
        <v>3181</v>
      </c>
      <c r="I290" s="83" t="s">
        <v>3187</v>
      </c>
      <c r="J290" s="83" t="s">
        <v>3185</v>
      </c>
      <c r="K290" s="89" t="s">
        <v>3190</v>
      </c>
    </row>
    <row r="291" spans="2:11">
      <c r="B291" s="88">
        <v>286</v>
      </c>
      <c r="C291" s="83" t="s">
        <v>3489</v>
      </c>
      <c r="D291" s="83" t="s">
        <v>3189</v>
      </c>
      <c r="E291" s="83" t="s">
        <v>3191</v>
      </c>
      <c r="F291" s="83" t="s">
        <v>3182</v>
      </c>
      <c r="G291" s="83" t="s">
        <v>3181</v>
      </c>
      <c r="H291" s="83" t="s">
        <v>3190</v>
      </c>
      <c r="I291" s="83" t="s">
        <v>3188</v>
      </c>
      <c r="J291" s="83" t="s">
        <v>3193</v>
      </c>
      <c r="K291" s="89" t="s">
        <v>3192</v>
      </c>
    </row>
    <row r="292" spans="2:11">
      <c r="B292" s="88">
        <v>287</v>
      </c>
      <c r="C292" s="83" t="s">
        <v>3490</v>
      </c>
      <c r="D292" s="83" t="s">
        <v>3189</v>
      </c>
      <c r="E292" s="83" t="s">
        <v>3191</v>
      </c>
      <c r="F292" s="83" t="s">
        <v>3182</v>
      </c>
      <c r="G292" s="83" t="s">
        <v>3181</v>
      </c>
      <c r="H292" s="83" t="s">
        <v>3190</v>
      </c>
      <c r="I292" s="83" t="s">
        <v>3187</v>
      </c>
      <c r="J292" s="83" t="s">
        <v>3193</v>
      </c>
      <c r="K292" s="89" t="s">
        <v>3192</v>
      </c>
    </row>
    <row r="293" spans="2:11">
      <c r="B293" s="88">
        <v>288</v>
      </c>
      <c r="C293" s="83" t="s">
        <v>3491</v>
      </c>
      <c r="D293" s="83" t="s">
        <v>3190</v>
      </c>
      <c r="E293" s="83" t="s">
        <v>3191</v>
      </c>
      <c r="F293" s="83" t="s">
        <v>3182</v>
      </c>
      <c r="G293" s="83" t="s">
        <v>3187</v>
      </c>
      <c r="H293" s="83" t="s">
        <v>3181</v>
      </c>
      <c r="I293" s="83" t="s">
        <v>3188</v>
      </c>
      <c r="J293" s="83" t="s">
        <v>3193</v>
      </c>
      <c r="K293" s="89" t="s">
        <v>3192</v>
      </c>
    </row>
    <row r="294" spans="2:11">
      <c r="B294" s="88">
        <v>289</v>
      </c>
      <c r="C294" s="83" t="s">
        <v>3492</v>
      </c>
      <c r="D294" s="83" t="s">
        <v>3189</v>
      </c>
      <c r="E294" s="83" t="s">
        <v>3191</v>
      </c>
      <c r="F294" s="83" t="s">
        <v>3182</v>
      </c>
      <c r="G294" s="83" t="s">
        <v>3187</v>
      </c>
      <c r="H294" s="83" t="s">
        <v>3181</v>
      </c>
      <c r="I294" s="83" t="s">
        <v>3188</v>
      </c>
      <c r="J294" s="83" t="s">
        <v>3193</v>
      </c>
      <c r="K294" s="89" t="s">
        <v>3192</v>
      </c>
    </row>
    <row r="295" spans="2:11">
      <c r="B295" s="88">
        <v>290</v>
      </c>
      <c r="C295" s="83" t="s">
        <v>3493</v>
      </c>
      <c r="D295" s="83" t="s">
        <v>3189</v>
      </c>
      <c r="E295" s="83" t="s">
        <v>3188</v>
      </c>
      <c r="F295" s="83" t="s">
        <v>3182</v>
      </c>
      <c r="G295" s="83" t="s">
        <v>3181</v>
      </c>
      <c r="H295" s="83" t="s">
        <v>3190</v>
      </c>
      <c r="I295" s="83" t="s">
        <v>3187</v>
      </c>
      <c r="J295" s="83" t="s">
        <v>3193</v>
      </c>
      <c r="K295" s="89" t="s">
        <v>3192</v>
      </c>
    </row>
    <row r="296" spans="2:11">
      <c r="B296" s="88">
        <v>291</v>
      </c>
      <c r="C296" s="83" t="s">
        <v>3494</v>
      </c>
      <c r="D296" s="83" t="s">
        <v>3189</v>
      </c>
      <c r="E296" s="83" t="s">
        <v>3191</v>
      </c>
      <c r="F296" s="83" t="s">
        <v>3182</v>
      </c>
      <c r="G296" s="83" t="s">
        <v>3187</v>
      </c>
      <c r="H296" s="83" t="s">
        <v>3181</v>
      </c>
      <c r="I296" s="83" t="s">
        <v>3188</v>
      </c>
      <c r="J296" s="83" t="s">
        <v>3193</v>
      </c>
      <c r="K296" s="89" t="s">
        <v>3190</v>
      </c>
    </row>
    <row r="297" spans="2:11">
      <c r="B297" s="88">
        <v>292</v>
      </c>
      <c r="C297" s="83" t="s">
        <v>3495</v>
      </c>
      <c r="D297" s="83" t="s">
        <v>3189</v>
      </c>
      <c r="E297" s="83" t="s">
        <v>3191</v>
      </c>
      <c r="F297" s="83" t="s">
        <v>3182</v>
      </c>
      <c r="G297" s="83" t="s">
        <v>3187</v>
      </c>
      <c r="H297" s="83" t="s">
        <v>3181</v>
      </c>
      <c r="I297" s="83" t="s">
        <v>3188</v>
      </c>
      <c r="J297" s="83" t="s">
        <v>3190</v>
      </c>
      <c r="K297" s="89" t="s">
        <v>3192</v>
      </c>
    </row>
    <row r="298" spans="2:11">
      <c r="B298" s="88">
        <v>293</v>
      </c>
      <c r="C298" s="83" t="s">
        <v>3496</v>
      </c>
      <c r="D298" s="83" t="s">
        <v>3186</v>
      </c>
      <c r="E298" s="83" t="s">
        <v>3191</v>
      </c>
      <c r="F298" s="83" t="s">
        <v>3182</v>
      </c>
      <c r="G298" s="83" t="s">
        <v>3181</v>
      </c>
      <c r="H298" s="83" t="s">
        <v>3190</v>
      </c>
      <c r="I298" s="83" t="s">
        <v>3189</v>
      </c>
      <c r="J298" s="83" t="s">
        <v>3193</v>
      </c>
      <c r="K298" s="89" t="s">
        <v>3192</v>
      </c>
    </row>
    <row r="299" spans="2:11">
      <c r="B299" s="88">
        <v>294</v>
      </c>
      <c r="C299" s="83" t="s">
        <v>3497</v>
      </c>
      <c r="D299" s="83" t="s">
        <v>3186</v>
      </c>
      <c r="E299" s="83" t="s">
        <v>3191</v>
      </c>
      <c r="F299" s="83" t="s">
        <v>3182</v>
      </c>
      <c r="G299" s="83" t="s">
        <v>3181</v>
      </c>
      <c r="H299" s="83" t="s">
        <v>3190</v>
      </c>
      <c r="I299" s="83" t="s">
        <v>3188</v>
      </c>
      <c r="J299" s="83" t="s">
        <v>3193</v>
      </c>
      <c r="K299" s="89" t="s">
        <v>3192</v>
      </c>
    </row>
    <row r="300" spans="2:11">
      <c r="B300" s="88">
        <v>295</v>
      </c>
      <c r="C300" s="83" t="s">
        <v>3498</v>
      </c>
      <c r="D300" s="83" t="s">
        <v>3186</v>
      </c>
      <c r="E300" s="83" t="s">
        <v>3191</v>
      </c>
      <c r="F300" s="83" t="s">
        <v>3182</v>
      </c>
      <c r="G300" s="83" t="s">
        <v>3181</v>
      </c>
      <c r="H300" s="83" t="s">
        <v>3189</v>
      </c>
      <c r="I300" s="83" t="s">
        <v>3188</v>
      </c>
      <c r="J300" s="83" t="s">
        <v>3193</v>
      </c>
      <c r="K300" s="89" t="s">
        <v>3192</v>
      </c>
    </row>
    <row r="301" spans="2:11">
      <c r="B301" s="88">
        <v>296</v>
      </c>
      <c r="C301" s="83" t="s">
        <v>3499</v>
      </c>
      <c r="D301" s="83" t="s">
        <v>3186</v>
      </c>
      <c r="E301" s="83" t="s">
        <v>3188</v>
      </c>
      <c r="F301" s="83" t="s">
        <v>3182</v>
      </c>
      <c r="G301" s="83" t="s">
        <v>3181</v>
      </c>
      <c r="H301" s="83" t="s">
        <v>3190</v>
      </c>
      <c r="I301" s="83" t="s">
        <v>3189</v>
      </c>
      <c r="J301" s="83" t="s">
        <v>3193</v>
      </c>
      <c r="K301" s="89" t="s">
        <v>3192</v>
      </c>
    </row>
    <row r="302" spans="2:11">
      <c r="B302" s="88">
        <v>297</v>
      </c>
      <c r="C302" s="83" t="s">
        <v>3500</v>
      </c>
      <c r="D302" s="83" t="s">
        <v>3186</v>
      </c>
      <c r="E302" s="83" t="s">
        <v>3191</v>
      </c>
      <c r="F302" s="83" t="s">
        <v>3182</v>
      </c>
      <c r="G302" s="83" t="s">
        <v>3181</v>
      </c>
      <c r="H302" s="83" t="s">
        <v>3189</v>
      </c>
      <c r="I302" s="83" t="s">
        <v>3188</v>
      </c>
      <c r="J302" s="83" t="s">
        <v>3193</v>
      </c>
      <c r="K302" s="89" t="s">
        <v>3190</v>
      </c>
    </row>
    <row r="303" spans="2:11">
      <c r="B303" s="88">
        <v>298</v>
      </c>
      <c r="C303" s="83" t="s">
        <v>3501</v>
      </c>
      <c r="D303" s="83" t="s">
        <v>3186</v>
      </c>
      <c r="E303" s="83" t="s">
        <v>3191</v>
      </c>
      <c r="F303" s="83" t="s">
        <v>3182</v>
      </c>
      <c r="G303" s="83" t="s">
        <v>3181</v>
      </c>
      <c r="H303" s="83" t="s">
        <v>3189</v>
      </c>
      <c r="I303" s="83" t="s">
        <v>3188</v>
      </c>
      <c r="J303" s="83" t="s">
        <v>3190</v>
      </c>
      <c r="K303" s="89" t="s">
        <v>3192</v>
      </c>
    </row>
    <row r="304" spans="2:11">
      <c r="B304" s="88">
        <v>299</v>
      </c>
      <c r="C304" s="83" t="s">
        <v>3502</v>
      </c>
      <c r="D304" s="83" t="s">
        <v>3186</v>
      </c>
      <c r="E304" s="83" t="s">
        <v>3191</v>
      </c>
      <c r="F304" s="83" t="s">
        <v>3182</v>
      </c>
      <c r="G304" s="83" t="s">
        <v>3181</v>
      </c>
      <c r="H304" s="83" t="s">
        <v>3190</v>
      </c>
      <c r="I304" s="83" t="s">
        <v>3187</v>
      </c>
      <c r="J304" s="83" t="s">
        <v>3193</v>
      </c>
      <c r="K304" s="89" t="s">
        <v>3192</v>
      </c>
    </row>
    <row r="305" spans="2:11">
      <c r="B305" s="88">
        <v>300</v>
      </c>
      <c r="C305" s="83" t="s">
        <v>3503</v>
      </c>
      <c r="D305" s="83" t="s">
        <v>3186</v>
      </c>
      <c r="E305" s="83" t="s">
        <v>3191</v>
      </c>
      <c r="F305" s="83" t="s">
        <v>3182</v>
      </c>
      <c r="G305" s="83" t="s">
        <v>3187</v>
      </c>
      <c r="H305" s="83" t="s">
        <v>3181</v>
      </c>
      <c r="I305" s="83" t="s">
        <v>3189</v>
      </c>
      <c r="J305" s="83" t="s">
        <v>3193</v>
      </c>
      <c r="K305" s="89" t="s">
        <v>3192</v>
      </c>
    </row>
    <row r="306" spans="2:11">
      <c r="B306" s="88">
        <v>301</v>
      </c>
      <c r="C306" s="83" t="s">
        <v>3504</v>
      </c>
      <c r="D306" s="83" t="s">
        <v>3186</v>
      </c>
      <c r="E306" s="83" t="s">
        <v>3190</v>
      </c>
      <c r="F306" s="83" t="s">
        <v>3182</v>
      </c>
      <c r="G306" s="83" t="s">
        <v>3187</v>
      </c>
      <c r="H306" s="83" t="s">
        <v>3181</v>
      </c>
      <c r="I306" s="83" t="s">
        <v>3189</v>
      </c>
      <c r="J306" s="83" t="s">
        <v>3193</v>
      </c>
      <c r="K306" s="89" t="s">
        <v>3192</v>
      </c>
    </row>
    <row r="307" spans="2:11">
      <c r="B307" s="88">
        <v>302</v>
      </c>
      <c r="C307" s="83" t="s">
        <v>3505</v>
      </c>
      <c r="D307" s="83" t="s">
        <v>3186</v>
      </c>
      <c r="E307" s="83" t="s">
        <v>3191</v>
      </c>
      <c r="F307" s="83" t="s">
        <v>3182</v>
      </c>
      <c r="G307" s="83" t="s">
        <v>3187</v>
      </c>
      <c r="H307" s="83" t="s">
        <v>3181</v>
      </c>
      <c r="I307" s="83" t="s">
        <v>3189</v>
      </c>
      <c r="J307" s="83" t="s">
        <v>3193</v>
      </c>
      <c r="K307" s="89" t="s">
        <v>3190</v>
      </c>
    </row>
    <row r="308" spans="2:11">
      <c r="B308" s="88">
        <v>303</v>
      </c>
      <c r="C308" s="83" t="s">
        <v>3506</v>
      </c>
      <c r="D308" s="83" t="s">
        <v>3186</v>
      </c>
      <c r="E308" s="83" t="s">
        <v>3191</v>
      </c>
      <c r="F308" s="83" t="s">
        <v>3182</v>
      </c>
      <c r="G308" s="83" t="s">
        <v>3187</v>
      </c>
      <c r="H308" s="83" t="s">
        <v>3181</v>
      </c>
      <c r="I308" s="83" t="s">
        <v>3189</v>
      </c>
      <c r="J308" s="83" t="s">
        <v>3190</v>
      </c>
      <c r="K308" s="89" t="s">
        <v>3192</v>
      </c>
    </row>
    <row r="309" spans="2:11">
      <c r="B309" s="88">
        <v>304</v>
      </c>
      <c r="C309" s="83" t="s">
        <v>3507</v>
      </c>
      <c r="D309" s="83" t="s">
        <v>3186</v>
      </c>
      <c r="E309" s="83" t="s">
        <v>3191</v>
      </c>
      <c r="F309" s="83" t="s">
        <v>3182</v>
      </c>
      <c r="G309" s="83" t="s">
        <v>3187</v>
      </c>
      <c r="H309" s="83" t="s">
        <v>3181</v>
      </c>
      <c r="I309" s="83" t="s">
        <v>3188</v>
      </c>
      <c r="J309" s="83" t="s">
        <v>3193</v>
      </c>
      <c r="K309" s="89" t="s">
        <v>3192</v>
      </c>
    </row>
    <row r="310" spans="2:11">
      <c r="B310" s="88">
        <v>305</v>
      </c>
      <c r="C310" s="83" t="s">
        <v>3508</v>
      </c>
      <c r="D310" s="83" t="s">
        <v>3186</v>
      </c>
      <c r="E310" s="83" t="s">
        <v>3188</v>
      </c>
      <c r="F310" s="83" t="s">
        <v>3182</v>
      </c>
      <c r="G310" s="83" t="s">
        <v>3181</v>
      </c>
      <c r="H310" s="83" t="s">
        <v>3190</v>
      </c>
      <c r="I310" s="83" t="s">
        <v>3187</v>
      </c>
      <c r="J310" s="83" t="s">
        <v>3193</v>
      </c>
      <c r="K310" s="89" t="s">
        <v>3192</v>
      </c>
    </row>
    <row r="311" spans="2:11">
      <c r="B311" s="88">
        <v>306</v>
      </c>
      <c r="C311" s="83" t="s">
        <v>3509</v>
      </c>
      <c r="D311" s="83" t="s">
        <v>3186</v>
      </c>
      <c r="E311" s="83" t="s">
        <v>3191</v>
      </c>
      <c r="F311" s="83" t="s">
        <v>3182</v>
      </c>
      <c r="G311" s="83" t="s">
        <v>3187</v>
      </c>
      <c r="H311" s="83" t="s">
        <v>3181</v>
      </c>
      <c r="I311" s="83" t="s">
        <v>3188</v>
      </c>
      <c r="J311" s="83" t="s">
        <v>3193</v>
      </c>
      <c r="K311" s="89" t="s">
        <v>3190</v>
      </c>
    </row>
    <row r="312" spans="2:11">
      <c r="B312" s="88">
        <v>307</v>
      </c>
      <c r="C312" s="83" t="s">
        <v>3510</v>
      </c>
      <c r="D312" s="83" t="s">
        <v>3186</v>
      </c>
      <c r="E312" s="83" t="s">
        <v>3191</v>
      </c>
      <c r="F312" s="83" t="s">
        <v>3182</v>
      </c>
      <c r="G312" s="83" t="s">
        <v>3187</v>
      </c>
      <c r="H312" s="83" t="s">
        <v>3181</v>
      </c>
      <c r="I312" s="83" t="s">
        <v>3188</v>
      </c>
      <c r="J312" s="83" t="s">
        <v>3190</v>
      </c>
      <c r="K312" s="89" t="s">
        <v>3192</v>
      </c>
    </row>
    <row r="313" spans="2:11">
      <c r="B313" s="88">
        <v>308</v>
      </c>
      <c r="C313" s="83" t="s">
        <v>3511</v>
      </c>
      <c r="D313" s="83" t="s">
        <v>3186</v>
      </c>
      <c r="E313" s="83" t="s">
        <v>3188</v>
      </c>
      <c r="F313" s="83" t="s">
        <v>3182</v>
      </c>
      <c r="G313" s="83" t="s">
        <v>3187</v>
      </c>
      <c r="H313" s="83" t="s">
        <v>3181</v>
      </c>
      <c r="I313" s="83" t="s">
        <v>3189</v>
      </c>
      <c r="J313" s="83" t="s">
        <v>3193</v>
      </c>
      <c r="K313" s="89" t="s">
        <v>3192</v>
      </c>
    </row>
    <row r="314" spans="2:11">
      <c r="B314" s="88">
        <v>309</v>
      </c>
      <c r="C314" s="83" t="s">
        <v>3512</v>
      </c>
      <c r="D314" s="83" t="s">
        <v>3189</v>
      </c>
      <c r="E314" s="83" t="s">
        <v>3191</v>
      </c>
      <c r="F314" s="83" t="s">
        <v>3182</v>
      </c>
      <c r="G314" s="83" t="s">
        <v>3187</v>
      </c>
      <c r="H314" s="83" t="s">
        <v>3181</v>
      </c>
      <c r="I314" s="83" t="s">
        <v>3188</v>
      </c>
      <c r="J314" s="83" t="s">
        <v>3193</v>
      </c>
      <c r="K314" s="89" t="s">
        <v>3186</v>
      </c>
    </row>
    <row r="315" spans="2:11">
      <c r="B315" s="88">
        <v>310</v>
      </c>
      <c r="C315" s="83" t="s">
        <v>3513</v>
      </c>
      <c r="D315" s="83" t="s">
        <v>3189</v>
      </c>
      <c r="E315" s="83" t="s">
        <v>3191</v>
      </c>
      <c r="F315" s="83" t="s">
        <v>3182</v>
      </c>
      <c r="G315" s="83" t="s">
        <v>3187</v>
      </c>
      <c r="H315" s="83" t="s">
        <v>3181</v>
      </c>
      <c r="I315" s="83" t="s">
        <v>3188</v>
      </c>
      <c r="J315" s="83" t="s">
        <v>3186</v>
      </c>
      <c r="K315" s="89" t="s">
        <v>3192</v>
      </c>
    </row>
    <row r="316" spans="2:11">
      <c r="B316" s="88">
        <v>311</v>
      </c>
      <c r="C316" s="83" t="s">
        <v>3514</v>
      </c>
      <c r="D316" s="83" t="s">
        <v>3186</v>
      </c>
      <c r="E316" s="83" t="s">
        <v>3188</v>
      </c>
      <c r="F316" s="83" t="s">
        <v>3182</v>
      </c>
      <c r="G316" s="83" t="s">
        <v>3187</v>
      </c>
      <c r="H316" s="83" t="s">
        <v>3181</v>
      </c>
      <c r="I316" s="83" t="s">
        <v>3189</v>
      </c>
      <c r="J316" s="83" t="s">
        <v>3193</v>
      </c>
      <c r="K316" s="89" t="s">
        <v>3190</v>
      </c>
    </row>
    <row r="317" spans="2:11">
      <c r="B317" s="88">
        <v>312</v>
      </c>
      <c r="C317" s="83" t="s">
        <v>3515</v>
      </c>
      <c r="D317" s="83" t="s">
        <v>3186</v>
      </c>
      <c r="E317" s="83" t="s">
        <v>3188</v>
      </c>
      <c r="F317" s="83" t="s">
        <v>3182</v>
      </c>
      <c r="G317" s="83" t="s">
        <v>3187</v>
      </c>
      <c r="H317" s="83" t="s">
        <v>3181</v>
      </c>
      <c r="I317" s="83" t="s">
        <v>3189</v>
      </c>
      <c r="J317" s="83" t="s">
        <v>3190</v>
      </c>
      <c r="K317" s="89" t="s">
        <v>3192</v>
      </c>
    </row>
    <row r="318" spans="2:11">
      <c r="B318" s="88">
        <v>313</v>
      </c>
      <c r="C318" s="83" t="s">
        <v>3516</v>
      </c>
      <c r="D318" s="83" t="s">
        <v>3189</v>
      </c>
      <c r="E318" s="83" t="s">
        <v>3191</v>
      </c>
      <c r="F318" s="83" t="s">
        <v>3182</v>
      </c>
      <c r="G318" s="83" t="s">
        <v>3187</v>
      </c>
      <c r="H318" s="83" t="s">
        <v>3181</v>
      </c>
      <c r="I318" s="83" t="s">
        <v>3188</v>
      </c>
      <c r="J318" s="83" t="s">
        <v>3186</v>
      </c>
      <c r="K318" s="89" t="s">
        <v>3190</v>
      </c>
    </row>
    <row r="319" spans="2:11">
      <c r="B319" s="88">
        <v>314</v>
      </c>
      <c r="C319" s="83" t="s">
        <v>3517</v>
      </c>
      <c r="D319" s="83" t="s">
        <v>3190</v>
      </c>
      <c r="E319" s="83" t="s">
        <v>3191</v>
      </c>
      <c r="F319" s="83" t="s">
        <v>3182</v>
      </c>
      <c r="G319" s="83" t="s">
        <v>3185</v>
      </c>
      <c r="H319" s="83" t="s">
        <v>3181</v>
      </c>
      <c r="I319" s="83" t="s">
        <v>3189</v>
      </c>
      <c r="J319" s="83" t="s">
        <v>3193</v>
      </c>
      <c r="K319" s="89" t="s">
        <v>3192</v>
      </c>
    </row>
    <row r="320" spans="2:11">
      <c r="B320" s="88">
        <v>315</v>
      </c>
      <c r="C320" s="83" t="s">
        <v>3518</v>
      </c>
      <c r="D320" s="83" t="s">
        <v>3190</v>
      </c>
      <c r="E320" s="83" t="s">
        <v>3191</v>
      </c>
      <c r="F320" s="83" t="s">
        <v>3182</v>
      </c>
      <c r="G320" s="83" t="s">
        <v>3185</v>
      </c>
      <c r="H320" s="83" t="s">
        <v>3181</v>
      </c>
      <c r="I320" s="83" t="s">
        <v>3188</v>
      </c>
      <c r="J320" s="83" t="s">
        <v>3193</v>
      </c>
      <c r="K320" s="89" t="s">
        <v>3192</v>
      </c>
    </row>
    <row r="321" spans="2:11">
      <c r="B321" s="88">
        <v>316</v>
      </c>
      <c r="C321" s="83" t="s">
        <v>3519</v>
      </c>
      <c r="D321" s="83" t="s">
        <v>3189</v>
      </c>
      <c r="E321" s="83" t="s">
        <v>3191</v>
      </c>
      <c r="F321" s="83" t="s">
        <v>3182</v>
      </c>
      <c r="G321" s="83" t="s">
        <v>3185</v>
      </c>
      <c r="H321" s="83" t="s">
        <v>3181</v>
      </c>
      <c r="I321" s="83" t="s">
        <v>3188</v>
      </c>
      <c r="J321" s="83" t="s">
        <v>3193</v>
      </c>
      <c r="K321" s="89" t="s">
        <v>3192</v>
      </c>
    </row>
    <row r="322" spans="2:11">
      <c r="B322" s="88">
        <v>317</v>
      </c>
      <c r="C322" s="83" t="s">
        <v>3520</v>
      </c>
      <c r="D322" s="83" t="s">
        <v>3190</v>
      </c>
      <c r="E322" s="83" t="s">
        <v>3188</v>
      </c>
      <c r="F322" s="83" t="s">
        <v>3182</v>
      </c>
      <c r="G322" s="83" t="s">
        <v>3185</v>
      </c>
      <c r="H322" s="83" t="s">
        <v>3181</v>
      </c>
      <c r="I322" s="83" t="s">
        <v>3189</v>
      </c>
      <c r="J322" s="83" t="s">
        <v>3193</v>
      </c>
      <c r="K322" s="89" t="s">
        <v>3192</v>
      </c>
    </row>
    <row r="323" spans="2:11">
      <c r="B323" s="88">
        <v>318</v>
      </c>
      <c r="C323" s="83" t="s">
        <v>3521</v>
      </c>
      <c r="D323" s="83" t="s">
        <v>3189</v>
      </c>
      <c r="E323" s="83" t="s">
        <v>3191</v>
      </c>
      <c r="F323" s="83" t="s">
        <v>3182</v>
      </c>
      <c r="G323" s="83" t="s">
        <v>3185</v>
      </c>
      <c r="H323" s="83" t="s">
        <v>3181</v>
      </c>
      <c r="I323" s="83" t="s">
        <v>3188</v>
      </c>
      <c r="J323" s="83" t="s">
        <v>3193</v>
      </c>
      <c r="K323" s="89" t="s">
        <v>3190</v>
      </c>
    </row>
    <row r="324" spans="2:11">
      <c r="B324" s="88">
        <v>319</v>
      </c>
      <c r="C324" s="83" t="s">
        <v>3522</v>
      </c>
      <c r="D324" s="83" t="s">
        <v>3189</v>
      </c>
      <c r="E324" s="83" t="s">
        <v>3191</v>
      </c>
      <c r="F324" s="83" t="s">
        <v>3182</v>
      </c>
      <c r="G324" s="83" t="s">
        <v>3185</v>
      </c>
      <c r="H324" s="83" t="s">
        <v>3181</v>
      </c>
      <c r="I324" s="83" t="s">
        <v>3188</v>
      </c>
      <c r="J324" s="83" t="s">
        <v>3190</v>
      </c>
      <c r="K324" s="89" t="s">
        <v>3192</v>
      </c>
    </row>
    <row r="325" spans="2:11">
      <c r="B325" s="88">
        <v>320</v>
      </c>
      <c r="C325" s="83" t="s">
        <v>3523</v>
      </c>
      <c r="D325" s="83" t="s">
        <v>3190</v>
      </c>
      <c r="E325" s="83" t="s">
        <v>3191</v>
      </c>
      <c r="F325" s="83" t="s">
        <v>3182</v>
      </c>
      <c r="G325" s="83" t="s">
        <v>3185</v>
      </c>
      <c r="H325" s="83" t="s">
        <v>3181</v>
      </c>
      <c r="I325" s="83" t="s">
        <v>3187</v>
      </c>
      <c r="J325" s="83" t="s">
        <v>3193</v>
      </c>
      <c r="K325" s="89" t="s">
        <v>3192</v>
      </c>
    </row>
    <row r="326" spans="2:11">
      <c r="B326" s="88">
        <v>321</v>
      </c>
      <c r="C326" s="83" t="s">
        <v>3524</v>
      </c>
      <c r="D326" s="83" t="s">
        <v>3189</v>
      </c>
      <c r="E326" s="83" t="s">
        <v>3191</v>
      </c>
      <c r="F326" s="83" t="s">
        <v>3182</v>
      </c>
      <c r="G326" s="83" t="s">
        <v>3185</v>
      </c>
      <c r="H326" s="83" t="s">
        <v>3181</v>
      </c>
      <c r="I326" s="83" t="s">
        <v>3187</v>
      </c>
      <c r="J326" s="83" t="s">
        <v>3193</v>
      </c>
      <c r="K326" s="89" t="s">
        <v>3192</v>
      </c>
    </row>
    <row r="327" spans="2:11">
      <c r="B327" s="88">
        <v>322</v>
      </c>
      <c r="C327" s="83" t="s">
        <v>3525</v>
      </c>
      <c r="D327" s="83" t="s">
        <v>3189</v>
      </c>
      <c r="E327" s="83" t="s">
        <v>3190</v>
      </c>
      <c r="F327" s="83" t="s">
        <v>3182</v>
      </c>
      <c r="G327" s="83" t="s">
        <v>3185</v>
      </c>
      <c r="H327" s="83" t="s">
        <v>3181</v>
      </c>
      <c r="I327" s="83" t="s">
        <v>3187</v>
      </c>
      <c r="J327" s="83" t="s">
        <v>3193</v>
      </c>
      <c r="K327" s="89" t="s">
        <v>3192</v>
      </c>
    </row>
    <row r="328" spans="2:11">
      <c r="B328" s="88">
        <v>323</v>
      </c>
      <c r="C328" s="83" t="s">
        <v>3526</v>
      </c>
      <c r="D328" s="83" t="s">
        <v>3189</v>
      </c>
      <c r="E328" s="83" t="s">
        <v>3191</v>
      </c>
      <c r="F328" s="83" t="s">
        <v>3182</v>
      </c>
      <c r="G328" s="83" t="s">
        <v>3185</v>
      </c>
      <c r="H328" s="83" t="s">
        <v>3181</v>
      </c>
      <c r="I328" s="83" t="s">
        <v>3187</v>
      </c>
      <c r="J328" s="83" t="s">
        <v>3193</v>
      </c>
      <c r="K328" s="89" t="s">
        <v>3190</v>
      </c>
    </row>
    <row r="329" spans="2:11">
      <c r="B329" s="88">
        <v>324</v>
      </c>
      <c r="C329" s="83" t="s">
        <v>3527</v>
      </c>
      <c r="D329" s="83" t="s">
        <v>3189</v>
      </c>
      <c r="E329" s="83" t="s">
        <v>3191</v>
      </c>
      <c r="F329" s="83" t="s">
        <v>3182</v>
      </c>
      <c r="G329" s="83" t="s">
        <v>3185</v>
      </c>
      <c r="H329" s="83" t="s">
        <v>3181</v>
      </c>
      <c r="I329" s="83" t="s">
        <v>3187</v>
      </c>
      <c r="J329" s="83" t="s">
        <v>3190</v>
      </c>
      <c r="K329" s="89" t="s">
        <v>3192</v>
      </c>
    </row>
    <row r="330" spans="2:11">
      <c r="B330" s="88">
        <v>325</v>
      </c>
      <c r="C330" s="83" t="s">
        <v>3528</v>
      </c>
      <c r="D330" s="83" t="s">
        <v>3187</v>
      </c>
      <c r="E330" s="83" t="s">
        <v>3191</v>
      </c>
      <c r="F330" s="83" t="s">
        <v>3182</v>
      </c>
      <c r="G330" s="83" t="s">
        <v>3185</v>
      </c>
      <c r="H330" s="83" t="s">
        <v>3181</v>
      </c>
      <c r="I330" s="83" t="s">
        <v>3188</v>
      </c>
      <c r="J330" s="83" t="s">
        <v>3193</v>
      </c>
      <c r="K330" s="89" t="s">
        <v>3192</v>
      </c>
    </row>
    <row r="331" spans="2:11">
      <c r="B331" s="88">
        <v>326</v>
      </c>
      <c r="C331" s="83" t="s">
        <v>3529</v>
      </c>
      <c r="D331" s="83" t="s">
        <v>3190</v>
      </c>
      <c r="E331" s="83" t="s">
        <v>3188</v>
      </c>
      <c r="F331" s="83" t="s">
        <v>3182</v>
      </c>
      <c r="G331" s="83" t="s">
        <v>3185</v>
      </c>
      <c r="H331" s="83" t="s">
        <v>3181</v>
      </c>
      <c r="I331" s="83" t="s">
        <v>3187</v>
      </c>
      <c r="J331" s="83" t="s">
        <v>3193</v>
      </c>
      <c r="K331" s="89" t="s">
        <v>3192</v>
      </c>
    </row>
    <row r="332" spans="2:11">
      <c r="B332" s="88">
        <v>327</v>
      </c>
      <c r="C332" s="83" t="s">
        <v>3530</v>
      </c>
      <c r="D332" s="83" t="s">
        <v>3187</v>
      </c>
      <c r="E332" s="83" t="s">
        <v>3191</v>
      </c>
      <c r="F332" s="83" t="s">
        <v>3182</v>
      </c>
      <c r="G332" s="83" t="s">
        <v>3185</v>
      </c>
      <c r="H332" s="83" t="s">
        <v>3181</v>
      </c>
      <c r="I332" s="83" t="s">
        <v>3188</v>
      </c>
      <c r="J332" s="83" t="s">
        <v>3193</v>
      </c>
      <c r="K332" s="89" t="s">
        <v>3190</v>
      </c>
    </row>
    <row r="333" spans="2:11">
      <c r="B333" s="88">
        <v>328</v>
      </c>
      <c r="C333" s="83" t="s">
        <v>3531</v>
      </c>
      <c r="D333" s="83" t="s">
        <v>3187</v>
      </c>
      <c r="E333" s="83" t="s">
        <v>3191</v>
      </c>
      <c r="F333" s="83" t="s">
        <v>3182</v>
      </c>
      <c r="G333" s="83" t="s">
        <v>3185</v>
      </c>
      <c r="H333" s="83" t="s">
        <v>3181</v>
      </c>
      <c r="I333" s="83" t="s">
        <v>3188</v>
      </c>
      <c r="J333" s="83" t="s">
        <v>3190</v>
      </c>
      <c r="K333" s="89" t="s">
        <v>3192</v>
      </c>
    </row>
    <row r="334" spans="2:11">
      <c r="B334" s="88">
        <v>329</v>
      </c>
      <c r="C334" s="83" t="s">
        <v>3532</v>
      </c>
      <c r="D334" s="83" t="s">
        <v>3189</v>
      </c>
      <c r="E334" s="83" t="s">
        <v>3188</v>
      </c>
      <c r="F334" s="83" t="s">
        <v>3182</v>
      </c>
      <c r="G334" s="83" t="s">
        <v>3185</v>
      </c>
      <c r="H334" s="83" t="s">
        <v>3181</v>
      </c>
      <c r="I334" s="83" t="s">
        <v>3187</v>
      </c>
      <c r="J334" s="83" t="s">
        <v>3193</v>
      </c>
      <c r="K334" s="89" t="s">
        <v>3192</v>
      </c>
    </row>
    <row r="335" spans="2:11">
      <c r="B335" s="88">
        <v>330</v>
      </c>
      <c r="C335" s="83" t="s">
        <v>3533</v>
      </c>
      <c r="D335" s="83" t="s">
        <v>3189</v>
      </c>
      <c r="E335" s="83" t="s">
        <v>3188</v>
      </c>
      <c r="F335" s="83" t="s">
        <v>3182</v>
      </c>
      <c r="G335" s="83" t="s">
        <v>3185</v>
      </c>
      <c r="H335" s="83" t="s">
        <v>3181</v>
      </c>
      <c r="I335" s="83" t="s">
        <v>3187</v>
      </c>
      <c r="J335" s="83" t="s">
        <v>3193</v>
      </c>
      <c r="K335" s="89" t="s">
        <v>3191</v>
      </c>
    </row>
    <row r="336" spans="2:11">
      <c r="B336" s="88">
        <v>331</v>
      </c>
      <c r="C336" s="83" t="s">
        <v>3534</v>
      </c>
      <c r="D336" s="83" t="s">
        <v>3189</v>
      </c>
      <c r="E336" s="83" t="s">
        <v>3188</v>
      </c>
      <c r="F336" s="83" t="s">
        <v>3182</v>
      </c>
      <c r="G336" s="83" t="s">
        <v>3185</v>
      </c>
      <c r="H336" s="83" t="s">
        <v>3181</v>
      </c>
      <c r="I336" s="83" t="s">
        <v>3187</v>
      </c>
      <c r="J336" s="83" t="s">
        <v>3191</v>
      </c>
      <c r="K336" s="89" t="s">
        <v>3192</v>
      </c>
    </row>
    <row r="337" spans="2:11">
      <c r="B337" s="88">
        <v>332</v>
      </c>
      <c r="C337" s="83" t="s">
        <v>3535</v>
      </c>
      <c r="D337" s="83" t="s">
        <v>3189</v>
      </c>
      <c r="E337" s="83" t="s">
        <v>3188</v>
      </c>
      <c r="F337" s="83" t="s">
        <v>3182</v>
      </c>
      <c r="G337" s="83" t="s">
        <v>3185</v>
      </c>
      <c r="H337" s="83" t="s">
        <v>3181</v>
      </c>
      <c r="I337" s="83" t="s">
        <v>3187</v>
      </c>
      <c r="J337" s="83" t="s">
        <v>3193</v>
      </c>
      <c r="K337" s="89" t="s">
        <v>3190</v>
      </c>
    </row>
    <row r="338" spans="2:11">
      <c r="B338" s="88">
        <v>333</v>
      </c>
      <c r="C338" s="83" t="s">
        <v>3536</v>
      </c>
      <c r="D338" s="83" t="s">
        <v>3189</v>
      </c>
      <c r="E338" s="83" t="s">
        <v>3188</v>
      </c>
      <c r="F338" s="83" t="s">
        <v>3182</v>
      </c>
      <c r="G338" s="83" t="s">
        <v>3185</v>
      </c>
      <c r="H338" s="83" t="s">
        <v>3181</v>
      </c>
      <c r="I338" s="83" t="s">
        <v>3187</v>
      </c>
      <c r="J338" s="83" t="s">
        <v>3190</v>
      </c>
      <c r="K338" s="89" t="s">
        <v>3192</v>
      </c>
    </row>
    <row r="339" spans="2:11">
      <c r="B339" s="88">
        <v>334</v>
      </c>
      <c r="C339" s="83" t="s">
        <v>3537</v>
      </c>
      <c r="D339" s="83" t="s">
        <v>3189</v>
      </c>
      <c r="E339" s="83" t="s">
        <v>3188</v>
      </c>
      <c r="F339" s="83" t="s">
        <v>3182</v>
      </c>
      <c r="G339" s="83" t="s">
        <v>3185</v>
      </c>
      <c r="H339" s="83" t="s">
        <v>3181</v>
      </c>
      <c r="I339" s="83" t="s">
        <v>3187</v>
      </c>
      <c r="J339" s="83" t="s">
        <v>3190</v>
      </c>
      <c r="K339" s="89" t="s">
        <v>3191</v>
      </c>
    </row>
    <row r="340" spans="2:11">
      <c r="B340" s="88">
        <v>335</v>
      </c>
      <c r="C340" s="83" t="s">
        <v>3538</v>
      </c>
      <c r="D340" s="83" t="s">
        <v>3186</v>
      </c>
      <c r="E340" s="83" t="s">
        <v>3191</v>
      </c>
      <c r="F340" s="83" t="s">
        <v>3182</v>
      </c>
      <c r="G340" s="83" t="s">
        <v>3181</v>
      </c>
      <c r="H340" s="83" t="s">
        <v>3190</v>
      </c>
      <c r="I340" s="83" t="s">
        <v>3185</v>
      </c>
      <c r="J340" s="83" t="s">
        <v>3193</v>
      </c>
      <c r="K340" s="89" t="s">
        <v>3192</v>
      </c>
    </row>
    <row r="341" spans="2:11">
      <c r="B341" s="88">
        <v>336</v>
      </c>
      <c r="C341" s="83" t="s">
        <v>3539</v>
      </c>
      <c r="D341" s="83" t="s">
        <v>3186</v>
      </c>
      <c r="E341" s="83" t="s">
        <v>3191</v>
      </c>
      <c r="F341" s="83" t="s">
        <v>3182</v>
      </c>
      <c r="G341" s="83" t="s">
        <v>3185</v>
      </c>
      <c r="H341" s="83" t="s">
        <v>3181</v>
      </c>
      <c r="I341" s="83" t="s">
        <v>3189</v>
      </c>
      <c r="J341" s="83" t="s">
        <v>3193</v>
      </c>
      <c r="K341" s="89" t="s">
        <v>3192</v>
      </c>
    </row>
    <row r="342" spans="2:11">
      <c r="B342" s="88">
        <v>337</v>
      </c>
      <c r="C342" s="83" t="s">
        <v>3540</v>
      </c>
      <c r="D342" s="83" t="s">
        <v>3186</v>
      </c>
      <c r="E342" s="83" t="s">
        <v>3190</v>
      </c>
      <c r="F342" s="83" t="s">
        <v>3182</v>
      </c>
      <c r="G342" s="83" t="s">
        <v>3185</v>
      </c>
      <c r="H342" s="83" t="s">
        <v>3181</v>
      </c>
      <c r="I342" s="83" t="s">
        <v>3189</v>
      </c>
      <c r="J342" s="83" t="s">
        <v>3193</v>
      </c>
      <c r="K342" s="89" t="s">
        <v>3192</v>
      </c>
    </row>
    <row r="343" spans="2:11">
      <c r="B343" s="88">
        <v>338</v>
      </c>
      <c r="C343" s="83" t="s">
        <v>3541</v>
      </c>
      <c r="D343" s="83" t="s">
        <v>3186</v>
      </c>
      <c r="E343" s="83" t="s">
        <v>3191</v>
      </c>
      <c r="F343" s="83" t="s">
        <v>3182</v>
      </c>
      <c r="G343" s="83" t="s">
        <v>3185</v>
      </c>
      <c r="H343" s="83" t="s">
        <v>3181</v>
      </c>
      <c r="I343" s="83" t="s">
        <v>3189</v>
      </c>
      <c r="J343" s="83" t="s">
        <v>3193</v>
      </c>
      <c r="K343" s="89" t="s">
        <v>3190</v>
      </c>
    </row>
    <row r="344" spans="2:11">
      <c r="B344" s="88">
        <v>339</v>
      </c>
      <c r="C344" s="83" t="s">
        <v>3542</v>
      </c>
      <c r="D344" s="83" t="s">
        <v>3186</v>
      </c>
      <c r="E344" s="83" t="s">
        <v>3191</v>
      </c>
      <c r="F344" s="83" t="s">
        <v>3182</v>
      </c>
      <c r="G344" s="83" t="s">
        <v>3185</v>
      </c>
      <c r="H344" s="83" t="s">
        <v>3181</v>
      </c>
      <c r="I344" s="83" t="s">
        <v>3189</v>
      </c>
      <c r="J344" s="83" t="s">
        <v>3190</v>
      </c>
      <c r="K344" s="89" t="s">
        <v>3192</v>
      </c>
    </row>
    <row r="345" spans="2:11">
      <c r="B345" s="88">
        <v>340</v>
      </c>
      <c r="C345" s="83" t="s">
        <v>3543</v>
      </c>
      <c r="D345" s="83" t="s">
        <v>3186</v>
      </c>
      <c r="E345" s="83" t="s">
        <v>3191</v>
      </c>
      <c r="F345" s="83" t="s">
        <v>3182</v>
      </c>
      <c r="G345" s="83" t="s">
        <v>3185</v>
      </c>
      <c r="H345" s="83" t="s">
        <v>3181</v>
      </c>
      <c r="I345" s="83" t="s">
        <v>3188</v>
      </c>
      <c r="J345" s="83" t="s">
        <v>3193</v>
      </c>
      <c r="K345" s="89" t="s">
        <v>3192</v>
      </c>
    </row>
    <row r="346" spans="2:11">
      <c r="B346" s="88">
        <v>341</v>
      </c>
      <c r="C346" s="83" t="s">
        <v>3544</v>
      </c>
      <c r="D346" s="83" t="s">
        <v>3186</v>
      </c>
      <c r="E346" s="83" t="s">
        <v>3188</v>
      </c>
      <c r="F346" s="83" t="s">
        <v>3182</v>
      </c>
      <c r="G346" s="83" t="s">
        <v>3181</v>
      </c>
      <c r="H346" s="83" t="s">
        <v>3190</v>
      </c>
      <c r="I346" s="83" t="s">
        <v>3185</v>
      </c>
      <c r="J346" s="83" t="s">
        <v>3193</v>
      </c>
      <c r="K346" s="89" t="s">
        <v>3192</v>
      </c>
    </row>
    <row r="347" spans="2:11">
      <c r="B347" s="88">
        <v>342</v>
      </c>
      <c r="C347" s="83" t="s">
        <v>3545</v>
      </c>
      <c r="D347" s="83" t="s">
        <v>3186</v>
      </c>
      <c r="E347" s="83" t="s">
        <v>3191</v>
      </c>
      <c r="F347" s="83" t="s">
        <v>3182</v>
      </c>
      <c r="G347" s="83" t="s">
        <v>3185</v>
      </c>
      <c r="H347" s="83" t="s">
        <v>3181</v>
      </c>
      <c r="I347" s="83" t="s">
        <v>3188</v>
      </c>
      <c r="J347" s="83" t="s">
        <v>3193</v>
      </c>
      <c r="K347" s="89" t="s">
        <v>3190</v>
      </c>
    </row>
    <row r="348" spans="2:11">
      <c r="B348" s="88">
        <v>343</v>
      </c>
      <c r="C348" s="83" t="s">
        <v>3546</v>
      </c>
      <c r="D348" s="83" t="s">
        <v>3186</v>
      </c>
      <c r="E348" s="83" t="s">
        <v>3191</v>
      </c>
      <c r="F348" s="83" t="s">
        <v>3182</v>
      </c>
      <c r="G348" s="83" t="s">
        <v>3185</v>
      </c>
      <c r="H348" s="83" t="s">
        <v>3181</v>
      </c>
      <c r="I348" s="83" t="s">
        <v>3188</v>
      </c>
      <c r="J348" s="83" t="s">
        <v>3190</v>
      </c>
      <c r="K348" s="89" t="s">
        <v>3192</v>
      </c>
    </row>
    <row r="349" spans="2:11">
      <c r="B349" s="88">
        <v>344</v>
      </c>
      <c r="C349" s="83" t="s">
        <v>3547</v>
      </c>
      <c r="D349" s="83" t="s">
        <v>3186</v>
      </c>
      <c r="E349" s="83" t="s">
        <v>3188</v>
      </c>
      <c r="F349" s="83" t="s">
        <v>3182</v>
      </c>
      <c r="G349" s="83" t="s">
        <v>3185</v>
      </c>
      <c r="H349" s="83" t="s">
        <v>3181</v>
      </c>
      <c r="I349" s="83" t="s">
        <v>3189</v>
      </c>
      <c r="J349" s="83" t="s">
        <v>3193</v>
      </c>
      <c r="K349" s="89" t="s">
        <v>3192</v>
      </c>
    </row>
    <row r="350" spans="2:11">
      <c r="B350" s="88">
        <v>345</v>
      </c>
      <c r="C350" s="83" t="s">
        <v>3548</v>
      </c>
      <c r="D350" s="83" t="s">
        <v>3189</v>
      </c>
      <c r="E350" s="83" t="s">
        <v>3191</v>
      </c>
      <c r="F350" s="83" t="s">
        <v>3182</v>
      </c>
      <c r="G350" s="83" t="s">
        <v>3185</v>
      </c>
      <c r="H350" s="83" t="s">
        <v>3181</v>
      </c>
      <c r="I350" s="83" t="s">
        <v>3188</v>
      </c>
      <c r="J350" s="83" t="s">
        <v>3193</v>
      </c>
      <c r="K350" s="89" t="s">
        <v>3186</v>
      </c>
    </row>
    <row r="351" spans="2:11">
      <c r="B351" s="88">
        <v>346</v>
      </c>
      <c r="C351" s="83" t="s">
        <v>3549</v>
      </c>
      <c r="D351" s="83" t="s">
        <v>3189</v>
      </c>
      <c r="E351" s="83" t="s">
        <v>3191</v>
      </c>
      <c r="F351" s="83" t="s">
        <v>3182</v>
      </c>
      <c r="G351" s="83" t="s">
        <v>3185</v>
      </c>
      <c r="H351" s="83" t="s">
        <v>3181</v>
      </c>
      <c r="I351" s="83" t="s">
        <v>3188</v>
      </c>
      <c r="J351" s="83" t="s">
        <v>3186</v>
      </c>
      <c r="K351" s="89" t="s">
        <v>3192</v>
      </c>
    </row>
    <row r="352" spans="2:11">
      <c r="B352" s="88">
        <v>347</v>
      </c>
      <c r="C352" s="83" t="s">
        <v>3550</v>
      </c>
      <c r="D352" s="83" t="s">
        <v>3186</v>
      </c>
      <c r="E352" s="83" t="s">
        <v>3188</v>
      </c>
      <c r="F352" s="83" t="s">
        <v>3182</v>
      </c>
      <c r="G352" s="83" t="s">
        <v>3185</v>
      </c>
      <c r="H352" s="83" t="s">
        <v>3181</v>
      </c>
      <c r="I352" s="83" t="s">
        <v>3189</v>
      </c>
      <c r="J352" s="83" t="s">
        <v>3193</v>
      </c>
      <c r="K352" s="89" t="s">
        <v>3190</v>
      </c>
    </row>
    <row r="353" spans="2:11">
      <c r="B353" s="88">
        <v>348</v>
      </c>
      <c r="C353" s="83" t="s">
        <v>3551</v>
      </c>
      <c r="D353" s="83" t="s">
        <v>3186</v>
      </c>
      <c r="E353" s="83" t="s">
        <v>3188</v>
      </c>
      <c r="F353" s="83" t="s">
        <v>3182</v>
      </c>
      <c r="G353" s="83" t="s">
        <v>3185</v>
      </c>
      <c r="H353" s="83" t="s">
        <v>3181</v>
      </c>
      <c r="I353" s="83" t="s">
        <v>3189</v>
      </c>
      <c r="J353" s="83" t="s">
        <v>3190</v>
      </c>
      <c r="K353" s="89" t="s">
        <v>3192</v>
      </c>
    </row>
    <row r="354" spans="2:11">
      <c r="B354" s="88">
        <v>349</v>
      </c>
      <c r="C354" s="83" t="s">
        <v>3552</v>
      </c>
      <c r="D354" s="83" t="s">
        <v>3189</v>
      </c>
      <c r="E354" s="83" t="s">
        <v>3191</v>
      </c>
      <c r="F354" s="83" t="s">
        <v>3182</v>
      </c>
      <c r="G354" s="83" t="s">
        <v>3185</v>
      </c>
      <c r="H354" s="83" t="s">
        <v>3181</v>
      </c>
      <c r="I354" s="83" t="s">
        <v>3188</v>
      </c>
      <c r="J354" s="83" t="s">
        <v>3186</v>
      </c>
      <c r="K354" s="89" t="s">
        <v>3190</v>
      </c>
    </row>
    <row r="355" spans="2:11">
      <c r="B355" s="88">
        <v>350</v>
      </c>
      <c r="C355" s="83" t="s">
        <v>3553</v>
      </c>
      <c r="D355" s="83" t="s">
        <v>3186</v>
      </c>
      <c r="E355" s="83" t="s">
        <v>3191</v>
      </c>
      <c r="F355" s="83" t="s">
        <v>3182</v>
      </c>
      <c r="G355" s="83" t="s">
        <v>3185</v>
      </c>
      <c r="H355" s="83" t="s">
        <v>3181</v>
      </c>
      <c r="I355" s="83" t="s">
        <v>3187</v>
      </c>
      <c r="J355" s="83" t="s">
        <v>3193</v>
      </c>
      <c r="K355" s="89" t="s">
        <v>3192</v>
      </c>
    </row>
    <row r="356" spans="2:11">
      <c r="B356" s="88">
        <v>351</v>
      </c>
      <c r="C356" s="83" t="s">
        <v>3554</v>
      </c>
      <c r="D356" s="83" t="s">
        <v>3186</v>
      </c>
      <c r="E356" s="83" t="s">
        <v>3190</v>
      </c>
      <c r="F356" s="83" t="s">
        <v>3182</v>
      </c>
      <c r="G356" s="83" t="s">
        <v>3185</v>
      </c>
      <c r="H356" s="83" t="s">
        <v>3181</v>
      </c>
      <c r="I356" s="83" t="s">
        <v>3187</v>
      </c>
      <c r="J356" s="83" t="s">
        <v>3193</v>
      </c>
      <c r="K356" s="89" t="s">
        <v>3192</v>
      </c>
    </row>
    <row r="357" spans="2:11">
      <c r="B357" s="88">
        <v>352</v>
      </c>
      <c r="C357" s="83" t="s">
        <v>3555</v>
      </c>
      <c r="D357" s="83" t="s">
        <v>3186</v>
      </c>
      <c r="E357" s="83" t="s">
        <v>3191</v>
      </c>
      <c r="F357" s="83" t="s">
        <v>3182</v>
      </c>
      <c r="G357" s="83" t="s">
        <v>3185</v>
      </c>
      <c r="H357" s="83" t="s">
        <v>3181</v>
      </c>
      <c r="I357" s="83" t="s">
        <v>3187</v>
      </c>
      <c r="J357" s="83" t="s">
        <v>3193</v>
      </c>
      <c r="K357" s="89" t="s">
        <v>3190</v>
      </c>
    </row>
    <row r="358" spans="2:11">
      <c r="B358" s="88">
        <v>353</v>
      </c>
      <c r="C358" s="83" t="s">
        <v>3556</v>
      </c>
      <c r="D358" s="83" t="s">
        <v>3186</v>
      </c>
      <c r="E358" s="83" t="s">
        <v>3191</v>
      </c>
      <c r="F358" s="83" t="s">
        <v>3182</v>
      </c>
      <c r="G358" s="83" t="s">
        <v>3185</v>
      </c>
      <c r="H358" s="83" t="s">
        <v>3181</v>
      </c>
      <c r="I358" s="83" t="s">
        <v>3187</v>
      </c>
      <c r="J358" s="83" t="s">
        <v>3190</v>
      </c>
      <c r="K358" s="89" t="s">
        <v>3192</v>
      </c>
    </row>
    <row r="359" spans="2:11">
      <c r="B359" s="88">
        <v>354</v>
      </c>
      <c r="C359" s="83" t="s">
        <v>3557</v>
      </c>
      <c r="D359" s="83" t="s">
        <v>3189</v>
      </c>
      <c r="E359" s="83" t="s">
        <v>3186</v>
      </c>
      <c r="F359" s="83" t="s">
        <v>3182</v>
      </c>
      <c r="G359" s="83" t="s">
        <v>3185</v>
      </c>
      <c r="H359" s="83" t="s">
        <v>3181</v>
      </c>
      <c r="I359" s="83" t="s">
        <v>3187</v>
      </c>
      <c r="J359" s="83" t="s">
        <v>3193</v>
      </c>
      <c r="K359" s="89" t="s">
        <v>3192</v>
      </c>
    </row>
    <row r="360" spans="2:11">
      <c r="B360" s="88">
        <v>355</v>
      </c>
      <c r="C360" s="83" t="s">
        <v>3558</v>
      </c>
      <c r="D360" s="83" t="s">
        <v>3189</v>
      </c>
      <c r="E360" s="83" t="s">
        <v>3191</v>
      </c>
      <c r="F360" s="83" t="s">
        <v>3182</v>
      </c>
      <c r="G360" s="83" t="s">
        <v>3185</v>
      </c>
      <c r="H360" s="83" t="s">
        <v>3181</v>
      </c>
      <c r="I360" s="83" t="s">
        <v>3187</v>
      </c>
      <c r="J360" s="83" t="s">
        <v>3193</v>
      </c>
      <c r="K360" s="89" t="s">
        <v>3186</v>
      </c>
    </row>
    <row r="361" spans="2:11">
      <c r="B361" s="88">
        <v>356</v>
      </c>
      <c r="C361" s="83" t="s">
        <v>3559</v>
      </c>
      <c r="D361" s="83" t="s">
        <v>3189</v>
      </c>
      <c r="E361" s="83" t="s">
        <v>3191</v>
      </c>
      <c r="F361" s="83" t="s">
        <v>3182</v>
      </c>
      <c r="G361" s="83" t="s">
        <v>3185</v>
      </c>
      <c r="H361" s="83" t="s">
        <v>3181</v>
      </c>
      <c r="I361" s="83" t="s">
        <v>3187</v>
      </c>
      <c r="J361" s="83" t="s">
        <v>3186</v>
      </c>
      <c r="K361" s="89" t="s">
        <v>3192</v>
      </c>
    </row>
    <row r="362" spans="2:11">
      <c r="B362" s="88">
        <v>357</v>
      </c>
      <c r="C362" s="83" t="s">
        <v>3560</v>
      </c>
      <c r="D362" s="83" t="s">
        <v>3189</v>
      </c>
      <c r="E362" s="83" t="s">
        <v>3186</v>
      </c>
      <c r="F362" s="83" t="s">
        <v>3182</v>
      </c>
      <c r="G362" s="83" t="s">
        <v>3185</v>
      </c>
      <c r="H362" s="83" t="s">
        <v>3181</v>
      </c>
      <c r="I362" s="83" t="s">
        <v>3187</v>
      </c>
      <c r="J362" s="83" t="s">
        <v>3193</v>
      </c>
      <c r="K362" s="89" t="s">
        <v>3190</v>
      </c>
    </row>
    <row r="363" spans="2:11">
      <c r="B363" s="88">
        <v>358</v>
      </c>
      <c r="C363" s="83" t="s">
        <v>3561</v>
      </c>
      <c r="D363" s="83" t="s">
        <v>3189</v>
      </c>
      <c r="E363" s="83" t="s">
        <v>3186</v>
      </c>
      <c r="F363" s="83" t="s">
        <v>3182</v>
      </c>
      <c r="G363" s="83" t="s">
        <v>3185</v>
      </c>
      <c r="H363" s="83" t="s">
        <v>3181</v>
      </c>
      <c r="I363" s="83" t="s">
        <v>3187</v>
      </c>
      <c r="J363" s="83" t="s">
        <v>3190</v>
      </c>
      <c r="K363" s="89" t="s">
        <v>3192</v>
      </c>
    </row>
    <row r="364" spans="2:11">
      <c r="B364" s="88">
        <v>359</v>
      </c>
      <c r="C364" s="83" t="s">
        <v>3562</v>
      </c>
      <c r="D364" s="83" t="s">
        <v>3189</v>
      </c>
      <c r="E364" s="83" t="s">
        <v>3191</v>
      </c>
      <c r="F364" s="83" t="s">
        <v>3182</v>
      </c>
      <c r="G364" s="83" t="s">
        <v>3185</v>
      </c>
      <c r="H364" s="83" t="s">
        <v>3181</v>
      </c>
      <c r="I364" s="83" t="s">
        <v>3187</v>
      </c>
      <c r="J364" s="83" t="s">
        <v>3186</v>
      </c>
      <c r="K364" s="89" t="s">
        <v>3190</v>
      </c>
    </row>
    <row r="365" spans="2:11">
      <c r="B365" s="88">
        <v>360</v>
      </c>
      <c r="C365" s="83" t="s">
        <v>3563</v>
      </c>
      <c r="D365" s="83" t="s">
        <v>3186</v>
      </c>
      <c r="E365" s="83" t="s">
        <v>3188</v>
      </c>
      <c r="F365" s="83" t="s">
        <v>3182</v>
      </c>
      <c r="G365" s="83" t="s">
        <v>3185</v>
      </c>
      <c r="H365" s="83" t="s">
        <v>3181</v>
      </c>
      <c r="I365" s="83" t="s">
        <v>3187</v>
      </c>
      <c r="J365" s="83" t="s">
        <v>3193</v>
      </c>
      <c r="K365" s="89" t="s">
        <v>3192</v>
      </c>
    </row>
    <row r="366" spans="2:11">
      <c r="B366" s="88">
        <v>361</v>
      </c>
      <c r="C366" s="83" t="s">
        <v>3564</v>
      </c>
      <c r="D366" s="83" t="s">
        <v>3186</v>
      </c>
      <c r="E366" s="83" t="s">
        <v>3188</v>
      </c>
      <c r="F366" s="83" t="s">
        <v>3182</v>
      </c>
      <c r="G366" s="83" t="s">
        <v>3185</v>
      </c>
      <c r="H366" s="83" t="s">
        <v>3181</v>
      </c>
      <c r="I366" s="83" t="s">
        <v>3187</v>
      </c>
      <c r="J366" s="83" t="s">
        <v>3193</v>
      </c>
      <c r="K366" s="89" t="s">
        <v>3191</v>
      </c>
    </row>
    <row r="367" spans="2:11">
      <c r="B367" s="88">
        <v>362</v>
      </c>
      <c r="C367" s="83" t="s">
        <v>3565</v>
      </c>
      <c r="D367" s="83" t="s">
        <v>3186</v>
      </c>
      <c r="E367" s="83" t="s">
        <v>3188</v>
      </c>
      <c r="F367" s="83" t="s">
        <v>3182</v>
      </c>
      <c r="G367" s="83" t="s">
        <v>3185</v>
      </c>
      <c r="H367" s="83" t="s">
        <v>3181</v>
      </c>
      <c r="I367" s="83" t="s">
        <v>3187</v>
      </c>
      <c r="J367" s="83" t="s">
        <v>3191</v>
      </c>
      <c r="K367" s="89" t="s">
        <v>3192</v>
      </c>
    </row>
    <row r="368" spans="2:11">
      <c r="B368" s="88">
        <v>363</v>
      </c>
      <c r="C368" s="83" t="s">
        <v>3566</v>
      </c>
      <c r="D368" s="83" t="s">
        <v>3186</v>
      </c>
      <c r="E368" s="83" t="s">
        <v>3188</v>
      </c>
      <c r="F368" s="83" t="s">
        <v>3182</v>
      </c>
      <c r="G368" s="83" t="s">
        <v>3185</v>
      </c>
      <c r="H368" s="83" t="s">
        <v>3181</v>
      </c>
      <c r="I368" s="83" t="s">
        <v>3187</v>
      </c>
      <c r="J368" s="83" t="s">
        <v>3193</v>
      </c>
      <c r="K368" s="89" t="s">
        <v>3190</v>
      </c>
    </row>
    <row r="369" spans="2:11">
      <c r="B369" s="88">
        <v>364</v>
      </c>
      <c r="C369" s="83" t="s">
        <v>3567</v>
      </c>
      <c r="D369" s="83" t="s">
        <v>3186</v>
      </c>
      <c r="E369" s="83" t="s">
        <v>3188</v>
      </c>
      <c r="F369" s="83" t="s">
        <v>3182</v>
      </c>
      <c r="G369" s="83" t="s">
        <v>3185</v>
      </c>
      <c r="H369" s="83" t="s">
        <v>3181</v>
      </c>
      <c r="I369" s="83" t="s">
        <v>3187</v>
      </c>
      <c r="J369" s="83" t="s">
        <v>3190</v>
      </c>
      <c r="K369" s="89" t="s">
        <v>3192</v>
      </c>
    </row>
    <row r="370" spans="2:11">
      <c r="B370" s="88">
        <v>365</v>
      </c>
      <c r="C370" s="83" t="s">
        <v>3568</v>
      </c>
      <c r="D370" s="83" t="s">
        <v>3186</v>
      </c>
      <c r="E370" s="83" t="s">
        <v>3188</v>
      </c>
      <c r="F370" s="83" t="s">
        <v>3182</v>
      </c>
      <c r="G370" s="83" t="s">
        <v>3185</v>
      </c>
      <c r="H370" s="83" t="s">
        <v>3181</v>
      </c>
      <c r="I370" s="83" t="s">
        <v>3187</v>
      </c>
      <c r="J370" s="83" t="s">
        <v>3190</v>
      </c>
      <c r="K370" s="89" t="s">
        <v>3191</v>
      </c>
    </row>
    <row r="371" spans="2:11">
      <c r="B371" s="88">
        <v>366</v>
      </c>
      <c r="C371" s="83" t="s">
        <v>3569</v>
      </c>
      <c r="D371" s="83" t="s">
        <v>3189</v>
      </c>
      <c r="E371" s="83" t="s">
        <v>3188</v>
      </c>
      <c r="F371" s="83" t="s">
        <v>3182</v>
      </c>
      <c r="G371" s="83" t="s">
        <v>3185</v>
      </c>
      <c r="H371" s="83" t="s">
        <v>3181</v>
      </c>
      <c r="I371" s="83" t="s">
        <v>3187</v>
      </c>
      <c r="J371" s="83" t="s">
        <v>3193</v>
      </c>
      <c r="K371" s="89" t="s">
        <v>3186</v>
      </c>
    </row>
    <row r="372" spans="2:11">
      <c r="B372" s="88">
        <v>367</v>
      </c>
      <c r="C372" s="83" t="s">
        <v>3570</v>
      </c>
      <c r="D372" s="83" t="s">
        <v>3189</v>
      </c>
      <c r="E372" s="83" t="s">
        <v>3188</v>
      </c>
      <c r="F372" s="83" t="s">
        <v>3182</v>
      </c>
      <c r="G372" s="83" t="s">
        <v>3185</v>
      </c>
      <c r="H372" s="83" t="s">
        <v>3181</v>
      </c>
      <c r="I372" s="83" t="s">
        <v>3187</v>
      </c>
      <c r="J372" s="83" t="s">
        <v>3186</v>
      </c>
      <c r="K372" s="89" t="s">
        <v>3192</v>
      </c>
    </row>
    <row r="373" spans="2:11">
      <c r="B373" s="88">
        <v>368</v>
      </c>
      <c r="C373" s="83" t="s">
        <v>3571</v>
      </c>
      <c r="D373" s="83" t="s">
        <v>3189</v>
      </c>
      <c r="E373" s="83" t="s">
        <v>3188</v>
      </c>
      <c r="F373" s="83" t="s">
        <v>3182</v>
      </c>
      <c r="G373" s="83" t="s">
        <v>3185</v>
      </c>
      <c r="H373" s="83" t="s">
        <v>3181</v>
      </c>
      <c r="I373" s="83" t="s">
        <v>3187</v>
      </c>
      <c r="J373" s="83" t="s">
        <v>3186</v>
      </c>
      <c r="K373" s="89" t="s">
        <v>3191</v>
      </c>
    </row>
    <row r="374" spans="2:11">
      <c r="B374" s="88">
        <v>369</v>
      </c>
      <c r="C374" s="83" t="s">
        <v>3572</v>
      </c>
      <c r="D374" s="83" t="s">
        <v>3189</v>
      </c>
      <c r="E374" s="83" t="s">
        <v>3188</v>
      </c>
      <c r="F374" s="83" t="s">
        <v>3182</v>
      </c>
      <c r="G374" s="83" t="s">
        <v>3185</v>
      </c>
      <c r="H374" s="83" t="s">
        <v>3181</v>
      </c>
      <c r="I374" s="83" t="s">
        <v>3187</v>
      </c>
      <c r="J374" s="83" t="s">
        <v>3186</v>
      </c>
      <c r="K374" s="89" t="s">
        <v>3190</v>
      </c>
    </row>
    <row r="375" spans="2:11">
      <c r="B375" s="88">
        <v>370</v>
      </c>
      <c r="C375" s="83" t="s">
        <v>3573</v>
      </c>
      <c r="D375" s="83" t="s">
        <v>3190</v>
      </c>
      <c r="E375" s="83" t="s">
        <v>3191</v>
      </c>
      <c r="F375" s="83" t="s">
        <v>3182</v>
      </c>
      <c r="G375" s="83" t="s">
        <v>3183</v>
      </c>
      <c r="H375" s="83" t="s">
        <v>3181</v>
      </c>
      <c r="I375" s="83" t="s">
        <v>3189</v>
      </c>
      <c r="J375" s="83" t="s">
        <v>3193</v>
      </c>
      <c r="K375" s="89" t="s">
        <v>3192</v>
      </c>
    </row>
    <row r="376" spans="2:11">
      <c r="B376" s="88">
        <v>371</v>
      </c>
      <c r="C376" s="83" t="s">
        <v>3574</v>
      </c>
      <c r="D376" s="83" t="s">
        <v>3190</v>
      </c>
      <c r="E376" s="83" t="s">
        <v>3191</v>
      </c>
      <c r="F376" s="83" t="s">
        <v>3182</v>
      </c>
      <c r="G376" s="83" t="s">
        <v>3183</v>
      </c>
      <c r="H376" s="83" t="s">
        <v>3181</v>
      </c>
      <c r="I376" s="83" t="s">
        <v>3188</v>
      </c>
      <c r="J376" s="83" t="s">
        <v>3193</v>
      </c>
      <c r="K376" s="89" t="s">
        <v>3192</v>
      </c>
    </row>
    <row r="377" spans="2:11">
      <c r="B377" s="88">
        <v>372</v>
      </c>
      <c r="C377" s="83" t="s">
        <v>3575</v>
      </c>
      <c r="D377" s="83" t="s">
        <v>3189</v>
      </c>
      <c r="E377" s="83" t="s">
        <v>3191</v>
      </c>
      <c r="F377" s="83" t="s">
        <v>3182</v>
      </c>
      <c r="G377" s="83" t="s">
        <v>3183</v>
      </c>
      <c r="H377" s="83" t="s">
        <v>3181</v>
      </c>
      <c r="I377" s="83" t="s">
        <v>3188</v>
      </c>
      <c r="J377" s="83" t="s">
        <v>3193</v>
      </c>
      <c r="K377" s="89" t="s">
        <v>3192</v>
      </c>
    </row>
    <row r="378" spans="2:11">
      <c r="B378" s="88">
        <v>373</v>
      </c>
      <c r="C378" s="83" t="s">
        <v>3576</v>
      </c>
      <c r="D378" s="83" t="s">
        <v>3190</v>
      </c>
      <c r="E378" s="83" t="s">
        <v>3188</v>
      </c>
      <c r="F378" s="83" t="s">
        <v>3182</v>
      </c>
      <c r="G378" s="83" t="s">
        <v>3183</v>
      </c>
      <c r="H378" s="83" t="s">
        <v>3181</v>
      </c>
      <c r="I378" s="83" t="s">
        <v>3189</v>
      </c>
      <c r="J378" s="83" t="s">
        <v>3193</v>
      </c>
      <c r="K378" s="89" t="s">
        <v>3192</v>
      </c>
    </row>
    <row r="379" spans="2:11">
      <c r="B379" s="88">
        <v>374</v>
      </c>
      <c r="C379" s="83" t="s">
        <v>3577</v>
      </c>
      <c r="D379" s="83" t="s">
        <v>3189</v>
      </c>
      <c r="E379" s="83" t="s">
        <v>3191</v>
      </c>
      <c r="F379" s="83" t="s">
        <v>3182</v>
      </c>
      <c r="G379" s="83" t="s">
        <v>3183</v>
      </c>
      <c r="H379" s="83" t="s">
        <v>3181</v>
      </c>
      <c r="I379" s="83" t="s">
        <v>3188</v>
      </c>
      <c r="J379" s="83" t="s">
        <v>3193</v>
      </c>
      <c r="K379" s="89" t="s">
        <v>3190</v>
      </c>
    </row>
    <row r="380" spans="2:11">
      <c r="B380" s="88">
        <v>375</v>
      </c>
      <c r="C380" s="83" t="s">
        <v>3578</v>
      </c>
      <c r="D380" s="83" t="s">
        <v>3189</v>
      </c>
      <c r="E380" s="83" t="s">
        <v>3191</v>
      </c>
      <c r="F380" s="83" t="s">
        <v>3182</v>
      </c>
      <c r="G380" s="83" t="s">
        <v>3183</v>
      </c>
      <c r="H380" s="83" t="s">
        <v>3181</v>
      </c>
      <c r="I380" s="83" t="s">
        <v>3188</v>
      </c>
      <c r="J380" s="83" t="s">
        <v>3190</v>
      </c>
      <c r="K380" s="89" t="s">
        <v>3192</v>
      </c>
    </row>
    <row r="381" spans="2:11">
      <c r="B381" s="88">
        <v>376</v>
      </c>
      <c r="C381" s="83" t="s">
        <v>3579</v>
      </c>
      <c r="D381" s="83" t="s">
        <v>3190</v>
      </c>
      <c r="E381" s="83" t="s">
        <v>3191</v>
      </c>
      <c r="F381" s="83" t="s">
        <v>3182</v>
      </c>
      <c r="G381" s="83" t="s">
        <v>3183</v>
      </c>
      <c r="H381" s="83" t="s">
        <v>3181</v>
      </c>
      <c r="I381" s="83" t="s">
        <v>3187</v>
      </c>
      <c r="J381" s="83" t="s">
        <v>3193</v>
      </c>
      <c r="K381" s="89" t="s">
        <v>3192</v>
      </c>
    </row>
    <row r="382" spans="2:11">
      <c r="B382" s="88">
        <v>377</v>
      </c>
      <c r="C382" s="83" t="s">
        <v>3580</v>
      </c>
      <c r="D382" s="83" t="s">
        <v>3189</v>
      </c>
      <c r="E382" s="83" t="s">
        <v>3191</v>
      </c>
      <c r="F382" s="83" t="s">
        <v>3182</v>
      </c>
      <c r="G382" s="83" t="s">
        <v>3183</v>
      </c>
      <c r="H382" s="83" t="s">
        <v>3181</v>
      </c>
      <c r="I382" s="83" t="s">
        <v>3187</v>
      </c>
      <c r="J382" s="83" t="s">
        <v>3193</v>
      </c>
      <c r="K382" s="89" t="s">
        <v>3192</v>
      </c>
    </row>
    <row r="383" spans="2:11">
      <c r="B383" s="88">
        <v>378</v>
      </c>
      <c r="C383" s="83" t="s">
        <v>3581</v>
      </c>
      <c r="D383" s="83" t="s">
        <v>3189</v>
      </c>
      <c r="E383" s="83" t="s">
        <v>3190</v>
      </c>
      <c r="F383" s="83" t="s">
        <v>3182</v>
      </c>
      <c r="G383" s="83" t="s">
        <v>3183</v>
      </c>
      <c r="H383" s="83" t="s">
        <v>3181</v>
      </c>
      <c r="I383" s="83" t="s">
        <v>3187</v>
      </c>
      <c r="J383" s="83" t="s">
        <v>3193</v>
      </c>
      <c r="K383" s="89" t="s">
        <v>3192</v>
      </c>
    </row>
    <row r="384" spans="2:11">
      <c r="B384" s="88">
        <v>379</v>
      </c>
      <c r="C384" s="83" t="s">
        <v>3582</v>
      </c>
      <c r="D384" s="83" t="s">
        <v>3189</v>
      </c>
      <c r="E384" s="83" t="s">
        <v>3191</v>
      </c>
      <c r="F384" s="83" t="s">
        <v>3182</v>
      </c>
      <c r="G384" s="83" t="s">
        <v>3183</v>
      </c>
      <c r="H384" s="83" t="s">
        <v>3181</v>
      </c>
      <c r="I384" s="83" t="s">
        <v>3187</v>
      </c>
      <c r="J384" s="83" t="s">
        <v>3193</v>
      </c>
      <c r="K384" s="89" t="s">
        <v>3190</v>
      </c>
    </row>
    <row r="385" spans="2:11">
      <c r="B385" s="88">
        <v>380</v>
      </c>
      <c r="C385" s="83" t="s">
        <v>3583</v>
      </c>
      <c r="D385" s="83" t="s">
        <v>3189</v>
      </c>
      <c r="E385" s="83" t="s">
        <v>3191</v>
      </c>
      <c r="F385" s="83" t="s">
        <v>3182</v>
      </c>
      <c r="G385" s="83" t="s">
        <v>3183</v>
      </c>
      <c r="H385" s="83" t="s">
        <v>3181</v>
      </c>
      <c r="I385" s="83" t="s">
        <v>3187</v>
      </c>
      <c r="J385" s="83" t="s">
        <v>3190</v>
      </c>
      <c r="K385" s="89" t="s">
        <v>3192</v>
      </c>
    </row>
    <row r="386" spans="2:11">
      <c r="B386" s="88">
        <v>381</v>
      </c>
      <c r="C386" s="83" t="s">
        <v>3584</v>
      </c>
      <c r="D386" s="83" t="s">
        <v>3183</v>
      </c>
      <c r="E386" s="83" t="s">
        <v>3191</v>
      </c>
      <c r="F386" s="83" t="s">
        <v>3182</v>
      </c>
      <c r="G386" s="83" t="s">
        <v>3187</v>
      </c>
      <c r="H386" s="83" t="s">
        <v>3181</v>
      </c>
      <c r="I386" s="83" t="s">
        <v>3188</v>
      </c>
      <c r="J386" s="83" t="s">
        <v>3193</v>
      </c>
      <c r="K386" s="89" t="s">
        <v>3192</v>
      </c>
    </row>
    <row r="387" spans="2:11">
      <c r="B387" s="88">
        <v>382</v>
      </c>
      <c r="C387" s="83" t="s">
        <v>3585</v>
      </c>
      <c r="D387" s="83" t="s">
        <v>3190</v>
      </c>
      <c r="E387" s="83" t="s">
        <v>3188</v>
      </c>
      <c r="F387" s="83" t="s">
        <v>3182</v>
      </c>
      <c r="G387" s="83" t="s">
        <v>3183</v>
      </c>
      <c r="H387" s="83" t="s">
        <v>3181</v>
      </c>
      <c r="I387" s="83" t="s">
        <v>3187</v>
      </c>
      <c r="J387" s="83" t="s">
        <v>3193</v>
      </c>
      <c r="K387" s="89" t="s">
        <v>3192</v>
      </c>
    </row>
    <row r="388" spans="2:11">
      <c r="B388" s="88">
        <v>383</v>
      </c>
      <c r="C388" s="83" t="s">
        <v>3586</v>
      </c>
      <c r="D388" s="83" t="s">
        <v>3183</v>
      </c>
      <c r="E388" s="83" t="s">
        <v>3191</v>
      </c>
      <c r="F388" s="83" t="s">
        <v>3182</v>
      </c>
      <c r="G388" s="83" t="s">
        <v>3187</v>
      </c>
      <c r="H388" s="83" t="s">
        <v>3181</v>
      </c>
      <c r="I388" s="83" t="s">
        <v>3188</v>
      </c>
      <c r="J388" s="83" t="s">
        <v>3193</v>
      </c>
      <c r="K388" s="89" t="s">
        <v>3190</v>
      </c>
    </row>
    <row r="389" spans="2:11">
      <c r="B389" s="88">
        <v>384</v>
      </c>
      <c r="C389" s="83" t="s">
        <v>3587</v>
      </c>
      <c r="D389" s="83" t="s">
        <v>3183</v>
      </c>
      <c r="E389" s="83" t="s">
        <v>3191</v>
      </c>
      <c r="F389" s="83" t="s">
        <v>3182</v>
      </c>
      <c r="G389" s="83" t="s">
        <v>3187</v>
      </c>
      <c r="H389" s="83" t="s">
        <v>3181</v>
      </c>
      <c r="I389" s="83" t="s">
        <v>3188</v>
      </c>
      <c r="J389" s="83" t="s">
        <v>3190</v>
      </c>
      <c r="K389" s="89" t="s">
        <v>3192</v>
      </c>
    </row>
    <row r="390" spans="2:11">
      <c r="B390" s="88">
        <v>385</v>
      </c>
      <c r="C390" s="83" t="s">
        <v>3588</v>
      </c>
      <c r="D390" s="83" t="s">
        <v>3189</v>
      </c>
      <c r="E390" s="83" t="s">
        <v>3188</v>
      </c>
      <c r="F390" s="83" t="s">
        <v>3182</v>
      </c>
      <c r="G390" s="83" t="s">
        <v>3183</v>
      </c>
      <c r="H390" s="83" t="s">
        <v>3181</v>
      </c>
      <c r="I390" s="83" t="s">
        <v>3187</v>
      </c>
      <c r="J390" s="83" t="s">
        <v>3193</v>
      </c>
      <c r="K390" s="89" t="s">
        <v>3192</v>
      </c>
    </row>
    <row r="391" spans="2:11">
      <c r="B391" s="88">
        <v>386</v>
      </c>
      <c r="C391" s="83" t="s">
        <v>3589</v>
      </c>
      <c r="D391" s="83" t="s">
        <v>3189</v>
      </c>
      <c r="E391" s="83" t="s">
        <v>3188</v>
      </c>
      <c r="F391" s="83" t="s">
        <v>3182</v>
      </c>
      <c r="G391" s="83" t="s">
        <v>3183</v>
      </c>
      <c r="H391" s="83" t="s">
        <v>3181</v>
      </c>
      <c r="I391" s="83" t="s">
        <v>3187</v>
      </c>
      <c r="J391" s="83" t="s">
        <v>3193</v>
      </c>
      <c r="K391" s="89" t="s">
        <v>3191</v>
      </c>
    </row>
    <row r="392" spans="2:11">
      <c r="B392" s="88">
        <v>387</v>
      </c>
      <c r="C392" s="83" t="s">
        <v>3590</v>
      </c>
      <c r="D392" s="83" t="s">
        <v>3189</v>
      </c>
      <c r="E392" s="83" t="s">
        <v>3188</v>
      </c>
      <c r="F392" s="83" t="s">
        <v>3182</v>
      </c>
      <c r="G392" s="83" t="s">
        <v>3183</v>
      </c>
      <c r="H392" s="83" t="s">
        <v>3181</v>
      </c>
      <c r="I392" s="83" t="s">
        <v>3187</v>
      </c>
      <c r="J392" s="83" t="s">
        <v>3191</v>
      </c>
      <c r="K392" s="89" t="s">
        <v>3192</v>
      </c>
    </row>
    <row r="393" spans="2:11">
      <c r="B393" s="88">
        <v>388</v>
      </c>
      <c r="C393" s="83" t="s">
        <v>3591</v>
      </c>
      <c r="D393" s="83" t="s">
        <v>3189</v>
      </c>
      <c r="E393" s="83" t="s">
        <v>3188</v>
      </c>
      <c r="F393" s="83" t="s">
        <v>3182</v>
      </c>
      <c r="G393" s="83" t="s">
        <v>3183</v>
      </c>
      <c r="H393" s="83" t="s">
        <v>3181</v>
      </c>
      <c r="I393" s="83" t="s">
        <v>3187</v>
      </c>
      <c r="J393" s="83" t="s">
        <v>3193</v>
      </c>
      <c r="K393" s="89" t="s">
        <v>3190</v>
      </c>
    </row>
    <row r="394" spans="2:11">
      <c r="B394" s="88">
        <v>389</v>
      </c>
      <c r="C394" s="83" t="s">
        <v>3592</v>
      </c>
      <c r="D394" s="83" t="s">
        <v>3189</v>
      </c>
      <c r="E394" s="83" t="s">
        <v>3188</v>
      </c>
      <c r="F394" s="83" t="s">
        <v>3182</v>
      </c>
      <c r="G394" s="83" t="s">
        <v>3183</v>
      </c>
      <c r="H394" s="83" t="s">
        <v>3181</v>
      </c>
      <c r="I394" s="83" t="s">
        <v>3187</v>
      </c>
      <c r="J394" s="83" t="s">
        <v>3190</v>
      </c>
      <c r="K394" s="89" t="s">
        <v>3192</v>
      </c>
    </row>
    <row r="395" spans="2:11">
      <c r="B395" s="88">
        <v>390</v>
      </c>
      <c r="C395" s="83" t="s">
        <v>3593</v>
      </c>
      <c r="D395" s="83" t="s">
        <v>3189</v>
      </c>
      <c r="E395" s="83" t="s">
        <v>3188</v>
      </c>
      <c r="F395" s="83" t="s">
        <v>3182</v>
      </c>
      <c r="G395" s="83" t="s">
        <v>3183</v>
      </c>
      <c r="H395" s="83" t="s">
        <v>3181</v>
      </c>
      <c r="I395" s="83" t="s">
        <v>3187</v>
      </c>
      <c r="J395" s="83" t="s">
        <v>3190</v>
      </c>
      <c r="K395" s="89" t="s">
        <v>3191</v>
      </c>
    </row>
    <row r="396" spans="2:11">
      <c r="B396" s="88">
        <v>391</v>
      </c>
      <c r="C396" s="83" t="s">
        <v>3594</v>
      </c>
      <c r="D396" s="83" t="s">
        <v>3186</v>
      </c>
      <c r="E396" s="83" t="s">
        <v>3191</v>
      </c>
      <c r="F396" s="83" t="s">
        <v>3182</v>
      </c>
      <c r="G396" s="83" t="s">
        <v>3181</v>
      </c>
      <c r="H396" s="83" t="s">
        <v>3190</v>
      </c>
      <c r="I396" s="83" t="s">
        <v>3183</v>
      </c>
      <c r="J396" s="83" t="s">
        <v>3193</v>
      </c>
      <c r="K396" s="89" t="s">
        <v>3192</v>
      </c>
    </row>
    <row r="397" spans="2:11">
      <c r="B397" s="88">
        <v>392</v>
      </c>
      <c r="C397" s="83" t="s">
        <v>3595</v>
      </c>
      <c r="D397" s="83" t="s">
        <v>3186</v>
      </c>
      <c r="E397" s="83" t="s">
        <v>3191</v>
      </c>
      <c r="F397" s="83" t="s">
        <v>3182</v>
      </c>
      <c r="G397" s="83" t="s">
        <v>3183</v>
      </c>
      <c r="H397" s="83" t="s">
        <v>3181</v>
      </c>
      <c r="I397" s="83" t="s">
        <v>3189</v>
      </c>
      <c r="J397" s="83" t="s">
        <v>3193</v>
      </c>
      <c r="K397" s="89" t="s">
        <v>3192</v>
      </c>
    </row>
    <row r="398" spans="2:11">
      <c r="B398" s="88">
        <v>393</v>
      </c>
      <c r="C398" s="83" t="s">
        <v>3596</v>
      </c>
      <c r="D398" s="83" t="s">
        <v>3186</v>
      </c>
      <c r="E398" s="83" t="s">
        <v>3190</v>
      </c>
      <c r="F398" s="83" t="s">
        <v>3182</v>
      </c>
      <c r="G398" s="83" t="s">
        <v>3183</v>
      </c>
      <c r="H398" s="83" t="s">
        <v>3181</v>
      </c>
      <c r="I398" s="83" t="s">
        <v>3189</v>
      </c>
      <c r="J398" s="83" t="s">
        <v>3193</v>
      </c>
      <c r="K398" s="89" t="s">
        <v>3192</v>
      </c>
    </row>
    <row r="399" spans="2:11">
      <c r="B399" s="88">
        <v>394</v>
      </c>
      <c r="C399" s="83" t="s">
        <v>3597</v>
      </c>
      <c r="D399" s="83" t="s">
        <v>3186</v>
      </c>
      <c r="E399" s="83" t="s">
        <v>3191</v>
      </c>
      <c r="F399" s="83" t="s">
        <v>3182</v>
      </c>
      <c r="G399" s="83" t="s">
        <v>3183</v>
      </c>
      <c r="H399" s="83" t="s">
        <v>3181</v>
      </c>
      <c r="I399" s="83" t="s">
        <v>3189</v>
      </c>
      <c r="J399" s="83" t="s">
        <v>3193</v>
      </c>
      <c r="K399" s="89" t="s">
        <v>3190</v>
      </c>
    </row>
    <row r="400" spans="2:11">
      <c r="B400" s="88">
        <v>395</v>
      </c>
      <c r="C400" s="83" t="s">
        <v>3598</v>
      </c>
      <c r="D400" s="83" t="s">
        <v>3186</v>
      </c>
      <c r="E400" s="83" t="s">
        <v>3191</v>
      </c>
      <c r="F400" s="83" t="s">
        <v>3182</v>
      </c>
      <c r="G400" s="83" t="s">
        <v>3183</v>
      </c>
      <c r="H400" s="83" t="s">
        <v>3181</v>
      </c>
      <c r="I400" s="83" t="s">
        <v>3189</v>
      </c>
      <c r="J400" s="83" t="s">
        <v>3190</v>
      </c>
      <c r="K400" s="89" t="s">
        <v>3192</v>
      </c>
    </row>
    <row r="401" spans="2:11">
      <c r="B401" s="88">
        <v>396</v>
      </c>
      <c r="C401" s="83" t="s">
        <v>3599</v>
      </c>
      <c r="D401" s="83" t="s">
        <v>3186</v>
      </c>
      <c r="E401" s="83" t="s">
        <v>3191</v>
      </c>
      <c r="F401" s="83" t="s">
        <v>3182</v>
      </c>
      <c r="G401" s="83" t="s">
        <v>3183</v>
      </c>
      <c r="H401" s="83" t="s">
        <v>3181</v>
      </c>
      <c r="I401" s="83" t="s">
        <v>3188</v>
      </c>
      <c r="J401" s="83" t="s">
        <v>3193</v>
      </c>
      <c r="K401" s="89" t="s">
        <v>3192</v>
      </c>
    </row>
    <row r="402" spans="2:11">
      <c r="B402" s="88">
        <v>397</v>
      </c>
      <c r="C402" s="83" t="s">
        <v>3600</v>
      </c>
      <c r="D402" s="83" t="s">
        <v>3186</v>
      </c>
      <c r="E402" s="83" t="s">
        <v>3188</v>
      </c>
      <c r="F402" s="83" t="s">
        <v>3182</v>
      </c>
      <c r="G402" s="83" t="s">
        <v>3181</v>
      </c>
      <c r="H402" s="83" t="s">
        <v>3190</v>
      </c>
      <c r="I402" s="83" t="s">
        <v>3183</v>
      </c>
      <c r="J402" s="83" t="s">
        <v>3193</v>
      </c>
      <c r="K402" s="89" t="s">
        <v>3192</v>
      </c>
    </row>
    <row r="403" spans="2:11">
      <c r="B403" s="88">
        <v>398</v>
      </c>
      <c r="C403" s="83" t="s">
        <v>3601</v>
      </c>
      <c r="D403" s="83" t="s">
        <v>3186</v>
      </c>
      <c r="E403" s="83" t="s">
        <v>3191</v>
      </c>
      <c r="F403" s="83" t="s">
        <v>3182</v>
      </c>
      <c r="G403" s="83" t="s">
        <v>3183</v>
      </c>
      <c r="H403" s="83" t="s">
        <v>3181</v>
      </c>
      <c r="I403" s="83" t="s">
        <v>3188</v>
      </c>
      <c r="J403" s="83" t="s">
        <v>3193</v>
      </c>
      <c r="K403" s="89" t="s">
        <v>3190</v>
      </c>
    </row>
    <row r="404" spans="2:11">
      <c r="B404" s="88">
        <v>399</v>
      </c>
      <c r="C404" s="83" t="s">
        <v>3602</v>
      </c>
      <c r="D404" s="83" t="s">
        <v>3186</v>
      </c>
      <c r="E404" s="83" t="s">
        <v>3191</v>
      </c>
      <c r="F404" s="83" t="s">
        <v>3182</v>
      </c>
      <c r="G404" s="83" t="s">
        <v>3183</v>
      </c>
      <c r="H404" s="83" t="s">
        <v>3181</v>
      </c>
      <c r="I404" s="83" t="s">
        <v>3188</v>
      </c>
      <c r="J404" s="83" t="s">
        <v>3190</v>
      </c>
      <c r="K404" s="89" t="s">
        <v>3192</v>
      </c>
    </row>
    <row r="405" spans="2:11">
      <c r="B405" s="88">
        <v>400</v>
      </c>
      <c r="C405" s="83" t="s">
        <v>3603</v>
      </c>
      <c r="D405" s="83" t="s">
        <v>3186</v>
      </c>
      <c r="E405" s="83" t="s">
        <v>3188</v>
      </c>
      <c r="F405" s="83" t="s">
        <v>3182</v>
      </c>
      <c r="G405" s="83" t="s">
        <v>3183</v>
      </c>
      <c r="H405" s="83" t="s">
        <v>3181</v>
      </c>
      <c r="I405" s="83" t="s">
        <v>3189</v>
      </c>
      <c r="J405" s="83" t="s">
        <v>3193</v>
      </c>
      <c r="K405" s="89" t="s">
        <v>3192</v>
      </c>
    </row>
    <row r="406" spans="2:11">
      <c r="B406" s="88">
        <v>401</v>
      </c>
      <c r="C406" s="83" t="s">
        <v>3604</v>
      </c>
      <c r="D406" s="83" t="s">
        <v>3189</v>
      </c>
      <c r="E406" s="83" t="s">
        <v>3191</v>
      </c>
      <c r="F406" s="83" t="s">
        <v>3182</v>
      </c>
      <c r="G406" s="83" t="s">
        <v>3183</v>
      </c>
      <c r="H406" s="83" t="s">
        <v>3181</v>
      </c>
      <c r="I406" s="83" t="s">
        <v>3188</v>
      </c>
      <c r="J406" s="83" t="s">
        <v>3193</v>
      </c>
      <c r="K406" s="89" t="s">
        <v>3186</v>
      </c>
    </row>
    <row r="407" spans="2:11">
      <c r="B407" s="88">
        <v>402</v>
      </c>
      <c r="C407" s="83" t="s">
        <v>3605</v>
      </c>
      <c r="D407" s="83" t="s">
        <v>3189</v>
      </c>
      <c r="E407" s="83" t="s">
        <v>3191</v>
      </c>
      <c r="F407" s="83" t="s">
        <v>3182</v>
      </c>
      <c r="G407" s="83" t="s">
        <v>3183</v>
      </c>
      <c r="H407" s="83" t="s">
        <v>3181</v>
      </c>
      <c r="I407" s="83" t="s">
        <v>3188</v>
      </c>
      <c r="J407" s="83" t="s">
        <v>3186</v>
      </c>
      <c r="K407" s="89" t="s">
        <v>3192</v>
      </c>
    </row>
    <row r="408" spans="2:11">
      <c r="B408" s="88">
        <v>403</v>
      </c>
      <c r="C408" s="83" t="s">
        <v>3606</v>
      </c>
      <c r="D408" s="83" t="s">
        <v>3186</v>
      </c>
      <c r="E408" s="83" t="s">
        <v>3188</v>
      </c>
      <c r="F408" s="83" t="s">
        <v>3182</v>
      </c>
      <c r="G408" s="83" t="s">
        <v>3183</v>
      </c>
      <c r="H408" s="83" t="s">
        <v>3181</v>
      </c>
      <c r="I408" s="83" t="s">
        <v>3189</v>
      </c>
      <c r="J408" s="83" t="s">
        <v>3193</v>
      </c>
      <c r="K408" s="89" t="s">
        <v>3190</v>
      </c>
    </row>
    <row r="409" spans="2:11">
      <c r="B409" s="88">
        <v>404</v>
      </c>
      <c r="C409" s="83" t="s">
        <v>3607</v>
      </c>
      <c r="D409" s="83" t="s">
        <v>3186</v>
      </c>
      <c r="E409" s="83" t="s">
        <v>3188</v>
      </c>
      <c r="F409" s="83" t="s">
        <v>3182</v>
      </c>
      <c r="G409" s="83" t="s">
        <v>3183</v>
      </c>
      <c r="H409" s="83" t="s">
        <v>3181</v>
      </c>
      <c r="I409" s="83" t="s">
        <v>3189</v>
      </c>
      <c r="J409" s="83" t="s">
        <v>3190</v>
      </c>
      <c r="K409" s="89" t="s">
        <v>3192</v>
      </c>
    </row>
    <row r="410" spans="2:11">
      <c r="B410" s="88">
        <v>405</v>
      </c>
      <c r="C410" s="83" t="s">
        <v>3608</v>
      </c>
      <c r="D410" s="83" t="s">
        <v>3189</v>
      </c>
      <c r="E410" s="83" t="s">
        <v>3191</v>
      </c>
      <c r="F410" s="83" t="s">
        <v>3182</v>
      </c>
      <c r="G410" s="83" t="s">
        <v>3183</v>
      </c>
      <c r="H410" s="83" t="s">
        <v>3181</v>
      </c>
      <c r="I410" s="83" t="s">
        <v>3188</v>
      </c>
      <c r="J410" s="83" t="s">
        <v>3186</v>
      </c>
      <c r="K410" s="89" t="s">
        <v>3190</v>
      </c>
    </row>
    <row r="411" spans="2:11">
      <c r="B411" s="88">
        <v>406</v>
      </c>
      <c r="C411" s="83" t="s">
        <v>3609</v>
      </c>
      <c r="D411" s="83" t="s">
        <v>3186</v>
      </c>
      <c r="E411" s="83" t="s">
        <v>3191</v>
      </c>
      <c r="F411" s="83" t="s">
        <v>3182</v>
      </c>
      <c r="G411" s="83" t="s">
        <v>3183</v>
      </c>
      <c r="H411" s="83" t="s">
        <v>3181</v>
      </c>
      <c r="I411" s="83" t="s">
        <v>3187</v>
      </c>
      <c r="J411" s="83" t="s">
        <v>3193</v>
      </c>
      <c r="K411" s="89" t="s">
        <v>3192</v>
      </c>
    </row>
    <row r="412" spans="2:11">
      <c r="B412" s="88">
        <v>407</v>
      </c>
      <c r="C412" s="83" t="s">
        <v>3610</v>
      </c>
      <c r="D412" s="83" t="s">
        <v>3186</v>
      </c>
      <c r="E412" s="83" t="s">
        <v>3190</v>
      </c>
      <c r="F412" s="83" t="s">
        <v>3182</v>
      </c>
      <c r="G412" s="83" t="s">
        <v>3183</v>
      </c>
      <c r="H412" s="83" t="s">
        <v>3181</v>
      </c>
      <c r="I412" s="83" t="s">
        <v>3187</v>
      </c>
      <c r="J412" s="83" t="s">
        <v>3193</v>
      </c>
      <c r="K412" s="89" t="s">
        <v>3192</v>
      </c>
    </row>
    <row r="413" spans="2:11">
      <c r="B413" s="88">
        <v>408</v>
      </c>
      <c r="C413" s="83" t="s">
        <v>3611</v>
      </c>
      <c r="D413" s="83" t="s">
        <v>3186</v>
      </c>
      <c r="E413" s="83" t="s">
        <v>3191</v>
      </c>
      <c r="F413" s="83" t="s">
        <v>3182</v>
      </c>
      <c r="G413" s="83" t="s">
        <v>3183</v>
      </c>
      <c r="H413" s="83" t="s">
        <v>3181</v>
      </c>
      <c r="I413" s="83" t="s">
        <v>3187</v>
      </c>
      <c r="J413" s="83" t="s">
        <v>3193</v>
      </c>
      <c r="K413" s="89" t="s">
        <v>3190</v>
      </c>
    </row>
    <row r="414" spans="2:11">
      <c r="B414" s="88">
        <v>409</v>
      </c>
      <c r="C414" s="83" t="s">
        <v>3612</v>
      </c>
      <c r="D414" s="83" t="s">
        <v>3186</v>
      </c>
      <c r="E414" s="83" t="s">
        <v>3191</v>
      </c>
      <c r="F414" s="83" t="s">
        <v>3182</v>
      </c>
      <c r="G414" s="83" t="s">
        <v>3183</v>
      </c>
      <c r="H414" s="83" t="s">
        <v>3181</v>
      </c>
      <c r="I414" s="83" t="s">
        <v>3187</v>
      </c>
      <c r="J414" s="83" t="s">
        <v>3190</v>
      </c>
      <c r="K414" s="89" t="s">
        <v>3192</v>
      </c>
    </row>
    <row r="415" spans="2:11">
      <c r="B415" s="88">
        <v>410</v>
      </c>
      <c r="C415" s="83" t="s">
        <v>3613</v>
      </c>
      <c r="D415" s="83" t="s">
        <v>3189</v>
      </c>
      <c r="E415" s="83" t="s">
        <v>3186</v>
      </c>
      <c r="F415" s="83" t="s">
        <v>3182</v>
      </c>
      <c r="G415" s="83" t="s">
        <v>3183</v>
      </c>
      <c r="H415" s="83" t="s">
        <v>3181</v>
      </c>
      <c r="I415" s="83" t="s">
        <v>3187</v>
      </c>
      <c r="J415" s="83" t="s">
        <v>3193</v>
      </c>
      <c r="K415" s="89" t="s">
        <v>3192</v>
      </c>
    </row>
    <row r="416" spans="2:11">
      <c r="B416" s="88">
        <v>411</v>
      </c>
      <c r="C416" s="83" t="s">
        <v>3614</v>
      </c>
      <c r="D416" s="83" t="s">
        <v>3189</v>
      </c>
      <c r="E416" s="83" t="s">
        <v>3191</v>
      </c>
      <c r="F416" s="83" t="s">
        <v>3182</v>
      </c>
      <c r="G416" s="83" t="s">
        <v>3183</v>
      </c>
      <c r="H416" s="83" t="s">
        <v>3181</v>
      </c>
      <c r="I416" s="83" t="s">
        <v>3187</v>
      </c>
      <c r="J416" s="83" t="s">
        <v>3193</v>
      </c>
      <c r="K416" s="89" t="s">
        <v>3186</v>
      </c>
    </row>
    <row r="417" spans="2:11">
      <c r="B417" s="88">
        <v>412</v>
      </c>
      <c r="C417" s="83" t="s">
        <v>3615</v>
      </c>
      <c r="D417" s="83" t="s">
        <v>3189</v>
      </c>
      <c r="E417" s="83" t="s">
        <v>3191</v>
      </c>
      <c r="F417" s="83" t="s">
        <v>3182</v>
      </c>
      <c r="G417" s="83" t="s">
        <v>3183</v>
      </c>
      <c r="H417" s="83" t="s">
        <v>3181</v>
      </c>
      <c r="I417" s="83" t="s">
        <v>3187</v>
      </c>
      <c r="J417" s="83" t="s">
        <v>3186</v>
      </c>
      <c r="K417" s="89" t="s">
        <v>3192</v>
      </c>
    </row>
    <row r="418" spans="2:11">
      <c r="B418" s="88">
        <v>413</v>
      </c>
      <c r="C418" s="83" t="s">
        <v>3616</v>
      </c>
      <c r="D418" s="83" t="s">
        <v>3189</v>
      </c>
      <c r="E418" s="83" t="s">
        <v>3186</v>
      </c>
      <c r="F418" s="83" t="s">
        <v>3182</v>
      </c>
      <c r="G418" s="83" t="s">
        <v>3183</v>
      </c>
      <c r="H418" s="83" t="s">
        <v>3181</v>
      </c>
      <c r="I418" s="83" t="s">
        <v>3187</v>
      </c>
      <c r="J418" s="83" t="s">
        <v>3193</v>
      </c>
      <c r="K418" s="89" t="s">
        <v>3190</v>
      </c>
    </row>
    <row r="419" spans="2:11">
      <c r="B419" s="88">
        <v>414</v>
      </c>
      <c r="C419" s="83" t="s">
        <v>3617</v>
      </c>
      <c r="D419" s="83" t="s">
        <v>3189</v>
      </c>
      <c r="E419" s="83" t="s">
        <v>3186</v>
      </c>
      <c r="F419" s="83" t="s">
        <v>3182</v>
      </c>
      <c r="G419" s="83" t="s">
        <v>3183</v>
      </c>
      <c r="H419" s="83" t="s">
        <v>3181</v>
      </c>
      <c r="I419" s="83" t="s">
        <v>3187</v>
      </c>
      <c r="J419" s="83" t="s">
        <v>3190</v>
      </c>
      <c r="K419" s="89" t="s">
        <v>3192</v>
      </c>
    </row>
    <row r="420" spans="2:11">
      <c r="B420" s="88">
        <v>415</v>
      </c>
      <c r="C420" s="83" t="s">
        <v>3618</v>
      </c>
      <c r="D420" s="83" t="s">
        <v>3189</v>
      </c>
      <c r="E420" s="83" t="s">
        <v>3191</v>
      </c>
      <c r="F420" s="83" t="s">
        <v>3182</v>
      </c>
      <c r="G420" s="83" t="s">
        <v>3183</v>
      </c>
      <c r="H420" s="83" t="s">
        <v>3181</v>
      </c>
      <c r="I420" s="83" t="s">
        <v>3187</v>
      </c>
      <c r="J420" s="83" t="s">
        <v>3186</v>
      </c>
      <c r="K420" s="89" t="s">
        <v>3190</v>
      </c>
    </row>
    <row r="421" spans="2:11">
      <c r="B421" s="88">
        <v>416</v>
      </c>
      <c r="C421" s="83" t="s">
        <v>3619</v>
      </c>
      <c r="D421" s="83" t="s">
        <v>3186</v>
      </c>
      <c r="E421" s="83" t="s">
        <v>3188</v>
      </c>
      <c r="F421" s="83" t="s">
        <v>3182</v>
      </c>
      <c r="G421" s="83" t="s">
        <v>3183</v>
      </c>
      <c r="H421" s="83" t="s">
        <v>3181</v>
      </c>
      <c r="I421" s="83" t="s">
        <v>3187</v>
      </c>
      <c r="J421" s="83" t="s">
        <v>3193</v>
      </c>
      <c r="K421" s="89" t="s">
        <v>3192</v>
      </c>
    </row>
    <row r="422" spans="2:11">
      <c r="B422" s="88">
        <v>417</v>
      </c>
      <c r="C422" s="83" t="s">
        <v>3620</v>
      </c>
      <c r="D422" s="83" t="s">
        <v>3186</v>
      </c>
      <c r="E422" s="83" t="s">
        <v>3188</v>
      </c>
      <c r="F422" s="83" t="s">
        <v>3182</v>
      </c>
      <c r="G422" s="83" t="s">
        <v>3183</v>
      </c>
      <c r="H422" s="83" t="s">
        <v>3181</v>
      </c>
      <c r="I422" s="83" t="s">
        <v>3187</v>
      </c>
      <c r="J422" s="83" t="s">
        <v>3193</v>
      </c>
      <c r="K422" s="89" t="s">
        <v>3191</v>
      </c>
    </row>
    <row r="423" spans="2:11">
      <c r="B423" s="88">
        <v>418</v>
      </c>
      <c r="C423" s="83" t="s">
        <v>3621</v>
      </c>
      <c r="D423" s="83" t="s">
        <v>3186</v>
      </c>
      <c r="E423" s="83" t="s">
        <v>3188</v>
      </c>
      <c r="F423" s="83" t="s">
        <v>3182</v>
      </c>
      <c r="G423" s="83" t="s">
        <v>3183</v>
      </c>
      <c r="H423" s="83" t="s">
        <v>3181</v>
      </c>
      <c r="I423" s="83" t="s">
        <v>3187</v>
      </c>
      <c r="J423" s="83" t="s">
        <v>3191</v>
      </c>
      <c r="K423" s="89" t="s">
        <v>3192</v>
      </c>
    </row>
    <row r="424" spans="2:11">
      <c r="B424" s="88">
        <v>419</v>
      </c>
      <c r="C424" s="83" t="s">
        <v>3622</v>
      </c>
      <c r="D424" s="83" t="s">
        <v>3186</v>
      </c>
      <c r="E424" s="83" t="s">
        <v>3188</v>
      </c>
      <c r="F424" s="83" t="s">
        <v>3182</v>
      </c>
      <c r="G424" s="83" t="s">
        <v>3183</v>
      </c>
      <c r="H424" s="83" t="s">
        <v>3181</v>
      </c>
      <c r="I424" s="83" t="s">
        <v>3187</v>
      </c>
      <c r="J424" s="83" t="s">
        <v>3193</v>
      </c>
      <c r="K424" s="89" t="s">
        <v>3190</v>
      </c>
    </row>
    <row r="425" spans="2:11">
      <c r="B425" s="88">
        <v>420</v>
      </c>
      <c r="C425" s="83" t="s">
        <v>3623</v>
      </c>
      <c r="D425" s="83" t="s">
        <v>3186</v>
      </c>
      <c r="E425" s="83" t="s">
        <v>3188</v>
      </c>
      <c r="F425" s="83" t="s">
        <v>3182</v>
      </c>
      <c r="G425" s="83" t="s">
        <v>3183</v>
      </c>
      <c r="H425" s="83" t="s">
        <v>3181</v>
      </c>
      <c r="I425" s="83" t="s">
        <v>3187</v>
      </c>
      <c r="J425" s="83" t="s">
        <v>3190</v>
      </c>
      <c r="K425" s="89" t="s">
        <v>3192</v>
      </c>
    </row>
    <row r="426" spans="2:11">
      <c r="B426" s="88">
        <v>421</v>
      </c>
      <c r="C426" s="83" t="s">
        <v>3624</v>
      </c>
      <c r="D426" s="83" t="s">
        <v>3186</v>
      </c>
      <c r="E426" s="83" t="s">
        <v>3188</v>
      </c>
      <c r="F426" s="83" t="s">
        <v>3182</v>
      </c>
      <c r="G426" s="83" t="s">
        <v>3183</v>
      </c>
      <c r="H426" s="83" t="s">
        <v>3181</v>
      </c>
      <c r="I426" s="83" t="s">
        <v>3187</v>
      </c>
      <c r="J426" s="83" t="s">
        <v>3190</v>
      </c>
      <c r="K426" s="89" t="s">
        <v>3191</v>
      </c>
    </row>
    <row r="427" spans="2:11">
      <c r="B427" s="88">
        <v>422</v>
      </c>
      <c r="C427" s="83" t="s">
        <v>3625</v>
      </c>
      <c r="D427" s="83" t="s">
        <v>3189</v>
      </c>
      <c r="E427" s="83" t="s">
        <v>3188</v>
      </c>
      <c r="F427" s="83" t="s">
        <v>3182</v>
      </c>
      <c r="G427" s="83" t="s">
        <v>3183</v>
      </c>
      <c r="H427" s="83" t="s">
        <v>3181</v>
      </c>
      <c r="I427" s="83" t="s">
        <v>3187</v>
      </c>
      <c r="J427" s="83" t="s">
        <v>3193</v>
      </c>
      <c r="K427" s="89" t="s">
        <v>3186</v>
      </c>
    </row>
    <row r="428" spans="2:11">
      <c r="B428" s="88">
        <v>423</v>
      </c>
      <c r="C428" s="83" t="s">
        <v>3626</v>
      </c>
      <c r="D428" s="83" t="s">
        <v>3189</v>
      </c>
      <c r="E428" s="83" t="s">
        <v>3188</v>
      </c>
      <c r="F428" s="83" t="s">
        <v>3182</v>
      </c>
      <c r="G428" s="83" t="s">
        <v>3183</v>
      </c>
      <c r="H428" s="83" t="s">
        <v>3181</v>
      </c>
      <c r="I428" s="83" t="s">
        <v>3187</v>
      </c>
      <c r="J428" s="83" t="s">
        <v>3186</v>
      </c>
      <c r="K428" s="89" t="s">
        <v>3192</v>
      </c>
    </row>
    <row r="429" spans="2:11">
      <c r="B429" s="88">
        <v>424</v>
      </c>
      <c r="C429" s="83" t="s">
        <v>3627</v>
      </c>
      <c r="D429" s="83" t="s">
        <v>3189</v>
      </c>
      <c r="E429" s="83" t="s">
        <v>3188</v>
      </c>
      <c r="F429" s="83" t="s">
        <v>3182</v>
      </c>
      <c r="G429" s="83" t="s">
        <v>3183</v>
      </c>
      <c r="H429" s="83" t="s">
        <v>3181</v>
      </c>
      <c r="I429" s="83" t="s">
        <v>3187</v>
      </c>
      <c r="J429" s="83" t="s">
        <v>3186</v>
      </c>
      <c r="K429" s="89" t="s">
        <v>3191</v>
      </c>
    </row>
    <row r="430" spans="2:11">
      <c r="B430" s="88">
        <v>425</v>
      </c>
      <c r="C430" s="83" t="s">
        <v>3628</v>
      </c>
      <c r="D430" s="83" t="s">
        <v>3189</v>
      </c>
      <c r="E430" s="83" t="s">
        <v>3188</v>
      </c>
      <c r="F430" s="83" t="s">
        <v>3182</v>
      </c>
      <c r="G430" s="83" t="s">
        <v>3183</v>
      </c>
      <c r="H430" s="83" t="s">
        <v>3181</v>
      </c>
      <c r="I430" s="83" t="s">
        <v>3187</v>
      </c>
      <c r="J430" s="83" t="s">
        <v>3186</v>
      </c>
      <c r="K430" s="89" t="s">
        <v>3190</v>
      </c>
    </row>
    <row r="431" spans="2:11">
      <c r="B431" s="88">
        <v>426</v>
      </c>
      <c r="C431" s="83" t="s">
        <v>3629</v>
      </c>
      <c r="D431" s="83" t="s">
        <v>3190</v>
      </c>
      <c r="E431" s="83" t="s">
        <v>3191</v>
      </c>
      <c r="F431" s="83" t="s">
        <v>3182</v>
      </c>
      <c r="G431" s="83" t="s">
        <v>3183</v>
      </c>
      <c r="H431" s="83" t="s">
        <v>3181</v>
      </c>
      <c r="I431" s="83" t="s">
        <v>3185</v>
      </c>
      <c r="J431" s="83" t="s">
        <v>3193</v>
      </c>
      <c r="K431" s="89" t="s">
        <v>3192</v>
      </c>
    </row>
    <row r="432" spans="2:11">
      <c r="B432" s="88">
        <v>427</v>
      </c>
      <c r="C432" s="83" t="s">
        <v>3630</v>
      </c>
      <c r="D432" s="83" t="s">
        <v>3189</v>
      </c>
      <c r="E432" s="83" t="s">
        <v>3191</v>
      </c>
      <c r="F432" s="83" t="s">
        <v>3182</v>
      </c>
      <c r="G432" s="83" t="s">
        <v>3183</v>
      </c>
      <c r="H432" s="83" t="s">
        <v>3181</v>
      </c>
      <c r="I432" s="83" t="s">
        <v>3185</v>
      </c>
      <c r="J432" s="83" t="s">
        <v>3193</v>
      </c>
      <c r="K432" s="89" t="s">
        <v>3192</v>
      </c>
    </row>
    <row r="433" spans="2:11">
      <c r="B433" s="88">
        <v>428</v>
      </c>
      <c r="C433" s="83" t="s">
        <v>3631</v>
      </c>
      <c r="D433" s="83" t="s">
        <v>3189</v>
      </c>
      <c r="E433" s="83" t="s">
        <v>3190</v>
      </c>
      <c r="F433" s="83" t="s">
        <v>3182</v>
      </c>
      <c r="G433" s="83" t="s">
        <v>3183</v>
      </c>
      <c r="H433" s="83" t="s">
        <v>3181</v>
      </c>
      <c r="I433" s="83" t="s">
        <v>3185</v>
      </c>
      <c r="J433" s="83" t="s">
        <v>3193</v>
      </c>
      <c r="K433" s="89" t="s">
        <v>3192</v>
      </c>
    </row>
    <row r="434" spans="2:11">
      <c r="B434" s="88">
        <v>429</v>
      </c>
      <c r="C434" s="83" t="s">
        <v>3632</v>
      </c>
      <c r="D434" s="83" t="s">
        <v>3189</v>
      </c>
      <c r="E434" s="83" t="s">
        <v>3191</v>
      </c>
      <c r="F434" s="83" t="s">
        <v>3182</v>
      </c>
      <c r="G434" s="83" t="s">
        <v>3183</v>
      </c>
      <c r="H434" s="83" t="s">
        <v>3181</v>
      </c>
      <c r="I434" s="83" t="s">
        <v>3185</v>
      </c>
      <c r="J434" s="83" t="s">
        <v>3193</v>
      </c>
      <c r="K434" s="89" t="s">
        <v>3190</v>
      </c>
    </row>
    <row r="435" spans="2:11">
      <c r="B435" s="88">
        <v>430</v>
      </c>
      <c r="C435" s="83" t="s">
        <v>3633</v>
      </c>
      <c r="D435" s="83" t="s">
        <v>3189</v>
      </c>
      <c r="E435" s="83" t="s">
        <v>3191</v>
      </c>
      <c r="F435" s="83" t="s">
        <v>3182</v>
      </c>
      <c r="G435" s="83" t="s">
        <v>3183</v>
      </c>
      <c r="H435" s="83" t="s">
        <v>3181</v>
      </c>
      <c r="I435" s="83" t="s">
        <v>3185</v>
      </c>
      <c r="J435" s="83" t="s">
        <v>3190</v>
      </c>
      <c r="K435" s="89" t="s">
        <v>3192</v>
      </c>
    </row>
    <row r="436" spans="2:11">
      <c r="B436" s="88">
        <v>431</v>
      </c>
      <c r="C436" s="83" t="s">
        <v>3634</v>
      </c>
      <c r="D436" s="83" t="s">
        <v>3183</v>
      </c>
      <c r="E436" s="83" t="s">
        <v>3191</v>
      </c>
      <c r="F436" s="83" t="s">
        <v>3182</v>
      </c>
      <c r="G436" s="83" t="s">
        <v>3185</v>
      </c>
      <c r="H436" s="83" t="s">
        <v>3181</v>
      </c>
      <c r="I436" s="83" t="s">
        <v>3188</v>
      </c>
      <c r="J436" s="83" t="s">
        <v>3193</v>
      </c>
      <c r="K436" s="89" t="s">
        <v>3192</v>
      </c>
    </row>
    <row r="437" spans="2:11">
      <c r="B437" s="88">
        <v>432</v>
      </c>
      <c r="C437" s="83" t="s">
        <v>3635</v>
      </c>
      <c r="D437" s="83" t="s">
        <v>3190</v>
      </c>
      <c r="E437" s="83" t="s">
        <v>3188</v>
      </c>
      <c r="F437" s="83" t="s">
        <v>3182</v>
      </c>
      <c r="G437" s="83" t="s">
        <v>3183</v>
      </c>
      <c r="H437" s="83" t="s">
        <v>3181</v>
      </c>
      <c r="I437" s="83" t="s">
        <v>3185</v>
      </c>
      <c r="J437" s="83" t="s">
        <v>3193</v>
      </c>
      <c r="K437" s="89" t="s">
        <v>3192</v>
      </c>
    </row>
    <row r="438" spans="2:11">
      <c r="B438" s="88">
        <v>433</v>
      </c>
      <c r="C438" s="83" t="s">
        <v>3636</v>
      </c>
      <c r="D438" s="83" t="s">
        <v>3183</v>
      </c>
      <c r="E438" s="83" t="s">
        <v>3191</v>
      </c>
      <c r="F438" s="83" t="s">
        <v>3182</v>
      </c>
      <c r="G438" s="83" t="s">
        <v>3185</v>
      </c>
      <c r="H438" s="83" t="s">
        <v>3181</v>
      </c>
      <c r="I438" s="83" t="s">
        <v>3188</v>
      </c>
      <c r="J438" s="83" t="s">
        <v>3193</v>
      </c>
      <c r="K438" s="89" t="s">
        <v>3190</v>
      </c>
    </row>
    <row r="439" spans="2:11">
      <c r="B439" s="88">
        <v>434</v>
      </c>
      <c r="C439" s="83" t="s">
        <v>3637</v>
      </c>
      <c r="D439" s="83" t="s">
        <v>3183</v>
      </c>
      <c r="E439" s="83" t="s">
        <v>3191</v>
      </c>
      <c r="F439" s="83" t="s">
        <v>3182</v>
      </c>
      <c r="G439" s="83" t="s">
        <v>3185</v>
      </c>
      <c r="H439" s="83" t="s">
        <v>3181</v>
      </c>
      <c r="I439" s="83" t="s">
        <v>3188</v>
      </c>
      <c r="J439" s="83" t="s">
        <v>3190</v>
      </c>
      <c r="K439" s="89" t="s">
        <v>3192</v>
      </c>
    </row>
    <row r="440" spans="2:11">
      <c r="B440" s="88">
        <v>435</v>
      </c>
      <c r="C440" s="83" t="s">
        <v>3638</v>
      </c>
      <c r="D440" s="83" t="s">
        <v>3189</v>
      </c>
      <c r="E440" s="83" t="s">
        <v>3188</v>
      </c>
      <c r="F440" s="83" t="s">
        <v>3182</v>
      </c>
      <c r="G440" s="83" t="s">
        <v>3183</v>
      </c>
      <c r="H440" s="83" t="s">
        <v>3181</v>
      </c>
      <c r="I440" s="83" t="s">
        <v>3185</v>
      </c>
      <c r="J440" s="83" t="s">
        <v>3193</v>
      </c>
      <c r="K440" s="89" t="s">
        <v>3192</v>
      </c>
    </row>
    <row r="441" spans="2:11">
      <c r="B441" s="88">
        <v>436</v>
      </c>
      <c r="C441" s="83" t="s">
        <v>3639</v>
      </c>
      <c r="D441" s="83" t="s">
        <v>3189</v>
      </c>
      <c r="E441" s="83" t="s">
        <v>3188</v>
      </c>
      <c r="F441" s="83" t="s">
        <v>3182</v>
      </c>
      <c r="G441" s="83" t="s">
        <v>3183</v>
      </c>
      <c r="H441" s="83" t="s">
        <v>3181</v>
      </c>
      <c r="I441" s="83" t="s">
        <v>3185</v>
      </c>
      <c r="J441" s="83" t="s">
        <v>3193</v>
      </c>
      <c r="K441" s="89" t="s">
        <v>3191</v>
      </c>
    </row>
    <row r="442" spans="2:11">
      <c r="B442" s="88">
        <v>437</v>
      </c>
      <c r="C442" s="83" t="s">
        <v>3640</v>
      </c>
      <c r="D442" s="83" t="s">
        <v>3189</v>
      </c>
      <c r="E442" s="83" t="s">
        <v>3188</v>
      </c>
      <c r="F442" s="83" t="s">
        <v>3182</v>
      </c>
      <c r="G442" s="83" t="s">
        <v>3183</v>
      </c>
      <c r="H442" s="83" t="s">
        <v>3181</v>
      </c>
      <c r="I442" s="83" t="s">
        <v>3185</v>
      </c>
      <c r="J442" s="83" t="s">
        <v>3191</v>
      </c>
      <c r="K442" s="89" t="s">
        <v>3192</v>
      </c>
    </row>
    <row r="443" spans="2:11">
      <c r="B443" s="88">
        <v>438</v>
      </c>
      <c r="C443" s="83" t="s">
        <v>3641</v>
      </c>
      <c r="D443" s="83" t="s">
        <v>3189</v>
      </c>
      <c r="E443" s="83" t="s">
        <v>3188</v>
      </c>
      <c r="F443" s="83" t="s">
        <v>3182</v>
      </c>
      <c r="G443" s="83" t="s">
        <v>3183</v>
      </c>
      <c r="H443" s="83" t="s">
        <v>3181</v>
      </c>
      <c r="I443" s="83" t="s">
        <v>3185</v>
      </c>
      <c r="J443" s="83" t="s">
        <v>3193</v>
      </c>
      <c r="K443" s="89" t="s">
        <v>3190</v>
      </c>
    </row>
    <row r="444" spans="2:11">
      <c r="B444" s="88">
        <v>439</v>
      </c>
      <c r="C444" s="83" t="s">
        <v>3642</v>
      </c>
      <c r="D444" s="83" t="s">
        <v>3189</v>
      </c>
      <c r="E444" s="83" t="s">
        <v>3188</v>
      </c>
      <c r="F444" s="83" t="s">
        <v>3182</v>
      </c>
      <c r="G444" s="83" t="s">
        <v>3183</v>
      </c>
      <c r="H444" s="83" t="s">
        <v>3181</v>
      </c>
      <c r="I444" s="83" t="s">
        <v>3185</v>
      </c>
      <c r="J444" s="83" t="s">
        <v>3190</v>
      </c>
      <c r="K444" s="89" t="s">
        <v>3192</v>
      </c>
    </row>
    <row r="445" spans="2:11">
      <c r="B445" s="88">
        <v>440</v>
      </c>
      <c r="C445" s="83" t="s">
        <v>3643</v>
      </c>
      <c r="D445" s="83" t="s">
        <v>3189</v>
      </c>
      <c r="E445" s="83" t="s">
        <v>3188</v>
      </c>
      <c r="F445" s="83" t="s">
        <v>3182</v>
      </c>
      <c r="G445" s="83" t="s">
        <v>3183</v>
      </c>
      <c r="H445" s="83" t="s">
        <v>3181</v>
      </c>
      <c r="I445" s="83" t="s">
        <v>3185</v>
      </c>
      <c r="J445" s="83" t="s">
        <v>3190</v>
      </c>
      <c r="K445" s="89" t="s">
        <v>3191</v>
      </c>
    </row>
    <row r="446" spans="2:11">
      <c r="B446" s="88">
        <v>441</v>
      </c>
      <c r="C446" s="83" t="s">
        <v>3644</v>
      </c>
      <c r="D446" s="83" t="s">
        <v>3183</v>
      </c>
      <c r="E446" s="83" t="s">
        <v>3191</v>
      </c>
      <c r="F446" s="83" t="s">
        <v>3182</v>
      </c>
      <c r="G446" s="83" t="s">
        <v>3185</v>
      </c>
      <c r="H446" s="83" t="s">
        <v>3181</v>
      </c>
      <c r="I446" s="83" t="s">
        <v>3187</v>
      </c>
      <c r="J446" s="83" t="s">
        <v>3193</v>
      </c>
      <c r="K446" s="89" t="s">
        <v>3192</v>
      </c>
    </row>
    <row r="447" spans="2:11">
      <c r="B447" s="88">
        <v>442</v>
      </c>
      <c r="C447" s="83" t="s">
        <v>3645</v>
      </c>
      <c r="D447" s="83" t="s">
        <v>3183</v>
      </c>
      <c r="E447" s="83" t="s">
        <v>3190</v>
      </c>
      <c r="F447" s="83" t="s">
        <v>3182</v>
      </c>
      <c r="G447" s="83" t="s">
        <v>3185</v>
      </c>
      <c r="H447" s="83" t="s">
        <v>3181</v>
      </c>
      <c r="I447" s="83" t="s">
        <v>3187</v>
      </c>
      <c r="J447" s="83" t="s">
        <v>3193</v>
      </c>
      <c r="K447" s="89" t="s">
        <v>3192</v>
      </c>
    </row>
    <row r="448" spans="2:11">
      <c r="B448" s="88">
        <v>443</v>
      </c>
      <c r="C448" s="83" t="s">
        <v>3646</v>
      </c>
      <c r="D448" s="83" t="s">
        <v>3183</v>
      </c>
      <c r="E448" s="83" t="s">
        <v>3191</v>
      </c>
      <c r="F448" s="83" t="s">
        <v>3182</v>
      </c>
      <c r="G448" s="83" t="s">
        <v>3185</v>
      </c>
      <c r="H448" s="83" t="s">
        <v>3181</v>
      </c>
      <c r="I448" s="83" t="s">
        <v>3187</v>
      </c>
      <c r="J448" s="83" t="s">
        <v>3193</v>
      </c>
      <c r="K448" s="89" t="s">
        <v>3190</v>
      </c>
    </row>
    <row r="449" spans="2:11">
      <c r="B449" s="88">
        <v>444</v>
      </c>
      <c r="C449" s="83" t="s">
        <v>3647</v>
      </c>
      <c r="D449" s="83" t="s">
        <v>3183</v>
      </c>
      <c r="E449" s="83" t="s">
        <v>3191</v>
      </c>
      <c r="F449" s="83" t="s">
        <v>3182</v>
      </c>
      <c r="G449" s="83" t="s">
        <v>3185</v>
      </c>
      <c r="H449" s="83" t="s">
        <v>3181</v>
      </c>
      <c r="I449" s="83" t="s">
        <v>3187</v>
      </c>
      <c r="J449" s="83" t="s">
        <v>3190</v>
      </c>
      <c r="K449" s="89" t="s">
        <v>3192</v>
      </c>
    </row>
    <row r="450" spans="2:11">
      <c r="B450" s="88">
        <v>445</v>
      </c>
      <c r="C450" s="83" t="s">
        <v>3648</v>
      </c>
      <c r="D450" s="83" t="s">
        <v>3189</v>
      </c>
      <c r="E450" s="83" t="s">
        <v>3187</v>
      </c>
      <c r="F450" s="83" t="s">
        <v>3182</v>
      </c>
      <c r="G450" s="83" t="s">
        <v>3183</v>
      </c>
      <c r="H450" s="83" t="s">
        <v>3181</v>
      </c>
      <c r="I450" s="83" t="s">
        <v>3185</v>
      </c>
      <c r="J450" s="83" t="s">
        <v>3193</v>
      </c>
      <c r="K450" s="89" t="s">
        <v>3192</v>
      </c>
    </row>
    <row r="451" spans="2:11">
      <c r="B451" s="88">
        <v>446</v>
      </c>
      <c r="C451" s="83" t="s">
        <v>3649</v>
      </c>
      <c r="D451" s="83" t="s">
        <v>3183</v>
      </c>
      <c r="E451" s="83" t="s">
        <v>3191</v>
      </c>
      <c r="F451" s="83" t="s">
        <v>3182</v>
      </c>
      <c r="G451" s="83" t="s">
        <v>3185</v>
      </c>
      <c r="H451" s="83" t="s">
        <v>3181</v>
      </c>
      <c r="I451" s="83" t="s">
        <v>3187</v>
      </c>
      <c r="J451" s="83" t="s">
        <v>3193</v>
      </c>
      <c r="K451" s="89" t="s">
        <v>3189</v>
      </c>
    </row>
    <row r="452" spans="2:11">
      <c r="B452" s="88">
        <v>447</v>
      </c>
      <c r="C452" s="83" t="s">
        <v>3650</v>
      </c>
      <c r="D452" s="83" t="s">
        <v>3189</v>
      </c>
      <c r="E452" s="83" t="s">
        <v>3191</v>
      </c>
      <c r="F452" s="83" t="s">
        <v>3182</v>
      </c>
      <c r="G452" s="83" t="s">
        <v>3183</v>
      </c>
      <c r="H452" s="83" t="s">
        <v>3181</v>
      </c>
      <c r="I452" s="83" t="s">
        <v>3187</v>
      </c>
      <c r="J452" s="83" t="s">
        <v>3185</v>
      </c>
      <c r="K452" s="89" t="s">
        <v>3192</v>
      </c>
    </row>
    <row r="453" spans="2:11">
      <c r="B453" s="88">
        <v>448</v>
      </c>
      <c r="C453" s="83" t="s">
        <v>3651</v>
      </c>
      <c r="D453" s="83" t="s">
        <v>3189</v>
      </c>
      <c r="E453" s="83" t="s">
        <v>3187</v>
      </c>
      <c r="F453" s="83" t="s">
        <v>3182</v>
      </c>
      <c r="G453" s="83" t="s">
        <v>3183</v>
      </c>
      <c r="H453" s="83" t="s">
        <v>3181</v>
      </c>
      <c r="I453" s="83" t="s">
        <v>3185</v>
      </c>
      <c r="J453" s="83" t="s">
        <v>3193</v>
      </c>
      <c r="K453" s="89" t="s">
        <v>3190</v>
      </c>
    </row>
    <row r="454" spans="2:11">
      <c r="B454" s="88">
        <v>449</v>
      </c>
      <c r="C454" s="83" t="s">
        <v>3652</v>
      </c>
      <c r="D454" s="83" t="s">
        <v>3189</v>
      </c>
      <c r="E454" s="83" t="s">
        <v>3187</v>
      </c>
      <c r="F454" s="83" t="s">
        <v>3182</v>
      </c>
      <c r="G454" s="83" t="s">
        <v>3183</v>
      </c>
      <c r="H454" s="83" t="s">
        <v>3181</v>
      </c>
      <c r="I454" s="83" t="s">
        <v>3185</v>
      </c>
      <c r="J454" s="83" t="s">
        <v>3190</v>
      </c>
      <c r="K454" s="89" t="s">
        <v>3192</v>
      </c>
    </row>
    <row r="455" spans="2:11">
      <c r="B455" s="88">
        <v>450</v>
      </c>
      <c r="C455" s="83" t="s">
        <v>3653</v>
      </c>
      <c r="D455" s="83" t="s">
        <v>3189</v>
      </c>
      <c r="E455" s="83" t="s">
        <v>3191</v>
      </c>
      <c r="F455" s="83" t="s">
        <v>3182</v>
      </c>
      <c r="G455" s="83" t="s">
        <v>3183</v>
      </c>
      <c r="H455" s="83" t="s">
        <v>3181</v>
      </c>
      <c r="I455" s="83" t="s">
        <v>3187</v>
      </c>
      <c r="J455" s="83" t="s">
        <v>3185</v>
      </c>
      <c r="K455" s="89" t="s">
        <v>3190</v>
      </c>
    </row>
    <row r="456" spans="2:11">
      <c r="B456" s="88">
        <v>451</v>
      </c>
      <c r="C456" s="83" t="s">
        <v>3654</v>
      </c>
      <c r="D456" s="83" t="s">
        <v>3183</v>
      </c>
      <c r="E456" s="83" t="s">
        <v>3188</v>
      </c>
      <c r="F456" s="83" t="s">
        <v>3182</v>
      </c>
      <c r="G456" s="83" t="s">
        <v>3185</v>
      </c>
      <c r="H456" s="83" t="s">
        <v>3181</v>
      </c>
      <c r="I456" s="83" t="s">
        <v>3187</v>
      </c>
      <c r="J456" s="83" t="s">
        <v>3193</v>
      </c>
      <c r="K456" s="89" t="s">
        <v>3192</v>
      </c>
    </row>
    <row r="457" spans="2:11">
      <c r="B457" s="88">
        <v>452</v>
      </c>
      <c r="C457" s="83" t="s">
        <v>3655</v>
      </c>
      <c r="D457" s="83" t="s">
        <v>3183</v>
      </c>
      <c r="E457" s="83" t="s">
        <v>3188</v>
      </c>
      <c r="F457" s="83" t="s">
        <v>3182</v>
      </c>
      <c r="G457" s="83" t="s">
        <v>3185</v>
      </c>
      <c r="H457" s="83" t="s">
        <v>3181</v>
      </c>
      <c r="I457" s="83" t="s">
        <v>3187</v>
      </c>
      <c r="J457" s="83" t="s">
        <v>3193</v>
      </c>
      <c r="K457" s="89" t="s">
        <v>3191</v>
      </c>
    </row>
    <row r="458" spans="2:11">
      <c r="B458" s="88">
        <v>453</v>
      </c>
      <c r="C458" s="83" t="s">
        <v>3656</v>
      </c>
      <c r="D458" s="83" t="s">
        <v>3183</v>
      </c>
      <c r="E458" s="83" t="s">
        <v>3188</v>
      </c>
      <c r="F458" s="83" t="s">
        <v>3182</v>
      </c>
      <c r="G458" s="83" t="s">
        <v>3185</v>
      </c>
      <c r="H458" s="83" t="s">
        <v>3181</v>
      </c>
      <c r="I458" s="83" t="s">
        <v>3187</v>
      </c>
      <c r="J458" s="83" t="s">
        <v>3191</v>
      </c>
      <c r="K458" s="89" t="s">
        <v>3192</v>
      </c>
    </row>
    <row r="459" spans="2:11">
      <c r="B459" s="88">
        <v>454</v>
      </c>
      <c r="C459" s="83" t="s">
        <v>3657</v>
      </c>
      <c r="D459" s="83" t="s">
        <v>3183</v>
      </c>
      <c r="E459" s="83" t="s">
        <v>3188</v>
      </c>
      <c r="F459" s="83" t="s">
        <v>3182</v>
      </c>
      <c r="G459" s="83" t="s">
        <v>3185</v>
      </c>
      <c r="H459" s="83" t="s">
        <v>3181</v>
      </c>
      <c r="I459" s="83" t="s">
        <v>3187</v>
      </c>
      <c r="J459" s="83" t="s">
        <v>3193</v>
      </c>
      <c r="K459" s="89" t="s">
        <v>3190</v>
      </c>
    </row>
    <row r="460" spans="2:11">
      <c r="B460" s="88">
        <v>455</v>
      </c>
      <c r="C460" s="83" t="s">
        <v>3658</v>
      </c>
      <c r="D460" s="83" t="s">
        <v>3183</v>
      </c>
      <c r="E460" s="83" t="s">
        <v>3188</v>
      </c>
      <c r="F460" s="83" t="s">
        <v>3182</v>
      </c>
      <c r="G460" s="83" t="s">
        <v>3185</v>
      </c>
      <c r="H460" s="83" t="s">
        <v>3181</v>
      </c>
      <c r="I460" s="83" t="s">
        <v>3187</v>
      </c>
      <c r="J460" s="83" t="s">
        <v>3190</v>
      </c>
      <c r="K460" s="89" t="s">
        <v>3192</v>
      </c>
    </row>
    <row r="461" spans="2:11">
      <c r="B461" s="88">
        <v>456</v>
      </c>
      <c r="C461" s="83" t="s">
        <v>3659</v>
      </c>
      <c r="D461" s="83" t="s">
        <v>3183</v>
      </c>
      <c r="E461" s="83" t="s">
        <v>3188</v>
      </c>
      <c r="F461" s="83" t="s">
        <v>3182</v>
      </c>
      <c r="G461" s="83" t="s">
        <v>3185</v>
      </c>
      <c r="H461" s="83" t="s">
        <v>3181</v>
      </c>
      <c r="I461" s="83" t="s">
        <v>3187</v>
      </c>
      <c r="J461" s="83" t="s">
        <v>3190</v>
      </c>
      <c r="K461" s="89" t="s">
        <v>3191</v>
      </c>
    </row>
    <row r="462" spans="2:11">
      <c r="B462" s="88">
        <v>457</v>
      </c>
      <c r="C462" s="83" t="s">
        <v>3660</v>
      </c>
      <c r="D462" s="83" t="s">
        <v>3183</v>
      </c>
      <c r="E462" s="83" t="s">
        <v>3188</v>
      </c>
      <c r="F462" s="83" t="s">
        <v>3182</v>
      </c>
      <c r="G462" s="83" t="s">
        <v>3185</v>
      </c>
      <c r="H462" s="83" t="s">
        <v>3181</v>
      </c>
      <c r="I462" s="83" t="s">
        <v>3187</v>
      </c>
      <c r="J462" s="83" t="s">
        <v>3193</v>
      </c>
      <c r="K462" s="89" t="s">
        <v>3189</v>
      </c>
    </row>
    <row r="463" spans="2:11">
      <c r="B463" s="88">
        <v>458</v>
      </c>
      <c r="C463" s="83" t="s">
        <v>3661</v>
      </c>
      <c r="D463" s="83" t="s">
        <v>3189</v>
      </c>
      <c r="E463" s="83" t="s">
        <v>3188</v>
      </c>
      <c r="F463" s="83" t="s">
        <v>3182</v>
      </c>
      <c r="G463" s="83" t="s">
        <v>3183</v>
      </c>
      <c r="H463" s="83" t="s">
        <v>3181</v>
      </c>
      <c r="I463" s="83" t="s">
        <v>3187</v>
      </c>
      <c r="J463" s="83" t="s">
        <v>3185</v>
      </c>
      <c r="K463" s="89" t="s">
        <v>3192</v>
      </c>
    </row>
    <row r="464" spans="2:11">
      <c r="B464" s="88">
        <v>459</v>
      </c>
      <c r="C464" s="83" t="s">
        <v>3662</v>
      </c>
      <c r="D464" s="83" t="s">
        <v>3189</v>
      </c>
      <c r="E464" s="83" t="s">
        <v>3188</v>
      </c>
      <c r="F464" s="83" t="s">
        <v>3182</v>
      </c>
      <c r="G464" s="83" t="s">
        <v>3183</v>
      </c>
      <c r="H464" s="83" t="s">
        <v>3181</v>
      </c>
      <c r="I464" s="83" t="s">
        <v>3187</v>
      </c>
      <c r="J464" s="83" t="s">
        <v>3185</v>
      </c>
      <c r="K464" s="89" t="s">
        <v>3191</v>
      </c>
    </row>
    <row r="465" spans="2:11">
      <c r="B465" s="88">
        <v>460</v>
      </c>
      <c r="C465" s="83" t="s">
        <v>3663</v>
      </c>
      <c r="D465" s="83" t="s">
        <v>3189</v>
      </c>
      <c r="E465" s="83" t="s">
        <v>3188</v>
      </c>
      <c r="F465" s="83" t="s">
        <v>3182</v>
      </c>
      <c r="G465" s="83" t="s">
        <v>3183</v>
      </c>
      <c r="H465" s="83" t="s">
        <v>3181</v>
      </c>
      <c r="I465" s="83" t="s">
        <v>3187</v>
      </c>
      <c r="J465" s="83" t="s">
        <v>3185</v>
      </c>
      <c r="K465" s="89" t="s">
        <v>3190</v>
      </c>
    </row>
    <row r="466" spans="2:11">
      <c r="B466" s="88">
        <v>461</v>
      </c>
      <c r="C466" s="83" t="s">
        <v>3664</v>
      </c>
      <c r="D466" s="83" t="s">
        <v>3186</v>
      </c>
      <c r="E466" s="83" t="s">
        <v>3191</v>
      </c>
      <c r="F466" s="83" t="s">
        <v>3182</v>
      </c>
      <c r="G466" s="83" t="s">
        <v>3183</v>
      </c>
      <c r="H466" s="83" t="s">
        <v>3181</v>
      </c>
      <c r="I466" s="83" t="s">
        <v>3185</v>
      </c>
      <c r="J466" s="83" t="s">
        <v>3193</v>
      </c>
      <c r="K466" s="89" t="s">
        <v>3192</v>
      </c>
    </row>
    <row r="467" spans="2:11">
      <c r="B467" s="88">
        <v>462</v>
      </c>
      <c r="C467" s="83" t="s">
        <v>3665</v>
      </c>
      <c r="D467" s="83" t="s">
        <v>3186</v>
      </c>
      <c r="E467" s="83" t="s">
        <v>3190</v>
      </c>
      <c r="F467" s="83" t="s">
        <v>3182</v>
      </c>
      <c r="G467" s="83" t="s">
        <v>3183</v>
      </c>
      <c r="H467" s="83" t="s">
        <v>3181</v>
      </c>
      <c r="I467" s="83" t="s">
        <v>3185</v>
      </c>
      <c r="J467" s="83" t="s">
        <v>3193</v>
      </c>
      <c r="K467" s="89" t="s">
        <v>3192</v>
      </c>
    </row>
    <row r="468" spans="2:11">
      <c r="B468" s="88">
        <v>463</v>
      </c>
      <c r="C468" s="83" t="s">
        <v>3666</v>
      </c>
      <c r="D468" s="83" t="s">
        <v>3186</v>
      </c>
      <c r="E468" s="83" t="s">
        <v>3191</v>
      </c>
      <c r="F468" s="83" t="s">
        <v>3182</v>
      </c>
      <c r="G468" s="83" t="s">
        <v>3183</v>
      </c>
      <c r="H468" s="83" t="s">
        <v>3181</v>
      </c>
      <c r="I468" s="83" t="s">
        <v>3185</v>
      </c>
      <c r="J468" s="83" t="s">
        <v>3193</v>
      </c>
      <c r="K468" s="89" t="s">
        <v>3190</v>
      </c>
    </row>
    <row r="469" spans="2:11">
      <c r="B469" s="88">
        <v>464</v>
      </c>
      <c r="C469" s="83" t="s">
        <v>3667</v>
      </c>
      <c r="D469" s="83" t="s">
        <v>3186</v>
      </c>
      <c r="E469" s="83" t="s">
        <v>3191</v>
      </c>
      <c r="F469" s="83" t="s">
        <v>3182</v>
      </c>
      <c r="G469" s="83" t="s">
        <v>3183</v>
      </c>
      <c r="H469" s="83" t="s">
        <v>3181</v>
      </c>
      <c r="I469" s="83" t="s">
        <v>3185</v>
      </c>
      <c r="J469" s="83" t="s">
        <v>3190</v>
      </c>
      <c r="K469" s="89" t="s">
        <v>3192</v>
      </c>
    </row>
    <row r="470" spans="2:11">
      <c r="B470" s="88">
        <v>465</v>
      </c>
      <c r="C470" s="83" t="s">
        <v>3668</v>
      </c>
      <c r="D470" s="83" t="s">
        <v>3189</v>
      </c>
      <c r="E470" s="83" t="s">
        <v>3186</v>
      </c>
      <c r="F470" s="83" t="s">
        <v>3182</v>
      </c>
      <c r="G470" s="83" t="s">
        <v>3183</v>
      </c>
      <c r="H470" s="83" t="s">
        <v>3181</v>
      </c>
      <c r="I470" s="83" t="s">
        <v>3185</v>
      </c>
      <c r="J470" s="83" t="s">
        <v>3193</v>
      </c>
      <c r="K470" s="89" t="s">
        <v>3192</v>
      </c>
    </row>
    <row r="471" spans="2:11">
      <c r="B471" s="88">
        <v>466</v>
      </c>
      <c r="C471" s="83" t="s">
        <v>3669</v>
      </c>
      <c r="D471" s="83" t="s">
        <v>3189</v>
      </c>
      <c r="E471" s="83" t="s">
        <v>3191</v>
      </c>
      <c r="F471" s="83" t="s">
        <v>3182</v>
      </c>
      <c r="G471" s="83" t="s">
        <v>3183</v>
      </c>
      <c r="H471" s="83" t="s">
        <v>3181</v>
      </c>
      <c r="I471" s="83" t="s">
        <v>3185</v>
      </c>
      <c r="J471" s="83" t="s">
        <v>3193</v>
      </c>
      <c r="K471" s="89" t="s">
        <v>3186</v>
      </c>
    </row>
    <row r="472" spans="2:11">
      <c r="B472" s="88">
        <v>467</v>
      </c>
      <c r="C472" s="83" t="s">
        <v>3670</v>
      </c>
      <c r="D472" s="83" t="s">
        <v>3189</v>
      </c>
      <c r="E472" s="83" t="s">
        <v>3191</v>
      </c>
      <c r="F472" s="83" t="s">
        <v>3182</v>
      </c>
      <c r="G472" s="83" t="s">
        <v>3183</v>
      </c>
      <c r="H472" s="83" t="s">
        <v>3181</v>
      </c>
      <c r="I472" s="83" t="s">
        <v>3185</v>
      </c>
      <c r="J472" s="83" t="s">
        <v>3186</v>
      </c>
      <c r="K472" s="89" t="s">
        <v>3192</v>
      </c>
    </row>
    <row r="473" spans="2:11">
      <c r="B473" s="88">
        <v>468</v>
      </c>
      <c r="C473" s="83" t="s">
        <v>3671</v>
      </c>
      <c r="D473" s="83" t="s">
        <v>3189</v>
      </c>
      <c r="E473" s="83" t="s">
        <v>3186</v>
      </c>
      <c r="F473" s="83" t="s">
        <v>3182</v>
      </c>
      <c r="G473" s="83" t="s">
        <v>3183</v>
      </c>
      <c r="H473" s="83" t="s">
        <v>3181</v>
      </c>
      <c r="I473" s="83" t="s">
        <v>3185</v>
      </c>
      <c r="J473" s="83" t="s">
        <v>3193</v>
      </c>
      <c r="K473" s="89" t="s">
        <v>3190</v>
      </c>
    </row>
    <row r="474" spans="2:11">
      <c r="B474" s="88">
        <v>469</v>
      </c>
      <c r="C474" s="83" t="s">
        <v>3672</v>
      </c>
      <c r="D474" s="83" t="s">
        <v>3189</v>
      </c>
      <c r="E474" s="83" t="s">
        <v>3186</v>
      </c>
      <c r="F474" s="83" t="s">
        <v>3182</v>
      </c>
      <c r="G474" s="83" t="s">
        <v>3183</v>
      </c>
      <c r="H474" s="83" t="s">
        <v>3181</v>
      </c>
      <c r="I474" s="83" t="s">
        <v>3185</v>
      </c>
      <c r="J474" s="83" t="s">
        <v>3190</v>
      </c>
      <c r="K474" s="89" t="s">
        <v>3192</v>
      </c>
    </row>
    <row r="475" spans="2:11">
      <c r="B475" s="88">
        <v>470</v>
      </c>
      <c r="C475" s="83" t="s">
        <v>3673</v>
      </c>
      <c r="D475" s="83" t="s">
        <v>3189</v>
      </c>
      <c r="E475" s="83" t="s">
        <v>3191</v>
      </c>
      <c r="F475" s="83" t="s">
        <v>3182</v>
      </c>
      <c r="G475" s="83" t="s">
        <v>3183</v>
      </c>
      <c r="H475" s="83" t="s">
        <v>3181</v>
      </c>
      <c r="I475" s="83" t="s">
        <v>3185</v>
      </c>
      <c r="J475" s="83" t="s">
        <v>3186</v>
      </c>
      <c r="K475" s="89" t="s">
        <v>3190</v>
      </c>
    </row>
    <row r="476" spans="2:11">
      <c r="B476" s="88">
        <v>471</v>
      </c>
      <c r="C476" s="83" t="s">
        <v>3674</v>
      </c>
      <c r="D476" s="83" t="s">
        <v>3186</v>
      </c>
      <c r="E476" s="83" t="s">
        <v>3188</v>
      </c>
      <c r="F476" s="83" t="s">
        <v>3182</v>
      </c>
      <c r="G476" s="83" t="s">
        <v>3183</v>
      </c>
      <c r="H476" s="83" t="s">
        <v>3181</v>
      </c>
      <c r="I476" s="83" t="s">
        <v>3185</v>
      </c>
      <c r="J476" s="83" t="s">
        <v>3193</v>
      </c>
      <c r="K476" s="89" t="s">
        <v>3192</v>
      </c>
    </row>
    <row r="477" spans="2:11">
      <c r="B477" s="88">
        <v>472</v>
      </c>
      <c r="C477" s="83" t="s">
        <v>3675</v>
      </c>
      <c r="D477" s="83" t="s">
        <v>3186</v>
      </c>
      <c r="E477" s="83" t="s">
        <v>3188</v>
      </c>
      <c r="F477" s="83" t="s">
        <v>3182</v>
      </c>
      <c r="G477" s="83" t="s">
        <v>3183</v>
      </c>
      <c r="H477" s="83" t="s">
        <v>3181</v>
      </c>
      <c r="I477" s="83" t="s">
        <v>3185</v>
      </c>
      <c r="J477" s="83" t="s">
        <v>3193</v>
      </c>
      <c r="K477" s="89" t="s">
        <v>3191</v>
      </c>
    </row>
    <row r="478" spans="2:11">
      <c r="B478" s="88">
        <v>473</v>
      </c>
      <c r="C478" s="83" t="s">
        <v>3676</v>
      </c>
      <c r="D478" s="83" t="s">
        <v>3186</v>
      </c>
      <c r="E478" s="83" t="s">
        <v>3188</v>
      </c>
      <c r="F478" s="83" t="s">
        <v>3182</v>
      </c>
      <c r="G478" s="83" t="s">
        <v>3183</v>
      </c>
      <c r="H478" s="83" t="s">
        <v>3181</v>
      </c>
      <c r="I478" s="83" t="s">
        <v>3185</v>
      </c>
      <c r="J478" s="83" t="s">
        <v>3191</v>
      </c>
      <c r="K478" s="89" t="s">
        <v>3192</v>
      </c>
    </row>
    <row r="479" spans="2:11">
      <c r="B479" s="88">
        <v>474</v>
      </c>
      <c r="C479" s="83" t="s">
        <v>3677</v>
      </c>
      <c r="D479" s="83" t="s">
        <v>3186</v>
      </c>
      <c r="E479" s="83" t="s">
        <v>3188</v>
      </c>
      <c r="F479" s="83" t="s">
        <v>3182</v>
      </c>
      <c r="G479" s="83" t="s">
        <v>3183</v>
      </c>
      <c r="H479" s="83" t="s">
        <v>3181</v>
      </c>
      <c r="I479" s="83" t="s">
        <v>3185</v>
      </c>
      <c r="J479" s="83" t="s">
        <v>3193</v>
      </c>
      <c r="K479" s="89" t="s">
        <v>3190</v>
      </c>
    </row>
    <row r="480" spans="2:11">
      <c r="B480" s="88">
        <v>475</v>
      </c>
      <c r="C480" s="83" t="s">
        <v>3678</v>
      </c>
      <c r="D480" s="83" t="s">
        <v>3186</v>
      </c>
      <c r="E480" s="83" t="s">
        <v>3188</v>
      </c>
      <c r="F480" s="83" t="s">
        <v>3182</v>
      </c>
      <c r="G480" s="83" t="s">
        <v>3183</v>
      </c>
      <c r="H480" s="83" t="s">
        <v>3181</v>
      </c>
      <c r="I480" s="83" t="s">
        <v>3185</v>
      </c>
      <c r="J480" s="83" t="s">
        <v>3190</v>
      </c>
      <c r="K480" s="89" t="s">
        <v>3192</v>
      </c>
    </row>
    <row r="481" spans="2:11">
      <c r="B481" s="88">
        <v>476</v>
      </c>
      <c r="C481" s="83" t="s">
        <v>3679</v>
      </c>
      <c r="D481" s="83" t="s">
        <v>3186</v>
      </c>
      <c r="E481" s="83" t="s">
        <v>3188</v>
      </c>
      <c r="F481" s="83" t="s">
        <v>3182</v>
      </c>
      <c r="G481" s="83" t="s">
        <v>3183</v>
      </c>
      <c r="H481" s="83" t="s">
        <v>3181</v>
      </c>
      <c r="I481" s="83" t="s">
        <v>3185</v>
      </c>
      <c r="J481" s="83" t="s">
        <v>3190</v>
      </c>
      <c r="K481" s="89" t="s">
        <v>3191</v>
      </c>
    </row>
    <row r="482" spans="2:11">
      <c r="B482" s="88">
        <v>477</v>
      </c>
      <c r="C482" s="83" t="s">
        <v>3680</v>
      </c>
      <c r="D482" s="83" t="s">
        <v>3189</v>
      </c>
      <c r="E482" s="83" t="s">
        <v>3188</v>
      </c>
      <c r="F482" s="83" t="s">
        <v>3182</v>
      </c>
      <c r="G482" s="83" t="s">
        <v>3183</v>
      </c>
      <c r="H482" s="83" t="s">
        <v>3181</v>
      </c>
      <c r="I482" s="83" t="s">
        <v>3185</v>
      </c>
      <c r="J482" s="83" t="s">
        <v>3193</v>
      </c>
      <c r="K482" s="89" t="s">
        <v>3186</v>
      </c>
    </row>
    <row r="483" spans="2:11">
      <c r="B483" s="88">
        <v>478</v>
      </c>
      <c r="C483" s="83" t="s">
        <v>3681</v>
      </c>
      <c r="D483" s="83" t="s">
        <v>3189</v>
      </c>
      <c r="E483" s="83" t="s">
        <v>3188</v>
      </c>
      <c r="F483" s="83" t="s">
        <v>3182</v>
      </c>
      <c r="G483" s="83" t="s">
        <v>3183</v>
      </c>
      <c r="H483" s="83" t="s">
        <v>3181</v>
      </c>
      <c r="I483" s="83" t="s">
        <v>3185</v>
      </c>
      <c r="J483" s="83" t="s">
        <v>3186</v>
      </c>
      <c r="K483" s="89" t="s">
        <v>3192</v>
      </c>
    </row>
    <row r="484" spans="2:11">
      <c r="B484" s="88">
        <v>479</v>
      </c>
      <c r="C484" s="83" t="s">
        <v>3682</v>
      </c>
      <c r="D484" s="83" t="s">
        <v>3189</v>
      </c>
      <c r="E484" s="83" t="s">
        <v>3188</v>
      </c>
      <c r="F484" s="83" t="s">
        <v>3182</v>
      </c>
      <c r="G484" s="83" t="s">
        <v>3183</v>
      </c>
      <c r="H484" s="83" t="s">
        <v>3181</v>
      </c>
      <c r="I484" s="83" t="s">
        <v>3185</v>
      </c>
      <c r="J484" s="83" t="s">
        <v>3186</v>
      </c>
      <c r="K484" s="89" t="s">
        <v>3191</v>
      </c>
    </row>
    <row r="485" spans="2:11">
      <c r="B485" s="88">
        <v>480</v>
      </c>
      <c r="C485" s="83" t="s">
        <v>3683</v>
      </c>
      <c r="D485" s="83" t="s">
        <v>3189</v>
      </c>
      <c r="E485" s="83" t="s">
        <v>3188</v>
      </c>
      <c r="F485" s="83" t="s">
        <v>3182</v>
      </c>
      <c r="G485" s="83" t="s">
        <v>3183</v>
      </c>
      <c r="H485" s="83" t="s">
        <v>3181</v>
      </c>
      <c r="I485" s="83" t="s">
        <v>3185</v>
      </c>
      <c r="J485" s="83" t="s">
        <v>3186</v>
      </c>
      <c r="K485" s="89" t="s">
        <v>3190</v>
      </c>
    </row>
    <row r="486" spans="2:11">
      <c r="B486" s="88">
        <v>481</v>
      </c>
      <c r="C486" s="83" t="s">
        <v>3684</v>
      </c>
      <c r="D486" s="83" t="s">
        <v>3183</v>
      </c>
      <c r="E486" s="83" t="s">
        <v>3186</v>
      </c>
      <c r="F486" s="83" t="s">
        <v>3182</v>
      </c>
      <c r="G486" s="83" t="s">
        <v>3185</v>
      </c>
      <c r="H486" s="83" t="s">
        <v>3181</v>
      </c>
      <c r="I486" s="83" t="s">
        <v>3187</v>
      </c>
      <c r="J486" s="83" t="s">
        <v>3193</v>
      </c>
      <c r="K486" s="89" t="s">
        <v>3192</v>
      </c>
    </row>
    <row r="487" spans="2:11">
      <c r="B487" s="88">
        <v>482</v>
      </c>
      <c r="C487" s="83" t="s">
        <v>3685</v>
      </c>
      <c r="D487" s="83" t="s">
        <v>3183</v>
      </c>
      <c r="E487" s="83" t="s">
        <v>3191</v>
      </c>
      <c r="F487" s="83" t="s">
        <v>3182</v>
      </c>
      <c r="G487" s="83" t="s">
        <v>3185</v>
      </c>
      <c r="H487" s="83" t="s">
        <v>3181</v>
      </c>
      <c r="I487" s="83" t="s">
        <v>3187</v>
      </c>
      <c r="J487" s="83" t="s">
        <v>3193</v>
      </c>
      <c r="K487" s="89" t="s">
        <v>3186</v>
      </c>
    </row>
    <row r="488" spans="2:11">
      <c r="B488" s="88">
        <v>483</v>
      </c>
      <c r="C488" s="83" t="s">
        <v>3686</v>
      </c>
      <c r="D488" s="83" t="s">
        <v>3183</v>
      </c>
      <c r="E488" s="83" t="s">
        <v>3191</v>
      </c>
      <c r="F488" s="83" t="s">
        <v>3182</v>
      </c>
      <c r="G488" s="83" t="s">
        <v>3185</v>
      </c>
      <c r="H488" s="83" t="s">
        <v>3181</v>
      </c>
      <c r="I488" s="83" t="s">
        <v>3187</v>
      </c>
      <c r="J488" s="83" t="s">
        <v>3186</v>
      </c>
      <c r="K488" s="89" t="s">
        <v>3192</v>
      </c>
    </row>
    <row r="489" spans="2:11">
      <c r="B489" s="88">
        <v>484</v>
      </c>
      <c r="C489" s="83" t="s">
        <v>3687</v>
      </c>
      <c r="D489" s="83" t="s">
        <v>3183</v>
      </c>
      <c r="E489" s="83" t="s">
        <v>3186</v>
      </c>
      <c r="F489" s="83" t="s">
        <v>3182</v>
      </c>
      <c r="G489" s="83" t="s">
        <v>3185</v>
      </c>
      <c r="H489" s="83" t="s">
        <v>3181</v>
      </c>
      <c r="I489" s="83" t="s">
        <v>3187</v>
      </c>
      <c r="J489" s="83" t="s">
        <v>3193</v>
      </c>
      <c r="K489" s="89" t="s">
        <v>3190</v>
      </c>
    </row>
    <row r="490" spans="2:11">
      <c r="B490" s="88">
        <v>485</v>
      </c>
      <c r="C490" s="83" t="s">
        <v>3688</v>
      </c>
      <c r="D490" s="83" t="s">
        <v>3183</v>
      </c>
      <c r="E490" s="83" t="s">
        <v>3186</v>
      </c>
      <c r="F490" s="83" t="s">
        <v>3182</v>
      </c>
      <c r="G490" s="83" t="s">
        <v>3185</v>
      </c>
      <c r="H490" s="83" t="s">
        <v>3181</v>
      </c>
      <c r="I490" s="83" t="s">
        <v>3187</v>
      </c>
      <c r="J490" s="83" t="s">
        <v>3190</v>
      </c>
      <c r="K490" s="89" t="s">
        <v>3192</v>
      </c>
    </row>
    <row r="491" spans="2:11">
      <c r="B491" s="88">
        <v>486</v>
      </c>
      <c r="C491" s="83" t="s">
        <v>3689</v>
      </c>
      <c r="D491" s="83" t="s">
        <v>3183</v>
      </c>
      <c r="E491" s="83" t="s">
        <v>3191</v>
      </c>
      <c r="F491" s="83" t="s">
        <v>3182</v>
      </c>
      <c r="G491" s="83" t="s">
        <v>3185</v>
      </c>
      <c r="H491" s="83" t="s">
        <v>3181</v>
      </c>
      <c r="I491" s="83" t="s">
        <v>3187</v>
      </c>
      <c r="J491" s="83" t="s">
        <v>3186</v>
      </c>
      <c r="K491" s="89" t="s">
        <v>3190</v>
      </c>
    </row>
    <row r="492" spans="2:11">
      <c r="B492" s="88">
        <v>487</v>
      </c>
      <c r="C492" s="83" t="s">
        <v>3690</v>
      </c>
      <c r="D492" s="83" t="s">
        <v>3189</v>
      </c>
      <c r="E492" s="83" t="s">
        <v>3187</v>
      </c>
      <c r="F492" s="83" t="s">
        <v>3182</v>
      </c>
      <c r="G492" s="83" t="s">
        <v>3183</v>
      </c>
      <c r="H492" s="83" t="s">
        <v>3181</v>
      </c>
      <c r="I492" s="83" t="s">
        <v>3185</v>
      </c>
      <c r="J492" s="83" t="s">
        <v>3193</v>
      </c>
      <c r="K492" s="89" t="s">
        <v>3186</v>
      </c>
    </row>
    <row r="493" spans="2:11">
      <c r="B493" s="88">
        <v>488</v>
      </c>
      <c r="C493" s="83" t="s">
        <v>3691</v>
      </c>
      <c r="D493" s="83" t="s">
        <v>3189</v>
      </c>
      <c r="E493" s="83" t="s">
        <v>3186</v>
      </c>
      <c r="F493" s="83" t="s">
        <v>3182</v>
      </c>
      <c r="G493" s="83" t="s">
        <v>3183</v>
      </c>
      <c r="H493" s="83" t="s">
        <v>3181</v>
      </c>
      <c r="I493" s="83" t="s">
        <v>3187</v>
      </c>
      <c r="J493" s="83" t="s">
        <v>3185</v>
      </c>
      <c r="K493" s="89" t="s">
        <v>3192</v>
      </c>
    </row>
    <row r="494" spans="2:11">
      <c r="B494" s="88">
        <v>489</v>
      </c>
      <c r="C494" s="83" t="s">
        <v>3692</v>
      </c>
      <c r="D494" s="83" t="s">
        <v>3189</v>
      </c>
      <c r="E494" s="83" t="s">
        <v>3191</v>
      </c>
      <c r="F494" s="83" t="s">
        <v>3182</v>
      </c>
      <c r="G494" s="83" t="s">
        <v>3183</v>
      </c>
      <c r="H494" s="83" t="s">
        <v>3181</v>
      </c>
      <c r="I494" s="83" t="s">
        <v>3187</v>
      </c>
      <c r="J494" s="83" t="s">
        <v>3185</v>
      </c>
      <c r="K494" s="89" t="s">
        <v>3186</v>
      </c>
    </row>
    <row r="495" spans="2:11">
      <c r="B495" s="88">
        <v>490</v>
      </c>
      <c r="C495" s="83" t="s">
        <v>3693</v>
      </c>
      <c r="D495" s="83" t="s">
        <v>3189</v>
      </c>
      <c r="E495" s="83" t="s">
        <v>3186</v>
      </c>
      <c r="F495" s="83" t="s">
        <v>3182</v>
      </c>
      <c r="G495" s="83" t="s">
        <v>3183</v>
      </c>
      <c r="H495" s="83" t="s">
        <v>3181</v>
      </c>
      <c r="I495" s="83" t="s">
        <v>3187</v>
      </c>
      <c r="J495" s="83" t="s">
        <v>3185</v>
      </c>
      <c r="K495" s="89" t="s">
        <v>3190</v>
      </c>
    </row>
    <row r="496" spans="2:11">
      <c r="B496" s="88">
        <v>491</v>
      </c>
      <c r="C496" s="83" t="s">
        <v>3694</v>
      </c>
      <c r="D496" s="83" t="s">
        <v>3183</v>
      </c>
      <c r="E496" s="83" t="s">
        <v>3188</v>
      </c>
      <c r="F496" s="83" t="s">
        <v>3182</v>
      </c>
      <c r="G496" s="83" t="s">
        <v>3185</v>
      </c>
      <c r="H496" s="83" t="s">
        <v>3181</v>
      </c>
      <c r="I496" s="83" t="s">
        <v>3187</v>
      </c>
      <c r="J496" s="83" t="s">
        <v>3193</v>
      </c>
      <c r="K496" s="89" t="s">
        <v>3186</v>
      </c>
    </row>
    <row r="497" spans="2:11">
      <c r="B497" s="88">
        <v>492</v>
      </c>
      <c r="C497" s="83" t="s">
        <v>3695</v>
      </c>
      <c r="D497" s="83" t="s">
        <v>3183</v>
      </c>
      <c r="E497" s="83" t="s">
        <v>3188</v>
      </c>
      <c r="F497" s="83" t="s">
        <v>3182</v>
      </c>
      <c r="G497" s="83" t="s">
        <v>3185</v>
      </c>
      <c r="H497" s="83" t="s">
        <v>3181</v>
      </c>
      <c r="I497" s="83" t="s">
        <v>3187</v>
      </c>
      <c r="J497" s="83" t="s">
        <v>3186</v>
      </c>
      <c r="K497" s="89" t="s">
        <v>3192</v>
      </c>
    </row>
    <row r="498" spans="2:11">
      <c r="B498" s="88">
        <v>493</v>
      </c>
      <c r="C498" s="83" t="s">
        <v>3696</v>
      </c>
      <c r="D498" s="83" t="s">
        <v>3183</v>
      </c>
      <c r="E498" s="83" t="s">
        <v>3188</v>
      </c>
      <c r="F498" s="83" t="s">
        <v>3182</v>
      </c>
      <c r="G498" s="83" t="s">
        <v>3185</v>
      </c>
      <c r="H498" s="83" t="s">
        <v>3181</v>
      </c>
      <c r="I498" s="83" t="s">
        <v>3187</v>
      </c>
      <c r="J498" s="83" t="s">
        <v>3186</v>
      </c>
      <c r="K498" s="89" t="s">
        <v>3191</v>
      </c>
    </row>
    <row r="499" spans="2:11">
      <c r="B499" s="88">
        <v>494</v>
      </c>
      <c r="C499" s="83" t="s">
        <v>3697</v>
      </c>
      <c r="D499" s="83" t="s">
        <v>3183</v>
      </c>
      <c r="E499" s="83" t="s">
        <v>3188</v>
      </c>
      <c r="F499" s="83" t="s">
        <v>3182</v>
      </c>
      <c r="G499" s="83" t="s">
        <v>3185</v>
      </c>
      <c r="H499" s="83" t="s">
        <v>3181</v>
      </c>
      <c r="I499" s="83" t="s">
        <v>3187</v>
      </c>
      <c r="J499" s="83" t="s">
        <v>3186</v>
      </c>
      <c r="K499" s="89" t="s">
        <v>3190</v>
      </c>
    </row>
    <row r="500" spans="2:11">
      <c r="B500" s="90">
        <v>495</v>
      </c>
      <c r="C500" s="91" t="s">
        <v>3698</v>
      </c>
      <c r="D500" s="91" t="s">
        <v>3189</v>
      </c>
      <c r="E500" s="91" t="s">
        <v>3188</v>
      </c>
      <c r="F500" s="91" t="s">
        <v>3182</v>
      </c>
      <c r="G500" s="91" t="s">
        <v>3183</v>
      </c>
      <c r="H500" s="91" t="s">
        <v>3181</v>
      </c>
      <c r="I500" s="91" t="s">
        <v>3187</v>
      </c>
      <c r="J500" s="91" t="s">
        <v>3185</v>
      </c>
      <c r="K500" s="92" t="s">
        <v>3186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www.excely.com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/>
  <cp:revision/>
  <dcterms:created xsi:type="dcterms:W3CDTF">2017-12-27T19:32:51Z</dcterms:created>
  <dcterms:modified xsi:type="dcterms:W3CDTF">2026-06-10T09:12:12Z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