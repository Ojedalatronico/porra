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derico Gutierrez\Downloads\"/>
    </mc:Choice>
  </mc:AlternateContent>
  <xr:revisionPtr revIDLastSave="0" documentId="13_ncr:1_{33E2B6DD-52F5-46A5-9E7F-E6D35CFEC6F0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S74" i="3"/>
  <c r="T74" i="3" s="1"/>
  <c r="S28" i="3"/>
  <c r="T28" i="3" s="1"/>
  <c r="S51" i="3"/>
  <c r="T51" i="3" s="1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S43" i="3"/>
  <c r="S19" i="3"/>
  <c r="S20" i="3"/>
  <c r="T20" i="3" s="1"/>
  <c r="S44" i="3"/>
  <c r="T44" i="3" s="1"/>
  <c r="S46" i="3"/>
  <c r="T46" i="3" s="1"/>
  <c r="S21" i="3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27" i="3"/>
  <c r="S54" i="3"/>
  <c r="S77" i="3"/>
  <c r="T78" i="3"/>
  <c r="S50" i="3"/>
  <c r="S76" i="3"/>
  <c r="S47" i="3"/>
  <c r="S67" i="3"/>
  <c r="T48" i="3"/>
  <c r="T43" i="3"/>
  <c r="S72" i="3"/>
  <c r="T19" i="3"/>
  <c r="S70" i="3"/>
  <c r="T21" i="3"/>
  <c r="S42" i="3"/>
  <c r="S64" i="3"/>
  <c r="T41" i="3"/>
  <c r="S40" i="3"/>
  <c r="S62" i="3"/>
  <c r="S38" i="3"/>
  <c r="S65" i="3"/>
  <c r="S55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0" i="3" l="1"/>
  <c r="AR11" i="3"/>
  <c r="AR9" i="3"/>
  <c r="AR33" i="3"/>
  <c r="AR34" i="3"/>
  <c r="AR28" i="3"/>
  <c r="AR35" i="3"/>
  <c r="AD32" i="3" s="1"/>
  <c r="AR22" i="3"/>
  <c r="AR21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D44" i="3" s="1"/>
  <c r="AR64" i="3"/>
  <c r="AD62" i="3" s="1"/>
  <c r="AR39" i="3"/>
  <c r="AD56" i="3"/>
  <c r="M58" i="3" s="1"/>
  <c r="AR16" i="3"/>
  <c r="AR17" i="3"/>
  <c r="AD59" i="3"/>
  <c r="AD76" i="3" l="1"/>
  <c r="AD11" i="3"/>
  <c r="AD8" i="3"/>
  <c r="M10" i="3" s="1"/>
  <c r="AD10" i="3"/>
  <c r="AD9" i="3"/>
  <c r="AD14" i="3"/>
  <c r="L16" i="3" s="1"/>
  <c r="AD70" i="3"/>
  <c r="AD41" i="3"/>
  <c r="AD68" i="3"/>
  <c r="L69" i="3" s="1"/>
  <c r="AD75" i="3"/>
  <c r="AD15" i="3"/>
  <c r="AD33" i="3"/>
  <c r="AD35" i="3"/>
  <c r="AD34" i="3"/>
  <c r="M59" i="3"/>
  <c r="O60" i="3"/>
  <c r="L58" i="3"/>
  <c r="P58" i="3" s="1"/>
  <c r="N58" i="3"/>
  <c r="AD22" i="3"/>
  <c r="AD28" i="3"/>
  <c r="L59" i="3"/>
  <c r="AD63" i="3"/>
  <c r="AD47" i="3"/>
  <c r="AD29" i="3"/>
  <c r="AD71" i="3"/>
  <c r="AD20" i="3"/>
  <c r="AD26" i="3"/>
  <c r="AD27" i="3"/>
  <c r="AD21" i="3"/>
  <c r="AD74" i="3"/>
  <c r="O75" i="3" s="1"/>
  <c r="AD53" i="3"/>
  <c r="AD69" i="3"/>
  <c r="J71" i="3" s="1"/>
  <c r="AE90" i="3" s="1"/>
  <c r="AQ90" i="3" s="1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J12" i="3"/>
  <c r="N12" i="3"/>
  <c r="O9" i="3"/>
  <c r="N9" i="3"/>
  <c r="O12" i="3"/>
  <c r="N33" i="3"/>
  <c r="L33" i="3"/>
  <c r="O33" i="3"/>
  <c r="M33" i="3"/>
  <c r="N11" i="3" l="1"/>
  <c r="J10" i="3"/>
  <c r="AS9" i="3" s="1"/>
  <c r="BL18" i="3" s="1"/>
  <c r="O10" i="3"/>
  <c r="M9" i="3"/>
  <c r="M11" i="3"/>
  <c r="L10" i="3"/>
  <c r="O11" i="3"/>
  <c r="J11" i="3"/>
  <c r="AE80" i="3" s="1"/>
  <c r="AQ80" i="3" s="1"/>
  <c r="N10" i="3"/>
  <c r="L12" i="3"/>
  <c r="L9" i="3"/>
  <c r="J9" i="3"/>
  <c r="AS8" i="3" s="1"/>
  <c r="BL50" i="3" s="1"/>
  <c r="L11" i="3"/>
  <c r="M12" i="3"/>
  <c r="P12" i="3" s="1"/>
  <c r="O69" i="3"/>
  <c r="J69" i="3"/>
  <c r="AS68" i="3" s="1"/>
  <c r="BL70" i="3" s="1"/>
  <c r="N69" i="3"/>
  <c r="M69" i="3"/>
  <c r="M63" i="3"/>
  <c r="N17" i="3"/>
  <c r="M45" i="3"/>
  <c r="L63" i="3"/>
  <c r="P59" i="3"/>
  <c r="J63" i="3"/>
  <c r="AS62" i="3" s="1"/>
  <c r="BL58" i="3" s="1"/>
  <c r="BS60" i="3" s="1"/>
  <c r="BZ64" i="3" s="1"/>
  <c r="O63" i="3"/>
  <c r="N63" i="3"/>
  <c r="N65" i="3"/>
  <c r="J45" i="3"/>
  <c r="AS44" i="3" s="1"/>
  <c r="BL38" i="3" s="1"/>
  <c r="O45" i="3"/>
  <c r="L45" i="3"/>
  <c r="N45" i="3"/>
  <c r="L34" i="3"/>
  <c r="O51" i="3"/>
  <c r="N39" i="3"/>
  <c r="J33" i="3"/>
  <c r="AS32" i="3" s="1"/>
  <c r="BL10" i="3" s="1"/>
  <c r="M36" i="3"/>
  <c r="K58" i="3"/>
  <c r="O36" i="3"/>
  <c r="O34" i="3"/>
  <c r="M35" i="3"/>
  <c r="L35" i="3"/>
  <c r="O18" i="3"/>
  <c r="J18" i="3"/>
  <c r="M18" i="3"/>
  <c r="O35" i="3"/>
  <c r="N18" i="3"/>
  <c r="L36" i="3"/>
  <c r="M16" i="3"/>
  <c r="N16" i="3"/>
  <c r="J16" i="3"/>
  <c r="AS15" i="3" s="1"/>
  <c r="BL19" i="3" s="1"/>
  <c r="O16" i="3"/>
  <c r="N34" i="3"/>
  <c r="N35" i="3"/>
  <c r="N36" i="3"/>
  <c r="J36" i="3"/>
  <c r="M34" i="3"/>
  <c r="L18" i="3"/>
  <c r="L65" i="3"/>
  <c r="N64" i="3"/>
  <c r="J34" i="3"/>
  <c r="AS33" i="3" s="1"/>
  <c r="BL46" i="3" s="1"/>
  <c r="BS45" i="3" s="1"/>
  <c r="BZ48" i="3" s="1"/>
  <c r="J35" i="3"/>
  <c r="AE84" i="3" s="1"/>
  <c r="AQ84" i="3" s="1"/>
  <c r="L28" i="3"/>
  <c r="K59" i="3"/>
  <c r="J22" i="3"/>
  <c r="AS21" i="3" s="1"/>
  <c r="BL23" i="3" s="1"/>
  <c r="M65" i="3"/>
  <c r="L70" i="3"/>
  <c r="M29" i="3"/>
  <c r="O46" i="3"/>
  <c r="J39" i="3"/>
  <c r="AS38" i="3" s="1"/>
  <c r="BL22" i="3" s="1"/>
  <c r="N54" i="3"/>
  <c r="L30" i="3"/>
  <c r="J51" i="3"/>
  <c r="AS50" i="3" s="1"/>
  <c r="BL30" i="3" s="1"/>
  <c r="N30" i="3"/>
  <c r="M51" i="3"/>
  <c r="J27" i="3"/>
  <c r="AS26" i="3" s="1"/>
  <c r="BL34" i="3" s="1"/>
  <c r="J28" i="3"/>
  <c r="AS27" i="3" s="1"/>
  <c r="BL62" i="3" s="1"/>
  <c r="BS61" i="3" s="1"/>
  <c r="J70" i="3"/>
  <c r="AS69" i="3" s="1"/>
  <c r="BL26" i="3" s="1"/>
  <c r="N51" i="3"/>
  <c r="L51" i="3"/>
  <c r="J65" i="3"/>
  <c r="AE89" i="3" s="1"/>
  <c r="AQ89" i="3" s="1"/>
  <c r="J29" i="3"/>
  <c r="AE83" i="3" s="1"/>
  <c r="AQ83" i="3" s="1"/>
  <c r="N27" i="3"/>
  <c r="O65" i="3"/>
  <c r="J30" i="3"/>
  <c r="L23" i="3"/>
  <c r="O24" i="3"/>
  <c r="N29" i="3"/>
  <c r="N24" i="3"/>
  <c r="M78" i="3"/>
  <c r="O23" i="3"/>
  <c r="O78" i="3"/>
  <c r="L78" i="3"/>
  <c r="N78" i="3"/>
  <c r="O27" i="3"/>
  <c r="N28" i="3"/>
  <c r="M21" i="3"/>
  <c r="J78" i="3"/>
  <c r="O30" i="3"/>
  <c r="N21" i="3"/>
  <c r="M28" i="3"/>
  <c r="L22" i="3"/>
  <c r="J76" i="3"/>
  <c r="AS75" i="3" s="1"/>
  <c r="BL27" i="3" s="1"/>
  <c r="O76" i="3"/>
  <c r="N22" i="3"/>
  <c r="L75" i="3"/>
  <c r="N40" i="3"/>
  <c r="M30" i="3"/>
  <c r="M24" i="3"/>
  <c r="N66" i="3"/>
  <c r="M76" i="3"/>
  <c r="J75" i="3"/>
  <c r="AS74" i="3" s="1"/>
  <c r="BL54" i="3" s="1"/>
  <c r="O39" i="3"/>
  <c r="O28" i="3"/>
  <c r="L24" i="3"/>
  <c r="L77" i="3"/>
  <c r="J24" i="3"/>
  <c r="L76" i="3"/>
  <c r="L39" i="3"/>
  <c r="O29" i="3"/>
  <c r="L21" i="3"/>
  <c r="M70" i="3"/>
  <c r="M39" i="3"/>
  <c r="L27" i="3"/>
  <c r="M22" i="3"/>
  <c r="L40" i="3"/>
  <c r="N77" i="3"/>
  <c r="O77" i="3"/>
  <c r="M27" i="3"/>
  <c r="J21" i="3"/>
  <c r="AS20" i="3" s="1"/>
  <c r="BL42" i="3" s="1"/>
  <c r="BS44" i="3" s="1"/>
  <c r="N52" i="3"/>
  <c r="O72" i="3"/>
  <c r="J52" i="3"/>
  <c r="AS51" i="3" s="1"/>
  <c r="BL59" i="3" s="1"/>
  <c r="M64" i="3"/>
  <c r="L72" i="3"/>
  <c r="M66" i="3"/>
  <c r="L66" i="3"/>
  <c r="O22" i="3"/>
  <c r="M17" i="3"/>
  <c r="J66" i="3"/>
  <c r="O71" i="3"/>
  <c r="M40" i="3"/>
  <c r="N71" i="3"/>
  <c r="N76" i="3"/>
  <c r="M71" i="3"/>
  <c r="O40" i="3"/>
  <c r="N72" i="3"/>
  <c r="M72" i="3"/>
  <c r="M75" i="3"/>
  <c r="L71" i="3"/>
  <c r="N53" i="3"/>
  <c r="J72" i="3"/>
  <c r="M77" i="3"/>
  <c r="N75" i="3"/>
  <c r="N70" i="3"/>
  <c r="M54" i="3"/>
  <c r="J40" i="3"/>
  <c r="AS39" i="3" s="1"/>
  <c r="BL43" i="3" s="1"/>
  <c r="L29" i="3"/>
  <c r="O21" i="3"/>
  <c r="M41" i="3"/>
  <c r="L64" i="3"/>
  <c r="J64" i="3"/>
  <c r="AS63" i="3" s="1"/>
  <c r="BL31" i="3" s="1"/>
  <c r="O70" i="3"/>
  <c r="J77" i="3"/>
  <c r="AE91" i="3" s="1"/>
  <c r="AQ91" i="3" s="1"/>
  <c r="O64" i="3"/>
  <c r="O48" i="3"/>
  <c r="L46" i="3"/>
  <c r="N47" i="3"/>
  <c r="L48" i="3"/>
  <c r="AT88" i="3"/>
  <c r="K57" i="3"/>
  <c r="M48" i="3"/>
  <c r="J46" i="3"/>
  <c r="AS45" i="3" s="1"/>
  <c r="BL63" i="3" s="1"/>
  <c r="J41" i="3"/>
  <c r="AE85" i="3" s="1"/>
  <c r="AQ85" i="3" s="1"/>
  <c r="AN88" i="3"/>
  <c r="N46" i="3"/>
  <c r="L47" i="3"/>
  <c r="J47" i="3"/>
  <c r="AE86" i="3" s="1"/>
  <c r="AQ86" i="3" s="1"/>
  <c r="AJ88" i="3"/>
  <c r="J48" i="3"/>
  <c r="AI88" i="3"/>
  <c r="M42" i="3"/>
  <c r="AG88" i="3"/>
  <c r="L42" i="3"/>
  <c r="L17" i="3"/>
  <c r="AF88" i="3"/>
  <c r="P57" i="3"/>
  <c r="M47" i="3"/>
  <c r="N48" i="3"/>
  <c r="O66" i="3"/>
  <c r="L54" i="3"/>
  <c r="O47" i="3"/>
  <c r="O17" i="3"/>
  <c r="M46" i="3"/>
  <c r="J42" i="3"/>
  <c r="O42" i="3"/>
  <c r="L15" i="3"/>
  <c r="O54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P23" i="3" s="1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F90" i="3"/>
  <c r="AG90" i="3"/>
  <c r="AH90" i="3"/>
  <c r="AI90" i="3"/>
  <c r="AJ90" i="3"/>
  <c r="AL90" i="3"/>
  <c r="AN90" i="3"/>
  <c r="AT90" i="3"/>
  <c r="P33" i="3"/>
  <c r="K33" i="3"/>
  <c r="K10" i="3"/>
  <c r="P10" i="3"/>
  <c r="AF80" i="3"/>
  <c r="AG80" i="3"/>
  <c r="AH80" i="3"/>
  <c r="AI80" i="3"/>
  <c r="AJ80" i="3"/>
  <c r="AL80" i="3"/>
  <c r="AN80" i="3"/>
  <c r="AT80" i="3"/>
  <c r="S91" i="3" l="1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7" i="3"/>
  <c r="T87" i="3" s="1" a="1"/>
  <c r="T87" i="3" s="1"/>
  <c r="BS29" i="3"/>
  <c r="S86" i="3"/>
  <c r="T86" i="3" s="1" a="1"/>
  <c r="T86" i="3" s="1"/>
  <c r="BS28" i="3"/>
  <c r="S88" i="3"/>
  <c r="T88" i="3" s="1" a="1"/>
  <c r="T88" i="3" s="1"/>
  <c r="BS20" i="3"/>
  <c r="P11" i="3"/>
  <c r="P9" i="3"/>
  <c r="K9" i="3"/>
  <c r="K11" i="3"/>
  <c r="K12" i="3"/>
  <c r="K69" i="3"/>
  <c r="P69" i="3"/>
  <c r="P63" i="3"/>
  <c r="K63" i="3"/>
  <c r="P45" i="3"/>
  <c r="AF84" i="3"/>
  <c r="K45" i="3"/>
  <c r="P35" i="3"/>
  <c r="P36" i="3"/>
  <c r="P54" i="3"/>
  <c r="AJ84" i="3"/>
  <c r="AH84" i="3"/>
  <c r="AI84" i="3"/>
  <c r="AG84" i="3"/>
  <c r="AN84" i="3"/>
  <c r="AL84" i="3"/>
  <c r="K36" i="3"/>
  <c r="K35" i="3"/>
  <c r="K16" i="3"/>
  <c r="P17" i="3"/>
  <c r="P16" i="3"/>
  <c r="P18" i="3"/>
  <c r="P66" i="3"/>
  <c r="K34" i="3"/>
  <c r="P34" i="3"/>
  <c r="K18" i="3"/>
  <c r="AN91" i="3"/>
  <c r="P51" i="3"/>
  <c r="K17" i="3"/>
  <c r="AT91" i="3"/>
  <c r="AL91" i="3"/>
  <c r="K51" i="3"/>
  <c r="P24" i="3"/>
  <c r="P65" i="3"/>
  <c r="AT84" i="3"/>
  <c r="AG89" i="3"/>
  <c r="AF89" i="3"/>
  <c r="K65" i="3"/>
  <c r="K39" i="3"/>
  <c r="AH83" i="3"/>
  <c r="AG83" i="3"/>
  <c r="AF83" i="3"/>
  <c r="P28" i="3"/>
  <c r="AJ91" i="3"/>
  <c r="AI91" i="3"/>
  <c r="P29" i="3"/>
  <c r="AI83" i="3"/>
  <c r="P70" i="3"/>
  <c r="P21" i="3"/>
  <c r="K27" i="3"/>
  <c r="K30" i="3"/>
  <c r="K24" i="3"/>
  <c r="K47" i="3"/>
  <c r="K21" i="3"/>
  <c r="K40" i="3"/>
  <c r="K66" i="3"/>
  <c r="K78" i="3"/>
  <c r="P78" i="3"/>
  <c r="K70" i="3"/>
  <c r="P48" i="3"/>
  <c r="P30" i="3"/>
  <c r="AI86" i="3"/>
  <c r="AG81" i="3"/>
  <c r="P27" i="3"/>
  <c r="K29" i="3"/>
  <c r="AH81" i="3"/>
  <c r="AT89" i="3"/>
  <c r="AJ89" i="3"/>
  <c r="P76" i="3"/>
  <c r="P22" i="3"/>
  <c r="AI81" i="3"/>
  <c r="AF85" i="3"/>
  <c r="AN89" i="3"/>
  <c r="P40" i="3"/>
  <c r="AI89" i="3"/>
  <c r="K75" i="3"/>
  <c r="AH89" i="3"/>
  <c r="P72" i="3"/>
  <c r="P77" i="3"/>
  <c r="K28" i="3"/>
  <c r="AH91" i="3"/>
  <c r="AT83" i="3"/>
  <c r="AN83" i="3"/>
  <c r="AL83" i="3"/>
  <c r="AL89" i="3"/>
  <c r="AJ83" i="3"/>
  <c r="AT86" i="3"/>
  <c r="AJ86" i="3"/>
  <c r="P39" i="3"/>
  <c r="K72" i="3"/>
  <c r="AN82" i="3"/>
  <c r="AG82" i="3"/>
  <c r="AG91" i="3"/>
  <c r="P64" i="3"/>
  <c r="P71" i="3"/>
  <c r="AF91" i="3"/>
  <c r="P46" i="3"/>
  <c r="AJ82" i="3"/>
  <c r="AI82" i="3"/>
  <c r="K22" i="3"/>
  <c r="K76" i="3"/>
  <c r="K53" i="3"/>
  <c r="AL87" i="3"/>
  <c r="AT85" i="3"/>
  <c r="AJ87" i="3"/>
  <c r="AH82" i="3"/>
  <c r="AJ85" i="3"/>
  <c r="K54" i="3"/>
  <c r="P41" i="3"/>
  <c r="P75" i="3"/>
  <c r="AF81" i="3"/>
  <c r="AH85" i="3"/>
  <c r="K77" i="3"/>
  <c r="AF82" i="3"/>
  <c r="AF86" i="3"/>
  <c r="P47" i="3"/>
  <c r="K64" i="3"/>
  <c r="AI85" i="3"/>
  <c r="AH86" i="3"/>
  <c r="K46" i="3"/>
  <c r="K71" i="3"/>
  <c r="AG85" i="3"/>
  <c r="K48" i="3"/>
  <c r="AG86" i="3"/>
  <c r="AT81" i="3"/>
  <c r="AN81" i="3"/>
  <c r="K42" i="3"/>
  <c r="K41" i="3"/>
  <c r="P15" i="3"/>
  <c r="AL81" i="3"/>
  <c r="AJ81" i="3"/>
  <c r="AF87" i="3"/>
  <c r="P52" i="3"/>
  <c r="P53" i="3"/>
  <c r="AG87" i="3"/>
  <c r="P42" i="3"/>
  <c r="K23" i="3"/>
  <c r="AN85" i="3"/>
  <c r="AN86" i="3"/>
  <c r="K15" i="3"/>
  <c r="AT82" i="3"/>
  <c r="AL85" i="3"/>
  <c r="AL86" i="3"/>
  <c r="AT87" i="3"/>
  <c r="AH87" i="3"/>
  <c r="AN87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I92" i="3"/>
  <c r="AJ92" i="3"/>
  <c r="AF92" i="3"/>
  <c r="AH92" i="3"/>
  <c r="AS92" i="3"/>
  <c r="AN92" i="3"/>
  <c r="AG92" i="3"/>
  <c r="AL92" i="3"/>
  <c r="AM88" i="3" s="1"/>
  <c r="S103" i="3" l="1"/>
  <c r="T103" i="3" s="1" a="1"/>
  <c r="T103" i="3" s="1"/>
  <c r="CG24" i="3"/>
  <c r="S111" i="3" s="1"/>
  <c r="T111" i="3" s="1"/>
  <c r="AM85" i="3"/>
  <c r="AM80" i="3"/>
  <c r="AM82" i="3"/>
  <c r="AM84" i="3"/>
  <c r="AM86" i="3"/>
  <c r="AM87" i="3"/>
  <c r="AM81" i="3"/>
  <c r="AM89" i="3"/>
  <c r="AM90" i="3"/>
  <c r="AM91" i="3"/>
  <c r="AM83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83" i="3"/>
  <c r="AP85" i="3"/>
  <c r="AP82" i="3"/>
  <c r="AP88" i="3"/>
  <c r="AP90" i="3"/>
  <c r="AP89" i="3"/>
  <c r="AP86" i="3"/>
  <c r="AP84" i="3"/>
  <c r="AP81" i="3"/>
  <c r="AP91" i="3"/>
  <c r="CN37" i="3" l="1"/>
  <c r="CK68" i="3" s="1"/>
  <c r="CN48" i="3"/>
  <c r="AD89" i="3"/>
  <c r="AS89" i="3" s="1"/>
  <c r="AD84" i="3"/>
  <c r="AS84" i="3" s="1"/>
  <c r="AD83" i="3"/>
  <c r="AS83" i="3" s="1"/>
  <c r="AD86" i="3"/>
  <c r="AS86" i="3" s="1"/>
  <c r="AD85" i="3"/>
  <c r="AS85" i="3" s="1"/>
  <c r="AD91" i="3"/>
  <c r="AS91" i="3" s="1"/>
  <c r="AD87" i="3"/>
  <c r="AS87" i="3" s="1"/>
  <c r="AD88" i="3"/>
  <c r="AS88" i="3" s="1"/>
  <c r="AD82" i="3"/>
  <c r="AS82" i="3" s="1"/>
  <c r="AD90" i="3"/>
  <c r="AS90" i="3" s="1"/>
  <c r="AD80" i="3"/>
  <c r="AD81" i="3"/>
  <c r="AS81" i="3" s="1"/>
  <c r="N91" i="3" l="1"/>
  <c r="N89" i="3"/>
  <c r="O89" i="3"/>
  <c r="M85" i="3"/>
  <c r="L90" i="3"/>
  <c r="J87" i="3"/>
  <c r="L88" i="3"/>
  <c r="M87" i="3"/>
  <c r="N84" i="3"/>
  <c r="L83" i="3"/>
  <c r="O84" i="3"/>
  <c r="L85" i="3"/>
  <c r="P85" i="3" s="1"/>
  <c r="AS80" i="3"/>
  <c r="J92" i="3"/>
  <c r="L89" i="3"/>
  <c r="M81" i="3"/>
  <c r="J91" i="3"/>
  <c r="M92" i="3"/>
  <c r="J81" i="3"/>
  <c r="L92" i="3"/>
  <c r="J83" i="3"/>
  <c r="M91" i="3"/>
  <c r="M86" i="3"/>
  <c r="M88" i="3"/>
  <c r="O83" i="3"/>
  <c r="O88" i="3"/>
  <c r="O82" i="3"/>
  <c r="O91" i="3"/>
  <c r="N83" i="3"/>
  <c r="N90" i="3"/>
  <c r="L86" i="3"/>
  <c r="L81" i="3"/>
  <c r="N85" i="3"/>
  <c r="M90" i="3"/>
  <c r="L87" i="3"/>
  <c r="N86" i="3"/>
  <c r="O90" i="3"/>
  <c r="O81" i="3"/>
  <c r="N81" i="3"/>
  <c r="O86" i="3"/>
  <c r="O87" i="3"/>
  <c r="J88" i="3"/>
  <c r="O85" i="3"/>
  <c r="M89" i="3"/>
  <c r="J89" i="3"/>
  <c r="J86" i="3"/>
  <c r="M83" i="3"/>
  <c r="P83" i="3" s="1"/>
  <c r="N87" i="3"/>
  <c r="M82" i="3"/>
  <c r="N82" i="3"/>
  <c r="J90" i="3"/>
  <c r="J85" i="3"/>
  <c r="L91" i="3"/>
  <c r="J84" i="3"/>
  <c r="J8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8" i="3"/>
  <c r="N92" i="3"/>
  <c r="O92" i="3"/>
  <c r="L84" i="3"/>
  <c r="M84" i="3"/>
  <c r="L82" i="3"/>
  <c r="K88" i="3" l="1"/>
  <c r="P90" i="3"/>
  <c r="K85" i="3"/>
  <c r="P88" i="3"/>
  <c r="P92" i="3"/>
  <c r="P87" i="3"/>
  <c r="K92" i="3"/>
  <c r="P91" i="3"/>
  <c r="P81" i="3"/>
  <c r="K89" i="3"/>
  <c r="K87" i="3"/>
  <c r="K90" i="3"/>
  <c r="P86" i="3"/>
  <c r="K81" i="3"/>
  <c r="P89" i="3"/>
  <c r="K83" i="3"/>
  <c r="K86" i="3"/>
  <c r="P82" i="3"/>
  <c r="K84" i="3"/>
  <c r="J3" i="4"/>
  <c r="BL71" i="3" s="1"/>
  <c r="P84" i="3"/>
  <c r="D3" i="4"/>
  <c r="BL51" i="3" s="1"/>
  <c r="E3" i="4"/>
  <c r="BL67" i="3" s="1"/>
  <c r="K3" i="4"/>
  <c r="BL55" i="3" s="1"/>
  <c r="H3" i="4"/>
  <c r="BL39" i="3" s="1"/>
  <c r="K91" i="3"/>
  <c r="B3" i="4"/>
  <c r="G3" i="4"/>
  <c r="BL11" i="3" s="1"/>
  <c r="K82" i="3"/>
  <c r="I3" i="4"/>
  <c r="BL15" i="3" s="1"/>
  <c r="BS53" i="3"/>
  <c r="BS52" i="3"/>
  <c r="BS69" i="3"/>
  <c r="BZ65" i="3" s="1"/>
  <c r="CG56" i="3" s="1"/>
  <c r="CN3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<sst xmlns="http://schemas.openxmlformats.org/spreadsheetml/2006/main" count="9785" uniqueCount="3699">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</sst>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G39" zoomScaleNormal="100" workbookViewId="0">
      <selection activeCell="BZ70" sqref="BZ70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0</v>
      </c>
      <c r="AH8" s="123">
        <f>COUNTIF($S$7:$T$78,"=" &amp; AE8 &amp; "_lose")</f>
        <v>1</v>
      </c>
      <c r="AI8" s="123">
        <f>SUMIF($E$7:$E$78,$AE8,$F$7:$F$78) + SUMIF($H$7:$H$78,$AE8,$G$7:$G$78)</f>
        <v>4</v>
      </c>
      <c r="AJ8" s="123">
        <f>SUMIF($E$7:$E$78,$AE8,$G$7:$G$78) + SUMIF($H$7:$H$78,$AE8,$F$7:$F$78)</f>
        <v>3</v>
      </c>
      <c r="AL8" s="123">
        <f>AI8-AJ8</f>
        <v>1</v>
      </c>
      <c r="AM8" s="123">
        <f>AL8-AL12</f>
        <v>4</v>
      </c>
      <c r="AN8" s="123">
        <f>AF8*3+AG8</f>
        <v>6</v>
      </c>
      <c r="AO8" s="123">
        <f>AN8/AN12*10+BA8</f>
        <v>6</v>
      </c>
      <c r="AP8" s="123">
        <f>AO8*10000000+BI8*100+AM8/AM12*10+AI8/AI12*1++IF(AQ8=0,ROW(),AQ8)/2000000</f>
        <v>60000005.016713537</v>
      </c>
      <c r="AQ8" s="126">
        <f>VLOOKUP(AE8,db_fifarank,2,FALSE)</f>
        <v>1681.03</v>
      </c>
      <c r="AR8" s="125">
        <f>AP8/AP12</f>
        <v>0.66666664280181187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1</v>
      </c>
      <c r="W9" s="123">
        <f t="shared" si="4"/>
        <v>1</v>
      </c>
      <c r="X9" s="123">
        <f t="shared" si="9"/>
        <v>1</v>
      </c>
      <c r="Y9" s="123">
        <f t="shared" si="10"/>
        <v>1</v>
      </c>
      <c r="Z9" s="123">
        <f t="shared" si="11"/>
        <v>1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1.9805825242718447</v>
      </c>
      <c r="AP9" s="123">
        <f>AO9*10000000+BI9*100+AM9/AM12*10+AI9/AI12*1++IF(AQ9=0,ROW(),AQ9)/2000000</f>
        <v>19805923.587400027</v>
      </c>
      <c r="AQ9" s="126">
        <f>VLOOKUP(AE9,db_fifarank,2,FALSE)</f>
        <v>1429.73</v>
      </c>
      <c r="AR9" s="125">
        <f>AP9/AP12</f>
        <v>0.22006579135990267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1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50.5</v>
      </c>
      <c r="BA9" s="126">
        <f>AZ9/AZ12</f>
        <v>0.98058252427184467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1</v>
      </c>
      <c r="BE9" s="126" cm="1">
        <f t="array" ref="BE9">SUMPRODUCT(($E$7:$E$78=AE9)*($X$7:$X$78)*($G$7:$G$78))+SUMPRODUCT(($H$7:$H$78=AE9)*($X$7:$X$78)*($F$7:$F$78))</f>
        <v>1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50.5</v>
      </c>
      <c r="BI9" s="126">
        <f>BH9/BH12</f>
        <v>0.98058252427184467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2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3</v>
      </c>
      <c r="AG10" s="123">
        <f>COUNTIF($S$7:$T$78,"=" &amp; AE10 &amp; "_draw")</f>
        <v>0</v>
      </c>
      <c r="AH10" s="123">
        <f>COUNTIF($S$7:$T$78,"=" &amp; AE10 &amp; "_lose")</f>
        <v>0</v>
      </c>
      <c r="AI10" s="123">
        <f>SUMIF($E$7:$E$78,$AE10,$F$7:$F$78) + SUMIF($H$7:$H$78,$AE10,$G$7:$G$78)</f>
        <v>6</v>
      </c>
      <c r="AJ10" s="123">
        <f>SUMIF($E$7:$E$78,$AE10,$G$7:$G$78) + SUMIF($H$7:$H$78,$AE10,$F$7:$F$78)</f>
        <v>1</v>
      </c>
      <c r="AL10" s="123">
        <f>AI10-AJ10</f>
        <v>5</v>
      </c>
      <c r="AM10" s="123">
        <f>AL10-AL12</f>
        <v>8</v>
      </c>
      <c r="AN10" s="123">
        <f>AF10*3+AG10</f>
        <v>9</v>
      </c>
      <c r="AO10" s="123">
        <f>AN10/AN12*10+BA10</f>
        <v>9</v>
      </c>
      <c r="AP10" s="123">
        <f>AO10*10000000+BI10*100+AM10/AM12*10+AI10/AI12*1++IF(AQ10=0,ROW(),AQ10)/2000000</f>
        <v>90000009.746826082</v>
      </c>
      <c r="AQ10" s="126">
        <f>VLOOKUP(AE10,db_fifarank,2,FALSE)</f>
        <v>1588.66</v>
      </c>
      <c r="AR10" s="125">
        <f>AP10/AP12</f>
        <v>0.99999998888889019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2</v>
      </c>
      <c r="O11" s="23" t="str">
        <f>VLOOKUP(3,AD8:AN11,6,FALSE) &amp; " - " &amp; VLOOKUP(3,AD8:AN11,7,FALSE)</f>
        <v>2 - 5</v>
      </c>
      <c r="P11" s="34">
        <f>L11*3+M11</f>
        <v>1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4</v>
      </c>
      <c r="AL11" s="123">
        <f>AI11-AJ11</f>
        <v>-3</v>
      </c>
      <c r="AM11" s="123">
        <f>AL11-AL12</f>
        <v>0</v>
      </c>
      <c r="AN11" s="123">
        <f>AF11*3+AG11</f>
        <v>1</v>
      </c>
      <c r="AO11" s="123">
        <f>AN11/AN12*10+BA11</f>
        <v>1.9805825242718447</v>
      </c>
      <c r="AP11" s="123">
        <f>AO11*10000000+BI11*100+AM11/AM12*10+AI11/AI12*1++IF(AQ11=0,ROW(),AQ11)/2000000</f>
        <v>19805923.444578707</v>
      </c>
      <c r="AQ11" s="126">
        <f>VLOOKUP(AE11,db_fifarank,2,FALSE)</f>
        <v>1501.38</v>
      </c>
      <c r="AR11" s="125">
        <f>AP11/AP12</f>
        <v>0.22006578977299932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42"/>
      <c r="BL11" s="26" t="str">
        <f>IF(group_round_completed,VLOOKUP('3rd places'!G3,AK80:AS91,9,FALSE),"3rd Group A/B/C/D/F")</f>
        <v>United States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-3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90000010.746826082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2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4</v>
      </c>
      <c r="AL14" s="123">
        <f>AI14-AJ14</f>
        <v>-1</v>
      </c>
      <c r="AM14" s="123">
        <f>AL14-AL18</f>
        <v>1</v>
      </c>
      <c r="AN14" s="123">
        <f>AF14*3+AG14</f>
        <v>2</v>
      </c>
      <c r="AO14" s="123">
        <f>AN14/AN18*10+BA14</f>
        <v>2.9853658536585366</v>
      </c>
      <c r="AP14" s="123">
        <f>AO14*10000000+BI14*100+AM14/AM18*10+AI14/AI18*1++IF(AQ14=0,ROW(),AQ14)/2000000</f>
        <v>29853758.931091826</v>
      </c>
      <c r="AQ14" s="126">
        <f>VLOOKUP(AE14,db_fifarank,2,FALSE)</f>
        <v>1556.48</v>
      </c>
      <c r="AR14" s="125">
        <f>AP14/AP18</f>
        <v>0.33170839412859543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2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67.333333333333329</v>
      </c>
      <c r="BA14" s="126">
        <f>AZ14/AZ18</f>
        <v>0.98536585365853657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2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67.333333333333329</v>
      </c>
      <c r="BI14" s="126">
        <f>BH14/BH18</f>
        <v>0.98536585365853657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4</v>
      </c>
      <c r="AL15" s="123">
        <f>AI15-AJ15</f>
        <v>-2</v>
      </c>
      <c r="AM15" s="123">
        <f>AL15-AL18</f>
        <v>0</v>
      </c>
      <c r="AN15" s="123">
        <f>AF15*3+AG15</f>
        <v>2</v>
      </c>
      <c r="AO15" s="123">
        <f>AN15/AN18*10+BA15</f>
        <v>2.9853658536585366</v>
      </c>
      <c r="AP15" s="123">
        <f>AO15*10000000+BI15*100+AM15/AM18*10+AI15/AI18*1++IF(AQ15=0,ROW(),AQ15)/2000000</f>
        <v>29853757.359577935</v>
      </c>
      <c r="AQ15" s="126">
        <f>VLOOKUP(AE15,db_fifarank,2,FALSE)</f>
        <v>1385.84</v>
      </c>
      <c r="AR15" s="125">
        <f>AP15/AP18</f>
        <v>0.33170837666733199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2</v>
      </c>
      <c r="AV15" s="126" cm="1">
        <f t="array" ref="AV15">SUMPRODUCT(($E$7:$E$78=AE15)*($U$7:$U$78)*($F$7:$F$78))+SUMPRODUCT(($H$7:$H$78=AE15)*($U$7:$U$78)*($G$7:$G$78))</f>
        <v>2</v>
      </c>
      <c r="AW15" s="126" cm="1">
        <f t="array" ref="AW15">SUMPRODUCT(($E$7:$E$78=AE15)*($U$7:$U$78)*($G$7:$G$78))+SUMPRODUCT(($H$7:$H$78=AE15)*($U$7:$U$78)*($F$7:$F$78))</f>
        <v>2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67.333333333333329</v>
      </c>
      <c r="BA15" s="126">
        <f>AZ15/AZ18</f>
        <v>0.98536585365853657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2</v>
      </c>
      <c r="BD15" s="126" cm="1">
        <f t="array" ref="BD15">SUMPRODUCT(($E$7:$E$78=AE15)*($X$7:$X$78)*($F$7:$F$78))+SUMPRODUCT(($H$7:$H$78=AE15)*($X$7:$X$78)*($G$7:$G$78))</f>
        <v>2</v>
      </c>
      <c r="BE15" s="126" cm="1">
        <f t="array" ref="BE15">SUMPRODUCT(($E$7:$E$78=AE15)*($X$7:$X$78)*($G$7:$G$78))+SUMPRODUCT(($H$7:$H$78=AE15)*($X$7:$X$78)*($F$7:$F$78))</f>
        <v>2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67.333333333333329</v>
      </c>
      <c r="BI15" s="126">
        <f>BH15/BH18</f>
        <v>0.98536585365853657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6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0</v>
      </c>
      <c r="M16" s="23">
        <f>VLOOKUP(2,AD14:AN17,4,FALSE)</f>
        <v>2</v>
      </c>
      <c r="N16" s="23">
        <f>VLOOKUP(2,AD14:AN17,5,FALSE)</f>
        <v>1</v>
      </c>
      <c r="O16" s="23" t="str">
        <f>VLOOKUP(2,AD14:AN17,6,FALSE) &amp; " - " &amp; VLOOKUP(2,AD14:AN17,7,FALSE)</f>
        <v>3 - 4</v>
      </c>
      <c r="P16" s="34">
        <f>L16*3+M16</f>
        <v>2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4</v>
      </c>
      <c r="AL16" s="123">
        <f>AI16-AJ16</f>
        <v>-1</v>
      </c>
      <c r="AM16" s="123">
        <f>AL16-AL18</f>
        <v>1</v>
      </c>
      <c r="AN16" s="123">
        <f>AF16*3+AG16</f>
        <v>2</v>
      </c>
      <c r="AO16" s="123">
        <f>AN16/AN18*10+BA16</f>
        <v>2.9853658536585366</v>
      </c>
      <c r="AP16" s="123">
        <f>AO16*10000000+BI16*100+AM16/AM18*10+AI16/AI18*1++IF(AQ16=0,ROW(),AQ16)/2000000</f>
        <v>29853758.931041066</v>
      </c>
      <c r="AQ16" s="126">
        <f>VLOOKUP(AE16,db_fifarank,2,FALSE)</f>
        <v>1454.96</v>
      </c>
      <c r="AR16" s="125">
        <f>AP16/AP18</f>
        <v>0.33170839412803138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2</v>
      </c>
      <c r="AV16" s="126" cm="1">
        <f t="array" ref="AV16">SUMPRODUCT(($E$7:$E$78=AE16)*($U$7:$U$78)*($F$7:$F$78))+SUMPRODUCT(($H$7:$H$78=AE16)*($U$7:$U$78)*($G$7:$G$78))</f>
        <v>2</v>
      </c>
      <c r="AW16" s="126" cm="1">
        <f t="array" ref="AW16">SUMPRODUCT(($E$7:$E$78=AE16)*($U$7:$U$78)*($G$7:$G$78))+SUMPRODUCT(($H$7:$H$78=AE16)*($U$7:$U$78)*($F$7:$F$78))</f>
        <v>2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67.333333333333329</v>
      </c>
      <c r="BA16" s="126">
        <f>AZ16/AZ18</f>
        <v>0.98536585365853657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2</v>
      </c>
      <c r="BD16" s="126" cm="1">
        <f t="array" ref="BD16">SUMPRODUCT(($E$7:$E$78=AE16)*($X$7:$X$78)*($F$7:$F$78))+SUMPRODUCT(($H$7:$H$78=AE16)*($X$7:$X$78)*($G$7:$G$78))</f>
        <v>2</v>
      </c>
      <c r="BE16" s="126" cm="1">
        <f t="array" ref="BE16">SUMPRODUCT(($E$7:$E$78=AE16)*($X$7:$X$78)*($G$7:$G$78))+SUMPRODUCT(($H$7:$H$78=AE16)*($X$7:$X$78)*($F$7:$F$78))</f>
        <v>2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67.333333333333329</v>
      </c>
      <c r="BI16" s="126">
        <f>BH16/BH18</f>
        <v>0.98536585365853657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3 - 4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6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90000009.429396123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3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2</v>
      </c>
      <c r="N18" s="36">
        <f>VLOOKUP(4,AD14:AN17,5,FALSE)</f>
        <v>1</v>
      </c>
      <c r="O18" s="36" t="str">
        <f>VLOOKUP(4,AD14:AN17,6,FALSE) &amp; " - " &amp; VLOOKUP(4,AD14:AN17,7,FALSE)</f>
        <v>2 - 4</v>
      </c>
      <c r="P18" s="37">
        <f>L18*3+M18</f>
        <v>2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2</v>
      </c>
      <c r="AI18" s="123">
        <f>MAX(AI14:AI17)+1</f>
        <v>7</v>
      </c>
      <c r="AL18" s="123">
        <f>MIN(AL14:AL17)</f>
        <v>-2</v>
      </c>
      <c r="AM18" s="123">
        <f>MAX(AM14:AM17)+1</f>
        <v>7</v>
      </c>
      <c r="AN18" s="123">
        <f>MAX(AN14:AN17)+1</f>
        <v>10</v>
      </c>
      <c r="AO18" s="123">
        <f>MAX(AO14:AO17)+1</f>
        <v>10</v>
      </c>
      <c r="AP18" s="123">
        <f>MAX(AP14:AP17)+1</f>
        <v>90000010.429396123</v>
      </c>
      <c r="AT18" s="126">
        <f>MAX(AT14:AT17)-MIN(AT14:AT17)+1</f>
        <v>1</v>
      </c>
      <c r="AU18" s="126">
        <f>MAX(AU14:AU17)-MIN(AU14:AU17)+1</f>
        <v>3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68.333333333333329</v>
      </c>
      <c r="BB18" s="126">
        <f>MAX(BB14:BB17)-MIN(BB14:BB17)+1</f>
        <v>1</v>
      </c>
      <c r="BC18" s="126">
        <f>MAX(BC14:BC17)-MIN(BC14:BC17)+1</f>
        <v>3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68.333333333333329</v>
      </c>
      <c r="BK18" s="14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11</v>
      </c>
      <c r="AJ20" s="123">
        <f>SUMIF($E$7:$E$78,$AE20,$G$7:$G$78) + SUMIF($H$7:$H$78,$AE20,$F$7:$F$78)</f>
        <v>3</v>
      </c>
      <c r="AL20" s="123">
        <f>AI20-AJ20</f>
        <v>8</v>
      </c>
      <c r="AM20" s="123">
        <f>AL20-AL24</f>
        <v>22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97306560.160183996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3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11 - 3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10</v>
      </c>
      <c r="AJ21" s="123">
        <f>SUMIF($E$7:$E$78,$AE21,$G$7:$G$78) + SUMIF($H$7:$H$78,$AE21,$F$7:$F$78)</f>
        <v>2</v>
      </c>
      <c r="AL21" s="123">
        <f>AI21-AJ21</f>
        <v>8</v>
      </c>
      <c r="AM21" s="123">
        <f>AL21-AL24</f>
        <v>22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97306560.076848</v>
      </c>
      <c r="AQ21" s="126">
        <f>VLOOKUP(AE21,db_fifarank,2,FALSE)</f>
        <v>1755.87</v>
      </c>
      <c r="AR21" s="125">
        <f>AP21/AP24</f>
        <v>0.99999998886677344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Morocco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10 - 2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1</v>
      </c>
      <c r="W22" s="123">
        <f t="shared" si="4"/>
        <v>1</v>
      </c>
      <c r="X22" s="123">
        <f t="shared" si="9"/>
        <v>1</v>
      </c>
      <c r="Y22" s="123">
        <f t="shared" si="10"/>
        <v>1</v>
      </c>
      <c r="Z22" s="123">
        <f t="shared" si="11"/>
        <v>1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14</v>
      </c>
      <c r="AL22" s="123">
        <f>AI22-AJ22</f>
        <v>-14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6.6373222144476694E-12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4 - 6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6</v>
      </c>
      <c r="AL23" s="123">
        <f>AI23-AJ23</f>
        <v>-2</v>
      </c>
      <c r="AM23" s="123">
        <f>AL23-AL24</f>
        <v>12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37500005.551473819</v>
      </c>
      <c r="AQ23" s="126">
        <f>VLOOKUP(AE23,db_fifarank,2,FALSE)</f>
        <v>1498.35</v>
      </c>
      <c r="AR23" s="125">
        <f>AP23/AP24</f>
        <v>0.38538003094921941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1</v>
      </c>
      <c r="CI23" s="63">
        <v>0</v>
      </c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0 - 14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12</v>
      </c>
      <c r="AL24" s="123">
        <f>MIN(AL20:AL23)</f>
        <v>-14</v>
      </c>
      <c r="AM24" s="123">
        <f>MAX(AM20:AM23)+1</f>
        <v>23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97306561.160183996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>
        <v>1</v>
      </c>
      <c r="CJ24" s="27"/>
      <c r="CK24" s="113">
        <f>IF(CK23="","",CH24*1000+CI24*10+CJ24)</f>
        <v>1010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1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Argentina_draw</v>
      </c>
      <c r="T25" s="127" t="str">
        <f t="shared" si="2"/>
        <v>Algeria_draw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0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2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5</v>
      </c>
      <c r="AL26" s="123">
        <f>AI26-AJ26</f>
        <v>-1</v>
      </c>
      <c r="AM26" s="123">
        <f>AL26-AL30</f>
        <v>3</v>
      </c>
      <c r="AN26" s="123">
        <f>AF26*3+AG26</f>
        <v>3</v>
      </c>
      <c r="AO26" s="123">
        <f>AN26/AN30*10+BA26</f>
        <v>3</v>
      </c>
      <c r="AP26" s="123">
        <f>AO26*10000000+BI26*100+AM26/AM30*10+AI26/AI30*1++IF(AQ26=0,ROW(),AQ26)/2000000</f>
        <v>30000004.322265137</v>
      </c>
      <c r="AQ26" s="126">
        <f>VLOOKUP(AE26,db_fifarank,2,FALSE)</f>
        <v>1673.13</v>
      </c>
      <c r="AR26" s="125">
        <f>AP26/AP30</f>
        <v>0.33333334207000198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6 - 3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3</v>
      </c>
      <c r="AG27" s="123">
        <f>COUNTIF($S$7:$T$78,"=" &amp; AE27 &amp; "_draw")</f>
        <v>0</v>
      </c>
      <c r="AH27" s="123">
        <f>COUNTIF($S$7:$T$78,"=" &amp; AE27 &amp; "_lose")</f>
        <v>0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3</v>
      </c>
      <c r="AL27" s="123">
        <f>AI27-AJ27</f>
        <v>3</v>
      </c>
      <c r="AM27" s="123">
        <f>AL27-AL30</f>
        <v>7</v>
      </c>
      <c r="AN27" s="123">
        <f>AF27*3+AG27</f>
        <v>9</v>
      </c>
      <c r="AO27" s="123">
        <f>AN27/AN30*10+BA27</f>
        <v>9</v>
      </c>
      <c r="AP27" s="123">
        <f>AO27*10000000+BI27*100+AM27/AM30*10+AI27/AI30*1++IF(AQ27=0,ROW(),AQ27)/2000000</f>
        <v>90000009.607894599</v>
      </c>
      <c r="AQ27" s="126">
        <f>VLOOKUP(AE27,db_fifarank,2,FALSE)</f>
        <v>1503.5</v>
      </c>
      <c r="AR27" s="125">
        <f>AP27/AP30</f>
        <v>0.99999998888889019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Ghana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6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0.28650462071428567</v>
      </c>
      <c r="AQ28" s="126">
        <f>VLOOKUP(AE28,db_fifarank,2,FALSE)</f>
        <v>1580.67</v>
      </c>
      <c r="AR28" s="125">
        <f>AP28/AP30</f>
        <v>3.1833842993920061E-9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Ghana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5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4 - 5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3</v>
      </c>
      <c r="AL29" s="123">
        <f>AI29-AJ29</f>
        <v>2</v>
      </c>
      <c r="AM29" s="123">
        <f>AL29-AL30</f>
        <v>6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60000008.215085238</v>
      </c>
      <c r="AQ29" s="126">
        <f>VLOOKUP(AE29,db_fifarank,2,FALSE)</f>
        <v>1599.04</v>
      </c>
      <c r="AR29" s="125">
        <f>AP29/AP30</f>
        <v>0.66666667936839297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7</v>
      </c>
      <c r="AL30" s="123">
        <f>MIN(AL26:AL29)</f>
        <v>-4</v>
      </c>
      <c r="AM30" s="123">
        <f>MAX(AM26:AM29)+1</f>
        <v>8</v>
      </c>
      <c r="AN30" s="123">
        <f>MAX(AN26:AN29)+1</f>
        <v>10</v>
      </c>
      <c r="AO30" s="123">
        <f>MAX(AO26:AO29)+1</f>
        <v>10</v>
      </c>
      <c r="AP30" s="123">
        <f>MAX(AP26:AP29)+1</f>
        <v>90000010.607894599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1</v>
      </c>
      <c r="W31" s="123">
        <f t="shared" si="4"/>
        <v>1</v>
      </c>
      <c r="X31" s="123">
        <f t="shared" si="9"/>
        <v>1</v>
      </c>
      <c r="Y31" s="123">
        <f t="shared" si="10"/>
        <v>1</v>
      </c>
      <c r="Z31" s="123">
        <f t="shared" si="11"/>
        <v>1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Algeria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20</v>
      </c>
      <c r="AN32" s="123">
        <f>AF32*3+AG32</f>
        <v>7</v>
      </c>
      <c r="AO32" s="123">
        <f>AN32/AN36*10+BA32</f>
        <v>9.7305825242718456</v>
      </c>
      <c r="AP32" s="123">
        <f>AO32*10000000+BI32*100+AM32/AM36*10+AI32/AI36*1++IF(AQ32=0,ROW(),AQ32)/2000000</f>
        <v>97305933.734736502</v>
      </c>
      <c r="AQ32" s="126">
        <f>VLOOKUP(AE32,db_fifarank,2,FALSE)</f>
        <v>1730.37</v>
      </c>
      <c r="AR32" s="125">
        <f>AP32/AP36</f>
        <v>0.99999998972313453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50.5</v>
      </c>
      <c r="BA32" s="126">
        <f>AZ32/AZ36</f>
        <v>0.98058252427184467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1</v>
      </c>
      <c r="BE32" s="126" cm="1">
        <f t="array" ref="BE32">SUMPRODUCT(($E$7:$E$78=AE32)*($X$7:$X$78)*($G$7:$G$78))+SUMPRODUCT(($H$7:$H$78=AE32)*($X$7:$X$78)*($F$7:$F$78))</f>
        <v>1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50.5</v>
      </c>
      <c r="BI32" s="126">
        <f>BH32/BH36</f>
        <v>0.98058252427184467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1</v>
      </c>
      <c r="V33" s="123">
        <f t="shared" si="3"/>
        <v>1</v>
      </c>
      <c r="W33" s="123">
        <f t="shared" si="4"/>
        <v>1</v>
      </c>
      <c r="X33" s="123">
        <f t="shared" si="9"/>
        <v>1</v>
      </c>
      <c r="Y33" s="123">
        <f t="shared" si="10"/>
        <v>1</v>
      </c>
      <c r="Z33" s="123">
        <f t="shared" si="11"/>
        <v>1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13</v>
      </c>
      <c r="AL33" s="123">
        <f>AI33-AJ33</f>
        <v>-12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9.1556415909090916E-2</v>
      </c>
      <c r="AQ33" s="126">
        <f>VLOOKUP(AE33,db_fifarank,2,FALSE)</f>
        <v>1294.6500000000001</v>
      </c>
      <c r="AR33" s="125">
        <f>AP33/AP36</f>
        <v>9.409129685530568E-10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7 - 2</v>
      </c>
      <c r="P34" s="34">
        <f>L34*3+M34</f>
        <v>7</v>
      </c>
      <c r="R34" s="123">
        <f>DATE(2026,6,18)+TIME(14,0,0)+gmt_delta</f>
        <v>46192.125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6</v>
      </c>
      <c r="AL34" s="123">
        <f>AI34-AJ34</f>
        <v>-1</v>
      </c>
      <c r="AM34" s="123">
        <f>AL34-AL36</f>
        <v>11</v>
      </c>
      <c r="AN34" s="123">
        <f>AF34*3+AG34</f>
        <v>3</v>
      </c>
      <c r="AO34" s="123">
        <f>AN34/AN36*10+BA34</f>
        <v>3.75</v>
      </c>
      <c r="AP34" s="123">
        <f>AO34*10000000+BI34*100+AM34/AM36*10+AI34/AI36*1++IF(AQ34=0,ROW(),AQ34)/2000000</f>
        <v>37500005.693407185</v>
      </c>
      <c r="AQ34" s="126">
        <f>VLOOKUP(AE34,db_fifarank,2,FALSE)</f>
        <v>1532.98</v>
      </c>
      <c r="AR34" s="125">
        <f>AP34/AP36</f>
        <v>0.38538251336503881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Paraguay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6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5 - 6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7</v>
      </c>
      <c r="AJ35" s="123">
        <f>SUMIF($E$7:$E$78,$AE35,$G$7:$G$78) + SUMIF($H$7:$H$78,$AE35,$F$7:$F$78)</f>
        <v>2</v>
      </c>
      <c r="AL35" s="123">
        <f>AI35-AJ35</f>
        <v>5</v>
      </c>
      <c r="AM35" s="123">
        <f>AL35-AL36</f>
        <v>17</v>
      </c>
      <c r="AN35" s="123">
        <f>AF35*3+AG35</f>
        <v>7</v>
      </c>
      <c r="AO35" s="123">
        <f>AN35/AN36*10+BA35</f>
        <v>9.7305825242718456</v>
      </c>
      <c r="AP35" s="123">
        <f>AO35*10000000+BI35*100+AM35/AM36*10+AI35/AI36*1++IF(AQ35=0,ROW(),AQ35)/2000000</f>
        <v>97305932.033370003</v>
      </c>
      <c r="AQ35" s="126">
        <f>VLOOKUP(AE35,db_fifarank,2,FALSE)</f>
        <v>1594.78</v>
      </c>
      <c r="AR35" s="125">
        <f>AP35/AP36</f>
        <v>0.99999997223841997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Austria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1 - 13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11</v>
      </c>
      <c r="AL36" s="123">
        <f>MIN(AL32:AL35)</f>
        <v>-12</v>
      </c>
      <c r="AM36" s="123">
        <f>MAX(AM32:AM35)+1</f>
        <v>21</v>
      </c>
      <c r="AN36" s="123">
        <f>MAX(AN32:AN35)+1</f>
        <v>8</v>
      </c>
      <c r="AO36" s="123">
        <f>MAX(AO32:AO35)+1</f>
        <v>10.730582524271846</v>
      </c>
      <c r="AP36" s="123">
        <f>MAX(AP32:AP35)+1</f>
        <v>97305934.734736502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Paraguay</v>
      </c>
      <c r="BT36" s="61">
        <v>0</v>
      </c>
      <c r="BU36" s="63">
        <v>0</v>
      </c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0</v>
      </c>
      <c r="BU37" s="64">
        <v>1</v>
      </c>
      <c r="BV37" s="27"/>
      <c r="BW37" s="112">
        <f>IF(BW36="","",BT37*1000+BU37*10+BV37)</f>
        <v>10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3</v>
      </c>
      <c r="AL38" s="123">
        <f>AI38-AJ38</f>
        <v>4</v>
      </c>
      <c r="AM38" s="123">
        <f>AL38-AL42</f>
        <v>12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90000010.106648162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7 - 3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2</v>
      </c>
      <c r="AL39" s="123">
        <f>AI39-AJ39</f>
        <v>3</v>
      </c>
      <c r="AM39" s="123">
        <f>AL39-AL42</f>
        <v>11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60000009.087368682</v>
      </c>
      <c r="AQ39" s="126">
        <f>VLOOKUP(AE39,db_fifarank,2,FALSE)</f>
        <v>1660.43</v>
      </c>
      <c r="AR39" s="125">
        <f>AP39/AP42</f>
        <v>0.66666668536595963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Saudi Arabia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4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5 - 2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3</v>
      </c>
      <c r="AL40" s="123">
        <f>AI40-AJ40</f>
        <v>1</v>
      </c>
      <c r="AM40" s="123">
        <f>AL40-AL42</f>
        <v>9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30000007.423834309</v>
      </c>
      <c r="AQ40" s="126">
        <f>VLOOKUP(AE40,db_fifarank,2,FALSE)</f>
        <v>1514.77</v>
      </c>
      <c r="AR40" s="125">
        <f>AP40/AP42</f>
        <v>0.33333337468464219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4 - 3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9</v>
      </c>
      <c r="AL41" s="123">
        <f>AI41-AJ41</f>
        <v>-8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0.12574152499999999</v>
      </c>
      <c r="AQ41" s="126">
        <f>VLOOKUP(AE41,db_fifarank,2,FALSE)</f>
        <v>1483.05</v>
      </c>
      <c r="AR41" s="125">
        <f>AP41/AP42</f>
        <v>1.3971278831399129E-9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3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1 - 9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8</v>
      </c>
      <c r="AL42" s="123">
        <f>MIN(AL38:AL41)</f>
        <v>-8</v>
      </c>
      <c r="AM42" s="123">
        <f>MAX(AM38:AM41)+1</f>
        <v>13</v>
      </c>
      <c r="AN42" s="123">
        <f>MAX(AN38:AN41)+1</f>
        <v>10</v>
      </c>
      <c r="AO42" s="123">
        <f>MAX(AO38:AO41)+1</f>
        <v>10</v>
      </c>
      <c r="AP42" s="123">
        <f>MAX(AP38:AP41)+1</f>
        <v>90000011.106648162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3</v>
      </c>
      <c r="AL44" s="123">
        <f>AI44-AJ44</f>
        <v>3</v>
      </c>
      <c r="AM44" s="123">
        <f>AL44-AL48</f>
        <v>9</v>
      </c>
      <c r="AN44" s="123">
        <f>AF44*3+AG44</f>
        <v>7</v>
      </c>
      <c r="AO44" s="123">
        <f>AN44/AN48*10+BA44</f>
        <v>9.7305825242718456</v>
      </c>
      <c r="AP44" s="123">
        <f>AO44*10000000+BI44*100+AM44/AM48*10+AI44/AI48*1++IF(AQ44=0,ROW(),AQ44)/2000000</f>
        <v>97305933.158981085</v>
      </c>
      <c r="AQ44" s="126">
        <f>VLOOKUP(AE44,db_fifarank,2,FALSE)</f>
        <v>1734.71</v>
      </c>
      <c r="AR44" s="125">
        <f>AP44/AP48</f>
        <v>0.99999998972313453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50.5</v>
      </c>
      <c r="BA44" s="126">
        <f>AZ44/AZ48</f>
        <v>0.98058252427184467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50.5</v>
      </c>
      <c r="BI44" s="126">
        <f>BH44/BH48</f>
        <v>0.98058252427184467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6 - 3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2</v>
      </c>
      <c r="AL45" s="123">
        <f>AI45-AJ45</f>
        <v>3</v>
      </c>
      <c r="AM45" s="123">
        <f>AL45-AL48</f>
        <v>9</v>
      </c>
      <c r="AN45" s="123">
        <f>AF45*3+AG45</f>
        <v>7</v>
      </c>
      <c r="AO45" s="123">
        <f>AN45/AN48*10+BA45</f>
        <v>9.7305825242718456</v>
      </c>
      <c r="AP45" s="123">
        <f>AO45*10000000+BI45*100+AM45/AM48*10+AI45/AI48*1++IF(AQ45=0,ROW(),AQ45)/2000000</f>
        <v>97305933.016038224</v>
      </c>
      <c r="AQ45" s="126">
        <f>VLOOKUP(AE45,db_fifarank,2,FALSE)</f>
        <v>1563.24</v>
      </c>
      <c r="AR45" s="125">
        <f>AP45/AP48</f>
        <v>0.99999998825412995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5 - 2</v>
      </c>
      <c r="P46" s="34">
        <f>L46*3+M46</f>
        <v>7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5</v>
      </c>
      <c r="AJ46" s="123">
        <f>SUMIF($E$7:$E$78,$AE46,$G$7:$G$78) + SUMIF($H$7:$H$78,$AE46,$F$7:$F$78)</f>
        <v>5</v>
      </c>
      <c r="AL46" s="123">
        <f>AI46-AJ46</f>
        <v>0</v>
      </c>
      <c r="AM46" s="123">
        <f>AL46-AL48</f>
        <v>6</v>
      </c>
      <c r="AN46" s="123">
        <f>AF46*3+AG46</f>
        <v>3</v>
      </c>
      <c r="AO46" s="123">
        <f>AN46/AN48*10+BA46</f>
        <v>3.75</v>
      </c>
      <c r="AP46" s="123">
        <f>AO46*10000000+BI46*100+AM46/AM48*10+AI46/AI48*1++IF(AQ46=0,ROW(),AQ46)/2000000</f>
        <v>37500006.715093367</v>
      </c>
      <c r="AQ46" s="126">
        <f>VLOOKUP(AE46,db_fifarank,2,FALSE)</f>
        <v>1615.3</v>
      </c>
      <c r="AR46" s="125">
        <f>AP46/AP48</f>
        <v>0.38538252614506363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5 - 5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8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0.28635507071428568</v>
      </c>
      <c r="AQ47" s="126">
        <f>VLOOKUP(AE47,db_fifarank,2,FALSE)</f>
        <v>1281.57</v>
      </c>
      <c r="AR47" s="125">
        <f>AP47/AP48</f>
        <v>2.9428325537313169E-9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2 - 8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4</v>
      </c>
      <c r="AI48" s="123">
        <f>MAX(AI44:AI47)+1</f>
        <v>7</v>
      </c>
      <c r="AL48" s="123">
        <f>MIN(AL44:AL47)</f>
        <v>-6</v>
      </c>
      <c r="AM48" s="123">
        <f>MAX(AM44:AM47)+1</f>
        <v>10</v>
      </c>
      <c r="AN48" s="123">
        <f>MAX(AN44:AN47)+1</f>
        <v>8</v>
      </c>
      <c r="AO48" s="123">
        <f>MAX(AO44:AO47)+1</f>
        <v>10.730582524271846</v>
      </c>
      <c r="AP48" s="123">
        <f>MAX(AP44:AP47)+1</f>
        <v>97305934.158981085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1</v>
      </c>
      <c r="AL50" s="123">
        <f>AI50-AJ50</f>
        <v>10</v>
      </c>
      <c r="AM50" s="123">
        <f>AL50-AL54</f>
        <v>20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90000010.441414401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Korea Republic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11</v>
      </c>
      <c r="AL51" s="123">
        <f>AI51-AJ51</f>
        <v>-10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8.4016398333333325E-2</v>
      </c>
      <c r="AQ51" s="126">
        <f>VLOOKUP(AE51,db_fifarank,2,FALSE)</f>
        <v>1366.13</v>
      </c>
      <c r="AR51" s="125">
        <f>AP51/AP54</f>
        <v>9.3351541836218421E-10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5</v>
      </c>
      <c r="AJ52" s="123">
        <f>SUMIF($E$7:$E$78,$AE52,$G$7:$G$78) + SUMIF($H$7:$H$78,$AE52,$F$7:$F$78)</f>
        <v>6</v>
      </c>
      <c r="AL52" s="123">
        <f>AI52-AJ52</f>
        <v>-1</v>
      </c>
      <c r="AM52" s="123">
        <f>AL52-AL54</f>
        <v>9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30000004.70309167</v>
      </c>
      <c r="AQ52" s="126">
        <f>VLOOKUP(AE52,db_fifarank,2,FALSE)</f>
        <v>1421.43</v>
      </c>
      <c r="AR52" s="125">
        <f>AP52/AP54</f>
        <v>0.33333334321429731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Korea Republic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5 - 6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4</v>
      </c>
      <c r="AL53" s="123">
        <f>AI53-AJ53</f>
        <v>1</v>
      </c>
      <c r="AM53" s="123">
        <f>AL53-AL54</f>
        <v>11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60000005.655598439</v>
      </c>
      <c r="AQ53" s="126">
        <f>VLOOKUP(AE53,db_fifarank,2,FALSE)</f>
        <v>1673.07</v>
      </c>
      <c r="AR53" s="125">
        <f>AP53/AP54</f>
        <v>0.66666664475543436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4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1 - 11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12</v>
      </c>
      <c r="AL54" s="123">
        <f>MIN(AL50:AL53)</f>
        <v>-10</v>
      </c>
      <c r="AM54" s="123">
        <f>MAX(AM50:AM53)+1</f>
        <v>21</v>
      </c>
      <c r="AN54" s="123">
        <f>MAX(AN50:AN53)+1</f>
        <v>10</v>
      </c>
      <c r="AO54" s="123">
        <f>MAX(AO50:AO53)+1</f>
        <v>10</v>
      </c>
      <c r="AP54" s="123">
        <f>MAX(AP50:AP53)+1</f>
        <v>90000011.441414401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Norway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5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90000010.042605326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7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60000006.334177829</v>
      </c>
      <c r="AQ57" s="126">
        <f>VLOOKUP(AE57,db_fifarank,2,FALSE)</f>
        <v>1688.99</v>
      </c>
      <c r="AR57" s="125">
        <f>AP57/AP60</f>
        <v>0.66666665524934521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0.12572357000000001</v>
      </c>
      <c r="AQ58" s="126">
        <f>VLOOKUP(AE58,db_fifarank,2,FALSE)</f>
        <v>1447.14</v>
      </c>
      <c r="AR58" s="125">
        <f>AP58/AP60</f>
        <v>1.3969283841585687E-9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5</v>
      </c>
      <c r="AL59" s="123">
        <f>AI59-AJ59</f>
        <v>0</v>
      </c>
      <c r="AM59" s="123">
        <f>AL59-AL60</f>
        <v>6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30000005.625775471</v>
      </c>
      <c r="AQ59" s="126">
        <f>VLOOKUP(AE59,db_fifarank,2,FALSE)</f>
        <v>1550.94</v>
      </c>
      <c r="AR59" s="125">
        <f>AP59/AP60</f>
        <v>0.33333335494340877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8</v>
      </c>
      <c r="AL60" s="123">
        <f>MIN(AL56:AL59)</f>
        <v>-6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90000011.042605326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1</v>
      </c>
      <c r="W62" s="123">
        <f t="shared" si="22"/>
        <v>1</v>
      </c>
      <c r="X62" s="123">
        <f t="shared" si="9"/>
        <v>1</v>
      </c>
      <c r="Y62" s="123">
        <f t="shared" si="10"/>
        <v>1</v>
      </c>
      <c r="Z62" s="123">
        <f t="shared" si="11"/>
        <v>1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1</v>
      </c>
      <c r="AL62" s="123">
        <f>AI62-AJ62</f>
        <v>4</v>
      </c>
      <c r="AM62" s="123">
        <f>AL62-AL66</f>
        <v>11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87500010.000937417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1</v>
      </c>
      <c r="BN62" s="63">
        <v>0</v>
      </c>
      <c r="BO62" s="25">
        <v>5</v>
      </c>
      <c r="BP62" s="116">
        <f>IF(OR(BM62="",BM63="",AND(BN62="",BN63&lt;&gt;""),AND(BN63="",BN62&lt;&gt;""),AND(BO62="",BO63&lt;&gt;""),AND(BO63="",BO62&lt;&gt;"")),"",BM62*1000+BN62*10+BO62)</f>
        <v>1005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5 - 1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2</v>
      </c>
      <c r="AH63" s="123">
        <f>COUNTIF($S$7:$T$78,"=" &amp; AE63 &amp; "_lose")</f>
        <v>0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2</v>
      </c>
      <c r="AL63" s="123">
        <f>AI63-AJ63</f>
        <v>3</v>
      </c>
      <c r="AM63" s="123">
        <f>AL63-AL66</f>
        <v>10</v>
      </c>
      <c r="AN63" s="123">
        <f>AF63*3+AG63</f>
        <v>5</v>
      </c>
      <c r="AO63" s="123">
        <f>AN63/AN66*10+BA63</f>
        <v>6.25</v>
      </c>
      <c r="AP63" s="123">
        <f>AO63*10000000+BI63*100+AM63/AM66*10+AI63/AI66*1++IF(AQ63=0,ROW(),AQ63)/2000000</f>
        <v>62500009.167448804</v>
      </c>
      <c r="AQ63" s="126">
        <f>VLOOKUP(AE63,db_fifarank,2,FALSE)</f>
        <v>1564.26</v>
      </c>
      <c r="AR63" s="125">
        <f>AP63/AP66</f>
        <v>0.71428572925298517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1</v>
      </c>
      <c r="BN63" s="64">
        <v>0</v>
      </c>
      <c r="BO63" s="27">
        <v>3</v>
      </c>
      <c r="BP63" s="112">
        <f>IF(BP62="","",BM63*1000+BN63*10+BO63)</f>
        <v>1003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5 - 2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7</v>
      </c>
      <c r="AN64" s="123">
        <f>AF64*3+AG64</f>
        <v>4</v>
      </c>
      <c r="AO64" s="123">
        <f>AN64/AN66*10+BA64</f>
        <v>5</v>
      </c>
      <c r="AP64" s="123">
        <f>AO64*10000000+BI64*100+AM64/AM66*10+AI64/AI66*1++IF(AQ64=0,ROW(),AQ64)/2000000</f>
        <v>50000006.334130064</v>
      </c>
      <c r="AQ64" s="126">
        <f>VLOOKUP(AE64,db_fifarank,2,FALSE)</f>
        <v>1593.45</v>
      </c>
      <c r="AR64" s="125">
        <f>AP64/AP66</f>
        <v>0.57142857197577268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3 - 3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7.9511418574855554E-12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3</v>
      </c>
      <c r="CB65" s="64"/>
      <c r="CC65" s="27"/>
      <c r="CD65" s="112">
        <f>IF(CD64="","",CA65*1000+CB65*10+CC65)</f>
        <v>3000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4</v>
      </c>
      <c r="AI66" s="123">
        <f>MAX(AI62:AI65)+1</f>
        <v>6</v>
      </c>
      <c r="AL66" s="123">
        <f>MIN(AL62:AL65)</f>
        <v>-7</v>
      </c>
      <c r="AM66" s="123">
        <f>MAX(AM62:AM65)+1</f>
        <v>12</v>
      </c>
      <c r="AN66" s="123">
        <f>MAX(AN62:AN65)+1</f>
        <v>8</v>
      </c>
      <c r="AO66" s="123">
        <f>MAX(AO62:AO65)+1</f>
        <v>9.75</v>
      </c>
      <c r="AP66" s="123">
        <f>MAX(AP62:AP65)+1</f>
        <v>87500011.000937417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18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90000010.383657023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11</v>
      </c>
      <c r="AL69" s="123">
        <f>AI69-AJ69</f>
        <v>-9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0.18255735681818183</v>
      </c>
      <c r="AQ69" s="126">
        <f>VLOOKUP(AE69,db_fifarank,2,FALSE)</f>
        <v>1478.35</v>
      </c>
      <c r="AR69" s="125">
        <f>AP69/AP72</f>
        <v>2.028414819193369E-9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7 - 3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6</v>
      </c>
      <c r="AL70" s="123">
        <f>AI70-AJ70</f>
        <v>-4</v>
      </c>
      <c r="AM70" s="123">
        <f>AL70-AL72</f>
        <v>5</v>
      </c>
      <c r="AN70" s="123">
        <f>AF70*3+AG70</f>
        <v>3</v>
      </c>
      <c r="AO70" s="123">
        <f>AN70/AN72*10+BA70</f>
        <v>3</v>
      </c>
      <c r="AP70" s="123">
        <f>AO70*10000000+BI70*100+AM70/AM72*10+AI70/AI72*1++IF(AQ70=0,ROW(),AQ70)/2000000</f>
        <v>30000002.814129803</v>
      </c>
      <c r="AQ70" s="126">
        <f>VLOOKUP(AE70,db_fifarank,2,FALSE)</f>
        <v>1465.34</v>
      </c>
      <c r="AR70" s="125">
        <f>AP70/AP72</f>
        <v>0.33333332243975095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3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3</v>
      </c>
      <c r="AL71" s="123">
        <f>AI71-AJ71</f>
        <v>4</v>
      </c>
      <c r="AM71" s="123">
        <f>AL71-AL72</f>
        <v>13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60000007.479315437</v>
      </c>
      <c r="AQ71" s="126">
        <f>VLOOKUP(AE71,db_fifarank,2,FALSE)</f>
        <v>1693.09</v>
      </c>
      <c r="AR71" s="125">
        <f>AP71/AP72</f>
        <v>0.66666666544678632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Ivory Coast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2 - 11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11</v>
      </c>
      <c r="AL72" s="123">
        <f>MIN(AL68:AL71)</f>
        <v>-9</v>
      </c>
      <c r="AM72" s="123">
        <f>MAX(AM68:AM71)+1</f>
        <v>19</v>
      </c>
      <c r="AN72" s="123">
        <f>MAX(AN68:AN71)+1</f>
        <v>10</v>
      </c>
      <c r="AO72" s="123">
        <f>MAX(AO68:AO71)+1</f>
        <v>10</v>
      </c>
      <c r="AP72" s="123">
        <f>MAX(AP68:AP71)+1</f>
        <v>90000011.383657023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0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1</v>
      </c>
      <c r="AL74" s="123">
        <f>AI74-AJ74</f>
        <v>6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90000010.042579651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0</v>
      </c>
      <c r="AH75" s="123">
        <f>COUNTIF($S$7:$T$78,"=" &amp; AE75 &amp; "_lose")</f>
        <v>2</v>
      </c>
      <c r="AI75" s="123">
        <f>SUMIF($E$7:$E$78,$AE75,$F$7:$F$78) + SUMIF($H$7:$H$78,$AE75,$G$7:$G$78)</f>
        <v>1</v>
      </c>
      <c r="AJ75" s="123">
        <f>SUMIF($E$7:$E$78,$AE75,$G$7:$G$78) + SUMIF($H$7:$H$78,$AE75,$F$7:$F$78)</f>
        <v>4</v>
      </c>
      <c r="AL75" s="123">
        <f>AI75-AJ75</f>
        <v>-3</v>
      </c>
      <c r="AM75" s="123">
        <f>AL75-AL78</f>
        <v>2</v>
      </c>
      <c r="AN75" s="123">
        <f>AF75*3+AG75</f>
        <v>3</v>
      </c>
      <c r="AO75" s="123">
        <f>AN75/AN78*10+BA75</f>
        <v>3</v>
      </c>
      <c r="AP75" s="123">
        <f>AO75*10000000+BI75*100+AM75/AM78*10+AI75/AI78*1++IF(AQ75=0,ROW(),AQ75)/2000000</f>
        <v>30000001.792525202</v>
      </c>
      <c r="AQ75" s="126">
        <f>VLOOKUP(AE75,db_fifarank,2,FALSE)</f>
        <v>1717.07</v>
      </c>
      <c r="AR75" s="125">
        <f>AP75/AP78</f>
        <v>0.33333331235183944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4 - 2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2</v>
      </c>
      <c r="AG76" s="123">
        <f>COUNTIF($S$7:$T$78,"=" &amp; AE76 &amp; "_draw")</f>
        <v>0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2</v>
      </c>
      <c r="AL76" s="123">
        <f>AI76-AJ76</f>
        <v>2</v>
      </c>
      <c r="AM76" s="123">
        <f>AL76-AL78</f>
        <v>7</v>
      </c>
      <c r="AN76" s="123">
        <f>AF76*3+AG76</f>
        <v>6</v>
      </c>
      <c r="AO76" s="123">
        <f>AN76/AN78*10+BA76</f>
        <v>6</v>
      </c>
      <c r="AP76" s="123">
        <f>AO76*10000000+BI76*100+AM76/AM78*10+AI76/AI78*1++IF(AQ76=0,ROW(),AQ76)/2000000</f>
        <v>60000006.334006488</v>
      </c>
      <c r="AQ76" s="126">
        <f>VLOOKUP(AE76,db_fifarank,2,FALSE)</f>
        <v>1346.31</v>
      </c>
      <c r="AR76" s="125">
        <f>AP76/AP78</f>
        <v>0.66666665524763169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1 - 4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5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8.5591100609482822E-12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2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0 - 5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8</v>
      </c>
      <c r="AL78" s="123">
        <f>MIN(AL74:AL77)</f>
        <v>-5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90000011.042579651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12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5</v>
      </c>
      <c r="AK80" s="123" t="s">
        <v>3180</v>
      </c>
      <c r="AL80" s="123">
        <f>VLOOKUP($AE80,$AE$8:$AQ$78,8,FALSE)</f>
        <v>-3</v>
      </c>
      <c r="AM80" s="123">
        <f>AL80-$AL$92</f>
        <v>1</v>
      </c>
      <c r="AN80" s="123">
        <f>VLOOKUP($AE80,$AE$8:$AQ$78,10,FALSE)</f>
        <v>1</v>
      </c>
      <c r="AP80" s="123">
        <f>AN80/AN92*10000+AM80/AM92*1000+AI80/AI92*100+IF(AQ80=0,ROW(),AQ80)/2000000</f>
        <v>2200.0007148650002</v>
      </c>
      <c r="AQ80" s="126">
        <f t="shared" ref="AQ80:AQ91" si="37">VLOOKUP($AE80,$AE$8:$AQ$78,13,FALSE)</f>
        <v>1429.73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South Africa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Ⓙ Austria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3 - 3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4550.00072748</v>
      </c>
      <c r="AQ81" s="126">
        <f t="shared" si="37"/>
        <v>1454.96</v>
      </c>
      <c r="AR81" s="125" t="str">
        <f>AR80&amp;IF(AD81&lt;=8,RIGHT(AK81,1),"")</f>
        <v/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Sweden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4 - 3</v>
      </c>
      <c r="P82" s="101">
        <f t="shared" ref="P82:P92" si="48">L82*3+M82</f>
        <v>3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6</v>
      </c>
      <c r="AK82" s="123" t="s">
        <v>3182</v>
      </c>
      <c r="AL82" s="123">
        <f t="shared" si="43"/>
        <v>-2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6400.0007491750002</v>
      </c>
      <c r="AQ82" s="126">
        <f t="shared" si="37"/>
        <v>1498.35</v>
      </c>
      <c r="AR82" s="125" t="str">
        <f t="shared" ref="AR82:AR91" si="50">AR81&amp;IF(AD82&lt;=8,RIGHT(AK82,1),"")</f>
        <v>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Ⓖ Iran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5 - 5</v>
      </c>
      <c r="P83" s="101">
        <f t="shared" si="48"/>
        <v>3</v>
      </c>
      <c r="AD83" s="123">
        <f t="shared" si="38"/>
        <v>7</v>
      </c>
      <c r="AE83" s="124" t="str">
        <f>J29</f>
        <v>United States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5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6566.6675032316671</v>
      </c>
      <c r="AQ83" s="126">
        <f t="shared" si="37"/>
        <v>1673.13</v>
      </c>
      <c r="AR83" s="125" t="str">
        <f t="shared" si="50"/>
        <v>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Ⓘ Norway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5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5</v>
      </c>
      <c r="AJ84" s="123">
        <f t="shared" si="42"/>
        <v>6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6583.3340998233334</v>
      </c>
      <c r="AQ84" s="126">
        <f t="shared" si="37"/>
        <v>1532.98</v>
      </c>
      <c r="AR84" s="125" t="str">
        <f t="shared" si="50"/>
        <v>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Ⓔ Ivory Coast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5 - 6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3</v>
      </c>
      <c r="AK85" s="123" t="s">
        <v>3186</v>
      </c>
      <c r="AL85" s="123">
        <f t="shared" si="43"/>
        <v>1</v>
      </c>
      <c r="AM85" s="123">
        <f t="shared" si="44"/>
        <v>5</v>
      </c>
      <c r="AN85" s="123">
        <f t="shared" si="45"/>
        <v>3</v>
      </c>
      <c r="AP85" s="123">
        <f>AN85/AN92*10000+AM85/AM92*1000+AI85/AI92*100+IF(AQ85=0,ROW(),AQ85)/2000000</f>
        <v>6900.0007573849998</v>
      </c>
      <c r="AQ85" s="126">
        <f t="shared" si="37"/>
        <v>1514.77</v>
      </c>
      <c r="AR85" s="125" t="str">
        <f t="shared" si="50"/>
        <v>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Ghana</v>
      </c>
      <c r="T86" s="127" t="str" cm="1">
        <f t="array" ref="T86">IF(OR(S86="",S86="draw"),INDEX(T,88,lang),S86)</f>
        <v>Ghana</v>
      </c>
      <c r="AD86" s="123">
        <f t="shared" si="38"/>
        <v>3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5</v>
      </c>
      <c r="AJ86" s="123">
        <f t="shared" si="42"/>
        <v>5</v>
      </c>
      <c r="AK86" s="123" t="s">
        <v>3187</v>
      </c>
      <c r="AL86" s="123">
        <f t="shared" si="43"/>
        <v>0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6750.0008076499998</v>
      </c>
      <c r="AQ86" s="126">
        <f t="shared" si="37"/>
        <v>1615.3</v>
      </c>
      <c r="AR86" s="125" t="str">
        <f t="shared" si="50"/>
        <v>CDEFG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Ⓓ United States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5</v>
      </c>
      <c r="AJ87" s="123">
        <f t="shared" si="42"/>
        <v>6</v>
      </c>
      <c r="AK87" s="123" t="s">
        <v>3188</v>
      </c>
      <c r="AL87" s="123">
        <f t="shared" si="43"/>
        <v>-1</v>
      </c>
      <c r="AM87" s="123">
        <f t="shared" si="44"/>
        <v>3</v>
      </c>
      <c r="AN87" s="123">
        <f t="shared" si="45"/>
        <v>3</v>
      </c>
      <c r="AP87" s="123">
        <f>AN87/AN92*10000+AM87/AM92*1000+AI87/AI92*100+IF(AQ87=0,ROW(),AQ87)/2000000</f>
        <v>6583.3340440483335</v>
      </c>
      <c r="AQ87" s="126">
        <f t="shared" si="37"/>
        <v>1421.43</v>
      </c>
      <c r="AR87" s="125" t="str">
        <f t="shared" si="50"/>
        <v>CDEFGH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4 - 6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4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5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6750.00077547</v>
      </c>
      <c r="AQ88" s="126">
        <f t="shared" si="37"/>
        <v>1550.94</v>
      </c>
      <c r="AR88" s="125" t="str">
        <f t="shared" si="50"/>
        <v>CDEFGHI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Croatia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1 - 4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</v>
      </c>
      <c r="AE89" s="124" t="str">
        <f>J65</f>
        <v>Austria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3</v>
      </c>
      <c r="AK89" s="123" t="s">
        <v>3190</v>
      </c>
      <c r="AL89" s="123">
        <f t="shared" si="43"/>
        <v>0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8716.6674633916664</v>
      </c>
      <c r="AQ89" s="126">
        <f t="shared" si="37"/>
        <v>1593.45</v>
      </c>
      <c r="AR89" s="125" t="str">
        <f t="shared" si="50"/>
        <v>CDEFGHIJ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Uzbekistan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2 - 6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Paraguay</v>
      </c>
      <c r="T90" s="127" t="str" cm="1">
        <f t="array" ref="T90">IF(OR(S90="",S90="draw"),INDEX(T,92,lang),S90)</f>
        <v>Paraguay</v>
      </c>
      <c r="AD90" s="123">
        <f t="shared" si="38"/>
        <v>10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6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6033.3340660033327</v>
      </c>
      <c r="AQ90" s="126">
        <f t="shared" si="37"/>
        <v>1465.34</v>
      </c>
      <c r="AR90" s="125" t="str">
        <f t="shared" si="50"/>
        <v>CDEFGHIJ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Qatar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3 - 4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9</v>
      </c>
      <c r="AE91" s="124" t="str">
        <f>J77</f>
        <v>Croatia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4</v>
      </c>
      <c r="AK91" s="123" t="s">
        <v>3192</v>
      </c>
      <c r="AL91" s="123">
        <f>VLOOKUP($AE91,$AE$8:$AQ$78,8,FALSE)</f>
        <v>-3</v>
      </c>
      <c r="AM91" s="123">
        <f t="shared" si="44"/>
        <v>1</v>
      </c>
      <c r="AN91" s="123">
        <f>VLOOKUP($AE91,$AE$8:$AQ$78,10,FALSE)</f>
        <v>3</v>
      </c>
      <c r="AP91" s="123">
        <f>AN91/AN92*10000+AM91/AM92*1000+AI91/AI92*100+IF(AQ91=0,ROW(),AQ91)/2000000</f>
        <v>6183.3341918683336</v>
      </c>
      <c r="AQ91" s="126">
        <f t="shared" si="37"/>
        <v>1717.07</v>
      </c>
      <c r="AR91" s="125" t="str">
        <f t="shared" si="50"/>
        <v>CDEFGHIJ</v>
      </c>
      <c r="AS91" s="129" t="str">
        <f t="shared" si="46"/>
        <v/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Ⓐ South Africa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45</v>
      </c>
      <c r="C3" s="121" t="str">
        <f>'2026 World Cup'!AR91</f>
        <v>CDEFGHIJ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3D</v>
      </c>
      <c r="H3" s="121" t="str">
        <f>VLOOKUP($C3,$C$6:$K$500,6,FALSE)</f>
        <v>3H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Federico Gutierrez</cp:lastModifiedBy>
  <cp:revision/>
  <dcterms:created xsi:type="dcterms:W3CDTF">2017-12-27T19:32:51Z</dcterms:created>
  <dcterms:modified xsi:type="dcterms:W3CDTF">2026-06-09T07:39:24Z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