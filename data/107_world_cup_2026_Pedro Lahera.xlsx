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11869C55-102E-0D46-8DB1-ACE1B617BB38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/>
  <c r="CR37" i="3"/>
  <c r="CK55" i="3"/>
  <c r="CK56" i="3"/>
  <c r="CK23" i="3"/>
  <c r="CK24" i="3"/>
  <c r="CD64" i="3"/>
  <c r="CD65" i="3"/>
  <c r="CD48" i="3"/>
  <c r="CD49" i="3"/>
  <c r="CD32" i="3"/>
  <c r="CD33" i="3"/>
  <c r="CD16" i="3"/>
  <c r="CD17" i="3"/>
  <c r="BW68" i="3"/>
  <c r="BW69" i="3"/>
  <c r="BW60" i="3"/>
  <c r="BW61" i="3"/>
  <c r="BW52" i="3"/>
  <c r="BW53" i="3"/>
  <c r="BW44" i="3"/>
  <c r="BW45" i="3"/>
  <c r="BW36" i="3"/>
  <c r="BW37" i="3"/>
  <c r="BW28" i="3"/>
  <c r="BW29" i="3"/>
  <c r="BW20" i="3"/>
  <c r="BW21" i="3"/>
  <c r="BW12" i="3"/>
  <c r="BW13" i="3"/>
  <c r="BP70" i="3"/>
  <c r="BP71" i="3"/>
  <c r="BP66" i="3"/>
  <c r="BP67" i="3"/>
  <c r="BP62" i="3"/>
  <c r="BP63" i="3"/>
  <c r="BP58" i="3"/>
  <c r="BP59" i="3"/>
  <c r="BP54" i="3"/>
  <c r="BP55" i="3"/>
  <c r="BP50" i="3"/>
  <c r="BP51" i="3"/>
  <c r="BP46" i="3"/>
  <c r="BP47" i="3"/>
  <c r="BP42" i="3"/>
  <c r="BP43" i="3"/>
  <c r="BP38" i="3"/>
  <c r="BP39" i="3"/>
  <c r="BP34" i="3"/>
  <c r="BP35" i="3"/>
  <c r="BP30" i="3"/>
  <c r="BP31" i="3"/>
  <c r="BP26" i="3"/>
  <c r="BP27" i="3"/>
  <c r="BP22" i="3"/>
  <c r="BP23" i="3"/>
  <c r="BP18" i="3"/>
  <c r="BP19" i="3"/>
  <c r="BP14" i="3"/>
  <c r="BP15" i="3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/>
  <c r="J80" i="3"/>
  <c r="CR38" i="3"/>
  <c r="CK68" i="3"/>
  <c r="O3" i="3"/>
  <c r="G65" i="2"/>
  <c r="G16" i="2"/>
  <c r="CD31" i="3"/>
  <c r="G15" i="2"/>
  <c r="CE68" i="3"/>
  <c r="BW19" i="3"/>
  <c r="BW59" i="3"/>
  <c r="BR59" i="3" a="1"/>
  <c r="BR59" i="3"/>
  <c r="BP53" i="3"/>
  <c r="BK53" i="3" a="1"/>
  <c r="BK53" i="3"/>
  <c r="BP29" i="3"/>
  <c r="BK29" i="3" a="1"/>
  <c r="BK29" i="3"/>
  <c r="BP17" i="3"/>
  <c r="BK17" i="3" a="1"/>
  <c r="BK17" i="3"/>
  <c r="BP45" i="3"/>
  <c r="BK45" i="3" a="1"/>
  <c r="BK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/>
  <c r="T87" i="3" a="1"/>
  <c r="T87" i="3"/>
  <c r="T88" i="3" a="1"/>
  <c r="T88" i="3"/>
  <c r="T89" i="3" a="1"/>
  <c r="T89" i="3"/>
  <c r="T90" i="3" a="1"/>
  <c r="T90" i="3"/>
  <c r="T91" i="3" a="1"/>
  <c r="T91" i="3"/>
  <c r="T96" i="3" a="1"/>
  <c r="T96" i="3"/>
  <c r="T97" i="3" a="1"/>
  <c r="T97" i="3"/>
  <c r="T98" i="3" a="1"/>
  <c r="T98" i="3"/>
  <c r="T102" i="3" a="1"/>
  <c r="T102" i="3"/>
  <c r="AC102" i="3" a="1"/>
  <c r="AC102" i="3"/>
  <c r="T103" i="3" a="1"/>
  <c r="T103" i="3"/>
  <c r="AC103" i="3" a="1"/>
  <c r="AC103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/>
  <c r="BY6" i="3" a="1"/>
  <c r="BY6" i="3"/>
  <c r="CF6" i="3" a="1"/>
  <c r="CF6" i="3"/>
  <c r="CM33" i="3" a="1"/>
  <c r="CM33" i="3"/>
  <c r="X103" i="3"/>
  <c r="CM44" i="3" a="1"/>
  <c r="CM44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74" i="3" a="1"/>
  <c r="J74" i="3"/>
  <c r="J68" i="3" a="1"/>
  <c r="J68" i="3"/>
  <c r="J62" i="3" a="1"/>
  <c r="J62" i="3"/>
  <c r="J56" i="3" a="1"/>
  <c r="J56" i="3"/>
  <c r="J50" i="3" a="1"/>
  <c r="J50" i="3"/>
  <c r="J44" i="3" a="1"/>
  <c r="J44" i="3"/>
  <c r="J38" i="3" a="1"/>
  <c r="J38" i="3"/>
  <c r="J32" i="3" a="1"/>
  <c r="J32" i="3"/>
  <c r="J26" i="3" a="1"/>
  <c r="J26" i="3"/>
  <c r="J20" i="3" a="1"/>
  <c r="J20" i="3"/>
  <c r="J14" i="3" a="1"/>
  <c r="J14" i="3"/>
  <c r="J8" i="3" a="1"/>
  <c r="J8" i="3"/>
  <c r="A5" i="3" a="1"/>
  <c r="A5" i="3"/>
  <c r="A1" i="3" a="1"/>
  <c r="A1" i="3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a="1"/>
  <c r="CM36" i="3"/>
  <c r="CR47" i="3"/>
  <c r="CM47" i="3" a="1"/>
  <c r="CM47" i="3"/>
  <c r="CK54" i="3"/>
  <c r="CF54" i="3" a="1"/>
  <c r="CF54" i="3"/>
  <c r="CD47" i="3"/>
  <c r="BY47" i="3" a="1"/>
  <c r="BY47" i="3"/>
  <c r="CK22" i="3"/>
  <c r="CF22" i="3" a="1"/>
  <c r="CF22" i="3"/>
  <c r="CD63" i="3"/>
  <c r="BY63" i="3" a="1"/>
  <c r="BY63" i="3"/>
  <c r="BY31" i="3" a="1"/>
  <c r="BY31" i="3"/>
  <c r="BW67" i="3"/>
  <c r="BR67" i="3" a="1"/>
  <c r="BR67" i="3"/>
  <c r="CD15" i="3"/>
  <c r="BY15" i="3" a="1"/>
  <c r="BY15" i="3"/>
  <c r="BW51" i="3"/>
  <c r="BR51" i="3" a="1"/>
  <c r="BR51" i="3"/>
  <c r="BW35" i="3"/>
  <c r="BR35" i="3" a="1"/>
  <c r="BR35" i="3"/>
  <c r="BW43" i="3"/>
  <c r="BR43" i="3" a="1"/>
  <c r="BR43" i="3"/>
  <c r="BW27" i="3"/>
  <c r="BR27" i="3" a="1"/>
  <c r="BR27" i="3"/>
  <c r="BR19" i="3" a="1"/>
  <c r="BR19" i="3"/>
  <c r="BP69" i="3"/>
  <c r="BK69" i="3" a="1"/>
  <c r="BK69" i="3"/>
  <c r="BW11" i="3"/>
  <c r="BR11" i="3" a="1"/>
  <c r="BR11" i="3"/>
  <c r="BP61" i="3"/>
  <c r="BK61" i="3" a="1"/>
  <c r="BK61" i="3"/>
  <c r="BP65" i="3"/>
  <c r="BK65" i="3" a="1"/>
  <c r="BK65" i="3"/>
  <c r="BP57" i="3"/>
  <c r="BK57" i="3" a="1"/>
  <c r="BK57" i="3"/>
  <c r="BP49" i="3"/>
  <c r="BK49" i="3" a="1"/>
  <c r="BK49" i="3"/>
  <c r="BK41" i="3" a="1"/>
  <c r="BK41" i="3"/>
  <c r="BP37" i="3"/>
  <c r="BK37" i="3" a="1"/>
  <c r="BK37" i="3"/>
  <c r="BP33" i="3"/>
  <c r="BK33" i="3" a="1"/>
  <c r="BK33" i="3"/>
  <c r="BP25" i="3"/>
  <c r="BK25" i="3" a="1"/>
  <c r="BK25" i="3"/>
  <c r="BP21" i="3"/>
  <c r="BK21" i="3" a="1"/>
  <c r="BK21" i="3"/>
  <c r="BP13" i="3"/>
  <c r="BK13" i="3" a="1"/>
  <c r="BK13" i="3"/>
  <c r="BP9" i="3"/>
  <c r="BK9" i="3" a="1"/>
  <c r="BK9" i="3"/>
  <c r="I15" i="2"/>
  <c r="AA14" i="3"/>
  <c r="AA7" i="2" a="1"/>
  <c r="AA7" i="2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/>
  <c r="B7" i="3" a="1"/>
  <c r="B7" i="3"/>
  <c r="D8" i="3"/>
  <c r="C8" i="3" a="1"/>
  <c r="C8" i="3"/>
  <c r="B8" i="3" a="1"/>
  <c r="B8" i="3"/>
  <c r="D10" i="3"/>
  <c r="C10" i="3" a="1"/>
  <c r="C10" i="3"/>
  <c r="B10" i="3" a="1"/>
  <c r="B10" i="3"/>
  <c r="D18" i="3"/>
  <c r="C18" i="3" a="1"/>
  <c r="C18" i="3"/>
  <c r="B18" i="3" a="1"/>
  <c r="B18" i="3"/>
  <c r="D30" i="3"/>
  <c r="C30" i="3" a="1"/>
  <c r="C30" i="3"/>
  <c r="B30" i="3" a="1"/>
  <c r="B30" i="3"/>
  <c r="D54" i="3"/>
  <c r="C54" i="3" a="1"/>
  <c r="C54" i="3"/>
  <c r="B54" i="3" a="1"/>
  <c r="B54" i="3"/>
  <c r="D65" i="3"/>
  <c r="C65" i="3" a="1"/>
  <c r="C65" i="3"/>
  <c r="B65" i="3" a="1"/>
  <c r="B65" i="3"/>
  <c r="D66" i="3"/>
  <c r="C66" i="3" a="1"/>
  <c r="C66" i="3"/>
  <c r="B66" i="3" a="1"/>
  <c r="B66" i="3"/>
  <c r="D75" i="3"/>
  <c r="C75" i="3" a="1"/>
  <c r="C75" i="3"/>
  <c r="B75" i="3" a="1"/>
  <c r="B75" i="3"/>
  <c r="D76" i="3"/>
  <c r="C76" i="3" a="1"/>
  <c r="C76" i="3"/>
  <c r="B76" i="3" a="1"/>
  <c r="B76" i="3"/>
  <c r="D34" i="3"/>
  <c r="C34" i="3" a="1"/>
  <c r="C34" i="3"/>
  <c r="B34" i="3" a="1"/>
  <c r="B34" i="3"/>
  <c r="D59" i="3"/>
  <c r="C59" i="3" a="1"/>
  <c r="C59" i="3"/>
  <c r="B59" i="3" a="1"/>
  <c r="B59" i="3"/>
  <c r="D60" i="3"/>
  <c r="C60" i="3" a="1"/>
  <c r="C60" i="3"/>
  <c r="B60" i="3" a="1"/>
  <c r="B60" i="3"/>
  <c r="D42" i="3"/>
  <c r="C42" i="3" a="1"/>
  <c r="C42" i="3"/>
  <c r="B42" i="3" a="1"/>
  <c r="B42" i="3"/>
  <c r="D72" i="3"/>
  <c r="C72" i="3" a="1"/>
  <c r="C72" i="3"/>
  <c r="B72" i="3" a="1"/>
  <c r="B72" i="3"/>
  <c r="D31" i="3"/>
  <c r="C31" i="3" a="1"/>
  <c r="C31" i="3"/>
  <c r="B31" i="3" a="1"/>
  <c r="B31" i="3"/>
  <c r="D9" i="3"/>
  <c r="C9" i="3" a="1"/>
  <c r="C9" i="3"/>
  <c r="B9" i="3" a="1"/>
  <c r="B9" i="3"/>
  <c r="D13" i="3"/>
  <c r="C13" i="3" a="1"/>
  <c r="C13" i="3"/>
  <c r="B13" i="3" a="1"/>
  <c r="B13" i="3"/>
  <c r="D11" i="3"/>
  <c r="C11" i="3" a="1"/>
  <c r="C11" i="3"/>
  <c r="B11" i="3" a="1"/>
  <c r="B11" i="3"/>
  <c r="D35" i="3"/>
  <c r="C35" i="3" a="1"/>
  <c r="C35" i="3"/>
  <c r="B35" i="3" a="1"/>
  <c r="B35" i="3"/>
  <c r="D36" i="3"/>
  <c r="C36" i="3" a="1"/>
  <c r="C36" i="3"/>
  <c r="B36" i="3" a="1"/>
  <c r="B36" i="3"/>
  <c r="D55" i="3"/>
  <c r="C55" i="3" a="1"/>
  <c r="C55" i="3"/>
  <c r="B55" i="3" a="1"/>
  <c r="B55" i="3"/>
  <c r="D56" i="3"/>
  <c r="C56" i="3" a="1"/>
  <c r="C56" i="3"/>
  <c r="B56" i="3" a="1"/>
  <c r="B56" i="3"/>
  <c r="D15" i="3"/>
  <c r="C15" i="3" a="1"/>
  <c r="C15" i="3"/>
  <c r="B15" i="3" a="1"/>
  <c r="B15" i="3"/>
  <c r="D39" i="3"/>
  <c r="C39" i="3" a="1"/>
  <c r="C39" i="3"/>
  <c r="B39" i="3" a="1"/>
  <c r="B39" i="3"/>
  <c r="D61" i="3"/>
  <c r="C61" i="3" a="1"/>
  <c r="C61" i="3"/>
  <c r="B61" i="3" a="1"/>
  <c r="B61" i="3"/>
  <c r="D62" i="3"/>
  <c r="C62" i="3" a="1"/>
  <c r="C62" i="3"/>
  <c r="B62" i="3" a="1"/>
  <c r="B62" i="3"/>
  <c r="D20" i="3"/>
  <c r="C20" i="3" a="1"/>
  <c r="C20" i="3"/>
  <c r="B20" i="3" a="1"/>
  <c r="B20" i="3"/>
  <c r="D19" i="3"/>
  <c r="C19" i="3" a="1"/>
  <c r="C19" i="3"/>
  <c r="B19" i="3" a="1"/>
  <c r="B19" i="3"/>
  <c r="D43" i="3"/>
  <c r="C43" i="3" a="1"/>
  <c r="C43" i="3"/>
  <c r="B43" i="3" a="1"/>
  <c r="B43" i="3"/>
  <c r="D44" i="3"/>
  <c r="C44" i="3" a="1"/>
  <c r="C44" i="3"/>
  <c r="B44" i="3" a="1"/>
  <c r="B44" i="3"/>
  <c r="D23" i="3"/>
  <c r="C23" i="3" a="1"/>
  <c r="C23" i="3"/>
  <c r="B23" i="3" a="1"/>
  <c r="B23" i="3"/>
  <c r="D24" i="3"/>
  <c r="C24" i="3" a="1"/>
  <c r="C24" i="3"/>
  <c r="B24" i="3" a="1"/>
  <c r="B24" i="3"/>
  <c r="D48" i="3"/>
  <c r="C48" i="3" a="1"/>
  <c r="C48" i="3"/>
  <c r="B48" i="3" a="1"/>
  <c r="B48" i="3"/>
  <c r="D47" i="3"/>
  <c r="C47" i="3" a="1"/>
  <c r="C47" i="3"/>
  <c r="B47" i="3" a="1"/>
  <c r="B47" i="3"/>
  <c r="D67" i="3"/>
  <c r="C67" i="3" a="1"/>
  <c r="C67" i="3"/>
  <c r="B67" i="3" a="1"/>
  <c r="B67" i="3"/>
  <c r="D68" i="3"/>
  <c r="C68" i="3" a="1"/>
  <c r="C68" i="3"/>
  <c r="B68" i="3" a="1"/>
  <c r="B68" i="3"/>
  <c r="D77" i="3"/>
  <c r="C77" i="3" a="1"/>
  <c r="C77" i="3"/>
  <c r="B77" i="3" a="1"/>
  <c r="B77" i="3"/>
  <c r="D78" i="3"/>
  <c r="C78" i="3" a="1"/>
  <c r="C78" i="3"/>
  <c r="B78" i="3" a="1"/>
  <c r="B78" i="3"/>
  <c r="D27" i="3"/>
  <c r="C27" i="3" a="1"/>
  <c r="C27" i="3"/>
  <c r="B27" i="3" a="1"/>
  <c r="B27" i="3"/>
  <c r="D51" i="3"/>
  <c r="C51" i="3" a="1"/>
  <c r="C51" i="3"/>
  <c r="B51" i="3" a="1"/>
  <c r="B51" i="3"/>
  <c r="D52" i="3"/>
  <c r="C52" i="3" a="1"/>
  <c r="C52" i="3"/>
  <c r="B52" i="3" a="1"/>
  <c r="B52" i="3"/>
  <c r="D73" i="3"/>
  <c r="C73" i="3" a="1"/>
  <c r="C73" i="3"/>
  <c r="B73" i="3" a="1"/>
  <c r="B73" i="3"/>
  <c r="D74" i="3"/>
  <c r="C74" i="3" a="1"/>
  <c r="C74" i="3"/>
  <c r="B74" i="3" a="1"/>
  <c r="B74" i="3"/>
  <c r="D14" i="3"/>
  <c r="C14" i="3" a="1"/>
  <c r="C14" i="3"/>
  <c r="B14" i="3" a="1"/>
  <c r="B14" i="3"/>
  <c r="D32" i="3"/>
  <c r="C32" i="3" a="1"/>
  <c r="C32" i="3"/>
  <c r="B32" i="3" a="1"/>
  <c r="B32" i="3"/>
  <c r="D33" i="3"/>
  <c r="C33" i="3" a="1"/>
  <c r="C33" i="3"/>
  <c r="B33" i="3" a="1"/>
  <c r="B33" i="3"/>
  <c r="D57" i="3"/>
  <c r="C57" i="3" a="1"/>
  <c r="C57" i="3"/>
  <c r="B57" i="3" a="1"/>
  <c r="B57" i="3"/>
  <c r="D58" i="3"/>
  <c r="C58" i="3" a="1"/>
  <c r="C58" i="3"/>
  <c r="B58" i="3" a="1"/>
  <c r="B58" i="3"/>
  <c r="D12" i="3"/>
  <c r="C12" i="3" a="1"/>
  <c r="C12" i="3"/>
  <c r="B12" i="3" a="1"/>
  <c r="B12" i="3"/>
  <c r="D38" i="3"/>
  <c r="C38" i="3" a="1"/>
  <c r="C38" i="3"/>
  <c r="B38" i="3" a="1"/>
  <c r="B38" i="3"/>
  <c r="D37" i="3"/>
  <c r="C37" i="3" a="1"/>
  <c r="C37" i="3"/>
  <c r="B37" i="3" a="1"/>
  <c r="B37" i="3"/>
  <c r="D22" i="3"/>
  <c r="C22" i="3" a="1"/>
  <c r="C22" i="3"/>
  <c r="B22" i="3" a="1"/>
  <c r="B22" i="3"/>
  <c r="D21" i="3"/>
  <c r="C21" i="3" a="1"/>
  <c r="C21" i="3"/>
  <c r="B21" i="3" a="1"/>
  <c r="B21" i="3"/>
  <c r="D45" i="3"/>
  <c r="C45" i="3" a="1"/>
  <c r="C45" i="3"/>
  <c r="B45" i="3" a="1"/>
  <c r="B45" i="3"/>
  <c r="D46" i="3"/>
  <c r="C46" i="3" a="1"/>
  <c r="C46" i="3"/>
  <c r="B46" i="3" a="1"/>
  <c r="B46" i="3"/>
  <c r="D69" i="3"/>
  <c r="C69" i="3" a="1"/>
  <c r="C69" i="3"/>
  <c r="B69" i="3" a="1"/>
  <c r="B69" i="3"/>
  <c r="D70" i="3"/>
  <c r="C70" i="3" a="1"/>
  <c r="C70" i="3"/>
  <c r="B70" i="3" a="1"/>
  <c r="B70" i="3"/>
  <c r="D26" i="3"/>
  <c r="C26" i="3" a="1"/>
  <c r="C26" i="3"/>
  <c r="B26" i="3" a="1"/>
  <c r="B26" i="3"/>
  <c r="D50" i="3"/>
  <c r="C50" i="3" a="1"/>
  <c r="C50" i="3"/>
  <c r="B50" i="3" a="1"/>
  <c r="B50" i="3"/>
  <c r="D16" i="3"/>
  <c r="C16" i="3" a="1"/>
  <c r="C16" i="3"/>
  <c r="B16" i="3" a="1"/>
  <c r="B16" i="3"/>
  <c r="D40" i="3"/>
  <c r="C40" i="3" a="1"/>
  <c r="C40" i="3"/>
  <c r="B40" i="3" a="1"/>
  <c r="B40" i="3"/>
  <c r="D17" i="3"/>
  <c r="C17" i="3" a="1"/>
  <c r="C17" i="3"/>
  <c r="B17" i="3" a="1"/>
  <c r="B17" i="3"/>
  <c r="D41" i="3"/>
  <c r="C41" i="3" a="1"/>
  <c r="C41" i="3"/>
  <c r="B41" i="3" a="1"/>
  <c r="B41" i="3"/>
  <c r="D63" i="3"/>
  <c r="C63" i="3" a="1"/>
  <c r="C63" i="3"/>
  <c r="B63" i="3" a="1"/>
  <c r="B63" i="3"/>
  <c r="D64" i="3"/>
  <c r="C64" i="3" a="1"/>
  <c r="C64" i="3"/>
  <c r="B64" i="3" a="1"/>
  <c r="B64" i="3"/>
  <c r="D71" i="3"/>
  <c r="C71" i="3" a="1"/>
  <c r="C71" i="3"/>
  <c r="B71" i="3" a="1"/>
  <c r="B71" i="3"/>
  <c r="D25" i="3"/>
  <c r="C25" i="3" a="1"/>
  <c r="C25" i="3"/>
  <c r="B25" i="3" a="1"/>
  <c r="B25" i="3"/>
  <c r="D49" i="3"/>
  <c r="C49" i="3" a="1"/>
  <c r="C49" i="3"/>
  <c r="B49" i="3" a="1"/>
  <c r="B49" i="3"/>
  <c r="D29" i="3"/>
  <c r="C29" i="3" a="1"/>
  <c r="C29" i="3"/>
  <c r="B29" i="3" a="1"/>
  <c r="B29" i="3"/>
  <c r="D53" i="3"/>
  <c r="C53" i="3" a="1"/>
  <c r="C53" i="3"/>
  <c r="B53" i="3" a="1"/>
  <c r="B53" i="3"/>
  <c r="D28" i="3"/>
  <c r="C28" i="3" a="1"/>
  <c r="C28" i="3"/>
  <c r="B28" i="3" a="1"/>
  <c r="B28" i="3"/>
  <c r="E35" i="3"/>
  <c r="H36" i="3"/>
  <c r="H35" i="3"/>
  <c r="E36" i="3"/>
  <c r="H77" i="3"/>
  <c r="E53" i="3"/>
  <c r="E29" i="3"/>
  <c r="H59" i="3"/>
  <c r="E34" i="3"/>
  <c r="AA34" i="3"/>
  <c r="E7" i="3"/>
  <c r="E60" i="3"/>
  <c r="H31" i="3"/>
  <c r="H7" i="3"/>
  <c r="H57" i="3"/>
  <c r="E33" i="3"/>
  <c r="AA33" i="3"/>
  <c r="E9" i="3"/>
  <c r="H60" i="3"/>
  <c r="H34" i="3"/>
  <c r="E8" i="3"/>
  <c r="H58" i="3"/>
  <c r="H33" i="3"/>
  <c r="E14" i="3"/>
  <c r="E57" i="3"/>
  <c r="E32" i="3"/>
  <c r="H14" i="3"/>
  <c r="H55" i="3"/>
  <c r="E13" i="3"/>
  <c r="AA13" i="3"/>
  <c r="E56" i="3"/>
  <c r="H13" i="3"/>
  <c r="H56" i="3"/>
  <c r="E11" i="3"/>
  <c r="E55" i="3"/>
  <c r="AA55" i="3"/>
  <c r="H11" i="3"/>
  <c r="H65" i="3"/>
  <c r="E37" i="3"/>
  <c r="AA37" i="3"/>
  <c r="E10" i="3"/>
  <c r="E66" i="3"/>
  <c r="AA66" i="3"/>
  <c r="H38" i="3"/>
  <c r="H10" i="3"/>
  <c r="H66" i="3"/>
  <c r="H37" i="3"/>
  <c r="E65" i="3"/>
  <c r="AA65" i="3"/>
  <c r="E38" i="3"/>
  <c r="H62" i="3"/>
  <c r="E39" i="3"/>
  <c r="E16" i="3"/>
  <c r="AA16" i="3"/>
  <c r="E61" i="3"/>
  <c r="H40" i="3"/>
  <c r="H16" i="3"/>
  <c r="H61" i="3"/>
  <c r="H39" i="3"/>
  <c r="E15" i="3"/>
  <c r="AA15" i="3"/>
  <c r="E62" i="3"/>
  <c r="E40" i="3"/>
  <c r="AA40" i="3"/>
  <c r="H15" i="3"/>
  <c r="H64" i="3"/>
  <c r="E41" i="3"/>
  <c r="E17" i="3"/>
  <c r="E63" i="3"/>
  <c r="H42" i="3"/>
  <c r="H17" i="3"/>
  <c r="H63" i="3"/>
  <c r="H41" i="3"/>
  <c r="E18" i="3"/>
  <c r="E64" i="3"/>
  <c r="E42" i="3"/>
  <c r="AA42" i="3"/>
  <c r="H18" i="3"/>
  <c r="H70" i="3"/>
  <c r="E45" i="3"/>
  <c r="AA45" i="3"/>
  <c r="H69" i="3"/>
  <c r="H45" i="3"/>
  <c r="E21" i="3"/>
  <c r="E70" i="3"/>
  <c r="AA70" i="3"/>
  <c r="E46" i="3"/>
  <c r="AA46" i="3"/>
  <c r="H21" i="3"/>
  <c r="H72" i="3"/>
  <c r="E44" i="3"/>
  <c r="E20" i="3"/>
  <c r="H71" i="3"/>
  <c r="H44" i="3"/>
  <c r="E19" i="3"/>
  <c r="AA19" i="3"/>
  <c r="E72" i="3"/>
  <c r="AA72" i="3"/>
  <c r="E43" i="3"/>
  <c r="H19" i="3"/>
  <c r="H67" i="3"/>
  <c r="E48" i="3"/>
  <c r="AA48" i="3"/>
  <c r="E23" i="3"/>
  <c r="AA23" i="3"/>
  <c r="E68" i="3"/>
  <c r="H47" i="3"/>
  <c r="H23" i="3"/>
  <c r="E67" i="3"/>
  <c r="AA67" i="3"/>
  <c r="E47" i="3"/>
  <c r="AA47" i="3"/>
  <c r="H24" i="3"/>
  <c r="H76" i="3"/>
  <c r="E49" i="3"/>
  <c r="AA49" i="3"/>
  <c r="E25" i="3"/>
  <c r="E75" i="3"/>
  <c r="AA75" i="3"/>
  <c r="H50" i="3"/>
  <c r="H25" i="3"/>
  <c r="H75" i="3"/>
  <c r="H49" i="3"/>
  <c r="E26" i="3"/>
  <c r="E76" i="3"/>
  <c r="AA76" i="3"/>
  <c r="E50" i="3"/>
  <c r="AA50" i="3"/>
  <c r="H26" i="3"/>
  <c r="E78" i="3"/>
  <c r="AA78" i="3"/>
  <c r="H54" i="3"/>
  <c r="H29" i="3"/>
  <c r="H78" i="3"/>
  <c r="H53" i="3"/>
  <c r="E30" i="3"/>
  <c r="AA30" i="3"/>
  <c r="E77" i="3"/>
  <c r="E54" i="3"/>
  <c r="AA54" i="3"/>
  <c r="H30" i="3"/>
  <c r="H73" i="3"/>
  <c r="E51" i="3"/>
  <c r="E28" i="3"/>
  <c r="AA28" i="3"/>
  <c r="E74" i="3"/>
  <c r="H52" i="3"/>
  <c r="H28" i="3"/>
  <c r="H74" i="3"/>
  <c r="H51" i="3"/>
  <c r="E27" i="3"/>
  <c r="AA27" i="3"/>
  <c r="E73" i="3"/>
  <c r="E52" i="3"/>
  <c r="AA52" i="3"/>
  <c r="H27" i="3"/>
  <c r="E71" i="3"/>
  <c r="AA71" i="3"/>
  <c r="H43" i="3"/>
  <c r="H20" i="3"/>
  <c r="E59" i="3"/>
  <c r="E31" i="3"/>
  <c r="AA31" i="3"/>
  <c r="E58" i="3"/>
  <c r="H32" i="3"/>
  <c r="E69" i="3"/>
  <c r="AA69" i="3"/>
  <c r="H46" i="3"/>
  <c r="H68" i="3"/>
  <c r="H48" i="3"/>
  <c r="E24" i="3"/>
  <c r="E12" i="3"/>
  <c r="AA12" i="3"/>
  <c r="H8" i="3"/>
  <c r="H22" i="3"/>
  <c r="H12" i="3"/>
  <c r="E22" i="3"/>
  <c r="H9" i="3"/>
  <c r="AA9" i="3"/>
  <c r="D7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/>
  <c r="S28" i="3"/>
  <c r="S51" i="3"/>
  <c r="S30" i="3"/>
  <c r="T30" i="3"/>
  <c r="S78" i="3"/>
  <c r="S26" i="3"/>
  <c r="S75" i="3"/>
  <c r="T75" i="3"/>
  <c r="S25" i="3"/>
  <c r="S49" i="3"/>
  <c r="T49" i="3"/>
  <c r="S68" i="3"/>
  <c r="T68" i="3"/>
  <c r="S23" i="3"/>
  <c r="S48" i="3"/>
  <c r="S43" i="3"/>
  <c r="S19" i="3"/>
  <c r="S20" i="3"/>
  <c r="T20" i="3"/>
  <c r="S44" i="3"/>
  <c r="T44" i="3"/>
  <c r="S46" i="3"/>
  <c r="S21" i="3"/>
  <c r="S45" i="3"/>
  <c r="T45" i="3"/>
  <c r="S18" i="3"/>
  <c r="S63" i="3"/>
  <c r="S17" i="3"/>
  <c r="T17" i="3"/>
  <c r="S41" i="3"/>
  <c r="S15" i="3"/>
  <c r="T15" i="3"/>
  <c r="S61" i="3"/>
  <c r="S16" i="3"/>
  <c r="S39" i="3"/>
  <c r="T39" i="3"/>
  <c r="S66" i="3"/>
  <c r="T66" i="3"/>
  <c r="S10" i="3"/>
  <c r="T10" i="3"/>
  <c r="S37" i="3"/>
  <c r="S11" i="3"/>
  <c r="T11" i="3"/>
  <c r="S56" i="3"/>
  <c r="S13" i="3"/>
  <c r="T13" i="3"/>
  <c r="S32" i="3"/>
  <c r="T32" i="3"/>
  <c r="S14" i="3"/>
  <c r="T14" i="3"/>
  <c r="S8" i="3"/>
  <c r="S9" i="3"/>
  <c r="T9" i="3"/>
  <c r="S33" i="3"/>
  <c r="S60" i="3"/>
  <c r="T60" i="3"/>
  <c r="S34" i="3"/>
  <c r="T34" i="3"/>
  <c r="S29" i="3"/>
  <c r="T29" i="3"/>
  <c r="S53" i="3"/>
  <c r="S35" i="3"/>
  <c r="S7" i="3"/>
  <c r="T7" i="3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/>
  <c r="AL18" i="3"/>
  <c r="AM14" i="3"/>
  <c r="AL24" i="3"/>
  <c r="AM20" i="3"/>
  <c r="AL30" i="3"/>
  <c r="AM26" i="3"/>
  <c r="AL36" i="3"/>
  <c r="AM32" i="3"/>
  <c r="AL42" i="3"/>
  <c r="AM38" i="3"/>
  <c r="AL48" i="3"/>
  <c r="AM44" i="3"/>
  <c r="AL54" i="3"/>
  <c r="AM50" i="3"/>
  <c r="AL60" i="3"/>
  <c r="AM56" i="3"/>
  <c r="AL66" i="3"/>
  <c r="AM62" i="3"/>
  <c r="AL72" i="3"/>
  <c r="AM68" i="3"/>
  <c r="AL78" i="3"/>
  <c r="AM74" i="3"/>
  <c r="BS28" i="3"/>
  <c r="AM70" i="3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/>
  <c r="CN38" i="3"/>
  <c r="CN49" i="3"/>
  <c r="BS37" i="3"/>
  <c r="BS36" i="3"/>
  <c r="V34" i="3"/>
  <c r="W34" i="3"/>
  <c r="V7" i="3"/>
  <c r="W7" i="3"/>
  <c r="AT77" i="3" a="1"/>
  <c r="AT77" i="3"/>
  <c r="AU77" i="3" a="1"/>
  <c r="AU77" i="3"/>
  <c r="AT76" i="3" a="1"/>
  <c r="AT76" i="3"/>
  <c r="AU76" i="3" a="1"/>
  <c r="AU76" i="3"/>
  <c r="AT75" i="3" a="1"/>
  <c r="AT75" i="3"/>
  <c r="AU75" i="3" a="1"/>
  <c r="AU75" i="3"/>
  <c r="AT74" i="3" a="1"/>
  <c r="AT74" i="3"/>
  <c r="AU74" i="3" a="1"/>
  <c r="AU74" i="3"/>
  <c r="AT71" i="3" a="1"/>
  <c r="AT71" i="3"/>
  <c r="AU71" i="3" a="1"/>
  <c r="AU71" i="3"/>
  <c r="AT70" i="3" a="1"/>
  <c r="AT70" i="3"/>
  <c r="AU70" i="3" a="1"/>
  <c r="AU70" i="3"/>
  <c r="AT69" i="3" a="1"/>
  <c r="AT69" i="3"/>
  <c r="AU69" i="3" a="1"/>
  <c r="AU69" i="3"/>
  <c r="AT68" i="3" a="1"/>
  <c r="AT68" i="3"/>
  <c r="AU68" i="3" a="1"/>
  <c r="AU68" i="3"/>
  <c r="AT65" i="3" a="1"/>
  <c r="AT65" i="3"/>
  <c r="AU65" i="3" a="1"/>
  <c r="AU65" i="3"/>
  <c r="AT64" i="3" a="1"/>
  <c r="AT64" i="3"/>
  <c r="AU64" i="3" a="1"/>
  <c r="AU64" i="3"/>
  <c r="AT63" i="3" a="1"/>
  <c r="AT63" i="3"/>
  <c r="AU63" i="3" a="1"/>
  <c r="AU63" i="3"/>
  <c r="AT62" i="3" a="1"/>
  <c r="AT62" i="3"/>
  <c r="AU62" i="3" a="1"/>
  <c r="AU62" i="3"/>
  <c r="AT59" i="3" a="1"/>
  <c r="AT59" i="3"/>
  <c r="AU59" i="3" a="1"/>
  <c r="AU59" i="3"/>
  <c r="AT58" i="3" a="1"/>
  <c r="AT58" i="3"/>
  <c r="AU58" i="3" a="1"/>
  <c r="AU58" i="3"/>
  <c r="AT57" i="3" a="1"/>
  <c r="AT57" i="3"/>
  <c r="AU57" i="3" a="1"/>
  <c r="AU57" i="3"/>
  <c r="AT56" i="3" a="1"/>
  <c r="AT56" i="3"/>
  <c r="AU56" i="3" a="1"/>
  <c r="AU56" i="3"/>
  <c r="AT53" i="3" a="1"/>
  <c r="AT53" i="3"/>
  <c r="AU53" i="3" a="1"/>
  <c r="AU53" i="3"/>
  <c r="AT52" i="3" a="1"/>
  <c r="AT52" i="3"/>
  <c r="AU52" i="3" a="1"/>
  <c r="AU52" i="3"/>
  <c r="AT51" i="3" a="1"/>
  <c r="AT51" i="3"/>
  <c r="AU51" i="3" a="1"/>
  <c r="AU51" i="3"/>
  <c r="AT50" i="3" a="1"/>
  <c r="AT50" i="3"/>
  <c r="AU50" i="3" a="1"/>
  <c r="AU50" i="3"/>
  <c r="AT47" i="3" a="1"/>
  <c r="AT47" i="3"/>
  <c r="AU47" i="3" a="1"/>
  <c r="AU47" i="3"/>
  <c r="AT46" i="3" a="1"/>
  <c r="AT46" i="3"/>
  <c r="AU46" i="3" a="1"/>
  <c r="AU46" i="3"/>
  <c r="AT45" i="3" a="1"/>
  <c r="AT45" i="3"/>
  <c r="AU45" i="3" a="1"/>
  <c r="AU45" i="3"/>
  <c r="AT44" i="3" a="1"/>
  <c r="AT44" i="3"/>
  <c r="AU44" i="3" a="1"/>
  <c r="AU44" i="3"/>
  <c r="AT41" i="3" a="1"/>
  <c r="AT41" i="3"/>
  <c r="AU41" i="3" a="1"/>
  <c r="AU41" i="3"/>
  <c r="AT40" i="3" a="1"/>
  <c r="AT40" i="3"/>
  <c r="AU40" i="3" a="1"/>
  <c r="AU40" i="3"/>
  <c r="AT39" i="3" a="1"/>
  <c r="AT39" i="3"/>
  <c r="AU39" i="3" a="1"/>
  <c r="AU39" i="3"/>
  <c r="AT38" i="3" a="1"/>
  <c r="AT38" i="3"/>
  <c r="AU38" i="3" a="1"/>
  <c r="AU38" i="3"/>
  <c r="AT35" i="3" a="1"/>
  <c r="AT35" i="3"/>
  <c r="AU35" i="3" a="1"/>
  <c r="AU35" i="3"/>
  <c r="AT34" i="3" a="1"/>
  <c r="AT34" i="3"/>
  <c r="AU34" i="3" a="1"/>
  <c r="AU34" i="3"/>
  <c r="AT33" i="3" a="1"/>
  <c r="AT33" i="3"/>
  <c r="AU33" i="3" a="1"/>
  <c r="AU33" i="3"/>
  <c r="AT32" i="3" a="1"/>
  <c r="AT32" i="3"/>
  <c r="AU32" i="3" a="1"/>
  <c r="AU32" i="3"/>
  <c r="AT29" i="3" a="1"/>
  <c r="AT29" i="3"/>
  <c r="AU29" i="3" a="1"/>
  <c r="AU29" i="3"/>
  <c r="AT28" i="3" a="1"/>
  <c r="AT28" i="3"/>
  <c r="AU28" i="3" a="1"/>
  <c r="AU28" i="3"/>
  <c r="AT27" i="3" a="1"/>
  <c r="AT27" i="3"/>
  <c r="AU27" i="3" a="1"/>
  <c r="AU27" i="3"/>
  <c r="AT26" i="3" a="1"/>
  <c r="AT26" i="3"/>
  <c r="AU26" i="3" a="1"/>
  <c r="AU26" i="3"/>
  <c r="AT23" i="3" a="1"/>
  <c r="AT23" i="3"/>
  <c r="AU23" i="3" a="1"/>
  <c r="AU23" i="3"/>
  <c r="AT22" i="3" a="1"/>
  <c r="AT22" i="3"/>
  <c r="AU22" i="3" a="1"/>
  <c r="AU22" i="3"/>
  <c r="AT21" i="3" a="1"/>
  <c r="AT21" i="3"/>
  <c r="AU21" i="3" a="1"/>
  <c r="AU21" i="3"/>
  <c r="AT20" i="3" a="1"/>
  <c r="AT20" i="3"/>
  <c r="AU20" i="3" a="1"/>
  <c r="AU20" i="3"/>
  <c r="AT17" i="3" a="1"/>
  <c r="AT17" i="3"/>
  <c r="AU17" i="3" a="1"/>
  <c r="AU17" i="3"/>
  <c r="AT16" i="3" a="1"/>
  <c r="AT16" i="3"/>
  <c r="AU16" i="3" a="1"/>
  <c r="AU16" i="3"/>
  <c r="AT15" i="3" a="1"/>
  <c r="AT15" i="3"/>
  <c r="AU15" i="3" a="1"/>
  <c r="AU15" i="3"/>
  <c r="AT14" i="3" a="1"/>
  <c r="AT14" i="3"/>
  <c r="AU14" i="3" a="1"/>
  <c r="AU14" i="3"/>
  <c r="AT11" i="3" a="1"/>
  <c r="AT11" i="3"/>
  <c r="AU11" i="3" a="1"/>
  <c r="AU11" i="3"/>
  <c r="AT10" i="3" a="1"/>
  <c r="AT10" i="3"/>
  <c r="AU10" i="3" a="1"/>
  <c r="AU10" i="3"/>
  <c r="AT9" i="3" a="1"/>
  <c r="AT9" i="3"/>
  <c r="AU9" i="3" a="1"/>
  <c r="AU9" i="3"/>
  <c r="AT8" i="3" a="1"/>
  <c r="AT8" i="3"/>
  <c r="AU8" i="3" a="1"/>
  <c r="AU8" i="3"/>
  <c r="AV8" i="3" a="1"/>
  <c r="AV8" i="3"/>
  <c r="AW8" i="3" a="1"/>
  <c r="AW8" i="3"/>
  <c r="AV9" i="3" a="1"/>
  <c r="AV9" i="3"/>
  <c r="AW9" i="3" a="1"/>
  <c r="AW9" i="3"/>
  <c r="AV10" i="3" a="1"/>
  <c r="AV10" i="3"/>
  <c r="AW10" i="3" a="1"/>
  <c r="AW10" i="3"/>
  <c r="AV11" i="3" a="1"/>
  <c r="AV11" i="3"/>
  <c r="AW11" i="3" a="1"/>
  <c r="AW11" i="3"/>
  <c r="AV14" i="3" a="1"/>
  <c r="AV14" i="3"/>
  <c r="AW14" i="3" a="1"/>
  <c r="AW14" i="3"/>
  <c r="AV15" i="3" a="1"/>
  <c r="AV15" i="3"/>
  <c r="AW15" i="3" a="1"/>
  <c r="AW15" i="3"/>
  <c r="AV16" i="3" a="1"/>
  <c r="AV16" i="3"/>
  <c r="AW16" i="3" a="1"/>
  <c r="AW16" i="3"/>
  <c r="AV17" i="3" a="1"/>
  <c r="AV17" i="3"/>
  <c r="AW17" i="3" a="1"/>
  <c r="AW17" i="3"/>
  <c r="AV20" i="3" a="1"/>
  <c r="AV20" i="3"/>
  <c r="AW20" i="3" a="1"/>
  <c r="AW20" i="3"/>
  <c r="AV21" i="3" a="1"/>
  <c r="AV21" i="3"/>
  <c r="AW21" i="3" a="1"/>
  <c r="AW21" i="3"/>
  <c r="AV22" i="3" a="1"/>
  <c r="AV22" i="3"/>
  <c r="AW22" i="3" a="1"/>
  <c r="AW22" i="3"/>
  <c r="AV23" i="3" a="1"/>
  <c r="AV23" i="3"/>
  <c r="AW23" i="3" a="1"/>
  <c r="AW23" i="3"/>
  <c r="AV26" i="3" a="1"/>
  <c r="AV26" i="3"/>
  <c r="AW26" i="3" a="1"/>
  <c r="AW26" i="3"/>
  <c r="AV27" i="3" a="1"/>
  <c r="AV27" i="3"/>
  <c r="AW27" i="3" a="1"/>
  <c r="AW27" i="3"/>
  <c r="AV28" i="3" a="1"/>
  <c r="AV28" i="3"/>
  <c r="AW28" i="3" a="1"/>
  <c r="AW28" i="3"/>
  <c r="AV29" i="3" a="1"/>
  <c r="AV29" i="3"/>
  <c r="AW29" i="3" a="1"/>
  <c r="AW29" i="3"/>
  <c r="AV32" i="3" a="1"/>
  <c r="AV32" i="3"/>
  <c r="AW32" i="3" a="1"/>
  <c r="AW32" i="3"/>
  <c r="AV33" i="3" a="1"/>
  <c r="AV33" i="3"/>
  <c r="AW33" i="3" a="1"/>
  <c r="AW33" i="3"/>
  <c r="AV34" i="3" a="1"/>
  <c r="AV34" i="3"/>
  <c r="AW34" i="3" a="1"/>
  <c r="AW34" i="3"/>
  <c r="AV35" i="3" a="1"/>
  <c r="AV35" i="3"/>
  <c r="AW35" i="3" a="1"/>
  <c r="AW35" i="3"/>
  <c r="AV38" i="3" a="1"/>
  <c r="AV38" i="3"/>
  <c r="AW38" i="3" a="1"/>
  <c r="AW38" i="3"/>
  <c r="AV39" i="3" a="1"/>
  <c r="AV39" i="3"/>
  <c r="AW39" i="3" a="1"/>
  <c r="AW39" i="3"/>
  <c r="AV40" i="3" a="1"/>
  <c r="AV40" i="3"/>
  <c r="AW40" i="3" a="1"/>
  <c r="AW40" i="3"/>
  <c r="AV41" i="3" a="1"/>
  <c r="AV41" i="3"/>
  <c r="AW41" i="3" a="1"/>
  <c r="AW41" i="3"/>
  <c r="AV44" i="3" a="1"/>
  <c r="AV44" i="3"/>
  <c r="AW44" i="3" a="1"/>
  <c r="AW44" i="3"/>
  <c r="AV45" i="3" a="1"/>
  <c r="AV45" i="3"/>
  <c r="AW45" i="3" a="1"/>
  <c r="AW45" i="3"/>
  <c r="AV46" i="3" a="1"/>
  <c r="AV46" i="3"/>
  <c r="AW46" i="3" a="1"/>
  <c r="AW46" i="3"/>
  <c r="AV47" i="3" a="1"/>
  <c r="AV47" i="3"/>
  <c r="AW47" i="3" a="1"/>
  <c r="AW47" i="3"/>
  <c r="AV50" i="3" a="1"/>
  <c r="AV50" i="3"/>
  <c r="AW50" i="3" a="1"/>
  <c r="AW50" i="3"/>
  <c r="AV51" i="3" a="1"/>
  <c r="AV51" i="3"/>
  <c r="AW51" i="3" a="1"/>
  <c r="AW51" i="3"/>
  <c r="AV52" i="3" a="1"/>
  <c r="AV52" i="3"/>
  <c r="AW52" i="3" a="1"/>
  <c r="AW52" i="3"/>
  <c r="AV53" i="3" a="1"/>
  <c r="AV53" i="3"/>
  <c r="AW53" i="3" a="1"/>
  <c r="AW53" i="3"/>
  <c r="AV56" i="3" a="1"/>
  <c r="AV56" i="3"/>
  <c r="AW56" i="3" a="1"/>
  <c r="AW56" i="3"/>
  <c r="AV57" i="3" a="1"/>
  <c r="AV57" i="3"/>
  <c r="AW57" i="3" a="1"/>
  <c r="AW57" i="3"/>
  <c r="AV58" i="3" a="1"/>
  <c r="AV58" i="3"/>
  <c r="AW58" i="3" a="1"/>
  <c r="AW58" i="3"/>
  <c r="AV59" i="3" a="1"/>
  <c r="AV59" i="3"/>
  <c r="AW59" i="3" a="1"/>
  <c r="AW59" i="3"/>
  <c r="AV62" i="3" a="1"/>
  <c r="AV62" i="3"/>
  <c r="AW62" i="3" a="1"/>
  <c r="AW62" i="3"/>
  <c r="AV63" i="3" a="1"/>
  <c r="AV63" i="3"/>
  <c r="AW63" i="3" a="1"/>
  <c r="AW63" i="3"/>
  <c r="AV64" i="3" a="1"/>
  <c r="AV64" i="3"/>
  <c r="AW64" i="3" a="1"/>
  <c r="AW64" i="3"/>
  <c r="AV65" i="3" a="1"/>
  <c r="AV65" i="3"/>
  <c r="AW65" i="3" a="1"/>
  <c r="AW65" i="3"/>
  <c r="AV68" i="3" a="1"/>
  <c r="AV68" i="3"/>
  <c r="AW68" i="3" a="1"/>
  <c r="AW68" i="3"/>
  <c r="AV69" i="3" a="1"/>
  <c r="AV69" i="3"/>
  <c r="AW69" i="3" a="1"/>
  <c r="AW69" i="3"/>
  <c r="AV70" i="3" a="1"/>
  <c r="AV70" i="3"/>
  <c r="AW70" i="3" a="1"/>
  <c r="AW70" i="3"/>
  <c r="AV71" i="3" a="1"/>
  <c r="AV71" i="3"/>
  <c r="AW71" i="3" a="1"/>
  <c r="AW71" i="3"/>
  <c r="AV74" i="3" a="1"/>
  <c r="AV74" i="3"/>
  <c r="AW74" i="3" a="1"/>
  <c r="AW74" i="3"/>
  <c r="AV75" i="3" a="1"/>
  <c r="AV75" i="3"/>
  <c r="AW75" i="3" a="1"/>
  <c r="AW75" i="3"/>
  <c r="AV76" i="3" a="1"/>
  <c r="AV76" i="3"/>
  <c r="AW76" i="3" a="1"/>
  <c r="AW76" i="3"/>
  <c r="AV77" i="3" a="1"/>
  <c r="AV77" i="3"/>
  <c r="AW77" i="3" a="1"/>
  <c r="AW77" i="3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/>
  <c r="AY72" i="3"/>
  <c r="AY66" i="3"/>
  <c r="AY60" i="3"/>
  <c r="AY54" i="3"/>
  <c r="AY48" i="3"/>
  <c r="AY42" i="3"/>
  <c r="AY36" i="3"/>
  <c r="AY30" i="3"/>
  <c r="AY24" i="3"/>
  <c r="AY18" i="3"/>
  <c r="AY12" i="3"/>
  <c r="AZ8" i="3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/>
  <c r="BA74" i="3"/>
  <c r="AO74" i="3"/>
  <c r="AZ72" i="3"/>
  <c r="BA68" i="3"/>
  <c r="AO68" i="3"/>
  <c r="AZ66" i="3"/>
  <c r="BA62" i="3"/>
  <c r="AO62" i="3"/>
  <c r="AZ60" i="3"/>
  <c r="BA56" i="3"/>
  <c r="AO56" i="3"/>
  <c r="AZ54" i="3"/>
  <c r="BA50" i="3"/>
  <c r="AO50" i="3"/>
  <c r="AZ48" i="3"/>
  <c r="BA44" i="3"/>
  <c r="AO44" i="3"/>
  <c r="AZ42" i="3"/>
  <c r="BA38" i="3"/>
  <c r="AO38" i="3"/>
  <c r="AZ36" i="3"/>
  <c r="BA32" i="3"/>
  <c r="AO32" i="3"/>
  <c r="AZ30" i="3"/>
  <c r="BA26" i="3"/>
  <c r="AO26" i="3"/>
  <c r="AZ24" i="3"/>
  <c r="BA20" i="3"/>
  <c r="AO20" i="3"/>
  <c r="AZ18" i="3"/>
  <c r="BA14" i="3"/>
  <c r="AO14" i="3"/>
  <c r="AZ12" i="3"/>
  <c r="BA8" i="3"/>
  <c r="AO8" i="3"/>
  <c r="BA9" i="3"/>
  <c r="AO9" i="3"/>
  <c r="BA10" i="3"/>
  <c r="AO10" i="3"/>
  <c r="BA11" i="3"/>
  <c r="AO11" i="3"/>
  <c r="BA15" i="3"/>
  <c r="AO15" i="3"/>
  <c r="BA16" i="3"/>
  <c r="AO16" i="3"/>
  <c r="BA17" i="3"/>
  <c r="AO17" i="3"/>
  <c r="BA21" i="3"/>
  <c r="AO21" i="3"/>
  <c r="BA22" i="3"/>
  <c r="AO22" i="3"/>
  <c r="BA23" i="3"/>
  <c r="AO23" i="3"/>
  <c r="BA27" i="3"/>
  <c r="AO27" i="3"/>
  <c r="BA28" i="3"/>
  <c r="AO28" i="3"/>
  <c r="BA29" i="3"/>
  <c r="AO29" i="3"/>
  <c r="BA33" i="3"/>
  <c r="AO33" i="3"/>
  <c r="BA34" i="3"/>
  <c r="AO34" i="3"/>
  <c r="BA35" i="3"/>
  <c r="AO35" i="3"/>
  <c r="BA39" i="3"/>
  <c r="AO39" i="3"/>
  <c r="BA40" i="3"/>
  <c r="AO40" i="3"/>
  <c r="BA41" i="3"/>
  <c r="AO41" i="3"/>
  <c r="BA45" i="3"/>
  <c r="AO45" i="3"/>
  <c r="BA46" i="3"/>
  <c r="AO46" i="3"/>
  <c r="BA47" i="3"/>
  <c r="AO47" i="3"/>
  <c r="BA51" i="3"/>
  <c r="AO51" i="3"/>
  <c r="BA52" i="3"/>
  <c r="AO52" i="3"/>
  <c r="BA53" i="3"/>
  <c r="AO53" i="3"/>
  <c r="BA57" i="3"/>
  <c r="AO57" i="3"/>
  <c r="BA58" i="3"/>
  <c r="AO58" i="3"/>
  <c r="BA59" i="3"/>
  <c r="AO59" i="3"/>
  <c r="BA63" i="3"/>
  <c r="AO63" i="3"/>
  <c r="BA64" i="3"/>
  <c r="AO64" i="3"/>
  <c r="BA65" i="3"/>
  <c r="AO65" i="3"/>
  <c r="BA69" i="3"/>
  <c r="AO69" i="3"/>
  <c r="BA70" i="3"/>
  <c r="AO70" i="3"/>
  <c r="BA71" i="3"/>
  <c r="AO71" i="3"/>
  <c r="BA75" i="3"/>
  <c r="AO75" i="3"/>
  <c r="BA76" i="3"/>
  <c r="AO76" i="3"/>
  <c r="BA77" i="3"/>
  <c r="AO77" i="3"/>
  <c r="AO78" i="3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a="1"/>
  <c r="BE77" i="3"/>
  <c r="BD77" i="3" a="1"/>
  <c r="BD77" i="3"/>
  <c r="BE76" i="3" a="1"/>
  <c r="BE76" i="3"/>
  <c r="BD76" i="3" a="1"/>
  <c r="BD76" i="3"/>
  <c r="BE75" i="3" a="1"/>
  <c r="BE75" i="3"/>
  <c r="BD75" i="3" a="1"/>
  <c r="BD75" i="3"/>
  <c r="BE74" i="3" a="1"/>
  <c r="BE74" i="3"/>
  <c r="BD74" i="3" a="1"/>
  <c r="BD74" i="3"/>
  <c r="BE71" i="3" a="1"/>
  <c r="BE71" i="3"/>
  <c r="BD71" i="3" a="1"/>
  <c r="BD71" i="3"/>
  <c r="BE70" i="3" a="1"/>
  <c r="BE70" i="3"/>
  <c r="BD70" i="3" a="1"/>
  <c r="BD70" i="3"/>
  <c r="BE69" i="3" a="1"/>
  <c r="BE69" i="3"/>
  <c r="BD69" i="3" a="1"/>
  <c r="BD69" i="3"/>
  <c r="BE68" i="3" a="1"/>
  <c r="BE68" i="3"/>
  <c r="BD68" i="3" a="1"/>
  <c r="BD68" i="3"/>
  <c r="BE65" i="3" a="1"/>
  <c r="BE65" i="3"/>
  <c r="BD65" i="3" a="1"/>
  <c r="BD65" i="3"/>
  <c r="BE64" i="3" a="1"/>
  <c r="BE64" i="3"/>
  <c r="BD64" i="3" a="1"/>
  <c r="BD64" i="3"/>
  <c r="BE63" i="3" a="1"/>
  <c r="BE63" i="3"/>
  <c r="BD63" i="3" a="1"/>
  <c r="BD63" i="3"/>
  <c r="BE62" i="3" a="1"/>
  <c r="BE62" i="3"/>
  <c r="BD62" i="3" a="1"/>
  <c r="BD62" i="3"/>
  <c r="BE59" i="3" a="1"/>
  <c r="BE59" i="3"/>
  <c r="BD59" i="3" a="1"/>
  <c r="BD59" i="3"/>
  <c r="BE58" i="3" a="1"/>
  <c r="BE58" i="3"/>
  <c r="BD58" i="3" a="1"/>
  <c r="BD58" i="3"/>
  <c r="BE57" i="3" a="1"/>
  <c r="BE57" i="3"/>
  <c r="BD57" i="3" a="1"/>
  <c r="BD57" i="3"/>
  <c r="BE56" i="3" a="1"/>
  <c r="BE56" i="3"/>
  <c r="BD56" i="3" a="1"/>
  <c r="BD56" i="3"/>
  <c r="BE53" i="3" a="1"/>
  <c r="BE53" i="3"/>
  <c r="BD53" i="3" a="1"/>
  <c r="BD53" i="3"/>
  <c r="BE52" i="3" a="1"/>
  <c r="BE52" i="3"/>
  <c r="BD52" i="3" a="1"/>
  <c r="BD52" i="3"/>
  <c r="BE51" i="3" a="1"/>
  <c r="BE51" i="3"/>
  <c r="BD51" i="3" a="1"/>
  <c r="BD51" i="3"/>
  <c r="BE50" i="3" a="1"/>
  <c r="BE50" i="3"/>
  <c r="BD50" i="3" a="1"/>
  <c r="BD50" i="3"/>
  <c r="BE47" i="3" a="1"/>
  <c r="BE47" i="3"/>
  <c r="BD47" i="3" a="1"/>
  <c r="BD47" i="3"/>
  <c r="BE46" i="3" a="1"/>
  <c r="BE46" i="3"/>
  <c r="BD46" i="3" a="1"/>
  <c r="BD46" i="3"/>
  <c r="BE45" i="3" a="1"/>
  <c r="BE45" i="3"/>
  <c r="BD45" i="3" a="1"/>
  <c r="BD45" i="3"/>
  <c r="BE44" i="3" a="1"/>
  <c r="BE44" i="3"/>
  <c r="BD44" i="3" a="1"/>
  <c r="BD44" i="3"/>
  <c r="BE41" i="3" a="1"/>
  <c r="BE41" i="3"/>
  <c r="BD41" i="3" a="1"/>
  <c r="BD41" i="3"/>
  <c r="BE40" i="3" a="1"/>
  <c r="BE40" i="3"/>
  <c r="BD40" i="3" a="1"/>
  <c r="BD40" i="3"/>
  <c r="BE39" i="3" a="1"/>
  <c r="BE39" i="3"/>
  <c r="BD39" i="3" a="1"/>
  <c r="BD39" i="3"/>
  <c r="BE38" i="3" a="1"/>
  <c r="BE38" i="3"/>
  <c r="BD38" i="3" a="1"/>
  <c r="BD38" i="3"/>
  <c r="BE35" i="3" a="1"/>
  <c r="BE35" i="3"/>
  <c r="BD35" i="3" a="1"/>
  <c r="BD35" i="3"/>
  <c r="BE34" i="3" a="1"/>
  <c r="BE34" i="3"/>
  <c r="BD34" i="3" a="1"/>
  <c r="BD34" i="3"/>
  <c r="BE33" i="3" a="1"/>
  <c r="BE33" i="3"/>
  <c r="BD33" i="3" a="1"/>
  <c r="BD33" i="3"/>
  <c r="BE32" i="3" a="1"/>
  <c r="BE32" i="3"/>
  <c r="BD32" i="3" a="1"/>
  <c r="BD32" i="3"/>
  <c r="BE29" i="3" a="1"/>
  <c r="BE29" i="3"/>
  <c r="BD29" i="3" a="1"/>
  <c r="BD29" i="3"/>
  <c r="BE28" i="3" a="1"/>
  <c r="BE28" i="3"/>
  <c r="BD28" i="3" a="1"/>
  <c r="BD28" i="3"/>
  <c r="BE27" i="3" a="1"/>
  <c r="BE27" i="3"/>
  <c r="BD27" i="3" a="1"/>
  <c r="BD27" i="3"/>
  <c r="BE26" i="3" a="1"/>
  <c r="BE26" i="3"/>
  <c r="BD26" i="3" a="1"/>
  <c r="BD26" i="3"/>
  <c r="BE23" i="3" a="1"/>
  <c r="BE23" i="3"/>
  <c r="BD23" i="3" a="1"/>
  <c r="BD23" i="3"/>
  <c r="BE22" i="3" a="1"/>
  <c r="BE22" i="3"/>
  <c r="BD22" i="3" a="1"/>
  <c r="BD22" i="3"/>
  <c r="BE21" i="3" a="1"/>
  <c r="BE21" i="3"/>
  <c r="BD21" i="3" a="1"/>
  <c r="BD21" i="3"/>
  <c r="BE20" i="3" a="1"/>
  <c r="BE20" i="3"/>
  <c r="BD20" i="3" a="1"/>
  <c r="BD20" i="3"/>
  <c r="BE17" i="3" a="1"/>
  <c r="BE17" i="3"/>
  <c r="BD17" i="3" a="1"/>
  <c r="BD17" i="3"/>
  <c r="BE16" i="3" a="1"/>
  <c r="BE16" i="3"/>
  <c r="BD16" i="3" a="1"/>
  <c r="BD16" i="3"/>
  <c r="BE15" i="3" a="1"/>
  <c r="BE15" i="3"/>
  <c r="BD15" i="3" a="1"/>
  <c r="BD15" i="3"/>
  <c r="BE14" i="3" a="1"/>
  <c r="BE14" i="3"/>
  <c r="BD14" i="3" a="1"/>
  <c r="BD14" i="3"/>
  <c r="BE11" i="3" a="1"/>
  <c r="BE11" i="3"/>
  <c r="BD11" i="3" a="1"/>
  <c r="BD11" i="3"/>
  <c r="BE10" i="3" a="1"/>
  <c r="BE10" i="3"/>
  <c r="BD10" i="3" a="1"/>
  <c r="BD10" i="3"/>
  <c r="BE9" i="3" a="1"/>
  <c r="BE9" i="3"/>
  <c r="BD9" i="3" a="1"/>
  <c r="BD9" i="3"/>
  <c r="BE8" i="3" a="1"/>
  <c r="BE8" i="3"/>
  <c r="BD8" i="3" a="1"/>
  <c r="BD8" i="3"/>
  <c r="BC77" i="3" a="1"/>
  <c r="BC77" i="3"/>
  <c r="BB77" i="3" a="1"/>
  <c r="BB77" i="3"/>
  <c r="BC76" i="3" a="1"/>
  <c r="BC76" i="3"/>
  <c r="BB76" i="3" a="1"/>
  <c r="BB76" i="3"/>
  <c r="BC75" i="3" a="1"/>
  <c r="BC75" i="3"/>
  <c r="BB75" i="3" a="1"/>
  <c r="BB75" i="3"/>
  <c r="BC74" i="3" a="1"/>
  <c r="BC74" i="3"/>
  <c r="BB74" i="3" a="1"/>
  <c r="BB74" i="3"/>
  <c r="BC71" i="3" a="1"/>
  <c r="BC71" i="3"/>
  <c r="BB71" i="3" a="1"/>
  <c r="BB71" i="3"/>
  <c r="BC70" i="3" a="1"/>
  <c r="BC70" i="3"/>
  <c r="BB70" i="3" a="1"/>
  <c r="BB70" i="3"/>
  <c r="BC69" i="3" a="1"/>
  <c r="BC69" i="3"/>
  <c r="BB69" i="3" a="1"/>
  <c r="BB69" i="3"/>
  <c r="BC68" i="3" a="1"/>
  <c r="BC68" i="3"/>
  <c r="BB68" i="3" a="1"/>
  <c r="BB68" i="3"/>
  <c r="BC65" i="3" a="1"/>
  <c r="BC65" i="3"/>
  <c r="BB65" i="3" a="1"/>
  <c r="BB65" i="3"/>
  <c r="BC64" i="3" a="1"/>
  <c r="BC64" i="3"/>
  <c r="BB64" i="3" a="1"/>
  <c r="BB64" i="3"/>
  <c r="BC63" i="3" a="1"/>
  <c r="BC63" i="3"/>
  <c r="BB63" i="3" a="1"/>
  <c r="BB63" i="3"/>
  <c r="BC62" i="3" a="1"/>
  <c r="BC62" i="3"/>
  <c r="BB62" i="3" a="1"/>
  <c r="BB62" i="3"/>
  <c r="BC59" i="3" a="1"/>
  <c r="BC59" i="3"/>
  <c r="BB59" i="3" a="1"/>
  <c r="BB59" i="3"/>
  <c r="BC58" i="3" a="1"/>
  <c r="BC58" i="3"/>
  <c r="BB58" i="3" a="1"/>
  <c r="BB58" i="3"/>
  <c r="BC57" i="3" a="1"/>
  <c r="BC57" i="3"/>
  <c r="BB57" i="3" a="1"/>
  <c r="BB57" i="3"/>
  <c r="BC56" i="3" a="1"/>
  <c r="BC56" i="3"/>
  <c r="BB56" i="3" a="1"/>
  <c r="BB56" i="3"/>
  <c r="BC53" i="3" a="1"/>
  <c r="BC53" i="3"/>
  <c r="BB53" i="3" a="1"/>
  <c r="BB53" i="3"/>
  <c r="BC52" i="3" a="1"/>
  <c r="BC52" i="3"/>
  <c r="BB52" i="3" a="1"/>
  <c r="BB52" i="3"/>
  <c r="BC51" i="3" a="1"/>
  <c r="BC51" i="3"/>
  <c r="BB51" i="3" a="1"/>
  <c r="BB51" i="3"/>
  <c r="BC50" i="3" a="1"/>
  <c r="BC50" i="3"/>
  <c r="BB50" i="3" a="1"/>
  <c r="BB50" i="3"/>
  <c r="BC47" i="3" a="1"/>
  <c r="BC47" i="3"/>
  <c r="BB47" i="3" a="1"/>
  <c r="BB47" i="3"/>
  <c r="BC46" i="3" a="1"/>
  <c r="BC46" i="3"/>
  <c r="BB46" i="3" a="1"/>
  <c r="BB46" i="3"/>
  <c r="BC45" i="3" a="1"/>
  <c r="BC45" i="3"/>
  <c r="BB45" i="3" a="1"/>
  <c r="BB45" i="3"/>
  <c r="BC44" i="3" a="1"/>
  <c r="BC44" i="3"/>
  <c r="BB44" i="3" a="1"/>
  <c r="BB44" i="3"/>
  <c r="BC41" i="3" a="1"/>
  <c r="BC41" i="3"/>
  <c r="BB41" i="3" a="1"/>
  <c r="BB41" i="3"/>
  <c r="BC40" i="3" a="1"/>
  <c r="BC40" i="3"/>
  <c r="BB40" i="3" a="1"/>
  <c r="BB40" i="3"/>
  <c r="BC39" i="3" a="1"/>
  <c r="BC39" i="3"/>
  <c r="BB39" i="3" a="1"/>
  <c r="BB39" i="3"/>
  <c r="BC38" i="3" a="1"/>
  <c r="BC38" i="3"/>
  <c r="BB38" i="3" a="1"/>
  <c r="BB38" i="3"/>
  <c r="BC35" i="3" a="1"/>
  <c r="BC35" i="3"/>
  <c r="BB35" i="3" a="1"/>
  <c r="BB35" i="3"/>
  <c r="BC34" i="3" a="1"/>
  <c r="BC34" i="3"/>
  <c r="BB34" i="3" a="1"/>
  <c r="BB34" i="3"/>
  <c r="BC33" i="3" a="1"/>
  <c r="BC33" i="3"/>
  <c r="BB33" i="3" a="1"/>
  <c r="BB33" i="3"/>
  <c r="BC32" i="3" a="1"/>
  <c r="BC32" i="3"/>
  <c r="BB32" i="3" a="1"/>
  <c r="BB32" i="3"/>
  <c r="BC29" i="3" a="1"/>
  <c r="BC29" i="3"/>
  <c r="BB29" i="3" a="1"/>
  <c r="BB29" i="3"/>
  <c r="BC28" i="3" a="1"/>
  <c r="BC28" i="3"/>
  <c r="BB28" i="3" a="1"/>
  <c r="BB28" i="3"/>
  <c r="BC27" i="3" a="1"/>
  <c r="BC27" i="3"/>
  <c r="BB27" i="3" a="1"/>
  <c r="BB27" i="3"/>
  <c r="BC26" i="3" a="1"/>
  <c r="BC26" i="3"/>
  <c r="BB26" i="3" a="1"/>
  <c r="BB26" i="3"/>
  <c r="BC23" i="3" a="1"/>
  <c r="BC23" i="3"/>
  <c r="BB23" i="3" a="1"/>
  <c r="BB23" i="3"/>
  <c r="BC22" i="3" a="1"/>
  <c r="BC22" i="3"/>
  <c r="BB22" i="3" a="1"/>
  <c r="BB22" i="3"/>
  <c r="BC21" i="3" a="1"/>
  <c r="BC21" i="3"/>
  <c r="BB21" i="3" a="1"/>
  <c r="BB21" i="3"/>
  <c r="BC20" i="3" a="1"/>
  <c r="BC20" i="3"/>
  <c r="BB20" i="3" a="1"/>
  <c r="BB20" i="3"/>
  <c r="BC17" i="3" a="1"/>
  <c r="BC17" i="3"/>
  <c r="BB17" i="3" a="1"/>
  <c r="BB17" i="3"/>
  <c r="BC16" i="3" a="1"/>
  <c r="BC16" i="3"/>
  <c r="BB16" i="3" a="1"/>
  <c r="BB16" i="3"/>
  <c r="BC15" i="3" a="1"/>
  <c r="BC15" i="3"/>
  <c r="BB15" i="3" a="1"/>
  <c r="BB15" i="3"/>
  <c r="BC14" i="3" a="1"/>
  <c r="BC14" i="3"/>
  <c r="BB14" i="3" a="1"/>
  <c r="BB14" i="3"/>
  <c r="BC11" i="3" a="1"/>
  <c r="BC11" i="3"/>
  <c r="BB11" i="3" a="1"/>
  <c r="BB11" i="3"/>
  <c r="BC10" i="3" a="1"/>
  <c r="BC10" i="3"/>
  <c r="BB10" i="3" a="1"/>
  <c r="BB10" i="3"/>
  <c r="BC9" i="3" a="1"/>
  <c r="BC9" i="3"/>
  <c r="BB9" i="3" a="1"/>
  <c r="BB9" i="3"/>
  <c r="BC8" i="3" a="1"/>
  <c r="BC8" i="3"/>
  <c r="BB8" i="3" a="1"/>
  <c r="BB8" i="3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/>
  <c r="BH74" i="3"/>
  <c r="BG66" i="3"/>
  <c r="BH62" i="3"/>
  <c r="BG48" i="3"/>
  <c r="BH44" i="3"/>
  <c r="BG60" i="3"/>
  <c r="BG24" i="3"/>
  <c r="BH20" i="3"/>
  <c r="BG12" i="3"/>
  <c r="BH8" i="3"/>
  <c r="BG36" i="3"/>
  <c r="BH32" i="3"/>
  <c r="BG30" i="3"/>
  <c r="BH26" i="3"/>
  <c r="BG72" i="3"/>
  <c r="BH68" i="3"/>
  <c r="BG42" i="3"/>
  <c r="BH38" i="3"/>
  <c r="BG18" i="3"/>
  <c r="BH14" i="3"/>
  <c r="BG54" i="3"/>
  <c r="BH50" i="3"/>
  <c r="BH57" i="3"/>
  <c r="BH58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/>
  <c r="AP56" i="3"/>
  <c r="BH53" i="3"/>
  <c r="BH16" i="3"/>
  <c r="BH51" i="3"/>
  <c r="BH41" i="3"/>
  <c r="BH52" i="3"/>
  <c r="BH78" i="3"/>
  <c r="BI76" i="3"/>
  <c r="AP76" i="3"/>
  <c r="BH12" i="3"/>
  <c r="BI11" i="3"/>
  <c r="AP11" i="3"/>
  <c r="BH30" i="3"/>
  <c r="BI28" i="3"/>
  <c r="AP28" i="3"/>
  <c r="BH24" i="3"/>
  <c r="BI23" i="3"/>
  <c r="AP23" i="3"/>
  <c r="BH66" i="3"/>
  <c r="BI65" i="3"/>
  <c r="AP65" i="3"/>
  <c r="BH72" i="3"/>
  <c r="BI71" i="3"/>
  <c r="AP71" i="3"/>
  <c r="BI59" i="3"/>
  <c r="AP59" i="3"/>
  <c r="BH42" i="3"/>
  <c r="BI40" i="3"/>
  <c r="AP40" i="3"/>
  <c r="BI57" i="3"/>
  <c r="AP57" i="3"/>
  <c r="BH36" i="3"/>
  <c r="BI34" i="3"/>
  <c r="AP34" i="3"/>
  <c r="BH48" i="3"/>
  <c r="BI46" i="3"/>
  <c r="AP46" i="3"/>
  <c r="BH18" i="3"/>
  <c r="BI17" i="3"/>
  <c r="AP17" i="3"/>
  <c r="BH54" i="3"/>
  <c r="BI52" i="3"/>
  <c r="AP52" i="3"/>
  <c r="BI58" i="3"/>
  <c r="AP58" i="3"/>
  <c r="BI26" i="3"/>
  <c r="AP26" i="3"/>
  <c r="BI20" i="3"/>
  <c r="AP20" i="3"/>
  <c r="BI69" i="3"/>
  <c r="AP69" i="3"/>
  <c r="BI22" i="3"/>
  <c r="AP22" i="3"/>
  <c r="BI77" i="3"/>
  <c r="AP77" i="3"/>
  <c r="BI75" i="3"/>
  <c r="AP75" i="3"/>
  <c r="BI74" i="3"/>
  <c r="AP74" i="3"/>
  <c r="BI68" i="3"/>
  <c r="AP68" i="3"/>
  <c r="BI39" i="3"/>
  <c r="AP39" i="3"/>
  <c r="BI38" i="3"/>
  <c r="AP38" i="3"/>
  <c r="BI35" i="3"/>
  <c r="AP35" i="3"/>
  <c r="BI33" i="3"/>
  <c r="AP33" i="3"/>
  <c r="BI9" i="3"/>
  <c r="AP9" i="3"/>
  <c r="BI10" i="3"/>
  <c r="AP10" i="3"/>
  <c r="BI8" i="3"/>
  <c r="AP8" i="3"/>
  <c r="AP12" i="3"/>
  <c r="AR8" i="3"/>
  <c r="BI53" i="3"/>
  <c r="AP53" i="3"/>
  <c r="BI44" i="3"/>
  <c r="AP44" i="3"/>
  <c r="BI70" i="3"/>
  <c r="AP70" i="3"/>
  <c r="BI47" i="3"/>
  <c r="AP47" i="3"/>
  <c r="BI29" i="3"/>
  <c r="AP29" i="3"/>
  <c r="BI32" i="3"/>
  <c r="AP32" i="3"/>
  <c r="AP36" i="3"/>
  <c r="AR32" i="3"/>
  <c r="BI41" i="3"/>
  <c r="AP41" i="3"/>
  <c r="BI27" i="3"/>
  <c r="AP27" i="3"/>
  <c r="BI14" i="3"/>
  <c r="AP14" i="3"/>
  <c r="BI64" i="3"/>
  <c r="AP64" i="3"/>
  <c r="BI63" i="3"/>
  <c r="AP63" i="3"/>
  <c r="BI16" i="3"/>
  <c r="AP16" i="3"/>
  <c r="AP60" i="3"/>
  <c r="AR57" i="3"/>
  <c r="BI62" i="3"/>
  <c r="AP62" i="3"/>
  <c r="BI45" i="3"/>
  <c r="AP45" i="3"/>
  <c r="BI21" i="3"/>
  <c r="AP21" i="3"/>
  <c r="BI51" i="3"/>
  <c r="AP51" i="3"/>
  <c r="BI50" i="3"/>
  <c r="AP50" i="3"/>
  <c r="BI15" i="3"/>
  <c r="AP15" i="3"/>
  <c r="AP72" i="3"/>
  <c r="AR68" i="3"/>
  <c r="AP30" i="3"/>
  <c r="AR26" i="3"/>
  <c r="AP78" i="3"/>
  <c r="AR74" i="3"/>
  <c r="AP24" i="3"/>
  <c r="AR20" i="3"/>
  <c r="AR58" i="3"/>
  <c r="AR59" i="3"/>
  <c r="AR56" i="3"/>
  <c r="AD57" i="3"/>
  <c r="AP42" i="3"/>
  <c r="AR38" i="3"/>
  <c r="AP66" i="3"/>
  <c r="AR62" i="3"/>
  <c r="AP48" i="3"/>
  <c r="AR44" i="3"/>
  <c r="AP18" i="3"/>
  <c r="AR14" i="3"/>
  <c r="AP54" i="3"/>
  <c r="AR50" i="3"/>
  <c r="AD58" i="3"/>
  <c r="AR11" i="3"/>
  <c r="AR10" i="3"/>
  <c r="AR9" i="3"/>
  <c r="AR22" i="3"/>
  <c r="AR21" i="3"/>
  <c r="AR28" i="3"/>
  <c r="AR35" i="3"/>
  <c r="AR34" i="3"/>
  <c r="AR33" i="3"/>
  <c r="AR75" i="3"/>
  <c r="AR76" i="3"/>
  <c r="AR77" i="3"/>
  <c r="AD74" i="3"/>
  <c r="AD76" i="3"/>
  <c r="AD77" i="3"/>
  <c r="AR65" i="3"/>
  <c r="AR40" i="3"/>
  <c r="AR41" i="3"/>
  <c r="AR29" i="3"/>
  <c r="AR27" i="3"/>
  <c r="AD29" i="3"/>
  <c r="AR69" i="3"/>
  <c r="AR71" i="3"/>
  <c r="AR70" i="3"/>
  <c r="AD71" i="3"/>
  <c r="AD28" i="3"/>
  <c r="AR23" i="3"/>
  <c r="AD22" i="3"/>
  <c r="AR51" i="3"/>
  <c r="AR52" i="3"/>
  <c r="AR53" i="3"/>
  <c r="AD53" i="3"/>
  <c r="AR46" i="3"/>
  <c r="AR15" i="3"/>
  <c r="AR45" i="3"/>
  <c r="AR63" i="3"/>
  <c r="AR64" i="3"/>
  <c r="AD63" i="3"/>
  <c r="AR47" i="3"/>
  <c r="AD44" i="3"/>
  <c r="AD62" i="3"/>
  <c r="AR39" i="3"/>
  <c r="AD56" i="3"/>
  <c r="AD59" i="3"/>
  <c r="M58" i="3"/>
  <c r="AR16" i="3"/>
  <c r="AR17" i="3"/>
  <c r="AD14" i="3"/>
  <c r="M59" i="3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AD69" i="3"/>
  <c r="AD39" i="3"/>
  <c r="L57" i="3"/>
  <c r="AD64" i="3"/>
  <c r="AD16" i="3"/>
  <c r="AD17" i="3"/>
  <c r="N17" i="3"/>
  <c r="L60" i="3"/>
  <c r="J57" i="3"/>
  <c r="AS56" i="3"/>
  <c r="BL14" i="3"/>
  <c r="J59" i="3"/>
  <c r="AE88" i="3"/>
  <c r="AQ88" i="3"/>
  <c r="AD46" i="3"/>
  <c r="M60" i="3"/>
  <c r="O57" i="3"/>
  <c r="N60" i="3"/>
  <c r="M57" i="3"/>
  <c r="P57" i="3"/>
  <c r="AD23" i="3"/>
  <c r="L23" i="3"/>
  <c r="AD65" i="3"/>
  <c r="AD51" i="3"/>
  <c r="O58" i="3"/>
  <c r="N57" i="3"/>
  <c r="K57" i="3"/>
  <c r="J60" i="3"/>
  <c r="J58" i="3"/>
  <c r="AS57" i="3"/>
  <c r="BL47" i="3"/>
  <c r="BS45" i="3"/>
  <c r="BZ48" i="3"/>
  <c r="O59" i="3"/>
  <c r="AD45" i="3"/>
  <c r="AD40" i="3"/>
  <c r="AD38" i="3"/>
  <c r="M41" i="3"/>
  <c r="AD52" i="3"/>
  <c r="AD50" i="3"/>
  <c r="N53" i="3"/>
  <c r="O54" i="3"/>
  <c r="N59" i="3"/>
  <c r="K59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/>
  <c r="BL50" i="3"/>
  <c r="L9" i="3"/>
  <c r="L11" i="3"/>
  <c r="M10" i="3"/>
  <c r="N10" i="3"/>
  <c r="O11" i="3"/>
  <c r="J11" i="3"/>
  <c r="AE80" i="3"/>
  <c r="AQ80" i="3"/>
  <c r="L10" i="3"/>
  <c r="O10" i="3"/>
  <c r="N11" i="3"/>
  <c r="M11" i="3"/>
  <c r="J10" i="3"/>
  <c r="AS9" i="3"/>
  <c r="BL18" i="3"/>
  <c r="L15" i="3"/>
  <c r="M16" i="3"/>
  <c r="O17" i="3"/>
  <c r="L17" i="3"/>
  <c r="J16" i="3"/>
  <c r="AS15" i="3"/>
  <c r="BL19" i="3"/>
  <c r="M18" i="3"/>
  <c r="N16" i="3"/>
  <c r="O16" i="3"/>
  <c r="J18" i="3"/>
  <c r="L16" i="3"/>
  <c r="M17" i="3"/>
  <c r="O18" i="3"/>
  <c r="N18" i="3"/>
  <c r="L18" i="3"/>
  <c r="J24" i="3"/>
  <c r="J22" i="3"/>
  <c r="AS21" i="3"/>
  <c r="BL23" i="3"/>
  <c r="J21" i="3"/>
  <c r="AS20" i="3"/>
  <c r="BL42" i="3"/>
  <c r="BS44" i="3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/>
  <c r="AQ83" i="3"/>
  <c r="J28" i="3"/>
  <c r="AS27" i="3"/>
  <c r="BL62" i="3"/>
  <c r="BS61" i="3"/>
  <c r="J27" i="3"/>
  <c r="AS26" i="3"/>
  <c r="BL34" i="3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/>
  <c r="AQ84" i="3"/>
  <c r="J34" i="3"/>
  <c r="AS33" i="3"/>
  <c r="BL46" i="3"/>
  <c r="J33" i="3"/>
  <c r="AS32" i="3"/>
  <c r="BL10" i="3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/>
  <c r="AQ85" i="3"/>
  <c r="J40" i="3"/>
  <c r="AS39" i="3"/>
  <c r="BL43" i="3"/>
  <c r="J39" i="3"/>
  <c r="AS38" i="3"/>
  <c r="BL22" i="3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/>
  <c r="AQ86" i="3"/>
  <c r="J46" i="3"/>
  <c r="AS45" i="3"/>
  <c r="BL63" i="3"/>
  <c r="J45" i="3"/>
  <c r="AS44" i="3"/>
  <c r="BL38" i="3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/>
  <c r="BL30" i="3"/>
  <c r="J52" i="3"/>
  <c r="AS51" i="3"/>
  <c r="BL59" i="3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/>
  <c r="AQ89" i="3"/>
  <c r="J64" i="3"/>
  <c r="AS63" i="3"/>
  <c r="BL31" i="3"/>
  <c r="J63" i="3"/>
  <c r="AS62" i="3"/>
  <c r="BL58" i="3"/>
  <c r="BS60" i="3"/>
  <c r="BZ64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/>
  <c r="AQ90" i="3"/>
  <c r="J70" i="3"/>
  <c r="AS69" i="3"/>
  <c r="BL26" i="3"/>
  <c r="J69" i="3"/>
  <c r="AS68" i="3"/>
  <c r="BL70" i="3"/>
  <c r="L75" i="3"/>
  <c r="O75" i="3"/>
  <c r="N75" i="3"/>
  <c r="J75" i="3"/>
  <c r="AS74" i="3"/>
  <c r="BL54" i="3"/>
  <c r="M75" i="3"/>
  <c r="N76" i="3"/>
  <c r="J78" i="3"/>
  <c r="M76" i="3"/>
  <c r="L76" i="3"/>
  <c r="N78" i="3"/>
  <c r="M78" i="3"/>
  <c r="L78" i="3"/>
  <c r="O78" i="3"/>
  <c r="O76" i="3"/>
  <c r="J76" i="3"/>
  <c r="AS75" i="3"/>
  <c r="BL27" i="3"/>
  <c r="L77" i="3"/>
  <c r="O77" i="3"/>
  <c r="J77" i="3"/>
  <c r="AE91" i="3"/>
  <c r="AQ91" i="3"/>
  <c r="M77" i="3"/>
  <c r="N77" i="3"/>
  <c r="J54" i="3"/>
  <c r="O52" i="3"/>
  <c r="O41" i="3"/>
  <c r="L41" i="3"/>
  <c r="N23" i="3"/>
  <c r="M23" i="3"/>
  <c r="K23" i="3"/>
  <c r="AL88" i="3"/>
  <c r="N15" i="3"/>
  <c r="O53" i="3"/>
  <c r="L52" i="3"/>
  <c r="J17" i="3"/>
  <c r="AE81" i="3"/>
  <c r="AQ81" i="3"/>
  <c r="L53" i="3"/>
  <c r="M53" i="3"/>
  <c r="P53" i="3"/>
  <c r="M52" i="3"/>
  <c r="P52" i="3"/>
  <c r="J53" i="3"/>
  <c r="AE87" i="3"/>
  <c r="AQ87" i="3"/>
  <c r="N41" i="3"/>
  <c r="J23" i="3"/>
  <c r="AE82" i="3"/>
  <c r="AQ82" i="3"/>
  <c r="AH88" i="3"/>
  <c r="N42" i="3"/>
  <c r="P60" i="3"/>
  <c r="K60" i="3"/>
  <c r="M15" i="3"/>
  <c r="O15" i="3"/>
  <c r="J15" i="3"/>
  <c r="AS14" i="3"/>
  <c r="BL66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L82" i="3"/>
  <c r="AL92" i="3"/>
  <c r="AM88" i="3"/>
  <c r="AI87" i="3"/>
  <c r="AI92" i="3"/>
  <c r="K52" i="3"/>
  <c r="AJ92" i="3"/>
  <c r="AG92" i="3"/>
  <c r="AF92" i="3"/>
  <c r="AH92" i="3"/>
  <c r="AS92" i="3"/>
  <c r="AN92" i="3"/>
  <c r="AM83" i="3"/>
  <c r="AM91" i="3"/>
  <c r="AM82" i="3"/>
  <c r="AM90" i="3"/>
  <c r="AM89" i="3"/>
  <c r="AM80" i="3"/>
  <c r="AM81" i="3"/>
  <c r="AM87" i="3"/>
  <c r="AM86" i="3"/>
  <c r="AM85" i="3"/>
  <c r="AM84" i="3"/>
  <c r="AM92" i="3"/>
  <c r="AP87" i="3"/>
  <c r="S85" i="3"/>
  <c r="T85" i="3" a="1"/>
  <c r="T85" i="3"/>
  <c r="BS13" i="3"/>
  <c r="S84" i="3"/>
  <c r="T84" i="3" a="1"/>
  <c r="T84" i="3"/>
  <c r="BS12" i="3"/>
  <c r="BZ16" i="3"/>
  <c r="S95" i="3"/>
  <c r="T95" i="3" a="1"/>
  <c r="T95" i="3"/>
  <c r="AP81" i="3"/>
  <c r="AP84" i="3"/>
  <c r="AP86" i="3"/>
  <c r="AP89" i="3"/>
  <c r="AP90" i="3"/>
  <c r="AP88" i="3"/>
  <c r="AP82" i="3"/>
  <c r="AP83" i="3"/>
  <c r="AP91" i="3"/>
  <c r="AP85" i="3"/>
  <c r="AP80" i="3"/>
  <c r="AD85" i="3"/>
  <c r="AS85" i="3"/>
  <c r="AD89" i="3"/>
  <c r="AS89" i="3"/>
  <c r="AD86" i="3"/>
  <c r="AS86" i="3"/>
  <c r="AD84" i="3"/>
  <c r="AS84" i="3"/>
  <c r="AD83" i="3"/>
  <c r="AS83" i="3"/>
  <c r="AD91" i="3"/>
  <c r="AS91" i="3"/>
  <c r="AD82" i="3"/>
  <c r="AS82" i="3"/>
  <c r="AD90" i="3"/>
  <c r="AS90" i="3"/>
  <c r="AD88" i="3"/>
  <c r="AS88" i="3"/>
  <c r="AD87" i="3"/>
  <c r="AS87" i="3"/>
  <c r="AD80" i="3"/>
  <c r="AD81" i="3"/>
  <c r="AS81" i="3"/>
  <c r="J92" i="3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C3" i="4"/>
  <c r="F3" i="4"/>
  <c r="BL35" i="3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/>
  <c r="I3" i="4"/>
  <c r="BL15" i="3"/>
  <c r="P89" i="3"/>
  <c r="G3" i="4"/>
  <c r="BL11" i="3"/>
  <c r="J3" i="4"/>
  <c r="B3" i="4"/>
  <c r="D3" i="4"/>
  <c r="K3" i="4"/>
  <c r="BS53" i="3"/>
  <c r="BL55" i="3"/>
  <c r="BS52" i="3"/>
  <c r="BZ49" i="3"/>
  <c r="CG55" i="3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<sst xmlns="http://schemas.openxmlformats.org/spreadsheetml/2006/main" count="9785" uniqueCount="3699">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</sst>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 /><Relationship Id="rId18" Type="http://schemas.openxmlformats.org/officeDocument/2006/relationships/image" Target="../media/image18.svg" /><Relationship Id="rId26" Type="http://schemas.openxmlformats.org/officeDocument/2006/relationships/image" Target="../media/image26.svg" /><Relationship Id="rId39" Type="http://schemas.openxmlformats.org/officeDocument/2006/relationships/image" Target="../media/image39.jpeg" /><Relationship Id="rId21" Type="http://schemas.openxmlformats.org/officeDocument/2006/relationships/image" Target="../media/image21.png" /><Relationship Id="rId34" Type="http://schemas.openxmlformats.org/officeDocument/2006/relationships/image" Target="../media/image34.svg" /><Relationship Id="rId42" Type="http://schemas.openxmlformats.org/officeDocument/2006/relationships/image" Target="../media/image42.jpeg" /><Relationship Id="rId47" Type="http://schemas.openxmlformats.org/officeDocument/2006/relationships/image" Target="../media/image47.jpeg" /><Relationship Id="rId50" Type="http://schemas.openxmlformats.org/officeDocument/2006/relationships/image" Target="../media/image50.jpeg" /><Relationship Id="rId55" Type="http://schemas.openxmlformats.org/officeDocument/2006/relationships/image" Target="../media/image55.jpeg" /><Relationship Id="rId63" Type="http://schemas.openxmlformats.org/officeDocument/2006/relationships/image" Target="../media/image63.jpeg" /><Relationship Id="rId7" Type="http://schemas.openxmlformats.org/officeDocument/2006/relationships/image" Target="../media/image7.png" /><Relationship Id="rId2" Type="http://schemas.openxmlformats.org/officeDocument/2006/relationships/image" Target="../media/image2.svg" /><Relationship Id="rId16" Type="http://schemas.openxmlformats.org/officeDocument/2006/relationships/image" Target="../media/image16.svg" /><Relationship Id="rId20" Type="http://schemas.openxmlformats.org/officeDocument/2006/relationships/image" Target="../media/image20.svg" /><Relationship Id="rId29" Type="http://schemas.openxmlformats.org/officeDocument/2006/relationships/image" Target="../media/image29.png" /><Relationship Id="rId41" Type="http://schemas.openxmlformats.org/officeDocument/2006/relationships/image" Target="../media/image41.jpeg" /><Relationship Id="rId54" Type="http://schemas.openxmlformats.org/officeDocument/2006/relationships/image" Target="../media/image54.jpeg" /><Relationship Id="rId62" Type="http://schemas.openxmlformats.org/officeDocument/2006/relationships/image" Target="../media/image62.jpeg" /><Relationship Id="rId1" Type="http://schemas.openxmlformats.org/officeDocument/2006/relationships/image" Target="../media/image1.png" /><Relationship Id="rId6" Type="http://schemas.openxmlformats.org/officeDocument/2006/relationships/image" Target="../media/image6.svg" /><Relationship Id="rId11" Type="http://schemas.openxmlformats.org/officeDocument/2006/relationships/image" Target="../media/image11.png" /><Relationship Id="rId24" Type="http://schemas.openxmlformats.org/officeDocument/2006/relationships/image" Target="../media/image24.svg" /><Relationship Id="rId32" Type="http://schemas.openxmlformats.org/officeDocument/2006/relationships/image" Target="../media/image32.svg" /><Relationship Id="rId37" Type="http://schemas.openxmlformats.org/officeDocument/2006/relationships/image" Target="../media/image37.jpeg" /><Relationship Id="rId40" Type="http://schemas.openxmlformats.org/officeDocument/2006/relationships/image" Target="../media/image40.jpeg" /><Relationship Id="rId45" Type="http://schemas.openxmlformats.org/officeDocument/2006/relationships/image" Target="../media/image45.jpeg" /><Relationship Id="rId53" Type="http://schemas.openxmlformats.org/officeDocument/2006/relationships/image" Target="../media/image53.jpeg" /><Relationship Id="rId58" Type="http://schemas.openxmlformats.org/officeDocument/2006/relationships/image" Target="../media/image58.jpeg" /><Relationship Id="rId66" Type="http://schemas.openxmlformats.org/officeDocument/2006/relationships/image" Target="../media/image66.jpeg" /><Relationship Id="rId5" Type="http://schemas.openxmlformats.org/officeDocument/2006/relationships/image" Target="../media/image5.png" /><Relationship Id="rId15" Type="http://schemas.openxmlformats.org/officeDocument/2006/relationships/image" Target="../media/image15.png" /><Relationship Id="rId23" Type="http://schemas.openxmlformats.org/officeDocument/2006/relationships/image" Target="../media/image23.png" /><Relationship Id="rId28" Type="http://schemas.openxmlformats.org/officeDocument/2006/relationships/image" Target="../media/image28.svg" /><Relationship Id="rId36" Type="http://schemas.openxmlformats.org/officeDocument/2006/relationships/image" Target="../media/image36.png" /><Relationship Id="rId49" Type="http://schemas.openxmlformats.org/officeDocument/2006/relationships/image" Target="../media/image49.jpeg" /><Relationship Id="rId57" Type="http://schemas.openxmlformats.org/officeDocument/2006/relationships/image" Target="../media/image57.jpeg" /><Relationship Id="rId61" Type="http://schemas.openxmlformats.org/officeDocument/2006/relationships/image" Target="../media/image61.jpeg" /><Relationship Id="rId10" Type="http://schemas.openxmlformats.org/officeDocument/2006/relationships/image" Target="../media/image10.svg" /><Relationship Id="rId19" Type="http://schemas.openxmlformats.org/officeDocument/2006/relationships/image" Target="../media/image19.png" /><Relationship Id="rId31" Type="http://schemas.openxmlformats.org/officeDocument/2006/relationships/image" Target="../media/image31.png" /><Relationship Id="rId44" Type="http://schemas.openxmlformats.org/officeDocument/2006/relationships/image" Target="../media/image44.jpeg" /><Relationship Id="rId52" Type="http://schemas.openxmlformats.org/officeDocument/2006/relationships/image" Target="../media/image52.jpeg" /><Relationship Id="rId60" Type="http://schemas.openxmlformats.org/officeDocument/2006/relationships/image" Target="../media/image60.jpeg" /><Relationship Id="rId65" Type="http://schemas.openxmlformats.org/officeDocument/2006/relationships/image" Target="../media/image65.jpeg" /><Relationship Id="rId4" Type="http://schemas.openxmlformats.org/officeDocument/2006/relationships/image" Target="../media/image4.svg" /><Relationship Id="rId9" Type="http://schemas.openxmlformats.org/officeDocument/2006/relationships/image" Target="../media/image9.png" /><Relationship Id="rId14" Type="http://schemas.openxmlformats.org/officeDocument/2006/relationships/image" Target="../media/image14.svg" /><Relationship Id="rId22" Type="http://schemas.openxmlformats.org/officeDocument/2006/relationships/image" Target="../media/image22.svg" /><Relationship Id="rId27" Type="http://schemas.openxmlformats.org/officeDocument/2006/relationships/image" Target="../media/image27.png" /><Relationship Id="rId30" Type="http://schemas.openxmlformats.org/officeDocument/2006/relationships/image" Target="../media/image30.svg" /><Relationship Id="rId35" Type="http://schemas.openxmlformats.org/officeDocument/2006/relationships/image" Target="../media/image35.png" /><Relationship Id="rId43" Type="http://schemas.openxmlformats.org/officeDocument/2006/relationships/image" Target="../media/image43.jpeg" /><Relationship Id="rId48" Type="http://schemas.openxmlformats.org/officeDocument/2006/relationships/image" Target="../media/image48.jpeg" /><Relationship Id="rId56" Type="http://schemas.openxmlformats.org/officeDocument/2006/relationships/image" Target="../media/image56.jpeg" /><Relationship Id="rId64" Type="http://schemas.openxmlformats.org/officeDocument/2006/relationships/image" Target="../media/image64.jpeg" /><Relationship Id="rId8" Type="http://schemas.openxmlformats.org/officeDocument/2006/relationships/image" Target="../media/image8.svg" /><Relationship Id="rId51" Type="http://schemas.openxmlformats.org/officeDocument/2006/relationships/image" Target="../media/image51.jpeg" /><Relationship Id="rId3" Type="http://schemas.openxmlformats.org/officeDocument/2006/relationships/image" Target="../media/image3.png" /><Relationship Id="rId12" Type="http://schemas.openxmlformats.org/officeDocument/2006/relationships/image" Target="../media/image12.svg" /><Relationship Id="rId17" Type="http://schemas.openxmlformats.org/officeDocument/2006/relationships/image" Target="../media/image17.png" /><Relationship Id="rId25" Type="http://schemas.openxmlformats.org/officeDocument/2006/relationships/image" Target="../media/image25.png" /><Relationship Id="rId33" Type="http://schemas.openxmlformats.org/officeDocument/2006/relationships/image" Target="../media/image33.png" /><Relationship Id="rId38" Type="http://schemas.openxmlformats.org/officeDocument/2006/relationships/image" Target="../media/image38.jpeg" /><Relationship Id="rId46" Type="http://schemas.openxmlformats.org/officeDocument/2006/relationships/image" Target="../media/image46.jpeg" /><Relationship Id="rId59" Type="http://schemas.openxmlformats.org/officeDocument/2006/relationships/image" Target="../media/image59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 /><Relationship Id="rId2" Type="http://schemas.openxmlformats.org/officeDocument/2006/relationships/hyperlink" Target="http://www.excely.com/football/2026-fifa-world-cup-schedule.html" TargetMode="External" /><Relationship Id="rId1" Type="http://schemas.openxmlformats.org/officeDocument/2006/relationships/hyperlink" Target="http://www.excely.com/ice-hockey/world-cup-2009-schedule/" TargetMode="External" /><Relationship Id="rId5" Type="http://schemas.openxmlformats.org/officeDocument/2006/relationships/drawing" Target="../drawings/drawing1.xml" /><Relationship Id="rId4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Left" activeCell="A2" sqref="A2"/>
      <selection pane="topRight" activeCell="B1" sqref="B1"/>
      <selection pane="bottomRight" activeCell="A2" sqref="A2"/>
    </sheetView>
  </sheetViews>
  <sheetFormatPr defaultColWidth="13.98828125" defaultRowHeight="15" x14ac:dyDescent="0.2"/>
  <cols>
    <col min="1" max="1" width="24.078125" bestFit="1" customWidth="1"/>
    <col min="2" max="42" width="13.98828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453125" defaultRowHeight="15" x14ac:dyDescent="0.2"/>
  <cols>
    <col min="1" max="1" width="1.07421875" style="10" customWidth="1"/>
    <col min="2" max="2" width="18.83203125" style="10" bestFit="1" customWidth="1"/>
    <col min="3" max="3" width="20.3125" style="10" customWidth="1"/>
    <col min="4" max="4" width="9.14453125" style="10"/>
    <col min="5" max="5" width="1.07421875" style="10" customWidth="1"/>
    <col min="6" max="6" width="9.14453125" style="10"/>
    <col min="7" max="7" width="27.57421875" style="10" bestFit="1" customWidth="1"/>
    <col min="8" max="8" width="2.6875" style="10" customWidth="1"/>
    <col min="9" max="9" width="1.07421875" style="10" customWidth="1"/>
    <col min="10" max="16384" width="9.14453125" style="10"/>
  </cols>
  <sheetData>
    <row r="1" spans="2:27" ht="7.5" customHeight="1" x14ac:dyDescent="0.2"/>
    <row r="2" spans="2:27" ht="15.75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Z30" zoomScaleNormal="100" workbookViewId="0">
      <selection activeCell="CO50" sqref="CO50"/>
    </sheetView>
  </sheetViews>
  <sheetFormatPr defaultColWidth="9.14453125" defaultRowHeight="15" x14ac:dyDescent="0.2"/>
  <cols>
    <col min="1" max="1" width="4.83984375" style="3" customWidth="1"/>
    <col min="2" max="2" width="6.05078125" style="3" customWidth="1"/>
    <col min="3" max="3" width="11.703125" style="3" bestFit="1" customWidth="1"/>
    <col min="4" max="4" width="9.01171875" style="4" customWidth="1"/>
    <col min="5" max="5" width="22.59765625" style="5" customWidth="1"/>
    <col min="6" max="7" width="4.3046875" style="6" customWidth="1"/>
    <col min="8" max="8" width="22.59765625" style="7" customWidth="1"/>
    <col min="9" max="9" width="3.49609375" style="2" customWidth="1"/>
    <col min="10" max="10" width="19.50390625" style="8" customWidth="1"/>
    <col min="11" max="14" width="5.37890625" style="9" customWidth="1"/>
    <col min="15" max="15" width="7.6640625" style="9" customWidth="1"/>
    <col min="16" max="16" width="6.72265625" style="9" customWidth="1"/>
    <col min="17" max="17" width="3.49609375" style="68" customWidth="1"/>
    <col min="18" max="18" width="15.46875" style="123" hidden="1" customWidth="1"/>
    <col min="19" max="20" width="16.0078125" style="127" hidden="1" customWidth="1"/>
    <col min="21" max="28" width="4.03515625" style="123" hidden="1" customWidth="1"/>
    <col min="29" max="29" width="4.3046875" style="124" hidden="1" customWidth="1"/>
    <col min="30" max="30" width="5.37890625" style="123" hidden="1" customWidth="1"/>
    <col min="31" max="31" width="13.44921875" style="124" hidden="1" customWidth="1"/>
    <col min="32" max="36" width="5.37890625" style="123" hidden="1" customWidth="1"/>
    <col min="37" max="39" width="6.05078125" style="123" hidden="1" customWidth="1"/>
    <col min="40" max="40" width="5.37890625" style="123" hidden="1" customWidth="1"/>
    <col min="41" max="42" width="6.05078125" style="123" hidden="1" customWidth="1"/>
    <col min="43" max="43" width="7.12890625" style="125" hidden="1" customWidth="1"/>
    <col min="44" max="44" width="9.953125" style="125" hidden="1" customWidth="1"/>
    <col min="45" max="45" width="15.33203125" style="125" hidden="1" customWidth="1"/>
    <col min="46" max="50" width="4.70703125" style="126" hidden="1" customWidth="1"/>
    <col min="51" max="51" width="9.14453125" style="125" hidden="1" customWidth="1"/>
    <col min="52" max="61" width="9.14453125" style="126" hidden="1" customWidth="1"/>
    <col min="62" max="62" width="9.14453125" style="112" hidden="1" customWidth="1"/>
    <col min="63" max="63" width="3.359375" style="2" customWidth="1"/>
    <col min="64" max="64" width="19.63671875" style="2" customWidth="1"/>
    <col min="65" max="67" width="2.95703125" style="2" customWidth="1"/>
    <col min="68" max="69" width="2.015625" style="111" customWidth="1"/>
    <col min="70" max="70" width="3.359375" style="2" customWidth="1"/>
    <col min="71" max="71" width="19.63671875" style="2" customWidth="1"/>
    <col min="72" max="74" width="2.95703125" style="2" customWidth="1"/>
    <col min="75" max="76" width="2.015625" style="111" customWidth="1"/>
    <col min="77" max="77" width="4.03515625" style="2" customWidth="1"/>
    <col min="78" max="78" width="19.63671875" style="2" customWidth="1"/>
    <col min="79" max="81" width="2.95703125" style="2" customWidth="1"/>
    <col min="82" max="83" width="2.015625" style="111" customWidth="1"/>
    <col min="84" max="84" width="3.8984375" style="2" customWidth="1"/>
    <col min="85" max="85" width="19.63671875" style="2" customWidth="1"/>
    <col min="86" max="88" width="2.95703125" style="2" customWidth="1"/>
    <col min="89" max="90" width="2.015625" style="111" customWidth="1"/>
    <col min="91" max="91" width="3.62890625" style="2" customWidth="1"/>
    <col min="92" max="92" width="19.63671875" style="2" customWidth="1"/>
    <col min="93" max="95" width="2.95703125" style="2" customWidth="1"/>
    <col min="96" max="96" width="2.015625" style="111" customWidth="1"/>
    <col min="97" max="16384" width="9.14453125" style="2"/>
  </cols>
  <sheetData>
    <row r="1" spans="1:95" ht="46.5" x14ac:dyDescent="0.2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3</v>
      </c>
      <c r="AL8" s="123">
        <f>AI8-AJ8</f>
        <v>4</v>
      </c>
      <c r="AM8" s="123">
        <f>AL8-AL12</f>
        <v>7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90000009.625840515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7 - 3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6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1.9805825242718447</v>
      </c>
      <c r="AP9" s="123">
        <f>AO9*10000000+BI9*100+AM9/AM12*10+AI9/AI12*1++IF(AQ9=0,ROW(),AQ9)/2000000</f>
        <v>19805923.676685739</v>
      </c>
      <c r="AQ9" s="126">
        <f>VLOOKUP(AE9,db_fifarank,2,FALSE)</f>
        <v>1429.73</v>
      </c>
      <c r="AR9" s="125">
        <f>AP9/AP12</f>
        <v>0.22006579264779694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1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50.5</v>
      </c>
      <c r="BA9" s="126">
        <f>AZ9/AZ12</f>
        <v>0.98058252427184467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1</v>
      </c>
      <c r="BE9" s="126" cm="1">
        <f t="array" ref="BE9">SUMPRODUCT(($E$7:$E$78=AE9)*($X$7:$X$78)*($G$7:$G$78))+SUMPRODUCT(($H$7:$H$78=AE9)*($X$7:$X$78)*($F$7:$F$78))</f>
        <v>1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50.5</v>
      </c>
      <c r="BI9" s="126">
        <f>BH9/BH12</f>
        <v>0.98058252427184467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4</v>
      </c>
      <c r="AL10" s="123">
        <f>AI10-AJ10</f>
        <v>1</v>
      </c>
      <c r="AM10" s="123">
        <f>AL10-AL12</f>
        <v>4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60000005.625794329</v>
      </c>
      <c r="AQ10" s="126">
        <f>VLOOKUP(AE10,db_fifarank,2,FALSE)</f>
        <v>1588.66</v>
      </c>
      <c r="AR10" s="125">
        <f>AP10/AP12</f>
        <v>0.66666665046556473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3 - 5</v>
      </c>
      <c r="P11" s="34">
        <f>L11*3+M11</f>
        <v>1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5</v>
      </c>
      <c r="AL11" s="123">
        <f>AI11-AJ11</f>
        <v>-2</v>
      </c>
      <c r="AM11" s="123">
        <f>AL11-AL12</f>
        <v>1</v>
      </c>
      <c r="AN11" s="123">
        <f>AF11*3+AG11</f>
        <v>1</v>
      </c>
      <c r="AO11" s="123">
        <f>AN11/AN12*10+BA11</f>
        <v>1.9805825242718447</v>
      </c>
      <c r="AP11" s="123">
        <f>AO11*10000000+BI11*100+AM11/AM12*10+AI11/AI12*1++IF(AQ11=0,ROW(),AQ11)/2000000</f>
        <v>19805924.926721565</v>
      </c>
      <c r="AQ11" s="126">
        <f>VLOOKUP(AE11,db_fifarank,2,FALSE)</f>
        <v>1501.38</v>
      </c>
      <c r="AR11" s="125">
        <f>AP11/AP12</f>
        <v>0.22006580653708224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8</v>
      </c>
      <c r="AL12" s="123">
        <f>MIN(AL8:AL11)</f>
        <v>-3</v>
      </c>
      <c r="AM12" s="123">
        <f>MAX(AM8:AM11)+1</f>
        <v>8</v>
      </c>
      <c r="AN12" s="123">
        <f>MAX(AN8:AN11)+1</f>
        <v>10</v>
      </c>
      <c r="AO12" s="123">
        <f>MAX(AO8:AO11)+1</f>
        <v>10</v>
      </c>
      <c r="AP12" s="123">
        <f>MAX(AP8:AP11)+1</f>
        <v>90000010.625840515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3</v>
      </c>
      <c r="AL14" s="123">
        <f>AI14-AJ14</f>
        <v>1</v>
      </c>
      <c r="AM14" s="123">
        <f>AL14-AL18</f>
        <v>3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60000005.572206818</v>
      </c>
      <c r="AQ14" s="126">
        <f>VLOOKUP(AE14,db_fifarank,2,FALSE)</f>
        <v>1556.48</v>
      </c>
      <c r="AR14" s="125">
        <f>AP14/AP18</f>
        <v>0.66666665308895967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6 - 3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4</v>
      </c>
      <c r="AL15" s="123">
        <f>AI15-AJ15</f>
        <v>-2</v>
      </c>
      <c r="AM15" s="123">
        <f>AL15-AL18</f>
        <v>0</v>
      </c>
      <c r="AN15" s="123">
        <f>AF15*3+AG15</f>
        <v>1</v>
      </c>
      <c r="AO15" s="123">
        <f>AN15/AN18*10+BA15</f>
        <v>1.9805825242718447</v>
      </c>
      <c r="AP15" s="123">
        <f>AO15*10000000+BI15*100+AM15/AM18*10+AI15/AI18*1++IF(AQ15=0,ROW(),AQ15)/2000000</f>
        <v>19805923.587378081</v>
      </c>
      <c r="AQ15" s="126">
        <f>VLOOKUP(AE15,db_fifarank,2,FALSE)</f>
        <v>1385.84</v>
      </c>
      <c r="AR15" s="125">
        <f>AP15/AP18</f>
        <v>0.22006579271801527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5</v>
      </c>
      <c r="AL16" s="123">
        <f>AI16-AJ16</f>
        <v>-2</v>
      </c>
      <c r="AM16" s="123">
        <f>AL16-AL18</f>
        <v>0</v>
      </c>
      <c r="AN16" s="123">
        <f>AF16*3+AG16</f>
        <v>1</v>
      </c>
      <c r="AO16" s="123">
        <f>AN16/AN18*10+BA16</f>
        <v>1.9805825242718447</v>
      </c>
      <c r="AP16" s="123">
        <f>AO16*10000000+BI16*100+AM16/AM18*10+AI16/AI18*1++IF(AQ16=0,ROW(),AQ16)/2000000</f>
        <v>19805923.730269782</v>
      </c>
      <c r="AQ16" s="126">
        <f>VLOOKUP(AE16,db_fifarank,2,FALSE)</f>
        <v>1454.96</v>
      </c>
      <c r="AR16" s="125">
        <f>AP16/AP18</f>
        <v>0.22006579430570064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50.5</v>
      </c>
      <c r="BA16" s="126">
        <f>AZ16/AZ18</f>
        <v>0.98058252427184467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50.5</v>
      </c>
      <c r="BI16" s="126">
        <f>BH16/BH18</f>
        <v>0.98058252427184467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3 - 5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3</v>
      </c>
      <c r="AL17" s="123">
        <f>AI17-AJ17</f>
        <v>3</v>
      </c>
      <c r="AM17" s="123">
        <f>AL17-AL18</f>
        <v>5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90000009.191300884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7</v>
      </c>
      <c r="AL18" s="123">
        <f>MIN(AL14:AL17)</f>
        <v>-2</v>
      </c>
      <c r="AM18" s="123">
        <f>MAX(AM14:AM17)+1</f>
        <v>6</v>
      </c>
      <c r="AN18" s="123">
        <f>MAX(AN14:AN17)+1</f>
        <v>10</v>
      </c>
      <c r="AO18" s="123">
        <f>MAX(AO14:AO17)+1</f>
        <v>10</v>
      </c>
      <c r="AP18" s="123">
        <f>MAX(AP14:AP17)+1</f>
        <v>90000010.191300884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2</v>
      </c>
      <c r="AL20" s="123">
        <f>AI20-AJ20</f>
        <v>8</v>
      </c>
      <c r="AM20" s="123">
        <f>AL20-AL24</f>
        <v>16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90000010.321736202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4</v>
      </c>
      <c r="AL21" s="123">
        <f>AI21-AJ21</f>
        <v>3</v>
      </c>
      <c r="AM21" s="123">
        <f>AL21-AL24</f>
        <v>11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60000007.107829802</v>
      </c>
      <c r="AQ21" s="126">
        <f>VLOOKUP(AE21,db_fifarank,2,FALSE)</f>
        <v>1755.87</v>
      </c>
      <c r="AR21" s="125">
        <f>AP21/AP24</f>
        <v>0.6666666617778414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9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9.1554945909090912E-2</v>
      </c>
      <c r="AQ22" s="126">
        <f>VLOOKUP(AE22,db_fifarank,2,FALSE)</f>
        <v>1291.71</v>
      </c>
      <c r="AR22" s="125">
        <f>AP22/AP24</f>
        <v>1.0172770487972059E-9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4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4 - 7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7</v>
      </c>
      <c r="AL23" s="123">
        <f>AI23-AJ23</f>
        <v>-3</v>
      </c>
      <c r="AM23" s="123">
        <f>AL23-AL24</f>
        <v>5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30000003.305562008</v>
      </c>
      <c r="AQ23" s="126">
        <f>VLOOKUP(AE23,db_fifarank,2,FALSE)</f>
        <v>1498.35</v>
      </c>
      <c r="AR23" s="125">
        <f>AP23/AP24</f>
        <v>0.33333332812944444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1 - 9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11</v>
      </c>
      <c r="AL24" s="123">
        <f>MIN(AL20:AL23)</f>
        <v>-8</v>
      </c>
      <c r="AM24" s="123">
        <f>MAX(AM20:AM23)+1</f>
        <v>17</v>
      </c>
      <c r="AN24" s="123">
        <f>MAX(AN20:AN23)+1</f>
        <v>10</v>
      </c>
      <c r="AO24" s="123">
        <f>MAX(AO20:AO23)+1</f>
        <v>10</v>
      </c>
      <c r="AP24" s="123">
        <f>MAX(AP20:AP23)+1</f>
        <v>90000011.321736202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3</v>
      </c>
      <c r="AL26" s="123">
        <f>AI26-AJ26</f>
        <v>3</v>
      </c>
      <c r="AM26" s="123">
        <f>AL26-AL30</f>
        <v>7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60000009.41750323</v>
      </c>
      <c r="AQ26" s="126">
        <f>VLOOKUP(AE26,db_fifarank,2,FALSE)</f>
        <v>1673.13</v>
      </c>
      <c r="AR26" s="125">
        <f>AP26/AP30</f>
        <v>0.66666669249308164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2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8 - 5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6</v>
      </c>
      <c r="AL27" s="123">
        <f>AI27-AJ27</f>
        <v>-2</v>
      </c>
      <c r="AM27" s="123">
        <f>AL27-AL30</f>
        <v>2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30000002.945196193</v>
      </c>
      <c r="AQ27" s="126">
        <f>VLOOKUP(AE27,db_fifarank,2,FALSE)</f>
        <v>1503.5</v>
      </c>
      <c r="AR27" s="125">
        <f>AP27/AP30</f>
        <v>0.33333332665148285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0.22301255722222221</v>
      </c>
      <c r="AQ28" s="126">
        <f>VLOOKUP(AE28,db_fifarank,2,FALSE)</f>
        <v>1580.67</v>
      </c>
      <c r="AR28" s="125">
        <f>AP28/AP30</f>
        <v>2.477917009532859E-9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4 - 6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8</v>
      </c>
      <c r="AJ29" s="123">
        <f>SUMIF($E$7:$E$78,$AE29,$G$7:$G$78) + SUMIF($H$7:$H$78,$AE29,$F$7:$F$78)</f>
        <v>5</v>
      </c>
      <c r="AL29" s="123">
        <f>AI29-AJ29</f>
        <v>3</v>
      </c>
      <c r="AM29" s="123">
        <f>AL29-AL30</f>
        <v>7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90000009.639688417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9</v>
      </c>
      <c r="AL30" s="123">
        <f>MIN(AL26:AL29)</f>
        <v>-4</v>
      </c>
      <c r="AM30" s="123">
        <f>MAX(AM26:AM29)+1</f>
        <v>8</v>
      </c>
      <c r="AN30" s="123">
        <f>MAX(AN26:AN29)+1</f>
        <v>10</v>
      </c>
      <c r="AO30" s="123">
        <f>MAX(AO26:AO29)+1</f>
        <v>10</v>
      </c>
      <c r="AP30" s="123">
        <f>MAX(AP26:AP29)+1</f>
        <v>90000010.639688417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1</v>
      </c>
      <c r="W31" s="123">
        <f t="shared" si="4"/>
        <v>1</v>
      </c>
      <c r="X31" s="123">
        <f t="shared" si="9"/>
        <v>1</v>
      </c>
      <c r="Y31" s="123">
        <f t="shared" si="10"/>
        <v>1</v>
      </c>
      <c r="Z31" s="123">
        <f t="shared" si="11"/>
        <v>1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1</v>
      </c>
      <c r="AL32" s="123">
        <f>AI32-AJ32</f>
        <v>8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90000010.234198526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7.1924991022004133E-12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3 - 4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5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49805926.935070693</v>
      </c>
      <c r="AQ34" s="126">
        <f>VLOOKUP(AE34,db_fifarank,2,FALSE)</f>
        <v>1532.98</v>
      </c>
      <c r="AR34" s="125">
        <f>AP34/AP36</f>
        <v>0.55339911908972361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4</v>
      </c>
      <c r="AL35" s="123">
        <f>AI35-AJ35</f>
        <v>-1</v>
      </c>
      <c r="AM35" s="123">
        <f>AL35-AL36</f>
        <v>5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49805926.935101591</v>
      </c>
      <c r="AQ35" s="126">
        <f>VLOOKUP(AE35,db_fifarank,2,FALSE)</f>
        <v>1594.78</v>
      </c>
      <c r="AR35" s="125">
        <f>AP35/AP36</f>
        <v>0.55339911909006689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Senegal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10</v>
      </c>
      <c r="AL36" s="123">
        <f>MIN(AL32:AL35)</f>
        <v>-6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90000011.234198526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3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2</v>
      </c>
      <c r="AL38" s="123">
        <f>AI38-AJ38</f>
        <v>6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90000009.980676919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4</v>
      </c>
      <c r="AL39" s="123">
        <f>AI39-AJ39</f>
        <v>1</v>
      </c>
      <c r="AM39" s="123">
        <f>AL39-AL42</f>
        <v>5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60000005.101840317</v>
      </c>
      <c r="AQ39" s="126">
        <f>VLOOKUP(AE39,db_fifarank,2,FALSE)</f>
        <v>1660.43</v>
      </c>
      <c r="AR39" s="125">
        <f>AP39/AP42</f>
        <v>0.66666664201543679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Saudi Arabia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5 - 4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5</v>
      </c>
      <c r="AL40" s="123">
        <f>AI40-AJ40</f>
        <v>-3</v>
      </c>
      <c r="AM40" s="123">
        <f>AL40-AL42</f>
        <v>1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30000001.132070519</v>
      </c>
      <c r="AQ40" s="126">
        <f>VLOOKUP(AE40,db_fifarank,2,FALSE)</f>
        <v>1514.77</v>
      </c>
      <c r="AR40" s="125">
        <f>AP40/AP42</f>
        <v>0.33333330524272431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7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0.33407485833333334</v>
      </c>
      <c r="AQ41" s="126">
        <f>VLOOKUP(AE41,db_fifarank,2,FALSE)</f>
        <v>1483.05</v>
      </c>
      <c r="AR41" s="125">
        <f>AP41/AP42</f>
        <v>3.7119424174854767E-9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3 - 7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9</v>
      </c>
      <c r="AL42" s="123">
        <f>MIN(AL38:AL41)</f>
        <v>-4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90000010.980676919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0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2</v>
      </c>
      <c r="AL44" s="123">
        <f>AI44-AJ44</f>
        <v>4</v>
      </c>
      <c r="AM44" s="123">
        <f>AL44-AL48</f>
        <v>6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90000009.42943877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Japan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5</v>
      </c>
      <c r="AL45" s="123">
        <f>AI45-AJ45</f>
        <v>-2</v>
      </c>
      <c r="AM45" s="123">
        <f>AL45-AL48</f>
        <v>0</v>
      </c>
      <c r="AN45" s="123">
        <f>AF45*3+AG45</f>
        <v>2</v>
      </c>
      <c r="AO45" s="123">
        <f>AN45/AN48*10+BA45</f>
        <v>2.9853836784409258</v>
      </c>
      <c r="AP45" s="123">
        <f>AO45*10000000+BI45*100+AM45/AM48*10+AI45/AI48*1++IF(AQ45=0,ROW(),AQ45)/2000000</f>
        <v>29853837.213762309</v>
      </c>
      <c r="AQ45" s="126">
        <f>VLOOKUP(AE45,db_fifarank,2,FALSE)</f>
        <v>1563.24</v>
      </c>
      <c r="AR45" s="125">
        <f>AP45/AP48</f>
        <v>0.33170926393578726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2</v>
      </c>
      <c r="AV45" s="126" cm="1">
        <f t="array" ref="AV45">SUMPRODUCT(($E$7:$E$78=AE45)*($U$7:$U$78)*($F$7:$F$78))+SUMPRODUCT(($H$7:$H$78=AE45)*($U$7:$U$78)*($G$7:$G$78))</f>
        <v>3</v>
      </c>
      <c r="AW45" s="126" cm="1">
        <f t="array" ref="AW45">SUMPRODUCT(($E$7:$E$78=AE45)*($U$7:$U$78)*($G$7:$G$78))+SUMPRODUCT(($H$7:$H$78=AE45)*($U$7:$U$78)*($F$7:$F$78))</f>
        <v>3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67.416666666666657</v>
      </c>
      <c r="BA45" s="126">
        <f>AZ45/AZ48</f>
        <v>0.98538367844092567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2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0</v>
      </c>
      <c r="M46" s="23">
        <f>VLOOKUP(2,AD44:AN47,4,FALSE)</f>
        <v>2</v>
      </c>
      <c r="N46" s="23">
        <f>VLOOKUP(2,AD44:AN47,5,FALSE)</f>
        <v>1</v>
      </c>
      <c r="O46" s="23" t="str">
        <f>VLOOKUP(2,AD44:AN47,6,FALSE) &amp; " - " &amp; VLOOKUP(2,AD44:AN47,7,FALSE)</f>
        <v>3 - 5</v>
      </c>
      <c r="P46" s="34">
        <f>L46*3+M46</f>
        <v>2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2</v>
      </c>
      <c r="W46" s="123">
        <f t="shared" si="4"/>
        <v>2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3</v>
      </c>
      <c r="AL46" s="123">
        <f>AI46-AJ46</f>
        <v>-1</v>
      </c>
      <c r="AM46" s="123">
        <f>AL46-AL48</f>
        <v>1</v>
      </c>
      <c r="AN46" s="123">
        <f>AF46*3+AG46</f>
        <v>2</v>
      </c>
      <c r="AO46" s="123">
        <f>AN46/AN48*10+BA46</f>
        <v>2.9780755176613884</v>
      </c>
      <c r="AP46" s="123">
        <f>AO46*10000000+BI46*100+AM46/AM48*10+AI46/AI48*1++IF(AQ46=0,ROW(),AQ46)/2000000</f>
        <v>29780756.891707253</v>
      </c>
      <c r="AQ46" s="126">
        <f>VLOOKUP(AE46,db_fifarank,2,FALSE)</f>
        <v>1615.3</v>
      </c>
      <c r="AR46" s="125">
        <f>AP46/AP48</f>
        <v>0.33089726045149487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2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66.916666666666657</v>
      </c>
      <c r="BA46" s="126">
        <f>AZ46/AZ48</f>
        <v>0.97807551766138856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0</v>
      </c>
      <c r="G47" s="20">
        <v>0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3 - 4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1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4</v>
      </c>
      <c r="AL47" s="123">
        <f>AI47-AJ47</f>
        <v>-1</v>
      </c>
      <c r="AM47" s="123">
        <f>AL47-AL48</f>
        <v>1</v>
      </c>
      <c r="AN47" s="123">
        <f>AF47*3+AG47</f>
        <v>2</v>
      </c>
      <c r="AO47" s="123">
        <f>AN47/AN48*10+BA47</f>
        <v>2.9817295980511571</v>
      </c>
      <c r="AP47" s="123">
        <f>AO47*10000000+BI47*100+AM47/AM48*10+AI47/AI48*1++IF(AQ47=0,ROW(),AQ47)/2000000</f>
        <v>29817297.838295214</v>
      </c>
      <c r="AQ47" s="126">
        <f>VLOOKUP(AE47,db_fifarank,2,FALSE)</f>
        <v>1281.57</v>
      </c>
      <c r="AR47" s="125">
        <f>AP47/AP48</f>
        <v>0.33130327092208928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2</v>
      </c>
      <c r="AV47" s="126" cm="1">
        <f t="array" ref="AV47">SUMPRODUCT(($E$7:$E$78=AE47)*($U$7:$U$78)*($F$7:$F$78))+SUMPRODUCT(($H$7:$H$78=AE47)*($U$7:$U$78)*($G$7:$G$78))</f>
        <v>2</v>
      </c>
      <c r="AW47" s="126" cm="1">
        <f t="array" ref="AW47">SUMPRODUCT(($E$7:$E$78=AE47)*($U$7:$U$78)*($G$7:$G$78))+SUMPRODUCT(($H$7:$H$78=AE47)*($U$7:$U$78)*($F$7:$F$78))</f>
        <v>2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67.166666666666657</v>
      </c>
      <c r="BA47" s="126">
        <f>AZ47/AZ48</f>
        <v>0.98172959805115712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2 - 3</v>
      </c>
      <c r="P48" s="37">
        <f>L48*3+M48</f>
        <v>2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2</v>
      </c>
      <c r="AI48" s="123">
        <f>MAX(AI44:AI47)+1</f>
        <v>7</v>
      </c>
      <c r="AL48" s="123">
        <f>MIN(AL44:AL47)</f>
        <v>-2</v>
      </c>
      <c r="AM48" s="123">
        <f>MAX(AM44:AM47)+1</f>
        <v>7</v>
      </c>
      <c r="AN48" s="123">
        <f>MAX(AN44:AN47)+1</f>
        <v>10</v>
      </c>
      <c r="AO48" s="123">
        <f>MAX(AO44:AO47)+1</f>
        <v>10</v>
      </c>
      <c r="AP48" s="123">
        <f>MAX(AP44:AP47)+1</f>
        <v>90000010.42943877</v>
      </c>
      <c r="AT48" s="126">
        <f>MAX(AT44:AT47)-MIN(AT44:AT47)+1</f>
        <v>1</v>
      </c>
      <c r="AU48" s="126">
        <f>MAX(AU44:AU47)-MIN(AU44:AU47)+1</f>
        <v>3</v>
      </c>
      <c r="AV48" s="126">
        <f>MAX(AV44:AV47)-MIN(AV44:AV47)+1</f>
        <v>4</v>
      </c>
      <c r="AW48" s="126">
        <f>MAX(AW44:AW47)-MIN(AW44:AW47)+1</f>
        <v>4</v>
      </c>
      <c r="AY48" s="126">
        <f>MAX(AY44:AY47)-MIN(AY44:AY47)+1</f>
        <v>1</v>
      </c>
      <c r="AZ48" s="126">
        <f>MAX(AZ44:AZ47)+1</f>
        <v>68.416666666666657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Japan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Mexico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Mexico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3</v>
      </c>
      <c r="AL50" s="123">
        <f>AI50-AJ50</f>
        <v>7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90000010.243362442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10 - 3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8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9.1592155909090908E-2</v>
      </c>
      <c r="AQ51" s="126">
        <f>VLOOKUP(AE51,db_fifarank,2,FALSE)</f>
        <v>1366.13</v>
      </c>
      <c r="AR51" s="125">
        <f>AP51/AP54</f>
        <v>1.0176904940758648E-9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2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7 - 4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7</v>
      </c>
      <c r="AL52" s="123">
        <f>AI52-AJ52</f>
        <v>-3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30000003.031013746</v>
      </c>
      <c r="AQ52" s="126">
        <f>VLOOKUP(AE52,db_fifarank,2,FALSE)</f>
        <v>1421.43</v>
      </c>
      <c r="AR52" s="125">
        <f>AP52/AP54</f>
        <v>0.3333333253691817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4 - 7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4</v>
      </c>
      <c r="AL53" s="123">
        <f>AI53-AJ53</f>
        <v>3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60000007.303866833</v>
      </c>
      <c r="AQ53" s="126">
        <f>VLOOKUP(AE53,db_fifarank,2,FALSE)</f>
        <v>1673.07</v>
      </c>
      <c r="AR53" s="125">
        <f>AP53/AP54</f>
        <v>0.66666666453657664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11</v>
      </c>
      <c r="AL54" s="123">
        <f>MIN(AL50:AL53)</f>
        <v>-7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90000011.243362442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Mexico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3</v>
      </c>
      <c r="AL56" s="123">
        <f>AI56-AJ56</f>
        <v>7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90000010.076696232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10 - 3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5</v>
      </c>
      <c r="AL57" s="123">
        <f>AI57-AJ57</f>
        <v>-2</v>
      </c>
      <c r="AM57" s="123">
        <f>AL57-AL60</f>
        <v>2</v>
      </c>
      <c r="AN57" s="123">
        <f>AF57*3+AG57</f>
        <v>4</v>
      </c>
      <c r="AO57" s="123">
        <f>AN57/AN60*10+BA57</f>
        <v>4.9803921568627452</v>
      </c>
      <c r="AP57" s="123">
        <f>AO57*10000000+BI57*100+AM57/AM60*10+AI57/AI60*1++IF(AQ57=0,ROW(),AQ57)/2000000</f>
        <v>49804021.548081569</v>
      </c>
      <c r="AQ57" s="126">
        <f>VLOOKUP(AE57,db_fifarank,2,FALSE)</f>
        <v>1688.99</v>
      </c>
      <c r="AR57" s="125">
        <f>AP57/AP60</f>
        <v>0.55337794909424587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</v>
      </c>
      <c r="BA57" s="126">
        <f>AZ57/AZ60</f>
        <v>0.98039215686274506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</v>
      </c>
      <c r="BI57" s="126">
        <f>BH57/BH60</f>
        <v>0.98039215686274506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4 - 5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6</v>
      </c>
      <c r="AL58" s="123">
        <f>AI58-AJ58</f>
        <v>-4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0.18254175181818183</v>
      </c>
      <c r="AQ58" s="126">
        <f>VLOOKUP(AE58,db_fifarank,2,FALSE)</f>
        <v>1447.14</v>
      </c>
      <c r="AR58" s="125">
        <f>AP58/AP60</f>
        <v>2.0282414372440838E-9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3 - 5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5</v>
      </c>
      <c r="AL59" s="123">
        <f>AI59-AJ59</f>
        <v>-1</v>
      </c>
      <c r="AM59" s="123">
        <f>AL59-AL60</f>
        <v>3</v>
      </c>
      <c r="AN59" s="123">
        <f>AF59*3+AG59</f>
        <v>4</v>
      </c>
      <c r="AO59" s="123">
        <f>AN59/AN60*10+BA59</f>
        <v>4.9803921568627452</v>
      </c>
      <c r="AP59" s="123">
        <f>AO59*10000000+BI59*100+AM59/AM60*10+AI59/AI60*1++IF(AQ59=0,ROW(),AQ59)/2000000</f>
        <v>49804022.472254977</v>
      </c>
      <c r="AQ59" s="126">
        <f>VLOOKUP(AE59,db_fifarank,2,FALSE)</f>
        <v>1550.94</v>
      </c>
      <c r="AR59" s="125">
        <f>AP59/AP60</f>
        <v>0.55337795936283796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</v>
      </c>
      <c r="BA59" s="126">
        <f>AZ59/AZ60</f>
        <v>0.98039215686274506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50</v>
      </c>
      <c r="BI59" s="126">
        <f>BH59/BH60</f>
        <v>0.98039215686274506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11</v>
      </c>
      <c r="AL60" s="123">
        <f>MIN(AL56:AL59)</f>
        <v>-4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90000011.076696232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51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51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3</v>
      </c>
      <c r="AL62" s="123">
        <f>AI62-AJ62</f>
        <v>5</v>
      </c>
      <c r="AM62" s="123">
        <f>AL62-AL66</f>
        <v>8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90000009.778715208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8 - 3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6</v>
      </c>
      <c r="AL63" s="123">
        <f>AI63-AJ63</f>
        <v>-3</v>
      </c>
      <c r="AM63" s="123">
        <f>AL63-AL66</f>
        <v>0</v>
      </c>
      <c r="AN63" s="123">
        <f>AF63*3+AG63</f>
        <v>1</v>
      </c>
      <c r="AO63" s="123">
        <f>AN63/AN66*10+BA63</f>
        <v>1.9805825242718447</v>
      </c>
      <c r="AP63" s="123">
        <f>AO63*10000000+BI63*100+AM63/AM66*10+AI63/AI66*1++IF(AQ63=0,ROW(),AQ63)/2000000</f>
        <v>19805923.635086335</v>
      </c>
      <c r="AQ63" s="126">
        <f>VLOOKUP(AE63,db_fifarank,2,FALSE)</f>
        <v>1564.26</v>
      </c>
      <c r="AR63" s="125">
        <f>AP63/AP66</f>
        <v>0.22006579181177599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4</v>
      </c>
      <c r="AL64" s="123">
        <f>AI64-AJ64</f>
        <v>1</v>
      </c>
      <c r="AM64" s="123">
        <f>AL64-AL66</f>
        <v>4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60000005.000796728</v>
      </c>
      <c r="AQ64" s="126">
        <f>VLOOKUP(AE64,db_fifarank,2,FALSE)</f>
        <v>1593.45</v>
      </c>
      <c r="AR64" s="125">
        <f>AP64/AP66</f>
        <v>0.66666664238874274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3 - 6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6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1.9805825242718447</v>
      </c>
      <c r="AP65" s="123">
        <f>AO65*10000000+BI65*100+AM65/AM66*10+AI65/AI66*1++IF(AQ65=0,ROW(),AQ65)/2000000</f>
        <v>19805923.634999931</v>
      </c>
      <c r="AQ65" s="126">
        <f>VLOOKUP(AE65,db_fifarank,2,FALSE)</f>
        <v>1391.45</v>
      </c>
      <c r="AR65" s="125">
        <f>AP65/AP66</f>
        <v>0.22006579181081593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3 - 6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9</v>
      </c>
      <c r="AL66" s="123">
        <f>MIN(AL62:AL65)</f>
        <v>-3</v>
      </c>
      <c r="AM66" s="123">
        <f>MAX(AM62:AM65)+1</f>
        <v>9</v>
      </c>
      <c r="AN66" s="123">
        <f>MAX(AN62:AN65)+1</f>
        <v>10</v>
      </c>
      <c r="AO66" s="123">
        <f>MAX(AO62:AO65)+1</f>
        <v>10</v>
      </c>
      <c r="AP66" s="123">
        <f>MAX(AP62:AP65)+1</f>
        <v>90000010.778715208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4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Ivory Coast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11</v>
      </c>
      <c r="AJ68" s="123">
        <f>SUMIF($E$7:$E$78,$AE68,$G$7:$G$78) + SUMIF($H$7:$H$78,$AE68,$F$7:$F$78)</f>
        <v>2</v>
      </c>
      <c r="AL68" s="123">
        <f>AI68-AJ68</f>
        <v>9</v>
      </c>
      <c r="AM68" s="123">
        <f>AL68-AL72</f>
        <v>16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90000010.329313293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11 - 2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8</v>
      </c>
      <c r="AL69" s="123">
        <f>AI69-AJ69</f>
        <v>-7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8.4072508333333323E-2</v>
      </c>
      <c r="AQ69" s="126">
        <f>VLOOKUP(AE69,db_fifarank,2,FALSE)</f>
        <v>1478.35</v>
      </c>
      <c r="AR69" s="125">
        <f>AP69/AP72</f>
        <v>9.3413886389090533E-10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7 - 4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8</v>
      </c>
      <c r="AL70" s="123">
        <f>AI70-AJ70</f>
        <v>-5</v>
      </c>
      <c r="AM70" s="123">
        <f>AL70-AL72</f>
        <v>2</v>
      </c>
      <c r="AN70" s="123">
        <f>AF70*3+AG70</f>
        <v>3</v>
      </c>
      <c r="AO70" s="123">
        <f>AN70/AN72*10+BA70</f>
        <v>3</v>
      </c>
      <c r="AP70" s="123">
        <f>AO70*10000000+BI70*100+AM70/AM72*10+AI70/AI72*1++IF(AQ70=0,ROW(),AQ70)/2000000</f>
        <v>30000001.42720326</v>
      </c>
      <c r="AQ70" s="126">
        <f>VLOOKUP(AE70,db_fifarank,2,FALSE)</f>
        <v>1465.34</v>
      </c>
      <c r="AR70" s="125">
        <f>AP70/AP72</f>
        <v>0.33333330723073101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3 - 8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4</v>
      </c>
      <c r="AL71" s="123">
        <f>AI71-AJ71</f>
        <v>3</v>
      </c>
      <c r="AM71" s="123">
        <f>AL71-AL72</f>
        <v>10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60000006.466532819</v>
      </c>
      <c r="AQ71" s="126">
        <f>VLOOKUP(AE71,db_fifarank,2,FALSE)</f>
        <v>1693.09</v>
      </c>
      <c r="AR71" s="125">
        <f>AP71/AP72</f>
        <v>0.66666665459619368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Panama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1 - 8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12</v>
      </c>
      <c r="AL72" s="123">
        <f>MIN(AL68:AL71)</f>
        <v>-7</v>
      </c>
      <c r="AM72" s="123">
        <f>MAX(AM68:AM71)+1</f>
        <v>17</v>
      </c>
      <c r="AN72" s="123">
        <f>MAX(AN68:AN71)+1</f>
        <v>10</v>
      </c>
      <c r="AO72" s="123">
        <f>MAX(AO68:AO71)+1</f>
        <v>10</v>
      </c>
      <c r="AP72" s="123">
        <f>MAX(AP68:AP71)+1</f>
        <v>90000011.329313293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4</v>
      </c>
      <c r="AL74" s="123">
        <f>AI74-AJ74</f>
        <v>4</v>
      </c>
      <c r="AM74" s="123">
        <f>AL74-AL78</f>
        <v>7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90000009.639801875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8 - 4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6</v>
      </c>
      <c r="AL75" s="123">
        <f>AI75-AJ75</f>
        <v>1</v>
      </c>
      <c r="AM75" s="123">
        <f>AL75-AL78</f>
        <v>4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60000005.778636314</v>
      </c>
      <c r="AQ75" s="126">
        <f>VLOOKUP(AE75,db_fifarank,2,FALSE)</f>
        <v>1717.07</v>
      </c>
      <c r="AR75" s="125">
        <f>AP75/AP78</f>
        <v>0.66666665206039133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7 - 6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6</v>
      </c>
      <c r="AL76" s="123">
        <f>AI76-AJ76</f>
        <v>-3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0.3340064883333333</v>
      </c>
      <c r="AQ76" s="126">
        <f>VLOOKUP(AE76,db_fifarank,2,FALSE)</f>
        <v>1346.31</v>
      </c>
      <c r="AR76" s="125">
        <f>AP76/AP78</f>
        <v>3.7111827649675996E-9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3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5 - 7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5</v>
      </c>
      <c r="AJ77" s="123">
        <f>SUMIF($E$7:$E$78,$AE77,$G$7:$G$78) + SUMIF($H$7:$H$78,$AE77,$F$7:$F$78)</f>
        <v>7</v>
      </c>
      <c r="AL77" s="123">
        <f>AI77-AJ77</f>
        <v>-2</v>
      </c>
      <c r="AM77" s="123">
        <f>AL77-AL78</f>
        <v>1</v>
      </c>
      <c r="AN77" s="123">
        <f>AF77*3+AG77</f>
        <v>3</v>
      </c>
      <c r="AO77" s="123">
        <f>AN77/AN78*10+BA77</f>
        <v>3</v>
      </c>
      <c r="AP77" s="123">
        <f>AO77*10000000+BI77*100+AM77/AM78*10+AI77/AI78*1++IF(AQ77=0,ROW(),AQ77)/2000000</f>
        <v>30000001.806325875</v>
      </c>
      <c r="AQ77" s="126">
        <f>VLOOKUP(AE77,db_fifarank,2,FALSE)</f>
        <v>1540.64</v>
      </c>
      <c r="AR77" s="125">
        <f>AP77/AP78</f>
        <v>0.33333331399694949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2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3 - 6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9</v>
      </c>
      <c r="AL78" s="123">
        <f>MIN(AL74:AL77)</f>
        <v>-3</v>
      </c>
      <c r="AM78" s="123">
        <f>MAX(AM74:AM77)+1</f>
        <v>8</v>
      </c>
      <c r="AN78" s="123">
        <f>MAX(AN74:AN77)+1</f>
        <v>10</v>
      </c>
      <c r="AO78" s="123">
        <f>MAX(AO74:AO77)+1</f>
        <v>10</v>
      </c>
      <c r="AP78" s="123">
        <f>MAX(AP74:AP77)+1</f>
        <v>90000010.639801875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5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1</v>
      </c>
      <c r="AP80" s="123">
        <f>AN80/AN92*10000+AM80/AM92*1000+AI80/AI92*100+IF(AQ80=0,ROW(),AQ80)/2000000</f>
        <v>2650.0007506900001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3 - 4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2650.00072748</v>
      </c>
      <c r="AQ81" s="126">
        <f t="shared" si="37"/>
        <v>1454.96</v>
      </c>
      <c r="AR81" s="125" t="str">
        <f>AR80&amp;IF(AD81&lt;=8,RIGHT(AK81,1),"")</f>
        <v/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3 - 5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7</v>
      </c>
      <c r="AK82" s="123" t="s">
        <v>3182</v>
      </c>
      <c r="AL82" s="123">
        <f t="shared" si="43"/>
        <v>-3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6466.6674158416672</v>
      </c>
      <c r="AQ82" s="126">
        <f t="shared" si="37"/>
        <v>1498.35</v>
      </c>
      <c r="AR82" s="125" t="str">
        <f t="shared" ref="AR82:AR91" si="50">AR81&amp;IF(AD82&lt;=8,RIGHT(AK82,1),"")</f>
        <v>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Ⓛ Panama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5 - 7</v>
      </c>
      <c r="P83" s="101">
        <f t="shared" si="48"/>
        <v>3</v>
      </c>
      <c r="AD83" s="123">
        <f t="shared" si="38"/>
        <v>4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6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6666.6674184166668</v>
      </c>
      <c r="AQ83" s="126">
        <f t="shared" si="37"/>
        <v>1503.5</v>
      </c>
      <c r="AR83" s="125" t="str">
        <f t="shared" si="50"/>
        <v>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Ⓓ Paraguay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4 - 6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8850.0007664900004</v>
      </c>
      <c r="AQ84" s="126">
        <f t="shared" si="37"/>
        <v>1532.98</v>
      </c>
      <c r="AR84" s="125" t="str">
        <f t="shared" si="50"/>
        <v>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4 - 7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7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5</v>
      </c>
      <c r="AK85" s="123" t="s">
        <v>3186</v>
      </c>
      <c r="AL85" s="123">
        <f t="shared" si="43"/>
        <v>-3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6433.3340907183328</v>
      </c>
      <c r="AQ85" s="126">
        <f t="shared" si="37"/>
        <v>1514.77</v>
      </c>
      <c r="AR85" s="125" t="str">
        <f t="shared" si="50"/>
        <v>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4 - 7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New Zealand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4</v>
      </c>
      <c r="AN86" s="123">
        <f t="shared" si="45"/>
        <v>2</v>
      </c>
      <c r="AP86" s="123">
        <f>AN86/AN92*10000+AM86/AM92*1000+AI86/AI92*100+IF(AQ86=0,ROW(),AQ86)/2000000</f>
        <v>4850.0006407849996</v>
      </c>
      <c r="AQ86" s="126">
        <f t="shared" si="37"/>
        <v>1281.57</v>
      </c>
      <c r="AR86" s="125" t="str">
        <f t="shared" si="50"/>
        <v>CDEF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2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Ⓕ Sweden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4</v>
      </c>
      <c r="AJ87" s="123">
        <f t="shared" si="42"/>
        <v>7</v>
      </c>
      <c r="AK87" s="123" t="s">
        <v>3188</v>
      </c>
      <c r="AL87" s="123">
        <f t="shared" si="43"/>
        <v>-3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6466.6673773816674</v>
      </c>
      <c r="AQ87" s="126">
        <f t="shared" si="37"/>
        <v>1421.43</v>
      </c>
      <c r="AR87" s="125" t="str">
        <f t="shared" si="50"/>
        <v>CDEFH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Ⓚ Uzbekistan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3 - 8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5</v>
      </c>
      <c r="AK88" s="123" t="s">
        <v>3189</v>
      </c>
      <c r="AL88" s="123">
        <f t="shared" si="43"/>
        <v>-2</v>
      </c>
      <c r="AM88" s="123">
        <f t="shared" si="44"/>
        <v>3</v>
      </c>
      <c r="AN88" s="123">
        <f t="shared" si="45"/>
        <v>4</v>
      </c>
      <c r="AP88" s="123">
        <f>AN88/AN92*10000+AM88/AM92*1000+AI88/AI92*100+IF(AQ88=0,ROW(),AQ88)/2000000</f>
        <v>8650.0008444949999</v>
      </c>
      <c r="AQ88" s="126">
        <f t="shared" si="37"/>
        <v>1688.99</v>
      </c>
      <c r="AR88" s="125" t="str">
        <f t="shared" si="50"/>
        <v>CDEFHI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New Zealand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3</v>
      </c>
      <c r="AJ89" s="123">
        <f t="shared" si="42"/>
        <v>6</v>
      </c>
      <c r="AK89" s="123" t="s">
        <v>3190</v>
      </c>
      <c r="AL89" s="123">
        <f t="shared" si="43"/>
        <v>-3</v>
      </c>
      <c r="AM89" s="123">
        <f t="shared" si="44"/>
        <v>2</v>
      </c>
      <c r="AN89" s="123">
        <f t="shared" si="45"/>
        <v>1</v>
      </c>
      <c r="AP89" s="123">
        <f>AN89/AN92*10000+AM89/AM92*1000+AI89/AI92*100+IF(AQ89=0,ROW(),AQ89)/2000000</f>
        <v>2450.0007821300001</v>
      </c>
      <c r="AQ89" s="126">
        <f t="shared" si="37"/>
        <v>1564.26</v>
      </c>
      <c r="AR89" s="125" t="str">
        <f t="shared" si="50"/>
        <v>CDEFHI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Czech Republic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8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3</v>
      </c>
      <c r="AJ90" s="123">
        <f t="shared" si="42"/>
        <v>8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6050.0007326699997</v>
      </c>
      <c r="AQ90" s="126">
        <f t="shared" si="37"/>
        <v>1465.34</v>
      </c>
      <c r="AR90" s="125" t="str">
        <f t="shared" si="50"/>
        <v>CDEFHIK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Qatar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5</v>
      </c>
      <c r="AJ91" s="123">
        <f>VLOOKUP($AE91,$AE$8:$AQ$78,6,FALSE)</f>
        <v>7</v>
      </c>
      <c r="AK91" s="123" t="s">
        <v>3192</v>
      </c>
      <c r="AL91" s="123">
        <f>VLOOKUP($AE91,$AE$8:$AQ$78,8,FALSE)</f>
        <v>-2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6683.3341036533329</v>
      </c>
      <c r="AQ91" s="126">
        <f t="shared" si="37"/>
        <v>1540.64</v>
      </c>
      <c r="AR91" s="125" t="str">
        <f t="shared" si="50"/>
        <v>CDEFHIKL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3 - 6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9</v>
      </c>
      <c r="AL92" s="123">
        <f>MIN(AL80:AL91)</f>
        <v>-5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453125" defaultRowHeight="15" x14ac:dyDescent="0.2"/>
  <cols>
    <col min="1" max="1" width="2.41796875" style="82" customWidth="1"/>
    <col min="2" max="2" width="9.14453125" style="81"/>
    <col min="3" max="3" width="13.71875" style="81" customWidth="1"/>
    <col min="4" max="11" width="9.4140625" style="81" customWidth="1"/>
    <col min="12" max="16384" width="9.144531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33</v>
      </c>
      <c r="C3" s="121" t="str">
        <f>'2026 World Cup'!AR91</f>
        <v>CDEFHIKL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3I</v>
      </c>
      <c r="G3" s="121" t="str">
        <f>VLOOKUP($C3,$C$6:$K$500,5,FALSE)</f>
        <v>3D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2026-05-30T09:52:37Z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