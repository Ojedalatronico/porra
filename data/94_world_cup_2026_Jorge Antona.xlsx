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tona\Downloads\"/>
    </mc:Choice>
  </mc:AlternateContent>
  <xr:revisionPtr revIDLastSave="0" documentId="13_ncr:1_{EFDBAF33-E4A8-483B-BBCA-76EBF72E8D4A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T48" i="3"/>
  <c r="T43" i="3"/>
  <c r="S72" i="3"/>
  <c r="S70" i="3"/>
  <c r="S42" i="3"/>
  <c r="S64" i="3"/>
  <c r="T41" i="3"/>
  <c r="S40" i="3"/>
  <c r="S62" i="3"/>
  <c r="S38" i="3"/>
  <c r="S65" i="3"/>
  <c r="S55" i="3"/>
  <c r="T56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9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7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28" i="3" l="1"/>
  <c r="AR10" i="3"/>
  <c r="AR9" i="3"/>
  <c r="AD58" i="3"/>
  <c r="AR21" i="3"/>
  <c r="AR22" i="3"/>
  <c r="AR11" i="3"/>
  <c r="AR34" i="3"/>
  <c r="AR33" i="3"/>
  <c r="AR35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22" i="3" l="1"/>
  <c r="M58" i="3"/>
  <c r="AD8" i="3"/>
  <c r="AD9" i="3"/>
  <c r="AD11" i="3"/>
  <c r="AD10" i="3"/>
  <c r="AD44" i="3"/>
  <c r="AD34" i="3"/>
  <c r="AD41" i="3"/>
  <c r="AD62" i="3"/>
  <c r="L63" i="3" s="1"/>
  <c r="AD35" i="3"/>
  <c r="AD33" i="3"/>
  <c r="AD32" i="3"/>
  <c r="L33" i="3" s="1"/>
  <c r="AD28" i="3"/>
  <c r="AD53" i="3"/>
  <c r="AD75" i="3"/>
  <c r="AD77" i="3"/>
  <c r="AD15" i="3"/>
  <c r="AD70" i="3"/>
  <c r="AD27" i="3"/>
  <c r="L58" i="3"/>
  <c r="O60" i="3"/>
  <c r="L59" i="3"/>
  <c r="N58" i="3"/>
  <c r="AD71" i="3"/>
  <c r="AD63" i="3"/>
  <c r="AD29" i="3"/>
  <c r="AD20" i="3"/>
  <c r="AD47" i="3"/>
  <c r="AD68" i="3"/>
  <c r="J69" i="3" s="1"/>
  <c r="AS68" i="3" s="1"/>
  <c r="BL70" i="3" s="1"/>
  <c r="AD21" i="3"/>
  <c r="M59" i="3"/>
  <c r="AD76" i="3"/>
  <c r="AD26" i="3"/>
  <c r="AD14" i="3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M10" i="3" l="1"/>
  <c r="J10" i="3"/>
  <c r="AS9" i="3" s="1"/>
  <c r="BL18" i="3" s="1"/>
  <c r="M11" i="3"/>
  <c r="O10" i="3"/>
  <c r="L10" i="3"/>
  <c r="J11" i="3"/>
  <c r="AE80" i="3" s="1"/>
  <c r="AQ80" i="3" s="1"/>
  <c r="N51" i="3"/>
  <c r="N10" i="3"/>
  <c r="L11" i="3"/>
  <c r="O9" i="3"/>
  <c r="N65" i="3"/>
  <c r="M45" i="3"/>
  <c r="L9" i="3"/>
  <c r="J9" i="3"/>
  <c r="AS8" i="3" s="1"/>
  <c r="BL50" i="3" s="1"/>
  <c r="O11" i="3"/>
  <c r="M12" i="3"/>
  <c r="L12" i="3"/>
  <c r="N11" i="3"/>
  <c r="M9" i="3"/>
  <c r="O12" i="3"/>
  <c r="N9" i="3"/>
  <c r="N21" i="3"/>
  <c r="M33" i="3"/>
  <c r="P33" i="3" s="1"/>
  <c r="J12" i="3"/>
  <c r="O39" i="3"/>
  <c r="O33" i="3"/>
  <c r="N12" i="3"/>
  <c r="M34" i="3"/>
  <c r="O34" i="3"/>
  <c r="O45" i="3"/>
  <c r="J45" i="3"/>
  <c r="AS44" i="3" s="1"/>
  <c r="BL38" i="3" s="1"/>
  <c r="J63" i="3"/>
  <c r="AS62" i="3" s="1"/>
  <c r="BL58" i="3" s="1"/>
  <c r="BS60" i="3" s="1"/>
  <c r="BZ64" i="3" s="1"/>
  <c r="J18" i="3"/>
  <c r="L16" i="3"/>
  <c r="M16" i="3"/>
  <c r="O63" i="3"/>
  <c r="N63" i="3"/>
  <c r="M63" i="3"/>
  <c r="N45" i="3"/>
  <c r="L45" i="3"/>
  <c r="N36" i="3"/>
  <c r="J70" i="3"/>
  <c r="AS69" i="3" s="1"/>
  <c r="BL26" i="3" s="1"/>
  <c r="M35" i="3"/>
  <c r="J76" i="3"/>
  <c r="AS75" i="3" s="1"/>
  <c r="BL27" i="3" s="1"/>
  <c r="N29" i="3"/>
  <c r="L76" i="3"/>
  <c r="N34" i="3"/>
  <c r="N35" i="3"/>
  <c r="N33" i="3"/>
  <c r="M36" i="3"/>
  <c r="J33" i="3"/>
  <c r="AS32" i="3" s="1"/>
  <c r="BL10" i="3" s="1"/>
  <c r="L35" i="3"/>
  <c r="J34" i="3"/>
  <c r="AS33" i="3" s="1"/>
  <c r="BL46" i="3" s="1"/>
  <c r="O36" i="3"/>
  <c r="J35" i="3"/>
  <c r="AE84" i="3" s="1"/>
  <c r="AQ84" i="3" s="1"/>
  <c r="L34" i="3"/>
  <c r="J36" i="3"/>
  <c r="O35" i="3"/>
  <c r="O40" i="3"/>
  <c r="L36" i="3"/>
  <c r="O70" i="3"/>
  <c r="L15" i="3"/>
  <c r="N52" i="3"/>
  <c r="N70" i="3"/>
  <c r="L51" i="3"/>
  <c r="O76" i="3"/>
  <c r="M51" i="3"/>
  <c r="O78" i="3"/>
  <c r="O65" i="3"/>
  <c r="M75" i="3"/>
  <c r="M39" i="3"/>
  <c r="O42" i="3"/>
  <c r="N76" i="3"/>
  <c r="M65" i="3"/>
  <c r="N30" i="3"/>
  <c r="J71" i="3"/>
  <c r="AE90" i="3" s="1"/>
  <c r="AQ90" i="3" s="1"/>
  <c r="L40" i="3"/>
  <c r="M71" i="3"/>
  <c r="M40" i="3"/>
  <c r="N18" i="3"/>
  <c r="L66" i="3"/>
  <c r="M76" i="3"/>
  <c r="K58" i="3"/>
  <c r="N24" i="3"/>
  <c r="L18" i="3"/>
  <c r="L71" i="3"/>
  <c r="O18" i="3"/>
  <c r="AN88" i="3"/>
  <c r="N17" i="3"/>
  <c r="N64" i="3"/>
  <c r="M64" i="3"/>
  <c r="M17" i="3"/>
  <c r="J75" i="3"/>
  <c r="AS74" i="3" s="1"/>
  <c r="BL54" i="3" s="1"/>
  <c r="N39" i="3"/>
  <c r="J65" i="3"/>
  <c r="AE89" i="3" s="1"/>
  <c r="AQ89" i="3" s="1"/>
  <c r="J39" i="3"/>
  <c r="AS38" i="3" s="1"/>
  <c r="BL22" i="3" s="1"/>
  <c r="O16" i="3"/>
  <c r="O75" i="3"/>
  <c r="N40" i="3"/>
  <c r="L22" i="3"/>
  <c r="P58" i="3"/>
  <c r="M22" i="3"/>
  <c r="M54" i="3"/>
  <c r="J52" i="3"/>
  <c r="AS51" i="3" s="1"/>
  <c r="BL59" i="3" s="1"/>
  <c r="L42" i="3"/>
  <c r="M70" i="3"/>
  <c r="L64" i="3"/>
  <c r="L39" i="3"/>
  <c r="N75" i="3"/>
  <c r="J48" i="3"/>
  <c r="J66" i="3"/>
  <c r="J40" i="3"/>
  <c r="AS39" i="3" s="1"/>
  <c r="BL43" i="3" s="1"/>
  <c r="M27" i="3"/>
  <c r="N16" i="3"/>
  <c r="L77" i="3"/>
  <c r="L75" i="3"/>
  <c r="O66" i="3"/>
  <c r="M42" i="3"/>
  <c r="J41" i="3"/>
  <c r="AE85" i="3" s="1"/>
  <c r="AQ85" i="3" s="1"/>
  <c r="O24" i="3"/>
  <c r="M18" i="3"/>
  <c r="P59" i="3"/>
  <c r="N66" i="3"/>
  <c r="L54" i="3"/>
  <c r="J42" i="3"/>
  <c r="J16" i="3"/>
  <c r="AS15" i="3" s="1"/>
  <c r="BL19" i="3" s="1"/>
  <c r="M66" i="3"/>
  <c r="O51" i="3"/>
  <c r="O21" i="3"/>
  <c r="AT88" i="3"/>
  <c r="K57" i="3"/>
  <c r="N71" i="3"/>
  <c r="L78" i="3"/>
  <c r="J27" i="3"/>
  <c r="AS26" i="3" s="1"/>
  <c r="BL34" i="3" s="1"/>
  <c r="N78" i="3"/>
  <c r="J29" i="3"/>
  <c r="AE83" i="3" s="1"/>
  <c r="AQ83" i="3" s="1"/>
  <c r="O72" i="3"/>
  <c r="L28" i="3"/>
  <c r="L21" i="3"/>
  <c r="K59" i="3"/>
  <c r="O29" i="3"/>
  <c r="M21" i="3"/>
  <c r="J22" i="3"/>
  <c r="AS21" i="3" s="1"/>
  <c r="BL23" i="3" s="1"/>
  <c r="L17" i="3"/>
  <c r="P57" i="3"/>
  <c r="O48" i="3"/>
  <c r="M78" i="3"/>
  <c r="O30" i="3"/>
  <c r="AI88" i="3"/>
  <c r="AG88" i="3"/>
  <c r="J72" i="3"/>
  <c r="M48" i="3"/>
  <c r="M77" i="3"/>
  <c r="N47" i="3"/>
  <c r="O23" i="3"/>
  <c r="N54" i="3"/>
  <c r="O71" i="3"/>
  <c r="O64" i="3"/>
  <c r="O47" i="3"/>
  <c r="J47" i="3"/>
  <c r="AE86" i="3" s="1"/>
  <c r="AQ86" i="3" s="1"/>
  <c r="L29" i="3"/>
  <c r="O22" i="3"/>
  <c r="J24" i="3"/>
  <c r="O17" i="3"/>
  <c r="N53" i="3"/>
  <c r="N28" i="3"/>
  <c r="M29" i="3"/>
  <c r="O46" i="3"/>
  <c r="O27" i="3"/>
  <c r="N27" i="3"/>
  <c r="AJ88" i="3"/>
  <c r="L48" i="3"/>
  <c r="L46" i="3"/>
  <c r="M28" i="3"/>
  <c r="J28" i="3"/>
  <c r="AS27" i="3" s="1"/>
  <c r="BL62" i="3" s="1"/>
  <c r="BS61" i="3" s="1"/>
  <c r="M24" i="3"/>
  <c r="L70" i="3"/>
  <c r="N46" i="3"/>
  <c r="M30" i="3"/>
  <c r="L24" i="3"/>
  <c r="AF88" i="3"/>
  <c r="N77" i="3"/>
  <c r="O69" i="3"/>
  <c r="M47" i="3"/>
  <c r="L47" i="3"/>
  <c r="O28" i="3"/>
  <c r="J30" i="3"/>
  <c r="J78" i="3"/>
  <c r="N72" i="3"/>
  <c r="N69" i="3"/>
  <c r="J77" i="3"/>
  <c r="AE91" i="3" s="1"/>
  <c r="AQ91" i="3" s="1"/>
  <c r="M72" i="3"/>
  <c r="M69" i="3"/>
  <c r="L27" i="3"/>
  <c r="N22" i="3"/>
  <c r="J21" i="3"/>
  <c r="AS20" i="3" s="1"/>
  <c r="BL42" i="3" s="1"/>
  <c r="O54" i="3"/>
  <c r="L23" i="3"/>
  <c r="O77" i="3"/>
  <c r="L72" i="3"/>
  <c r="L69" i="3"/>
  <c r="L65" i="3"/>
  <c r="N48" i="3"/>
  <c r="J46" i="3"/>
  <c r="AS45" i="3" s="1"/>
  <c r="BL63" i="3" s="1"/>
  <c r="J64" i="3"/>
  <c r="AS63" i="3" s="1"/>
  <c r="BL31" i="3" s="1"/>
  <c r="J51" i="3"/>
  <c r="AS50" i="3" s="1"/>
  <c r="BL30" i="3" s="1"/>
  <c r="M46" i="3"/>
  <c r="L30" i="3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AF80" i="3" l="1"/>
  <c r="P11" i="3"/>
  <c r="BS44" i="3"/>
  <c r="BZ48" i="3" s="1"/>
  <c r="AG80" i="3"/>
  <c r="AN80" i="3"/>
  <c r="AL80" i="3"/>
  <c r="AT80" i="3"/>
  <c r="AJ80" i="3"/>
  <c r="AI80" i="3"/>
  <c r="AH80" i="3"/>
  <c r="S91" i="3"/>
  <c r="T91" i="3" s="1" a="1"/>
  <c r="T91" i="3" s="1"/>
  <c r="BS37" i="3"/>
  <c r="S90" i="3"/>
  <c r="T90" i="3" s="1" a="1"/>
  <c r="T90" i="3" s="1"/>
  <c r="BS36" i="3"/>
  <c r="S88" i="3"/>
  <c r="T88" i="3" s="1" a="1"/>
  <c r="T88" i="3" s="1"/>
  <c r="BS20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P18" i="3"/>
  <c r="K10" i="3"/>
  <c r="P10" i="3"/>
  <c r="K11" i="3"/>
  <c r="P76" i="3"/>
  <c r="P9" i="3"/>
  <c r="K9" i="3"/>
  <c r="P12" i="3"/>
  <c r="K12" i="3"/>
  <c r="K63" i="3"/>
  <c r="K33" i="3"/>
  <c r="P34" i="3"/>
  <c r="K45" i="3"/>
  <c r="P63" i="3"/>
  <c r="K16" i="3"/>
  <c r="P16" i="3"/>
  <c r="P45" i="3"/>
  <c r="AN84" i="3"/>
  <c r="K34" i="3"/>
  <c r="K36" i="3"/>
  <c r="P69" i="3"/>
  <c r="AT84" i="3"/>
  <c r="P35" i="3"/>
  <c r="P15" i="3"/>
  <c r="P36" i="3"/>
  <c r="P52" i="3"/>
  <c r="P47" i="3"/>
  <c r="P46" i="3"/>
  <c r="K51" i="3"/>
  <c r="P70" i="3"/>
  <c r="P42" i="3"/>
  <c r="AH81" i="3"/>
  <c r="K35" i="3"/>
  <c r="K75" i="3"/>
  <c r="AT90" i="3"/>
  <c r="P22" i="3"/>
  <c r="P71" i="3"/>
  <c r="K70" i="3"/>
  <c r="AH84" i="3"/>
  <c r="AL84" i="3"/>
  <c r="AJ84" i="3"/>
  <c r="AI84" i="3"/>
  <c r="AG84" i="3"/>
  <c r="AF84" i="3"/>
  <c r="P51" i="3"/>
  <c r="K42" i="3"/>
  <c r="P39" i="3"/>
  <c r="K76" i="3"/>
  <c r="AT85" i="3"/>
  <c r="P29" i="3"/>
  <c r="AN85" i="3"/>
  <c r="P75" i="3"/>
  <c r="P66" i="3"/>
  <c r="AH87" i="3"/>
  <c r="P23" i="3"/>
  <c r="AH89" i="3"/>
  <c r="K39" i="3"/>
  <c r="AG89" i="3"/>
  <c r="P65" i="3"/>
  <c r="P64" i="3"/>
  <c r="P28" i="3"/>
  <c r="P40" i="3"/>
  <c r="AL85" i="3"/>
  <c r="AF89" i="3"/>
  <c r="AG87" i="3"/>
  <c r="K64" i="3"/>
  <c r="AN90" i="3"/>
  <c r="K40" i="3"/>
  <c r="K47" i="3"/>
  <c r="AL90" i="3"/>
  <c r="AI90" i="3"/>
  <c r="AH90" i="3"/>
  <c r="AF87" i="3"/>
  <c r="K66" i="3"/>
  <c r="K27" i="3"/>
  <c r="K24" i="3"/>
  <c r="P17" i="3"/>
  <c r="AJ81" i="3"/>
  <c r="AG90" i="3"/>
  <c r="K23" i="3"/>
  <c r="K65" i="3"/>
  <c r="K28" i="3"/>
  <c r="P54" i="3"/>
  <c r="K22" i="3"/>
  <c r="AJ90" i="3"/>
  <c r="P78" i="3"/>
  <c r="K71" i="3"/>
  <c r="AI81" i="3"/>
  <c r="AJ87" i="3"/>
  <c r="AF90" i="3"/>
  <c r="AF81" i="3"/>
  <c r="AL83" i="3"/>
  <c r="AJ83" i="3"/>
  <c r="K15" i="3"/>
  <c r="AT86" i="3"/>
  <c r="K18" i="3"/>
  <c r="AH83" i="3"/>
  <c r="AN89" i="3"/>
  <c r="K78" i="3"/>
  <c r="K69" i="3"/>
  <c r="K77" i="3"/>
  <c r="AT81" i="3"/>
  <c r="AL89" i="3"/>
  <c r="AL91" i="3"/>
  <c r="AJ91" i="3"/>
  <c r="K46" i="3"/>
  <c r="AT83" i="3"/>
  <c r="AG81" i="3"/>
  <c r="AN83" i="3"/>
  <c r="K54" i="3"/>
  <c r="AI83" i="3"/>
  <c r="K30" i="3"/>
  <c r="AJ85" i="3"/>
  <c r="AN86" i="3"/>
  <c r="AT89" i="3"/>
  <c r="K29" i="3"/>
  <c r="AI85" i="3"/>
  <c r="AL86" i="3"/>
  <c r="P41" i="3"/>
  <c r="K53" i="3"/>
  <c r="AT82" i="3"/>
  <c r="P27" i="3"/>
  <c r="AH85" i="3"/>
  <c r="AJ86" i="3"/>
  <c r="P72" i="3"/>
  <c r="K48" i="3"/>
  <c r="AN81" i="3"/>
  <c r="AN82" i="3"/>
  <c r="AG85" i="3"/>
  <c r="AI86" i="3"/>
  <c r="AJ89" i="3"/>
  <c r="P21" i="3"/>
  <c r="AL81" i="3"/>
  <c r="AF85" i="3"/>
  <c r="AH86" i="3"/>
  <c r="AI89" i="3"/>
  <c r="AI91" i="3"/>
  <c r="AJ82" i="3"/>
  <c r="AH91" i="3"/>
  <c r="P48" i="3"/>
  <c r="K72" i="3"/>
  <c r="K17" i="3"/>
  <c r="AF82" i="3"/>
  <c r="K41" i="3"/>
  <c r="AG86" i="3"/>
  <c r="AT87" i="3"/>
  <c r="P77" i="3"/>
  <c r="AF91" i="3"/>
  <c r="AG82" i="3"/>
  <c r="K21" i="3"/>
  <c r="P53" i="3"/>
  <c r="P24" i="3"/>
  <c r="AF83" i="3"/>
  <c r="AF86" i="3"/>
  <c r="AN87" i="3"/>
  <c r="AT91" i="3"/>
  <c r="AI82" i="3"/>
  <c r="AG91" i="3"/>
  <c r="AH82" i="3"/>
  <c r="P30" i="3"/>
  <c r="AG83" i="3"/>
  <c r="AL87" i="3"/>
  <c r="AN91" i="3"/>
  <c r="AL82" i="3"/>
  <c r="AI87" i="3"/>
  <c r="K52" i="3"/>
  <c r="BZ17" i="3" l="1"/>
  <c r="U102" i="3" s="1"/>
  <c r="AC102" i="3" s="1" a="1"/>
  <c r="AC102" i="3" s="1"/>
  <c r="S96" i="3"/>
  <c r="T96" i="3" s="1" a="1"/>
  <c r="T96" i="3" s="1"/>
  <c r="S98" i="3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AH92" i="3"/>
  <c r="AF92" i="3"/>
  <c r="AN92" i="3"/>
  <c r="AS92" i="3"/>
  <c r="AJ92" i="3"/>
  <c r="AG92" i="3"/>
  <c r="AL92" i="3"/>
  <c r="AM88" i="3" s="1"/>
  <c r="AI92" i="3"/>
  <c r="S103" i="3" l="1"/>
  <c r="T103" i="3" s="1" a="1"/>
  <c r="T103" i="3" s="1"/>
  <c r="CG24" i="3"/>
  <c r="S111" i="3" s="1"/>
  <c r="T111" i="3" s="1"/>
  <c r="AM90" i="3"/>
  <c r="AM82" i="3"/>
  <c r="AM91" i="3"/>
  <c r="AM83" i="3"/>
  <c r="AM89" i="3"/>
  <c r="AM80" i="3"/>
  <c r="AM84" i="3"/>
  <c r="AM86" i="3"/>
  <c r="AM87" i="3"/>
  <c r="AM81" i="3"/>
  <c r="AM85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3" i="3"/>
  <c r="AP82" i="3"/>
  <c r="AP89" i="3"/>
  <c r="AP84" i="3"/>
  <c r="AP81" i="3"/>
  <c r="AP85" i="3"/>
  <c r="AP91" i="3"/>
  <c r="AP88" i="3"/>
  <c r="AP90" i="3"/>
  <c r="AP86" i="3"/>
  <c r="AP80" i="3"/>
  <c r="CN37" i="3" l="1"/>
  <c r="CK68" i="3" s="1"/>
  <c r="CN48" i="3"/>
  <c r="AD85" i="3"/>
  <c r="AS85" i="3" s="1"/>
  <c r="AD86" i="3"/>
  <c r="AS86" i="3" s="1"/>
  <c r="AD80" i="3"/>
  <c r="AD81" i="3"/>
  <c r="AS81" i="3" s="1"/>
  <c r="AD90" i="3"/>
  <c r="AS90" i="3" s="1"/>
  <c r="AD84" i="3"/>
  <c r="AS84" i="3" s="1"/>
  <c r="AD91" i="3"/>
  <c r="AS91" i="3" s="1"/>
  <c r="AD87" i="3"/>
  <c r="AS87" i="3" s="1"/>
  <c r="AD82" i="3"/>
  <c r="AS82" i="3" s="1"/>
  <c r="AD88" i="3"/>
  <c r="AS88" i="3" s="1"/>
  <c r="AD89" i="3"/>
  <c r="AS89" i="3" s="1"/>
  <c r="AD83" i="3"/>
  <c r="AS83" i="3" s="1"/>
  <c r="J92" i="3" l="1"/>
  <c r="N92" i="3"/>
  <c r="L92" i="3"/>
  <c r="J90" i="3"/>
  <c r="M90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92" i="3"/>
  <c r="AS80" i="3"/>
  <c r="O90" i="3"/>
  <c r="L90" i="3"/>
  <c r="N90" i="3"/>
  <c r="M88" i="3"/>
  <c r="M92" i="3"/>
  <c r="L82" i="3"/>
  <c r="M91" i="3"/>
  <c r="M86" i="3"/>
  <c r="N88" i="3"/>
  <c r="L87" i="3"/>
  <c r="O88" i="3"/>
  <c r="N86" i="3"/>
  <c r="O87" i="3"/>
  <c r="O86" i="3"/>
  <c r="O81" i="3"/>
  <c r="J89" i="3"/>
  <c r="N82" i="3"/>
  <c r="L91" i="3"/>
  <c r="J81" i="3"/>
  <c r="J84" i="3"/>
  <c r="J85" i="3"/>
  <c r="L84" i="3"/>
  <c r="L88" i="3"/>
  <c r="M82" i="3"/>
  <c r="M89" i="3"/>
  <c r="O85" i="3"/>
  <c r="N85" i="3"/>
  <c r="N89" i="3"/>
  <c r="J87" i="3"/>
  <c r="L89" i="3"/>
  <c r="O89" i="3"/>
  <c r="M85" i="3"/>
  <c r="L85" i="3"/>
  <c r="M83" i="3"/>
  <c r="M87" i="3"/>
  <c r="N84" i="3"/>
  <c r="J82" i="3"/>
  <c r="O91" i="3"/>
  <c r="O84" i="3"/>
  <c r="N91" i="3"/>
  <c r="O82" i="3"/>
  <c r="J88" i="3"/>
  <c r="J91" i="3"/>
  <c r="N83" i="3"/>
  <c r="N81" i="3"/>
  <c r="L83" i="3"/>
  <c r="M84" i="3"/>
  <c r="L81" i="3"/>
  <c r="M81" i="3"/>
  <c r="N87" i="3"/>
  <c r="J83" i="3"/>
  <c r="L86" i="3"/>
  <c r="J86" i="3"/>
  <c r="O83" i="3"/>
  <c r="P83" i="3" l="1"/>
  <c r="K92" i="3"/>
  <c r="K90" i="3"/>
  <c r="P92" i="3"/>
  <c r="P90" i="3"/>
  <c r="P91" i="3"/>
  <c r="P88" i="3"/>
  <c r="P85" i="3"/>
  <c r="P89" i="3"/>
  <c r="K84" i="3"/>
  <c r="K86" i="3"/>
  <c r="K91" i="3"/>
  <c r="P81" i="3"/>
  <c r="K82" i="3"/>
  <c r="K87" i="3"/>
  <c r="P86" i="3"/>
  <c r="P84" i="3"/>
  <c r="K88" i="3"/>
  <c r="P82" i="3"/>
  <c r="K89" i="3"/>
  <c r="K85" i="3"/>
  <c r="K81" i="3"/>
  <c r="G3" i="4"/>
  <c r="BL11" i="3" s="1"/>
  <c r="P87" i="3"/>
  <c r="I3" i="4"/>
  <c r="BL15" i="3" s="1"/>
  <c r="E3" i="4"/>
  <c r="BL67" i="3" s="1"/>
  <c r="D3" i="4"/>
  <c r="BL51" i="3" s="1"/>
  <c r="H3" i="4"/>
  <c r="BL39" i="3" s="1"/>
  <c r="K83" i="3"/>
  <c r="B3" i="4"/>
  <c r="K3" i="4"/>
  <c r="BL55" i="3" s="1"/>
  <c r="J3" i="4"/>
  <c r="BL71" i="3" s="1"/>
  <c r="BS53" i="3"/>
  <c r="BS52" i="3"/>
  <c r="BS69" i="3"/>
  <c r="BZ65" i="3" s="1"/>
  <c r="CG56" i="3" s="1"/>
  <c r="CN38" i="3" s="1"/>
  <c r="BS68" i="3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<sst xmlns="http://schemas.openxmlformats.org/spreadsheetml/2006/main" count="9785" uniqueCount="3699">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</sst>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C9B766-3626-4F99-AEF6-1F843194C77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8240ccf-76d9-4eb4-b277-fb97b61f772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36" zoomScale="80" zoomScaleNormal="80" workbookViewId="0">
      <selection activeCell="BZ68" sqref="BZ68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1</v>
      </c>
      <c r="Z8" s="123">
        <f t="shared" ref="Z8:Z71" si="11">X8*G8</f>
        <v>1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2</v>
      </c>
      <c r="AL8" s="123">
        <f>AI8-AJ8</f>
        <v>4</v>
      </c>
      <c r="AM8" s="123">
        <f>AL8-AL12</f>
        <v>10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90000009.948892459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6 - 2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6</v>
      </c>
      <c r="AL9" s="123">
        <f>AI9-AJ9</f>
        <v>-6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7.9429434781507334E-12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4 - 3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3</v>
      </c>
      <c r="AL10" s="123">
        <f>AI10-AJ10</f>
        <v>1</v>
      </c>
      <c r="AM10" s="123">
        <f>AL10-AL12</f>
        <v>7</v>
      </c>
      <c r="AN10" s="123">
        <f>AF10*3+AG10</f>
        <v>4</v>
      </c>
      <c r="AO10" s="123">
        <f>AN10/AN12*10+BA10</f>
        <v>4.9805825242718447</v>
      </c>
      <c r="AP10" s="123">
        <f>AO10*10000000+BI10*100+AM10/AM12*10+AI10/AI12*1++IF(AQ10=0,ROW(),AQ10)/2000000</f>
        <v>49805930.236830138</v>
      </c>
      <c r="AQ10" s="126">
        <f>VLOOKUP(AE10,db_fifarank,2,FALSE)</f>
        <v>1588.66</v>
      </c>
      <c r="AR10" s="125">
        <f>AP10/AP12</f>
        <v>0.55339915753024749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3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3</v>
      </c>
      <c r="AL11" s="123">
        <f>AI11-AJ11</f>
        <v>1</v>
      </c>
      <c r="AM11" s="123">
        <f>AL11-AL12</f>
        <v>7</v>
      </c>
      <c r="AN11" s="123">
        <f>AF11*3+AG11</f>
        <v>4</v>
      </c>
      <c r="AO11" s="123">
        <f>AN11/AN12*10+BA11</f>
        <v>4.9805825242718447</v>
      </c>
      <c r="AP11" s="123">
        <f>AO11*10000000+BI11*100+AM11/AM12*10+AI11/AI12*1++IF(AQ11=0,ROW(),AQ11)/2000000</f>
        <v>49805930.2367865</v>
      </c>
      <c r="AQ11" s="126">
        <f>VLOOKUP(AE11,db_fifarank,2,FALSE)</f>
        <v>1501.38</v>
      </c>
      <c r="AR11" s="125">
        <f>AP11/AP12</f>
        <v>0.55339915752976265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32"/>
      <c r="BL11" s="26" t="str">
        <f>IF(group_round_completed,VLOOKUP('3rd places'!G3,AK80:AS91,9,FALSE),"3rd Group A/B/C/D/F")</f>
        <v>Scotland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4</v>
      </c>
      <c r="AI12" s="123">
        <f>MAX(AI8:AI11)+1</f>
        <v>7</v>
      </c>
      <c r="AL12" s="123">
        <f>MIN(AL8:AL11)</f>
        <v>-6</v>
      </c>
      <c r="AM12" s="123">
        <f>MAX(AM8:AM11)+1</f>
        <v>11</v>
      </c>
      <c r="AN12" s="123">
        <f>MAX(AN8:AN11)+1</f>
        <v>10</v>
      </c>
      <c r="AO12" s="123">
        <f>MAX(AO8:AO11)+1</f>
        <v>10</v>
      </c>
      <c r="AP12" s="123">
        <f>MAX(AP8:AP11)+1</f>
        <v>90000010.948892459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2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2000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4</v>
      </c>
      <c r="BU13" s="64"/>
      <c r="BV13" s="27"/>
      <c r="BW13" s="113">
        <f>IF(BW12="","",BT13*1000+BU13*10+BV13)</f>
        <v>4000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2</v>
      </c>
      <c r="AL14" s="123">
        <f>AI14-AJ14</f>
        <v>3</v>
      </c>
      <c r="AM14" s="123">
        <f>AL14-AL18</f>
        <v>8</v>
      </c>
      <c r="AN14" s="123">
        <f>AF14*3+AG14</f>
        <v>7</v>
      </c>
      <c r="AO14" s="123">
        <f>AN14/AN18*10+BA14</f>
        <v>9.7305825242718456</v>
      </c>
      <c r="AP14" s="123">
        <f>AO14*10000000+BI14*100+AM14/AM18*10+AI14/AI18*1++IF(AQ14=0,ROW(),AQ14)/2000000</f>
        <v>97305933.023971349</v>
      </c>
      <c r="AQ14" s="126">
        <f>VLOOKUP(AE14,db_fifarank,2,FALSE)</f>
        <v>1556.48</v>
      </c>
      <c r="AR14" s="125">
        <f>AP14/AP18</f>
        <v>0.99999998972265702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4</v>
      </c>
      <c r="AL15" s="123">
        <f>AI15-AJ15</f>
        <v>-1</v>
      </c>
      <c r="AM15" s="123">
        <f>AL15-AL18</f>
        <v>4</v>
      </c>
      <c r="AN15" s="123">
        <f>AF15*3+AG15</f>
        <v>3</v>
      </c>
      <c r="AO15" s="123">
        <f>AN15/AN18*10+BA15</f>
        <v>3.75</v>
      </c>
      <c r="AP15" s="123">
        <f>AO15*10000000+BI15*100+AM15/AM18*10+AI15/AI18*1++IF(AQ15=0,ROW(),AQ15)/2000000</f>
        <v>37500004.945137367</v>
      </c>
      <c r="AQ15" s="126">
        <f>VLOOKUP(AE15,db_fifarank,2,FALSE)</f>
        <v>1385.84</v>
      </c>
      <c r="AR15" s="125">
        <f>AP15/AP18</f>
        <v>0.38538250848998912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5 - 2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7.4762141414771026E-12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3 - 4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8</v>
      </c>
      <c r="AN17" s="123">
        <f>AF17*3+AG17</f>
        <v>7</v>
      </c>
      <c r="AO17" s="123">
        <f>AN17/AN18*10+BA17</f>
        <v>9.7305825242718456</v>
      </c>
      <c r="AP17" s="123">
        <f>AO17*10000000+BI17*100+AM17/AM18*10+AI17/AI18*1++IF(AQ17=0,ROW(),AQ17)/2000000</f>
        <v>97305933.024017811</v>
      </c>
      <c r="AQ17" s="126">
        <f>VLOOKUP(AE17,db_fifarank,2,FALSE)</f>
        <v>1649.4</v>
      </c>
      <c r="AR17" s="125">
        <f>AP17/AP18</f>
        <v>0.99999998972313442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2</v>
      </c>
      <c r="CB17" s="64"/>
      <c r="CC17" s="27"/>
      <c r="CD17" s="113">
        <f>IF(CD16="","",CA17*1000+CB17*10+CC17)</f>
        <v>2000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6</v>
      </c>
      <c r="AL18" s="123">
        <f>MIN(AL14:AL17)</f>
        <v>-5</v>
      </c>
      <c r="AM18" s="123">
        <f>MAX(AM14:AM17)+1</f>
        <v>9</v>
      </c>
      <c r="AN18" s="123">
        <f>MAX(AN14:AN17)+1</f>
        <v>8</v>
      </c>
      <c r="AO18" s="123">
        <f>MAX(AO14:AO17)+1</f>
        <v>10.730582524271846</v>
      </c>
      <c r="AP18" s="123">
        <f>MAX(AP14:AP17)+1</f>
        <v>97305934.024017811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Korea Republic</v>
      </c>
      <c r="BM18" s="61">
        <v>3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3000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2</v>
      </c>
      <c r="BN19" s="64"/>
      <c r="BO19" s="27"/>
      <c r="BP19" s="113">
        <f>IF(BP18="","",BM19*1000+BN19*10+BO19)</f>
        <v>2000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1</v>
      </c>
      <c r="AL20" s="123">
        <f>AI20-AJ20</f>
        <v>6</v>
      </c>
      <c r="AM20" s="123">
        <f>AL20-AL24</f>
        <v>13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90000010.161594868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3</v>
      </c>
      <c r="AL21" s="123">
        <f>AI21-AJ21</f>
        <v>2</v>
      </c>
      <c r="AM21" s="123">
        <f>AL21-AL24</f>
        <v>9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60000007.054449357</v>
      </c>
      <c r="AQ21" s="126">
        <f>VLOOKUP(AE21,db_fifarank,2,FALSE)</f>
        <v>1755.87</v>
      </c>
      <c r="AR21" s="125">
        <f>AP21/AP24</f>
        <v>0.66666666237095729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7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7.1761657766949428E-12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>
        <v>2</v>
      </c>
      <c r="BO22" s="25">
        <v>5</v>
      </c>
      <c r="BP22" s="116">
        <f>IF(OR(BM22="",BM23="",AND(BN22="",BN23&lt;&gt;""),AND(BN23="",BN22&lt;&gt;""),AND(BO22="",BO23&lt;&gt;""),AND(BO23="",BO22&lt;&gt;"")),"",BM22*1000+BN22*10+BO22)</f>
        <v>2025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4</v>
      </c>
      <c r="AL23" s="123">
        <f>AI23-AJ23</f>
        <v>-1</v>
      </c>
      <c r="AM23" s="123">
        <f>AL23-AL24</f>
        <v>6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30000004.661463462</v>
      </c>
      <c r="AQ23" s="126">
        <f>VLOOKUP(AE23,db_fifarank,2,FALSE)</f>
        <v>1498.35</v>
      </c>
      <c r="AR23" s="125">
        <f>AP23/AP24</f>
        <v>0.33333334378813023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2</v>
      </c>
      <c r="BN23" s="64">
        <v>2</v>
      </c>
      <c r="BO23" s="27">
        <v>6</v>
      </c>
      <c r="BP23" s="112">
        <f>IF(BP22="","",BM23*1000+BN23*10+BO23)</f>
        <v>2026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0 - 7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8</v>
      </c>
      <c r="AL24" s="123">
        <f>MIN(AL20:AL23)</f>
        <v>-7</v>
      </c>
      <c r="AM24" s="123">
        <f>MAX(AM20:AM23)+1</f>
        <v>14</v>
      </c>
      <c r="AN24" s="123">
        <f>MAX(AN20:AN23)+1</f>
        <v>10</v>
      </c>
      <c r="AO24" s="123">
        <f>MAX(AO20:AO23)+1</f>
        <v>10</v>
      </c>
      <c r="AP24" s="123">
        <f>MAX(AP20:AP23)+1</f>
        <v>90000011.161594868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2</v>
      </c>
      <c r="AL26" s="123">
        <f>AI26-AJ26</f>
        <v>4</v>
      </c>
      <c r="AM26" s="123">
        <f>AL26-AL30</f>
        <v>7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90000009.607979417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5</v>
      </c>
      <c r="AL27" s="123">
        <f>AI27-AJ27</f>
        <v>-3</v>
      </c>
      <c r="AM27" s="123">
        <f>AL27-AL30</f>
        <v>0</v>
      </c>
      <c r="AN27" s="123">
        <f>AF27*3+AG27</f>
        <v>1</v>
      </c>
      <c r="AO27" s="123">
        <f>AN27/AN30*10+BA27</f>
        <v>1.9805825242718447</v>
      </c>
      <c r="AP27" s="123">
        <f>AO27*10000000+BI27*100+AM27/AM30*10+AI27/AI30*1++IF(AQ27=0,ROW(),AQ27)/2000000</f>
        <v>19805923.587436911</v>
      </c>
      <c r="AQ27" s="126">
        <f>VLOOKUP(AE27,db_fifarank,2,FALSE)</f>
        <v>1503.5</v>
      </c>
      <c r="AR27" s="125">
        <f>AP27/AP30</f>
        <v>0.22006579169981691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5 - 4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5</v>
      </c>
      <c r="AL28" s="123">
        <f>AI28-AJ28</f>
        <v>-2</v>
      </c>
      <c r="AM28" s="123">
        <f>AL28-AL30</f>
        <v>1</v>
      </c>
      <c r="AN28" s="123">
        <f>AF28*3+AG28</f>
        <v>1</v>
      </c>
      <c r="AO28" s="123">
        <f>AN28/AN30*10+BA28</f>
        <v>1.9805825242718447</v>
      </c>
      <c r="AP28" s="123">
        <f>AO28*10000000+BI28*100+AM28/AM30*10+AI28/AI30*1++IF(AQ28=0,ROW(),AQ28)/2000000</f>
        <v>19805924.980332639</v>
      </c>
      <c r="AQ28" s="126">
        <f>VLOOKUP(AE28,db_fifarank,2,FALSE)</f>
        <v>1580.67</v>
      </c>
      <c r="AR28" s="125">
        <f>AP28/AP30</f>
        <v>0.22006580717643429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3 - 5</v>
      </c>
      <c r="P29" s="34">
        <f>L29*3+M29</f>
        <v>1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4</v>
      </c>
      <c r="AL29" s="123">
        <f>AI29-AJ29</f>
        <v>1</v>
      </c>
      <c r="AM29" s="123">
        <f>AL29-AL30</f>
        <v>4</v>
      </c>
      <c r="AN29" s="123">
        <f>AF29*3+AG29</f>
        <v>6</v>
      </c>
      <c r="AO29" s="123">
        <f>AN29/AN30*10+BA29</f>
        <v>6</v>
      </c>
      <c r="AP29" s="123">
        <f>AO29*10000000+BI29*100+AM29/AM30*10+AI29/AI30*1++IF(AQ29=0,ROW(),AQ29)/2000000</f>
        <v>60000005.715085238</v>
      </c>
      <c r="AQ29" s="126">
        <f>VLOOKUP(AE29,db_fifarank,2,FALSE)</f>
        <v>1599.04</v>
      </c>
      <c r="AR29" s="125">
        <f>AP29/AP30</f>
        <v>0.66666665158999028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2 - 5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7</v>
      </c>
      <c r="AL30" s="123">
        <f>MIN(AL26:AL29)</f>
        <v>-3</v>
      </c>
      <c r="AM30" s="123">
        <f>MAX(AM26:AM29)+1</f>
        <v>8</v>
      </c>
      <c r="AN30" s="123">
        <f>MAX(AN26:AN29)+1</f>
        <v>10</v>
      </c>
      <c r="AO30" s="123">
        <f>MAX(AO26:AO29)+1</f>
        <v>10</v>
      </c>
      <c r="AP30" s="123">
        <f>MAX(AP26:AP29)+1</f>
        <v>90000010.607979417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1</v>
      </c>
      <c r="AL32" s="123">
        <f>AI32-AJ32</f>
        <v>6</v>
      </c>
      <c r="AM32" s="123">
        <f>AL32-AL36</f>
        <v>13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90000010.161579475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7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7.1924991080038842E-12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3</v>
      </c>
      <c r="AL34" s="123">
        <f>AI34-AJ34</f>
        <v>1</v>
      </c>
      <c r="AM34" s="123">
        <f>AL34-AL36</f>
        <v>8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49805929.516023077</v>
      </c>
      <c r="AQ34" s="126">
        <f>VLOOKUP(AE34,db_fifarank,2,FALSE)</f>
        <v>1532.98</v>
      </c>
      <c r="AR34" s="125">
        <f>AP34/AP36</f>
        <v>0.55339914821349445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3 - 3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3</v>
      </c>
      <c r="AL35" s="123">
        <f>AI35-AJ35</f>
        <v>0</v>
      </c>
      <c r="AM35" s="123">
        <f>AL35-AL36</f>
        <v>7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49805928.676768258</v>
      </c>
      <c r="AQ35" s="126">
        <f>VLOOKUP(AE35,db_fifarank,2,FALSE)</f>
        <v>1594.78</v>
      </c>
      <c r="AR35" s="125">
        <f>AP35/AP36</f>
        <v>0.55339913888844205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0 - 7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8</v>
      </c>
      <c r="AL36" s="123">
        <f>MIN(AL32:AL35)</f>
        <v>-7</v>
      </c>
      <c r="AM36" s="123">
        <f>MAX(AM32:AM35)+1</f>
        <v>14</v>
      </c>
      <c r="AN36" s="123">
        <f>MAX(AN32:AN35)+1</f>
        <v>10</v>
      </c>
      <c r="AO36" s="123">
        <f>MAX(AO32:AO35)+1</f>
        <v>10</v>
      </c>
      <c r="AP36" s="123">
        <f>MAX(AP32:AP35)+1</f>
        <v>90000011.161579475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10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90000009.948930874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3</v>
      </c>
      <c r="AL39" s="123">
        <f>AI39-AJ39</f>
        <v>2</v>
      </c>
      <c r="AM39" s="123">
        <f>AL39-AL42</f>
        <v>8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60000007.987843208</v>
      </c>
      <c r="AQ39" s="126">
        <f>VLOOKUP(AE39,db_fifarank,2,FALSE)</f>
        <v>1660.43</v>
      </c>
      <c r="AR39" s="125">
        <f>AP39/AP42</f>
        <v>0.66666667431728754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4</v>
      </c>
      <c r="AL40" s="123">
        <f>AI40-AJ40</f>
        <v>0</v>
      </c>
      <c r="AM40" s="123">
        <f>AL40-AL42</f>
        <v>6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30000006.026731409</v>
      </c>
      <c r="AQ40" s="126">
        <f>VLOOKUP(AE40,db_fifarank,2,FALSE)</f>
        <v>1514.77</v>
      </c>
      <c r="AR40" s="125">
        <f>AP40/AP42</f>
        <v>0.33333335974541661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4 - 4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6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8.2391656643327187E-12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7</v>
      </c>
      <c r="AL42" s="123">
        <f>MIN(AL38:AL41)</f>
        <v>-6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90000010.948930874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2</v>
      </c>
      <c r="BN42" s="63">
        <v>2</v>
      </c>
      <c r="BO42" s="25">
        <v>6</v>
      </c>
      <c r="BP42" s="112">
        <f>IF(OR(BM42="",BM43="",AND(BN42="",BN43&lt;&gt;""),AND(BN43="",BN42&lt;&gt;""),AND(BO42="",BO43&lt;&gt;""),AND(BO43="",BO42&lt;&gt;"")),"",BM42*1000+BN42*10+BO42)</f>
        <v>2026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2</v>
      </c>
      <c r="BN43" s="64">
        <v>2</v>
      </c>
      <c r="BO43" s="27">
        <v>7</v>
      </c>
      <c r="BP43" s="113">
        <f>IF(BP42="","",BM43*1000+BN43*10+BO43)</f>
        <v>2027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90000010.024676874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Japan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7</v>
      </c>
      <c r="AN45" s="123">
        <f>AF45*3+AG45</f>
        <v>4</v>
      </c>
      <c r="AO45" s="123">
        <f>AN45/AN48*10+BA45</f>
        <v>4.9805825242718447</v>
      </c>
      <c r="AP45" s="123">
        <f>AO45*10000000+BI45*100+AM45/AM48*10+AI45/AI48*1++IF(AQ45=0,ROW(),AQ45)/2000000</f>
        <v>49805929.706514396</v>
      </c>
      <c r="AQ45" s="126">
        <f>VLOOKUP(AE45,db_fifarank,2,FALSE)</f>
        <v>1563.24</v>
      </c>
      <c r="AR45" s="125">
        <f>AP45/AP48</f>
        <v>0.55339915117186189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4 - 3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3</v>
      </c>
      <c r="AL46" s="123">
        <f>AI46-AJ46</f>
        <v>0</v>
      </c>
      <c r="AM46" s="123">
        <f>AL46-AL48</f>
        <v>6</v>
      </c>
      <c r="AN46" s="123">
        <f>AF46*3+AG46</f>
        <v>4</v>
      </c>
      <c r="AO46" s="123">
        <f>AN46/AN48*10+BA46</f>
        <v>4.9805825242718447</v>
      </c>
      <c r="AP46" s="123">
        <f>AO46*10000000+BI46*100+AM46/AM48*10+AI46/AI48*1++IF(AQ46=0,ROW(),AQ46)/2000000</f>
        <v>49805928.730349943</v>
      </c>
      <c r="AQ46" s="126">
        <f>VLOOKUP(AE46,db_fifarank,2,FALSE)</f>
        <v>1615.3</v>
      </c>
      <c r="AR46" s="125">
        <f>AP46/AP48</f>
        <v>0.55339914032559157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3 - 3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6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7.1198324611794184E-12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0 - 6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7</v>
      </c>
      <c r="AL48" s="123">
        <f>MIN(AL44:AL47)</f>
        <v>-6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90000011.024676874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Japan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4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4000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32"/>
      <c r="CN49" s="26" t="str">
        <f>IF(CK55&gt;CK56,CG56,IF(CK55&lt;CK56,CG55,""))</f>
        <v>England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1</v>
      </c>
      <c r="AL50" s="123">
        <f>AI50-AJ50</f>
        <v>7</v>
      </c>
      <c r="AM50" s="123">
        <f>AL50-AL54</f>
        <v>12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90000010.120596334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19805923.412765052</v>
      </c>
      <c r="AQ51" s="126">
        <f>VLOOKUP(AE51,db_fifarank,2,FALSE)</f>
        <v>1366.13</v>
      </c>
      <c r="AR51" s="125">
        <f>AP51/AP54</f>
        <v>0.22006578850558056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Ecuador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6</v>
      </c>
      <c r="AL52" s="123">
        <f>AI52-AJ52</f>
        <v>-5</v>
      </c>
      <c r="AM52" s="123">
        <f>AL52-AL54</f>
        <v>0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19805923.412792701</v>
      </c>
      <c r="AQ52" s="126">
        <f>VLOOKUP(AE52,db_fifarank,2,FALSE)</f>
        <v>1421.43</v>
      </c>
      <c r="AR52" s="125">
        <f>AP52/AP54</f>
        <v>0.22006578850588779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2</v>
      </c>
      <c r="BU52" s="63">
        <v>2</v>
      </c>
      <c r="BV52" s="25"/>
      <c r="BW52" s="116">
        <f>IF(OR(BT52="",BT53="",AND(BU52="",BU53&lt;&gt;""),AND(BU53="",BU52&lt;&gt;""),AND(BV52="",BV53&lt;&gt;""),AND(BV53="",BV52&lt;&gt;"")),"",BT52*1000+BU52*10+BV52)</f>
        <v>2020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1 - 6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60000006.710238241</v>
      </c>
      <c r="AQ53" s="126">
        <f>VLOOKUP(AE53,db_fifarank,2,FALSE)</f>
        <v>1673.07</v>
      </c>
      <c r="AR53" s="125">
        <f>AP53/AP54</f>
        <v>0.66666665885008269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>
        <v>3</v>
      </c>
      <c r="BV53" s="27"/>
      <c r="BW53" s="112">
        <f>IF(BW52="","",BT53*1000+BU53*10+BV53)</f>
        <v>2030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9</v>
      </c>
      <c r="AL54" s="123">
        <f>MIN(AL50:AL53)</f>
        <v>-5</v>
      </c>
      <c r="AM54" s="123">
        <f>MAX(AM50:AM53)+1</f>
        <v>13</v>
      </c>
      <c r="AN54" s="123">
        <f>MAX(AN50:AN53)+1</f>
        <v>10</v>
      </c>
      <c r="AO54" s="123">
        <f>MAX(AO50:AO53)+1</f>
        <v>10</v>
      </c>
      <c r="AP54" s="123">
        <f>MAX(AP50:AP53)+1</f>
        <v>90000011.120596334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Algeria</v>
      </c>
      <c r="BM55" s="62">
        <v>2</v>
      </c>
      <c r="BN55" s="64"/>
      <c r="BO55" s="27"/>
      <c r="BP55" s="112">
        <f>IF(BP54="","",BM55*1000+BN55*10+BO55)</f>
        <v>2000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>
        <v>1</v>
      </c>
      <c r="CJ55" s="25"/>
      <c r="CK55" s="116">
        <f>IF(OR(CH55="",CH56="",AND(CI55="",CI56&lt;&gt;""),AND(CI56="",CI55&lt;&gt;""),AND(CJ55="",CJ56&lt;&gt;""),AND(CJ56="",CJ55&lt;&gt;"")),"",CH55*1000+CI55*10+CJ55)</f>
        <v>1010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90000010.106707886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>
        <v>2</v>
      </c>
      <c r="CJ56" s="27"/>
      <c r="CK56" s="112">
        <f>IF(CK55="","",CH56*1000+CI56*10+CJ56)</f>
        <v>1020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3</v>
      </c>
      <c r="AL57" s="123">
        <f>AI57-AJ57</f>
        <v>1</v>
      </c>
      <c r="AM57" s="123">
        <f>AL57-AL60</f>
        <v>8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49805929.955661513</v>
      </c>
      <c r="AQ57" s="126">
        <f>VLOOKUP(AE57,db_fifarank,2,FALSE)</f>
        <v>1688.99</v>
      </c>
      <c r="AR57" s="125">
        <f>AP57/AP60</f>
        <v>0.55339915343576418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8.0396656745086876E-12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4 - 3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3</v>
      </c>
      <c r="AL59" s="123">
        <f>AI59-AJ59</f>
        <v>1</v>
      </c>
      <c r="AM59" s="123">
        <f>AL59-AL60</f>
        <v>8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49805929.955592491</v>
      </c>
      <c r="AQ59" s="126">
        <f>VLOOKUP(AE59,db_fifarank,2,FALSE)</f>
        <v>1550.94</v>
      </c>
      <c r="AR59" s="125">
        <f>AP59/AP60</f>
        <v>0.55339915343499724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8</v>
      </c>
      <c r="AL60" s="123">
        <f>MIN(AL56:AL59)</f>
        <v>-7</v>
      </c>
      <c r="AM60" s="123">
        <f>MAX(AM56:AM59)+1</f>
        <v>13</v>
      </c>
      <c r="AN60" s="123">
        <f>MAX(AN56:AN59)+1</f>
        <v>10</v>
      </c>
      <c r="AO60" s="123">
        <f>MAX(AO56:AO59)+1</f>
        <v>10</v>
      </c>
      <c r="AP60" s="123">
        <f>MAX(AP56:AP59)+1</f>
        <v>90000011.106707886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1</v>
      </c>
      <c r="AL62" s="123">
        <f>AI62-AJ62</f>
        <v>5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90000010.02474694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>
        <v>1</v>
      </c>
      <c r="BO62" s="25">
        <v>5</v>
      </c>
      <c r="BP62" s="116">
        <f>IF(OR(BM62="",BM63="",AND(BN62="",BN63&lt;&gt;""),AND(BN63="",BN62&lt;&gt;""),AND(BO62="",BO63&lt;&gt;""),AND(BO63="",BO62&lt;&gt;"")),"",BM62*1000+BN62*10+BO62)</f>
        <v>1015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3</v>
      </c>
      <c r="AL63" s="123">
        <f>AI63-AJ63</f>
        <v>0</v>
      </c>
      <c r="AM63" s="123">
        <f>AL63-AL66</f>
        <v>6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49805928.730324425</v>
      </c>
      <c r="AQ63" s="126">
        <f>VLOOKUP(AE63,db_fifarank,2,FALSE)</f>
        <v>1564.26</v>
      </c>
      <c r="AR63" s="125">
        <f>AP63/AP66</f>
        <v>0.55339914032487714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Egypt</v>
      </c>
      <c r="BM63" s="62">
        <v>1</v>
      </c>
      <c r="BN63" s="64">
        <v>1</v>
      </c>
      <c r="BO63" s="27">
        <v>3</v>
      </c>
      <c r="BP63" s="112">
        <f>IF(BP62="","",BM63*1000+BN63*10+BO63)</f>
        <v>1013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7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49805929.706529506</v>
      </c>
      <c r="AQ64" s="126">
        <f>VLOOKUP(AE64,db_fifarank,2,FALSE)</f>
        <v>1593.45</v>
      </c>
      <c r="AR64" s="125">
        <f>AP64/AP66</f>
        <v>0.55339915117159899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3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3000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3 - 3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6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7.7302768308406022E-12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0 - 6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1</v>
      </c>
      <c r="W66" s="123">
        <f t="shared" si="22"/>
        <v>1</v>
      </c>
      <c r="X66" s="123">
        <f t="shared" si="9"/>
        <v>1</v>
      </c>
      <c r="Y66" s="123">
        <f t="shared" si="10"/>
        <v>1</v>
      </c>
      <c r="Z66" s="123">
        <f t="shared" si="11"/>
        <v>1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7</v>
      </c>
      <c r="AL66" s="123">
        <f>MIN(AL62:AL65)</f>
        <v>-6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90000011.02474694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1</v>
      </c>
      <c r="AL68" s="123">
        <f>AI68-AJ68</f>
        <v>5</v>
      </c>
      <c r="AM68" s="123">
        <f>AL68-AL72</f>
        <v>10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90000009.948933855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6 - 1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1</v>
      </c>
      <c r="Y69" s="123">
        <f t="shared" si="10"/>
        <v>1</v>
      </c>
      <c r="Z69" s="123">
        <f t="shared" si="11"/>
        <v>1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4</v>
      </c>
      <c r="AL69" s="123">
        <f>AI69-AJ69</f>
        <v>-3</v>
      </c>
      <c r="AM69" s="123">
        <f>AL69-AL72</f>
        <v>2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30000001.961778134</v>
      </c>
      <c r="AQ69" s="126">
        <f>VLOOKUP(AE69,db_fifarank,2,FALSE)</f>
        <v>1478.35</v>
      </c>
      <c r="AR69" s="125">
        <f>AP69/AP72</f>
        <v>0.33333331457926357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5</v>
      </c>
      <c r="AL70" s="123">
        <f>AI70-AJ70</f>
        <v>-5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8.1407767874130379E-12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1 - 4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60000007.987859532</v>
      </c>
      <c r="AQ71" s="126">
        <f>VLOOKUP(AE71,db_fifarank,2,FALSE)</f>
        <v>1693.09</v>
      </c>
      <c r="AR71" s="125">
        <f>AP71/AP72</f>
        <v>0.66666667431744675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Norway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0 - 5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7</v>
      </c>
      <c r="AL72" s="123">
        <f>MIN(AL68:AL71)</f>
        <v>-5</v>
      </c>
      <c r="AM72" s="123">
        <f>MAX(AM68:AM71)+1</f>
        <v>11</v>
      </c>
      <c r="AN72" s="123">
        <f>MAX(AN68:AN71)+1</f>
        <v>10</v>
      </c>
      <c r="AO72" s="123">
        <f>MAX(AO68:AO71)+1</f>
        <v>10</v>
      </c>
      <c r="AP72" s="123">
        <f>MAX(AP68:AP71)+1</f>
        <v>90000010.948933855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1</v>
      </c>
      <c r="AL74" s="123">
        <f>AI74-AJ74</f>
        <v>5</v>
      </c>
      <c r="AM74" s="123">
        <f>AL74-AL78</f>
        <v>9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90000009.85805583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2</v>
      </c>
      <c r="AL75" s="123">
        <f>AI75-AJ75</f>
        <v>3</v>
      </c>
      <c r="AM75" s="123">
        <f>AL75-AL78</f>
        <v>7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60000007.715144254</v>
      </c>
      <c r="AQ75" s="126">
        <f>VLOOKUP(AE75,db_fifarank,2,FALSE)</f>
        <v>1717.07</v>
      </c>
      <c r="AR75" s="125">
        <f>AP75/AP78</f>
        <v>0.66666667196044793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5 - 2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5</v>
      </c>
      <c r="AL76" s="123">
        <f>AI76-AJ76</f>
        <v>-4</v>
      </c>
      <c r="AM76" s="123">
        <f>AL76-AL78</f>
        <v>0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19805923.444501173</v>
      </c>
      <c r="AQ76" s="126">
        <f>VLOOKUP(AE76,db_fifarank,2,FALSE)</f>
        <v>1346.31</v>
      </c>
      <c r="AR76" s="125">
        <f>AP76/AP78</f>
        <v>0.22006578950016159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1 - 5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5</v>
      </c>
      <c r="AL77" s="123">
        <f>AI77-AJ77</f>
        <v>-4</v>
      </c>
      <c r="AM77" s="123">
        <f>AL77-AL78</f>
        <v>0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19805923.444598336</v>
      </c>
      <c r="AQ77" s="126">
        <f>VLOOKUP(AE77,db_fifarank,2,FALSE)</f>
        <v>1540.64</v>
      </c>
      <c r="AR77" s="125">
        <f>AP77/AP78</f>
        <v>0.2200657895012412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1 - 5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7</v>
      </c>
      <c r="AL78" s="123">
        <f>MIN(AL74:AL77)</f>
        <v>-4</v>
      </c>
      <c r="AM78" s="123">
        <f>MAX(AM74:AM77)+1</f>
        <v>10</v>
      </c>
      <c r="AN78" s="123">
        <f>MAX(AN74:AN77)+1</f>
        <v>10</v>
      </c>
      <c r="AO78" s="123">
        <f>MAX(AO74:AO77)+1</f>
        <v>10</v>
      </c>
      <c r="AP78" s="123">
        <f>MAX(AP74:AP77)+1</f>
        <v>90000010.85805583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3</v>
      </c>
      <c r="AK80" s="123" t="s">
        <v>3180</v>
      </c>
      <c r="AL80" s="123">
        <f>VLOOKUP($AE80,$AE$8:$AQ$78,8,FALSE)</f>
        <v>1</v>
      </c>
      <c r="AM80" s="123">
        <f>AL80-$AL$92</f>
        <v>6</v>
      </c>
      <c r="AN80" s="123">
        <f>VLOOKUP($AE80,$AE$8:$AQ$78,10,FALSE)</f>
        <v>4</v>
      </c>
      <c r="AP80" s="123">
        <f>AN80/AN92*10000+AM80/AM92*1000+AI80/AI92*100+IF(AQ80=0,ROW(),AQ80)/2000000</f>
        <v>8937.143607832857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Norway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8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4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6631.4292643485715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Czech Republic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4 - 3</v>
      </c>
      <c r="P82" s="101">
        <f t="shared" ref="P82:P92" si="48">L82*3+M82</f>
        <v>4</v>
      </c>
      <c r="AD82" s="123">
        <f t="shared" si="38"/>
        <v>7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4</v>
      </c>
      <c r="AK82" s="123" t="s">
        <v>3182</v>
      </c>
      <c r="AL82" s="123">
        <f t="shared" si="43"/>
        <v>-1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6631.4293206035718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Ⓖ Iran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10</v>
      </c>
      <c r="AE83" s="124" t="str">
        <f>J29</f>
        <v>Australia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3</v>
      </c>
      <c r="AJ83" s="123">
        <f t="shared" si="42"/>
        <v>5</v>
      </c>
      <c r="AK83" s="123" t="s">
        <v>3184</v>
      </c>
      <c r="AL83" s="123">
        <f t="shared" si="43"/>
        <v>-2</v>
      </c>
      <c r="AM83" s="123">
        <f t="shared" si="44"/>
        <v>3</v>
      </c>
      <c r="AN83" s="123">
        <f t="shared" si="45"/>
        <v>1</v>
      </c>
      <c r="AP83" s="123">
        <f>AN83/AN92*10000+AM83/AM92*1000+AI83/AI92*100+IF(AQ83=0,ROW(),AQ83)/2000000</f>
        <v>2488.5722189064286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Ⓔ Ecuador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3 - 3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3</v>
      </c>
      <c r="AK84" s="123" t="s">
        <v>3185</v>
      </c>
      <c r="AL84" s="123">
        <f t="shared" si="43"/>
        <v>0</v>
      </c>
      <c r="AM84" s="123">
        <f t="shared" si="44"/>
        <v>5</v>
      </c>
      <c r="AN84" s="123">
        <f t="shared" si="45"/>
        <v>4</v>
      </c>
      <c r="AP84" s="123">
        <f>AN84/AN92*10000+AM84/AM92*1000+AI84/AI92*100+IF(AQ84=0,ROW(),AQ84)/2000000</f>
        <v>8774.286511675713</v>
      </c>
      <c r="AQ84" s="126">
        <f t="shared" si="37"/>
        <v>1594.78</v>
      </c>
      <c r="AR84" s="125" t="str">
        <f t="shared" si="50"/>
        <v>ABCE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Ⓙ Algeria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3 - 3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4</v>
      </c>
      <c r="AJ85" s="123">
        <f t="shared" si="42"/>
        <v>4</v>
      </c>
      <c r="AK85" s="123" t="s">
        <v>3186</v>
      </c>
      <c r="AL85" s="123">
        <f t="shared" si="43"/>
        <v>0</v>
      </c>
      <c r="AM85" s="123">
        <f t="shared" si="44"/>
        <v>5</v>
      </c>
      <c r="AN85" s="123">
        <f t="shared" si="45"/>
        <v>3</v>
      </c>
      <c r="AP85" s="123">
        <f>AN85/AN92*10000+AM85/AM92*1000+AI85/AI92*100+IF(AQ85=0,ROW(),AQ85)/2000000</f>
        <v>6794.2864716707145</v>
      </c>
      <c r="AQ85" s="126">
        <f t="shared" si="37"/>
        <v>1514.77</v>
      </c>
      <c r="AR85" s="125" t="str">
        <f t="shared" si="50"/>
        <v>ABCEF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Ⓕ Sweden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3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3</v>
      </c>
      <c r="AJ86" s="123">
        <f t="shared" si="42"/>
        <v>3</v>
      </c>
      <c r="AK86" s="123" t="s">
        <v>3187</v>
      </c>
      <c r="AL86" s="123">
        <f t="shared" si="43"/>
        <v>0</v>
      </c>
      <c r="AM86" s="123">
        <f t="shared" si="44"/>
        <v>5</v>
      </c>
      <c r="AN86" s="123">
        <f t="shared" si="45"/>
        <v>4</v>
      </c>
      <c r="AP86" s="123">
        <f>AN86/AN92*10000+AM86/AM92*1000+AI86/AI92*100+IF(AQ86=0,ROW(),AQ86)/2000000</f>
        <v>8774.2865219357136</v>
      </c>
      <c r="AQ86" s="126">
        <f t="shared" si="37"/>
        <v>1615.3</v>
      </c>
      <c r="AR86" s="125" t="str">
        <f t="shared" si="50"/>
        <v>ABCEFG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Ⓒ Scotland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6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2020.000710715</v>
      </c>
      <c r="AQ87" s="126">
        <f t="shared" si="37"/>
        <v>1421.43</v>
      </c>
      <c r="AR87" s="125" t="str">
        <f t="shared" si="50"/>
        <v>ABCEFG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Ⓑ Bosnia and Herzegovina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1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3</v>
      </c>
      <c r="AK88" s="123" t="s">
        <v>3189</v>
      </c>
      <c r="AL88" s="123">
        <f t="shared" si="43"/>
        <v>1</v>
      </c>
      <c r="AM88" s="123">
        <f t="shared" si="44"/>
        <v>6</v>
      </c>
      <c r="AN88" s="123">
        <f t="shared" si="45"/>
        <v>4</v>
      </c>
      <c r="AP88" s="123">
        <f>AN88/AN92*10000+AM88/AM92*1000+AI88/AI92*100+IF(AQ88=0,ROW(),AQ88)/2000000</f>
        <v>8937.1436326128569</v>
      </c>
      <c r="AQ88" s="126">
        <f t="shared" si="37"/>
        <v>1550.94</v>
      </c>
      <c r="AR88" s="125" t="str">
        <f t="shared" si="50"/>
        <v>ABCEFGI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Ⓚ DR Congo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1 - 4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5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3</v>
      </c>
      <c r="AK89" s="123" t="s">
        <v>3190</v>
      </c>
      <c r="AL89" s="123">
        <f t="shared" si="43"/>
        <v>0</v>
      </c>
      <c r="AM89" s="123">
        <f t="shared" si="44"/>
        <v>5</v>
      </c>
      <c r="AN89" s="123">
        <f t="shared" si="45"/>
        <v>4</v>
      </c>
      <c r="AP89" s="123">
        <f>AN89/AN92*10000+AM89/AM92*1000+AI89/AI92*100+IF(AQ89=0,ROW(),AQ89)/2000000</f>
        <v>8774.2864964157143</v>
      </c>
      <c r="AQ89" s="126">
        <f t="shared" si="37"/>
        <v>1564.26</v>
      </c>
      <c r="AR89" s="125" t="str">
        <f t="shared" si="50"/>
        <v>ABCEFGIJ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Australia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3 - 5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9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4</v>
      </c>
      <c r="AK90" s="123" t="s">
        <v>3191</v>
      </c>
      <c r="AL90" s="123">
        <f t="shared" si="43"/>
        <v>-3</v>
      </c>
      <c r="AM90" s="123">
        <f t="shared" si="44"/>
        <v>2</v>
      </c>
      <c r="AN90" s="123">
        <f t="shared" si="45"/>
        <v>3</v>
      </c>
      <c r="AP90" s="123">
        <f>AN90/AN92*10000+AM90/AM92*1000+AI90/AI92*100+IF(AQ90=0,ROW(),AQ90)/2000000</f>
        <v>6305.7150248892849</v>
      </c>
      <c r="AQ90" s="126">
        <f t="shared" si="37"/>
        <v>1478.35</v>
      </c>
      <c r="AR90" s="125" t="str">
        <f t="shared" si="50"/>
        <v>ABCEFGIJ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Ⓛ Panama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11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1</v>
      </c>
      <c r="AJ91" s="123">
        <f>VLOOKUP($AE91,$AE$8:$AQ$78,6,FALSE)</f>
        <v>5</v>
      </c>
      <c r="AK91" s="123" t="s">
        <v>3192</v>
      </c>
      <c r="AL91" s="123">
        <f>VLOOKUP($AE91,$AE$8:$AQ$78,8,FALSE)</f>
        <v>-4</v>
      </c>
      <c r="AM91" s="123">
        <f t="shared" si="44"/>
        <v>1</v>
      </c>
      <c r="AN91" s="123">
        <f>VLOOKUP($AE91,$AE$8:$AQ$78,10,FALSE)</f>
        <v>1</v>
      </c>
      <c r="AP91" s="123">
        <f>AN91/AN92*10000+AM91/AM92*1000+AI91/AI92*100+IF(AQ91=0,ROW(),AQ91)/2000000</f>
        <v>2162.8579131771426</v>
      </c>
      <c r="AQ91" s="126">
        <f t="shared" si="37"/>
        <v>1540.64</v>
      </c>
      <c r="AR91" s="125" t="str">
        <f t="shared" si="50"/>
        <v>ABCEFGIJ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8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-5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xWindow="1715" yWindow="628"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421</v>
      </c>
      <c r="C3" s="121" t="str">
        <f>'2026 World Cup'!AR91</f>
        <v>ABCEFGIJ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3J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Jorge Antona</cp:lastModifiedBy>
  <cp:revision/>
  <dcterms:created xsi:type="dcterms:W3CDTF">2017-12-27T19:32:51Z</dcterms:created>
  <dcterms:modified xsi:type="dcterms:W3CDTF">2026-06-11T08:57:16Z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