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Ananas\uso comun\CARPETAS PERSONALES\BORJA\"/>
    </mc:Choice>
  </mc:AlternateContent>
  <xr:revisionPtr revIDLastSave="0" documentId="13_ncr:1_{17F04496-6360-4C2F-AFD9-C43290D2D700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BK41" i="3" s="1" a="1"/>
  <c r="BK41" i="3" s="1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AA14" i="3" s="1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H38" i="3"/>
  <c r="H10" i="3"/>
  <c r="H66" i="3"/>
  <c r="H37" i="3"/>
  <c r="E65" i="3"/>
  <c r="AA65" i="3" s="1"/>
  <c r="E38" i="3"/>
  <c r="H62" i="3"/>
  <c r="E39" i="3"/>
  <c r="E16" i="3"/>
  <c r="E61" i="3"/>
  <c r="H40" i="3"/>
  <c r="H16" i="3"/>
  <c r="H61" i="3"/>
  <c r="H39" i="3"/>
  <c r="E15" i="3"/>
  <c r="AA15" i="3" s="1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AA45" i="3" s="1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AA67" i="3" s="1"/>
  <c r="E47" i="3"/>
  <c r="AA47" i="3" s="1"/>
  <c r="H24" i="3"/>
  <c r="H76" i="3"/>
  <c r="E49" i="3"/>
  <c r="E25" i="3"/>
  <c r="E75" i="3"/>
  <c r="H50" i="3"/>
  <c r="H25" i="3"/>
  <c r="H75" i="3"/>
  <c r="H49" i="3"/>
  <c r="E26" i="3"/>
  <c r="E76" i="3"/>
  <c r="AA76" i="3" s="1"/>
  <c r="E50" i="3"/>
  <c r="H26" i="3"/>
  <c r="E78" i="3"/>
  <c r="H54" i="3"/>
  <c r="H29" i="3"/>
  <c r="H78" i="3"/>
  <c r="H53" i="3"/>
  <c r="E30" i="3"/>
  <c r="AA30" i="3" s="1"/>
  <c r="E77" i="3"/>
  <c r="E54" i="3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49" i="3" l="1"/>
  <c r="AA23" i="3"/>
  <c r="AA33" i="3"/>
  <c r="AA48" i="3"/>
  <c r="AA40" i="3"/>
  <c r="AA16" i="3"/>
  <c r="AA66" i="3"/>
  <c r="AA78" i="3"/>
  <c r="AA72" i="3"/>
  <c r="AA46" i="3"/>
  <c r="AA42" i="3"/>
  <c r="AA54" i="3"/>
  <c r="AA75" i="3"/>
  <c r="AA19" i="3"/>
  <c r="AA70" i="3"/>
  <c r="AA50" i="3"/>
  <c r="AA51" i="3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T28" i="3" s="1"/>
  <c r="S51" i="3"/>
  <c r="S30" i="3"/>
  <c r="T30" i="3" s="1"/>
  <c r="S78" i="3"/>
  <c r="T78" i="3" s="1"/>
  <c r="S26" i="3"/>
  <c r="S75" i="3"/>
  <c r="T75" i="3" s="1"/>
  <c r="S25" i="3"/>
  <c r="T25" i="3" s="1"/>
  <c r="S49" i="3"/>
  <c r="T49" i="3" s="1"/>
  <c r="S68" i="3"/>
  <c r="T68" i="3" s="1"/>
  <c r="S23" i="3"/>
  <c r="S48" i="3"/>
  <c r="T48" i="3" s="1"/>
  <c r="S43" i="3"/>
  <c r="S19" i="3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T51" i="3"/>
  <c r="S54" i="3"/>
  <c r="S77" i="3"/>
  <c r="S50" i="3"/>
  <c r="S76" i="3"/>
  <c r="T26" i="3"/>
  <c r="S47" i="3"/>
  <c r="S67" i="3"/>
  <c r="T23" i="3"/>
  <c r="T43" i="3"/>
  <c r="S72" i="3"/>
  <c r="T19" i="3"/>
  <c r="S70" i="3"/>
  <c r="S42" i="3"/>
  <c r="S64" i="3"/>
  <c r="T41" i="3"/>
  <c r="S40" i="3"/>
  <c r="S62" i="3"/>
  <c r="S38" i="3"/>
  <c r="S65" i="3"/>
  <c r="T37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/>
  <c r="BH57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D57" i="3"/>
  <c r="AR35" i="3"/>
  <c r="AR10" i="3"/>
  <c r="AR11" i="3"/>
  <c r="AR9" i="3"/>
  <c r="AR33" i="3"/>
  <c r="AR34" i="3"/>
  <c r="AR28" i="3"/>
  <c r="AR21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M58" i="3" l="1"/>
  <c r="AD20" i="3"/>
  <c r="AD11" i="3"/>
  <c r="AD9" i="3"/>
  <c r="AD10" i="3"/>
  <c r="AD8" i="3"/>
  <c r="N9" i="3" s="1"/>
  <c r="L58" i="3"/>
  <c r="AD33" i="3"/>
  <c r="AD75" i="3"/>
  <c r="AD14" i="3"/>
  <c r="AD34" i="3"/>
  <c r="AD21" i="3"/>
  <c r="AD28" i="3"/>
  <c r="AD41" i="3"/>
  <c r="AD77" i="3"/>
  <c r="M59" i="3"/>
  <c r="O60" i="3"/>
  <c r="L59" i="3"/>
  <c r="AD62" i="3"/>
  <c r="N58" i="3"/>
  <c r="AD44" i="3"/>
  <c r="AD22" i="3"/>
  <c r="AD32" i="3"/>
  <c r="AD26" i="3"/>
  <c r="AD76" i="3"/>
  <c r="AD27" i="3"/>
  <c r="AD15" i="3"/>
  <c r="AD53" i="3"/>
  <c r="AD68" i="3"/>
  <c r="AD35" i="3"/>
  <c r="AD47" i="3"/>
  <c r="AD70" i="3"/>
  <c r="AD63" i="3"/>
  <c r="AD74" i="3"/>
  <c r="AD71" i="3"/>
  <c r="AD29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O69" i="3" l="1"/>
  <c r="J39" i="3"/>
  <c r="AS38" i="3" s="1"/>
  <c r="BL22" i="3" s="1"/>
  <c r="P58" i="3"/>
  <c r="O51" i="3"/>
  <c r="L75" i="3"/>
  <c r="M63" i="3"/>
  <c r="M45" i="3"/>
  <c r="N11" i="3"/>
  <c r="L18" i="3"/>
  <c r="L10" i="3"/>
  <c r="J27" i="3"/>
  <c r="AS26" i="3" s="1"/>
  <c r="BL34" i="3" s="1"/>
  <c r="N12" i="3"/>
  <c r="L69" i="3"/>
  <c r="L12" i="3"/>
  <c r="M10" i="3"/>
  <c r="L9" i="3"/>
  <c r="O9" i="3"/>
  <c r="J21" i="3"/>
  <c r="AS20" i="3" s="1"/>
  <c r="BL42" i="3" s="1"/>
  <c r="BS44" i="3" s="1"/>
  <c r="M21" i="3"/>
  <c r="L11" i="3"/>
  <c r="N21" i="3"/>
  <c r="L22" i="3"/>
  <c r="O21" i="3"/>
  <c r="L21" i="3"/>
  <c r="M9" i="3"/>
  <c r="J11" i="3"/>
  <c r="AE80" i="3" s="1"/>
  <c r="AQ80" i="3" s="1"/>
  <c r="N18" i="3"/>
  <c r="L71" i="3"/>
  <c r="O18" i="3"/>
  <c r="O11" i="3"/>
  <c r="N22" i="3"/>
  <c r="J10" i="3"/>
  <c r="AS9" i="3" s="1"/>
  <c r="BL18" i="3" s="1"/>
  <c r="M11" i="3"/>
  <c r="M12" i="3"/>
  <c r="O12" i="3"/>
  <c r="O10" i="3"/>
  <c r="J9" i="3"/>
  <c r="AS8" i="3" s="1"/>
  <c r="BL50" i="3" s="1"/>
  <c r="J12" i="3"/>
  <c r="M18" i="3"/>
  <c r="N10" i="3"/>
  <c r="K58" i="3"/>
  <c r="J16" i="3"/>
  <c r="AS15" i="3" s="1"/>
  <c r="BL19" i="3" s="1"/>
  <c r="L16" i="3"/>
  <c r="J18" i="3"/>
  <c r="M17" i="3"/>
  <c r="N16" i="3"/>
  <c r="O63" i="3"/>
  <c r="J36" i="3"/>
  <c r="M16" i="3"/>
  <c r="J63" i="3"/>
  <c r="AS62" i="3" s="1"/>
  <c r="BL58" i="3" s="1"/>
  <c r="N63" i="3"/>
  <c r="L63" i="3"/>
  <c r="J24" i="3"/>
  <c r="N24" i="3"/>
  <c r="M22" i="3"/>
  <c r="O16" i="3"/>
  <c r="N36" i="3"/>
  <c r="M33" i="3"/>
  <c r="M64" i="3"/>
  <c r="J78" i="3"/>
  <c r="L17" i="3"/>
  <c r="M27" i="3"/>
  <c r="O70" i="3"/>
  <c r="N27" i="3"/>
  <c r="O24" i="3"/>
  <c r="O45" i="3"/>
  <c r="O22" i="3"/>
  <c r="J22" i="3"/>
  <c r="AS21" i="3" s="1"/>
  <c r="BL23" i="3" s="1"/>
  <c r="L45" i="3"/>
  <c r="N46" i="3"/>
  <c r="O23" i="3"/>
  <c r="O30" i="3"/>
  <c r="P59" i="3"/>
  <c r="N47" i="3"/>
  <c r="J30" i="3"/>
  <c r="O17" i="3"/>
  <c r="L66" i="3"/>
  <c r="N40" i="3"/>
  <c r="O65" i="3"/>
  <c r="O27" i="3"/>
  <c r="J76" i="3"/>
  <c r="AS75" i="3" s="1"/>
  <c r="BL27" i="3" s="1"/>
  <c r="L27" i="3"/>
  <c r="L29" i="3"/>
  <c r="M77" i="3"/>
  <c r="L77" i="3"/>
  <c r="M76" i="3"/>
  <c r="M66" i="3"/>
  <c r="L64" i="3"/>
  <c r="L47" i="3"/>
  <c r="M30" i="3"/>
  <c r="J29" i="3"/>
  <c r="AE83" i="3" s="1"/>
  <c r="AQ83" i="3" s="1"/>
  <c r="N65" i="3"/>
  <c r="N77" i="3"/>
  <c r="L78" i="3"/>
  <c r="J75" i="3"/>
  <c r="AS74" i="3" s="1"/>
  <c r="BL54" i="3" s="1"/>
  <c r="J64" i="3"/>
  <c r="AS63" i="3" s="1"/>
  <c r="BL31" i="3" s="1"/>
  <c r="L65" i="3"/>
  <c r="M47" i="3"/>
  <c r="L30" i="3"/>
  <c r="N29" i="3"/>
  <c r="K59" i="3"/>
  <c r="O76" i="3"/>
  <c r="M78" i="3"/>
  <c r="N76" i="3"/>
  <c r="M75" i="3"/>
  <c r="L15" i="3"/>
  <c r="N75" i="3"/>
  <c r="O64" i="3"/>
  <c r="N30" i="3"/>
  <c r="J77" i="3"/>
  <c r="AE91" i="3" s="1"/>
  <c r="AQ91" i="3" s="1"/>
  <c r="N78" i="3"/>
  <c r="O75" i="3"/>
  <c r="O66" i="3"/>
  <c r="N64" i="3"/>
  <c r="M29" i="3"/>
  <c r="P29" i="3" s="1"/>
  <c r="J46" i="3"/>
  <c r="AS45" i="3" s="1"/>
  <c r="BL63" i="3" s="1"/>
  <c r="O29" i="3"/>
  <c r="O78" i="3"/>
  <c r="J66" i="3"/>
  <c r="O77" i="3"/>
  <c r="L76" i="3"/>
  <c r="N66" i="3"/>
  <c r="M28" i="3"/>
  <c r="O33" i="3"/>
  <c r="M24" i="3"/>
  <c r="O72" i="3"/>
  <c r="J51" i="3"/>
  <c r="AS50" i="3" s="1"/>
  <c r="BL30" i="3" s="1"/>
  <c r="L46" i="3"/>
  <c r="N39" i="3"/>
  <c r="M35" i="3"/>
  <c r="K57" i="3"/>
  <c r="N35" i="3"/>
  <c r="J45" i="3"/>
  <c r="AS44" i="3" s="1"/>
  <c r="BL38" i="3" s="1"/>
  <c r="O36" i="3"/>
  <c r="M36" i="3"/>
  <c r="N48" i="3"/>
  <c r="L35" i="3"/>
  <c r="L24" i="3"/>
  <c r="O47" i="3"/>
  <c r="J47" i="3"/>
  <c r="AE86" i="3" s="1"/>
  <c r="AQ86" i="3" s="1"/>
  <c r="J33" i="3"/>
  <c r="AS32" i="3" s="1"/>
  <c r="BL10" i="3" s="1"/>
  <c r="O28" i="3"/>
  <c r="J65" i="3"/>
  <c r="AE89" i="3" s="1"/>
  <c r="AQ89" i="3" s="1"/>
  <c r="M65" i="3"/>
  <c r="N45" i="3"/>
  <c r="M42" i="3"/>
  <c r="O35" i="3"/>
  <c r="J35" i="3"/>
  <c r="AE84" i="3" s="1"/>
  <c r="AQ84" i="3" s="1"/>
  <c r="L28" i="3"/>
  <c r="AT88" i="3"/>
  <c r="L23" i="3"/>
  <c r="J34" i="3"/>
  <c r="AS33" i="3" s="1"/>
  <c r="BL46" i="3" s="1"/>
  <c r="L33" i="3"/>
  <c r="N33" i="3"/>
  <c r="J72" i="3"/>
  <c r="O40" i="3"/>
  <c r="L36" i="3"/>
  <c r="J28" i="3"/>
  <c r="AS27" i="3" s="1"/>
  <c r="BL62" i="3" s="1"/>
  <c r="BS61" i="3" s="1"/>
  <c r="AN88" i="3"/>
  <c r="P57" i="3"/>
  <c r="N17" i="3"/>
  <c r="J69" i="3"/>
  <c r="AS68" i="3" s="1"/>
  <c r="BL70" i="3" s="1"/>
  <c r="J70" i="3"/>
  <c r="AS69" i="3" s="1"/>
  <c r="BL26" i="3" s="1"/>
  <c r="N71" i="3"/>
  <c r="N69" i="3"/>
  <c r="N54" i="3"/>
  <c r="O46" i="3"/>
  <c r="J71" i="3"/>
  <c r="AE90" i="3" s="1"/>
  <c r="AQ90" i="3" s="1"/>
  <c r="M71" i="3"/>
  <c r="M69" i="3"/>
  <c r="J52" i="3"/>
  <c r="AS51" i="3" s="1"/>
  <c r="BL59" i="3" s="1"/>
  <c r="J48" i="3"/>
  <c r="L39" i="3"/>
  <c r="M34" i="3"/>
  <c r="N70" i="3"/>
  <c r="O39" i="3"/>
  <c r="J40" i="3"/>
  <c r="AS39" i="3" s="1"/>
  <c r="BL43" i="3" s="1"/>
  <c r="N53" i="3"/>
  <c r="M51" i="3"/>
  <c r="M46" i="3"/>
  <c r="O42" i="3"/>
  <c r="J41" i="3"/>
  <c r="AE85" i="3" s="1"/>
  <c r="AQ85" i="3" s="1"/>
  <c r="N28" i="3"/>
  <c r="AJ88" i="3"/>
  <c r="N72" i="3"/>
  <c r="L51" i="3"/>
  <c r="M54" i="3"/>
  <c r="M72" i="3"/>
  <c r="M70" i="3"/>
  <c r="L72" i="3"/>
  <c r="L70" i="3"/>
  <c r="L48" i="3"/>
  <c r="L40" i="3"/>
  <c r="J42" i="3"/>
  <c r="L34" i="3"/>
  <c r="AI88" i="3"/>
  <c r="N51" i="3"/>
  <c r="O71" i="3"/>
  <c r="M48" i="3"/>
  <c r="O48" i="3"/>
  <c r="M40" i="3"/>
  <c r="N34" i="3"/>
  <c r="AG88" i="3"/>
  <c r="L42" i="3"/>
  <c r="O34" i="3"/>
  <c r="O54" i="3"/>
  <c r="M41" i="3"/>
  <c r="AF88" i="3"/>
  <c r="L54" i="3"/>
  <c r="N52" i="3"/>
  <c r="M39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S88" i="3" l="1"/>
  <c r="T88" i="3" s="1" a="1"/>
  <c r="T88" i="3" s="1"/>
  <c r="BS20" i="3"/>
  <c r="S87" i="3"/>
  <c r="T87" i="3" s="1" a="1"/>
  <c r="T87" i="3" s="1"/>
  <c r="BS29" i="3"/>
  <c r="S89" i="3"/>
  <c r="T89" i="3" s="1" a="1"/>
  <c r="T89" i="3" s="1"/>
  <c r="BS21" i="3"/>
  <c r="S86" i="3"/>
  <c r="T86" i="3" s="1" a="1"/>
  <c r="T86" i="3" s="1"/>
  <c r="BS28" i="3"/>
  <c r="S90" i="3"/>
  <c r="T90" i="3" s="1" a="1"/>
  <c r="T90" i="3" s="1"/>
  <c r="BS36" i="3"/>
  <c r="BS60" i="3"/>
  <c r="BZ64" i="3" s="1"/>
  <c r="P63" i="3"/>
  <c r="P75" i="3"/>
  <c r="P41" i="3"/>
  <c r="P45" i="3"/>
  <c r="P10" i="3"/>
  <c r="P17" i="3"/>
  <c r="P27" i="3"/>
  <c r="K10" i="3"/>
  <c r="K21" i="3"/>
  <c r="AT80" i="3"/>
  <c r="K22" i="3"/>
  <c r="AF80" i="3"/>
  <c r="P22" i="3"/>
  <c r="P71" i="3"/>
  <c r="K45" i="3"/>
  <c r="K11" i="3"/>
  <c r="P9" i="3"/>
  <c r="P69" i="3"/>
  <c r="P12" i="3"/>
  <c r="K9" i="3"/>
  <c r="P21" i="3"/>
  <c r="P11" i="3"/>
  <c r="AL80" i="3"/>
  <c r="K12" i="3"/>
  <c r="AJ80" i="3"/>
  <c r="K18" i="3"/>
  <c r="AN80" i="3"/>
  <c r="AI80" i="3"/>
  <c r="AH80" i="3"/>
  <c r="AG80" i="3"/>
  <c r="AJ91" i="3"/>
  <c r="AG89" i="3"/>
  <c r="P18" i="3"/>
  <c r="P16" i="3"/>
  <c r="K63" i="3"/>
  <c r="AF84" i="3"/>
  <c r="K16" i="3"/>
  <c r="P33" i="3"/>
  <c r="P76" i="3"/>
  <c r="K27" i="3"/>
  <c r="K69" i="3"/>
  <c r="K77" i="3"/>
  <c r="P30" i="3"/>
  <c r="AI91" i="3"/>
  <c r="AG91" i="3"/>
  <c r="P39" i="3"/>
  <c r="K51" i="3"/>
  <c r="P28" i="3"/>
  <c r="AJ85" i="3"/>
  <c r="K64" i="3"/>
  <c r="K17" i="3"/>
  <c r="AT85" i="3"/>
  <c r="P64" i="3"/>
  <c r="AG81" i="3"/>
  <c r="AG85" i="3"/>
  <c r="AF86" i="3"/>
  <c r="AN91" i="3"/>
  <c r="P36" i="3"/>
  <c r="P78" i="3"/>
  <c r="P66" i="3"/>
  <c r="P15" i="3"/>
  <c r="P35" i="3"/>
  <c r="P47" i="3"/>
  <c r="AT82" i="3"/>
  <c r="AL83" i="3"/>
  <c r="K30" i="3"/>
  <c r="K39" i="3"/>
  <c r="P77" i="3"/>
  <c r="K48" i="3"/>
  <c r="K46" i="3"/>
  <c r="AH82" i="3"/>
  <c r="AH83" i="3"/>
  <c r="AH84" i="3"/>
  <c r="AL86" i="3"/>
  <c r="K66" i="3"/>
  <c r="AT83" i="3"/>
  <c r="AN82" i="3"/>
  <c r="AJ83" i="3"/>
  <c r="AN84" i="3"/>
  <c r="AT86" i="3"/>
  <c r="AG83" i="3"/>
  <c r="AG84" i="3"/>
  <c r="AG86" i="3"/>
  <c r="AH89" i="3"/>
  <c r="AI84" i="3"/>
  <c r="AH86" i="3"/>
  <c r="AI89" i="3"/>
  <c r="P40" i="3"/>
  <c r="K76" i="3"/>
  <c r="K65" i="3"/>
  <c r="P72" i="3"/>
  <c r="K78" i="3"/>
  <c r="P46" i="3"/>
  <c r="AF89" i="3"/>
  <c r="AI82" i="3"/>
  <c r="AT84" i="3"/>
  <c r="K36" i="3"/>
  <c r="AN86" i="3"/>
  <c r="AT89" i="3"/>
  <c r="AN89" i="3"/>
  <c r="AL84" i="3"/>
  <c r="K29" i="3"/>
  <c r="AJ86" i="3"/>
  <c r="AL89" i="3"/>
  <c r="P23" i="3"/>
  <c r="AJ84" i="3"/>
  <c r="AN85" i="3"/>
  <c r="AI86" i="3"/>
  <c r="AJ89" i="3"/>
  <c r="K24" i="3"/>
  <c r="K35" i="3"/>
  <c r="AH87" i="3"/>
  <c r="P65" i="3"/>
  <c r="K75" i="3"/>
  <c r="P34" i="3"/>
  <c r="P54" i="3"/>
  <c r="AI83" i="3"/>
  <c r="AF85" i="3"/>
  <c r="AG87" i="3"/>
  <c r="AL91" i="3"/>
  <c r="K15" i="3"/>
  <c r="P51" i="3"/>
  <c r="AF83" i="3"/>
  <c r="K33" i="3"/>
  <c r="AL85" i="3"/>
  <c r="K40" i="3"/>
  <c r="AT87" i="3"/>
  <c r="AH91" i="3"/>
  <c r="AF87" i="3"/>
  <c r="AN83" i="3"/>
  <c r="AI85" i="3"/>
  <c r="K47" i="3"/>
  <c r="AL87" i="3"/>
  <c r="AF91" i="3"/>
  <c r="P70" i="3"/>
  <c r="AN87" i="3"/>
  <c r="AH85" i="3"/>
  <c r="AJ87" i="3"/>
  <c r="AJ90" i="3"/>
  <c r="AT91" i="3"/>
  <c r="K42" i="3"/>
  <c r="K72" i="3"/>
  <c r="K71" i="3"/>
  <c r="P42" i="3"/>
  <c r="K53" i="3"/>
  <c r="K23" i="3"/>
  <c r="P48" i="3"/>
  <c r="K70" i="3"/>
  <c r="K28" i="3"/>
  <c r="P24" i="3"/>
  <c r="K34" i="3"/>
  <c r="K54" i="3"/>
  <c r="AL90" i="3"/>
  <c r="AH90" i="3"/>
  <c r="AG90" i="3"/>
  <c r="AI90" i="3"/>
  <c r="AF90" i="3"/>
  <c r="AT90" i="3"/>
  <c r="AN90" i="3"/>
  <c r="K41" i="3"/>
  <c r="AF81" i="3"/>
  <c r="AT81" i="3"/>
  <c r="AJ82" i="3"/>
  <c r="AN81" i="3"/>
  <c r="AG82" i="3"/>
  <c r="AI81" i="3"/>
  <c r="AF82" i="3"/>
  <c r="P52" i="3"/>
  <c r="AL81" i="3"/>
  <c r="AJ81" i="3"/>
  <c r="AH81" i="3"/>
  <c r="P53" i="3"/>
  <c r="AL82" i="3"/>
  <c r="AI87" i="3"/>
  <c r="K52" i="3"/>
  <c r="BZ17" i="3" l="1"/>
  <c r="S96" i="3"/>
  <c r="T96" i="3" s="1" a="1"/>
  <c r="T96" i="3" s="1"/>
  <c r="S97" i="3"/>
  <c r="T97" i="3" s="1" a="1"/>
  <c r="T97" i="3" s="1"/>
  <c r="BZ32" i="3"/>
  <c r="S98" i="3"/>
  <c r="T98" i="3" s="1" a="1"/>
  <c r="T98" i="3" s="1"/>
  <c r="BZ33" i="3"/>
  <c r="U103" i="3" s="1"/>
  <c r="AC103" i="3" s="1" a="1"/>
  <c r="AC103" i="3" s="1"/>
  <c r="AN92" i="3"/>
  <c r="AL92" i="3"/>
  <c r="AM88" i="3" s="1"/>
  <c r="AG92" i="3"/>
  <c r="AI92" i="3"/>
  <c r="AH92" i="3"/>
  <c r="AJ92" i="3"/>
  <c r="AF92" i="3"/>
  <c r="AS92" i="3"/>
  <c r="S103" i="3" l="1"/>
  <c r="T103" i="3" s="1" a="1"/>
  <c r="T103" i="3" s="1"/>
  <c r="CG24" i="3"/>
  <c r="S111" i="3" s="1"/>
  <c r="T111" i="3" s="1"/>
  <c r="AM85" i="3"/>
  <c r="AM87" i="3"/>
  <c r="AM81" i="3"/>
  <c r="AM80" i="3"/>
  <c r="AM89" i="3"/>
  <c r="AM90" i="3"/>
  <c r="AM82" i="3"/>
  <c r="AM84" i="3"/>
  <c r="AM91" i="3"/>
  <c r="AM86" i="3"/>
  <c r="AM83" i="3"/>
  <c r="S85" i="3"/>
  <c r="T85" i="3" s="1" a="1"/>
  <c r="T85" i="3" s="1"/>
  <c r="BS13" i="3"/>
  <c r="S84" i="3"/>
  <c r="T84" i="3" s="1" a="1"/>
  <c r="T84" i="3" s="1"/>
  <c r="BS12" i="3"/>
  <c r="CN37" i="3" l="1"/>
  <c r="CK68" i="3" s="1"/>
  <c r="AM92" i="3"/>
  <c r="AP87" i="3" s="1"/>
  <c r="BZ16" i="3"/>
  <c r="S95" i="3"/>
  <c r="T95" i="3" s="1" a="1"/>
  <c r="T95" i="3" s="1"/>
  <c r="U102" i="3" l="1"/>
  <c r="AC102" i="3" s="1" a="1"/>
  <c r="AC102" i="3" s="1"/>
  <c r="CG23" i="3"/>
  <c r="CN48" i="3" s="1"/>
  <c r="S102" i="3"/>
  <c r="T102" i="3" s="1" a="1"/>
  <c r="T102" i="3" s="1"/>
  <c r="AP89" i="3"/>
  <c r="AP86" i="3"/>
  <c r="AP85" i="3"/>
  <c r="AP84" i="3"/>
  <c r="AP88" i="3"/>
  <c r="AP90" i="3"/>
  <c r="AP80" i="3"/>
  <c r="AP91" i="3"/>
  <c r="AP81" i="3"/>
  <c r="AP83" i="3"/>
  <c r="AP82" i="3"/>
  <c r="AD80" i="3" l="1"/>
  <c r="AS80" i="3" s="1"/>
  <c r="AD83" i="3"/>
  <c r="AS83" i="3" s="1"/>
  <c r="AD90" i="3"/>
  <c r="AS90" i="3" s="1"/>
  <c r="AD86" i="3"/>
  <c r="AS86" i="3" s="1"/>
  <c r="AD87" i="3"/>
  <c r="AS87" i="3" s="1"/>
  <c r="AD89" i="3"/>
  <c r="AS89" i="3" s="1"/>
  <c r="AD88" i="3"/>
  <c r="AS88" i="3" s="1"/>
  <c r="AD91" i="3"/>
  <c r="AS91" i="3" s="1"/>
  <c r="AD85" i="3"/>
  <c r="AS85" i="3" s="1"/>
  <c r="AD82" i="3"/>
  <c r="AS82" i="3" s="1"/>
  <c r="AD81" i="3"/>
  <c r="AS81" i="3" s="1"/>
  <c r="AD84" i="3"/>
  <c r="AS84" i="3" s="1"/>
  <c r="AR80" i="3" l="1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O81" i="3"/>
  <c r="J81" i="3"/>
  <c r="L81" i="3"/>
  <c r="M81" i="3"/>
  <c r="N81" i="3"/>
  <c r="L83" i="3"/>
  <c r="M90" i="3"/>
  <c r="O83" i="3"/>
  <c r="M84" i="3"/>
  <c r="N89" i="3"/>
  <c r="J87" i="3"/>
  <c r="O82" i="3"/>
  <c r="O89" i="3"/>
  <c r="J84" i="3"/>
  <c r="N88" i="3"/>
  <c r="L87" i="3"/>
  <c r="O92" i="3"/>
  <c r="J88" i="3"/>
  <c r="O85" i="3"/>
  <c r="N86" i="3"/>
  <c r="L82" i="3"/>
  <c r="L88" i="3"/>
  <c r="J90" i="3"/>
  <c r="J91" i="3"/>
  <c r="O91" i="3"/>
  <c r="J83" i="3"/>
  <c r="N90" i="3"/>
  <c r="M91" i="3"/>
  <c r="L84" i="3"/>
  <c r="M88" i="3"/>
  <c r="M92" i="3"/>
  <c r="N83" i="3"/>
  <c r="M89" i="3"/>
  <c r="J89" i="3"/>
  <c r="L90" i="3"/>
  <c r="J85" i="3"/>
  <c r="O87" i="3"/>
  <c r="L89" i="3"/>
  <c r="J82" i="3"/>
  <c r="N92" i="3"/>
  <c r="L92" i="3"/>
  <c r="O90" i="3"/>
  <c r="N85" i="3"/>
  <c r="O84" i="3"/>
  <c r="M86" i="3"/>
  <c r="N91" i="3"/>
  <c r="J92" i="3"/>
  <c r="M82" i="3"/>
  <c r="M83" i="3"/>
  <c r="N82" i="3"/>
  <c r="M87" i="3"/>
  <c r="L86" i="3"/>
  <c r="O86" i="3"/>
  <c r="J86" i="3"/>
  <c r="M85" i="3"/>
  <c r="L85" i="3"/>
  <c r="O88" i="3"/>
  <c r="N87" i="3"/>
  <c r="L91" i="3"/>
  <c r="N84" i="3"/>
  <c r="K81" i="3" l="1"/>
  <c r="P81" i="3"/>
  <c r="K89" i="3"/>
  <c r="P86" i="3"/>
  <c r="K84" i="3"/>
  <c r="K85" i="3"/>
  <c r="P88" i="3"/>
  <c r="P89" i="3"/>
  <c r="K3" i="4"/>
  <c r="BL55" i="3" s="1"/>
  <c r="D3" i="4"/>
  <c r="BL51" i="3" s="1"/>
  <c r="K88" i="3"/>
  <c r="K87" i="3"/>
  <c r="P90" i="3"/>
  <c r="I3" i="4"/>
  <c r="BL15" i="3" s="1"/>
  <c r="H3" i="4"/>
  <c r="BL39" i="3" s="1"/>
  <c r="E3" i="4"/>
  <c r="BL67" i="3" s="1"/>
  <c r="B3" i="4"/>
  <c r="J3" i="4"/>
  <c r="BL71" i="3" s="1"/>
  <c r="P92" i="3"/>
  <c r="K86" i="3"/>
  <c r="G3" i="4"/>
  <c r="BL11" i="3" s="1"/>
  <c r="K92" i="3"/>
  <c r="P85" i="3"/>
  <c r="P84" i="3"/>
  <c r="K82" i="3"/>
  <c r="K90" i="3"/>
  <c r="K83" i="3"/>
  <c r="K91" i="3"/>
  <c r="P82" i="3"/>
  <c r="P83" i="3"/>
  <c r="P91" i="3"/>
  <c r="P87" i="3"/>
  <c r="BS53" i="3"/>
  <c r="BS52" i="3"/>
  <c r="BS69" i="3"/>
  <c r="BZ65" i="3" s="1"/>
  <c r="CG56" i="3" s="1"/>
  <c r="CN38" i="3" s="1"/>
  <c r="BS68" i="3"/>
  <c r="S91" i="3" l="1"/>
  <c r="T91" i="3" s="1" a="1"/>
  <c r="T91" i="3" s="1"/>
  <c r="BS37" i="3"/>
  <c r="BZ49" i="3"/>
  <c r="CG55" i="3" s="1"/>
  <c r="CN4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<sst xmlns="http://schemas.openxmlformats.org/spreadsheetml/2006/main" count="9785" uniqueCount="3699">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</sst>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H37" zoomScaleNormal="100" workbookViewId="0">
      <selection activeCell="CG43" sqref="CG43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7</v>
      </c>
      <c r="AJ8" s="123">
        <f>SUMIF($E$7:$E$78,$AE8,$G$7:$G$78) + SUMIF($H$7:$H$78,$AE8,$F$7:$F$78)</f>
        <v>3</v>
      </c>
      <c r="AL8" s="123">
        <f>AI8-AJ8</f>
        <v>4</v>
      </c>
      <c r="AM8" s="123">
        <f>AL8-AL12</f>
        <v>8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87500009.76472941</v>
      </c>
      <c r="AQ8" s="126">
        <f>VLOOKUP(AE8,db_fifarank,2,FALSE)</f>
        <v>1681.03</v>
      </c>
      <c r="AR8" s="125">
        <f>AP8/AP12</f>
        <v>0.99999998857143002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3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7 - 3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3</v>
      </c>
      <c r="AJ9" s="123">
        <f>SUMIF($E$7:$E$78,$AE9,$G$7:$G$78) + SUMIF($H$7:$H$78,$AE9,$F$7:$F$78)</f>
        <v>7</v>
      </c>
      <c r="AL9" s="123">
        <f>AI9-AJ9</f>
        <v>-4</v>
      </c>
      <c r="AM9" s="123">
        <f>AL9-AL12</f>
        <v>0</v>
      </c>
      <c r="AN9" s="123">
        <f>AF9*3+AG9</f>
        <v>1</v>
      </c>
      <c r="AO9" s="123">
        <f>AN9/AN12*10+BA9</f>
        <v>1.25</v>
      </c>
      <c r="AP9" s="123">
        <f>AO9*10000000+BI9*100+AM9/AM12*10+AI9/AI12*1++IF(AQ9=0,ROW(),AQ9)/2000000</f>
        <v>12500000.375714865</v>
      </c>
      <c r="AQ9" s="126">
        <f>VLOOKUP(AE9,db_fifarank,2,FALSE)</f>
        <v>1429.73</v>
      </c>
      <c r="AR9" s="125">
        <f>AP9/AP12</f>
        <v>0.14285712957596022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5 - 5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5</v>
      </c>
      <c r="AL10" s="123">
        <f>AI10-AJ10</f>
        <v>0</v>
      </c>
      <c r="AM10" s="123">
        <f>AL10-AL12</f>
        <v>4</v>
      </c>
      <c r="AN10" s="123">
        <f>AF10*3+AG10</f>
        <v>4</v>
      </c>
      <c r="AO10" s="123">
        <f>AN10/AN12*10+BA10</f>
        <v>5</v>
      </c>
      <c r="AP10" s="123">
        <f>AO10*10000000+BI10*100+AM10/AM12*10+AI10/AI12*1++IF(AQ10=0,ROW(),AQ10)/2000000</f>
        <v>50000005.070238777</v>
      </c>
      <c r="AQ10" s="126">
        <f>VLOOKUP(AE10,db_fifarank,2,FALSE)</f>
        <v>1588.66</v>
      </c>
      <c r="AR10" s="125">
        <f>AP10/AP12</f>
        <v>0.57142855907388523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Ecuador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1</v>
      </c>
      <c r="G11" s="20">
        <v>4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3</v>
      </c>
      <c r="N11" s="23">
        <f>VLOOKUP(3,AD8:AN11,5,FALSE)</f>
        <v>0</v>
      </c>
      <c r="O11" s="23" t="str">
        <f>VLOOKUP(3,AD8:AN11,6,FALSE) &amp; " - " &amp; VLOOKUP(3,AD8:AN11,7,FALSE)</f>
        <v>5 - 5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3</v>
      </c>
      <c r="AH11" s="123">
        <f>COUNTIF($S$7:$T$78,"=" &amp; AE11 &amp; "_lose")</f>
        <v>0</v>
      </c>
      <c r="AI11" s="123">
        <f>SUMIF($E$7:$E$78,$AE11,$F$7:$F$78) + SUMIF($H$7:$H$78,$AE11,$G$7:$G$78)</f>
        <v>5</v>
      </c>
      <c r="AJ11" s="123">
        <f>SUMIF($E$7:$E$78,$AE11,$G$7:$G$78) + SUMIF($H$7:$H$78,$AE11,$F$7:$F$78)</f>
        <v>5</v>
      </c>
      <c r="AL11" s="123">
        <f>AI11-AJ11</f>
        <v>0</v>
      </c>
      <c r="AM11" s="123">
        <f>AL11-AL12</f>
        <v>4</v>
      </c>
      <c r="AN11" s="123">
        <f>AF11*3+AG11</f>
        <v>3</v>
      </c>
      <c r="AO11" s="123">
        <f>AN11/AN12*10+BA11</f>
        <v>3.75</v>
      </c>
      <c r="AP11" s="123">
        <f>AO11*10000000+BI11*100+AM11/AM12*10+AI11/AI12*1++IF(AQ11=0,ROW(),AQ11)/2000000</f>
        <v>37500005.070195138</v>
      </c>
      <c r="AQ11" s="126">
        <f>VLOOKUP(AE11,db_fifarank,2,FALSE)</f>
        <v>1501.38</v>
      </c>
      <c r="AR11" s="125">
        <f>AP11/AP12</f>
        <v>0.42857143379130996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3 - 7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3</v>
      </c>
      <c r="AI12" s="123">
        <f>MAX(AI8:AI11)+1</f>
        <v>8</v>
      </c>
      <c r="AL12" s="123">
        <f>MIN(AL8:AL11)</f>
        <v>-4</v>
      </c>
      <c r="AM12" s="123">
        <f>MAX(AM8:AM11)+1</f>
        <v>9</v>
      </c>
      <c r="AN12" s="123">
        <f>MAX(AN8:AN11)+1</f>
        <v>8</v>
      </c>
      <c r="AO12" s="123">
        <f>MAX(AO8:AO11)+1</f>
        <v>9.75</v>
      </c>
      <c r="AP12" s="123">
        <f>MAX(AP8:AP11)+1</f>
        <v>87500010.76472941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Ecuador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1</v>
      </c>
      <c r="W13" s="123">
        <f t="shared" si="4"/>
        <v>1</v>
      </c>
      <c r="X13" s="123">
        <f t="shared" si="9"/>
        <v>1</v>
      </c>
      <c r="Y13" s="123">
        <f t="shared" si="10"/>
        <v>1</v>
      </c>
      <c r="Z13" s="123">
        <f t="shared" si="11"/>
        <v>1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5</v>
      </c>
      <c r="AL14" s="123">
        <f>AI14-AJ14</f>
        <v>0</v>
      </c>
      <c r="AM14" s="123">
        <f>AL14-AL18</f>
        <v>5</v>
      </c>
      <c r="AN14" s="123">
        <f>AF14*3+AG14</f>
        <v>4</v>
      </c>
      <c r="AO14" s="123">
        <f>AN14/AN18*10+BA14</f>
        <v>4.9806451612903224</v>
      </c>
      <c r="AP14" s="123">
        <f>AO14*10000000+BI14*100+AM14/AM18*10+AI14/AI18*1++IF(AQ14=0,ROW(),AQ14)/2000000</f>
        <v>49806555.303197592</v>
      </c>
      <c r="AQ14" s="126">
        <f>VLOOKUP(AE14,db_fifarank,2,FALSE)</f>
        <v>1556.48</v>
      </c>
      <c r="AR14" s="125">
        <f>AP14/AP18</f>
        <v>0.55340610316136396</v>
      </c>
      <c r="AS14" s="125" t="str">
        <f>IF(SUM(AF14:AH17)=12,J15,"1B")</f>
        <v>Bosnia and Herzegovina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2</v>
      </c>
      <c r="AW14" s="126" cm="1">
        <f t="array" ref="AW14">SUMPRODUCT(($E$7:$E$78=AE14)*($U$7:$U$78)*($G$7:$G$78))+SUMPRODUCT(($H$7:$H$78=AE14)*($U$7:$U$78)*($F$7:$F$78))</f>
        <v>2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50.666666666666664</v>
      </c>
      <c r="BA14" s="126">
        <f>AZ14/AZ18</f>
        <v>0.98064516129032253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2</v>
      </c>
      <c r="BE14" s="126" cm="1">
        <f t="array" ref="BE14">SUMPRODUCT(($E$7:$E$78=AE14)*($X$7:$X$78)*($G$7:$G$78))+SUMPRODUCT(($H$7:$H$78=AE14)*($X$7:$X$78)*($F$7:$F$78))</f>
        <v>2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50.666666666666664</v>
      </c>
      <c r="BI14" s="126">
        <f>BH14/BH18</f>
        <v>0.98064516129032253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3</v>
      </c>
      <c r="H15" s="80" t="str">
        <f>AE35</f>
        <v>Ecuador</v>
      </c>
      <c r="J15" s="30" t="str">
        <f>VLOOKUP(1,AD14:AN17,2,FALSE)</f>
        <v>Bosnia and Herzegovina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7 - 3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1</v>
      </c>
      <c r="AE15" s="124" t="str">
        <f>VLOOKUP("Bosnia and Herzegovina",T,lang,FALSE)</f>
        <v>Bosnia and Herzegovina</v>
      </c>
      <c r="AF15" s="123">
        <f>COUNTIF($S$7:$T$78,"=" &amp; AE15 &amp; "_win")</f>
        <v>3</v>
      </c>
      <c r="AG15" s="123">
        <f>COUNTIF($S$7:$T$78,"=" &amp; AE15 &amp; "_draw")</f>
        <v>0</v>
      </c>
      <c r="AH15" s="123">
        <f>COUNTIF($S$7:$T$78,"=" &amp; AE15 &amp; "_lose")</f>
        <v>0</v>
      </c>
      <c r="AI15" s="123">
        <f>SUMIF($E$7:$E$78,$AE15,$F$7:$F$78) + SUMIF($H$7:$H$78,$AE15,$G$7:$G$78)</f>
        <v>7</v>
      </c>
      <c r="AJ15" s="123">
        <f>SUMIF($E$7:$E$78,$AE15,$G$7:$G$78) + SUMIF($H$7:$H$78,$AE15,$F$7:$F$78)</f>
        <v>3</v>
      </c>
      <c r="AL15" s="123">
        <f>AI15-AJ15</f>
        <v>4</v>
      </c>
      <c r="AM15" s="123">
        <f>AL15-AL18</f>
        <v>9</v>
      </c>
      <c r="AN15" s="123">
        <f>AF15*3+AG15</f>
        <v>9</v>
      </c>
      <c r="AO15" s="123">
        <f>AN15/AN18*10+BA15</f>
        <v>9</v>
      </c>
      <c r="AP15" s="123">
        <f>AO15*10000000+BI15*100+AM15/AM18*10+AI15/AI18*1++IF(AQ15=0,ROW(),AQ15)/2000000</f>
        <v>90000009.875692919</v>
      </c>
      <c r="AQ15" s="126">
        <f>VLOOKUP(AE15,db_fifarank,2,FALSE)</f>
        <v>1385.84</v>
      </c>
      <c r="AR15" s="125">
        <f>AP15/AP18</f>
        <v>0.99999998888889019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New Zealand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5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5 - 4</v>
      </c>
      <c r="P16" s="34">
        <f>L16*3+M16</f>
        <v>4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6</v>
      </c>
      <c r="AL16" s="123">
        <f>AI16-AJ16</f>
        <v>-5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0.12572748</v>
      </c>
      <c r="AQ16" s="126">
        <f>VLOOKUP(AE16,db_fifarank,2,FALSE)</f>
        <v>1454.96</v>
      </c>
      <c r="AR16" s="125">
        <f>AP16/AP18</f>
        <v>1.3969718311884816E-9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0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2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5 - 5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1</v>
      </c>
      <c r="AH17" s="123">
        <f>COUNTIF($S$7:$T$78,"=" &amp; AE17 &amp; "_lose")</f>
        <v>1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4</v>
      </c>
      <c r="AL17" s="123">
        <f>AI17-AJ17</f>
        <v>1</v>
      </c>
      <c r="AM17" s="123">
        <f>AL17-AL18</f>
        <v>6</v>
      </c>
      <c r="AN17" s="123">
        <f>AF17*3+AG17</f>
        <v>4</v>
      </c>
      <c r="AO17" s="123">
        <f>AN17/AN18*10+BA17</f>
        <v>4.9806451612903224</v>
      </c>
      <c r="AP17" s="123">
        <f>AO17*10000000+BI17*100+AM17/AM18*10+AI17/AI18*1++IF(AQ17=0,ROW(),AQ17)/2000000</f>
        <v>49806556.303244047</v>
      </c>
      <c r="AQ17" s="126">
        <f>VLOOKUP(AE17,db_fifarank,2,FALSE)</f>
        <v>1649.4</v>
      </c>
      <c r="AR17" s="125">
        <f>AP17/AP18</f>
        <v>0.55340611427298991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2</v>
      </c>
      <c r="AW17" s="126" cm="1">
        <f t="array" ref="AW17">SUMPRODUCT(($E$7:$E$78=AE17)*($U$7:$U$78)*($G$7:$G$78))+SUMPRODUCT(($H$7:$H$78=AE17)*($U$7:$U$78)*($F$7:$F$78))</f>
        <v>2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50.666666666666664</v>
      </c>
      <c r="BA17" s="126">
        <f>AZ17/AZ18</f>
        <v>0.98064516129032253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2</v>
      </c>
      <c r="BE17" s="126" cm="1">
        <f t="array" ref="BE17">SUMPRODUCT(($E$7:$E$78=AE17)*($X$7:$X$78)*($G$7:$G$78))+SUMPRODUCT(($H$7:$H$78=AE17)*($X$7:$X$78)*($F$7:$F$78))</f>
        <v>2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50.666666666666664</v>
      </c>
      <c r="BI17" s="126">
        <f>BH17/BH18</f>
        <v>0.98064516129032253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Brazil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1 - 6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4</v>
      </c>
      <c r="AI18" s="123">
        <f>MAX(AI14:AI17)+1</f>
        <v>8</v>
      </c>
      <c r="AL18" s="123">
        <f>MIN(AL14:AL17)</f>
        <v>-5</v>
      </c>
      <c r="AM18" s="123">
        <f>MAX(AM14:AM17)+1</f>
        <v>10</v>
      </c>
      <c r="AN18" s="123">
        <f>MAX(AN14:AN17)+1</f>
        <v>10</v>
      </c>
      <c r="AO18" s="123">
        <f>MAX(AO14:AO17)+1</f>
        <v>10</v>
      </c>
      <c r="AP18" s="123">
        <f>MAX(AP14:AP17)+1</f>
        <v>90000010.875692919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3</v>
      </c>
      <c r="AW18" s="126">
        <f>MAX(AW14:AW17)-MIN(AW14:AW17)+1</f>
        <v>3</v>
      </c>
      <c r="AY18" s="126">
        <f>MAX(AY14:AY17)-MIN(AY14:AY17)+1</f>
        <v>1</v>
      </c>
      <c r="AZ18" s="126">
        <f>MAX(AZ14:AZ17)+1</f>
        <v>51.666666666666664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3</v>
      </c>
      <c r="BE18" s="126">
        <f>MAX(BE14:BE17)-MIN(BE14:BE17)+1</f>
        <v>3</v>
      </c>
      <c r="BG18" s="126">
        <f>MAX(BG14:BG17)-MIN(BG14:BG17)+1</f>
        <v>1</v>
      </c>
      <c r="BH18" s="126">
        <f>MAX(BH14:BH17)+1</f>
        <v>51.666666666666664</v>
      </c>
      <c r="BK18" s="13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3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Switzerland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2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4</v>
      </c>
      <c r="AL20" s="123">
        <f>AI20-AJ20</f>
        <v>5</v>
      </c>
      <c r="AM20" s="123">
        <f>AL20-AL24</f>
        <v>16</v>
      </c>
      <c r="AN20" s="123">
        <f>AF20*3+AG20</f>
        <v>7</v>
      </c>
      <c r="AO20" s="123">
        <f>AN20/AN24*10+BA20</f>
        <v>9.7305825242718456</v>
      </c>
      <c r="AP20" s="123">
        <f>AO20*10000000+BI20*100+AM20/AM24*10+AI20/AI24*1++IF(AQ20=0,ROW(),AQ20)/2000000</f>
        <v>97305932.622904107</v>
      </c>
      <c r="AQ20" s="126">
        <f>VLOOKUP(AE20,db_fifarank,2,FALSE)</f>
        <v>1761.16</v>
      </c>
      <c r="AR20" s="125">
        <f>AP20/AP24</f>
        <v>0.9999999789054087</v>
      </c>
      <c r="AS20" s="125" t="str">
        <f>IF(SUM(AF20:AH23)=12,J21,"1C")</f>
        <v>Morocco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1</v>
      </c>
      <c r="AW20" s="126" cm="1">
        <f t="array" ref="AW20">SUMPRODUCT(($E$7:$E$78=AE20)*($U$7:$U$78)*($G$7:$G$78))+SUMPRODUCT(($H$7:$H$78=AE20)*($U$7:$U$78)*($F$7:$F$78))</f>
        <v>1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50.5</v>
      </c>
      <c r="BA20" s="126">
        <f>AZ20/AZ24</f>
        <v>0.98058252427184467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1</v>
      </c>
      <c r="BE20" s="126" cm="1">
        <f t="array" ref="BE20">SUMPRODUCT(($E$7:$E$78=AE20)*($X$7:$X$78)*($G$7:$G$78))+SUMPRODUCT(($H$7:$H$78=AE20)*($X$7:$X$78)*($F$7:$F$78))</f>
        <v>1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50.5</v>
      </c>
      <c r="BI20" s="126">
        <f>BH20/BH24</f>
        <v>0.98058252427184467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2</v>
      </c>
      <c r="H21" s="80" t="str">
        <f>AE47</f>
        <v>New Zealand</v>
      </c>
      <c r="J21" s="30" t="str">
        <f>VLOOKUP(1,AD20:AN23,2,FALSE)</f>
        <v>Morocco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9 - 2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Iran_lose</v>
      </c>
      <c r="T21" s="127" t="str">
        <f t="shared" si="2"/>
        <v>New Zealand_win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-1</v>
      </c>
      <c r="AD21" s="123">
        <f>COUNTIF(AR20:AR23,CONCATENATE("&gt;=",AR21))</f>
        <v>1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9</v>
      </c>
      <c r="AJ21" s="123">
        <f>SUMIF($E$7:$E$78,$AE21,$G$7:$G$78) + SUMIF($H$7:$H$78,$AE21,$F$7:$F$78)</f>
        <v>2</v>
      </c>
      <c r="AL21" s="123">
        <f>AI21-AJ21</f>
        <v>7</v>
      </c>
      <c r="AM21" s="123">
        <f>AL21-AL24</f>
        <v>18</v>
      </c>
      <c r="AN21" s="123">
        <f>AF21*3+AG21</f>
        <v>7</v>
      </c>
      <c r="AO21" s="123">
        <f>AN21/AN24*10+BA21</f>
        <v>9.7305825242718456</v>
      </c>
      <c r="AP21" s="123">
        <f>AO21*10000000+BI21*100+AM21/AM24*10+AI21/AI24*1++IF(AQ21=0,ROW(),AQ21)/2000000</f>
        <v>97305933.675533026</v>
      </c>
      <c r="AQ21" s="126">
        <f>VLOOKUP(AE21,db_fifarank,2,FALSE)</f>
        <v>1755.87</v>
      </c>
      <c r="AR21" s="125">
        <f>AP21/AP24</f>
        <v>0.99999998972313453</v>
      </c>
      <c r="AS21" s="125" t="str">
        <f>IF(SUM(AF20:AH23)=12,J22,"2C")</f>
        <v>Brazil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Brazil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2</v>
      </c>
      <c r="H22" s="80" t="str">
        <f>AE45</f>
        <v>Egypt</v>
      </c>
      <c r="J22" s="33" t="str">
        <f>VLOOKUP(2,AD20:AN23,2,FALSE)</f>
        <v>Brazil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9 - 4</v>
      </c>
      <c r="P22" s="34">
        <f>L22*3+M22</f>
        <v>7</v>
      </c>
      <c r="R22" s="123">
        <f>DATE(2026,6,15)+TIME(8,0,0)+gmt_delta</f>
        <v>46188.875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2</v>
      </c>
      <c r="AJ22" s="123">
        <f>SUMIF($E$7:$E$78,$AE22,$G$7:$G$78) + SUMIF($H$7:$H$78,$AE22,$F$7:$F$78)</f>
        <v>13</v>
      </c>
      <c r="AL22" s="123">
        <f>AI22-AJ22</f>
        <v>-11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0.20064585500000001</v>
      </c>
      <c r="AQ22" s="126">
        <f>VLOOKUP(AE22,db_fifarank,2,FALSE)</f>
        <v>1291.71</v>
      </c>
      <c r="AR22" s="125">
        <f>AP22/AP24</f>
        <v>2.0620104587562343E-9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1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7 - 8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France_draw</v>
      </c>
      <c r="T23" s="127" t="str">
        <f t="shared" si="2"/>
        <v>Senegal_draw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0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7</v>
      </c>
      <c r="AJ23" s="123">
        <f>SUMIF($E$7:$E$78,$AE23,$G$7:$G$78) + SUMIF($H$7:$H$78,$AE23,$F$7:$F$78)</f>
        <v>8</v>
      </c>
      <c r="AL23" s="123">
        <f>AI23-AJ23</f>
        <v>-1</v>
      </c>
      <c r="AM23" s="123">
        <f>AL23-AL24</f>
        <v>10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37500005.963907078</v>
      </c>
      <c r="AQ23" s="126">
        <f>VLOOKUP(AE23,db_fifarank,2,FALSE)</f>
        <v>1498.35</v>
      </c>
      <c r="AR23" s="125">
        <f>AP23/AP24</f>
        <v>0.38538251637940663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Brazil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Brazil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2 - 13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10</v>
      </c>
      <c r="AL24" s="123">
        <f>MIN(AL20:AL23)</f>
        <v>-11</v>
      </c>
      <c r="AM24" s="123">
        <f>MAX(AM20:AM23)+1</f>
        <v>19</v>
      </c>
      <c r="AN24" s="123">
        <f>MAX(AN20:AN23)+1</f>
        <v>8</v>
      </c>
      <c r="AO24" s="123">
        <f>MAX(AO20:AO23)+1</f>
        <v>10.730582524271846</v>
      </c>
      <c r="AP24" s="123">
        <f>MAX(AP20:AP23)+1</f>
        <v>97305934.675533026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2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Argentina_draw</v>
      </c>
      <c r="T25" s="127" t="str">
        <f t="shared" si="2"/>
        <v>Algeria_draw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0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4</v>
      </c>
      <c r="AL26" s="123">
        <f>AI26-AJ26</f>
        <v>1</v>
      </c>
      <c r="AM26" s="123">
        <f>AL26-AL30</f>
        <v>5</v>
      </c>
      <c r="AN26" s="123">
        <f>AF26*3+AG26</f>
        <v>5</v>
      </c>
      <c r="AO26" s="123">
        <f>AN26/AN30*10+BA26</f>
        <v>6.25</v>
      </c>
      <c r="AP26" s="123">
        <f>AO26*10000000+BI26*100+AM26/AM30*10+AI26/AI30*1++IF(AQ26=0,ROW(),AQ26)/2000000</f>
        <v>62500005.625836566</v>
      </c>
      <c r="AQ26" s="126">
        <f>VLOOKUP(AE26,db_fifarank,2,FALSE)</f>
        <v>1673.13</v>
      </c>
      <c r="AR26" s="125">
        <f>AP26/AP30</f>
        <v>0.71428568979895546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3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7 - 2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0</v>
      </c>
      <c r="AH27" s="123">
        <f>COUNTIF($S$7:$T$78,"=" &amp; AE27 &amp; "_lose")</f>
        <v>2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5</v>
      </c>
      <c r="AL27" s="123">
        <f>AI27-AJ27</f>
        <v>-2</v>
      </c>
      <c r="AM27" s="123">
        <f>AL27-AL30</f>
        <v>2</v>
      </c>
      <c r="AN27" s="123">
        <f>AF27*3+AG27</f>
        <v>3</v>
      </c>
      <c r="AO27" s="123">
        <f>AN27/AN30*10+BA27</f>
        <v>3.75</v>
      </c>
      <c r="AP27" s="123">
        <f>AO27*10000000+BI27*100+AM27/AM30*10+AI27/AI30*1++IF(AQ27=0,ROW(),AQ27)/2000000</f>
        <v>37500002.375751749</v>
      </c>
      <c r="AQ27" s="126">
        <f>VLOOKUP(AE27,db_fifarank,2,FALSE)</f>
        <v>1503.5</v>
      </c>
      <c r="AR27" s="125">
        <f>AP27/AP30</f>
        <v>0.42857140245365821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Ghana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4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5 - 4</v>
      </c>
      <c r="P28" s="34">
        <f>L28*3+M28</f>
        <v>5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6</v>
      </c>
      <c r="AL28" s="123">
        <f>AI28-AJ28</f>
        <v>-4</v>
      </c>
      <c r="AM28" s="123">
        <f>AL28-AL30</f>
        <v>0</v>
      </c>
      <c r="AN28" s="123">
        <f>AF28*3+AG28</f>
        <v>1</v>
      </c>
      <c r="AO28" s="123">
        <f>AN28/AN30*10+BA28</f>
        <v>1.25</v>
      </c>
      <c r="AP28" s="123">
        <f>AO28*10000000+BI28*100+AM28/AM30*10+AI28/AI30*1++IF(AQ28=0,ROW(),AQ28)/2000000</f>
        <v>12500000.250790335</v>
      </c>
      <c r="AQ28" s="126">
        <f>VLOOKUP(AE28,db_fifarank,2,FALSE)</f>
        <v>1580.67</v>
      </c>
      <c r="AR28" s="125">
        <f>AP28/AP30</f>
        <v>0.14285712796691258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5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3 - 5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7</v>
      </c>
      <c r="AJ29" s="123">
        <f>SUMIF($E$7:$E$78,$AE29,$G$7:$G$78) + SUMIF($H$7:$H$78,$AE29,$F$7:$F$78)</f>
        <v>2</v>
      </c>
      <c r="AL29" s="123">
        <f>AI29-AJ29</f>
        <v>5</v>
      </c>
      <c r="AM29" s="123">
        <f>AL29-AL30</f>
        <v>9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87500009.875799522</v>
      </c>
      <c r="AQ29" s="126">
        <f>VLOOKUP(AE29,db_fifarank,2,FALSE)</f>
        <v>1599.04</v>
      </c>
      <c r="AR29" s="125">
        <f>AP29/AP30</f>
        <v>0.99999998857143002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3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2 - 6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3</v>
      </c>
      <c r="AI30" s="123">
        <f>MAX(AI26:AI29)+1</f>
        <v>8</v>
      </c>
      <c r="AL30" s="123">
        <f>MIN(AL26:AL29)</f>
        <v>-4</v>
      </c>
      <c r="AM30" s="123">
        <f>MAX(AM26:AM29)+1</f>
        <v>10</v>
      </c>
      <c r="AN30" s="123">
        <f>MAX(AN26:AN29)+1</f>
        <v>8</v>
      </c>
      <c r="AO30" s="123">
        <f>MAX(AO26:AO29)+1</f>
        <v>9.75</v>
      </c>
      <c r="AP30" s="123">
        <f>MAX(AP26:AP29)+1</f>
        <v>87500010.875799522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2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2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Switzerland_lose</v>
      </c>
      <c r="T32" s="127" t="str">
        <f t="shared" si="2"/>
        <v>Bosnia and Herzegovina_win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-1</v>
      </c>
      <c r="AD32" s="123">
        <f>COUNTIF(AR32:AR35,CONCATENATE("&gt;=",AR32))</f>
        <v>2</v>
      </c>
      <c r="AE32" s="124" t="str">
        <f>VLOOKUP("Germany",T,lang,FALSE)</f>
        <v>Germany</v>
      </c>
      <c r="AF32" s="123">
        <f>COUNTIF($S$7:$T$78,"=" &amp; AE32 &amp; "_win")</f>
        <v>1</v>
      </c>
      <c r="AG32" s="123">
        <f>COUNTIF($S$7:$T$78,"=" &amp; AE32 &amp; "_draw")</f>
        <v>2</v>
      </c>
      <c r="AH32" s="123">
        <f>COUNTIF($S$7:$T$78,"=" &amp; AE32 &amp; "_lose")</f>
        <v>0</v>
      </c>
      <c r="AI32" s="123">
        <f>SUMIF($E$7:$E$78,$AE32,$F$7:$F$78) + SUMIF($H$7:$H$78,$AE32,$G$7:$G$78)</f>
        <v>9</v>
      </c>
      <c r="AJ32" s="123">
        <f>SUMIF($E$7:$E$78,$AE32,$G$7:$G$78) + SUMIF($H$7:$H$78,$AE32,$F$7:$F$78)</f>
        <v>4</v>
      </c>
      <c r="AL32" s="123">
        <f>AI32-AJ32</f>
        <v>5</v>
      </c>
      <c r="AM32" s="123">
        <f>AL32-AL36</f>
        <v>16</v>
      </c>
      <c r="AN32" s="123">
        <f>AF32*3+AG32</f>
        <v>5</v>
      </c>
      <c r="AO32" s="123">
        <f>AN32/AN36*10+BA32</f>
        <v>6.25</v>
      </c>
      <c r="AP32" s="123">
        <f>AO32*10000000+BI32*100+AM32/AM36*10+AI32/AI36*1++IF(AQ32=0,ROW(),AQ32)/2000000</f>
        <v>62500009.78975407</v>
      </c>
      <c r="AQ32" s="126">
        <f>VLOOKUP(AE32,db_fifarank,2,FALSE)</f>
        <v>1730.37</v>
      </c>
      <c r="AR32" s="125">
        <f>AP32/AP36</f>
        <v>0.71428573355439628</v>
      </c>
      <c r="AS32" s="125" t="str">
        <f>IF(SUM(AF32:AH35)=12,J33,"1E")</f>
        <v>Ecuador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Ecuador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9 - 3</v>
      </c>
      <c r="P33" s="32">
        <f>L33*3+M33</f>
        <v>7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12</v>
      </c>
      <c r="AL33" s="123">
        <f>AI33-AJ33</f>
        <v>-11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0.10064732500000001</v>
      </c>
      <c r="AQ33" s="126">
        <f>VLOOKUP(AE33,db_fifarank,2,FALSE)</f>
        <v>1294.6500000000001</v>
      </c>
      <c r="AR33" s="125">
        <f>AP33/AP36</f>
        <v>1.1502549937151878E-9</v>
      </c>
      <c r="AS33" s="125" t="str">
        <f>IF(SUM(AF32:AH35)=12,J34,"2E")</f>
        <v>Germany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3</v>
      </c>
      <c r="G34" s="20">
        <v>1</v>
      </c>
      <c r="H34" s="80" t="str">
        <f>AE10</f>
        <v>Korea Republic</v>
      </c>
      <c r="J34" s="33" t="str">
        <f>VLOOKUP(2,AD32:AN35,2,FALSE)</f>
        <v>Germany</v>
      </c>
      <c r="K34" s="23">
        <f>L34+M34+N34</f>
        <v>3</v>
      </c>
      <c r="L34" s="23">
        <f>VLOOKUP(2,AD32:AN35,3,FALSE)</f>
        <v>1</v>
      </c>
      <c r="M34" s="23">
        <f>VLOOKUP(2,AD32:AN35,4,FALSE)</f>
        <v>2</v>
      </c>
      <c r="N34" s="23">
        <f>VLOOKUP(2,AD32:AN35,5,FALSE)</f>
        <v>0</v>
      </c>
      <c r="O34" s="23" t="str">
        <f>VLOOKUP(2,AD32:AN35,6,FALSE) &amp; " - " &amp; VLOOKUP(2,AD32:AN35,7,FALSE)</f>
        <v>9 - 4</v>
      </c>
      <c r="P34" s="34">
        <f>L34*3+M34</f>
        <v>5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6</v>
      </c>
      <c r="AJ34" s="123">
        <f>SUMIF($E$7:$E$78,$AE34,$G$7:$G$78) + SUMIF($H$7:$H$78,$AE34,$F$7:$F$78)</f>
        <v>6</v>
      </c>
      <c r="AL34" s="123">
        <f>AI34-AJ34</f>
        <v>0</v>
      </c>
      <c r="AM34" s="123">
        <f>AL34-AL36</f>
        <v>11</v>
      </c>
      <c r="AN34" s="123">
        <f>AF34*3+AG34</f>
        <v>4</v>
      </c>
      <c r="AO34" s="123">
        <f>AN34/AN36*10+BA34</f>
        <v>5</v>
      </c>
      <c r="AP34" s="123">
        <f>AO34*10000000+BI34*100+AM34/AM36*10+AI34/AI36*1++IF(AQ34=0,ROW(),AQ34)/2000000</f>
        <v>50000006.711877607</v>
      </c>
      <c r="AQ34" s="126">
        <f>VLOOKUP(AE34,db_fifarank,2,FALSE)</f>
        <v>1532.98</v>
      </c>
      <c r="AR34" s="125">
        <f>AP34/AP36</f>
        <v>0.57142857404436842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5</v>
      </c>
      <c r="G35" s="20">
        <v>1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6 - 6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1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1</v>
      </c>
      <c r="AH35" s="123">
        <f>COUNTIF($S$7:$T$78,"=" &amp; AE35 &amp; "_lose")</f>
        <v>0</v>
      </c>
      <c r="AI35" s="123">
        <f>SUMIF($E$7:$E$78,$AE35,$F$7:$F$78) + SUMIF($H$7:$H$78,$AE35,$G$7:$G$78)</f>
        <v>9</v>
      </c>
      <c r="AJ35" s="123">
        <f>SUMIF($E$7:$E$78,$AE35,$G$7:$G$78) + SUMIF($H$7:$H$78,$AE35,$F$7:$F$78)</f>
        <v>3</v>
      </c>
      <c r="AL35" s="123">
        <f>AI35-AJ35</f>
        <v>6</v>
      </c>
      <c r="AM35" s="123">
        <f>AL35-AL36</f>
        <v>17</v>
      </c>
      <c r="AN35" s="123">
        <f>AF35*3+AG35</f>
        <v>7</v>
      </c>
      <c r="AO35" s="123">
        <f>AN35/AN36*10+BA35</f>
        <v>8.75</v>
      </c>
      <c r="AP35" s="123">
        <f>AO35*10000000+BI35*100+AM35/AM36*10+AI35/AI36*1++IF(AQ35=0,ROW(),AQ35)/2000000</f>
        <v>87500010.345241845</v>
      </c>
      <c r="AQ35" s="126">
        <f>VLOOKUP(AE35,db_fifarank,2,FALSE)</f>
        <v>1594.78</v>
      </c>
      <c r="AR35" s="125">
        <f>AP35/AP36</f>
        <v>0.99999998857143002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Canada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4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1 - 12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3</v>
      </c>
      <c r="AH36" s="123">
        <f t="shared" si="16"/>
        <v>4</v>
      </c>
      <c r="AI36" s="123">
        <f>MAX(AI32:AI35)+1</f>
        <v>10</v>
      </c>
      <c r="AL36" s="123">
        <f>MIN(AL32:AL35)</f>
        <v>-11</v>
      </c>
      <c r="AM36" s="123">
        <f>MAX(AM32:AM35)+1</f>
        <v>18</v>
      </c>
      <c r="AN36" s="123">
        <f>MAX(AN32:AN35)+1</f>
        <v>8</v>
      </c>
      <c r="AO36" s="123">
        <f>MAX(AO32:AO35)+1</f>
        <v>9.75</v>
      </c>
      <c r="AP36" s="123">
        <f>MAX(AP32:AP35)+1</f>
        <v>87500011.345241845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Czech Republic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5</v>
      </c>
      <c r="AL38" s="123">
        <f>AI38-AJ38</f>
        <v>2</v>
      </c>
      <c r="AM38" s="123">
        <f>AL38-AL42</f>
        <v>4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87500008.87587893</v>
      </c>
      <c r="AQ38" s="126">
        <f>VLOOKUP(AE38,db_fifarank,2,FALSE)</f>
        <v>1757.87</v>
      </c>
      <c r="AR38" s="125">
        <f>AP38/AP42</f>
        <v>0.99999998857142991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Egypt</v>
      </c>
      <c r="BM38" s="61">
        <v>0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2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7 - 5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Germany_draw</v>
      </c>
      <c r="T39" s="127" t="str">
        <f t="shared" si="2"/>
        <v>Ivory Coast_draw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0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2</v>
      </c>
      <c r="AH39" s="123">
        <f>COUNTIF($S$7:$T$78,"=" &amp; AE39 &amp; "_lose")</f>
        <v>0</v>
      </c>
      <c r="AI39" s="123">
        <f>SUMIF($E$7:$E$78,$AE39,$F$7:$F$78) + SUMIF($H$7:$H$78,$AE39,$G$7:$G$78)</f>
        <v>6</v>
      </c>
      <c r="AJ39" s="123">
        <f>SUMIF($E$7:$E$78,$AE39,$G$7:$G$78) + SUMIF($H$7:$H$78,$AE39,$F$7:$F$78)</f>
        <v>5</v>
      </c>
      <c r="AL39" s="123">
        <f>AI39-AJ39</f>
        <v>1</v>
      </c>
      <c r="AM39" s="123">
        <f>AL39-AL42</f>
        <v>3</v>
      </c>
      <c r="AN39" s="123">
        <f>AF39*3+AG39</f>
        <v>5</v>
      </c>
      <c r="AO39" s="123">
        <f>AN39/AN42*10+BA39</f>
        <v>6.25</v>
      </c>
      <c r="AP39" s="123">
        <f>AO39*10000000+BI39*100+AM39/AM42*10+AI39/AI42*1++IF(AQ39=0,ROW(),AQ39)/2000000</f>
        <v>62500006.750830218</v>
      </c>
      <c r="AQ39" s="126">
        <f>VLOOKUP(AE39,db_fifarank,2,FALSE)</f>
        <v>1660.43</v>
      </c>
      <c r="AR39" s="125">
        <f>AP39/AP42</f>
        <v>0.71428571081864023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Czech Republic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4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6 - 5</v>
      </c>
      <c r="P40" s="34">
        <f>L40*3+M40</f>
        <v>5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1</v>
      </c>
      <c r="AH40" s="123">
        <f>COUNTIF($S$7:$T$78,"=" &amp; AE40 &amp; "_lose")</f>
        <v>2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6</v>
      </c>
      <c r="AL40" s="123">
        <f>AI40-AJ40</f>
        <v>-2</v>
      </c>
      <c r="AM40" s="123">
        <f>AL40-AL42</f>
        <v>0</v>
      </c>
      <c r="AN40" s="123">
        <f>AF40*3+AG40</f>
        <v>1</v>
      </c>
      <c r="AO40" s="123">
        <f>AN40/AN42*10+BA40</f>
        <v>1.25</v>
      </c>
      <c r="AP40" s="123">
        <f>AO40*10000000+BI40*100+AM40/AM42*10+AI40/AI42*1++IF(AQ40=0,ROW(),AQ40)/2000000</f>
        <v>12500000.500757385</v>
      </c>
      <c r="AQ40" s="126">
        <f>VLOOKUP(AE40,db_fifarank,2,FALSE)</f>
        <v>1514.77</v>
      </c>
      <c r="AR40" s="125">
        <f>AP40/AP42</f>
        <v>0.1428571324562016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3</v>
      </c>
      <c r="G41" s="20">
        <v>2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4 - 5</v>
      </c>
      <c r="P41" s="34">
        <f>L41*3+M41</f>
        <v>2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2</v>
      </c>
      <c r="AH41" s="123">
        <f>COUNTIF($S$7:$T$78,"=" &amp; AE41 &amp; "_lose")</f>
        <v>1</v>
      </c>
      <c r="AI41" s="123">
        <f>SUMIF($E$7:$E$78,$AE41,$F$7:$F$78) + SUMIF($H$7:$H$78,$AE41,$G$7:$G$78)</f>
        <v>4</v>
      </c>
      <c r="AJ41" s="123">
        <f>SUMIF($E$7:$E$78,$AE41,$G$7:$G$78) + SUMIF($H$7:$H$78,$AE41,$F$7:$F$78)</f>
        <v>5</v>
      </c>
      <c r="AL41" s="123">
        <f>AI41-AJ41</f>
        <v>-1</v>
      </c>
      <c r="AM41" s="123">
        <f>AL41-AL42</f>
        <v>1</v>
      </c>
      <c r="AN41" s="123">
        <f>AF41*3+AG41</f>
        <v>2</v>
      </c>
      <c r="AO41" s="123">
        <f>AN41/AN42*10+BA41</f>
        <v>2.5</v>
      </c>
      <c r="AP41" s="123">
        <f>AO41*10000000+BI41*100+AM41/AM42*10+AI41/AI42*1++IF(AQ41=0,ROW(),AQ41)/2000000</f>
        <v>25000002.500741526</v>
      </c>
      <c r="AQ41" s="126">
        <f>VLOOKUP(AE41,db_fifarank,2,FALSE)</f>
        <v>1483.05</v>
      </c>
      <c r="AR41" s="125">
        <f>AP41/AP42</f>
        <v>0.28571428204642135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2</v>
      </c>
      <c r="G42" s="20">
        <v>2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4 - 6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3</v>
      </c>
      <c r="AI42" s="123">
        <f>MAX(AI38:AI41)+1</f>
        <v>8</v>
      </c>
      <c r="AL42" s="123">
        <f>MIN(AL38:AL41)</f>
        <v>-2</v>
      </c>
      <c r="AM42" s="123">
        <f>MAX(AM38:AM41)+1</f>
        <v>5</v>
      </c>
      <c r="AN42" s="123">
        <f>MAX(AN38:AN41)+1</f>
        <v>8</v>
      </c>
      <c r="AO42" s="123">
        <f>MAX(AO38:AO41)+1</f>
        <v>9.75</v>
      </c>
      <c r="AP42" s="123">
        <f>MAX(AP38:AP41)+1</f>
        <v>87500009.87587893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Morocco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4</v>
      </c>
      <c r="G43" s="20">
        <v>1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2</v>
      </c>
      <c r="AE44" s="124" t="str">
        <f>VLOOKUP("Belgium",T,lang,FALSE)</f>
        <v>Belgium</v>
      </c>
      <c r="AF44" s="123">
        <f>COUNTIF($S$7:$T$78,"=" &amp; AE44 &amp; "_win")</f>
        <v>1</v>
      </c>
      <c r="AG44" s="123">
        <f>COUNTIF($S$7:$T$78,"=" &amp; AE44 &amp; "_draw")</f>
        <v>2</v>
      </c>
      <c r="AH44" s="123">
        <f>COUNTIF($S$7:$T$78,"=" &amp; AE44 &amp; "_lose")</f>
        <v>0</v>
      </c>
      <c r="AI44" s="123">
        <f>SUMIF($E$7:$E$78,$AE44,$F$7:$F$78) + SUMIF($H$7:$H$78,$AE44,$G$7:$G$78)</f>
        <v>4</v>
      </c>
      <c r="AJ44" s="123">
        <f>SUMIF($E$7:$E$78,$AE44,$G$7:$G$78) + SUMIF($H$7:$H$78,$AE44,$F$7:$F$78)</f>
        <v>3</v>
      </c>
      <c r="AL44" s="123">
        <f>AI44-AJ44</f>
        <v>1</v>
      </c>
      <c r="AM44" s="123">
        <f>AL44-AL48</f>
        <v>5</v>
      </c>
      <c r="AN44" s="123">
        <f>AF44*3+AG44</f>
        <v>5</v>
      </c>
      <c r="AO44" s="123">
        <f>AN44/AN48*10+BA44</f>
        <v>6.25</v>
      </c>
      <c r="AP44" s="123">
        <f>AO44*10000000+BI44*100+AM44/AM48*10+AI44/AI48*1++IF(AQ44=0,ROW(),AQ44)/2000000</f>
        <v>62500006.127851479</v>
      </c>
      <c r="AQ44" s="126">
        <f>VLOOKUP(AE44,db_fifarank,2,FALSE)</f>
        <v>1734.71</v>
      </c>
      <c r="AR44" s="125">
        <f>AP44/AP48</f>
        <v>0.71428569658921603</v>
      </c>
      <c r="AS44" s="125" t="str">
        <f>IF(SUM(AF44:AH47)=12,J45,"1G")</f>
        <v>Egypt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Morocco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Egypt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6 - 2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1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1</v>
      </c>
      <c r="AH45" s="123">
        <f>COUNTIF($S$7:$T$78,"=" &amp; AE45 &amp; "_lose")</f>
        <v>0</v>
      </c>
      <c r="AI45" s="123">
        <f>SUMIF($E$7:$E$78,$AE45,$F$7:$F$78) + SUMIF($H$7:$H$78,$AE45,$G$7:$G$78)</f>
        <v>6</v>
      </c>
      <c r="AJ45" s="123">
        <f>SUMIF($E$7:$E$78,$AE45,$G$7:$G$78) + SUMIF($H$7:$H$78,$AE45,$F$7:$F$78)</f>
        <v>2</v>
      </c>
      <c r="AL45" s="123">
        <f>AI45-AJ45</f>
        <v>4</v>
      </c>
      <c r="AM45" s="123">
        <f>AL45-AL48</f>
        <v>8</v>
      </c>
      <c r="AN45" s="123">
        <f>AF45*3+AG45</f>
        <v>7</v>
      </c>
      <c r="AO45" s="123">
        <f>AN45/AN48*10+BA45</f>
        <v>8.75</v>
      </c>
      <c r="AP45" s="123">
        <f>AO45*10000000+BI45*100+AM45/AM48*10+AI45/AI48*1++IF(AQ45=0,ROW(),AQ45)/2000000</f>
        <v>87500009.746813372</v>
      </c>
      <c r="AQ45" s="126">
        <f>VLOOKUP(AE45,db_fifarank,2,FALSE)</f>
        <v>1563.24</v>
      </c>
      <c r="AR45" s="125">
        <f>AP45/AP48</f>
        <v>0.99999998857143002</v>
      </c>
      <c r="AS45" s="125" t="str">
        <f>IF(SUM(AF44:AH47)=12,J46,"2G")</f>
        <v>Belgium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Senegal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Belgium</v>
      </c>
      <c r="K46" s="23">
        <f>L46+M46+N46</f>
        <v>3</v>
      </c>
      <c r="L46" s="23">
        <f>VLOOKUP(2,AD44:AN47,3,FALSE)</f>
        <v>1</v>
      </c>
      <c r="M46" s="23">
        <f>VLOOKUP(2,AD44:AN47,4,FALSE)</f>
        <v>2</v>
      </c>
      <c r="N46" s="23">
        <f>VLOOKUP(2,AD44:AN47,5,FALSE)</f>
        <v>0</v>
      </c>
      <c r="O46" s="23" t="str">
        <f>VLOOKUP(2,AD44:AN47,6,FALSE) &amp; " - " &amp; VLOOKUP(2,AD44:AN47,7,FALSE)</f>
        <v>4 - 3</v>
      </c>
      <c r="P46" s="34">
        <f>L46*3+M46</f>
        <v>5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0</v>
      </c>
      <c r="AH46" s="123">
        <f>COUNTIF($S$7:$T$78,"=" &amp; AE46 &amp; "_lose")</f>
        <v>3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6</v>
      </c>
      <c r="AL46" s="123">
        <f>AI46-AJ46</f>
        <v>-4</v>
      </c>
      <c r="AM46" s="123">
        <f>AL46-AL48</f>
        <v>0</v>
      </c>
      <c r="AN46" s="123">
        <f>AF46*3+AG46</f>
        <v>0</v>
      </c>
      <c r="AO46" s="123">
        <f>AN46/AN48*10+BA46</f>
        <v>0</v>
      </c>
      <c r="AP46" s="123">
        <f>AO46*10000000+BI46*100+AM46/AM48*10+AI46/AI48*1++IF(AQ46=0,ROW(),AQ46)/2000000</f>
        <v>0.28652193571428569</v>
      </c>
      <c r="AQ46" s="126">
        <f>VLOOKUP(AE46,db_fifarank,2,FALSE)</f>
        <v>1615.3</v>
      </c>
      <c r="AR46" s="125">
        <f>AP46/AP48</f>
        <v>3.2745360059823812E-9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Germany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2 - 3</v>
      </c>
      <c r="P47" s="34">
        <f>L47*3+M47</f>
        <v>4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1</v>
      </c>
      <c r="AG47" s="123">
        <f>COUNTIF($S$7:$T$78,"=" &amp; AE47 &amp; "_draw")</f>
        <v>1</v>
      </c>
      <c r="AH47" s="123">
        <f>COUNTIF($S$7:$T$78,"=" &amp; AE47 &amp; "_lose")</f>
        <v>1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3</v>
      </c>
      <c r="AL47" s="123">
        <f>AI47-AJ47</f>
        <v>-1</v>
      </c>
      <c r="AM47" s="123">
        <f>AL47-AL48</f>
        <v>3</v>
      </c>
      <c r="AN47" s="123">
        <f>AF47*3+AG47</f>
        <v>4</v>
      </c>
      <c r="AO47" s="123">
        <f>AN47/AN48*10+BA47</f>
        <v>5</v>
      </c>
      <c r="AP47" s="123">
        <f>AO47*10000000+BI47*100+AM47/AM48*10+AI47/AI48*1++IF(AQ47=0,ROW(),AQ47)/2000000</f>
        <v>50000003.619688407</v>
      </c>
      <c r="AQ47" s="126">
        <f>VLOOKUP(AE47,db_fifarank,2,FALSE)</f>
        <v>1281.57</v>
      </c>
      <c r="AR47" s="125">
        <f>AP47/AP48</f>
        <v>0.57142854261317144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4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2 - 6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3</v>
      </c>
      <c r="AH48" s="123">
        <f t="shared" si="24"/>
        <v>4</v>
      </c>
      <c r="AI48" s="123">
        <f>MAX(AI44:AI47)+1</f>
        <v>7</v>
      </c>
      <c r="AL48" s="123">
        <f>MIN(AL44:AL47)</f>
        <v>-4</v>
      </c>
      <c r="AM48" s="123">
        <f>MAX(AM44:AM47)+1</f>
        <v>9</v>
      </c>
      <c r="AN48" s="123">
        <f>MAX(AN44:AN47)+1</f>
        <v>8</v>
      </c>
      <c r="AO48" s="123">
        <f>MAX(AO44:AO47)+1</f>
        <v>9.75</v>
      </c>
      <c r="AP48" s="123">
        <f>MAX(AP44:AP47)+1</f>
        <v>87500010.746813372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Morocco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31">
        <v>103</v>
      </c>
      <c r="CN48" s="24" t="str">
        <f>IF(CK23&gt;CK24,CG24,IF(CK23&lt;CK24,CG23,""))</f>
        <v>Brazil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England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3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10</v>
      </c>
      <c r="AJ50" s="123">
        <f>SUMIF($E$7:$E$78,$AE50,$G$7:$G$78) + SUMIF($H$7:$H$78,$AE50,$F$7:$F$78)</f>
        <v>2</v>
      </c>
      <c r="AL50" s="123">
        <f>AI50-AJ50</f>
        <v>8</v>
      </c>
      <c r="AM50" s="123">
        <f>AL50-AL54</f>
        <v>17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90000010.354473561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2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10 - 2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England_draw</v>
      </c>
      <c r="T51" s="127" t="str">
        <f t="shared" si="20"/>
        <v>Ghana_draw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0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10</v>
      </c>
      <c r="AL51" s="123">
        <f>AI51-AJ51</f>
        <v>-9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9.1592155909090908E-2</v>
      </c>
      <c r="AQ51" s="126">
        <f>VLOOKUP(AE51,db_fifarank,2,FALSE)</f>
        <v>1366.13</v>
      </c>
      <c r="AR51" s="125">
        <f>AP51/AP54</f>
        <v>1.0176904928194568E-9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Ivory Coast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8 - 5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4</v>
      </c>
      <c r="AJ52" s="123">
        <f>SUMIF($E$7:$E$78,$AE52,$G$7:$G$78) + SUMIF($H$7:$H$78,$AE52,$F$7:$F$78)</f>
        <v>6</v>
      </c>
      <c r="AL52" s="123">
        <f>AI52-AJ52</f>
        <v>-2</v>
      </c>
      <c r="AM52" s="123">
        <f>AL52-AL54</f>
        <v>7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30000004.253235966</v>
      </c>
      <c r="AQ52" s="126">
        <f>VLOOKUP(AE52,db_fifarank,2,FALSE)</f>
        <v>1421.43</v>
      </c>
      <c r="AR52" s="125">
        <f>AP52/AP54</f>
        <v>0.33333333853790431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5</v>
      </c>
      <c r="G53" s="20">
        <v>1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4 - 6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8</v>
      </c>
      <c r="AJ53" s="123">
        <f>SUMIF($E$7:$E$78,$AE53,$G$7:$G$78) + SUMIF($H$7:$H$78,$AE53,$F$7:$F$78)</f>
        <v>5</v>
      </c>
      <c r="AL53" s="123">
        <f>AI53-AJ53</f>
        <v>3</v>
      </c>
      <c r="AM53" s="123">
        <f>AL53-AL54</f>
        <v>12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60000007.394775927</v>
      </c>
      <c r="AQ53" s="126">
        <f>VLOOKUP(AE53,db_fifarank,2,FALSE)</f>
        <v>1673.07</v>
      </c>
      <c r="AR53" s="125">
        <f>AP53/AP54</f>
        <v>0.66666666472363234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4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1 - 10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11</v>
      </c>
      <c r="AL54" s="123">
        <f>MIN(AL50:AL53)</f>
        <v>-9</v>
      </c>
      <c r="AM54" s="123">
        <f>MAX(AM50:AM53)+1</f>
        <v>18</v>
      </c>
      <c r="AN54" s="123">
        <f>MAX(AN50:AN53)+1</f>
        <v>10</v>
      </c>
      <c r="AO54" s="123">
        <f>MAX(AO50:AO53)+1</f>
        <v>10</v>
      </c>
      <c r="AP54" s="123">
        <f>MAX(AP50:AP53)+1</f>
        <v>90000011.354473561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2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Norway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4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3</v>
      </c>
      <c r="AL56" s="123">
        <f>AI56-AJ56</f>
        <v>5</v>
      </c>
      <c r="AM56" s="123">
        <f>AL56-AL60</f>
        <v>15</v>
      </c>
      <c r="AN56" s="123">
        <f>AF56*3+AG56</f>
        <v>7</v>
      </c>
      <c r="AO56" s="123">
        <f>AN56/AN60*10+BA56</f>
        <v>8.75</v>
      </c>
      <c r="AP56" s="123">
        <f>AO56*10000000+BI56*100+AM56/AM60*10+AI56/AI60*1++IF(AQ56=0,ROW(),AQ56)/2000000</f>
        <v>87500010.264827549</v>
      </c>
      <c r="AQ56" s="126">
        <f>VLOOKUP(AE56,db_fifarank,2,FALSE)</f>
        <v>1877.32</v>
      </c>
      <c r="AR56" s="125">
        <f>AP56/AP60</f>
        <v>0.99999998857143002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2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8 - 3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1</v>
      </c>
      <c r="V57" s="123">
        <f t="shared" si="21"/>
        <v>2</v>
      </c>
      <c r="W57" s="123">
        <f t="shared" si="22"/>
        <v>2</v>
      </c>
      <c r="X57" s="123">
        <f t="shared" si="9"/>
        <v>1</v>
      </c>
      <c r="Y57" s="123">
        <f t="shared" si="10"/>
        <v>2</v>
      </c>
      <c r="Z57" s="123">
        <f t="shared" si="11"/>
        <v>2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2</v>
      </c>
      <c r="AH57" s="123">
        <f>COUNTIF($S$7:$T$78,"=" &amp; AE57 &amp; "_lose")</f>
        <v>0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2</v>
      </c>
      <c r="AL57" s="123">
        <f>AI57-AJ57</f>
        <v>3</v>
      </c>
      <c r="AM57" s="123">
        <f>AL57-AL60</f>
        <v>13</v>
      </c>
      <c r="AN57" s="123">
        <f>AF57*3+AG57</f>
        <v>5</v>
      </c>
      <c r="AO57" s="123">
        <f>AN57/AN60*10+BA57</f>
        <v>6.25</v>
      </c>
      <c r="AP57" s="123">
        <f>AO57*10000000+BI57*100+AM57/AM60*10+AI57/AI60*1++IF(AQ57=0,ROW(),AQ57)/2000000</f>
        <v>62500008.681400046</v>
      </c>
      <c r="AQ57" s="126">
        <f>VLOOKUP(AE57,db_fifarank,2,FALSE)</f>
        <v>1688.99</v>
      </c>
      <c r="AR57" s="125">
        <f>AP57/AP60</f>
        <v>0.71428572154393799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1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2</v>
      </c>
      <c r="N58" s="23">
        <f>VLOOKUP(2,AD56:AN59,5,FALSE)</f>
        <v>0</v>
      </c>
      <c r="O58" s="23" t="str">
        <f>VLOOKUP(2,AD56:AN59,6,FALSE) &amp; " - " &amp; VLOOKUP(2,AD56:AN59,7,FALSE)</f>
        <v>5 - 2</v>
      </c>
      <c r="P58" s="34">
        <f>L58*3+M58</f>
        <v>5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10</v>
      </c>
      <c r="AL58" s="123">
        <f>AI58-AJ58</f>
        <v>-10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8.2693703639653607E-12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0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2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6 - 4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6</v>
      </c>
      <c r="AJ59" s="123">
        <f>SUMIF($E$7:$E$78,$AE59,$G$7:$G$78) + SUMIF($H$7:$H$78,$AE59,$F$7:$F$78)</f>
        <v>4</v>
      </c>
      <c r="AL59" s="123">
        <f>AI59-AJ59</f>
        <v>2</v>
      </c>
      <c r="AM59" s="123">
        <f>AL59-AL60</f>
        <v>12</v>
      </c>
      <c r="AN59" s="123">
        <f>AF59*3+AG59</f>
        <v>4</v>
      </c>
      <c r="AO59" s="123">
        <f>AN59/AN60*10+BA59</f>
        <v>5</v>
      </c>
      <c r="AP59" s="123">
        <f>AO59*10000000+BI59*100+AM59/AM60*10+AI59/AI60*1++IF(AQ59=0,ROW(),AQ59)/2000000</f>
        <v>50000008.167442136</v>
      </c>
      <c r="AQ59" s="126">
        <f>VLOOKUP(AE59,db_fifarank,2,FALSE)</f>
        <v>1550.94</v>
      </c>
      <c r="AR59" s="125">
        <f>AP59/AP60</f>
        <v>0.57142859120454403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3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0 - 10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3</v>
      </c>
      <c r="AH60" s="123">
        <f t="shared" si="27"/>
        <v>4</v>
      </c>
      <c r="AI60" s="123">
        <f>MAX(AI56:AI59)+1</f>
        <v>9</v>
      </c>
      <c r="AL60" s="123">
        <f>MIN(AL56:AL59)</f>
        <v>-10</v>
      </c>
      <c r="AM60" s="123">
        <f>MAX(AM56:AM59)+1</f>
        <v>16</v>
      </c>
      <c r="AN60" s="123">
        <f>MAX(AN56:AN59)+1</f>
        <v>8</v>
      </c>
      <c r="AO60" s="123">
        <f>MAX(AO56:AO59)+1</f>
        <v>9.75</v>
      </c>
      <c r="AP60" s="123">
        <f>MAX(AP56:AP59)+1</f>
        <v>87500011.264827549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Uruguay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2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2</v>
      </c>
      <c r="AG62" s="123">
        <f>COUNTIF($S$7:$T$78,"=" &amp; AE62 &amp; "_draw")</f>
        <v>1</v>
      </c>
      <c r="AH62" s="123">
        <f>COUNTIF($S$7:$T$78,"=" &amp; AE62 &amp; "_lose")</f>
        <v>0</v>
      </c>
      <c r="AI62" s="123">
        <f>SUMIF($E$7:$E$78,$AE62,$F$7:$F$78) + SUMIF($H$7:$H$78,$AE62,$G$7:$G$78)</f>
        <v>9</v>
      </c>
      <c r="AJ62" s="123">
        <f>SUMIF($E$7:$E$78,$AE62,$G$7:$G$78) + SUMIF($H$7:$H$78,$AE62,$F$7:$F$78)</f>
        <v>3</v>
      </c>
      <c r="AL62" s="123">
        <f>AI62-AJ62</f>
        <v>6</v>
      </c>
      <c r="AM62" s="123">
        <f>AL62-AL66</f>
        <v>13</v>
      </c>
      <c r="AN62" s="123">
        <f>AF62*3+AG62</f>
        <v>7</v>
      </c>
      <c r="AO62" s="123">
        <f>AN62/AN66*10+BA62</f>
        <v>8.75</v>
      </c>
      <c r="AP62" s="123">
        <f>AO62*10000000+BI62*100+AM62/AM66*10+AI62/AI66*1++IF(AQ62=0,ROW(),AQ62)/2000000</f>
        <v>87500010.186651707</v>
      </c>
      <c r="AQ62" s="126">
        <f>VLOOKUP(AE62,db_fifarank,2,FALSE)</f>
        <v>1874.82</v>
      </c>
      <c r="AR62" s="125">
        <f>AP62/AP66</f>
        <v>0.99999998857143002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2</v>
      </c>
      <c r="M63" s="31">
        <f>VLOOKUP(1,AD62:AN65,4,FALSE)</f>
        <v>1</v>
      </c>
      <c r="N63" s="31">
        <f>VLOOKUP(1,AD62:AN65,5,FALSE)</f>
        <v>0</v>
      </c>
      <c r="O63" s="31" t="str">
        <f>VLOOKUP(1,AD62:AN65,6,FALSE) &amp; " - " &amp; VLOOKUP(1,AD62:AN65,7,FALSE)</f>
        <v>9 - 3</v>
      </c>
      <c r="P63" s="32">
        <f>L63*3+M63</f>
        <v>7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5</v>
      </c>
      <c r="AJ63" s="123">
        <f>SUMIF($E$7:$E$78,$AE63,$G$7:$G$78) + SUMIF($H$7:$H$78,$AE63,$F$7:$F$78)</f>
        <v>4</v>
      </c>
      <c r="AL63" s="123">
        <f>AI63-AJ63</f>
        <v>1</v>
      </c>
      <c r="AM63" s="123">
        <f>AL63-AL66</f>
        <v>8</v>
      </c>
      <c r="AN63" s="123">
        <f>AF63*3+AG63</f>
        <v>4</v>
      </c>
      <c r="AO63" s="123">
        <f>AN63/AN66*10+BA63</f>
        <v>5</v>
      </c>
      <c r="AP63" s="123">
        <f>AO63*10000000+BI63*100+AM63/AM66*10+AI63/AI66*1++IF(AQ63=0,ROW(),AQ63)/2000000</f>
        <v>50000006.215067849</v>
      </c>
      <c r="AQ63" s="126">
        <f>VLOOKUP(AE63,db_fifarank,2,FALSE)</f>
        <v>1564.26</v>
      </c>
      <c r="AR63" s="125">
        <f>AP63/AP66</f>
        <v>0.57142856940223397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Belgium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4 - 4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4</v>
      </c>
      <c r="AL64" s="123">
        <f>AI64-AJ64</f>
        <v>0</v>
      </c>
      <c r="AM64" s="123">
        <f>AL64-AL66</f>
        <v>7</v>
      </c>
      <c r="AN64" s="123">
        <f>AF64*3+AG64</f>
        <v>6</v>
      </c>
      <c r="AO64" s="123">
        <f>AN64/AN66*10+BA64</f>
        <v>7.5</v>
      </c>
      <c r="AP64" s="123">
        <f>AO64*10000000+BI64*100+AM64/AM66*10+AI64/AI66*1++IF(AQ64=0,ROW(),AQ64)/2000000</f>
        <v>75000005.400796726</v>
      </c>
      <c r="AQ64" s="126">
        <f>VLOOKUP(AE64,db_fifarank,2,FALSE)</f>
        <v>1593.45</v>
      </c>
      <c r="AR64" s="125">
        <f>AP64/AP66</f>
        <v>0.85714280928272746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Uruguay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5 - 4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9</v>
      </c>
      <c r="AL65" s="123">
        <f>AI65-AJ65</f>
        <v>-7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0.20069572500000002</v>
      </c>
      <c r="AQ65" s="126">
        <f>VLOOKUP(AE65,db_fifarank,2,FALSE)</f>
        <v>1391.45</v>
      </c>
      <c r="AR65" s="125">
        <f>AP65/AP66</f>
        <v>2.2936651353321944E-9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2 - 9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3</v>
      </c>
      <c r="AG66" s="123">
        <f t="shared" si="28"/>
        <v>2</v>
      </c>
      <c r="AH66" s="123">
        <f t="shared" si="28"/>
        <v>4</v>
      </c>
      <c r="AI66" s="123">
        <f>MAX(AI62:AI65)+1</f>
        <v>10</v>
      </c>
      <c r="AL66" s="123">
        <f>MIN(AL62:AL65)</f>
        <v>-7</v>
      </c>
      <c r="AM66" s="123">
        <f>MAX(AM62:AM65)+1</f>
        <v>14</v>
      </c>
      <c r="AN66" s="123">
        <f>MAX(AN62:AN65)+1</f>
        <v>8</v>
      </c>
      <c r="AO66" s="123">
        <f>MAX(AO62:AO65)+1</f>
        <v>9.75</v>
      </c>
      <c r="AP66" s="123">
        <f>MAX(AP62:AP65)+1</f>
        <v>87500011.186651707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Bosnia and Herzegovina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2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3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14</v>
      </c>
      <c r="AJ68" s="123">
        <f>SUMIF($E$7:$E$78,$AE68,$G$7:$G$78) + SUMIF($H$7:$H$78,$AE68,$F$7:$F$78)</f>
        <v>3</v>
      </c>
      <c r="AL68" s="123">
        <f>AI68-AJ68</f>
        <v>11</v>
      </c>
      <c r="AM68" s="123">
        <f>AL68-AL72</f>
        <v>20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90000010.45802477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Bosnia and Herzegovina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14 - 3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10</v>
      </c>
      <c r="AL69" s="123">
        <f>AI69-AJ69</f>
        <v>-9</v>
      </c>
      <c r="AM69" s="123">
        <f>AL69-AL72</f>
        <v>0</v>
      </c>
      <c r="AN69" s="123">
        <f>AF69*3+AG69</f>
        <v>1</v>
      </c>
      <c r="AO69" s="123">
        <f>AN69/AN72*10+BA69</f>
        <v>1.9805825242718447</v>
      </c>
      <c r="AP69" s="123">
        <f>AO69*10000000+BI69*100+AM69/AM72*10+AI69/AI72*1++IF(AQ69=0,ROW(),AQ69)/2000000</f>
        <v>19805923.368376717</v>
      </c>
      <c r="AQ69" s="126">
        <f>VLOOKUP(AE69,db_fifarank,2,FALSE)</f>
        <v>1478.35</v>
      </c>
      <c r="AR69" s="125">
        <f>AP69/AP72</f>
        <v>0.2200657871873053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0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9 - 4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Zealand_draw</v>
      </c>
      <c r="T70" s="127" t="str">
        <f t="shared" si="20"/>
        <v>Belgium_draw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0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9</v>
      </c>
      <c r="AL70" s="123">
        <f>AI70-AJ70</f>
        <v>-7</v>
      </c>
      <c r="AM70" s="123">
        <f>AL70-AL72</f>
        <v>2</v>
      </c>
      <c r="AN70" s="123">
        <f>AF70*3+AG70</f>
        <v>1</v>
      </c>
      <c r="AO70" s="123">
        <f>AN70/AN72*10+BA70</f>
        <v>1.9805825242718447</v>
      </c>
      <c r="AP70" s="123">
        <f>AO70*10000000+BI70*100+AM70/AM72*10+AI70/AI72*1++IF(AQ70=0,ROW(),AQ70)/2000000</f>
        <v>19805924.387417831</v>
      </c>
      <c r="AQ70" s="126">
        <f>VLOOKUP(AE70,db_fifarank,2,FALSE)</f>
        <v>1465.34</v>
      </c>
      <c r="AR70" s="125">
        <f>AP70/AP72</f>
        <v>0.2200657985099829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50.5</v>
      </c>
      <c r="BA70" s="126">
        <f>AZ70/AZ72</f>
        <v>0.98058252427184467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50.5</v>
      </c>
      <c r="BI70" s="126">
        <f>BH70/BH72</f>
        <v>0.98058252427184467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2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2 - 9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9</v>
      </c>
      <c r="AJ71" s="123">
        <f>SUMIF($E$7:$E$78,$AE71,$G$7:$G$78) + SUMIF($H$7:$H$78,$AE71,$F$7:$F$78)</f>
        <v>4</v>
      </c>
      <c r="AL71" s="123">
        <f>AI71-AJ71</f>
        <v>5</v>
      </c>
      <c r="AM71" s="123">
        <f>AL71-AL72</f>
        <v>14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60000007.267513208</v>
      </c>
      <c r="AQ71" s="126">
        <f>VLOOKUP(AE71,db_fifarank,2,FALSE)</f>
        <v>1693.09</v>
      </c>
      <c r="AR71" s="125">
        <f>AP71/AP72</f>
        <v>0.66666666254255635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Croatia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3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1 - 10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15</v>
      </c>
      <c r="AL72" s="123">
        <f>MIN(AL68:AL71)</f>
        <v>-9</v>
      </c>
      <c r="AM72" s="123">
        <f>MAX(AM68:AM71)+1</f>
        <v>21</v>
      </c>
      <c r="AN72" s="123">
        <f>MAX(AN68:AN71)+1</f>
        <v>10</v>
      </c>
      <c r="AO72" s="123">
        <f>MAX(AO68:AO71)+1</f>
        <v>10</v>
      </c>
      <c r="AP72" s="123">
        <f>MAX(AP68:AP71)+1</f>
        <v>90000011.45802477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4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2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10</v>
      </c>
      <c r="AJ74" s="123">
        <f>SUMIF($E$7:$E$78,$AE74,$G$7:$G$78) + SUMIF($H$7:$H$78,$AE74,$F$7:$F$78)</f>
        <v>3</v>
      </c>
      <c r="AL74" s="123">
        <f>AI74-AJ74</f>
        <v>7</v>
      </c>
      <c r="AM74" s="123">
        <f>AL74-AL78</f>
        <v>15</v>
      </c>
      <c r="AN74" s="123">
        <f>AF74*3+AG74</f>
        <v>7</v>
      </c>
      <c r="AO74" s="123">
        <f>AN74/AN78*10+BA74</f>
        <v>8.75</v>
      </c>
      <c r="AP74" s="123">
        <f>AO74*10000000+BI74*100+AM74/AM78*10+AI74/AI78*1++IF(AQ74=0,ROW(),AQ74)/2000000</f>
        <v>87500010.285003886</v>
      </c>
      <c r="AQ74" s="126">
        <f>VLOOKUP(AE74,db_fifarank,2,FALSE)</f>
        <v>1825.97</v>
      </c>
      <c r="AR74" s="125">
        <f>AP74/AP78</f>
        <v>0.99999998857143002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10 - 3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3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6</v>
      </c>
      <c r="AL75" s="123">
        <f>AI75-AJ75</f>
        <v>-1</v>
      </c>
      <c r="AM75" s="123">
        <f>AL75-AL78</f>
        <v>7</v>
      </c>
      <c r="AN75" s="123">
        <f>AF75*3+AG75</f>
        <v>4</v>
      </c>
      <c r="AO75" s="123">
        <f>AN75/AN78*10+BA75</f>
        <v>5</v>
      </c>
      <c r="AP75" s="123">
        <f>AO75*10000000+BI75*100+AM75/AM78*10+AI75/AI78*1++IF(AQ75=0,ROW(),AQ75)/2000000</f>
        <v>50000004.830403991</v>
      </c>
      <c r="AQ75" s="126">
        <f>VLOOKUP(AE75,db_fifarank,2,FALSE)</f>
        <v>1717.07</v>
      </c>
      <c r="AR75" s="125">
        <f>AP75/AP78</f>
        <v>0.57142855293520634</v>
      </c>
      <c r="AS75" s="125" t="str">
        <f>IF(SUM(AF74:AH77)=12,J76,"2L")</f>
        <v>Ghana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4</v>
      </c>
      <c r="H76" s="80" t="str">
        <f>AE62</f>
        <v>Argentina</v>
      </c>
      <c r="I76" s="69"/>
      <c r="J76" s="33" t="str">
        <f>VLOOKUP(2,AD74:AN77,2,FALSE)</f>
        <v>Ghana</v>
      </c>
      <c r="K76" s="23">
        <f>L76+M76+N76</f>
        <v>3</v>
      </c>
      <c r="L76" s="23">
        <f>VLOOKUP(2,AD74:AN77,3,FALSE)</f>
        <v>1</v>
      </c>
      <c r="M76" s="23">
        <f>VLOOKUP(2,AD74:AN77,4,FALSE)</f>
        <v>2</v>
      </c>
      <c r="N76" s="23">
        <f>VLOOKUP(2,AD74:AN77,5,FALSE)</f>
        <v>0</v>
      </c>
      <c r="O76" s="23" t="str">
        <f>VLOOKUP(2,AD74:AN77,6,FALSE) &amp; " - " &amp; VLOOKUP(2,AD74:AN77,7,FALSE)</f>
        <v>7 - 5</v>
      </c>
      <c r="P76" s="34">
        <f>L76*3+M76</f>
        <v>5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2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2</v>
      </c>
      <c r="AH76" s="123">
        <f>COUNTIF($S$7:$T$78,"=" &amp; AE76 &amp; "_lose")</f>
        <v>0</v>
      </c>
      <c r="AI76" s="123">
        <f>SUMIF($E$7:$E$78,$AE76,$F$7:$F$78) + SUMIF($H$7:$H$78,$AE76,$G$7:$G$78)</f>
        <v>7</v>
      </c>
      <c r="AJ76" s="123">
        <f>SUMIF($E$7:$E$78,$AE76,$G$7:$G$78) + SUMIF($H$7:$H$78,$AE76,$F$7:$F$78)</f>
        <v>5</v>
      </c>
      <c r="AL76" s="123">
        <f>AI76-AJ76</f>
        <v>2</v>
      </c>
      <c r="AM76" s="123">
        <f>AL76-AL78</f>
        <v>10</v>
      </c>
      <c r="AN76" s="123">
        <f>AF76*3+AG76</f>
        <v>5</v>
      </c>
      <c r="AO76" s="123">
        <f>AN76/AN78*10+BA76</f>
        <v>6.25</v>
      </c>
      <c r="AP76" s="123">
        <f>AO76*10000000+BI76*100+AM76/AM78*10+AI76/AI78*1++IF(AQ76=0,ROW(),AQ76)/2000000</f>
        <v>62500006.887036785</v>
      </c>
      <c r="AQ76" s="126">
        <f>VLOOKUP(AE76,db_fifarank,2,FALSE)</f>
        <v>1346.31</v>
      </c>
      <c r="AR76" s="125">
        <f>AP76/AP78</f>
        <v>0.7142857008722272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2</v>
      </c>
      <c r="G77" s="20">
        <v>4</v>
      </c>
      <c r="H77" s="80" t="str">
        <f>AE68</f>
        <v>Portugal</v>
      </c>
      <c r="I77" s="69"/>
      <c r="J77" s="33" t="str">
        <f>VLOOKUP(3,AD74:AN77,2,FALSE)</f>
        <v>Croatia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5 - 6</v>
      </c>
      <c r="P77" s="34">
        <f>L77*3+M77</f>
        <v>4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9</v>
      </c>
      <c r="AL77" s="123">
        <f>AI77-AJ77</f>
        <v>-8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9.1679410909090917E-2</v>
      </c>
      <c r="AQ77" s="126">
        <f>VLOOKUP(AE77,db_fifarank,2,FALSE)</f>
        <v>1540.64</v>
      </c>
      <c r="AR77" s="125">
        <f>AP77/AP78</f>
        <v>1.0477645609721574E-9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1 - 9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3</v>
      </c>
      <c r="AH78" s="123">
        <f t="shared" si="36"/>
        <v>4</v>
      </c>
      <c r="AI78" s="123">
        <f>MAX(AI74:AI77)+1</f>
        <v>11</v>
      </c>
      <c r="AL78" s="123">
        <f>MIN(AL74:AL77)</f>
        <v>-8</v>
      </c>
      <c r="AM78" s="123">
        <f>MAX(AM74:AM77)+1</f>
        <v>16</v>
      </c>
      <c r="AN78" s="123">
        <f>MAX(AN74:AN77)+1</f>
        <v>8</v>
      </c>
      <c r="AO78" s="123">
        <f>MAX(AO74:AO77)+1</f>
        <v>9.75</v>
      </c>
      <c r="AP78" s="123">
        <f>MAX(AP74:AP77)+1</f>
        <v>87500011.285003886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7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3</v>
      </c>
      <c r="AH80" s="123">
        <f>VLOOKUP($AE80,$AE$8:$AQ$78,4,FALSE)</f>
        <v>0</v>
      </c>
      <c r="AI80" s="123">
        <f>VLOOKUP($AE80,$AE$8:$AQ$78,5,FALSE)</f>
        <v>5</v>
      </c>
      <c r="AJ80" s="123">
        <f>VLOOKUP($AE80,$AE$8:$AQ$78,6,FALSE)</f>
        <v>5</v>
      </c>
      <c r="AK80" s="123" t="s">
        <v>3180</v>
      </c>
      <c r="AL80" s="123">
        <f>VLOOKUP($AE80,$AE$8:$AQ$78,8,FALSE)</f>
        <v>0</v>
      </c>
      <c r="AM80" s="123">
        <f>AL80-$AL$92</f>
        <v>7</v>
      </c>
      <c r="AN80" s="123">
        <f>VLOOKUP($AE80,$AE$8:$AQ$78,10,FALSE)</f>
        <v>3</v>
      </c>
      <c r="AP80" s="123">
        <f>AN80/AN92*10000+AM80/AM92*1000+AI80/AI92*100+IF(AQ80=0,ROW(),AQ80)/2000000</f>
        <v>6762.5007506900001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Norway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6 - 4</v>
      </c>
      <c r="P81" s="98">
        <f>L81*3+M81</f>
        <v>4</v>
      </c>
      <c r="AD81" s="123">
        <f t="shared" ref="AD81:AD91" si="38">COUNTIF($AP$80:$AP$91,CONCATENATE("&gt;=",AP81))</f>
        <v>4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5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7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8762.5007782400007</v>
      </c>
      <c r="AQ81" s="126">
        <f t="shared" si="37"/>
        <v>1556.48</v>
      </c>
      <c r="AR81" s="125" t="str">
        <f>AR80&amp;IF(AD81&lt;=8,RIGHT(AK81,1),"")</f>
        <v>AB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Ⓙ Algeria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5 - 4</v>
      </c>
      <c r="P82" s="101">
        <f t="shared" ref="P82:P92" si="48">L82*3+M82</f>
        <v>4</v>
      </c>
      <c r="AD82" s="123">
        <f t="shared" si="38"/>
        <v>8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7</v>
      </c>
      <c r="AJ82" s="123">
        <f t="shared" si="42"/>
        <v>8</v>
      </c>
      <c r="AK82" s="123" t="s">
        <v>3182</v>
      </c>
      <c r="AL82" s="123">
        <f t="shared" si="43"/>
        <v>-1</v>
      </c>
      <c r="AM82" s="123">
        <f t="shared" si="44"/>
        <v>6</v>
      </c>
      <c r="AN82" s="123">
        <f t="shared" si="45"/>
        <v>3</v>
      </c>
      <c r="AP82" s="123">
        <f>AN82/AN92*10000+AM82/AM92*1000+AI82/AI92*100+IF(AQ82=0,ROW(),AQ82)/2000000</f>
        <v>6687.5007491750002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Ⓔ Ivory Coast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6 - 6</v>
      </c>
      <c r="P83" s="101">
        <f t="shared" si="48"/>
        <v>4</v>
      </c>
      <c r="AD83" s="123">
        <f t="shared" si="38"/>
        <v>10</v>
      </c>
      <c r="AE83" s="124" t="str">
        <f>J29</f>
        <v>Paraguay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3</v>
      </c>
      <c r="AJ83" s="123">
        <f t="shared" si="42"/>
        <v>5</v>
      </c>
      <c r="AK83" s="123" t="s">
        <v>3184</v>
      </c>
      <c r="AL83" s="123">
        <f t="shared" si="43"/>
        <v>-2</v>
      </c>
      <c r="AM83" s="123">
        <f t="shared" si="44"/>
        <v>5</v>
      </c>
      <c r="AN83" s="123">
        <f t="shared" si="45"/>
        <v>3</v>
      </c>
      <c r="AP83" s="123">
        <f>AN83/AN92*10000+AM83/AM92*1000+AI83/AI92*100+IF(AQ83=0,ROW(),AQ83)/2000000</f>
        <v>6537.5007517499998</v>
      </c>
      <c r="AQ83" s="126">
        <f t="shared" si="37"/>
        <v>1503.5</v>
      </c>
      <c r="AR83" s="125" t="str">
        <f t="shared" si="50"/>
        <v>ABC</v>
      </c>
      <c r="AS83" s="129" t="str">
        <f t="shared" si="46"/>
        <v/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Ⓑ Canada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5 - 5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Ecuador</v>
      </c>
      <c r="T84" s="127" t="str" cm="1">
        <f t="array" ref="T84">IF(OR(S84="",S84="draw"),INDEX(T,86,lang),S84)</f>
        <v>Ecuador</v>
      </c>
      <c r="AD84" s="123">
        <f t="shared" si="38"/>
        <v>3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6</v>
      </c>
      <c r="AJ84" s="123">
        <f t="shared" si="42"/>
        <v>6</v>
      </c>
      <c r="AK84" s="123" t="s">
        <v>3185</v>
      </c>
      <c r="AL84" s="123">
        <f t="shared" si="43"/>
        <v>0</v>
      </c>
      <c r="AM84" s="123">
        <f t="shared" si="44"/>
        <v>7</v>
      </c>
      <c r="AN84" s="123">
        <f t="shared" si="45"/>
        <v>4</v>
      </c>
      <c r="AP84" s="123">
        <f>AN84/AN92*10000+AM84/AM92*1000+AI84/AI92*100+IF(AQ84=0,ROW(),AQ84)/2000000</f>
        <v>8775.0007664900004</v>
      </c>
      <c r="AQ84" s="126">
        <f t="shared" si="37"/>
        <v>1532.98</v>
      </c>
      <c r="AR84" s="125" t="str">
        <f t="shared" si="50"/>
        <v>ABCE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Ⓛ Croatia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5 - 6</v>
      </c>
      <c r="P85" s="101">
        <f t="shared" si="48"/>
        <v>4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11</v>
      </c>
      <c r="AE85" s="124" t="str">
        <f>J41</f>
        <v>Tunisia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4</v>
      </c>
      <c r="AJ85" s="123">
        <f t="shared" si="42"/>
        <v>5</v>
      </c>
      <c r="AK85" s="123" t="s">
        <v>3186</v>
      </c>
      <c r="AL85" s="123">
        <f t="shared" si="43"/>
        <v>-1</v>
      </c>
      <c r="AM85" s="123">
        <f t="shared" si="44"/>
        <v>6</v>
      </c>
      <c r="AN85" s="123">
        <f t="shared" si="45"/>
        <v>2</v>
      </c>
      <c r="AP85" s="123">
        <f>AN85/AN92*10000+AM85/AM92*1000+AI85/AI92*100+IF(AQ85=0,ROW(),AQ85)/2000000</f>
        <v>4650.0007415250002</v>
      </c>
      <c r="AQ85" s="126">
        <f t="shared" si="37"/>
        <v>1483.05</v>
      </c>
      <c r="AR85" s="125" t="str">
        <f t="shared" si="50"/>
        <v>ABCE</v>
      </c>
      <c r="AS85" s="129" t="str">
        <f t="shared" si="46"/>
        <v/>
      </c>
      <c r="AT85" s="130" t="str">
        <f>"Ⓕ "&amp;AE85</f>
        <v>Ⓕ Tunisia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Ⓖ New Zealand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1</v>
      </c>
      <c r="N86" s="100">
        <f>VLOOKUP(6,$AD$80:$AN$91,5,FALSE)</f>
        <v>1</v>
      </c>
      <c r="O86" s="100" t="str">
        <f>VLOOKUP(6,$AD$80:$AN$91,6,FALSE) &amp; " - " &amp; VLOOKUP(6,$AD$80:$AN$91,7,FALSE)</f>
        <v>2 - 3</v>
      </c>
      <c r="P86" s="101">
        <f t="shared" si="48"/>
        <v>4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6</v>
      </c>
      <c r="AE86" s="124" t="str">
        <f>J47</f>
        <v>New Zealand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2</v>
      </c>
      <c r="AJ86" s="123">
        <f t="shared" si="42"/>
        <v>3</v>
      </c>
      <c r="AK86" s="123" t="s">
        <v>3187</v>
      </c>
      <c r="AL86" s="123">
        <f t="shared" si="43"/>
        <v>-1</v>
      </c>
      <c r="AM86" s="123">
        <f t="shared" si="44"/>
        <v>6</v>
      </c>
      <c r="AN86" s="123">
        <f t="shared" si="45"/>
        <v>4</v>
      </c>
      <c r="AP86" s="123">
        <f>AN86/AN92*10000+AM86/AM92*1000+AI86/AI92*100+IF(AQ86=0,ROW(),AQ86)/2000000</f>
        <v>8625.0006407849996</v>
      </c>
      <c r="AQ86" s="126">
        <f t="shared" si="37"/>
        <v>1281.57</v>
      </c>
      <c r="AR86" s="125" t="str">
        <f t="shared" si="50"/>
        <v>ABCEG</v>
      </c>
      <c r="AS86" s="129" t="str">
        <f t="shared" si="46"/>
        <v>New Zealand</v>
      </c>
      <c r="AT86" s="130" t="str">
        <f>"Ⓖ "&amp;AE86</f>
        <v>Ⓖ New Zealand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Ⓐ Czech Republic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3</v>
      </c>
      <c r="N87" s="100">
        <f>VLOOKUP(7,$AD$80:$AN$91,5,FALSE)</f>
        <v>0</v>
      </c>
      <c r="O87" s="100" t="str">
        <f>VLOOKUP(7,$AD$80:$AN$91,6,FALSE) &amp; " - " &amp; VLOOKUP(7,$AD$80:$AN$91,7,FALSE)</f>
        <v>5 - 5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9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4</v>
      </c>
      <c r="AJ87" s="123">
        <f t="shared" si="42"/>
        <v>6</v>
      </c>
      <c r="AK87" s="123" t="s">
        <v>3188</v>
      </c>
      <c r="AL87" s="123">
        <f t="shared" si="43"/>
        <v>-2</v>
      </c>
      <c r="AM87" s="123">
        <f t="shared" si="44"/>
        <v>5</v>
      </c>
      <c r="AN87" s="123">
        <f t="shared" si="45"/>
        <v>3</v>
      </c>
      <c r="AP87" s="123">
        <f>AN87/AN92*10000+AM87/AM92*1000+AI87/AI92*100+IF(AQ87=0,ROW(),AQ87)/2000000</f>
        <v>6550.0007107150004</v>
      </c>
      <c r="AQ87" s="126">
        <f t="shared" si="37"/>
        <v>1421.43</v>
      </c>
      <c r="AR87" s="125" t="str">
        <f t="shared" si="50"/>
        <v>ABCEG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Ⓒ Scotland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7 - 8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1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6</v>
      </c>
      <c r="AJ88" s="123">
        <f t="shared" si="42"/>
        <v>4</v>
      </c>
      <c r="AK88" s="123" t="s">
        <v>3189</v>
      </c>
      <c r="AL88" s="123">
        <f t="shared" si="43"/>
        <v>2</v>
      </c>
      <c r="AM88" s="123">
        <f t="shared" si="44"/>
        <v>9</v>
      </c>
      <c r="AN88" s="123">
        <f t="shared" si="45"/>
        <v>4</v>
      </c>
      <c r="AP88" s="123">
        <f>AN88/AN92*10000+AM88/AM92*1000+AI88/AI92*100+IF(AQ88=0,ROW(),AQ88)/2000000</f>
        <v>8975.00077547</v>
      </c>
      <c r="AQ88" s="126">
        <f t="shared" si="37"/>
        <v>1550.94</v>
      </c>
      <c r="AR88" s="125" t="str">
        <f t="shared" si="50"/>
        <v>ABCEGI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Ⓗ Saudi Arabia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4 - 6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Brazil</v>
      </c>
      <c r="T89" s="127" t="str" cm="1">
        <f t="array" ref="T89">IF(OR(S89="",S89="draw"),INDEX(T,91,lang),S89)</f>
        <v>Brazil</v>
      </c>
      <c r="AD89" s="123">
        <f t="shared" si="38"/>
        <v>2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5</v>
      </c>
      <c r="AJ89" s="123">
        <f t="shared" si="42"/>
        <v>4</v>
      </c>
      <c r="AK89" s="123" t="s">
        <v>3190</v>
      </c>
      <c r="AL89" s="123">
        <f t="shared" si="43"/>
        <v>1</v>
      </c>
      <c r="AM89" s="123">
        <f t="shared" si="44"/>
        <v>8</v>
      </c>
      <c r="AN89" s="123">
        <f t="shared" si="45"/>
        <v>4</v>
      </c>
      <c r="AP89" s="123">
        <f>AN89/AN92*10000+AM89/AM92*1000+AI89/AI92*100+IF(AQ89=0,ROW(),AQ89)/2000000</f>
        <v>8862.5007821300005</v>
      </c>
      <c r="AQ89" s="126">
        <f t="shared" si="37"/>
        <v>1564.26</v>
      </c>
      <c r="AR89" s="125" t="str">
        <f t="shared" si="50"/>
        <v>ABCEGIJ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Ⓓ Paraguay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3 - 5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12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2</v>
      </c>
      <c r="AJ90" s="123">
        <f t="shared" si="42"/>
        <v>9</v>
      </c>
      <c r="AK90" s="123" t="s">
        <v>3191</v>
      </c>
      <c r="AL90" s="123">
        <f t="shared" si="43"/>
        <v>-7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2025.0007326699999</v>
      </c>
      <c r="AQ90" s="126">
        <f t="shared" si="37"/>
        <v>1465.34</v>
      </c>
      <c r="AR90" s="125" t="str">
        <f t="shared" si="50"/>
        <v>ABCEGIJ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Ⓕ Tunisia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4 - 5</v>
      </c>
      <c r="P91" s="104">
        <f t="shared" si="48"/>
        <v>2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Czech Republic</v>
      </c>
      <c r="T91" s="127" t="str" cm="1">
        <f t="array" ref="T91">IF(OR(S91="",S91="draw"),INDEX(T,93,lang),S91)</f>
        <v>Czech Republic</v>
      </c>
      <c r="AD91" s="123">
        <f t="shared" si="38"/>
        <v>5</v>
      </c>
      <c r="AE91" s="124" t="str">
        <f>J77</f>
        <v>Croatia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5</v>
      </c>
      <c r="AJ91" s="123">
        <f>VLOOKUP($AE91,$AE$8:$AQ$78,6,FALSE)</f>
        <v>6</v>
      </c>
      <c r="AK91" s="123" t="s">
        <v>3192</v>
      </c>
      <c r="AL91" s="123">
        <f>VLOOKUP($AE91,$AE$8:$AQ$78,8,FALSE)</f>
        <v>-1</v>
      </c>
      <c r="AM91" s="123">
        <f t="shared" si="44"/>
        <v>6</v>
      </c>
      <c r="AN91" s="123">
        <f>VLOOKUP($AE91,$AE$8:$AQ$78,10,FALSE)</f>
        <v>4</v>
      </c>
      <c r="AP91" s="123">
        <f>AN91/AN92*10000+AM91/AM92*1000+AI91/AI92*100+IF(AQ91=0,ROW(),AQ91)/2000000</f>
        <v>8662.5008585350006</v>
      </c>
      <c r="AQ91" s="126">
        <f t="shared" si="37"/>
        <v>1717.07</v>
      </c>
      <c r="AR91" s="125" t="str">
        <f t="shared" si="50"/>
        <v>ABCEGIJL</v>
      </c>
      <c r="AS91" s="129" t="str">
        <f t="shared" si="46"/>
        <v>Croatia</v>
      </c>
      <c r="AT91" s="130" t="str">
        <f>"Ⓛ "&amp;AE91</f>
        <v>Ⓛ Croatia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Uzbekistan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2 - 9</v>
      </c>
      <c r="P92" s="107">
        <f t="shared" si="48"/>
        <v>1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8</v>
      </c>
      <c r="AJ92" s="123">
        <f>MAX(AJ80:AJ91)+1</f>
        <v>10</v>
      </c>
      <c r="AL92" s="123">
        <f>MIN(AL80:AL91)</f>
        <v>-7</v>
      </c>
      <c r="AM92" s="123">
        <f>MAX(AM80:AM91)+1</f>
        <v>10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Brazil</v>
      </c>
      <c r="T96" s="127" t="str" cm="1">
        <f t="array" ref="T96">IF(OR(S96="",S96="draw"),INDEX(T,95,lang),S96)</f>
        <v>Brazil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Brazil</v>
      </c>
      <c r="T102" s="127" t="str" cm="1">
        <f t="array" ref="T102">IF(OR(S102="",S102="draw"),INDEX(T,98,lang),S102)</f>
        <v>Brazil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France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France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398</v>
      </c>
      <c r="C3" s="121" t="str">
        <f>'2026 World Cup'!AR91</f>
        <v>ABCEGIJL</v>
      </c>
      <c r="D3" s="121" t="str">
        <f>VLOOKUP($C3,$C$6:$K$500,2,FALSE)</f>
        <v>3E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3G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Borja</cp:lastModifiedBy>
  <cp:revision/>
  <dcterms:created xsi:type="dcterms:W3CDTF">2017-12-27T19:32:51Z</dcterms:created>
  <dcterms:modified xsi:type="dcterms:W3CDTF">2026-06-03T09:00:58Z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