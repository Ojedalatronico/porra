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lan\Desktop\"/>
    </mc:Choice>
  </mc:AlternateContent>
  <xr:revisionPtr revIDLastSave="0" documentId="13_ncr:1_{D2ED6A34-3D02-4832-B372-BFB2258E45AF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5" i="3"/>
  <c r="S47" i="3"/>
  <c r="S67" i="3"/>
  <c r="S72" i="3"/>
  <c r="T19" i="3"/>
  <c r="S70" i="3"/>
  <c r="S42" i="3"/>
  <c r="S64" i="3"/>
  <c r="T18" i="3"/>
  <c r="T41" i="3"/>
  <c r="S40" i="3"/>
  <c r="S62" i="3"/>
  <c r="T61" i="3"/>
  <c r="S38" i="3"/>
  <c r="S65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D58" i="3"/>
  <c r="AR35" i="3"/>
  <c r="AR33" i="3"/>
  <c r="AR34" i="3"/>
  <c r="AR9" i="3"/>
  <c r="AR10" i="3"/>
  <c r="AR28" i="3"/>
  <c r="AR21" i="3"/>
  <c r="AR22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21" i="3"/>
  <c r="AD77" i="3" l="1"/>
  <c r="AD53" i="3"/>
  <c r="AD33" i="3"/>
  <c r="AD35" i="3"/>
  <c r="AD32" i="3"/>
  <c r="AD34" i="3"/>
  <c r="AD20" i="3"/>
  <c r="AD9" i="3"/>
  <c r="M58" i="3"/>
  <c r="AD11" i="3"/>
  <c r="AD10" i="3"/>
  <c r="AD8" i="3"/>
  <c r="AD70" i="3"/>
  <c r="N58" i="3"/>
  <c r="AD63" i="3"/>
  <c r="AD15" i="3"/>
  <c r="AD47" i="3"/>
  <c r="L58" i="3"/>
  <c r="M59" i="3"/>
  <c r="AD41" i="3"/>
  <c r="O60" i="3"/>
  <c r="L59" i="3"/>
  <c r="AD14" i="3"/>
  <c r="AD28" i="3"/>
  <c r="AD26" i="3"/>
  <c r="AD27" i="3"/>
  <c r="AD71" i="3"/>
  <c r="AD62" i="3"/>
  <c r="AD29" i="3"/>
  <c r="AD44" i="3"/>
  <c r="AD76" i="3"/>
  <c r="AD74" i="3"/>
  <c r="AD68" i="3"/>
  <c r="M69" i="3" s="1"/>
  <c r="AD75" i="3"/>
  <c r="AD22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51" i="3" l="1"/>
  <c r="L36" i="3"/>
  <c r="O34" i="3"/>
  <c r="O35" i="3"/>
  <c r="M35" i="3"/>
  <c r="J34" i="3"/>
  <c r="AS33" i="3" s="1"/>
  <c r="BL46" i="3" s="1"/>
  <c r="L34" i="3"/>
  <c r="P58" i="3"/>
  <c r="N33" i="3"/>
  <c r="J33" i="3"/>
  <c r="AS32" i="3" s="1"/>
  <c r="BL10" i="3" s="1"/>
  <c r="J35" i="3"/>
  <c r="AE84" i="3" s="1"/>
  <c r="AQ84" i="3" s="1"/>
  <c r="L35" i="3"/>
  <c r="J36" i="3"/>
  <c r="O33" i="3"/>
  <c r="M36" i="3"/>
  <c r="O36" i="3"/>
  <c r="M33" i="3"/>
  <c r="N34" i="3"/>
  <c r="L33" i="3"/>
  <c r="N36" i="3"/>
  <c r="M34" i="3"/>
  <c r="N35" i="3"/>
  <c r="J22" i="3"/>
  <c r="AS21" i="3" s="1"/>
  <c r="BL23" i="3" s="1"/>
  <c r="L16" i="3"/>
  <c r="N75" i="3"/>
  <c r="O63" i="3"/>
  <c r="L24" i="3"/>
  <c r="O22" i="3"/>
  <c r="M22" i="3"/>
  <c r="N22" i="3"/>
  <c r="L22" i="3"/>
  <c r="N12" i="3"/>
  <c r="K58" i="3"/>
  <c r="P59" i="3"/>
  <c r="J12" i="3"/>
  <c r="L54" i="3"/>
  <c r="L40" i="3"/>
  <c r="O39" i="3"/>
  <c r="J10" i="3"/>
  <c r="AS9" i="3" s="1"/>
  <c r="BL18" i="3" s="1"/>
  <c r="O10" i="3"/>
  <c r="N10" i="3"/>
  <c r="L9" i="3"/>
  <c r="M10" i="3"/>
  <c r="J9" i="3"/>
  <c r="AS8" i="3" s="1"/>
  <c r="BL50" i="3" s="1"/>
  <c r="M12" i="3"/>
  <c r="L12" i="3"/>
  <c r="M9" i="3"/>
  <c r="O12" i="3"/>
  <c r="J21" i="3"/>
  <c r="AS20" i="3" s="1"/>
  <c r="BL42" i="3" s="1"/>
  <c r="BS44" i="3" s="1"/>
  <c r="BZ48" i="3" s="1"/>
  <c r="N9" i="3"/>
  <c r="O9" i="3"/>
  <c r="O65" i="3"/>
  <c r="O21" i="3"/>
  <c r="N21" i="3"/>
  <c r="M21" i="3"/>
  <c r="L21" i="3"/>
  <c r="M30" i="3"/>
  <c r="J65" i="3"/>
  <c r="AE89" i="3" s="1"/>
  <c r="AQ89" i="3" s="1"/>
  <c r="L23" i="3"/>
  <c r="M46" i="3"/>
  <c r="L65" i="3"/>
  <c r="N63" i="3"/>
  <c r="M63" i="3"/>
  <c r="L63" i="3"/>
  <c r="M11" i="3"/>
  <c r="M78" i="3"/>
  <c r="N11" i="3"/>
  <c r="L11" i="3"/>
  <c r="O11" i="3"/>
  <c r="J11" i="3"/>
  <c r="AE80" i="3" s="1"/>
  <c r="AQ80" i="3" s="1"/>
  <c r="J63" i="3"/>
  <c r="AS62" i="3" s="1"/>
  <c r="BL58" i="3" s="1"/>
  <c r="BS60" i="3" s="1"/>
  <c r="BZ64" i="3" s="1"/>
  <c r="L10" i="3"/>
  <c r="M65" i="3"/>
  <c r="L77" i="3"/>
  <c r="J76" i="3"/>
  <c r="AS75" i="3" s="1"/>
  <c r="BL27" i="3" s="1"/>
  <c r="M51" i="3"/>
  <c r="L76" i="3"/>
  <c r="O76" i="3"/>
  <c r="L75" i="3"/>
  <c r="O75" i="3"/>
  <c r="N17" i="3"/>
  <c r="N65" i="3"/>
  <c r="J64" i="3"/>
  <c r="AS63" i="3" s="1"/>
  <c r="BL31" i="3" s="1"/>
  <c r="O78" i="3"/>
  <c r="L51" i="3"/>
  <c r="L69" i="3"/>
  <c r="P69" i="3" s="1"/>
  <c r="O29" i="3"/>
  <c r="L78" i="3"/>
  <c r="N18" i="3"/>
  <c r="L66" i="3"/>
  <c r="O18" i="3"/>
  <c r="J69" i="3"/>
  <c r="AS68" i="3" s="1"/>
  <c r="BL70" i="3" s="1"/>
  <c r="L18" i="3"/>
  <c r="O69" i="3"/>
  <c r="O51" i="3"/>
  <c r="N69" i="3"/>
  <c r="J51" i="3"/>
  <c r="AS50" i="3" s="1"/>
  <c r="BL30" i="3" s="1"/>
  <c r="L70" i="3"/>
  <c r="N29" i="3"/>
  <c r="L28" i="3"/>
  <c r="J18" i="3"/>
  <c r="O16" i="3"/>
  <c r="N28" i="3"/>
  <c r="N27" i="3"/>
  <c r="M18" i="3"/>
  <c r="K59" i="3"/>
  <c r="J27" i="3"/>
  <c r="AS26" i="3" s="1"/>
  <c r="BL34" i="3" s="1"/>
  <c r="J16" i="3"/>
  <c r="AS15" i="3" s="1"/>
  <c r="BL19" i="3" s="1"/>
  <c r="N16" i="3"/>
  <c r="O17" i="3"/>
  <c r="M27" i="3"/>
  <c r="O64" i="3"/>
  <c r="N64" i="3"/>
  <c r="N52" i="3"/>
  <c r="N30" i="3"/>
  <c r="M16" i="3"/>
  <c r="O27" i="3"/>
  <c r="J41" i="3"/>
  <c r="AE85" i="3" s="1"/>
  <c r="AQ85" i="3" s="1"/>
  <c r="O47" i="3"/>
  <c r="O30" i="3"/>
  <c r="L27" i="3"/>
  <c r="O48" i="3"/>
  <c r="L29" i="3"/>
  <c r="N45" i="3"/>
  <c r="M45" i="3"/>
  <c r="AT88" i="3"/>
  <c r="L46" i="3"/>
  <c r="L47" i="3"/>
  <c r="L30" i="3"/>
  <c r="M29" i="3"/>
  <c r="L17" i="3"/>
  <c r="AJ88" i="3"/>
  <c r="J70" i="3"/>
  <c r="AS69" i="3" s="1"/>
  <c r="BL26" i="3" s="1"/>
  <c r="AG88" i="3"/>
  <c r="J46" i="3"/>
  <c r="AS45" i="3" s="1"/>
  <c r="BL63" i="3" s="1"/>
  <c r="AI88" i="3"/>
  <c r="J28" i="3"/>
  <c r="AS27" i="3" s="1"/>
  <c r="BL62" i="3" s="1"/>
  <c r="BS61" i="3" s="1"/>
  <c r="J24" i="3"/>
  <c r="L15" i="3"/>
  <c r="AF88" i="3"/>
  <c r="M66" i="3"/>
  <c r="O70" i="3"/>
  <c r="M70" i="3"/>
  <c r="J47" i="3"/>
  <c r="AE86" i="3" s="1"/>
  <c r="AQ86" i="3" s="1"/>
  <c r="J29" i="3"/>
  <c r="AE83" i="3" s="1"/>
  <c r="AQ83" i="3" s="1"/>
  <c r="M28" i="3"/>
  <c r="J30" i="3"/>
  <c r="J45" i="3"/>
  <c r="AS44" i="3" s="1"/>
  <c r="BL38" i="3" s="1"/>
  <c r="J48" i="3"/>
  <c r="M42" i="3"/>
  <c r="O45" i="3"/>
  <c r="M64" i="3"/>
  <c r="L45" i="3"/>
  <c r="O23" i="3"/>
  <c r="L64" i="3"/>
  <c r="N48" i="3"/>
  <c r="J42" i="3"/>
  <c r="O28" i="3"/>
  <c r="M17" i="3"/>
  <c r="J40" i="3"/>
  <c r="AS39" i="3" s="1"/>
  <c r="BL43" i="3" s="1"/>
  <c r="N70" i="3"/>
  <c r="L48" i="3"/>
  <c r="J71" i="3"/>
  <c r="AE90" i="3" s="1"/>
  <c r="AQ90" i="3" s="1"/>
  <c r="J52" i="3"/>
  <c r="AS51" i="3" s="1"/>
  <c r="BL59" i="3" s="1"/>
  <c r="M39" i="3"/>
  <c r="P57" i="3"/>
  <c r="N78" i="3"/>
  <c r="O72" i="3"/>
  <c r="O46" i="3"/>
  <c r="O42" i="3"/>
  <c r="O24" i="3"/>
  <c r="O54" i="3"/>
  <c r="N53" i="3"/>
  <c r="M54" i="3"/>
  <c r="N46" i="3"/>
  <c r="L42" i="3"/>
  <c r="N24" i="3"/>
  <c r="M41" i="3"/>
  <c r="N54" i="3"/>
  <c r="J72" i="3"/>
  <c r="N72" i="3"/>
  <c r="M24" i="3"/>
  <c r="M75" i="3"/>
  <c r="M48" i="3"/>
  <c r="M72" i="3"/>
  <c r="M40" i="3"/>
  <c r="J78" i="3"/>
  <c r="N77" i="3"/>
  <c r="O71" i="3"/>
  <c r="M77" i="3"/>
  <c r="N71" i="3"/>
  <c r="J66" i="3"/>
  <c r="N47" i="3"/>
  <c r="O40" i="3"/>
  <c r="J77" i="3"/>
  <c r="AE91" i="3" s="1"/>
  <c r="AQ91" i="3" s="1"/>
  <c r="J75" i="3"/>
  <c r="AS74" i="3" s="1"/>
  <c r="BL54" i="3" s="1"/>
  <c r="M71" i="3"/>
  <c r="O66" i="3"/>
  <c r="M47" i="3"/>
  <c r="N39" i="3"/>
  <c r="N40" i="3"/>
  <c r="M76" i="3"/>
  <c r="L72" i="3"/>
  <c r="N76" i="3"/>
  <c r="L39" i="3"/>
  <c r="O77" i="3"/>
  <c r="L71" i="3"/>
  <c r="N66" i="3"/>
  <c r="J39" i="3"/>
  <c r="AS38" i="3" s="1"/>
  <c r="BL22" i="3" s="1"/>
  <c r="AN88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0" i="3" l="1"/>
  <c r="T90" i="3" s="1" a="1"/>
  <c r="T90" i="3" s="1"/>
  <c r="BS36" i="3"/>
  <c r="S91" i="3"/>
  <c r="T91" i="3" s="1" a="1"/>
  <c r="T91" i="3" s="1"/>
  <c r="BS37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35" i="3"/>
  <c r="P36" i="3"/>
  <c r="P34" i="3"/>
  <c r="AI84" i="3"/>
  <c r="AH84" i="3"/>
  <c r="AG84" i="3"/>
  <c r="AF84" i="3"/>
  <c r="AT84" i="3"/>
  <c r="K36" i="3"/>
  <c r="AN84" i="3"/>
  <c r="AL84" i="3"/>
  <c r="P33" i="3"/>
  <c r="AJ84" i="3"/>
  <c r="K33" i="3"/>
  <c r="K35" i="3"/>
  <c r="K34" i="3"/>
  <c r="P16" i="3"/>
  <c r="P24" i="3"/>
  <c r="P17" i="3"/>
  <c r="P22" i="3"/>
  <c r="K22" i="3"/>
  <c r="K10" i="3"/>
  <c r="P54" i="3"/>
  <c r="P40" i="3"/>
  <c r="P12" i="3"/>
  <c r="P9" i="3"/>
  <c r="K12" i="3"/>
  <c r="K9" i="3"/>
  <c r="P21" i="3"/>
  <c r="K21" i="3"/>
  <c r="AT83" i="3"/>
  <c r="AG86" i="3"/>
  <c r="AI86" i="3"/>
  <c r="P77" i="3"/>
  <c r="AN83" i="3"/>
  <c r="AL83" i="3"/>
  <c r="K30" i="3"/>
  <c r="P65" i="3"/>
  <c r="AF86" i="3"/>
  <c r="AL89" i="3"/>
  <c r="AN89" i="3"/>
  <c r="AH89" i="3"/>
  <c r="AJ89" i="3"/>
  <c r="AT89" i="3"/>
  <c r="AI89" i="3"/>
  <c r="AG89" i="3"/>
  <c r="AI83" i="3"/>
  <c r="AF89" i="3"/>
  <c r="P46" i="3"/>
  <c r="AL85" i="3"/>
  <c r="K40" i="3"/>
  <c r="AH82" i="3"/>
  <c r="AT86" i="3"/>
  <c r="P11" i="3"/>
  <c r="AG82" i="3"/>
  <c r="AN86" i="3"/>
  <c r="AL86" i="3"/>
  <c r="P78" i="3"/>
  <c r="AN85" i="3"/>
  <c r="K78" i="3"/>
  <c r="AF83" i="3"/>
  <c r="P63" i="3"/>
  <c r="K11" i="3"/>
  <c r="AJ80" i="3"/>
  <c r="AI80" i="3"/>
  <c r="AL80" i="3"/>
  <c r="AN82" i="3"/>
  <c r="AI82" i="3"/>
  <c r="AT85" i="3"/>
  <c r="AG80" i="3"/>
  <c r="AF80" i="3"/>
  <c r="K63" i="3"/>
  <c r="P18" i="3"/>
  <c r="P10" i="3"/>
  <c r="K17" i="3"/>
  <c r="P76" i="3"/>
  <c r="AH80" i="3"/>
  <c r="AT80" i="3"/>
  <c r="AN80" i="3"/>
  <c r="AJ85" i="3"/>
  <c r="K27" i="3"/>
  <c r="AJ83" i="3"/>
  <c r="AH86" i="3"/>
  <c r="K65" i="3"/>
  <c r="P29" i="3"/>
  <c r="K16" i="3"/>
  <c r="AI85" i="3"/>
  <c r="AF85" i="3"/>
  <c r="P75" i="3"/>
  <c r="P66" i="3"/>
  <c r="P51" i="3"/>
  <c r="K51" i="3"/>
  <c r="K45" i="3"/>
  <c r="K18" i="3"/>
  <c r="AH83" i="3"/>
  <c r="AJ82" i="3"/>
  <c r="AG83" i="3"/>
  <c r="AJ86" i="3"/>
  <c r="P47" i="3"/>
  <c r="P70" i="3"/>
  <c r="AG87" i="3"/>
  <c r="AF87" i="3"/>
  <c r="P52" i="3"/>
  <c r="K69" i="3"/>
  <c r="P72" i="3"/>
  <c r="P27" i="3"/>
  <c r="AF81" i="3"/>
  <c r="K53" i="3"/>
  <c r="K29" i="3"/>
  <c r="AH91" i="3"/>
  <c r="K66" i="3"/>
  <c r="P64" i="3"/>
  <c r="P39" i="3"/>
  <c r="K48" i="3"/>
  <c r="K46" i="3"/>
  <c r="P28" i="3"/>
  <c r="AH85" i="3"/>
  <c r="K23" i="3"/>
  <c r="AG85" i="3"/>
  <c r="AT81" i="3"/>
  <c r="AG91" i="3"/>
  <c r="AF91" i="3"/>
  <c r="K42" i="3"/>
  <c r="P41" i="3"/>
  <c r="P15" i="3"/>
  <c r="P45" i="3"/>
  <c r="AN91" i="3"/>
  <c r="K24" i="3"/>
  <c r="AN81" i="3"/>
  <c r="AL91" i="3"/>
  <c r="K64" i="3"/>
  <c r="AL81" i="3"/>
  <c r="AT91" i="3"/>
  <c r="AJ81" i="3"/>
  <c r="AI81" i="3"/>
  <c r="AH81" i="3"/>
  <c r="AF82" i="3"/>
  <c r="AJ91" i="3"/>
  <c r="AG81" i="3"/>
  <c r="AI91" i="3"/>
  <c r="P71" i="3"/>
  <c r="AF90" i="3"/>
  <c r="K72" i="3"/>
  <c r="K47" i="3"/>
  <c r="K70" i="3"/>
  <c r="K77" i="3"/>
  <c r="K39" i="3"/>
  <c r="K28" i="3"/>
  <c r="AT90" i="3"/>
  <c r="P48" i="3"/>
  <c r="K15" i="3"/>
  <c r="AN90" i="3"/>
  <c r="P30" i="3"/>
  <c r="AL90" i="3"/>
  <c r="AJ90" i="3"/>
  <c r="AI90" i="3"/>
  <c r="AH90" i="3"/>
  <c r="AG90" i="3"/>
  <c r="P42" i="3"/>
  <c r="K54" i="3"/>
  <c r="K75" i="3"/>
  <c r="AN87" i="3"/>
  <c r="K76" i="3"/>
  <c r="P53" i="3"/>
  <c r="K41" i="3"/>
  <c r="AL87" i="3"/>
  <c r="K71" i="3"/>
  <c r="AJ87" i="3"/>
  <c r="AT87" i="3"/>
  <c r="AT82" i="3"/>
  <c r="AH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H92" i="3"/>
  <c r="AS92" i="3"/>
  <c r="AJ92" i="3"/>
  <c r="AN92" i="3"/>
  <c r="AI92" i="3"/>
  <c r="AL92" i="3"/>
  <c r="AM88" i="3" s="1"/>
  <c r="S103" i="3" l="1"/>
  <c r="T103" i="3" s="1" a="1"/>
  <c r="T103" i="3" s="1"/>
  <c r="CG24" i="3"/>
  <c r="AM87" i="3"/>
  <c r="AM81" i="3"/>
  <c r="AM82" i="3"/>
  <c r="AM80" i="3"/>
  <c r="AM89" i="3"/>
  <c r="AM90" i="3"/>
  <c r="AM91" i="3"/>
  <c r="AM83" i="3"/>
  <c r="AM84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CN48" i="3" s="1"/>
  <c r="AP80" i="3"/>
  <c r="AP91" i="3"/>
  <c r="AP84" i="3"/>
  <c r="AP85" i="3"/>
  <c r="AP83" i="3"/>
  <c r="AP81" i="3"/>
  <c r="AP88" i="3"/>
  <c r="AP90" i="3"/>
  <c r="AP89" i="3"/>
  <c r="AP82" i="3"/>
  <c r="AP86" i="3"/>
  <c r="CN37" i="3" l="1"/>
  <c r="S111" i="3"/>
  <c r="T111" i="3" s="1"/>
  <c r="AD90" i="3"/>
  <c r="AS90" i="3" s="1"/>
  <c r="AD81" i="3"/>
  <c r="AS81" i="3" s="1"/>
  <c r="AD83" i="3"/>
  <c r="AS83" i="3" s="1"/>
  <c r="AD88" i="3"/>
  <c r="AS88" i="3" s="1"/>
  <c r="AD82" i="3"/>
  <c r="AS82" i="3" s="1"/>
  <c r="AD91" i="3"/>
  <c r="AS91" i="3" s="1"/>
  <c r="AD84" i="3"/>
  <c r="AS84" i="3" s="1"/>
  <c r="AD86" i="3"/>
  <c r="AS86" i="3" s="1"/>
  <c r="AD89" i="3"/>
  <c r="AS89" i="3" s="1"/>
  <c r="AD87" i="3"/>
  <c r="AS87" i="3" s="1"/>
  <c r="AD85" i="3"/>
  <c r="AS85" i="3" s="1"/>
  <c r="AD80" i="3"/>
  <c r="N85" i="3" l="1"/>
  <c r="N81" i="3"/>
  <c r="J82" i="3"/>
  <c r="N92" i="3"/>
  <c r="O82" i="3"/>
  <c r="J87" i="3"/>
  <c r="J84" i="3"/>
  <c r="J89" i="3"/>
  <c r="L88" i="3"/>
  <c r="N88" i="3"/>
  <c r="J81" i="3"/>
  <c r="M85" i="3"/>
  <c r="O85" i="3"/>
  <c r="L92" i="3"/>
  <c r="M87" i="3"/>
  <c r="N89" i="3"/>
  <c r="O89" i="3"/>
  <c r="M92" i="3"/>
  <c r="N91" i="3"/>
  <c r="N87" i="3"/>
  <c r="L87" i="3"/>
  <c r="M83" i="3"/>
  <c r="N86" i="3"/>
  <c r="M86" i="3"/>
  <c r="O92" i="3"/>
  <c r="J90" i="3"/>
  <c r="J85" i="3"/>
  <c r="L84" i="3"/>
  <c r="M89" i="3"/>
  <c r="L89" i="3"/>
  <c r="M82" i="3"/>
  <c r="J88" i="3"/>
  <c r="L85" i="3"/>
  <c r="L90" i="3"/>
  <c r="L86" i="3"/>
  <c r="M90" i="3"/>
  <c r="N90" i="3"/>
  <c r="M84" i="3"/>
  <c r="O84" i="3"/>
  <c r="L82" i="3"/>
  <c r="N83" i="3"/>
  <c r="M81" i="3"/>
  <c r="O86" i="3"/>
  <c r="J91" i="3"/>
  <c r="J83" i="3"/>
  <c r="O81" i="3"/>
  <c r="L81" i="3"/>
  <c r="N84" i="3"/>
  <c r="O91" i="3"/>
  <c r="O88" i="3"/>
  <c r="L83" i="3"/>
  <c r="O90" i="3"/>
  <c r="O83" i="3"/>
  <c r="AS80" i="3"/>
  <c r="O87" i="3"/>
  <c r="J86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2" i="3"/>
  <c r="M88" i="3"/>
  <c r="L91" i="3"/>
  <c r="J92" i="3"/>
  <c r="M91" i="3"/>
  <c r="P84" i="3" l="1"/>
  <c r="K92" i="3"/>
  <c r="P81" i="3"/>
  <c r="K83" i="3"/>
  <c r="K85" i="3"/>
  <c r="P86" i="3"/>
  <c r="P82" i="3"/>
  <c r="P83" i="3"/>
  <c r="K89" i="3"/>
  <c r="K87" i="3"/>
  <c r="P85" i="3"/>
  <c r="P90" i="3"/>
  <c r="K86" i="3"/>
  <c r="K84" i="3"/>
  <c r="P92" i="3"/>
  <c r="P87" i="3"/>
  <c r="K90" i="3"/>
  <c r="P89" i="3"/>
  <c r="K88" i="3"/>
  <c r="K82" i="3"/>
  <c r="K81" i="3"/>
  <c r="P88" i="3"/>
  <c r="P91" i="3"/>
  <c r="K91" i="3"/>
  <c r="J3" i="4"/>
  <c r="BL71" i="3" s="1"/>
  <c r="B3" i="4"/>
  <c r="K3" i="4"/>
  <c r="BL55" i="3" s="1"/>
  <c r="D3" i="4"/>
  <c r="BL51" i="3" s="1"/>
  <c r="G3" i="4"/>
  <c r="BL11" i="3" s="1"/>
  <c r="I3" i="4"/>
  <c r="BL15" i="3" s="1"/>
  <c r="H3" i="4"/>
  <c r="BL39" i="3" s="1"/>
  <c r="E3" i="4"/>
  <c r="BL67" i="3" s="1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<sst xmlns="http://schemas.openxmlformats.org/spreadsheetml/2006/main" count="9785" uniqueCount="3699">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</sst>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L25" zoomScale="70" zoomScaleNormal="70" workbookViewId="0">
      <selection activeCell="CU56" sqref="CU56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5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90000009.167507172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10000000.500714865</v>
      </c>
      <c r="AQ9" s="126">
        <f>VLOOKUP(AE9,db_fifarank,2,FALSE)</f>
        <v>1429.73</v>
      </c>
      <c r="AR9" s="125">
        <f>AP9/AP12</f>
        <v>0.1111111041221324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40000003.834127665</v>
      </c>
      <c r="AQ10" s="126">
        <f>VLOOKUP(AE10,db_fifarank,2,FALSE)</f>
        <v>1588.66</v>
      </c>
      <c r="AR10" s="125">
        <f>AP10/AP12</f>
        <v>0.44444443683595186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5</v>
      </c>
      <c r="AL11" s="123">
        <f>AI11-AJ11</f>
        <v>-1</v>
      </c>
      <c r="AM11" s="123">
        <f>AL11-AL12</f>
        <v>1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30000002.334084027</v>
      </c>
      <c r="AQ11" s="126">
        <f>VLOOKUP(AE11,db_fifarank,2,FALSE)</f>
        <v>1501.38</v>
      </c>
      <c r="AR11" s="125">
        <f>AP11/AP12</f>
        <v>0.33333332161016765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6</v>
      </c>
      <c r="AN12" s="123">
        <f>MAX(AN8:AN11)+1</f>
        <v>10</v>
      </c>
      <c r="AO12" s="123">
        <f>MAX(AO8:AO11)+1</f>
        <v>10</v>
      </c>
      <c r="AP12" s="123">
        <f>MAX(AP8:AP11)+1</f>
        <v>90000010.167507172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6</v>
      </c>
      <c r="AN14" s="123">
        <f>AF14*3+AG14</f>
        <v>7</v>
      </c>
      <c r="AO14" s="123">
        <f>AN14/AN18*10+BA14</f>
        <v>9.7401960784313726</v>
      </c>
      <c r="AP14" s="123">
        <f>AO14*10000000+BI14*100+AM14/AM18*10+AI14/AI18*1++IF(AQ14=0,ROW(),AQ14)/2000000</f>
        <v>97402069.209461704</v>
      </c>
      <c r="AQ14" s="126">
        <f>VLOOKUP(AE14,db_fifarank,2,FALSE)</f>
        <v>1556.48</v>
      </c>
      <c r="AR14" s="125">
        <f>AP14/AP18</f>
        <v>0.99999998973327775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101</v>
      </c>
      <c r="BA14" s="126">
        <f>AZ14/AZ18</f>
        <v>0.99019607843137258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101</v>
      </c>
      <c r="BI14" s="126">
        <f>BH14/BH18</f>
        <v>0.99019607843137258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4</v>
      </c>
      <c r="AL15" s="123">
        <f>AI15-AJ15</f>
        <v>-3</v>
      </c>
      <c r="AM15" s="123">
        <f>AL15-AL18</f>
        <v>0</v>
      </c>
      <c r="AN15" s="123">
        <f>AF15*3+AG15</f>
        <v>1</v>
      </c>
      <c r="AO15" s="123">
        <f>AN15/AN18*10+BA15</f>
        <v>2.2401960784313726</v>
      </c>
      <c r="AP15" s="123">
        <f>AO15*10000000+BI15*100+AM15/AM18*10+AI15/AI18*1++IF(AQ15=0,ROW(),AQ15)/2000000</f>
        <v>22402059.971281156</v>
      </c>
      <c r="AQ15" s="126">
        <f>VLOOKUP(AE15,db_fifarank,2,FALSE)</f>
        <v>1385.84</v>
      </c>
      <c r="AR15" s="125">
        <f>AP15/AP18</f>
        <v>0.22999572722741785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101</v>
      </c>
      <c r="BA15" s="126">
        <f>AZ15/AZ18</f>
        <v>0.99019607843137258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101</v>
      </c>
      <c r="BI15" s="126">
        <f>BH15/BH18</f>
        <v>0.99019607843137258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3 - 1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4</v>
      </c>
      <c r="AL16" s="123">
        <f>AI16-AJ16</f>
        <v>-2</v>
      </c>
      <c r="AM16" s="123">
        <f>AL16-AL18</f>
        <v>1</v>
      </c>
      <c r="AN16" s="123">
        <f>AF16*3+AG16</f>
        <v>1</v>
      </c>
      <c r="AO16" s="123">
        <f>AN16/AN18*10+BA16</f>
        <v>2.2401960784313726</v>
      </c>
      <c r="AP16" s="123">
        <f>AO16*10000000+BI16*100+AM16/AM18*10+AI16/AI18*1++IF(AQ16=0,ROW(),AQ16)/2000000</f>
        <v>22402061.566553809</v>
      </c>
      <c r="AQ16" s="126">
        <f>VLOOKUP(AE16,db_fifarank,2,FALSE)</f>
        <v>1454.96</v>
      </c>
      <c r="AR16" s="125">
        <f>AP16/AP18</f>
        <v>0.22999574360563907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101</v>
      </c>
      <c r="BA16" s="126">
        <f>AZ16/AZ18</f>
        <v>0.99019607843137258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101</v>
      </c>
      <c r="BI16" s="126">
        <f>BH16/BH18</f>
        <v>0.99019607843137258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1</v>
      </c>
      <c r="AL17" s="123">
        <f>AI17-AJ17</f>
        <v>2</v>
      </c>
      <c r="AM17" s="123">
        <f>AL17-AL18</f>
        <v>5</v>
      </c>
      <c r="AN17" s="123">
        <f>AF17*3+AG17</f>
        <v>7</v>
      </c>
      <c r="AO17" s="123">
        <f>AN17/AN18*10+BA17</f>
        <v>9.7401960784313726</v>
      </c>
      <c r="AP17" s="123">
        <f>AO17*10000000+BI17*100+AM17/AM18*10+AI17/AI18*1++IF(AQ17=0,ROW(),AQ17)/2000000</f>
        <v>97402067.447603419</v>
      </c>
      <c r="AQ17" s="126">
        <f>VLOOKUP(AE17,db_fifarank,2,FALSE)</f>
        <v>1649.4</v>
      </c>
      <c r="AR17" s="125">
        <f>AP17/AP18</f>
        <v>0.99999997164476817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101</v>
      </c>
      <c r="BA17" s="126">
        <f>AZ17/AZ18</f>
        <v>0.99019607843137258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101</v>
      </c>
      <c r="BI17" s="126">
        <f>BH17/BH18</f>
        <v>0.99019607843137258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10.740196078431373</v>
      </c>
      <c r="AP18" s="123">
        <f>MAX(AP14:AP17)+1</f>
        <v>97402070.209461704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102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102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60000007.548954852</v>
      </c>
      <c r="AQ21" s="126">
        <f>VLOOKUP(AE21,db_fifarank,2,FALSE)</f>
        <v>1755.87</v>
      </c>
      <c r="AR21" s="125">
        <f>AP21/AP24</f>
        <v>0.66666666827246246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7.1761657810759959E-12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1</v>
      </c>
      <c r="BO22" s="25"/>
      <c r="BP22" s="116">
        <f>IF(OR(BM22="",BM23="",AND(BN22="",BN23&lt;&gt;""),AND(BN23="",BN22&lt;&gt;""),AND(BO22="",BO23&lt;&gt;""),AND(BO23="",BO22&lt;&gt;"")),"",BM22*1000+BN22*10+BO22)</f>
        <v>1010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30000005.885364559</v>
      </c>
      <c r="AQ23" s="126">
        <f>VLOOKUP(AE23,db_fifarank,2,FALSE)</f>
        <v>1498.35</v>
      </c>
      <c r="AR23" s="125">
        <f>AP23/AP24</f>
        <v>0.33333335759052984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2</v>
      </c>
      <c r="BO23" s="27"/>
      <c r="BP23" s="112">
        <f>IF(BP22="","",BM23*1000+BN23*10+BO23)</f>
        <v>1020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>
        <v>4</v>
      </c>
      <c r="CK23" s="112">
        <f>IF(OR(CH23="",CH24="",AND(CI23="",CI24&lt;&gt;""),AND(CI24="",CI23&lt;&gt;""),AND(CJ23="",CJ24&lt;&gt;""),AND(CJ24="",CJ23&lt;&gt;"")),"",CH23*1000+CI23*10+CJ23)</f>
        <v>1014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-7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1</v>
      </c>
      <c r="CJ24" s="27">
        <v>3</v>
      </c>
      <c r="CK24" s="113">
        <f>IF(CK23="","",CH24*1000+CI24*10+CJ24)</f>
        <v>1013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5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62500009.000836566</v>
      </c>
      <c r="AQ26" s="126">
        <f>VLOOKUP(AE26,db_fifarank,2,FALSE)</f>
        <v>1673.13</v>
      </c>
      <c r="AR26" s="125">
        <f>AP26/AP30</f>
        <v>0.7142857341526917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1020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12500000.334085084</v>
      </c>
      <c r="AQ27" s="126">
        <f>VLOOKUP(AE27,db_fifarank,2,FALSE)</f>
        <v>1503.5</v>
      </c>
      <c r="AR27" s="125">
        <f>AP27/AP30</f>
        <v>0.14285713007531481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2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25000003.834123667</v>
      </c>
      <c r="AQ28" s="126">
        <f>VLOOKUP(AE28,db_fifarank,2,FALSE)</f>
        <v>1580.67</v>
      </c>
      <c r="AR28" s="125">
        <f>AP28/AP30</f>
        <v>0.28571429633295109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87500009.167466179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87500010.167466179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90000010.161579475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7.1924991080038842E-12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3</v>
      </c>
      <c r="AL34" s="123">
        <f>AI34-AJ34</f>
        <v>-1</v>
      </c>
      <c r="AM34" s="123">
        <f>AL34-AL36</f>
        <v>6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30000004.536480777</v>
      </c>
      <c r="AQ34" s="126">
        <f>VLOOKUP(AE34,db_fifarank,2,FALSE)</f>
        <v>1532.98</v>
      </c>
      <c r="AR34" s="125">
        <f>AP34/AP36</f>
        <v>0.33333334239949092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60000006.929368816</v>
      </c>
      <c r="AQ35" s="126">
        <f>VLOOKUP(AE35,db_fifarank,2,FALSE)</f>
        <v>1594.78</v>
      </c>
      <c r="AR35" s="125">
        <f>AP35/AP36</f>
        <v>0.66666666098128768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Algeria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-7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90000011.161579475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1020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1</v>
      </c>
      <c r="BV37" s="27"/>
      <c r="BW37" s="112">
        <f>IF(BW36="","",BT37*1000+BU37*10+BV37)</f>
        <v>1010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8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87500009.723101154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7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62500008.445274659</v>
      </c>
      <c r="AQ39" s="126">
        <f>VLOOKUP(AE39,db_fifarank,2,FALSE)</f>
        <v>1660.43</v>
      </c>
      <c r="AR39" s="125">
        <f>AP39/AP42</f>
        <v>0.71428572326761819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5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50000006.056312934</v>
      </c>
      <c r="AQ40" s="126">
        <f>VLOOKUP(AE40,db_fifarank,2,FALSE)</f>
        <v>1514.77</v>
      </c>
      <c r="AR40" s="125">
        <f>AP40/AP42</f>
        <v>0.57142857061516084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8.4745703900151361E-12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6</v>
      </c>
      <c r="AL42" s="123">
        <f>MIN(AL38:AL41)</f>
        <v>-5</v>
      </c>
      <c r="AM42" s="123">
        <f>MAX(AM38:AM41)+1</f>
        <v>9</v>
      </c>
      <c r="AN42" s="123">
        <f>MAX(AN38:AN41)+1</f>
        <v>8</v>
      </c>
      <c r="AO42" s="123">
        <f>MAX(AO38:AO41)+1</f>
        <v>9.75</v>
      </c>
      <c r="AP42" s="123">
        <f>MAX(AP38:AP41)+1</f>
        <v>87500010.723101154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10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87500009.925109774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8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62500007.940175556</v>
      </c>
      <c r="AQ45" s="126">
        <f>VLOOKUP(AE45,db_fifarank,2,FALSE)</f>
        <v>1563.24</v>
      </c>
      <c r="AR45" s="125">
        <f>AP45/AP48</f>
        <v>0.71428571584600797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4 - 2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6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50000005.955353104</v>
      </c>
      <c r="AQ46" s="126">
        <f>VLOOKUP(AE46,db_fifarank,2,FALSE)</f>
        <v>1615.3</v>
      </c>
      <c r="AR46" s="125">
        <f>AP46/AP48</f>
        <v>0.57142856814209453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7.3232562284871062E-12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6</v>
      </c>
      <c r="AL48" s="123">
        <f>MIN(AL44:AL47)</f>
        <v>-6</v>
      </c>
      <c r="AM48" s="123">
        <f>MAX(AM44:AM47)+1</f>
        <v>11</v>
      </c>
      <c r="AN48" s="123">
        <f>MAX(AN44:AN47)+1</f>
        <v>8</v>
      </c>
      <c r="AO48" s="123">
        <f>MAX(AO44:AO47)+1</f>
        <v>9.75</v>
      </c>
      <c r="AP48" s="123">
        <f>MAX(AP44:AP47)+1</f>
        <v>87500010.925109774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>
        <v>3</v>
      </c>
      <c r="CC48" s="25"/>
      <c r="CD48" s="112">
        <f>IF(OR(CA48="",CA49="",AND(CB48="",CB49&lt;&gt;""),AND(CB49="",CB48&lt;&gt;""),AND(CC48="",CC49&lt;&gt;""),AND(CC49="",CC48&lt;&gt;"")),"",CA48*1000+CB48*10+CC48)</f>
        <v>1030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>
        <v>1</v>
      </c>
      <c r="CC49" s="27"/>
      <c r="CD49" s="113">
        <f>IF(CD48="","",CA49*1000+CB49*10+CC49)</f>
        <v>1010</v>
      </c>
      <c r="CK49" s="114"/>
      <c r="CL49" s="115"/>
      <c r="CM49" s="132"/>
      <c r="CN49" s="26" t="str">
        <f>IF(CK55&gt;CK56,CG56,IF(CK55&lt;CK56,CG55,""))</f>
        <v>Brazil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2</v>
      </c>
      <c r="AL50" s="123">
        <f>AI50-AJ50</f>
        <v>3</v>
      </c>
      <c r="AM50" s="123">
        <f>AL50-AL54</f>
        <v>8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97305933.024131313</v>
      </c>
      <c r="AQ50" s="126">
        <f>VLOOKUP(AE50,db_fifarank,2,FALSE)</f>
        <v>1876.4</v>
      </c>
      <c r="AR50" s="125">
        <f>AP50/AP54</f>
        <v>0.99999998972313442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5 - 2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0.16734973166666667</v>
      </c>
      <c r="AQ51" s="126">
        <f>VLOOKUP(AE51,db_fifarank,2,FALSE)</f>
        <v>1366.13</v>
      </c>
      <c r="AR51" s="125">
        <f>AP51/AP54</f>
        <v>1.7198306901320623E-9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5 - 2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37500005.11182183</v>
      </c>
      <c r="AQ52" s="126">
        <f>VLOOKUP(AE52,db_fifarank,2,FALSE)</f>
        <v>1421.43</v>
      </c>
      <c r="AR52" s="125">
        <f>AP52/AP54</f>
        <v>0.38538251020253345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8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97305933.024029642</v>
      </c>
      <c r="AQ53" s="126">
        <f>VLOOKUP(AE53,db_fifarank,2,FALSE)</f>
        <v>1673.07</v>
      </c>
      <c r="AR53" s="125">
        <f>AP53/AP54</f>
        <v>0.99999998972208959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6</v>
      </c>
      <c r="AL54" s="123">
        <f>MIN(AL50:AL53)</f>
        <v>-5</v>
      </c>
      <c r="AM54" s="123">
        <f>MAX(AM50:AM53)+1</f>
        <v>9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97305934.024131313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2</v>
      </c>
      <c r="AL56" s="123">
        <f>AI56-AJ56</f>
        <v>3</v>
      </c>
      <c r="AM56" s="123">
        <f>AL56-AL60</f>
        <v>8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87500009.723160878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6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50000007.334177822</v>
      </c>
      <c r="AQ57" s="126">
        <f>VLOOKUP(AE57,db_fifarank,2,FALSE)</f>
        <v>1688.99</v>
      </c>
      <c r="AR57" s="125">
        <f>AP57/AP60</f>
        <v>0.57142858521893913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4 - 3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1.9130310417477376E-9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1</v>
      </c>
      <c r="BO58" s="25">
        <v>5</v>
      </c>
      <c r="BP58" s="112">
        <f>IF(OR(BM58="",BM59="",AND(BN58="",BN59&lt;&gt;""),AND(BN59="",BN58&lt;&gt;""),AND(BO58="",BO59&lt;&gt;""),AND(BO59="",BO58&lt;&gt;"")),"",BM58*1000+BN58*10+BO58)</f>
        <v>1015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6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62500007.3341088</v>
      </c>
      <c r="AQ59" s="126">
        <f>VLOOKUP(AE59,db_fifarank,2,FALSE)</f>
        <v>1550.94</v>
      </c>
      <c r="AR59" s="125">
        <f>AP59/AP60</f>
        <v>0.71428571056809387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>
        <v>1</v>
      </c>
      <c r="BO59" s="27">
        <v>4</v>
      </c>
      <c r="BP59" s="113">
        <f>IF(BP58="","",BM59*1000+BN59*10+BO59)</f>
        <v>1014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6</v>
      </c>
      <c r="AL60" s="123">
        <f>MIN(AL56:AL59)</f>
        <v>-5</v>
      </c>
      <c r="AM60" s="123">
        <f>MAX(AM56:AM59)+1</f>
        <v>9</v>
      </c>
      <c r="AN60" s="123">
        <f>MAX(AN56:AN59)+1</f>
        <v>8</v>
      </c>
      <c r="AO60" s="123">
        <f>MAX(AO56:AO59)+1</f>
        <v>9.75</v>
      </c>
      <c r="AP60" s="123">
        <f>MAX(AP56:AP59)+1</f>
        <v>87500010.723160878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1</v>
      </c>
      <c r="AL62" s="123">
        <f>AI62-AJ62</f>
        <v>3</v>
      </c>
      <c r="AM62" s="123">
        <f>AL62-AL66</f>
        <v>8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87500009.68982631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4 - 1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3</v>
      </c>
      <c r="AL63" s="123">
        <f>AI63-AJ63</f>
        <v>0</v>
      </c>
      <c r="AM63" s="123">
        <f>AL63-AL66</f>
        <v>5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50000006.156337686</v>
      </c>
      <c r="AQ63" s="126">
        <f>VLOOKUP(AE63,db_fifarank,2,FALSE)</f>
        <v>1564.26</v>
      </c>
      <c r="AR63" s="125">
        <f>AP63/AP66</f>
        <v>0.5714285719756057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7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62500008.578574501</v>
      </c>
      <c r="AQ64" s="126">
        <f>VLOOKUP(AE64,db_fifarank,2,FALSE)</f>
        <v>1593.45</v>
      </c>
      <c r="AR64" s="125">
        <f>AP64/AP66</f>
        <v>0.71428572506267618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2.2936651483556341E-9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5</v>
      </c>
      <c r="AL66" s="123">
        <f>MIN(AL62:AL65)</f>
        <v>-5</v>
      </c>
      <c r="AM66" s="123">
        <f>MAX(AM62:AM65)+1</f>
        <v>9</v>
      </c>
      <c r="AN66" s="123">
        <f>MAX(AN62:AN65)+1</f>
        <v>8</v>
      </c>
      <c r="AO66" s="123">
        <f>MAX(AO62:AO65)+1</f>
        <v>9.75</v>
      </c>
      <c r="AP66" s="123">
        <f>MAX(AP62:AP65)+1</f>
        <v>87500010.68982631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>
        <v>1</v>
      </c>
      <c r="BO66" s="25">
        <v>4</v>
      </c>
      <c r="BP66" s="112">
        <f>IF(OR(BM66="",BM67="",AND(BN66="",BN67&lt;&gt;""),AND(BN67="",BN66&lt;&gt;""),AND(BO66="",BO67&lt;&gt;""),AND(BO67="",BO66&lt;&gt;"")),"",BM66*1000+BN66*10+BO66)</f>
        <v>1014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>
        <v>1</v>
      </c>
      <c r="BO67" s="27">
        <v>2</v>
      </c>
      <c r="BP67" s="113">
        <f>IF(BP66="","",BM67*1000+BN67*10+BO67)</f>
        <v>1012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90000009.966791004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19805923.426710051</v>
      </c>
      <c r="AQ69" s="126">
        <f>VLOOKUP(AE69,db_fifarank,2,FALSE)</f>
        <v>1478.35</v>
      </c>
      <c r="AR69" s="125">
        <f>AP69/AP72</f>
        <v>0.22006578903660595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19805923.551703546</v>
      </c>
      <c r="AQ70" s="126">
        <f>VLOOKUP(AE70,db_fifarank,2,FALSE)</f>
        <v>1465.34</v>
      </c>
      <c r="AR70" s="125">
        <f>AP70/AP72</f>
        <v>0.2200657904254224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60000006.080391996</v>
      </c>
      <c r="AQ71" s="126">
        <f>VLOOKUP(AE71,db_fifarank,2,FALSE)</f>
        <v>1693.09</v>
      </c>
      <c r="AR71" s="125">
        <f>AP71/AP72</f>
        <v>0.66666665299109051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-4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90000010.966791004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7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87500009.584246308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5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62500006.750858538</v>
      </c>
      <c r="AQ75" s="126">
        <f>VLOOKUP(AE75,db_fifarank,2,FALSE)</f>
        <v>1717.07</v>
      </c>
      <c r="AR75" s="125">
        <f>AP75/AP78</f>
        <v>0.71428570503637379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3 - 2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4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50000005.500673153</v>
      </c>
      <c r="AQ76" s="126">
        <f>VLOOKUP(AE76,db_fifarank,2,FALSE)</f>
        <v>1346.31</v>
      </c>
      <c r="AR76" s="125">
        <f>AP76/AP78</f>
        <v>0.57142856517179963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3 - 3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4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8.8036560779421225E-12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0 - 4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6</v>
      </c>
      <c r="AL78" s="123">
        <f>MIN(AL74:AL77)</f>
        <v>-4</v>
      </c>
      <c r="AM78" s="123">
        <f>MAX(AM74:AM77)+1</f>
        <v>8</v>
      </c>
      <c r="AN78" s="123">
        <f>MAX(AN74:AN77)+1</f>
        <v>8</v>
      </c>
      <c r="AO78" s="123">
        <f>MAX(AO74:AO77)+1</f>
        <v>9.75</v>
      </c>
      <c r="AP78" s="123">
        <f>MAX(AP74:AP77)+1</f>
        <v>87500010.584246308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6580.0007506900001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2373.3340608133335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Iran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6746.6674158416672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Algeria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4560.0007903349997</v>
      </c>
      <c r="AQ83" s="126">
        <f t="shared" si="37"/>
        <v>1580.67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Sweden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3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6540.0007664900004</v>
      </c>
      <c r="AQ84" s="126">
        <f t="shared" si="37"/>
        <v>1532.98</v>
      </c>
      <c r="AR84" s="125" t="str">
        <f t="shared" si="50"/>
        <v>AC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3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8726.6674240516659</v>
      </c>
      <c r="AQ85" s="126">
        <f t="shared" si="37"/>
        <v>1514.77</v>
      </c>
      <c r="AR85" s="125" t="str">
        <f t="shared" si="50"/>
        <v>ACF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2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8726.6674743166659</v>
      </c>
      <c r="AQ86" s="126">
        <f t="shared" si="37"/>
        <v>1615.3</v>
      </c>
      <c r="AR86" s="125" t="str">
        <f t="shared" si="50"/>
        <v>ACFG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6580.0007107150004</v>
      </c>
      <c r="AQ87" s="126">
        <f t="shared" si="37"/>
        <v>1421.43</v>
      </c>
      <c r="AR87" s="125" t="str">
        <f t="shared" si="50"/>
        <v>ACFGH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3189</v>
      </c>
      <c r="AL88" s="123">
        <f t="shared" si="43"/>
        <v>1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8913.3341778283338</v>
      </c>
      <c r="AQ88" s="126">
        <f t="shared" si="37"/>
        <v>1688.99</v>
      </c>
      <c r="AR88" s="125" t="str">
        <f t="shared" si="50"/>
        <v>ACFGHI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3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8726.6674487966666</v>
      </c>
      <c r="AQ89" s="126">
        <f t="shared" si="37"/>
        <v>1564.26</v>
      </c>
      <c r="AR89" s="125" t="str">
        <f t="shared" si="50"/>
        <v>ACFGHIJ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2040.0007326699999</v>
      </c>
      <c r="AQ90" s="126">
        <f t="shared" si="37"/>
        <v>1465.34</v>
      </c>
      <c r="AR90" s="125" t="str">
        <f t="shared" si="50"/>
        <v>ACFGHIJ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8726.6673398216662</v>
      </c>
      <c r="AQ91" s="126">
        <f t="shared" si="37"/>
        <v>1346.31</v>
      </c>
      <c r="AR91" s="125" t="str">
        <f t="shared" si="50"/>
        <v>ACFGHIJL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207</v>
      </c>
      <c r="C3" s="121" t="str">
        <f>'2026 World Cup'!AR91</f>
        <v>ACFGHIJL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Daniel Galán Velasco</cp:lastModifiedBy>
  <cp:revision/>
  <dcterms:created xsi:type="dcterms:W3CDTF">2017-12-27T19:32:51Z</dcterms:created>
  <dcterms:modified xsi:type="dcterms:W3CDTF">2026-06-10T21:01:29Z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