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riy.ostolatiy\Downloads\"/>
    </mc:Choice>
  </mc:AlternateContent>
  <xr:revisionPtr revIDLastSave="0" documentId="13_ncr:1_{E78EB3E9-F00A-4B62-9C76-8CCAB7CAC106}" xr6:coauthVersionLast="47" xr6:coauthVersionMax="47" xr10:uidLastSave="{00000000-0000-0000-0000-000000000000}"/>
  <bookViews>
    <workbookView xWindow="-108" yWindow="-108" windowWidth="41496" windowHeight="1677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BP11" i="3" l="1"/>
  <c r="CR38" i="3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S26" i="3"/>
  <c r="S75" i="3"/>
  <c r="T75" i="3" s="1"/>
  <c r="S25" i="3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S45" i="3"/>
  <c r="T45" i="3" s="1"/>
  <c r="S18" i="3"/>
  <c r="S63" i="3"/>
  <c r="S17" i="3"/>
  <c r="T17" i="3" s="1"/>
  <c r="S41" i="3"/>
  <c r="S15" i="3"/>
  <c r="T15" i="3" s="1"/>
  <c r="S61" i="3"/>
  <c r="S16" i="3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S35" i="3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S40" i="3"/>
  <c r="S62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78" i="3" l="1"/>
  <c r="T63" i="3"/>
  <c r="T61" i="3"/>
  <c r="T56" i="3"/>
  <c r="T53" i="3"/>
  <c r="T51" i="3"/>
  <c r="T48" i="3"/>
  <c r="T46" i="3"/>
  <c r="T43" i="3"/>
  <c r="T41" i="3"/>
  <c r="T37" i="3"/>
  <c r="T35" i="3"/>
  <c r="T33" i="3"/>
  <c r="T28" i="3"/>
  <c r="T27" i="3"/>
  <c r="T26" i="3"/>
  <c r="T25" i="3"/>
  <c r="T23" i="3"/>
  <c r="T21" i="3"/>
  <c r="T19" i="3"/>
  <c r="T18" i="3"/>
  <c r="T16" i="3"/>
  <c r="T12" i="3"/>
  <c r="T8" i="3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7" i="3" l="1"/>
  <c r="BH59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60" i="3" l="1"/>
  <c r="BI56" i="3" s="1"/>
  <c r="AP56" i="3" s="1"/>
  <c r="BH78" i="3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H42" i="3"/>
  <c r="BI40" i="3" s="1"/>
  <c r="AP40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7" i="3" l="1"/>
  <c r="AP57" i="3" s="1"/>
  <c r="BI59" i="3"/>
  <c r="AP59" i="3" s="1"/>
  <c r="BI58" i="3"/>
  <c r="AP58" i="3" s="1"/>
  <c r="BI26" i="3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60" i="3" l="1"/>
  <c r="AR57" i="3" s="1"/>
  <c r="AP12" i="3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P42" i="3"/>
  <c r="AR38" i="3" s="1"/>
  <c r="AP66" i="3"/>
  <c r="AR62" i="3" s="1"/>
  <c r="AP48" i="3"/>
  <c r="AR44" i="3" s="1"/>
  <c r="AP18" i="3"/>
  <c r="AR14" i="3" s="1"/>
  <c r="AP54" i="3"/>
  <c r="AR50" i="3" s="1"/>
  <c r="AR56" i="3" l="1"/>
  <c r="AR59" i="3"/>
  <c r="AR58" i="3"/>
  <c r="AR34" i="3"/>
  <c r="AR9" i="3"/>
  <c r="AR10" i="3"/>
  <c r="AR33" i="3"/>
  <c r="AR11" i="3"/>
  <c r="AR35" i="3"/>
  <c r="AR22" i="3"/>
  <c r="AR28" i="3"/>
  <c r="AR21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R16" i="3"/>
  <c r="AR17" i="3"/>
  <c r="AD56" i="3" l="1"/>
  <c r="AD57" i="3"/>
  <c r="AD58" i="3"/>
  <c r="AD59" i="3"/>
  <c r="AD53" i="3"/>
  <c r="AD15" i="3"/>
  <c r="AD47" i="3"/>
  <c r="AD44" i="3"/>
  <c r="AD9" i="3"/>
  <c r="AD8" i="3"/>
  <c r="AD14" i="3"/>
  <c r="AD32" i="3"/>
  <c r="AD34" i="3"/>
  <c r="AD77" i="3"/>
  <c r="AD33" i="3"/>
  <c r="AD35" i="3"/>
  <c r="AD10" i="3"/>
  <c r="AD11" i="3"/>
  <c r="AD76" i="3"/>
  <c r="AD29" i="3"/>
  <c r="AD68" i="3"/>
  <c r="AD70" i="3"/>
  <c r="AD71" i="3"/>
  <c r="AD28" i="3"/>
  <c r="AD22" i="3"/>
  <c r="AD63" i="3"/>
  <c r="AD75" i="3"/>
  <c r="AD62" i="3"/>
  <c r="AD74" i="3"/>
  <c r="AD41" i="3"/>
  <c r="AD27" i="3"/>
  <c r="AD21" i="3"/>
  <c r="AD26" i="3"/>
  <c r="AD20" i="3"/>
  <c r="AD69" i="3"/>
  <c r="AD39" i="3"/>
  <c r="AD64" i="3"/>
  <c r="AD16" i="3"/>
  <c r="AD46" i="3"/>
  <c r="AD23" i="3"/>
  <c r="AD65" i="3"/>
  <c r="AD51" i="3"/>
  <c r="AD45" i="3"/>
  <c r="AD40" i="3"/>
  <c r="AD52" i="3"/>
  <c r="AD38" i="3"/>
  <c r="AD50" i="3"/>
  <c r="AD17" i="3"/>
  <c r="M57" i="3" l="1"/>
  <c r="L57" i="3"/>
  <c r="O57" i="3"/>
  <c r="N57" i="3"/>
  <c r="J57" i="3"/>
  <c r="AS56" i="3" s="1"/>
  <c r="BL14" i="3" s="1"/>
  <c r="L58" i="3"/>
  <c r="N58" i="3"/>
  <c r="L60" i="3"/>
  <c r="O59" i="3"/>
  <c r="L59" i="3"/>
  <c r="M59" i="3"/>
  <c r="O60" i="3"/>
  <c r="N60" i="3"/>
  <c r="O58" i="3"/>
  <c r="J60" i="3"/>
  <c r="J58" i="3"/>
  <c r="AS57" i="3" s="1"/>
  <c r="BL47" i="3" s="1"/>
  <c r="BS45" i="3" s="1"/>
  <c r="M58" i="3"/>
  <c r="J59" i="3"/>
  <c r="AE88" i="3" s="1"/>
  <c r="AQ88" i="3" s="1"/>
  <c r="M60" i="3"/>
  <c r="N59" i="3"/>
  <c r="O54" i="3"/>
  <c r="J12" i="3"/>
  <c r="N12" i="3"/>
  <c r="O9" i="3"/>
  <c r="N9" i="3"/>
  <c r="O12" i="3"/>
  <c r="M9" i="3"/>
  <c r="L12" i="3"/>
  <c r="M12" i="3"/>
  <c r="J9" i="3"/>
  <c r="AS8" i="3" s="1"/>
  <c r="BL50" i="3" s="1"/>
  <c r="L9" i="3"/>
  <c r="L11" i="3"/>
  <c r="M10" i="3"/>
  <c r="N10" i="3"/>
  <c r="O11" i="3"/>
  <c r="J11" i="3"/>
  <c r="AE80" i="3" s="1"/>
  <c r="AQ80" i="3" s="1"/>
  <c r="L10" i="3"/>
  <c r="O10" i="3"/>
  <c r="N11" i="3"/>
  <c r="N17" i="3"/>
  <c r="M11" i="3"/>
  <c r="J10" i="3"/>
  <c r="AS9" i="3" s="1"/>
  <c r="BL18" i="3" s="1"/>
  <c r="M16" i="3"/>
  <c r="J16" i="3"/>
  <c r="AS15" i="3" s="1"/>
  <c r="BL19" i="3" s="1"/>
  <c r="M18" i="3"/>
  <c r="N16" i="3"/>
  <c r="O16" i="3"/>
  <c r="J18" i="3"/>
  <c r="L16" i="3"/>
  <c r="O18" i="3"/>
  <c r="N18" i="3"/>
  <c r="L18" i="3"/>
  <c r="J22" i="3"/>
  <c r="AS21" i="3" s="1"/>
  <c r="BL23" i="3" s="1"/>
  <c r="J21" i="3"/>
  <c r="AS20" i="3" s="1"/>
  <c r="BL42" i="3" s="1"/>
  <c r="BS44" i="3" s="1"/>
  <c r="J36" i="3"/>
  <c r="J35" i="3"/>
  <c r="AE84" i="3" s="1"/>
  <c r="AQ84" i="3" s="1"/>
  <c r="J34" i="3"/>
  <c r="AS33" i="3" s="1"/>
  <c r="BL46" i="3" s="1"/>
  <c r="J33" i="3"/>
  <c r="AS32" i="3" s="1"/>
  <c r="BL10" i="3" s="1"/>
  <c r="L33" i="3"/>
  <c r="O33" i="3"/>
  <c r="M33" i="3"/>
  <c r="M35" i="3"/>
  <c r="L36" i="3"/>
  <c r="O35" i="3"/>
  <c r="L34" i="3"/>
  <c r="L35" i="3"/>
  <c r="M34" i="3"/>
  <c r="N34" i="3"/>
  <c r="J45" i="3"/>
  <c r="AS44" i="3" s="1"/>
  <c r="BL38" i="3" s="1"/>
  <c r="N45" i="3"/>
  <c r="O45" i="3"/>
  <c r="M36" i="3"/>
  <c r="N33" i="3"/>
  <c r="O34" i="3"/>
  <c r="O36" i="3"/>
  <c r="N35" i="3"/>
  <c r="N36" i="3"/>
  <c r="M45" i="3"/>
  <c r="L45" i="3"/>
  <c r="L15" i="3"/>
  <c r="J42" i="3"/>
  <c r="J41" i="3"/>
  <c r="AE85" i="3" s="1"/>
  <c r="AQ85" i="3" s="1"/>
  <c r="J48" i="3"/>
  <c r="J47" i="3"/>
  <c r="AE86" i="3" s="1"/>
  <c r="AQ86" i="3" s="1"/>
  <c r="J46" i="3"/>
  <c r="AS45" i="3" s="1"/>
  <c r="BL63" i="3" s="1"/>
  <c r="L69" i="3"/>
  <c r="M69" i="3"/>
  <c r="N69" i="3"/>
  <c r="J69" i="3"/>
  <c r="AS68" i="3" s="1"/>
  <c r="BL70" i="3" s="1"/>
  <c r="O69" i="3"/>
  <c r="L23" i="3"/>
  <c r="M41" i="3"/>
  <c r="O17" i="3"/>
  <c r="L17" i="3"/>
  <c r="M17" i="3"/>
  <c r="J24" i="3"/>
  <c r="L21" i="3"/>
  <c r="M22" i="3"/>
  <c r="L24" i="3"/>
  <c r="M24" i="3"/>
  <c r="N24" i="3"/>
  <c r="O21" i="3"/>
  <c r="L22" i="3"/>
  <c r="O24" i="3"/>
  <c r="N21" i="3"/>
  <c r="O22" i="3"/>
  <c r="M21" i="3"/>
  <c r="N22" i="3"/>
  <c r="O23" i="3"/>
  <c r="J30" i="3"/>
  <c r="J29" i="3"/>
  <c r="AE83" i="3" s="1"/>
  <c r="AQ83" i="3" s="1"/>
  <c r="J28" i="3"/>
  <c r="AS27" i="3" s="1"/>
  <c r="BL62" i="3" s="1"/>
  <c r="BS61" i="3" s="1"/>
  <c r="J27" i="3"/>
  <c r="AS26" i="3" s="1"/>
  <c r="BL34" i="3" s="1"/>
  <c r="N27" i="3"/>
  <c r="M29" i="3"/>
  <c r="M27" i="3"/>
  <c r="N29" i="3"/>
  <c r="L29" i="3"/>
  <c r="O29" i="3"/>
  <c r="L27" i="3"/>
  <c r="O28" i="3"/>
  <c r="M30" i="3"/>
  <c r="M28" i="3"/>
  <c r="O30" i="3"/>
  <c r="O27" i="3"/>
  <c r="N28" i="3"/>
  <c r="L30" i="3"/>
  <c r="L28" i="3"/>
  <c r="N30" i="3"/>
  <c r="J40" i="3"/>
  <c r="AS39" i="3" s="1"/>
  <c r="BL43" i="3" s="1"/>
  <c r="J39" i="3"/>
  <c r="AS38" i="3" s="1"/>
  <c r="BL22" i="3" s="1"/>
  <c r="N39" i="3"/>
  <c r="O40" i="3"/>
  <c r="L39" i="3"/>
  <c r="L42" i="3"/>
  <c r="M40" i="3"/>
  <c r="L40" i="3"/>
  <c r="O42" i="3"/>
  <c r="M39" i="3"/>
  <c r="O39" i="3"/>
  <c r="N40" i="3"/>
  <c r="M42" i="3"/>
  <c r="N47" i="3"/>
  <c r="L47" i="3"/>
  <c r="N46" i="3"/>
  <c r="L46" i="3"/>
  <c r="O46" i="3"/>
  <c r="O48" i="3"/>
  <c r="M46" i="3"/>
  <c r="O47" i="3"/>
  <c r="N48" i="3"/>
  <c r="M47" i="3"/>
  <c r="M48" i="3"/>
  <c r="L48" i="3"/>
  <c r="M54" i="3"/>
  <c r="M51" i="3"/>
  <c r="N53" i="3"/>
  <c r="L51" i="3"/>
  <c r="N51" i="3"/>
  <c r="J51" i="3"/>
  <c r="AS50" i="3" s="1"/>
  <c r="BL30" i="3" s="1"/>
  <c r="J52" i="3"/>
  <c r="AS51" i="3" s="1"/>
  <c r="BL59" i="3" s="1"/>
  <c r="N54" i="3"/>
  <c r="O51" i="3"/>
  <c r="N52" i="3"/>
  <c r="L54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J66" i="3"/>
  <c r="J65" i="3"/>
  <c r="AE89" i="3" s="1"/>
  <c r="AQ89" i="3" s="1"/>
  <c r="J64" i="3"/>
  <c r="AS63" i="3" s="1"/>
  <c r="BL31" i="3" s="1"/>
  <c r="J63" i="3"/>
  <c r="AS62" i="3" s="1"/>
  <c r="BL58" i="3" s="1"/>
  <c r="BS60" i="3" s="1"/>
  <c r="BZ64" i="3" s="1"/>
  <c r="L70" i="3"/>
  <c r="M70" i="3"/>
  <c r="N70" i="3"/>
  <c r="O70" i="3"/>
  <c r="L71" i="3"/>
  <c r="M71" i="3"/>
  <c r="N71" i="3"/>
  <c r="O71" i="3"/>
  <c r="L72" i="3"/>
  <c r="M72" i="3"/>
  <c r="N72" i="3"/>
  <c r="O72" i="3"/>
  <c r="J72" i="3"/>
  <c r="J71" i="3"/>
  <c r="AE90" i="3" s="1"/>
  <c r="AQ90" i="3" s="1"/>
  <c r="J70" i="3"/>
  <c r="AS69" i="3" s="1"/>
  <c r="BL26" i="3" s="1"/>
  <c r="L75" i="3"/>
  <c r="O75" i="3"/>
  <c r="N75" i="3"/>
  <c r="J75" i="3"/>
  <c r="AS74" i="3" s="1"/>
  <c r="BL54" i="3" s="1"/>
  <c r="M75" i="3"/>
  <c r="N76" i="3"/>
  <c r="J78" i="3"/>
  <c r="M76" i="3"/>
  <c r="L76" i="3"/>
  <c r="N78" i="3"/>
  <c r="M78" i="3"/>
  <c r="L78" i="3"/>
  <c r="O78" i="3"/>
  <c r="O76" i="3"/>
  <c r="J76" i="3"/>
  <c r="AS75" i="3" s="1"/>
  <c r="BL27" i="3" s="1"/>
  <c r="L77" i="3"/>
  <c r="O77" i="3"/>
  <c r="J77" i="3"/>
  <c r="AE91" i="3" s="1"/>
  <c r="AQ91" i="3" s="1"/>
  <c r="M77" i="3"/>
  <c r="N77" i="3"/>
  <c r="J54" i="3"/>
  <c r="O52" i="3"/>
  <c r="O41" i="3"/>
  <c r="L41" i="3"/>
  <c r="N23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N42" i="3"/>
  <c r="M15" i="3"/>
  <c r="O15" i="3"/>
  <c r="J15" i="3"/>
  <c r="AS14" i="3" s="1"/>
  <c r="BL66" i="3" s="1"/>
  <c r="BZ48" i="3" l="1"/>
  <c r="S91" i="3"/>
  <c r="T91" i="3" s="1" a="1"/>
  <c r="T91" i="3" s="1"/>
  <c r="BS37" i="3"/>
  <c r="S90" i="3"/>
  <c r="T90" i="3" s="1" a="1"/>
  <c r="T90" i="3" s="1"/>
  <c r="BS36" i="3"/>
  <c r="S89" i="3"/>
  <c r="T89" i="3" s="1" a="1"/>
  <c r="T89" i="3" s="1"/>
  <c r="BS21" i="3"/>
  <c r="S87" i="3"/>
  <c r="T87" i="3" s="1" a="1"/>
  <c r="T87" i="3" s="1"/>
  <c r="BS29" i="3"/>
  <c r="S86" i="3"/>
  <c r="T86" i="3" s="1" a="1"/>
  <c r="T86" i="3" s="1"/>
  <c r="BS28" i="3"/>
  <c r="S88" i="3"/>
  <c r="T88" i="3" s="1" a="1"/>
  <c r="T88" i="3" s="1"/>
  <c r="BS20" i="3"/>
  <c r="P57" i="3"/>
  <c r="K57" i="3"/>
  <c r="AI88" i="3"/>
  <c r="AJ88" i="3"/>
  <c r="AN88" i="3"/>
  <c r="AT88" i="3"/>
  <c r="P58" i="3"/>
  <c r="K58" i="3"/>
  <c r="P59" i="3"/>
  <c r="K59" i="3"/>
  <c r="AL88" i="3"/>
  <c r="P60" i="3"/>
  <c r="K60" i="3"/>
  <c r="AF88" i="3"/>
  <c r="AG88" i="3"/>
  <c r="AH88" i="3"/>
  <c r="P35" i="3"/>
  <c r="K35" i="3"/>
  <c r="P34" i="3"/>
  <c r="K34" i="3"/>
  <c r="P36" i="3"/>
  <c r="K36" i="3"/>
  <c r="P33" i="3"/>
  <c r="AF84" i="3"/>
  <c r="AG84" i="3"/>
  <c r="AH84" i="3"/>
  <c r="AI84" i="3"/>
  <c r="AJ84" i="3"/>
  <c r="AL84" i="3"/>
  <c r="AN84" i="3"/>
  <c r="AT84" i="3"/>
  <c r="P30" i="3"/>
  <c r="AF82" i="3"/>
  <c r="AG82" i="3"/>
  <c r="AH82" i="3"/>
  <c r="AI82" i="3"/>
  <c r="AJ82" i="3"/>
  <c r="P18" i="3"/>
  <c r="K18" i="3"/>
  <c r="P16" i="3"/>
  <c r="K16" i="3"/>
  <c r="P45" i="3"/>
  <c r="K27" i="3"/>
  <c r="P27" i="3"/>
  <c r="K45" i="3"/>
  <c r="K29" i="3"/>
  <c r="K33" i="3"/>
  <c r="P29" i="3"/>
  <c r="AL80" i="3"/>
  <c r="K12" i="3"/>
  <c r="AG80" i="3"/>
  <c r="K10" i="3"/>
  <c r="K11" i="3"/>
  <c r="P12" i="3"/>
  <c r="AF80" i="3"/>
  <c r="K9" i="3"/>
  <c r="AJ80" i="3"/>
  <c r="AI80" i="3"/>
  <c r="P10" i="3"/>
  <c r="AN80" i="3"/>
  <c r="AT80" i="3"/>
  <c r="P9" i="3"/>
  <c r="AH80" i="3"/>
  <c r="P11" i="3"/>
  <c r="AF91" i="3"/>
  <c r="AG91" i="3"/>
  <c r="AH91" i="3"/>
  <c r="AI91" i="3"/>
  <c r="AJ91" i="3"/>
  <c r="AL91" i="3"/>
  <c r="AN91" i="3"/>
  <c r="AT91" i="3"/>
  <c r="P77" i="3"/>
  <c r="K77" i="3"/>
  <c r="P69" i="3"/>
  <c r="K69" i="3"/>
  <c r="AF86" i="3"/>
  <c r="AG86" i="3"/>
  <c r="AH86" i="3"/>
  <c r="AI86" i="3"/>
  <c r="AJ86" i="3"/>
  <c r="AL86" i="3"/>
  <c r="AN86" i="3"/>
  <c r="AT86" i="3"/>
  <c r="K40" i="3"/>
  <c r="P40" i="3"/>
  <c r="K42" i="3"/>
  <c r="P42" i="3"/>
  <c r="P39" i="3"/>
  <c r="K39" i="3"/>
  <c r="AF85" i="3"/>
  <c r="AG85" i="3"/>
  <c r="AH85" i="3"/>
  <c r="AI85" i="3"/>
  <c r="AJ85" i="3"/>
  <c r="AL85" i="3"/>
  <c r="AN85" i="3"/>
  <c r="AT85" i="3"/>
  <c r="K30" i="3"/>
  <c r="P28" i="3"/>
  <c r="K28" i="3"/>
  <c r="AN82" i="3"/>
  <c r="AT82" i="3"/>
  <c r="P52" i="3"/>
  <c r="AF83" i="3"/>
  <c r="K23" i="3"/>
  <c r="P53" i="3"/>
  <c r="P75" i="3"/>
  <c r="K78" i="3"/>
  <c r="P78" i="3"/>
  <c r="P76" i="3"/>
  <c r="K76" i="3"/>
  <c r="K75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AF89" i="3"/>
  <c r="AG89" i="3"/>
  <c r="AH89" i="3"/>
  <c r="AI89" i="3"/>
  <c r="AJ89" i="3"/>
  <c r="AL89" i="3"/>
  <c r="AN89" i="3"/>
  <c r="AT89" i="3"/>
  <c r="P66" i="3"/>
  <c r="K66" i="3"/>
  <c r="P65" i="3"/>
  <c r="K65" i="3"/>
  <c r="P64" i="3"/>
  <c r="K64" i="3"/>
  <c r="P63" i="3"/>
  <c r="K63" i="3"/>
  <c r="P54" i="3"/>
  <c r="K54" i="3"/>
  <c r="K53" i="3"/>
  <c r="AF87" i="3"/>
  <c r="AG87" i="3"/>
  <c r="AH87" i="3"/>
  <c r="AJ87" i="3"/>
  <c r="AL87" i="3"/>
  <c r="AN87" i="3"/>
  <c r="AT87" i="3"/>
  <c r="K51" i="3"/>
  <c r="P51" i="3"/>
  <c r="K48" i="3"/>
  <c r="P48" i="3"/>
  <c r="P46" i="3"/>
  <c r="K46" i="3"/>
  <c r="K47" i="3"/>
  <c r="P47" i="3"/>
  <c r="P41" i="3"/>
  <c r="K41" i="3"/>
  <c r="AG83" i="3"/>
  <c r="AH83" i="3"/>
  <c r="AI83" i="3"/>
  <c r="AJ83" i="3"/>
  <c r="AL83" i="3"/>
  <c r="AN83" i="3"/>
  <c r="AT83" i="3"/>
  <c r="P23" i="3"/>
  <c r="P22" i="3"/>
  <c r="K22" i="3"/>
  <c r="K24" i="3"/>
  <c r="P24" i="3"/>
  <c r="P21" i="3"/>
  <c r="K21" i="3"/>
  <c r="P17" i="3"/>
  <c r="K17" i="3"/>
  <c r="AF81" i="3"/>
  <c r="AG81" i="3"/>
  <c r="AH81" i="3"/>
  <c r="AI81" i="3"/>
  <c r="AJ81" i="3"/>
  <c r="AL81" i="3"/>
  <c r="AN81" i="3"/>
  <c r="AT81" i="3"/>
  <c r="P15" i="3"/>
  <c r="K15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I92" i="3"/>
  <c r="AH92" i="3"/>
  <c r="AN92" i="3"/>
  <c r="AL92" i="3"/>
  <c r="AM88" i="3" s="1"/>
  <c r="AJ92" i="3"/>
  <c r="AG92" i="3"/>
  <c r="AF92" i="3"/>
  <c r="AS92" i="3"/>
  <c r="S103" i="3" l="1"/>
  <c r="T103" i="3" s="1" a="1"/>
  <c r="T103" i="3" s="1"/>
  <c r="CG24" i="3"/>
  <c r="S111" i="3" s="1"/>
  <c r="T111" i="3" s="1"/>
  <c r="AM83" i="3"/>
  <c r="AM89" i="3"/>
  <c r="AM82" i="3"/>
  <c r="AM90" i="3"/>
  <c r="AM91" i="3"/>
  <c r="AM80" i="3"/>
  <c r="AM81" i="3"/>
  <c r="AM87" i="3"/>
  <c r="AM86" i="3"/>
  <c r="AM85" i="3"/>
  <c r="AM84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1" i="3"/>
  <c r="AP84" i="3"/>
  <c r="AP88" i="3"/>
  <c r="AP83" i="3"/>
  <c r="AP86" i="3"/>
  <c r="AP89" i="3"/>
  <c r="AP90" i="3"/>
  <c r="AP82" i="3"/>
  <c r="AP91" i="3"/>
  <c r="AP85" i="3"/>
  <c r="AP80" i="3"/>
  <c r="CN37" i="3" l="1"/>
  <c r="CK68" i="3" s="1"/>
  <c r="CN48" i="3"/>
  <c r="AD85" i="3"/>
  <c r="AS85" i="3" s="1"/>
  <c r="AD89" i="3"/>
  <c r="AS89" i="3" s="1"/>
  <c r="AD86" i="3"/>
  <c r="AS86" i="3" s="1"/>
  <c r="AD83" i="3"/>
  <c r="AS83" i="3" s="1"/>
  <c r="AD82" i="3"/>
  <c r="AS82" i="3" s="1"/>
  <c r="AD90" i="3"/>
  <c r="AS90" i="3" s="1"/>
  <c r="AD87" i="3"/>
  <c r="AS87" i="3" s="1"/>
  <c r="AD91" i="3"/>
  <c r="AS91" i="3" s="1"/>
  <c r="AD81" i="3"/>
  <c r="AS81" i="3" s="1"/>
  <c r="AD84" i="3"/>
  <c r="AS84" i="3" s="1"/>
  <c r="AD88" i="3"/>
  <c r="AS88" i="3" s="1"/>
  <c r="AD80" i="3"/>
  <c r="N84" i="3" l="1"/>
  <c r="M87" i="3"/>
  <c r="M85" i="3"/>
  <c r="L88" i="3"/>
  <c r="J87" i="3"/>
  <c r="N85" i="3"/>
  <c r="L84" i="3"/>
  <c r="L91" i="3"/>
  <c r="N82" i="3"/>
  <c r="N81" i="3"/>
  <c r="L81" i="3"/>
  <c r="O91" i="3"/>
  <c r="O88" i="3"/>
  <c r="M91" i="3"/>
  <c r="N92" i="3"/>
  <c r="M82" i="3"/>
  <c r="M92" i="3"/>
  <c r="O84" i="3"/>
  <c r="O85" i="3"/>
  <c r="J85" i="3"/>
  <c r="J86" i="3"/>
  <c r="J88" i="3"/>
  <c r="N90" i="3"/>
  <c r="O90" i="3"/>
  <c r="O86" i="3"/>
  <c r="L90" i="3"/>
  <c r="J82" i="3"/>
  <c r="N86" i="3"/>
  <c r="J91" i="3"/>
  <c r="L85" i="3"/>
  <c r="M89" i="3"/>
  <c r="N88" i="3"/>
  <c r="O87" i="3"/>
  <c r="L82" i="3"/>
  <c r="O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M84" i="3"/>
  <c r="J90" i="3"/>
  <c r="M86" i="3"/>
  <c r="J83" i="3"/>
  <c r="M81" i="3"/>
  <c r="L89" i="3"/>
  <c r="J84" i="3"/>
  <c r="AS80" i="3"/>
  <c r="L83" i="3"/>
  <c r="L87" i="3"/>
  <c r="J92" i="3"/>
  <c r="M88" i="3"/>
  <c r="O83" i="3"/>
  <c r="P92" i="3" l="1"/>
  <c r="K91" i="3"/>
  <c r="K82" i="3"/>
  <c r="P81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 s="1"/>
  <c r="I3" i="4"/>
  <c r="BL15" i="3" s="1"/>
  <c r="P89" i="3"/>
  <c r="G3" i="4"/>
  <c r="BL11" i="3" s="1"/>
  <c r="J3" i="4"/>
  <c r="B3" i="4"/>
  <c r="D3" i="4"/>
  <c r="K3" i="4"/>
  <c r="P88" i="3"/>
  <c r="BS53" i="3"/>
  <c r="BS52" i="3"/>
  <c r="BS69" i="3"/>
  <c r="BZ65" i="3" s="1"/>
  <c r="CG56" i="3" s="1"/>
  <c r="CN38" i="3" s="1"/>
  <c r="BS68" i="3"/>
  <c r="BZ49" i="3" l="1"/>
  <c r="CG55" i="3" s="1"/>
  <c r="CN49" i="3" s="1"/>
  <c r="BL55" i="3"/>
  <c r="BL51" i="3"/>
  <c r="BL71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<sst xmlns="http://schemas.openxmlformats.org/spreadsheetml/2006/main" count="9785" uniqueCount="3699">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</sst>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CU36" sqref="CU36"/>
    </sheetView>
  </sheetViews>
  <sheetFormatPr baseColWidth="10"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3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7</v>
      </c>
      <c r="AJ8" s="123">
        <f>SUMIF($E$7:$E$78,$AE8,$G$7:$G$78) + SUMIF($H$7:$H$78,$AE8,$F$7:$F$78)</f>
        <v>4</v>
      </c>
      <c r="AL8" s="123">
        <f>AI8-AJ8</f>
        <v>3</v>
      </c>
      <c r="AM8" s="123">
        <f>AL8-AL12</f>
        <v>6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87500009.447269082</v>
      </c>
      <c r="AQ8" s="126">
        <f>VLOOKUP(AE8,db_fifarank,2,FALSE)</f>
        <v>1681.03</v>
      </c>
      <c r="AR8" s="125">
        <f>AP8/AP12</f>
        <v>0.99999998857142991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0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7 - 4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1</v>
      </c>
      <c r="V9" s="123">
        <f t="shared" si="3"/>
        <v>0</v>
      </c>
      <c r="W9" s="123">
        <f t="shared" si="4"/>
        <v>0</v>
      </c>
      <c r="X9" s="123">
        <f t="shared" si="9"/>
        <v>1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2</v>
      </c>
      <c r="AJ9" s="123">
        <f>SUMIF($E$7:$E$78,$AE9,$G$7:$G$78) + SUMIF($H$7:$H$78,$AE9,$F$7:$F$78)</f>
        <v>5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1.25</v>
      </c>
      <c r="AP9" s="123">
        <f>AO9*10000000+BI9*100+AM9/AM12*10+AI9/AI12*1++IF(AQ9=0,ROW(),AQ9)/2000000</f>
        <v>12500000.250714865</v>
      </c>
      <c r="AQ9" s="126">
        <f>VLOOKUP(AE9,db_fifarank,2,FALSE)</f>
        <v>1429.73</v>
      </c>
      <c r="AR9" s="125">
        <f>AP9/AP12</f>
        <v>0.14285712866569145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2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4 - 3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2</v>
      </c>
      <c r="AH10" s="123">
        <f>COUNTIF($S$7:$T$78,"=" &amp; AE10 &amp; "_lose")</f>
        <v>0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3</v>
      </c>
      <c r="AL10" s="123">
        <f>AI10-AJ10</f>
        <v>1</v>
      </c>
      <c r="AM10" s="123">
        <f>AL10-AL12</f>
        <v>4</v>
      </c>
      <c r="AN10" s="123">
        <f>AF10*3+AG10</f>
        <v>5</v>
      </c>
      <c r="AO10" s="123">
        <f>AN10/AN12*10+BA10</f>
        <v>6.25</v>
      </c>
      <c r="AP10" s="123">
        <f>AO10*10000000+BI10*100+AM10/AM12*10+AI10/AI12*1++IF(AQ10=0,ROW(),AQ10)/2000000</f>
        <v>62500006.215080045</v>
      </c>
      <c r="AQ10" s="126">
        <f>VLOOKUP(AE10,db_fifarank,2,FALSE)</f>
        <v>1588.66</v>
      </c>
      <c r="AR10" s="125">
        <f>AP10/AP12</f>
        <v>0.71428570003137293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3 - 4</v>
      </c>
      <c r="P11" s="34">
        <f>L11*3+M11</f>
        <v>2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2</v>
      </c>
      <c r="AH11" s="123">
        <f>COUNTIF($S$7:$T$78,"=" &amp; AE11 &amp; "_lose")</f>
        <v>1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4</v>
      </c>
      <c r="AL11" s="123">
        <f>AI11-AJ11</f>
        <v>-1</v>
      </c>
      <c r="AM11" s="123">
        <f>AL11-AL12</f>
        <v>2</v>
      </c>
      <c r="AN11" s="123">
        <f>AF11*3+AG11</f>
        <v>2</v>
      </c>
      <c r="AO11" s="123">
        <f>AN11/AN12*10+BA11</f>
        <v>2.5</v>
      </c>
      <c r="AP11" s="123">
        <f>AO11*10000000+BI11*100+AM11/AM12*10+AI11/AI12*1++IF(AQ11=0,ROW(),AQ11)/2000000</f>
        <v>25000003.232893549</v>
      </c>
      <c r="AQ11" s="126">
        <f>VLOOKUP(AE11,db_fifarank,2,FALSE)</f>
        <v>1501.38</v>
      </c>
      <c r="AR11" s="125">
        <f>AP11/AP12</f>
        <v>0.28571428854810854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United States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2 - 5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3</v>
      </c>
      <c r="AI12" s="123">
        <f>MAX(AI8:AI11)+1</f>
        <v>8</v>
      </c>
      <c r="AL12" s="123">
        <f>MIN(AL8:AL11)</f>
        <v>-3</v>
      </c>
      <c r="AM12" s="123">
        <f>MAX(AM8:AM11)+1</f>
        <v>7</v>
      </c>
      <c r="AN12" s="123">
        <f>MAX(AN8:AN11)+1</f>
        <v>8</v>
      </c>
      <c r="AO12" s="123">
        <f>MAX(AO8:AO11)+1</f>
        <v>9.75</v>
      </c>
      <c r="AP12" s="123">
        <f>MAX(AP8:AP11)+1</f>
        <v>87500010.447269082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1</v>
      </c>
      <c r="AJ14" s="123">
        <f>SUMIF($E$7:$E$78,$AE14,$G$7:$G$78) + SUMIF($H$7:$H$78,$AE14,$F$7:$F$78)</f>
        <v>2</v>
      </c>
      <c r="AL14" s="123">
        <f>AI14-AJ14</f>
        <v>-1</v>
      </c>
      <c r="AM14" s="123">
        <f>AL14-AL18</f>
        <v>5</v>
      </c>
      <c r="AN14" s="123">
        <f>AF14*3+AG14</f>
        <v>4</v>
      </c>
      <c r="AO14" s="123">
        <f>AN14/AN18*10+BA14</f>
        <v>4.9803921568627452</v>
      </c>
      <c r="AP14" s="123">
        <f>AO14*10000000+BI14*100+AM14/AM18*10+AI14/AI18*1++IF(AQ14=0,ROW(),AQ14)/2000000</f>
        <v>49804023.579775229</v>
      </c>
      <c r="AQ14" s="126">
        <f>VLOOKUP(AE14,db_fifarank,2,FALSE)</f>
        <v>1556.48</v>
      </c>
      <c r="AR14" s="125">
        <f>AP14/AP18</f>
        <v>0.55337797148478673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</v>
      </c>
      <c r="BA14" s="126">
        <f>AZ14/AZ18</f>
        <v>0.98039215686274506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</v>
      </c>
      <c r="BI14" s="126">
        <f>BH14/BH18</f>
        <v>0.98039215686274506</v>
      </c>
      <c r="BK14" s="131">
        <v>77</v>
      </c>
      <c r="BL14" s="24" t="str">
        <f>AS56</f>
        <v>France</v>
      </c>
      <c r="BM14" s="61">
        <v>4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4000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7 - 1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2</v>
      </c>
      <c r="AL15" s="123">
        <f>AI15-AJ15</f>
        <v>1</v>
      </c>
      <c r="AM15" s="123">
        <f>AL15-AL18</f>
        <v>7</v>
      </c>
      <c r="AN15" s="123">
        <f>AF15*3+AG15</f>
        <v>4</v>
      </c>
      <c r="AO15" s="123">
        <f>AN15/AN18*10+BA15</f>
        <v>4.9803921568627452</v>
      </c>
      <c r="AP15" s="123">
        <f>AO15*10000000+BI15*100+AM15/AM18*10+AI15/AI18*1++IF(AQ15=0,ROW(),AQ15)/2000000</f>
        <v>49804025.368151441</v>
      </c>
      <c r="AQ15" s="126">
        <f>VLOOKUP(AE15,db_fifarank,2,FALSE)</f>
        <v>1385.84</v>
      </c>
      <c r="AR15" s="125">
        <f>AP15/AP18</f>
        <v>0.55337799135563104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</v>
      </c>
      <c r="BA15" s="126">
        <f>AZ15/AZ18</f>
        <v>0.98039215686274506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</v>
      </c>
      <c r="BI15" s="126">
        <f>BH15/BH18</f>
        <v>0.98039215686274506</v>
      </c>
      <c r="BK15" s="132"/>
      <c r="BL15" s="26" t="str">
        <f>IF(group_round_completed,VLOOKUP('3rd places'!I3,AK80:AS91,9,FALSE),"3rd Group C/D/F/G/H")</f>
        <v>Sweden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6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3 - 2</v>
      </c>
      <c r="P16" s="34">
        <f>L16*3+M16</f>
        <v>4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6</v>
      </c>
      <c r="AL16" s="123">
        <f>AI16-AJ16</f>
        <v>-6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8.0831101136019802E-12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4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4000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1 - 2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2</v>
      </c>
      <c r="W17" s="123">
        <f t="shared" si="4"/>
        <v>2</v>
      </c>
      <c r="X17" s="123">
        <f t="shared" si="9"/>
        <v>1</v>
      </c>
      <c r="Y17" s="123">
        <f t="shared" si="10"/>
        <v>2</v>
      </c>
      <c r="Z17" s="123">
        <f t="shared" si="11"/>
        <v>2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7</v>
      </c>
      <c r="AJ17" s="123">
        <f>SUMIF($E$7:$E$78,$AE17,$G$7:$G$78) + SUMIF($H$7:$H$78,$AE17,$F$7:$F$78)</f>
        <v>1</v>
      </c>
      <c r="AL17" s="123">
        <f>AI17-AJ17</f>
        <v>6</v>
      </c>
      <c r="AM17" s="123">
        <f>AL17-AL18</f>
        <v>12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90000010.106593937</v>
      </c>
      <c r="AQ17" s="126">
        <f>VLOOKUP(AE17,db_fifarank,2,FALSE)</f>
        <v>1649.4</v>
      </c>
      <c r="AR17" s="125">
        <f>AP17/AP18</f>
        <v>0.9999999888888903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Japan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0 - 6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4</v>
      </c>
      <c r="AI18" s="123">
        <f>MAX(AI14:AI17)+1</f>
        <v>8</v>
      </c>
      <c r="AL18" s="123">
        <f>MIN(AL14:AL17)</f>
        <v>-6</v>
      </c>
      <c r="AM18" s="123">
        <f>MAX(AM14:AM17)+1</f>
        <v>13</v>
      </c>
      <c r="AN18" s="123">
        <f>MAX(AN14:AN17)+1</f>
        <v>10</v>
      </c>
      <c r="AO18" s="123">
        <f>MAX(AO14:AO17)+1</f>
        <v>10</v>
      </c>
      <c r="AP18" s="123">
        <f>MAX(AP14:AP17)+1</f>
        <v>90000011.106593937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51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51</v>
      </c>
      <c r="BK18" s="131">
        <v>73</v>
      </c>
      <c r="BL18" s="24" t="str">
        <f>AS9</f>
        <v>Korea Republic</v>
      </c>
      <c r="BM18" s="61">
        <v>2</v>
      </c>
      <c r="BN18" s="63">
        <v>2</v>
      </c>
      <c r="BO18" s="25">
        <v>5</v>
      </c>
      <c r="BP18" s="112">
        <f>IF(OR(BM18="",BM19="",AND(BN18="",BN19&lt;&gt;""),AND(BN19="",BN18&lt;&gt;""),AND(BO18="",BO19&lt;&gt;""),AND(BO19="",BO18&lt;&gt;"")),"",BM18*1000+BN18*10+BO18)</f>
        <v>2025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Bosnia and Herzegovina</v>
      </c>
      <c r="BM19" s="62">
        <v>2</v>
      </c>
      <c r="BN19" s="64">
        <v>2</v>
      </c>
      <c r="BO19" s="27">
        <v>3</v>
      </c>
      <c r="BP19" s="113">
        <f>IF(BP18="","",BM19*1000+BN19*10+BO19)</f>
        <v>2023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10</v>
      </c>
      <c r="AJ20" s="123">
        <f>SUMIF($E$7:$E$78,$AE20,$G$7:$G$78) + SUMIF($H$7:$H$78,$AE20,$F$7:$F$78)</f>
        <v>2</v>
      </c>
      <c r="AL20" s="123">
        <f>AI20-AJ20</f>
        <v>8</v>
      </c>
      <c r="AM20" s="123">
        <f>AL20-AL24</f>
        <v>19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90000010.409971491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2</v>
      </c>
      <c r="BU20" s="63">
        <v>2</v>
      </c>
      <c r="BV20" s="25"/>
      <c r="BW20" s="116">
        <f>IF(OR(BT20="",BT21="",AND(BU20="",BU21&lt;&gt;""),AND(BU21="",BU20&lt;&gt;""),AND(BV20="",BV21&lt;&gt;""),AND(BV21="",BV20&lt;&gt;"")),"",BT20*1000+BU20*10+BV20)</f>
        <v>2020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10 - 2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3</v>
      </c>
      <c r="AL21" s="123">
        <f>AI21-AJ21</f>
        <v>3</v>
      </c>
      <c r="AM21" s="123">
        <f>AL21-AL24</f>
        <v>14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60000007.546332479</v>
      </c>
      <c r="AQ21" s="126">
        <f>VLOOKUP(AE21,db_fifarank,2,FALSE)</f>
        <v>1755.87</v>
      </c>
      <c r="AR21" s="125">
        <f>AP21/AP24</f>
        <v>0.66666666599649804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Japan</v>
      </c>
      <c r="BT21" s="62">
        <v>2</v>
      </c>
      <c r="BU21" s="64">
        <v>3</v>
      </c>
      <c r="BV21" s="27"/>
      <c r="BW21" s="112">
        <f>IF(BW20="","",BT21*1000+BU21*10+BV21)</f>
        <v>2030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6 - 3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11</v>
      </c>
      <c r="AL22" s="123">
        <f>AI22-AJ22</f>
        <v>-11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7.1761657568905919E-12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Japan</v>
      </c>
      <c r="BM22" s="61">
        <v>3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3000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5 - 5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5</v>
      </c>
      <c r="AL23" s="123">
        <f>AI23-AJ23</f>
        <v>0</v>
      </c>
      <c r="AM23" s="123">
        <f>AL23-AL24</f>
        <v>11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30000005.955294628</v>
      </c>
      <c r="AQ23" s="126">
        <f>VLOOKUP(AE23,db_fifarank,2,FALSE)</f>
        <v>1498.35</v>
      </c>
      <c r="AR23" s="125">
        <f>AP23/AP24</f>
        <v>0.33333335724411695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2</v>
      </c>
      <c r="BN23" s="64"/>
      <c r="BO23" s="27"/>
      <c r="BP23" s="112">
        <f>IF(BP22="","",BM23*1000+BN23*10+BO23)</f>
        <v>2000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>
        <v>1</v>
      </c>
      <c r="CJ23" s="25"/>
      <c r="CK23" s="112">
        <f>IF(OR(CH23="",CH24="",AND(CI23="",CI24&lt;&gt;""),AND(CI24="",CI23&lt;&gt;""),AND(CJ23="",CJ24&lt;&gt;""),AND(CJ24="",CJ23&lt;&gt;"")),"",CH23*1000+CI23*10+CJ23)</f>
        <v>1010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0 - 11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11</v>
      </c>
      <c r="AL24" s="123">
        <f>MIN(AL20:AL23)</f>
        <v>-11</v>
      </c>
      <c r="AM24" s="123">
        <f>MAX(AM20:AM23)+1</f>
        <v>20</v>
      </c>
      <c r="AN24" s="123">
        <f>MAX(AN20:AN23)+1</f>
        <v>10</v>
      </c>
      <c r="AO24" s="123">
        <f>MAX(AO20:AO23)+1</f>
        <v>10</v>
      </c>
      <c r="AP24" s="123">
        <f>MAX(AP20:AP23)+1</f>
        <v>90000011.409971491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>
        <v>2</v>
      </c>
      <c r="CJ24" s="27"/>
      <c r="CK24" s="113">
        <f>IF(CK23="","",CH24*1000+CI24*10+CJ24)</f>
        <v>1020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1</v>
      </c>
      <c r="AH26" s="123">
        <f>COUNTIF($S$7:$T$78,"=" &amp; AE26 &amp; "_lose")</f>
        <v>1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3</v>
      </c>
      <c r="AL26" s="123">
        <f>AI26-AJ26</f>
        <v>1</v>
      </c>
      <c r="AM26" s="123">
        <f>AL26-AL30</f>
        <v>6</v>
      </c>
      <c r="AN26" s="123">
        <f>AF26*3+AG26</f>
        <v>4</v>
      </c>
      <c r="AO26" s="123">
        <f>AN26/AN30*10+BA26</f>
        <v>5</v>
      </c>
      <c r="AP26" s="123">
        <f>AO26*10000000+BI26*100+AM26/AM30*10+AI26/AI30*1++IF(AQ26=0,ROW(),AQ26)/2000000</f>
        <v>50000008.300836563</v>
      </c>
      <c r="AQ26" s="126">
        <f>VLOOKUP(AE26,db_fifarank,2,FALSE)</f>
        <v>1673.13</v>
      </c>
      <c r="AR26" s="125">
        <f>AP26/AP30</f>
        <v>0.57142859739240337</v>
      </c>
      <c r="AS26" s="125" t="str">
        <f>IF(SUM(AF26:AH29)=12,J27,"1D")</f>
        <v>Paraguay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Paraguay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4 - 2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1</v>
      </c>
      <c r="AE27" s="124" t="str">
        <f>VLOOKUP("Paraguay",T,lang,FALSE)</f>
        <v>Paraguay</v>
      </c>
      <c r="AF27" s="123">
        <f>COUNTIF($S$7:$T$78,"=" &amp; AE27 &amp; "_win")</f>
        <v>2</v>
      </c>
      <c r="AG27" s="123">
        <f>COUNTIF($S$7:$T$78,"=" &amp; AE27 &amp; "_draw")</f>
        <v>1</v>
      </c>
      <c r="AH27" s="123">
        <f>COUNTIF($S$7:$T$78,"=" &amp; AE27 &amp; "_lose")</f>
        <v>0</v>
      </c>
      <c r="AI27" s="123">
        <f>SUMIF($E$7:$E$78,$AE27,$F$7:$F$78) + SUMIF($H$7:$H$78,$AE27,$G$7:$G$78)</f>
        <v>4</v>
      </c>
      <c r="AJ27" s="123">
        <f>SUMIF($E$7:$E$78,$AE27,$G$7:$G$78) + SUMIF($H$7:$H$78,$AE27,$F$7:$F$78)</f>
        <v>2</v>
      </c>
      <c r="AL27" s="123">
        <f>AI27-AJ27</f>
        <v>2</v>
      </c>
      <c r="AM27" s="123">
        <f>AL27-AL30</f>
        <v>7</v>
      </c>
      <c r="AN27" s="123">
        <f>AF27*3+AG27</f>
        <v>7</v>
      </c>
      <c r="AO27" s="123">
        <f>AN27/AN30*10+BA27</f>
        <v>8.75</v>
      </c>
      <c r="AP27" s="123">
        <f>AO27*10000000+BI27*100+AM27/AM30*10+AI27/AI30*1++IF(AQ27=0,ROW(),AQ27)/2000000</f>
        <v>87500009.550751746</v>
      </c>
      <c r="AQ27" s="126">
        <f>VLOOKUP(AE27,db_fifarank,2,FALSE)</f>
        <v>1503.5</v>
      </c>
      <c r="AR27" s="125">
        <f>AP27/AP30</f>
        <v>0.99999998857142991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3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3 - 1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6</v>
      </c>
      <c r="AL28" s="123">
        <f>AI28-AJ28</f>
        <v>-5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0.20079033500000001</v>
      </c>
      <c r="AQ28" s="126">
        <f>VLOOKUP(AE28,db_fifarank,2,FALSE)</f>
        <v>1580.67</v>
      </c>
      <c r="AR28" s="125">
        <f>AP28/AP30</f>
        <v>2.2947464090137179E-9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4</v>
      </c>
      <c r="G29" s="20">
        <v>0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4 - 3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3</v>
      </c>
      <c r="AJ29" s="123">
        <f>SUMIF($E$7:$E$78,$AE29,$G$7:$G$78) + SUMIF($H$7:$H$78,$AE29,$F$7:$F$78)</f>
        <v>1</v>
      </c>
      <c r="AL29" s="123">
        <f>AI29-AJ29</f>
        <v>2</v>
      </c>
      <c r="AM29" s="123">
        <f>AL29-AL30</f>
        <v>7</v>
      </c>
      <c r="AN29" s="123">
        <f>AF29*3+AG29</f>
        <v>5</v>
      </c>
      <c r="AO29" s="123">
        <f>AN29/AN30*10+BA29</f>
        <v>6.25</v>
      </c>
      <c r="AP29" s="123">
        <f>AO29*10000000+BI29*100+AM29/AM30*10+AI29/AI30*1++IF(AQ29=0,ROW(),AQ29)/2000000</f>
        <v>62500009.350799523</v>
      </c>
      <c r="AQ29" s="126">
        <f>VLOOKUP(AE29,db_fifarank,2,FALSE)</f>
        <v>1599.04</v>
      </c>
      <c r="AR29" s="125">
        <f>AP29/AP30</f>
        <v>0.71428573502340642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1 - 6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4</v>
      </c>
      <c r="AI30" s="123">
        <f>MAX(AI26:AI29)+1</f>
        <v>5</v>
      </c>
      <c r="AL30" s="123">
        <f>MIN(AL26:AL29)</f>
        <v>-5</v>
      </c>
      <c r="AM30" s="123">
        <f>MAX(AM26:AM29)+1</f>
        <v>8</v>
      </c>
      <c r="AN30" s="123">
        <f>MAX(AN26:AN29)+1</f>
        <v>8</v>
      </c>
      <c r="AO30" s="123">
        <f>MAX(AO26:AO29)+1</f>
        <v>9.75</v>
      </c>
      <c r="AP30" s="123">
        <f>MAX(AP26:AP29)+1</f>
        <v>87500010.550751746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2</v>
      </c>
      <c r="AL32" s="123">
        <f>AI32-AJ32</f>
        <v>7</v>
      </c>
      <c r="AM32" s="123">
        <f>AL32-AL36</f>
        <v>18</v>
      </c>
      <c r="AN32" s="123">
        <f>AF32*3+AG32</f>
        <v>7</v>
      </c>
      <c r="AO32" s="123">
        <f>AN32/AN36*10+BA32</f>
        <v>9.7305825242718456</v>
      </c>
      <c r="AP32" s="123">
        <f>AO32*10000000+BI32*100+AM32/AM36*10+AI32/AI36*1++IF(AQ32=0,ROW(),AQ32)/2000000</f>
        <v>97305933.675520286</v>
      </c>
      <c r="AQ32" s="126">
        <f>VLOOKUP(AE32,db_fifarank,2,FALSE)</f>
        <v>1730.37</v>
      </c>
      <c r="AR32" s="125">
        <f>AP32/AP36</f>
        <v>0.99999998972313453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1</v>
      </c>
      <c r="AV32" s="126" cm="1">
        <f t="array" ref="AV32">SUMPRODUCT(($E$7:$E$78=AE32)*($U$7:$U$78)*($F$7:$F$78))+SUMPRODUCT(($H$7:$H$78=AE32)*($U$7:$U$78)*($G$7:$G$78))</f>
        <v>1</v>
      </c>
      <c r="AW32" s="126" cm="1">
        <f t="array" ref="AW32">SUMPRODUCT(($E$7:$E$78=AE32)*($U$7:$U$78)*($G$7:$G$78))+SUMPRODUCT(($H$7:$H$78=AE32)*($U$7:$U$78)*($F$7:$F$78))</f>
        <v>1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50.5</v>
      </c>
      <c r="BA32" s="126">
        <f>AZ32/AZ36</f>
        <v>0.98058252427184467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1</v>
      </c>
      <c r="BD32" s="126" cm="1">
        <f t="array" ref="BD32">SUMPRODUCT(($E$7:$E$78=AE32)*($X$7:$X$78)*($F$7:$F$78))+SUMPRODUCT(($H$7:$H$78=AE32)*($X$7:$X$78)*($G$7:$G$78))</f>
        <v>1</v>
      </c>
      <c r="BE32" s="126" cm="1">
        <f t="array" ref="BE32">SUMPRODUCT(($E$7:$E$78=AE32)*($X$7:$X$78)*($G$7:$G$78))+SUMPRODUCT(($H$7:$H$78=AE32)*($X$7:$X$78)*($F$7:$F$78))</f>
        <v>1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50.5</v>
      </c>
      <c r="BI32" s="126">
        <f>BH32/BH36</f>
        <v>0.98058252427184467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3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3000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9 - 2</v>
      </c>
      <c r="P33" s="32">
        <f>L33*3+M33</f>
        <v>7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11</v>
      </c>
      <c r="AL33" s="123">
        <f>AI33-AJ33</f>
        <v>-11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6.6524719397495356E-12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2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1</v>
      </c>
      <c r="N34" s="23">
        <f>VLOOKUP(2,AD32:AN35,5,FALSE)</f>
        <v>0</v>
      </c>
      <c r="O34" s="23" t="str">
        <f>VLOOKUP(2,AD32:AN35,6,FALSE) &amp; " - " &amp; VLOOKUP(2,AD32:AN35,7,FALSE)</f>
        <v>6 - 2</v>
      </c>
      <c r="P34" s="34">
        <f>L34*3+M34</f>
        <v>7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4</v>
      </c>
      <c r="AL34" s="123">
        <f>AI34-AJ34</f>
        <v>0</v>
      </c>
      <c r="AM34" s="123">
        <f>AL34-AL36</f>
        <v>11</v>
      </c>
      <c r="AN34" s="123">
        <f>AF34*3+AG34</f>
        <v>3</v>
      </c>
      <c r="AO34" s="123">
        <f>AN34/AN36*10+BA34</f>
        <v>3.75</v>
      </c>
      <c r="AP34" s="123">
        <f>AO34*10000000+BI34*100+AM34/AM36*10+AI34/AI36*1++IF(AQ34=0,ROW(),AQ34)/2000000</f>
        <v>37500006.190240175</v>
      </c>
      <c r="AQ34" s="126">
        <f>VLOOKUP(AE34,db_fifarank,2,FALSE)</f>
        <v>1532.98</v>
      </c>
      <c r="AR34" s="125">
        <f>AP34/AP36</f>
        <v>0.38538251870545187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Paraguay</v>
      </c>
      <c r="BM34" s="61">
        <v>1</v>
      </c>
      <c r="BN34" s="63">
        <v>2</v>
      </c>
      <c r="BO34" s="25"/>
      <c r="BP34" s="112">
        <f>IF(OR(BM34="",BM35="",AND(BN34="",BN35&lt;&gt;""),AND(BN35="",BN34&lt;&gt;""),AND(BO34="",BO35&lt;&gt;""),AND(BO35="",BO34&lt;&gt;"")),"",BM34*1000+BN34*10+BO34)</f>
        <v>1020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4 - 4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1</v>
      </c>
      <c r="AH35" s="123">
        <f>COUNTIF($S$7:$T$78,"=" &amp; AE35 &amp; "_lose")</f>
        <v>0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2</v>
      </c>
      <c r="AL35" s="123">
        <f>AI35-AJ35</f>
        <v>4</v>
      </c>
      <c r="AM35" s="123">
        <f>AL35-AL36</f>
        <v>15</v>
      </c>
      <c r="AN35" s="123">
        <f>AF35*3+AG35</f>
        <v>7</v>
      </c>
      <c r="AO35" s="123">
        <f>AN35/AN36*10+BA35</f>
        <v>9.7305825242718456</v>
      </c>
      <c r="AP35" s="123">
        <f>AO35*10000000+BI35*100+AM35/AM36*10+AI35/AI36*1++IF(AQ35=0,ROW(),AQ35)/2000000</f>
        <v>97305931.796505108</v>
      </c>
      <c r="AQ35" s="126">
        <f>VLOOKUP(AE35,db_fifarank,2,FALSE)</f>
        <v>1594.78</v>
      </c>
      <c r="AR35" s="125">
        <f>AP35/AP36</f>
        <v>0.99999997041274835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Canada</v>
      </c>
      <c r="BM35" s="62">
        <v>1</v>
      </c>
      <c r="BN35" s="64">
        <v>1</v>
      </c>
      <c r="BO35" s="27"/>
      <c r="BP35" s="113">
        <f>IF(BP34="","",BM35*1000+BN35*10+BO35)</f>
        <v>1010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0 - 11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2</v>
      </c>
      <c r="AH36" s="123">
        <f t="shared" si="16"/>
        <v>4</v>
      </c>
      <c r="AI36" s="123">
        <f>MAX(AI32:AI35)+1</f>
        <v>10</v>
      </c>
      <c r="AL36" s="123">
        <f>MIN(AL32:AL35)</f>
        <v>-11</v>
      </c>
      <c r="AM36" s="123">
        <f>MAX(AM32:AM35)+1</f>
        <v>19</v>
      </c>
      <c r="AN36" s="123">
        <f>MAX(AN32:AN35)+1</f>
        <v>8</v>
      </c>
      <c r="AO36" s="123">
        <f>MAX(AO32:AO35)+1</f>
        <v>10.730582524271846</v>
      </c>
      <c r="AP36" s="123">
        <f>MAX(AP32:AP35)+1</f>
        <v>97305934.675520286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Paraguay</v>
      </c>
      <c r="BT36" s="61">
        <v>1</v>
      </c>
      <c r="BU36" s="63">
        <v>1</v>
      </c>
      <c r="BV36" s="25"/>
      <c r="BW36" s="116">
        <f>IF(OR(BT36="",BT37="",AND(BU36="",BU37&lt;&gt;""),AND(BU37="",BU36&lt;&gt;""),AND(BV36="",BV37&lt;&gt;""),AND(BV37="",BV36&lt;&gt;"")),"",BT36*1000+BU36*10+BV36)</f>
        <v>1010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3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>
        <v>2</v>
      </c>
      <c r="BV37" s="27"/>
      <c r="BW37" s="112">
        <f>IF(BW36="","",BT37*1000+BU37*10+BV37)</f>
        <v>1020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2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5</v>
      </c>
      <c r="AL38" s="123">
        <f>AI38-AJ38</f>
        <v>2</v>
      </c>
      <c r="AM38" s="123">
        <f>AL38-AL42</f>
        <v>6</v>
      </c>
      <c r="AN38" s="123">
        <f>AF38*3+AG38</f>
        <v>7</v>
      </c>
      <c r="AO38" s="123">
        <f>AN38/AN42*10+BA38</f>
        <v>9.7306451612903224</v>
      </c>
      <c r="AP38" s="123">
        <f>AO38*10000000+BI38*100+AM38/AM42*10+AI38/AI42*1++IF(AQ38=0,ROW(),AQ38)/2000000</f>
        <v>97306558.05329828</v>
      </c>
      <c r="AQ38" s="126">
        <f>VLOOKUP(AE38,db_fifarank,2,FALSE)</f>
        <v>1757.87</v>
      </c>
      <c r="AR38" s="125">
        <f>AP38/AP42</f>
        <v>0.99999997687770192</v>
      </c>
      <c r="AS38" s="125" t="str">
        <f>IF(SUM(AF38:AH41)=12,J39,"1F")</f>
        <v>Japan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2</v>
      </c>
      <c r="AW38" s="126" cm="1">
        <f t="array" ref="AW38">SUMPRODUCT(($E$7:$E$78=AE38)*($U$7:$U$78)*($G$7:$G$78))+SUMPRODUCT(($H$7:$H$78=AE38)*($U$7:$U$78)*($F$7:$F$78))</f>
        <v>2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50.666666666666664</v>
      </c>
      <c r="BA38" s="126">
        <f>AZ38/AZ42</f>
        <v>0.98064516129032253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2</v>
      </c>
      <c r="BE38" s="126" cm="1">
        <f t="array" ref="BE38">SUMPRODUCT(($E$7:$E$78=AE38)*($X$7:$X$78)*($G$7:$G$78))+SUMPRODUCT(($H$7:$H$78=AE38)*($X$7:$X$78)*($F$7:$F$78))</f>
        <v>2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50.666666666666664</v>
      </c>
      <c r="BI38" s="126">
        <f>BH38/BH42</f>
        <v>0.98064516129032253</v>
      </c>
      <c r="BK38" s="131">
        <v>82</v>
      </c>
      <c r="BL38" s="24" t="str">
        <f>AS44</f>
        <v>Belgium</v>
      </c>
      <c r="BM38" s="61">
        <v>3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3000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Japan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7 - 4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1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7</v>
      </c>
      <c r="AJ39" s="123">
        <f>SUMIF($E$7:$E$78,$AE39,$G$7:$G$78) + SUMIF($H$7:$H$78,$AE39,$F$7:$F$78)</f>
        <v>4</v>
      </c>
      <c r="AL39" s="123">
        <f>AI39-AJ39</f>
        <v>3</v>
      </c>
      <c r="AM39" s="123">
        <f>AL39-AL42</f>
        <v>7</v>
      </c>
      <c r="AN39" s="123">
        <f>AF39*3+AG39</f>
        <v>7</v>
      </c>
      <c r="AO39" s="123">
        <f>AN39/AN42*10+BA39</f>
        <v>9.7306451612903224</v>
      </c>
      <c r="AP39" s="123">
        <f>AO39*10000000+BI39*100+AM39/AM42*10+AI39/AI42*1++IF(AQ39=0,ROW(),AQ39)/2000000</f>
        <v>97306559.303249568</v>
      </c>
      <c r="AQ39" s="126">
        <f>VLOOKUP(AE39,db_fifarank,2,FALSE)</f>
        <v>1660.43</v>
      </c>
      <c r="AR39" s="125">
        <f>AP39/AP42</f>
        <v>0.99999998972320059</v>
      </c>
      <c r="AS39" s="125" t="str">
        <f>IF(SUM(AF38:AH41)=12,J40,"2F")</f>
        <v>Netherlands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2</v>
      </c>
      <c r="AW39" s="126" cm="1">
        <f t="array" ref="AW39">SUMPRODUCT(($E$7:$E$78=AE39)*($U$7:$U$78)*($G$7:$G$78))+SUMPRODUCT(($H$7:$H$78=AE39)*($U$7:$U$78)*($F$7:$F$78))</f>
        <v>2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50.666666666666664</v>
      </c>
      <c r="BA39" s="126">
        <f>AZ39/AZ42</f>
        <v>0.98064516129032253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2</v>
      </c>
      <c r="BE39" s="126" cm="1">
        <f t="array" ref="BE39">SUMPRODUCT(($E$7:$E$78=AE39)*($X$7:$X$78)*($G$7:$G$78))+SUMPRODUCT(($H$7:$H$78=AE39)*($X$7:$X$78)*($F$7:$F$78))</f>
        <v>2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50.666666666666664</v>
      </c>
      <c r="BI39" s="126">
        <f>BH39/BH42</f>
        <v>0.98064516129032253</v>
      </c>
      <c r="BK39" s="132"/>
      <c r="BL39" s="26" t="str">
        <f>IF(group_round_completed,VLOOKUP('3rd places'!H3,AK80:AS91,9,FALSE),"3rd Group A/E/H/I/J")</f>
        <v>Ivory Coast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Netherlands</v>
      </c>
      <c r="K40" s="23">
        <f>L40+M40+N40</f>
        <v>3</v>
      </c>
      <c r="L40" s="23">
        <f>VLOOKUP(2,AD38:AN41,3,FALSE)</f>
        <v>2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7 - 5</v>
      </c>
      <c r="P40" s="34">
        <f>L40*3+M40</f>
        <v>7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6</v>
      </c>
      <c r="AJ40" s="123">
        <f>SUMIF($E$7:$E$78,$AE40,$G$7:$G$78) + SUMIF($H$7:$H$78,$AE40,$F$7:$F$78)</f>
        <v>7</v>
      </c>
      <c r="AL40" s="123">
        <f>AI40-AJ40</f>
        <v>-1</v>
      </c>
      <c r="AM40" s="123">
        <f>AL40-AL42</f>
        <v>3</v>
      </c>
      <c r="AN40" s="123">
        <f>AF40*3+AG40</f>
        <v>3</v>
      </c>
      <c r="AO40" s="123">
        <f>AN40/AN42*10+BA40</f>
        <v>3.75</v>
      </c>
      <c r="AP40" s="123">
        <f>AO40*10000000+BI40*100+AM40/AM42*10+AI40/AI42*1++IF(AQ40=0,ROW(),AQ40)/2000000</f>
        <v>37500004.500757381</v>
      </c>
      <c r="AQ40" s="126">
        <f>VLOOKUP(AE40,db_fifarank,2,FALSE)</f>
        <v>1514.77</v>
      </c>
      <c r="AR40" s="125">
        <f>AP40/AP42</f>
        <v>0.38538002354508327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3</v>
      </c>
      <c r="G41" s="20">
        <v>2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6 - 7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6</v>
      </c>
      <c r="AL41" s="123">
        <f>AI41-AJ41</f>
        <v>-4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0.25074152500000002</v>
      </c>
      <c r="AQ41" s="126">
        <f>VLOOKUP(AE41,db_fifarank,2,FALSE)</f>
        <v>1483.05</v>
      </c>
      <c r="AR41" s="125">
        <f>AP41/AP42</f>
        <v>2.5768203522823165E-9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2 - 6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8</v>
      </c>
      <c r="AL42" s="123">
        <f>MIN(AL38:AL41)</f>
        <v>-4</v>
      </c>
      <c r="AM42" s="123">
        <f>MAX(AM38:AM41)+1</f>
        <v>8</v>
      </c>
      <c r="AN42" s="123">
        <f>MAX(AN38:AN41)+1</f>
        <v>8</v>
      </c>
      <c r="AO42" s="123">
        <f>MAX(AO38:AO41)+1</f>
        <v>10.730645161290322</v>
      </c>
      <c r="AP42" s="123">
        <f>MAX(AP38:AP41)+1</f>
        <v>97306560.303249568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3</v>
      </c>
      <c r="AW42" s="126">
        <f>MAX(AW38:AW41)-MIN(AW38:AW41)+1</f>
        <v>3</v>
      </c>
      <c r="AY42" s="126">
        <f>MAX(AY38:AY41)-MIN(AY38:AY41)+1</f>
        <v>1</v>
      </c>
      <c r="AZ42" s="126">
        <f>MAX(AZ38:AZ41)+1</f>
        <v>51.666666666666664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3</v>
      </c>
      <c r="BE42" s="126">
        <f>MAX(BE38:BE41)-MIN(BE38:BE41)+1</f>
        <v>3</v>
      </c>
      <c r="BG42" s="126">
        <f>MAX(BG38:BG41)-MIN(BG38:BG41)+1</f>
        <v>1</v>
      </c>
      <c r="BH42" s="126">
        <f>MAX(BH38:BH41)+1</f>
        <v>51.666666666666664</v>
      </c>
      <c r="BK42" s="131">
        <v>76</v>
      </c>
      <c r="BL42" s="24" t="str">
        <f>AS20</f>
        <v>Brazil</v>
      </c>
      <c r="BM42" s="61">
        <v>2</v>
      </c>
      <c r="BN42" s="63">
        <v>3</v>
      </c>
      <c r="BO42" s="25"/>
      <c r="BP42" s="112">
        <f>IF(OR(BM42="",BM43="",AND(BN42="",BN43&lt;&gt;""),AND(BN43="",BN42&lt;&gt;""),AND(BO42="",BO43&lt;&gt;""),AND(BO43="",BO42&lt;&gt;"")),"",BM42*1000+BN42*10+BO42)</f>
        <v>2030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Netherlands</v>
      </c>
      <c r="BM43" s="62">
        <v>2</v>
      </c>
      <c r="BN43" s="64">
        <v>2</v>
      </c>
      <c r="BO43" s="27"/>
      <c r="BP43" s="113">
        <f>IF(BP42="","",BM43*1000+BN43*10+BO43)</f>
        <v>2020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1</v>
      </c>
      <c r="AL44" s="123">
        <f>AI44-AJ44</f>
        <v>6</v>
      </c>
      <c r="AM44" s="123">
        <f>AL44-AL48</f>
        <v>11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90000010.042534024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3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3</v>
      </c>
      <c r="AL45" s="123">
        <f>AI45-AJ45</f>
        <v>2</v>
      </c>
      <c r="AM45" s="123">
        <f>AL45-AL48</f>
        <v>7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60000006.459114954</v>
      </c>
      <c r="AQ45" s="126">
        <f>VLOOKUP(AE45,db_fifarank,2,FALSE)</f>
        <v>1563.24</v>
      </c>
      <c r="AR45" s="125">
        <f>AP45/AP48</f>
        <v>0.66666665663806346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5 - 3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4</v>
      </c>
      <c r="AJ46" s="123">
        <f>SUMIF($E$7:$E$78,$AE46,$G$7:$G$78) + SUMIF($H$7:$H$78,$AE46,$F$7:$F$78)</f>
        <v>7</v>
      </c>
      <c r="AL46" s="123">
        <f>AI46-AJ46</f>
        <v>-3</v>
      </c>
      <c r="AM46" s="123">
        <f>AL46-AL48</f>
        <v>2</v>
      </c>
      <c r="AN46" s="123">
        <f>AF46*3+AG46</f>
        <v>3</v>
      </c>
      <c r="AO46" s="123">
        <f>AN46/AN48*10+BA46</f>
        <v>3</v>
      </c>
      <c r="AP46" s="123">
        <f>AO46*10000000+BI46*100+AM46/AM48*10+AI46/AI48*1++IF(AQ46=0,ROW(),AQ46)/2000000</f>
        <v>30000002.167474318</v>
      </c>
      <c r="AQ46" s="126">
        <f>VLOOKUP(AE46,db_fifarank,2,FALSE)</f>
        <v>1615.3</v>
      </c>
      <c r="AR46" s="125">
        <f>AP46/AP48</f>
        <v>0.33333331651810921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4 - 7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1</v>
      </c>
      <c r="X47" s="123">
        <f t="shared" si="9"/>
        <v>1</v>
      </c>
      <c r="Y47" s="123">
        <f t="shared" si="10"/>
        <v>1</v>
      </c>
      <c r="Z47" s="123">
        <f t="shared" si="11"/>
        <v>1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6</v>
      </c>
      <c r="AL47" s="123">
        <f>AI47-AJ47</f>
        <v>-5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0.125640785</v>
      </c>
      <c r="AQ47" s="126">
        <f>VLOOKUP(AE47,db_fifarank,2,FALSE)</f>
        <v>1281.57</v>
      </c>
      <c r="AR47" s="125">
        <f>AP47/AP48</f>
        <v>1.3960085509392009E-9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1 - 6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8</v>
      </c>
      <c r="AL48" s="123">
        <f>MIN(AL44:AL47)</f>
        <v>-5</v>
      </c>
      <c r="AM48" s="123">
        <f>MAX(AM44:AM47)+1</f>
        <v>12</v>
      </c>
      <c r="AN48" s="123">
        <f>MAX(AN44:AN47)+1</f>
        <v>10</v>
      </c>
      <c r="AO48" s="123">
        <f>MAX(AO44:AO47)+1</f>
        <v>10</v>
      </c>
      <c r="AP48" s="123">
        <f>MAX(AP44:AP47)+1</f>
        <v>90000011.042534024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3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3000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2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Argentina_draw</v>
      </c>
      <c r="T49" s="127" t="str">
        <f t="shared" si="20"/>
        <v>Austria_draw</v>
      </c>
      <c r="U49" s="123">
        <f t="shared" si="8"/>
        <v>1</v>
      </c>
      <c r="V49" s="123">
        <f t="shared" si="21"/>
        <v>2</v>
      </c>
      <c r="W49" s="123">
        <f t="shared" si="22"/>
        <v>2</v>
      </c>
      <c r="X49" s="123">
        <f t="shared" si="9"/>
        <v>1</v>
      </c>
      <c r="Y49" s="123">
        <f t="shared" si="10"/>
        <v>2</v>
      </c>
      <c r="Z49" s="123">
        <f t="shared" si="11"/>
        <v>2</v>
      </c>
      <c r="AA49" s="123">
        <f t="shared" si="17"/>
        <v>0</v>
      </c>
      <c r="AB49" s="123">
        <f t="shared" si="23"/>
        <v>0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Brazil</v>
      </c>
      <c r="CO49" s="62">
        <v>2</v>
      </c>
      <c r="CP49" s="64"/>
      <c r="CQ49" s="27"/>
      <c r="CR49" s="111">
        <f>IF(CR48="","",CO49*1000+CP49*10+CQ49)</f>
        <v>2000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3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0</v>
      </c>
      <c r="AL50" s="123">
        <f>AI50-AJ50</f>
        <v>8</v>
      </c>
      <c r="AM50" s="123">
        <f>AL50-AL54</f>
        <v>16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90000010.301591814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2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8 - 0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8</v>
      </c>
      <c r="AL51" s="123">
        <f>AI51-AJ51</f>
        <v>-8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7.5896101580591554E-12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5 - 1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5</v>
      </c>
      <c r="AL52" s="123">
        <f>AI52-AJ52</f>
        <v>-4</v>
      </c>
      <c r="AM52" s="123">
        <f>AL52-AL54</f>
        <v>4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30000002.464763004</v>
      </c>
      <c r="AQ52" s="126">
        <f>VLOOKUP(AE52,db_fifarank,2,FALSE)</f>
        <v>1421.43</v>
      </c>
      <c r="AR52" s="125">
        <f>AP52/AP54</f>
        <v>0.33333331886184331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1 - 5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1</v>
      </c>
      <c r="AL53" s="123">
        <f>AI53-AJ53</f>
        <v>4</v>
      </c>
      <c r="AM53" s="123">
        <f>AL53-AL54</f>
        <v>12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60000007.615215614</v>
      </c>
      <c r="AQ53" s="126">
        <f>VLOOKUP(AE53,db_fifarank,2,FALSE)</f>
        <v>1673.07</v>
      </c>
      <c r="AR53" s="125">
        <f>AP53/AP54</f>
        <v>0.66666666756467852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3</v>
      </c>
      <c r="BU53" s="64"/>
      <c r="BV53" s="27"/>
      <c r="BW53" s="112">
        <f>IF(BW52="","",BT53*1000+BU53*10+BV53)</f>
        <v>3000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0 - 8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9</v>
      </c>
      <c r="AL54" s="123">
        <f>MIN(AL50:AL53)</f>
        <v>-8</v>
      </c>
      <c r="AM54" s="123">
        <f>MAX(AM50:AM53)+1</f>
        <v>17</v>
      </c>
      <c r="AN54" s="123">
        <f>MAX(AN50:AN53)+1</f>
        <v>10</v>
      </c>
      <c r="AO54" s="123">
        <f>MAX(AO50:AO53)+1</f>
        <v>10</v>
      </c>
      <c r="AP54" s="123">
        <f>MAX(AP50:AP53)+1</f>
        <v>90000011.301591814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10</v>
      </c>
      <c r="AJ56" s="123">
        <f>SUMIF($E$7:$E$78,$AE56,$G$7:$G$78) + SUMIF($H$7:$H$78,$AE56,$F$7:$F$78)</f>
        <v>3</v>
      </c>
      <c r="AL56" s="123">
        <f>AI56-AJ56</f>
        <v>7</v>
      </c>
      <c r="AM56" s="123">
        <f>AL56-AL60</f>
        <v>15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90000010.28502956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10 - 3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5</v>
      </c>
      <c r="AL57" s="123">
        <f>AI57-AJ57</f>
        <v>0</v>
      </c>
      <c r="AM57" s="123">
        <f>AL57-AL60</f>
        <v>8</v>
      </c>
      <c r="AN57" s="123">
        <f>AF57*3+AG57</f>
        <v>4</v>
      </c>
      <c r="AO57" s="123">
        <f>AN57/AN60*10+BA57</f>
        <v>4.9805825242718447</v>
      </c>
      <c r="AP57" s="123">
        <f>AO57*10000000+BI57*100+AM57/AM60*10+AI57/AI60*1++IF(AQ57=0,ROW(),AQ57)/2000000</f>
        <v>49805928.756360814</v>
      </c>
      <c r="AQ57" s="126">
        <f>VLOOKUP(AE57,db_fifarank,2,FALSE)</f>
        <v>1688.99</v>
      </c>
      <c r="AR57" s="125">
        <f>AP57/AP60</f>
        <v>0.55339913901372417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5 - 4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9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9.1632660909090918E-2</v>
      </c>
      <c r="AQ58" s="126">
        <f>VLOOKUP(AE58,db_fifarank,2,FALSE)</f>
        <v>1447.14</v>
      </c>
      <c r="AR58" s="125">
        <f>AP58/AP60</f>
        <v>1.0181405491038302E-9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3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3000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5 - 5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4</v>
      </c>
      <c r="AL59" s="123">
        <f>AI59-AJ59</f>
        <v>1</v>
      </c>
      <c r="AM59" s="123">
        <f>AL59-AL60</f>
        <v>9</v>
      </c>
      <c r="AN59" s="123">
        <f>AF59*3+AG59</f>
        <v>4</v>
      </c>
      <c r="AO59" s="123">
        <f>AN59/AN60*10+BA59</f>
        <v>4.9805825242718447</v>
      </c>
      <c r="AP59" s="123">
        <f>AO59*10000000+BI59*100+AM59/AM60*10+AI59/AI60*1++IF(AQ59=0,ROW(),AQ59)/2000000</f>
        <v>49805929.381291792</v>
      </c>
      <c r="AQ59" s="126">
        <f>VLOOKUP(AE59,db_fifarank,2,FALSE)</f>
        <v>1550.94</v>
      </c>
      <c r="AR59" s="125">
        <f>AP59/AP60</f>
        <v>0.55339914595740081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1 - 9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11</v>
      </c>
      <c r="AL60" s="123">
        <f>MIN(AL56:AL59)</f>
        <v>-8</v>
      </c>
      <c r="AM60" s="123">
        <f>MAX(AM56:AM59)+1</f>
        <v>16</v>
      </c>
      <c r="AN60" s="123">
        <f>MAX(AN56:AN59)+1</f>
        <v>10</v>
      </c>
      <c r="AO60" s="123">
        <f>MAX(AO56:AO59)+1</f>
        <v>10</v>
      </c>
      <c r="AP60" s="123">
        <f>MAX(AP56:AP59)+1</f>
        <v>90000011.28502956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1</v>
      </c>
      <c r="V62" s="123">
        <f t="shared" si="21"/>
        <v>1</v>
      </c>
      <c r="W62" s="123">
        <f t="shared" si="22"/>
        <v>1</v>
      </c>
      <c r="X62" s="123">
        <f t="shared" si="9"/>
        <v>1</v>
      </c>
      <c r="Y62" s="123">
        <f t="shared" si="10"/>
        <v>1</v>
      </c>
      <c r="Z62" s="123">
        <f t="shared" si="11"/>
        <v>1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3</v>
      </c>
      <c r="AL62" s="123">
        <f>AI62-AJ62</f>
        <v>6</v>
      </c>
      <c r="AM62" s="123">
        <f>AL62-AL66</f>
        <v>15</v>
      </c>
      <c r="AN62" s="123">
        <f>AF62*3+AG62</f>
        <v>7</v>
      </c>
      <c r="AO62" s="123">
        <f>AN62/AN66*10+BA62</f>
        <v>9.7306451612903224</v>
      </c>
      <c r="AP62" s="123">
        <f>AO62*10000000+BI62*100+AM62/AM66*10+AI62/AI66*1++IF(AQ62=0,ROW(),AQ62)/2000000</f>
        <v>97306559.953356773</v>
      </c>
      <c r="AQ62" s="126">
        <f>VLOOKUP(AE62,db_fifarank,2,FALSE)</f>
        <v>1874.82</v>
      </c>
      <c r="AR62" s="125">
        <f>AP62/AP66</f>
        <v>0.9999999897232007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1</v>
      </c>
      <c r="AV62" s="126" cm="1">
        <f t="array" ref="AV62">SUMPRODUCT(($E$7:$E$78=AE62)*($U$7:$U$78)*($F$7:$F$78))+SUMPRODUCT(($H$7:$H$78=AE62)*($U$7:$U$78)*($G$7:$G$78))</f>
        <v>2</v>
      </c>
      <c r="AW62" s="126" cm="1">
        <f t="array" ref="AW62">SUMPRODUCT(($E$7:$E$78=AE62)*($U$7:$U$78)*($G$7:$G$78))+SUMPRODUCT(($H$7:$H$78=AE62)*($U$7:$U$78)*($F$7:$F$78))</f>
        <v>2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50.666666666666664</v>
      </c>
      <c r="BA62" s="126">
        <f>AZ62/AZ66</f>
        <v>0.98064516129032253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1</v>
      </c>
      <c r="BD62" s="126" cm="1">
        <f t="array" ref="BD62">SUMPRODUCT(($E$7:$E$78=AE62)*($X$7:$X$78)*($F$7:$F$78))+SUMPRODUCT(($H$7:$H$78=AE62)*($X$7:$X$78)*($G$7:$G$78))</f>
        <v>2</v>
      </c>
      <c r="BE62" s="126" cm="1">
        <f t="array" ref="BE62">SUMPRODUCT(($E$7:$E$78=AE62)*($X$7:$X$78)*($G$7:$G$78))+SUMPRODUCT(($H$7:$H$78=AE62)*($X$7:$X$78)*($F$7:$F$78))</f>
        <v>2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50.666666666666664</v>
      </c>
      <c r="BI62" s="126">
        <f>BH62/BH66</f>
        <v>0.98064516129032253</v>
      </c>
      <c r="BK62" s="131">
        <v>88</v>
      </c>
      <c r="BL62" s="24" t="str">
        <f>AS27</f>
        <v>Turkey</v>
      </c>
      <c r="BM62" s="61">
        <v>1</v>
      </c>
      <c r="BN62" s="63">
        <v>2</v>
      </c>
      <c r="BO62" s="25">
        <v>4</v>
      </c>
      <c r="BP62" s="116">
        <f>IF(OR(BM62="",BM63="",AND(BN62="",BN63&lt;&gt;""),AND(BN63="",BN62&lt;&gt;""),AND(BO62="",BO63&lt;&gt;""),AND(BO63="",BO62&lt;&gt;"")),"",BM62*1000+BN62*10+BO62)</f>
        <v>1024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3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9 - 3</v>
      </c>
      <c r="P63" s="32">
        <f>L63*3+M63</f>
        <v>7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4</v>
      </c>
      <c r="AJ63" s="123">
        <f>SUMIF($E$7:$E$78,$AE63,$G$7:$G$78) + SUMIF($H$7:$H$78,$AE63,$F$7:$F$78)</f>
        <v>4</v>
      </c>
      <c r="AL63" s="123">
        <f>AI63-AJ63</f>
        <v>0</v>
      </c>
      <c r="AM63" s="123">
        <f>AL63-AL66</f>
        <v>9</v>
      </c>
      <c r="AN63" s="123">
        <f>AF63*3+AG63</f>
        <v>3</v>
      </c>
      <c r="AO63" s="123">
        <f>AN63/AN66*10+BA63</f>
        <v>3.75</v>
      </c>
      <c r="AP63" s="123">
        <f>AO63*10000000+BI63*100+AM63/AM66*10+AI63/AI66*1++IF(AQ63=0,ROW(),AQ63)/2000000</f>
        <v>37500006.025782131</v>
      </c>
      <c r="AQ63" s="126">
        <f>VLOOKUP(AE63,db_fifarank,2,FALSE)</f>
        <v>1564.26</v>
      </c>
      <c r="AR63" s="125">
        <f>AP63/AP66</f>
        <v>0.38538003664272441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1</v>
      </c>
      <c r="BN63" s="64">
        <v>2</v>
      </c>
      <c r="BO63" s="27">
        <v>2</v>
      </c>
      <c r="BP63" s="112">
        <f>IF(BP62="","",BM63*1000+BN63*10+BO63)</f>
        <v>1022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1</v>
      </c>
      <c r="N64" s="23">
        <f>VLOOKUP(2,AD62:AN65,5,FALSE)</f>
        <v>0</v>
      </c>
      <c r="O64" s="23" t="str">
        <f>VLOOKUP(2,AD62:AN65,6,FALSE) &amp; " - " &amp; VLOOKUP(2,AD62:AN65,7,FALSE)</f>
        <v>5 - 2</v>
      </c>
      <c r="P64" s="34">
        <f>L64*3+M64</f>
        <v>7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1</v>
      </c>
      <c r="AH64" s="123">
        <f>COUNTIF($S$7:$T$78,"=" &amp; AE64 &amp; "_lose")</f>
        <v>0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2</v>
      </c>
      <c r="AL64" s="123">
        <f>AI64-AJ64</f>
        <v>3</v>
      </c>
      <c r="AM64" s="123">
        <f>AL64-AL66</f>
        <v>12</v>
      </c>
      <c r="AN64" s="123">
        <f>AF64*3+AG64</f>
        <v>7</v>
      </c>
      <c r="AO64" s="123">
        <f>AN64/AN66*10+BA64</f>
        <v>9.7306451612903224</v>
      </c>
      <c r="AP64" s="123">
        <f>AO64*10000000+BI64*100+AM64/AM66*10+AI64/AI66*1++IF(AQ64=0,ROW(),AQ64)/2000000</f>
        <v>97306557.67821607</v>
      </c>
      <c r="AQ64" s="126">
        <f>VLOOKUP(AE64,db_fifarank,2,FALSE)</f>
        <v>1593.45</v>
      </c>
      <c r="AR64" s="125">
        <f>AP64/AP66</f>
        <v>0.99999996634203625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2</v>
      </c>
      <c r="AW64" s="126" cm="1">
        <f t="array" ref="AW64">SUMPRODUCT(($E$7:$E$78=AE64)*($U$7:$U$78)*($G$7:$G$78))+SUMPRODUCT(($H$7:$H$78=AE64)*($U$7:$U$78)*($F$7:$F$78))</f>
        <v>2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50.666666666666664</v>
      </c>
      <c r="BA64" s="126">
        <f>AZ64/AZ66</f>
        <v>0.98064516129032253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2</v>
      </c>
      <c r="BE64" s="126" cm="1">
        <f t="array" ref="BE64">SUMPRODUCT(($E$7:$E$78=AE64)*($X$7:$X$78)*($G$7:$G$78))+SUMPRODUCT(($H$7:$H$78=AE64)*($X$7:$X$78)*($F$7:$F$78))</f>
        <v>2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50.666666666666664</v>
      </c>
      <c r="BI64" s="126">
        <f>BH64/BH66</f>
        <v>0.98064516129032253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2</v>
      </c>
      <c r="CB64" s="63">
        <v>3</v>
      </c>
      <c r="CC64" s="25">
        <v>4</v>
      </c>
      <c r="CD64" s="116">
        <f>IF(OR(CA64="",CA65="",AND(CB64="",CB65&lt;&gt;""),AND(CB65="",CB64&lt;&gt;""),AND(CC64="",CC65&lt;&gt;""),AND(CC65="",CC64&lt;&gt;"")),"",CA64*1000+CB64*10+CC64)</f>
        <v>2034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0</v>
      </c>
      <c r="G65" s="20">
        <v>0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4 - 4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9</v>
      </c>
      <c r="AL65" s="123">
        <f>AI65-AJ65</f>
        <v>-9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7.1498262109323848E-12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2</v>
      </c>
      <c r="CB65" s="64">
        <v>3</v>
      </c>
      <c r="CC65" s="27">
        <v>5</v>
      </c>
      <c r="CD65" s="112">
        <f>IF(CD64="","",CA65*1000+CB65*10+CC65)</f>
        <v>2035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0 - 9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3</v>
      </c>
      <c r="AG66" s="123">
        <f t="shared" si="28"/>
        <v>2</v>
      </c>
      <c r="AH66" s="123">
        <f t="shared" si="28"/>
        <v>4</v>
      </c>
      <c r="AI66" s="123">
        <f>MAX(AI62:AI65)+1</f>
        <v>10</v>
      </c>
      <c r="AL66" s="123">
        <f>MIN(AL62:AL65)</f>
        <v>-9</v>
      </c>
      <c r="AM66" s="123">
        <f>MAX(AM62:AM65)+1</f>
        <v>16</v>
      </c>
      <c r="AN66" s="123">
        <f>MAX(AN62:AN65)+1</f>
        <v>8</v>
      </c>
      <c r="AO66" s="123">
        <f>MAX(AO62:AO65)+1</f>
        <v>10.730645161290322</v>
      </c>
      <c r="AP66" s="123">
        <f>MAX(AP62:AP65)+1</f>
        <v>97306560.953356773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3</v>
      </c>
      <c r="AW66" s="126">
        <f>MAX(AW62:AW65)-MIN(AW62:AW65)+1</f>
        <v>3</v>
      </c>
      <c r="AY66" s="126">
        <f>MAX(AY62:AY65)-MIN(AY62:AY65)+1</f>
        <v>1</v>
      </c>
      <c r="AZ66" s="126">
        <f>MAX(AZ62:AZ65)+1</f>
        <v>51.666666666666664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3</v>
      </c>
      <c r="BE66" s="126">
        <f>MAX(BE62:BE65)-MIN(BE62:BE65)+1</f>
        <v>3</v>
      </c>
      <c r="BG66" s="126">
        <f>MAX(BG62:BG65)-MIN(BG62:BG65)+1</f>
        <v>1</v>
      </c>
      <c r="BH66" s="126">
        <f>MAX(BH62:BH65)+1</f>
        <v>51.666666666666664</v>
      </c>
      <c r="BK66" s="13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2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3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11</v>
      </c>
      <c r="AJ68" s="123">
        <f>SUMIF($E$7:$E$78,$AE68,$G$7:$G$78) + SUMIF($H$7:$H$78,$AE68,$F$7:$F$78)</f>
        <v>1</v>
      </c>
      <c r="AL68" s="123">
        <f>AI68-AJ68</f>
        <v>10</v>
      </c>
      <c r="AM68" s="123">
        <f>AL68-AL72</f>
        <v>16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90000010.329313293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3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11 - 1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7</v>
      </c>
      <c r="AL69" s="123">
        <f>AI69-AJ69</f>
        <v>-6</v>
      </c>
      <c r="AM69" s="123">
        <f>AL69-AL72</f>
        <v>0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19805923.385043383</v>
      </c>
      <c r="AQ69" s="126">
        <f>VLOOKUP(AE69,db_fifarank,2,FALSE)</f>
        <v>1478.35</v>
      </c>
      <c r="AR69" s="125">
        <f>AP69/AP72</f>
        <v>0.22006578768721255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5 - 3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7</v>
      </c>
      <c r="AL70" s="123">
        <f>AI70-AJ70</f>
        <v>-6</v>
      </c>
      <c r="AM70" s="123">
        <f>AL70-AL72</f>
        <v>0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19805923.385036878</v>
      </c>
      <c r="AQ70" s="126">
        <f>VLOOKUP(AE70,db_fifarank,2,FALSE)</f>
        <v>1465.34</v>
      </c>
      <c r="AR70" s="125">
        <f>AP70/AP72</f>
        <v>0.22006578768714027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3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1 - 7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3</v>
      </c>
      <c r="AL71" s="123">
        <f>AI71-AJ71</f>
        <v>2</v>
      </c>
      <c r="AM71" s="123">
        <f>AL71-AL72</f>
        <v>8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60000005.123395562</v>
      </c>
      <c r="AQ71" s="126">
        <f>VLOOKUP(AE71,db_fifarank,2,FALSE)</f>
        <v>1693.09</v>
      </c>
      <c r="AR71" s="125">
        <f>AP71/AP72</f>
        <v>0.66666663967244821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0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1 - 7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12</v>
      </c>
      <c r="AL72" s="123">
        <f>MIN(AL68:AL71)</f>
        <v>-6</v>
      </c>
      <c r="AM72" s="123">
        <f>MAX(AM68:AM71)+1</f>
        <v>17</v>
      </c>
      <c r="AN72" s="123">
        <f>MAX(AN68:AN71)+1</f>
        <v>10</v>
      </c>
      <c r="AO72" s="123">
        <f>MAX(AO68:AO71)+1</f>
        <v>10</v>
      </c>
      <c r="AP72" s="123">
        <f>MAX(AP68:AP71)+1</f>
        <v>90000011.329313293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1</v>
      </c>
      <c r="V74" s="123">
        <f t="shared" si="21"/>
        <v>1</v>
      </c>
      <c r="W74" s="123">
        <f t="shared" si="22"/>
        <v>1</v>
      </c>
      <c r="X74" s="123">
        <f t="shared" si="32"/>
        <v>1</v>
      </c>
      <c r="Y74" s="123">
        <f t="shared" si="33"/>
        <v>1</v>
      </c>
      <c r="Z74" s="123">
        <f t="shared" si="34"/>
        <v>1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9</v>
      </c>
      <c r="AJ74" s="123">
        <f>SUMIF($E$7:$E$78,$AE74,$G$7:$G$78) + SUMIF($H$7:$H$78,$AE74,$F$7:$F$78)</f>
        <v>3</v>
      </c>
      <c r="AL74" s="123">
        <f>AI74-AJ74</f>
        <v>6</v>
      </c>
      <c r="AM74" s="123">
        <f>AL74-AL78</f>
        <v>12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90000010.131682217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9 - 3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4</v>
      </c>
      <c r="AL75" s="123">
        <f>AI75-AJ75</f>
        <v>0</v>
      </c>
      <c r="AM75" s="123">
        <f>AL75-AL78</f>
        <v>6</v>
      </c>
      <c r="AN75" s="123">
        <f>AF75*3+AG75</f>
        <v>4</v>
      </c>
      <c r="AO75" s="123">
        <f>AN75/AN78*10+BA75</f>
        <v>4.9805825242718447</v>
      </c>
      <c r="AP75" s="123">
        <f>AO75*10000000+BI75*100+AM75/AM78*10+AI75/AI78*1++IF(AQ75=0,ROW(),AQ75)/2000000</f>
        <v>49805928.31721402</v>
      </c>
      <c r="AQ75" s="126">
        <f>VLOOKUP(AE75,db_fifarank,2,FALSE)</f>
        <v>1717.07</v>
      </c>
      <c r="AR75" s="125">
        <f>AP75/AP78</f>
        <v>0.55339913507723004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4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4 - 4</v>
      </c>
      <c r="P76" s="34">
        <f>L76*3+M76</f>
        <v>4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4</v>
      </c>
      <c r="AL76" s="123">
        <f>AI76-AJ76</f>
        <v>0</v>
      </c>
      <c r="AM76" s="123">
        <f>AL76-AL78</f>
        <v>6</v>
      </c>
      <c r="AN76" s="123">
        <f>AF76*3+AG76</f>
        <v>4</v>
      </c>
      <c r="AO76" s="123">
        <f>AN76/AN78*10+BA76</f>
        <v>4.9805825242718447</v>
      </c>
      <c r="AP76" s="123">
        <f>AO76*10000000+BI76*100+AM76/AM78*10+AI76/AI78*1++IF(AQ76=0,ROW(),AQ76)/2000000</f>
        <v>49805928.317028634</v>
      </c>
      <c r="AQ76" s="126">
        <f>VLOOKUP(AE76,db_fifarank,2,FALSE)</f>
        <v>1346.31</v>
      </c>
      <c r="AR76" s="125">
        <f>AP76/AP78</f>
        <v>0.55339913507517025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4 - 4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6</v>
      </c>
      <c r="AL77" s="123">
        <f>AI77-AJ77</f>
        <v>-6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8.5591100524745212E-12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0 - 6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4</v>
      </c>
      <c r="AI78" s="123">
        <f>MAX(AI74:AI77)+1</f>
        <v>10</v>
      </c>
      <c r="AL78" s="123">
        <f>MIN(AL74:AL77)</f>
        <v>-6</v>
      </c>
      <c r="AM78" s="123">
        <f>MAX(AM74:AM77)+1</f>
        <v>13</v>
      </c>
      <c r="AN78" s="123">
        <f>MAX(AN74:AN77)+1</f>
        <v>10</v>
      </c>
      <c r="AO78" s="123">
        <f>MAX(AO74:AO77)+1</f>
        <v>10</v>
      </c>
      <c r="AP78" s="123">
        <f>MAX(AP74:AP77)+1</f>
        <v>90000011.131682217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11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3</v>
      </c>
      <c r="AJ80" s="123">
        <f>VLOOKUP($AE80,$AE$8:$AQ$78,6,FALSE)</f>
        <v>4</v>
      </c>
      <c r="AK80" s="123" t="s">
        <v>3180</v>
      </c>
      <c r="AL80" s="123">
        <f>VLOOKUP($AE80,$AE$8:$AQ$78,8,FALSE)</f>
        <v>-1</v>
      </c>
      <c r="AM80" s="123">
        <f>AL80-$AL$92</f>
        <v>5</v>
      </c>
      <c r="AN80" s="123">
        <f>VLOOKUP($AE80,$AE$8:$AQ$78,10,FALSE)</f>
        <v>2</v>
      </c>
      <c r="AP80" s="123">
        <f>AN80/AN92*10000+AM80/AM92*1000+AI80/AI92*100+IF(AQ80=0,ROW(),AQ80)/2000000</f>
        <v>4667.8578935471432</v>
      </c>
      <c r="AQ80" s="126">
        <f t="shared" ref="AQ80:AQ91" si="37">VLOOKUP($AE80,$AE$8:$AQ$78,13,FALSE)</f>
        <v>1501.38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Czech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Ⓓ United States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4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5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8639.2864925257145</v>
      </c>
      <c r="AQ81" s="126">
        <f t="shared" si="37"/>
        <v>1556.48</v>
      </c>
      <c r="AR81" s="125" t="str">
        <f>AR80&amp;IF(AD81&lt;=8,RIGHT(AK81,1),"")</f>
        <v>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Senegal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5 - 5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5</v>
      </c>
      <c r="AJ82" s="123">
        <f t="shared" si="42"/>
        <v>5</v>
      </c>
      <c r="AK82" s="123" t="s">
        <v>3182</v>
      </c>
      <c r="AL82" s="123">
        <f t="shared" si="43"/>
        <v>0</v>
      </c>
      <c r="AM82" s="123">
        <f t="shared" si="44"/>
        <v>6</v>
      </c>
      <c r="AN82" s="123">
        <f t="shared" si="45"/>
        <v>3</v>
      </c>
      <c r="AP82" s="123">
        <f>AN82/AN92*10000+AM82/AM92*1000+AI82/AI92*100+IF(AQ82=0,ROW(),AQ82)/2000000</f>
        <v>6821.4293206035718</v>
      </c>
      <c r="AQ82" s="126">
        <f t="shared" si="37"/>
        <v>1498.35</v>
      </c>
      <c r="AR82" s="125" t="str">
        <f t="shared" ref="AR82:AR91" si="50">AR81&amp;IF(AD82&lt;=8,RIGHT(AK82,1),"")</f>
        <v>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Ⓛ Ghana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4 - 4</v>
      </c>
      <c r="P83" s="101">
        <f t="shared" si="48"/>
        <v>4</v>
      </c>
      <c r="AD83" s="123">
        <f t="shared" si="38"/>
        <v>1</v>
      </c>
      <c r="AE83" s="124" t="str">
        <f>J29</f>
        <v>United States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4</v>
      </c>
      <c r="AJ83" s="123">
        <f t="shared" si="42"/>
        <v>3</v>
      </c>
      <c r="AK83" s="123" t="s">
        <v>3184</v>
      </c>
      <c r="AL83" s="123">
        <f t="shared" si="43"/>
        <v>1</v>
      </c>
      <c r="AM83" s="123">
        <f t="shared" si="44"/>
        <v>7</v>
      </c>
      <c r="AN83" s="123">
        <f t="shared" si="45"/>
        <v>4</v>
      </c>
      <c r="AP83" s="123">
        <f>AN83/AN92*10000+AM83/AM92*1000+AI83/AI92*100+IF(AQ83=0,ROW(),AQ83)/2000000</f>
        <v>8932.1436937078561</v>
      </c>
      <c r="AQ83" s="126">
        <f t="shared" si="37"/>
        <v>1673.13</v>
      </c>
      <c r="AR83" s="125" t="str">
        <f t="shared" si="50"/>
        <v>BCD</v>
      </c>
      <c r="AS83" s="129" t="str">
        <f t="shared" si="46"/>
        <v>United States</v>
      </c>
      <c r="AT83" s="130" t="str">
        <f>"Ⓓ "&amp;AE83</f>
        <v>Ⓓ United States</v>
      </c>
    </row>
    <row r="84" spans="1:46" ht="15" customHeight="1" x14ac:dyDescent="0.3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Ⓑ Canada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1 - 2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7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4</v>
      </c>
      <c r="AJ84" s="123">
        <f t="shared" si="42"/>
        <v>4</v>
      </c>
      <c r="AK84" s="123" t="s">
        <v>3185</v>
      </c>
      <c r="AL84" s="123">
        <f t="shared" si="43"/>
        <v>0</v>
      </c>
      <c r="AM84" s="123">
        <f t="shared" si="44"/>
        <v>6</v>
      </c>
      <c r="AN84" s="123">
        <f t="shared" si="45"/>
        <v>3</v>
      </c>
      <c r="AP84" s="123">
        <f>AN84/AN92*10000+AM84/AM92*1000+AI84/AI92*100+IF(AQ84=0,ROW(),AQ84)/2000000</f>
        <v>6807.1436236328573</v>
      </c>
      <c r="AQ84" s="126">
        <f t="shared" si="37"/>
        <v>1532.98</v>
      </c>
      <c r="AR84" s="125" t="str">
        <f t="shared" si="50"/>
        <v>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5 - 5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8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6</v>
      </c>
      <c r="AJ85" s="123">
        <f t="shared" si="42"/>
        <v>7</v>
      </c>
      <c r="AK85" s="123" t="s">
        <v>3186</v>
      </c>
      <c r="AL85" s="123">
        <f t="shared" si="43"/>
        <v>-1</v>
      </c>
      <c r="AM85" s="123">
        <f t="shared" si="44"/>
        <v>5</v>
      </c>
      <c r="AN85" s="123">
        <f t="shared" si="45"/>
        <v>3</v>
      </c>
      <c r="AP85" s="123">
        <f>AN85/AN92*10000+AM85/AM92*1000+AI85/AI92*100+IF(AQ85=0,ROW(),AQ85)/2000000</f>
        <v>6710.7150430992851</v>
      </c>
      <c r="AQ85" s="126">
        <f t="shared" si="37"/>
        <v>1514.77</v>
      </c>
      <c r="AR85" s="125" t="str">
        <f t="shared" si="50"/>
        <v>BCDEF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Ⓙ Algeria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4 - 4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9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4</v>
      </c>
      <c r="AJ86" s="123">
        <f t="shared" si="42"/>
        <v>7</v>
      </c>
      <c r="AK86" s="123" t="s">
        <v>3187</v>
      </c>
      <c r="AL86" s="123">
        <f t="shared" si="43"/>
        <v>-3</v>
      </c>
      <c r="AM86" s="123">
        <f t="shared" si="44"/>
        <v>3</v>
      </c>
      <c r="AN86" s="123">
        <f t="shared" si="45"/>
        <v>3</v>
      </c>
      <c r="AP86" s="123">
        <f>AN86/AN92*10000+AM86/AM92*1000+AI86/AI92*100+IF(AQ86=0,ROW(),AQ86)/2000000</f>
        <v>6432.1436647928567</v>
      </c>
      <c r="AQ86" s="126">
        <f t="shared" si="37"/>
        <v>1615.3</v>
      </c>
      <c r="AR86" s="125" t="str">
        <f t="shared" si="50"/>
        <v>BCDEF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3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Ⓔ Ivory Coast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4 - 4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10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1</v>
      </c>
      <c r="AJ87" s="123">
        <f t="shared" si="42"/>
        <v>5</v>
      </c>
      <c r="AK87" s="123" t="s">
        <v>3188</v>
      </c>
      <c r="AL87" s="123">
        <f t="shared" si="43"/>
        <v>-4</v>
      </c>
      <c r="AM87" s="123">
        <f t="shared" si="44"/>
        <v>2</v>
      </c>
      <c r="AN87" s="123">
        <f t="shared" si="45"/>
        <v>3</v>
      </c>
      <c r="AP87" s="123">
        <f>AN87/AN92*10000+AM87/AM92*1000+AI87/AI92*100+IF(AQ87=0,ROW(),AQ87)/2000000</f>
        <v>6264.2864250007151</v>
      </c>
      <c r="AQ87" s="126">
        <f t="shared" si="37"/>
        <v>1421.43</v>
      </c>
      <c r="AR87" s="125" t="str">
        <f t="shared" si="50"/>
        <v>BCDEF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Ⓕ Sweden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6 - 7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2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5</v>
      </c>
      <c r="AJ88" s="123">
        <f t="shared" si="42"/>
        <v>5</v>
      </c>
      <c r="AK88" s="123" t="s">
        <v>3189</v>
      </c>
      <c r="AL88" s="123">
        <f t="shared" si="43"/>
        <v>0</v>
      </c>
      <c r="AM88" s="123">
        <f t="shared" si="44"/>
        <v>6</v>
      </c>
      <c r="AN88" s="123">
        <f t="shared" si="45"/>
        <v>4</v>
      </c>
      <c r="AP88" s="123">
        <f>AN88/AN92*10000+AM88/AM92*1000+AI88/AI92*100+IF(AQ88=0,ROW(),AQ88)/2000000</f>
        <v>8821.4294159235706</v>
      </c>
      <c r="AQ88" s="126">
        <f t="shared" si="37"/>
        <v>1688.99</v>
      </c>
      <c r="AR88" s="125" t="str">
        <f t="shared" si="50"/>
        <v>BCDEFI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Iran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4 - 7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Japan</v>
      </c>
      <c r="T89" s="127" t="str" cm="1">
        <f t="array" ref="T89">IF(OR(S89="",S89="draw"),INDEX(T,91,lang),S89)</f>
        <v>Japan</v>
      </c>
      <c r="AD89" s="123">
        <f t="shared" si="38"/>
        <v>6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4</v>
      </c>
      <c r="AJ89" s="123">
        <f t="shared" si="42"/>
        <v>4</v>
      </c>
      <c r="AK89" s="123" t="s">
        <v>3190</v>
      </c>
      <c r="AL89" s="123">
        <f t="shared" si="43"/>
        <v>0</v>
      </c>
      <c r="AM89" s="123">
        <f t="shared" si="44"/>
        <v>6</v>
      </c>
      <c r="AN89" s="123">
        <f t="shared" si="45"/>
        <v>3</v>
      </c>
      <c r="AP89" s="123">
        <f>AN89/AN92*10000+AM89/AM92*1000+AI89/AI92*100+IF(AQ89=0,ROW(),AQ89)/2000000</f>
        <v>6807.1436392728565</v>
      </c>
      <c r="AQ89" s="126">
        <f t="shared" si="37"/>
        <v>1564.26</v>
      </c>
      <c r="AR89" s="125" t="str">
        <f t="shared" si="50"/>
        <v>BCDEFIJ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Ⓗ Saudi Arabia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1 - 5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Paraguay</v>
      </c>
      <c r="T90" s="127" t="str" cm="1">
        <f t="array" ref="T90">IF(OR(S90="",S90="draw"),INDEX(T,92,lang),S90)</f>
        <v>Paraguay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7</v>
      </c>
      <c r="AK90" s="123" t="s">
        <v>3191</v>
      </c>
      <c r="AL90" s="123">
        <f t="shared" si="43"/>
        <v>-6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2014.2864534607143</v>
      </c>
      <c r="AQ90" s="126">
        <f t="shared" si="37"/>
        <v>1478.35</v>
      </c>
      <c r="AR90" s="125" t="str">
        <f t="shared" si="50"/>
        <v>BCDEFIJ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Ⓐ Czech Republic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3 - 4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3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4</v>
      </c>
      <c r="AJ91" s="123">
        <f>VLOOKUP($AE91,$AE$8:$AQ$78,6,FALSE)</f>
        <v>4</v>
      </c>
      <c r="AK91" s="123" t="s">
        <v>3192</v>
      </c>
      <c r="AL91" s="123">
        <f>VLOOKUP($AE91,$AE$8:$AQ$78,8,FALSE)</f>
        <v>0</v>
      </c>
      <c r="AM91" s="123">
        <f t="shared" si="44"/>
        <v>6</v>
      </c>
      <c r="AN91" s="123">
        <f>VLOOKUP($AE91,$AE$8:$AQ$78,10,FALSE)</f>
        <v>4</v>
      </c>
      <c r="AP91" s="123">
        <f>AN91/AN92*10000+AM91/AM92*1000+AI91/AI92*100+IF(AQ91=0,ROW(),AQ91)/2000000</f>
        <v>8807.1435302978571</v>
      </c>
      <c r="AQ91" s="126">
        <f t="shared" si="37"/>
        <v>1346.31</v>
      </c>
      <c r="AR91" s="125" t="str">
        <f t="shared" si="50"/>
        <v>BCDEFIJL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1 - 7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7</v>
      </c>
      <c r="AJ92" s="123">
        <f>MAX(AJ80:AJ91)+1</f>
        <v>8</v>
      </c>
      <c r="AL92" s="123">
        <f>MIN(AL80:AL91)</f>
        <v>-6</v>
      </c>
      <c r="AM92" s="123">
        <f>MAX(AM80:AM91)+1</f>
        <v>8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Japan</v>
      </c>
      <c r="T96" s="127" t="str" cm="1">
        <f t="array" ref="T96">IF(OR(S96="",S96="draw"),INDEX(T,95,lang),S96)</f>
        <v>Japan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Japan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Japan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148</v>
      </c>
      <c r="C3" s="121" t="str">
        <f>'2026 World Cup'!AR91</f>
        <v>BCDEFIJL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3E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Yuriy Postolatiy Postolatiy</cp:lastModifiedBy>
  <cp:revision/>
  <dcterms:created xsi:type="dcterms:W3CDTF">2017-12-27T19:32:51Z</dcterms:created>
  <dcterms:modified xsi:type="dcterms:W3CDTF">2026-06-09T17:33:59Z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