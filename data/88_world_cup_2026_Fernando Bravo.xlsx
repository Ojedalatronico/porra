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rna\Downloads\"/>
    </mc:Choice>
  </mc:AlternateContent>
  <xr:revisionPtr revIDLastSave="0" documentId="13_ncr:1_{097C2403-2837-494A-9ED5-AE2FC4A285E4}" xr6:coauthVersionLast="47" xr6:coauthVersionMax="47" xr10:uidLastSave="{00000000-0000-0000-0000-000000000000}"/>
  <bookViews>
    <workbookView xWindow="-12120" yWindow="-21600" windowWidth="43815" windowHeight="20985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T12" i="3" s="1"/>
  <c r="S27" i="3"/>
  <c r="T27" i="3" s="1"/>
  <c r="S74" i="3"/>
  <c r="T74" i="3" s="1"/>
  <c r="S28" i="3"/>
  <c r="T28" i="3" s="1"/>
  <c r="S51" i="3"/>
  <c r="T51" i="3" s="1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T23" i="3" s="1"/>
  <c r="S48" i="3"/>
  <c r="T48" i="3" s="1"/>
  <c r="S43" i="3"/>
  <c r="T43" i="3" s="1"/>
  <c r="S19" i="3"/>
  <c r="S20" i="3"/>
  <c r="T20" i="3" s="1"/>
  <c r="S44" i="3"/>
  <c r="T44" i="3" s="1"/>
  <c r="S46" i="3"/>
  <c r="T46" i="3" s="1"/>
  <c r="S21" i="3"/>
  <c r="T21" i="3" s="1"/>
  <c r="S45" i="3"/>
  <c r="T45" i="3" s="1"/>
  <c r="S18" i="3"/>
  <c r="T18" i="3" s="1"/>
  <c r="S63" i="3"/>
  <c r="T63" i="3" s="1"/>
  <c r="S17" i="3"/>
  <c r="T17" i="3" s="1"/>
  <c r="S41" i="3"/>
  <c r="T41" i="3" s="1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T34" i="3" s="1"/>
  <c r="S29" i="3"/>
  <c r="T29" i="3" s="1"/>
  <c r="S53" i="3"/>
  <c r="S35" i="3"/>
  <c r="T35" i="3" s="1"/>
  <c r="S7" i="3"/>
  <c r="T7" i="3" s="1"/>
  <c r="S22" i="3"/>
  <c r="S24" i="3"/>
  <c r="S69" i="3"/>
  <c r="S58" i="3"/>
  <c r="S31" i="3"/>
  <c r="S59" i="3"/>
  <c r="S71" i="3"/>
  <c r="S52" i="3"/>
  <c r="S73" i="3"/>
  <c r="S54" i="3"/>
  <c r="S77" i="3"/>
  <c r="S50" i="3"/>
  <c r="S76" i="3"/>
  <c r="S47" i="3"/>
  <c r="S67" i="3"/>
  <c r="S72" i="3"/>
  <c r="T19" i="3"/>
  <c r="S70" i="3"/>
  <c r="S42" i="3"/>
  <c r="S64" i="3"/>
  <c r="S40" i="3"/>
  <c r="S62" i="3"/>
  <c r="S38" i="3"/>
  <c r="S65" i="3"/>
  <c r="S55" i="3"/>
  <c r="S57" i="3"/>
  <c r="T53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8" i="3"/>
  <c r="BH59" i="3"/>
  <c r="BH57" i="3" l="1"/>
  <c r="BH56" i="3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60" i="3" l="1"/>
  <c r="BH78" i="3"/>
  <c r="BI76" i="3" s="1"/>
  <c r="AP76" i="3" s="1"/>
  <c r="BH12" i="3"/>
  <c r="BI11" i="3" s="1"/>
  <c r="AP11" i="3" s="1"/>
  <c r="BH30" i="3"/>
  <c r="BH24" i="3"/>
  <c r="BI23" i="3" s="1"/>
  <c r="AP23" i="3" s="1"/>
  <c r="BH66" i="3"/>
  <c r="BI65" i="3" s="1"/>
  <c r="AP65" i="3" s="1"/>
  <c r="BH72" i="3"/>
  <c r="BI71" i="3" s="1"/>
  <c r="AP71" i="3" s="1"/>
  <c r="BH42" i="3"/>
  <c r="BI40" i="3" s="1"/>
  <c r="AP40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6" i="3" l="1"/>
  <c r="AP56" i="3" s="1"/>
  <c r="BI59" i="3"/>
  <c r="AP59" i="3" s="1"/>
  <c r="BI57" i="3"/>
  <c r="AP57" i="3" s="1"/>
  <c r="BI58" i="3"/>
  <c r="AP58" i="3" s="1"/>
  <c r="BI28" i="3"/>
  <c r="AP28" i="3" s="1"/>
  <c r="BI26" i="3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60" i="3" l="1"/>
  <c r="AP36" i="3"/>
  <c r="AP12" i="3"/>
  <c r="AP72" i="3"/>
  <c r="AR68" i="3" s="1"/>
  <c r="AP30" i="3"/>
  <c r="AP78" i="3"/>
  <c r="AR74" i="3" s="1"/>
  <c r="AP24" i="3"/>
  <c r="AR21" i="3" s="1"/>
  <c r="AP42" i="3"/>
  <c r="AR38" i="3" s="1"/>
  <c r="AP66" i="3"/>
  <c r="AR62" i="3" s="1"/>
  <c r="AP48" i="3"/>
  <c r="AR44" i="3" s="1"/>
  <c r="AP18" i="3"/>
  <c r="AR14" i="3" s="1"/>
  <c r="AP54" i="3"/>
  <c r="AR50" i="3" s="1"/>
  <c r="AR57" i="3" l="1"/>
  <c r="AR58" i="3"/>
  <c r="AR59" i="3"/>
  <c r="AR56" i="3"/>
  <c r="AR20" i="3"/>
  <c r="AR22" i="3"/>
  <c r="AR26" i="3"/>
  <c r="AR28" i="3"/>
  <c r="AR32" i="3"/>
  <c r="AR35" i="3"/>
  <c r="AR34" i="3"/>
  <c r="AR33" i="3"/>
  <c r="AR9" i="3"/>
  <c r="AR10" i="3"/>
  <c r="AR8" i="3"/>
  <c r="AR11" i="3"/>
  <c r="AR75" i="3"/>
  <c r="AR76" i="3"/>
  <c r="AR77" i="3"/>
  <c r="AD77" i="3" s="1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R16" i="3"/>
  <c r="AR17" i="3"/>
  <c r="AD15" i="3"/>
  <c r="AD53" i="3" l="1"/>
  <c r="AD59" i="3"/>
  <c r="AD33" i="3"/>
  <c r="AD58" i="3"/>
  <c r="AD57" i="3"/>
  <c r="AD56" i="3"/>
  <c r="AD20" i="3"/>
  <c r="AD11" i="3"/>
  <c r="AD75" i="3"/>
  <c r="AD26" i="3"/>
  <c r="AD27" i="3"/>
  <c r="AD70" i="3"/>
  <c r="AD14" i="3"/>
  <c r="AD22" i="3"/>
  <c r="AD21" i="3"/>
  <c r="AD32" i="3"/>
  <c r="AD35" i="3"/>
  <c r="AD41" i="3"/>
  <c r="AD34" i="3"/>
  <c r="AD68" i="3"/>
  <c r="AD44" i="3"/>
  <c r="AD47" i="3"/>
  <c r="AD9" i="3"/>
  <c r="AD10" i="3"/>
  <c r="AD8" i="3"/>
  <c r="AD62" i="3"/>
  <c r="M63" i="3" s="1"/>
  <c r="AD63" i="3"/>
  <c r="AD76" i="3"/>
  <c r="AD29" i="3"/>
  <c r="AD74" i="3"/>
  <c r="AD71" i="3"/>
  <c r="AD28" i="3"/>
  <c r="AD69" i="3"/>
  <c r="AD39" i="3"/>
  <c r="AD64" i="3"/>
  <c r="AD16" i="3"/>
  <c r="AD46" i="3"/>
  <c r="AD23" i="3"/>
  <c r="AD65" i="3"/>
  <c r="AD51" i="3"/>
  <c r="AD45" i="3"/>
  <c r="AD40" i="3"/>
  <c r="AD52" i="3"/>
  <c r="AD38" i="3"/>
  <c r="AD50" i="3"/>
  <c r="AD17" i="3"/>
  <c r="M59" i="3" l="1"/>
  <c r="M58" i="3"/>
  <c r="O60" i="3"/>
  <c r="N58" i="3"/>
  <c r="L58" i="3"/>
  <c r="L59" i="3"/>
  <c r="P59" i="3" s="1"/>
  <c r="L57" i="3"/>
  <c r="M60" i="3"/>
  <c r="O57" i="3"/>
  <c r="N60" i="3"/>
  <c r="M57" i="3"/>
  <c r="N57" i="3"/>
  <c r="J60" i="3"/>
  <c r="O59" i="3"/>
  <c r="N59" i="3"/>
  <c r="L60" i="3"/>
  <c r="J57" i="3"/>
  <c r="AS56" i="3" s="1"/>
  <c r="BL14" i="3" s="1"/>
  <c r="J59" i="3"/>
  <c r="AE88" i="3" s="1"/>
  <c r="O58" i="3"/>
  <c r="J58" i="3"/>
  <c r="AS57" i="3" s="1"/>
  <c r="BL47" i="3" s="1"/>
  <c r="O21" i="3"/>
  <c r="L21" i="3"/>
  <c r="M21" i="3"/>
  <c r="J21" i="3"/>
  <c r="AS20" i="3" s="1"/>
  <c r="BL42" i="3" s="1"/>
  <c r="BS44" i="3" s="1"/>
  <c r="N21" i="3"/>
  <c r="J27" i="3"/>
  <c r="AS26" i="3" s="1"/>
  <c r="BL34" i="3" s="1"/>
  <c r="N27" i="3"/>
  <c r="M27" i="3"/>
  <c r="L27" i="3"/>
  <c r="O27" i="3"/>
  <c r="J30" i="3"/>
  <c r="M30" i="3"/>
  <c r="O30" i="3"/>
  <c r="N30" i="3"/>
  <c r="L30" i="3"/>
  <c r="L15" i="3"/>
  <c r="M18" i="3"/>
  <c r="J18" i="3"/>
  <c r="O18" i="3"/>
  <c r="N18" i="3"/>
  <c r="L18" i="3"/>
  <c r="J22" i="3"/>
  <c r="AS21" i="3" s="1"/>
  <c r="BL23" i="3" s="1"/>
  <c r="J24" i="3"/>
  <c r="M22" i="3"/>
  <c r="L24" i="3"/>
  <c r="M24" i="3"/>
  <c r="N24" i="3"/>
  <c r="L22" i="3"/>
  <c r="O24" i="3"/>
  <c r="O22" i="3"/>
  <c r="N22" i="3"/>
  <c r="J12" i="3"/>
  <c r="M33" i="3"/>
  <c r="L35" i="3"/>
  <c r="O36" i="3"/>
  <c r="L36" i="3"/>
  <c r="O33" i="3"/>
  <c r="M16" i="3"/>
  <c r="J16" i="3"/>
  <c r="AS15" i="3" s="1"/>
  <c r="BL19" i="3" s="1"/>
  <c r="N16" i="3"/>
  <c r="O16" i="3"/>
  <c r="L16" i="3"/>
  <c r="J36" i="3"/>
  <c r="J35" i="3"/>
  <c r="AE84" i="3" s="1"/>
  <c r="J34" i="3"/>
  <c r="AS33" i="3" s="1"/>
  <c r="BL46" i="3" s="1"/>
  <c r="J33" i="3"/>
  <c r="AS32" i="3" s="1"/>
  <c r="BL10" i="3" s="1"/>
  <c r="N33" i="3"/>
  <c r="L33" i="3"/>
  <c r="M36" i="3"/>
  <c r="N35" i="3"/>
  <c r="M34" i="3"/>
  <c r="N36" i="3"/>
  <c r="N34" i="3"/>
  <c r="O34" i="3"/>
  <c r="O35" i="3"/>
  <c r="M35" i="3"/>
  <c r="L34" i="3"/>
  <c r="J69" i="3"/>
  <c r="AS68" i="3" s="1"/>
  <c r="BL70" i="3" s="1"/>
  <c r="L69" i="3"/>
  <c r="M69" i="3"/>
  <c r="N69" i="3"/>
  <c r="O69" i="3"/>
  <c r="L71" i="3"/>
  <c r="M71" i="3"/>
  <c r="N71" i="3"/>
  <c r="O71" i="3"/>
  <c r="L72" i="3"/>
  <c r="M72" i="3"/>
  <c r="N72" i="3"/>
  <c r="O72" i="3"/>
  <c r="J72" i="3"/>
  <c r="J71" i="3"/>
  <c r="AE90" i="3" s="1"/>
  <c r="J45" i="3"/>
  <c r="AS44" i="3" s="1"/>
  <c r="BL38" i="3" s="1"/>
  <c r="L45" i="3"/>
  <c r="O45" i="3"/>
  <c r="M45" i="3"/>
  <c r="N45" i="3"/>
  <c r="N12" i="3"/>
  <c r="O9" i="3"/>
  <c r="N9" i="3"/>
  <c r="O12" i="3"/>
  <c r="M9" i="3"/>
  <c r="L12" i="3"/>
  <c r="M12" i="3"/>
  <c r="J9" i="3"/>
  <c r="AS8" i="3" s="1"/>
  <c r="BL50" i="3" s="1"/>
  <c r="L9" i="3"/>
  <c r="L11" i="3"/>
  <c r="M10" i="3"/>
  <c r="N10" i="3"/>
  <c r="O11" i="3"/>
  <c r="J11" i="3"/>
  <c r="AE80" i="3" s="1"/>
  <c r="N11" i="3"/>
  <c r="M11" i="3"/>
  <c r="J10" i="3"/>
  <c r="AS9" i="3" s="1"/>
  <c r="BL18" i="3" s="1"/>
  <c r="L10" i="3"/>
  <c r="O10" i="3"/>
  <c r="J65" i="3"/>
  <c r="AE89" i="3" s="1"/>
  <c r="J64" i="3"/>
  <c r="AS63" i="3" s="1"/>
  <c r="BL31" i="3" s="1"/>
  <c r="L64" i="3"/>
  <c r="J63" i="3"/>
  <c r="AS62" i="3" s="1"/>
  <c r="BL58" i="3" s="1"/>
  <c r="BS60" i="3" s="1"/>
  <c r="BZ64" i="3" s="1"/>
  <c r="M65" i="3"/>
  <c r="L63" i="3"/>
  <c r="O63" i="3"/>
  <c r="N63" i="3"/>
  <c r="M64" i="3"/>
  <c r="N64" i="3"/>
  <c r="O64" i="3"/>
  <c r="L65" i="3"/>
  <c r="N65" i="3"/>
  <c r="O65" i="3"/>
  <c r="M28" i="3"/>
  <c r="N28" i="3"/>
  <c r="J28" i="3"/>
  <c r="AS27" i="3" s="1"/>
  <c r="BL62" i="3" s="1"/>
  <c r="O29" i="3"/>
  <c r="O28" i="3"/>
  <c r="L28" i="3"/>
  <c r="J29" i="3"/>
  <c r="AE83" i="3" s="1"/>
  <c r="M29" i="3"/>
  <c r="N29" i="3"/>
  <c r="L29" i="3"/>
  <c r="N17" i="3"/>
  <c r="O17" i="3"/>
  <c r="L17" i="3"/>
  <c r="M17" i="3"/>
  <c r="L23" i="3"/>
  <c r="O23" i="3"/>
  <c r="L78" i="3"/>
  <c r="N78" i="3"/>
  <c r="L76" i="3"/>
  <c r="M76" i="3"/>
  <c r="N76" i="3"/>
  <c r="L75" i="3"/>
  <c r="J77" i="3"/>
  <c r="AE91" i="3" s="1"/>
  <c r="J75" i="3"/>
  <c r="AS74" i="3" s="1"/>
  <c r="BL54" i="3" s="1"/>
  <c r="L77" i="3"/>
  <c r="O78" i="3"/>
  <c r="M78" i="3"/>
  <c r="J78" i="3"/>
  <c r="M75" i="3"/>
  <c r="N75" i="3"/>
  <c r="O75" i="3"/>
  <c r="N77" i="3"/>
  <c r="J76" i="3"/>
  <c r="AS75" i="3" s="1"/>
  <c r="BL27" i="3" s="1"/>
  <c r="O77" i="3"/>
  <c r="O76" i="3"/>
  <c r="M77" i="3"/>
  <c r="L70" i="3"/>
  <c r="M70" i="3"/>
  <c r="O70" i="3"/>
  <c r="J70" i="3"/>
  <c r="AS69" i="3" s="1"/>
  <c r="BL26" i="3" s="1"/>
  <c r="N70" i="3"/>
  <c r="J46" i="3"/>
  <c r="AS45" i="3" s="1"/>
  <c r="BL63" i="3" s="1"/>
  <c r="N47" i="3"/>
  <c r="L47" i="3"/>
  <c r="O47" i="3"/>
  <c r="N46" i="3"/>
  <c r="L46" i="3"/>
  <c r="O46" i="3"/>
  <c r="O48" i="3"/>
  <c r="M46" i="3"/>
  <c r="N48" i="3"/>
  <c r="J48" i="3"/>
  <c r="J47" i="3"/>
  <c r="AE86" i="3" s="1"/>
  <c r="M42" i="3"/>
  <c r="N40" i="3"/>
  <c r="O39" i="3"/>
  <c r="M39" i="3"/>
  <c r="O42" i="3"/>
  <c r="L40" i="3"/>
  <c r="M40" i="3"/>
  <c r="L39" i="3"/>
  <c r="O40" i="3"/>
  <c r="L42" i="3"/>
  <c r="N39" i="3"/>
  <c r="J39" i="3"/>
  <c r="AS38" i="3" s="1"/>
  <c r="BL22" i="3" s="1"/>
  <c r="J40" i="3"/>
  <c r="AS39" i="3" s="1"/>
  <c r="BL43" i="3" s="1"/>
  <c r="J41" i="3"/>
  <c r="AE85" i="3" s="1"/>
  <c r="J42" i="3"/>
  <c r="J51" i="3"/>
  <c r="AS50" i="3" s="1"/>
  <c r="BL30" i="3" s="1"/>
  <c r="N51" i="3"/>
  <c r="M51" i="3"/>
  <c r="L51" i="3"/>
  <c r="O51" i="3"/>
  <c r="N53" i="3"/>
  <c r="M41" i="3"/>
  <c r="L66" i="3"/>
  <c r="M66" i="3"/>
  <c r="N66" i="3"/>
  <c r="O66" i="3"/>
  <c r="J66" i="3"/>
  <c r="O54" i="3"/>
  <c r="M54" i="3"/>
  <c r="J52" i="3"/>
  <c r="AS51" i="3" s="1"/>
  <c r="BL59" i="3" s="1"/>
  <c r="N54" i="3"/>
  <c r="N52" i="3"/>
  <c r="L54" i="3"/>
  <c r="M47" i="3"/>
  <c r="M48" i="3"/>
  <c r="L48" i="3"/>
  <c r="J54" i="3"/>
  <c r="O52" i="3"/>
  <c r="O41" i="3"/>
  <c r="L41" i="3"/>
  <c r="N23" i="3"/>
  <c r="N15" i="3"/>
  <c r="O53" i="3"/>
  <c r="L52" i="3"/>
  <c r="J17" i="3"/>
  <c r="AE81" i="3" s="1"/>
  <c r="L53" i="3"/>
  <c r="M52" i="3"/>
  <c r="M53" i="3"/>
  <c r="J53" i="3"/>
  <c r="AE87" i="3" s="1"/>
  <c r="N41" i="3"/>
  <c r="M23" i="3"/>
  <c r="J23" i="3"/>
  <c r="AE82" i="3" s="1"/>
  <c r="N42" i="3"/>
  <c r="M15" i="3"/>
  <c r="O15" i="3"/>
  <c r="J15" i="3"/>
  <c r="AS14" i="3" s="1"/>
  <c r="BL66" i="3" s="1"/>
  <c r="BS61" i="3" l="1"/>
  <c r="BS45" i="3"/>
  <c r="BZ48" i="3" s="1"/>
  <c r="S91" i="3"/>
  <c r="T91" i="3" s="1" a="1"/>
  <c r="T91" i="3" s="1"/>
  <c r="BS37" i="3"/>
  <c r="S90" i="3"/>
  <c r="T90" i="3" s="1" a="1"/>
  <c r="T90" i="3" s="1"/>
  <c r="BS36" i="3"/>
  <c r="S86" i="3"/>
  <c r="T86" i="3" s="1" a="1"/>
  <c r="T86" i="3" s="1"/>
  <c r="BS28" i="3"/>
  <c r="S89" i="3"/>
  <c r="T89" i="3" s="1" a="1"/>
  <c r="T89" i="3" s="1"/>
  <c r="BS21" i="3"/>
  <c r="S87" i="3"/>
  <c r="T87" i="3" s="1" a="1"/>
  <c r="T87" i="3" s="1"/>
  <c r="BS29" i="3"/>
  <c r="S88" i="3"/>
  <c r="T88" i="3" s="1" a="1"/>
  <c r="T88" i="3" s="1"/>
  <c r="BS20" i="3"/>
  <c r="P58" i="3"/>
  <c r="K58" i="3"/>
  <c r="P57" i="3"/>
  <c r="K57" i="3"/>
  <c r="K59" i="3"/>
  <c r="K60" i="3"/>
  <c r="P60" i="3"/>
  <c r="AI88" i="3"/>
  <c r="AN88" i="3"/>
  <c r="AL88" i="3"/>
  <c r="AF88" i="3"/>
  <c r="AH88" i="3"/>
  <c r="AG88" i="3"/>
  <c r="AT88" i="3"/>
  <c r="AQ88" i="3"/>
  <c r="AJ88" i="3"/>
  <c r="K21" i="3"/>
  <c r="P21" i="3"/>
  <c r="K27" i="3"/>
  <c r="P27" i="3"/>
  <c r="P52" i="3"/>
  <c r="K30" i="3"/>
  <c r="P30" i="3"/>
  <c r="P18" i="3"/>
  <c r="K18" i="3"/>
  <c r="K24" i="3"/>
  <c r="P24" i="3"/>
  <c r="P22" i="3"/>
  <c r="K22" i="3"/>
  <c r="AF89" i="3"/>
  <c r="AG89" i="3"/>
  <c r="P16" i="3"/>
  <c r="K16" i="3"/>
  <c r="P75" i="3"/>
  <c r="AQ84" i="3"/>
  <c r="AF84" i="3"/>
  <c r="AH84" i="3"/>
  <c r="AJ84" i="3"/>
  <c r="AT84" i="3"/>
  <c r="AG84" i="3"/>
  <c r="AI84" i="3"/>
  <c r="AL84" i="3"/>
  <c r="AN84" i="3"/>
  <c r="P33" i="3"/>
  <c r="K33" i="3"/>
  <c r="K36" i="3"/>
  <c r="P36" i="3"/>
  <c r="P35" i="3"/>
  <c r="K35" i="3"/>
  <c r="P34" i="3"/>
  <c r="K34" i="3"/>
  <c r="P69" i="3"/>
  <c r="K69" i="3"/>
  <c r="P71" i="3"/>
  <c r="K71" i="3"/>
  <c r="P72" i="3"/>
  <c r="K72" i="3"/>
  <c r="AQ90" i="3"/>
  <c r="AG90" i="3"/>
  <c r="AJ90" i="3"/>
  <c r="AL90" i="3"/>
  <c r="AT90" i="3"/>
  <c r="AF90" i="3"/>
  <c r="AH90" i="3"/>
  <c r="AI90" i="3"/>
  <c r="AN90" i="3"/>
  <c r="K45" i="3"/>
  <c r="P45" i="3"/>
  <c r="P23" i="3"/>
  <c r="K75" i="3"/>
  <c r="AQ89" i="3"/>
  <c r="AH89" i="3"/>
  <c r="AI89" i="3"/>
  <c r="AJ89" i="3"/>
  <c r="AL89" i="3"/>
  <c r="AN89" i="3"/>
  <c r="AT89" i="3"/>
  <c r="P64" i="3"/>
  <c r="K64" i="3"/>
  <c r="P65" i="3"/>
  <c r="K65" i="3"/>
  <c r="P63" i="3"/>
  <c r="K63" i="3"/>
  <c r="P42" i="3"/>
  <c r="K12" i="3"/>
  <c r="P12" i="3"/>
  <c r="P9" i="3"/>
  <c r="K9" i="3"/>
  <c r="P11" i="3"/>
  <c r="K11" i="3"/>
  <c r="AQ80" i="3"/>
  <c r="AN80" i="3"/>
  <c r="AL80" i="3"/>
  <c r="AJ80" i="3"/>
  <c r="AH80" i="3"/>
  <c r="AG80" i="3"/>
  <c r="AF80" i="3"/>
  <c r="AT80" i="3"/>
  <c r="AI80" i="3"/>
  <c r="P10" i="3"/>
  <c r="K10" i="3"/>
  <c r="P28" i="3"/>
  <c r="K28" i="3"/>
  <c r="AQ83" i="3"/>
  <c r="AT83" i="3"/>
  <c r="AN83" i="3"/>
  <c r="AL83" i="3"/>
  <c r="AI83" i="3"/>
  <c r="AJ83" i="3"/>
  <c r="AF83" i="3"/>
  <c r="AG83" i="3"/>
  <c r="AH83" i="3"/>
  <c r="K29" i="3"/>
  <c r="P29" i="3"/>
  <c r="P17" i="3"/>
  <c r="K17" i="3"/>
  <c r="K78" i="3"/>
  <c r="P78" i="3"/>
  <c r="P76" i="3"/>
  <c r="K76" i="3"/>
  <c r="AQ91" i="3"/>
  <c r="AT91" i="3"/>
  <c r="AN91" i="3"/>
  <c r="AJ91" i="3"/>
  <c r="AI91" i="3"/>
  <c r="AH91" i="3"/>
  <c r="AG91" i="3"/>
  <c r="AF91" i="3"/>
  <c r="AL91" i="3"/>
  <c r="K42" i="3"/>
  <c r="P77" i="3"/>
  <c r="K77" i="3"/>
  <c r="P70" i="3"/>
  <c r="K70" i="3"/>
  <c r="P46" i="3"/>
  <c r="K46" i="3"/>
  <c r="AQ86" i="3"/>
  <c r="AF86" i="3"/>
  <c r="AG86" i="3"/>
  <c r="AH86" i="3"/>
  <c r="AI86" i="3"/>
  <c r="AJ86" i="3"/>
  <c r="AL86" i="3"/>
  <c r="AN86" i="3"/>
  <c r="AT86" i="3"/>
  <c r="K40" i="3"/>
  <c r="P40" i="3"/>
  <c r="P39" i="3"/>
  <c r="K39" i="3"/>
  <c r="AQ85" i="3"/>
  <c r="AF85" i="3"/>
  <c r="AG85" i="3"/>
  <c r="AH85" i="3"/>
  <c r="AI85" i="3"/>
  <c r="AJ85" i="3"/>
  <c r="AL85" i="3"/>
  <c r="AN85" i="3"/>
  <c r="AT85" i="3"/>
  <c r="K51" i="3"/>
  <c r="P51" i="3"/>
  <c r="K53" i="3"/>
  <c r="K41" i="3"/>
  <c r="P41" i="3"/>
  <c r="P66" i="3"/>
  <c r="K66" i="3"/>
  <c r="K23" i="3"/>
  <c r="P53" i="3"/>
  <c r="P54" i="3"/>
  <c r="K54" i="3"/>
  <c r="K47" i="3"/>
  <c r="P47" i="3"/>
  <c r="K48" i="3"/>
  <c r="P48" i="3"/>
  <c r="AQ81" i="3"/>
  <c r="AF81" i="3"/>
  <c r="AG81" i="3"/>
  <c r="AH81" i="3"/>
  <c r="AI81" i="3"/>
  <c r="AJ81" i="3"/>
  <c r="AL81" i="3"/>
  <c r="AN81" i="3"/>
  <c r="AT81" i="3"/>
  <c r="AQ87" i="3"/>
  <c r="AF87" i="3"/>
  <c r="AG87" i="3"/>
  <c r="AH87" i="3"/>
  <c r="AJ87" i="3"/>
  <c r="AL87" i="3"/>
  <c r="AN87" i="3"/>
  <c r="AT87" i="3"/>
  <c r="AQ82" i="3"/>
  <c r="AF82" i="3"/>
  <c r="AG82" i="3"/>
  <c r="AH82" i="3"/>
  <c r="AI82" i="3"/>
  <c r="AJ82" i="3"/>
  <c r="AN82" i="3"/>
  <c r="AT82" i="3"/>
  <c r="P15" i="3"/>
  <c r="K15" i="3"/>
  <c r="AL82" i="3"/>
  <c r="AI87" i="3"/>
  <c r="K5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H92" i="3"/>
  <c r="AJ92" i="3"/>
  <c r="AN92" i="3"/>
  <c r="AS92" i="3"/>
  <c r="AG92" i="3"/>
  <c r="AF92" i="3"/>
  <c r="AL92" i="3"/>
  <c r="AI92" i="3"/>
  <c r="S103" i="3" l="1"/>
  <c r="T103" i="3" s="1" a="1"/>
  <c r="T103" i="3" s="1"/>
  <c r="CG24" i="3"/>
  <c r="CN48" i="3" s="1"/>
  <c r="AM88" i="3"/>
  <c r="AM84" i="3"/>
  <c r="AM83" i="3"/>
  <c r="AM91" i="3"/>
  <c r="AM82" i="3"/>
  <c r="AM90" i="3"/>
  <c r="AM89" i="3"/>
  <c r="AM80" i="3"/>
  <c r="AM81" i="3"/>
  <c r="AM87" i="3"/>
  <c r="AM86" i="3"/>
  <c r="AM85" i="3"/>
  <c r="S85" i="3"/>
  <c r="T85" i="3" s="1" a="1"/>
  <c r="T85" i="3" s="1"/>
  <c r="BS13" i="3"/>
  <c r="S84" i="3"/>
  <c r="T84" i="3" s="1" a="1"/>
  <c r="T84" i="3" s="1"/>
  <c r="BS12" i="3"/>
  <c r="AM92" i="3" l="1"/>
  <c r="BZ16" i="3"/>
  <c r="S95" i="3"/>
  <c r="T95" i="3" s="1" a="1"/>
  <c r="T95" i="3" s="1"/>
  <c r="S102" i="3" l="1"/>
  <c r="T102" i="3" s="1" a="1"/>
  <c r="T102" i="3" s="1"/>
  <c r="CG23" i="3"/>
  <c r="AP87" i="3"/>
  <c r="AP88" i="3"/>
  <c r="AP84" i="3"/>
  <c r="AP89" i="3"/>
  <c r="AP81" i="3"/>
  <c r="AP90" i="3"/>
  <c r="AP86" i="3"/>
  <c r="AP82" i="3"/>
  <c r="AP83" i="3"/>
  <c r="AP91" i="3"/>
  <c r="AP85" i="3"/>
  <c r="AP80" i="3"/>
  <c r="CN37" i="3" l="1"/>
  <c r="S111" i="3"/>
  <c r="T111" i="3" s="1"/>
  <c r="AD88" i="3"/>
  <c r="AS88" i="3" s="1"/>
  <c r="AD83" i="3"/>
  <c r="AS83" i="3" s="1"/>
  <c r="AD84" i="3"/>
  <c r="AS84" i="3" s="1"/>
  <c r="AD81" i="3"/>
  <c r="AS81" i="3" s="1"/>
  <c r="AD90" i="3"/>
  <c r="AS90" i="3" s="1"/>
  <c r="AD86" i="3"/>
  <c r="AS86" i="3" s="1"/>
  <c r="AD89" i="3"/>
  <c r="AS89" i="3" s="1"/>
  <c r="AD82" i="3"/>
  <c r="AS82" i="3" s="1"/>
  <c r="AD91" i="3"/>
  <c r="AS91" i="3" s="1"/>
  <c r="AD85" i="3"/>
  <c r="AS85" i="3" s="1"/>
  <c r="AD80" i="3"/>
  <c r="AD87" i="3"/>
  <c r="N81" i="3" l="1"/>
  <c r="J88" i="3"/>
  <c r="L81" i="3"/>
  <c r="O90" i="3"/>
  <c r="O88" i="3"/>
  <c r="O86" i="3"/>
  <c r="L90" i="3"/>
  <c r="O91" i="3"/>
  <c r="M91" i="3"/>
  <c r="L82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O92" i="3"/>
  <c r="N87" i="3"/>
  <c r="M83" i="3"/>
  <c r="N91" i="3"/>
  <c r="O89" i="3"/>
  <c r="N89" i="3"/>
  <c r="L92" i="3"/>
  <c r="J81" i="3"/>
  <c r="J89" i="3"/>
  <c r="O81" i="3"/>
  <c r="M90" i="3"/>
  <c r="L86" i="3"/>
  <c r="N83" i="3"/>
  <c r="O82" i="3"/>
  <c r="M84" i="3"/>
  <c r="N92" i="3"/>
  <c r="J82" i="3"/>
  <c r="J90" i="3"/>
  <c r="M82" i="3"/>
  <c r="M86" i="3"/>
  <c r="N86" i="3"/>
  <c r="O84" i="3"/>
  <c r="L89" i="3"/>
  <c r="M89" i="3"/>
  <c r="O85" i="3"/>
  <c r="N88" i="3"/>
  <c r="J84" i="3"/>
  <c r="O83" i="3"/>
  <c r="N85" i="3"/>
  <c r="L91" i="3"/>
  <c r="L84" i="3"/>
  <c r="J92" i="3"/>
  <c r="M88" i="3"/>
  <c r="O87" i="3"/>
  <c r="AS80" i="3"/>
  <c r="L83" i="3"/>
  <c r="N84" i="3"/>
  <c r="M87" i="3"/>
  <c r="M85" i="3"/>
  <c r="J87" i="3"/>
  <c r="J85" i="3"/>
  <c r="N82" i="3"/>
  <c r="L88" i="3"/>
  <c r="L87" i="3"/>
  <c r="M92" i="3"/>
  <c r="J83" i="3"/>
  <c r="J91" i="3"/>
  <c r="M81" i="3"/>
  <c r="AS87" i="3"/>
  <c r="J86" i="3"/>
  <c r="N90" i="3"/>
  <c r="L85" i="3"/>
  <c r="K82" i="3" l="1"/>
  <c r="P90" i="3"/>
  <c r="P82" i="3"/>
  <c r="K90" i="3"/>
  <c r="F3" i="4"/>
  <c r="BL35" i="3" s="1"/>
  <c r="H3" i="4"/>
  <c r="BL39" i="3" s="1"/>
  <c r="G3" i="4"/>
  <c r="BL11" i="3" s="1"/>
  <c r="D3" i="4"/>
  <c r="BL51" i="3" s="1"/>
  <c r="E3" i="4"/>
  <c r="BL67" i="3" s="1"/>
  <c r="B3" i="4"/>
  <c r="I3" i="4"/>
  <c r="BL15" i="3" s="1"/>
  <c r="J3" i="4"/>
  <c r="BL71" i="3" s="1"/>
  <c r="K3" i="4"/>
  <c r="BL55" i="3" s="1"/>
  <c r="P86" i="3"/>
  <c r="K86" i="3"/>
  <c r="K89" i="3"/>
  <c r="P89" i="3"/>
  <c r="K91" i="3"/>
  <c r="P91" i="3"/>
  <c r="K84" i="3"/>
  <c r="P84" i="3"/>
  <c r="P83" i="3"/>
  <c r="K83" i="3"/>
  <c r="P88" i="3"/>
  <c r="K88" i="3"/>
  <c r="K87" i="3"/>
  <c r="P87" i="3"/>
  <c r="P92" i="3"/>
  <c r="K92" i="3"/>
  <c r="P81" i="3"/>
  <c r="K81" i="3"/>
  <c r="K85" i="3"/>
  <c r="P85" i="3"/>
  <c r="BS53" i="3"/>
  <c r="BS52" i="3"/>
  <c r="BS69" i="3"/>
  <c r="BZ65" i="3" s="1"/>
  <c r="CG56" i="3" s="1"/>
  <c r="CN38" i="3" s="1"/>
  <c r="CK68" i="3" s="1"/>
  <c r="BS68" i="3"/>
  <c r="BZ49" i="3" l="1"/>
  <c r="CG55" i="3" s="1"/>
  <c r="CN4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<sst xmlns="http://schemas.openxmlformats.org/spreadsheetml/2006/main" count="9785" uniqueCount="3699">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</sst>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baseColWidth="10"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A13" zoomScaleNormal="100" workbookViewId="0">
      <selection activeCell="CX39" sqref="CX39"/>
    </sheetView>
  </sheetViews>
  <sheetFormatPr baseColWidth="10"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2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0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Mexico_draw</v>
      </c>
      <c r="T7" s="127" t="str">
        <f t="shared" ref="T7:T46" si="2">IF(S7="","",IF(F7&lt;G7,H7&amp;"_win",IF(F7&gt;G7,H7&amp;"_lose",H7&amp;"_draw")))</f>
        <v>South Africa_draw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0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0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Republic_lose</v>
      </c>
      <c r="T8" s="127" t="str">
        <f t="shared" si="2"/>
        <v>Czech Republic_win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-1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5</v>
      </c>
      <c r="AJ8" s="123">
        <f>SUMIF($E$7:$E$78,$AE8,$G$7:$G$78) + SUMIF($H$7:$H$78,$AE8,$F$7:$F$78)</f>
        <v>1</v>
      </c>
      <c r="AL8" s="123">
        <f>AI8-AJ8</f>
        <v>4</v>
      </c>
      <c r="AM8" s="123">
        <f>AL8-AL12</f>
        <v>11</v>
      </c>
      <c r="AN8" s="123">
        <f>AF8*3+AG8</f>
        <v>7</v>
      </c>
      <c r="AO8" s="123">
        <f>AN8/AN12*10+BA8</f>
        <v>8.75</v>
      </c>
      <c r="AP8" s="123">
        <f>AO8*10000000+BI8*100+AM8/AM12*10+AI8/AI12*1++IF(AQ8=0,ROW(),AQ8)/2000000</f>
        <v>87500010.000840515</v>
      </c>
      <c r="AQ8" s="126">
        <f>VLOOKUP(AE8,db_fifarank,2,FALSE)</f>
        <v>1681.03</v>
      </c>
      <c r="AR8" s="125">
        <f>AP8/AP12</f>
        <v>0.99999998857143002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1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5 - 1</v>
      </c>
      <c r="P9" s="32">
        <f>L9*3+M9</f>
        <v>7</v>
      </c>
      <c r="R9" s="123">
        <f>DATE(2026,6,12)+TIME(8,0,0)+gmt_delta</f>
        <v>46185.875</v>
      </c>
      <c r="S9" s="127" t="str">
        <f t="shared" si="1"/>
        <v>Canada_draw</v>
      </c>
      <c r="T9" s="127" t="str">
        <f t="shared" si="2"/>
        <v>Bosnia and Herzegovina_draw</v>
      </c>
      <c r="U9" s="123">
        <f t="shared" si="8"/>
        <v>1</v>
      </c>
      <c r="V9" s="123">
        <f t="shared" si="3"/>
        <v>1</v>
      </c>
      <c r="W9" s="123">
        <f t="shared" si="4"/>
        <v>1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0</v>
      </c>
      <c r="AD9" s="123">
        <f>COUNTIF(AR8:AR11,CONCATENATE("&gt;=",AR9))</f>
        <v>3</v>
      </c>
      <c r="AE9" s="124" t="str">
        <f>VLOOKUP("South Africa",T,lang,FALSE)</f>
        <v>South Africa</v>
      </c>
      <c r="AF9" s="123">
        <f>COUNTIF($S$7:$T$78,"=" &amp; AE9 &amp; "_win")</f>
        <v>1</v>
      </c>
      <c r="AG9" s="123">
        <f>COUNTIF($S$7:$T$78,"=" &amp; AE9 &amp; "_draw")</f>
        <v>1</v>
      </c>
      <c r="AH9" s="123">
        <f>COUNTIF($S$7:$T$78,"=" &amp; AE9 &amp; "_lose")</f>
        <v>1</v>
      </c>
      <c r="AI9" s="123">
        <f>SUMIF($E$7:$E$78,$AE9,$F$7:$F$78) + SUMIF($H$7:$H$78,$AE9,$G$7:$G$78)</f>
        <v>4</v>
      </c>
      <c r="AJ9" s="123">
        <f>SUMIF($E$7:$E$78,$AE9,$G$7:$G$78) + SUMIF($H$7:$H$78,$AE9,$F$7:$F$78)</f>
        <v>3</v>
      </c>
      <c r="AL9" s="123">
        <f>AI9-AJ9</f>
        <v>1</v>
      </c>
      <c r="AM9" s="123">
        <f>AL9-AL12</f>
        <v>8</v>
      </c>
      <c r="AN9" s="123">
        <f>AF9*3+AG9</f>
        <v>4</v>
      </c>
      <c r="AO9" s="123">
        <f>AN9/AN12*10+BA9</f>
        <v>5</v>
      </c>
      <c r="AP9" s="123">
        <f>AO9*10000000+BI9*100+AM9/AM12*10+AI9/AI12*1++IF(AQ9=0,ROW(),AQ9)/2000000</f>
        <v>50000007.334048197</v>
      </c>
      <c r="AQ9" s="126">
        <f>VLOOKUP(AE9,db_fifarank,2,FALSE)</f>
        <v>1429.73</v>
      </c>
      <c r="AR9" s="125">
        <f>AP9/AP12</f>
        <v>0.57142858340403979</v>
      </c>
      <c r="AS9" s="125" t="str">
        <f>IF(SUM(AF8:AH11)=12,J10,"2A")</f>
        <v>Czech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1</v>
      </c>
      <c r="G10" s="20">
        <v>0</v>
      </c>
      <c r="H10" s="80" t="str">
        <f>AE27</f>
        <v>Paraguay</v>
      </c>
      <c r="J10" s="33" t="str">
        <f>VLOOKUP(2,AD8:AN11,2,FALSE)</f>
        <v>Czech Republic</v>
      </c>
      <c r="K10" s="23">
        <f>L10+M10+N10</f>
        <v>3</v>
      </c>
      <c r="L10" s="23">
        <f>VLOOKUP(2,AD8:AN11,3,FALSE)</f>
        <v>2</v>
      </c>
      <c r="M10" s="23">
        <f>VLOOKUP(2,AD8:AN11,4,FALSE)</f>
        <v>0</v>
      </c>
      <c r="N10" s="23">
        <f>VLOOKUP(2,AD8:AN11,5,FALSE)</f>
        <v>1</v>
      </c>
      <c r="O10" s="23" t="str">
        <f>VLOOKUP(2,AD8:AN11,6,FALSE) &amp; " - " &amp; VLOOKUP(2,AD8:AN11,7,FALSE)</f>
        <v>4 - 2</v>
      </c>
      <c r="P10" s="34">
        <f>L10*3+M10</f>
        <v>6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4</v>
      </c>
      <c r="AE10" s="124" t="str">
        <f>VLOOKUP("Korea Republic",T,lang,FALSE)</f>
        <v>Korea Republic</v>
      </c>
      <c r="AF10" s="123">
        <f>COUNTIF($S$7:$T$78,"=" &amp; AE10 &amp; "_win")</f>
        <v>0</v>
      </c>
      <c r="AG10" s="123">
        <f>COUNTIF($S$7:$T$78,"=" &amp; AE10 &amp; "_draw")</f>
        <v>0</v>
      </c>
      <c r="AH10" s="123">
        <f>COUNTIF($S$7:$T$78,"=" &amp; AE10 &amp; "_lose")</f>
        <v>3</v>
      </c>
      <c r="AI10" s="123">
        <f>SUMIF($E$7:$E$78,$AE10,$F$7:$F$78) + SUMIF($H$7:$H$78,$AE10,$G$7:$G$78)</f>
        <v>1</v>
      </c>
      <c r="AJ10" s="123">
        <f>SUMIF($E$7:$E$78,$AE10,$G$7:$G$78) + SUMIF($H$7:$H$78,$AE10,$F$7:$F$78)</f>
        <v>8</v>
      </c>
      <c r="AL10" s="123">
        <f>AI10-AJ10</f>
        <v>-7</v>
      </c>
      <c r="AM10" s="123">
        <f>AL10-AL12</f>
        <v>0</v>
      </c>
      <c r="AN10" s="123">
        <f>AF10*3+AG10</f>
        <v>0</v>
      </c>
      <c r="AO10" s="123">
        <f>AN10/AN12*10+BA10</f>
        <v>0</v>
      </c>
      <c r="AP10" s="123">
        <f>AO10*10000000+BI10*100+AM10/AM12*10+AI10/AI12*1++IF(AQ10=0,ROW(),AQ10)/2000000</f>
        <v>0.16746099666666667</v>
      </c>
      <c r="AQ10" s="126">
        <f>VLOOKUP(AE10,db_fifarank,2,FALSE)</f>
        <v>1588.66</v>
      </c>
      <c r="AR10" s="125">
        <f>AP10/AP12</f>
        <v>1.9138397212893844E-9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3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3000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1</v>
      </c>
      <c r="G11" s="20">
        <v>3</v>
      </c>
      <c r="H11" s="80" t="str">
        <f>AE23</f>
        <v>Scotland</v>
      </c>
      <c r="J11" s="33" t="str">
        <f>VLOOKUP(3,AD8:AN11,2,FALSE)</f>
        <v>South Africa</v>
      </c>
      <c r="K11" s="23">
        <f>L11+M11+N11</f>
        <v>3</v>
      </c>
      <c r="L11" s="23">
        <f>VLOOKUP(3,AD8:AN11,3,FALSE)</f>
        <v>1</v>
      </c>
      <c r="M11" s="23">
        <f>VLOOKUP(3,AD8:AN11,4,FALSE)</f>
        <v>1</v>
      </c>
      <c r="N11" s="23">
        <f>VLOOKUP(3,AD8:AN11,5,FALSE)</f>
        <v>1</v>
      </c>
      <c r="O11" s="23" t="str">
        <f>VLOOKUP(3,AD8:AN11,6,FALSE) &amp; " - " &amp; VLOOKUP(3,AD8:AN11,7,FALSE)</f>
        <v>4 - 3</v>
      </c>
      <c r="P11" s="34">
        <f>L11*3+M11</f>
        <v>4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2</v>
      </c>
      <c r="AE11" s="124" t="str">
        <f>VLOOKUP("Czech Republic",T,lang,FALSE)</f>
        <v>Czech Republic</v>
      </c>
      <c r="AF11" s="123">
        <f>COUNTIF($S$7:$T$78,"=" &amp; AE11 &amp; "_win")</f>
        <v>2</v>
      </c>
      <c r="AG11" s="123">
        <f>COUNTIF($S$7:$T$78,"=" &amp; AE11 &amp; "_draw")</f>
        <v>0</v>
      </c>
      <c r="AH11" s="123">
        <f>COUNTIF($S$7:$T$78,"=" &amp; AE11 &amp; "_lose")</f>
        <v>1</v>
      </c>
      <c r="AI11" s="123">
        <f>SUMIF($E$7:$E$78,$AE11,$F$7:$F$78) + SUMIF($H$7:$H$78,$AE11,$G$7:$G$78)</f>
        <v>4</v>
      </c>
      <c r="AJ11" s="123">
        <f>SUMIF($E$7:$E$78,$AE11,$G$7:$G$78) + SUMIF($H$7:$H$78,$AE11,$F$7:$F$78)</f>
        <v>2</v>
      </c>
      <c r="AL11" s="123">
        <f>AI11-AJ11</f>
        <v>2</v>
      </c>
      <c r="AM11" s="123">
        <f>AL11-AL12</f>
        <v>9</v>
      </c>
      <c r="AN11" s="123">
        <f>AF11*3+AG11</f>
        <v>6</v>
      </c>
      <c r="AO11" s="123">
        <f>AN11/AN12*10+BA11</f>
        <v>7.5</v>
      </c>
      <c r="AP11" s="123">
        <f>AO11*10000000+BI11*100+AM11/AM12*10+AI11/AI12*1++IF(AQ11=0,ROW(),AQ11)/2000000</f>
        <v>75000008.167417362</v>
      </c>
      <c r="AQ11" s="126">
        <f>VLOOKUP(AE11,db_fifarank,2,FALSE)</f>
        <v>1501.38</v>
      </c>
      <c r="AR11" s="125">
        <f>AP11/AP12</f>
        <v>0.85714284272143604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Scotland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0</v>
      </c>
      <c r="G12" s="20">
        <v>0</v>
      </c>
      <c r="H12" s="80" t="str">
        <f>AE29</f>
        <v>Turkey</v>
      </c>
      <c r="J12" s="35" t="str">
        <f>VLOOKUP(4,AD8:AN11,2,FALSE)</f>
        <v>Korea Republic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1 - 8</v>
      </c>
      <c r="P12" s="37">
        <f>L12*3+M12</f>
        <v>0</v>
      </c>
      <c r="R12" s="123">
        <f>DATE(2026,6,13)+TIME(17,0,0)+gmt_delta</f>
        <v>46187.25</v>
      </c>
      <c r="S12" s="127" t="str">
        <f t="shared" si="1"/>
        <v>Australia_draw</v>
      </c>
      <c r="T12" s="127" t="str">
        <f t="shared" si="2"/>
        <v>Turkey_draw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0</v>
      </c>
      <c r="AF12" s="123">
        <f t="shared" ref="AF12:AH12" si="12">MAX(AF8:AF11)-MIN(AF8:AF11)+1</f>
        <v>3</v>
      </c>
      <c r="AG12" s="123">
        <f t="shared" si="12"/>
        <v>2</v>
      </c>
      <c r="AH12" s="123">
        <f t="shared" si="12"/>
        <v>4</v>
      </c>
      <c r="AI12" s="123">
        <f>MAX(AI8:AI11)+1</f>
        <v>6</v>
      </c>
      <c r="AL12" s="123">
        <f>MIN(AL8:AL11)</f>
        <v>-7</v>
      </c>
      <c r="AM12" s="123">
        <f>MAX(AM8:AM11)+1</f>
        <v>12</v>
      </c>
      <c r="AN12" s="123">
        <f>MAX(AN8:AN11)+1</f>
        <v>8</v>
      </c>
      <c r="AO12" s="123">
        <f>MAX(AO8:AO11)+1</f>
        <v>9.75</v>
      </c>
      <c r="AP12" s="123">
        <f>MAX(AP8:AP11)+1</f>
        <v>87500011.000840515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1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1</v>
      </c>
      <c r="V13" s="123">
        <f t="shared" si="3"/>
        <v>1</v>
      </c>
      <c r="W13" s="123">
        <f t="shared" si="4"/>
        <v>1</v>
      </c>
      <c r="X13" s="123">
        <f t="shared" si="9"/>
        <v>1</v>
      </c>
      <c r="Y13" s="123">
        <f t="shared" si="10"/>
        <v>1</v>
      </c>
      <c r="Z13" s="123">
        <f t="shared" si="11"/>
        <v>1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4</v>
      </c>
      <c r="BU13" s="64"/>
      <c r="BV13" s="27"/>
      <c r="BW13" s="113">
        <f>IF(BW12="","",BT13*1000+BU13*10+BV13)</f>
        <v>4000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1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3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2</v>
      </c>
      <c r="AH14" s="123">
        <f>COUNTIF($S$7:$T$78,"=" &amp; AE14 &amp; "_lose")</f>
        <v>0</v>
      </c>
      <c r="AI14" s="123">
        <f>SUMIF($E$7:$E$78,$AE14,$F$7:$F$78) + SUMIF($H$7:$H$78,$AE14,$G$7:$G$78)</f>
        <v>3</v>
      </c>
      <c r="AJ14" s="123">
        <f>SUMIF($E$7:$E$78,$AE14,$G$7:$G$78) + SUMIF($H$7:$H$78,$AE14,$F$7:$F$78)</f>
        <v>1</v>
      </c>
      <c r="AL14" s="123">
        <f>AI14-AJ14</f>
        <v>2</v>
      </c>
      <c r="AM14" s="123">
        <f>AL14-AL18</f>
        <v>8</v>
      </c>
      <c r="AN14" s="123">
        <f>AF14*3+AG14</f>
        <v>5</v>
      </c>
      <c r="AO14" s="123">
        <f>AN14/AN18*10+BA14</f>
        <v>9.3114088509947219</v>
      </c>
      <c r="AP14" s="123">
        <f>AO14*10000000+BI14*100+AM14/AM18*10+AI14/AI18*1++IF(AQ14=0,ROW(),AQ14)/2000000</f>
        <v>93114096.939296901</v>
      </c>
      <c r="AQ14" s="126">
        <f>VLOOKUP(AE14,db_fifarank,2,FALSE)</f>
        <v>1556.48</v>
      </c>
      <c r="AR14" s="125">
        <f>AP14/AP18</f>
        <v>0.99921572864940922</v>
      </c>
      <c r="AS14" s="125" t="str">
        <f>IF(SUM(AF14:AH17)=12,J15,"1B")</f>
        <v>Bosnia and Herzegovina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2</v>
      </c>
      <c r="AV14" s="126" cm="1">
        <f t="array" ref="AV14">SUMPRODUCT(($E$7:$E$78=AE14)*($U$7:$U$78)*($F$7:$F$78))+SUMPRODUCT(($H$7:$H$78=AE14)*($U$7:$U$78)*($G$7:$G$78))</f>
        <v>1</v>
      </c>
      <c r="AW14" s="126" cm="1">
        <f t="array" ref="AW14">SUMPRODUCT(($E$7:$E$78=AE14)*($U$7:$U$78)*($G$7:$G$78))+SUMPRODUCT(($H$7:$H$78=AE14)*($U$7:$U$78)*($F$7:$F$78))</f>
        <v>1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66.916666666666657</v>
      </c>
      <c r="BA14" s="126">
        <f>AZ14/AZ18</f>
        <v>0.97807551766138856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3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3000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0</v>
      </c>
      <c r="G15" s="20">
        <v>0</v>
      </c>
      <c r="H15" s="80" t="str">
        <f>AE35</f>
        <v>Ecuador</v>
      </c>
      <c r="J15" s="30" t="str">
        <f>VLOOKUP(1,AD14:AN17,2,FALSE)</f>
        <v>Bosnia and Herzegovina</v>
      </c>
      <c r="K15" s="31">
        <f>L15+M15+N15</f>
        <v>3</v>
      </c>
      <c r="L15" s="31">
        <f>VLOOKUP(1,AD14:AN17,3,FALSE)</f>
        <v>1</v>
      </c>
      <c r="M15" s="31">
        <f>VLOOKUP(1,AD14:AN17,4,FALSE)</f>
        <v>2</v>
      </c>
      <c r="N15" s="31">
        <f>VLOOKUP(1,AD14:AN17,5,FALSE)</f>
        <v>0</v>
      </c>
      <c r="O15" s="31" t="str">
        <f>VLOOKUP(1,AD14:AN17,6,FALSE) &amp; " - " &amp; VLOOKUP(1,AD14:AN17,7,FALSE)</f>
        <v>6 - 3</v>
      </c>
      <c r="P15" s="32">
        <f>L15*3+M15</f>
        <v>5</v>
      </c>
      <c r="R15" s="123">
        <f>DATE(2026,6,14)+TIME(12,0,0)+gmt_delta</f>
        <v>46188.041666666664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1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2</v>
      </c>
      <c r="AH15" s="123">
        <f>COUNTIF($S$7:$T$78,"=" &amp; AE15 &amp; "_lose")</f>
        <v>0</v>
      </c>
      <c r="AI15" s="123">
        <f>SUMIF($E$7:$E$78,$AE15,$F$7:$F$78) + SUMIF($H$7:$H$78,$AE15,$G$7:$G$78)</f>
        <v>6</v>
      </c>
      <c r="AJ15" s="123">
        <f>SUMIF($E$7:$E$78,$AE15,$G$7:$G$78) + SUMIF($H$7:$H$78,$AE15,$F$7:$F$78)</f>
        <v>3</v>
      </c>
      <c r="AL15" s="123">
        <f>AI15-AJ15</f>
        <v>3</v>
      </c>
      <c r="AM15" s="123">
        <f>AL15-AL18</f>
        <v>9</v>
      </c>
      <c r="AN15" s="123">
        <f>AF15*3+AG15</f>
        <v>5</v>
      </c>
      <c r="AO15" s="123">
        <f>AN15/AN18*10+BA15</f>
        <v>9.3187170117742593</v>
      </c>
      <c r="AP15" s="123">
        <f>AO15*10000000+BI15*100+AM15/AM18*10+AI15/AI18*1++IF(AQ15=0,ROW(),AQ15)/2000000</f>
        <v>93187179.975578368</v>
      </c>
      <c r="AQ15" s="126">
        <f>VLOOKUP(AE15,db_fifarank,2,FALSE)</f>
        <v>1385.84</v>
      </c>
      <c r="AR15" s="125">
        <f>AP15/AP18</f>
        <v>0.99999998926891032</v>
      </c>
      <c r="AS15" s="125" t="str">
        <f>IF(SUM(AF14:AH17)=12,J16,"2B")</f>
        <v>Switzerland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2</v>
      </c>
      <c r="AV15" s="126" cm="1">
        <f t="array" ref="AV15">SUMPRODUCT(($E$7:$E$78=AE15)*($U$7:$U$78)*($F$7:$F$78))+SUMPRODUCT(($H$7:$H$78=AE15)*($U$7:$U$78)*($G$7:$G$78))</f>
        <v>3</v>
      </c>
      <c r="AW15" s="126" cm="1">
        <f t="array" ref="AW15">SUMPRODUCT(($E$7:$E$78=AE15)*($U$7:$U$78)*($G$7:$G$78))+SUMPRODUCT(($H$7:$H$78=AE15)*($U$7:$U$78)*($F$7:$F$78))</f>
        <v>3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67.416666666666657</v>
      </c>
      <c r="BA15" s="126">
        <f>AZ15/AZ18</f>
        <v>0.98538367844092567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Paraguay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6</v>
      </c>
      <c r="G16" s="20">
        <v>0</v>
      </c>
      <c r="H16" s="80" t="str">
        <f>AE33</f>
        <v>Curaçao</v>
      </c>
      <c r="J16" s="33" t="str">
        <f>VLOOKUP(2,AD14:AN17,2,FALSE)</f>
        <v>Switzerland</v>
      </c>
      <c r="K16" s="23">
        <f>L16+M16+N16</f>
        <v>3</v>
      </c>
      <c r="L16" s="23">
        <f>VLOOKUP(2,AD14:AN17,3,FALSE)</f>
        <v>1</v>
      </c>
      <c r="M16" s="23">
        <f>VLOOKUP(2,AD14:AN17,4,FALSE)</f>
        <v>2</v>
      </c>
      <c r="N16" s="23">
        <f>VLOOKUP(2,AD14:AN17,5,FALSE)</f>
        <v>0</v>
      </c>
      <c r="O16" s="23" t="str">
        <f>VLOOKUP(2,AD14:AN17,6,FALSE) &amp; " - " &amp; VLOOKUP(2,AD14:AN17,7,FALSE)</f>
        <v>4 - 3</v>
      </c>
      <c r="P16" s="34">
        <f>L16*3+M16</f>
        <v>5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7</v>
      </c>
      <c r="AL16" s="123">
        <f>AI16-AJ16</f>
        <v>-6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0.14358462285714285</v>
      </c>
      <c r="AQ16" s="126">
        <f>VLOOKUP(AE16,db_fifarank,2,FALSE)</f>
        <v>1454.96</v>
      </c>
      <c r="AR16" s="125">
        <f>AP16/AP18</f>
        <v>1.5408194705961991E-9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3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3000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0</v>
      </c>
      <c r="H17" s="80" t="str">
        <f>AE39</f>
        <v>Japan</v>
      </c>
      <c r="J17" s="33" t="str">
        <f>VLOOKUP(3,AD14:AN17,2,FALSE)</f>
        <v>Canada</v>
      </c>
      <c r="K17" s="23">
        <f>L17+M17+N17</f>
        <v>3</v>
      </c>
      <c r="L17" s="23">
        <f>VLOOKUP(3,AD14:AN17,3,FALSE)</f>
        <v>1</v>
      </c>
      <c r="M17" s="23">
        <f>VLOOKUP(3,AD14:AN17,4,FALSE)</f>
        <v>2</v>
      </c>
      <c r="N17" s="23">
        <f>VLOOKUP(3,AD14:AN17,5,FALSE)</f>
        <v>0</v>
      </c>
      <c r="O17" s="23" t="str">
        <f>VLOOKUP(3,AD14:AN17,6,FALSE) &amp; " - " &amp; VLOOKUP(3,AD14:AN17,7,FALSE)</f>
        <v>3 - 1</v>
      </c>
      <c r="P17" s="34">
        <f>L17*3+M17</f>
        <v>5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2</v>
      </c>
      <c r="AE17" s="124" t="str">
        <f>VLOOKUP("Switzerland",T,lang,FALSE)</f>
        <v>Switzerland</v>
      </c>
      <c r="AF17" s="123">
        <f>COUNTIF($S$7:$T$78,"=" &amp; AE17 &amp; "_win")</f>
        <v>1</v>
      </c>
      <c r="AG17" s="123">
        <f>COUNTIF($S$7:$T$78,"=" &amp; AE17 &amp; "_draw")</f>
        <v>2</v>
      </c>
      <c r="AH17" s="123">
        <f>COUNTIF($S$7:$T$78,"=" &amp; AE17 &amp; "_lose")</f>
        <v>0</v>
      </c>
      <c r="AI17" s="123">
        <f>SUMIF($E$7:$E$78,$AE17,$F$7:$F$78) + SUMIF($H$7:$H$78,$AE17,$G$7:$G$78)</f>
        <v>4</v>
      </c>
      <c r="AJ17" s="123">
        <f>SUMIF($E$7:$E$78,$AE17,$G$7:$G$78) + SUMIF($H$7:$H$78,$AE17,$F$7:$F$78)</f>
        <v>3</v>
      </c>
      <c r="AL17" s="123">
        <f>AI17-AJ17</f>
        <v>1</v>
      </c>
      <c r="AM17" s="123">
        <f>AL17-AL18</f>
        <v>7</v>
      </c>
      <c r="AN17" s="123">
        <f>AF17*3+AG17</f>
        <v>5</v>
      </c>
      <c r="AO17" s="123">
        <f>AN17/AN18*10+BA17</f>
        <v>9.3150629313844906</v>
      </c>
      <c r="AP17" s="123">
        <f>AO17*10000000+BI17*100+AM17/AM18*10+AI17/AI18*1++IF(AQ17=0,ROW(),AQ17)/2000000</f>
        <v>93150636.886098176</v>
      </c>
      <c r="AQ17" s="126">
        <f>VLOOKUP(AE17,db_fifarank,2,FALSE)</f>
        <v>1649.4</v>
      </c>
      <c r="AR17" s="125">
        <f>AP17/AP18</f>
        <v>0.99960784209697506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2</v>
      </c>
      <c r="AV17" s="126" cm="1">
        <f t="array" ref="AV17">SUMPRODUCT(($E$7:$E$78=AE17)*($U$7:$U$78)*($F$7:$F$78))+SUMPRODUCT(($H$7:$H$78=AE17)*($U$7:$U$78)*($G$7:$G$78))</f>
        <v>2</v>
      </c>
      <c r="AW17" s="126" cm="1">
        <f t="array" ref="AW17">SUMPRODUCT(($E$7:$E$78=AE17)*($U$7:$U$78)*($G$7:$G$78))+SUMPRODUCT(($H$7:$H$78=AE17)*($U$7:$U$78)*($F$7:$F$78))</f>
        <v>2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67.166666666666657</v>
      </c>
      <c r="BA17" s="126">
        <f>AZ17/AZ18</f>
        <v>0.98172959805115712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Netherlands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0</v>
      </c>
      <c r="G18" s="20">
        <v>0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1 - 7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Sweden_draw</v>
      </c>
      <c r="T18" s="127" t="str">
        <f t="shared" si="2"/>
        <v>Tunisia_draw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0</v>
      </c>
      <c r="AF18" s="123">
        <f t="shared" ref="AF18:AH18" si="13">MAX(AF14:AF17)-MIN(AF14:AF17)+1</f>
        <v>2</v>
      </c>
      <c r="AG18" s="123">
        <f t="shared" si="13"/>
        <v>3</v>
      </c>
      <c r="AH18" s="123">
        <f t="shared" si="13"/>
        <v>4</v>
      </c>
      <c r="AI18" s="123">
        <f>MAX(AI14:AI17)+1</f>
        <v>7</v>
      </c>
      <c r="AL18" s="123">
        <f>MIN(AL14:AL17)</f>
        <v>-6</v>
      </c>
      <c r="AM18" s="123">
        <f>MAX(AM14:AM17)+1</f>
        <v>10</v>
      </c>
      <c r="AN18" s="123">
        <f>MAX(AN14:AN17)+1</f>
        <v>6</v>
      </c>
      <c r="AO18" s="123">
        <f>MAX(AO14:AO17)+1</f>
        <v>10.318717011774259</v>
      </c>
      <c r="AP18" s="123">
        <f>MAX(AP14:AP17)+1</f>
        <v>93187180.975578368</v>
      </c>
      <c r="AT18" s="126">
        <f>MAX(AT14:AT17)-MIN(AT14:AT17)+1</f>
        <v>1</v>
      </c>
      <c r="AU18" s="126">
        <f>MAX(AU14:AU17)-MIN(AU14:AU17)+1</f>
        <v>3</v>
      </c>
      <c r="AV18" s="126">
        <f>MAX(AV14:AV17)-MIN(AV14:AV17)+1</f>
        <v>4</v>
      </c>
      <c r="AW18" s="126">
        <f>MAX(AW14:AW17)-MIN(AW14:AW17)+1</f>
        <v>4</v>
      </c>
      <c r="AY18" s="126">
        <f>MAX(AY14:AY17)-MIN(AY14:AY17)+1</f>
        <v>1</v>
      </c>
      <c r="AZ18" s="126">
        <f>MAX(AZ14:AZ17)+1</f>
        <v>68.416666666666657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Czech Republic</v>
      </c>
      <c r="BM18" s="61">
        <v>2</v>
      </c>
      <c r="BN18" s="63">
        <v>2</v>
      </c>
      <c r="BO18" s="25">
        <v>4</v>
      </c>
      <c r="BP18" s="112">
        <f>IF(OR(BM18="",BM19="",AND(BN18="",BN19&lt;&gt;""),AND(BN19="",BN18&lt;&gt;""),AND(BO18="",BO19&lt;&gt;""),AND(BO19="",BO18&lt;&gt;"")),"",BM18*1000+BN18*10+BO18)</f>
        <v>2024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Switzerland</v>
      </c>
      <c r="BM19" s="62">
        <v>2</v>
      </c>
      <c r="BN19" s="64">
        <v>2</v>
      </c>
      <c r="BO19" s="27">
        <v>2</v>
      </c>
      <c r="BP19" s="113">
        <f>IF(BP18="","",BM19*1000+BN19*10+BO19)</f>
        <v>2022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4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10</v>
      </c>
      <c r="AJ20" s="123">
        <f>SUMIF($E$7:$E$78,$AE20,$G$7:$G$78) + SUMIF($H$7:$H$78,$AE20,$F$7:$F$78)</f>
        <v>2</v>
      </c>
      <c r="AL20" s="123">
        <f>AI20-AJ20</f>
        <v>8</v>
      </c>
      <c r="AM20" s="123">
        <f>AL20-AL24</f>
        <v>19</v>
      </c>
      <c r="AN20" s="123">
        <f>AF20*3+AG20</f>
        <v>7</v>
      </c>
      <c r="AO20" s="123">
        <f>AN20/AN24*10+BA20</f>
        <v>9.7305825242718456</v>
      </c>
      <c r="AP20" s="123">
        <f>AO20*10000000+BI20*100+AM20/AM24*10+AI20/AI24*1++IF(AQ20=0,ROW(),AQ20)/2000000</f>
        <v>97305933.710942373</v>
      </c>
      <c r="AQ20" s="126">
        <f>VLOOKUP(AE20,db_fifarank,2,FALSE)</f>
        <v>1761.16</v>
      </c>
      <c r="AR20" s="125">
        <f>AP20/AP24</f>
        <v>0.99999998972313453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1</v>
      </c>
      <c r="AV20" s="126" cm="1">
        <f t="array" ref="AV20">SUMPRODUCT(($E$7:$E$78=AE20)*($U$7:$U$78)*($F$7:$F$78))+SUMPRODUCT(($H$7:$H$78=AE20)*($U$7:$U$78)*($G$7:$G$78))</f>
        <v>1</v>
      </c>
      <c r="AW20" s="126" cm="1">
        <f t="array" ref="AW20">SUMPRODUCT(($E$7:$E$78=AE20)*($U$7:$U$78)*($G$7:$G$78))+SUMPRODUCT(($H$7:$H$78=AE20)*($U$7:$U$78)*($F$7:$F$78))</f>
        <v>1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50.5</v>
      </c>
      <c r="BA20" s="126">
        <f>AZ20/AZ24</f>
        <v>0.98058252427184467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1</v>
      </c>
      <c r="BD20" s="126" cm="1">
        <f t="array" ref="BD20">SUMPRODUCT(($E$7:$E$78=AE20)*($X$7:$X$78)*($F$7:$F$78))+SUMPRODUCT(($H$7:$H$78=AE20)*($X$7:$X$78)*($G$7:$G$78))</f>
        <v>1</v>
      </c>
      <c r="BE20" s="126" cm="1">
        <f t="array" ref="BE20">SUMPRODUCT(($E$7:$E$78=AE20)*($X$7:$X$78)*($G$7:$G$78))+SUMPRODUCT(($H$7:$H$78=AE20)*($X$7:$X$78)*($F$7:$F$78))</f>
        <v>1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50.5</v>
      </c>
      <c r="BI20" s="126">
        <f>BH20/BH24</f>
        <v>0.98058252427184467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Czech Republic</v>
      </c>
      <c r="BT20" s="61">
        <v>1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1000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2</v>
      </c>
      <c r="G21" s="20">
        <v>2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10 - 2</v>
      </c>
      <c r="P21" s="32">
        <f>L21*3+M21</f>
        <v>7</v>
      </c>
      <c r="R21" s="123">
        <f>DATE(2026,6,15)+TIME(14,0,0)+gmt_delta</f>
        <v>46189.125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1</v>
      </c>
      <c r="V21" s="123">
        <f t="shared" si="3"/>
        <v>2</v>
      </c>
      <c r="W21" s="123">
        <f t="shared" si="4"/>
        <v>2</v>
      </c>
      <c r="X21" s="123">
        <f t="shared" si="9"/>
        <v>1</v>
      </c>
      <c r="Y21" s="123">
        <f t="shared" si="10"/>
        <v>2</v>
      </c>
      <c r="Z21" s="123">
        <f t="shared" si="11"/>
        <v>2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1</v>
      </c>
      <c r="AH21" s="123">
        <f>COUNTIF($S$7:$T$78,"=" &amp; AE21 &amp; "_lose")</f>
        <v>0</v>
      </c>
      <c r="AI21" s="123">
        <f>SUMIF($E$7:$E$78,$AE21,$F$7:$F$78) + SUMIF($H$7:$H$78,$AE21,$G$7:$G$78)</f>
        <v>7</v>
      </c>
      <c r="AJ21" s="123">
        <f>SUMIF($E$7:$E$78,$AE21,$G$7:$G$78) + SUMIF($H$7:$H$78,$AE21,$F$7:$F$78)</f>
        <v>3</v>
      </c>
      <c r="AL21" s="123">
        <f>AI21-AJ21</f>
        <v>4</v>
      </c>
      <c r="AM21" s="123">
        <f>AL21-AL24</f>
        <v>15</v>
      </c>
      <c r="AN21" s="123">
        <f>AF21*3+AG21</f>
        <v>7</v>
      </c>
      <c r="AO21" s="123">
        <f>AN21/AN24*10+BA21</f>
        <v>9.7305825242718456</v>
      </c>
      <c r="AP21" s="123">
        <f>AO21*10000000+BI21*100+AM21/AM24*10+AI21/AI24*1++IF(AQ21=0,ROW(),AQ21)/2000000</f>
        <v>97305931.438212454</v>
      </c>
      <c r="AQ21" s="126">
        <f>VLOOKUP(AE21,db_fifarank,2,FALSE)</f>
        <v>1755.87</v>
      </c>
      <c r="AR21" s="125">
        <f>AP21/AP24</f>
        <v>0.99999996636659494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1</v>
      </c>
      <c r="AW21" s="126" cm="1">
        <f t="array" ref="AW21">SUMPRODUCT(($E$7:$E$78=AE21)*($U$7:$U$78)*($G$7:$G$78))+SUMPRODUCT(($H$7:$H$78=AE21)*($U$7:$U$78)*($F$7:$F$78))</f>
        <v>1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50.5</v>
      </c>
      <c r="BA21" s="126">
        <f>AZ21/AZ24</f>
        <v>0.98058252427184467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1</v>
      </c>
      <c r="BE21" s="126" cm="1">
        <f t="array" ref="BE21">SUMPRODUCT(($E$7:$E$78=AE21)*($X$7:$X$78)*($G$7:$G$78))+SUMPRODUCT(($H$7:$H$78=AE21)*($X$7:$X$78)*($F$7:$F$78))</f>
        <v>1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50.5</v>
      </c>
      <c r="BI21" s="126">
        <f>BH21/BH24</f>
        <v>0.98058252427184467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Netherlands</v>
      </c>
      <c r="BT21" s="62">
        <v>3</v>
      </c>
      <c r="BU21" s="64"/>
      <c r="BV21" s="27"/>
      <c r="BW21" s="112">
        <f>IF(BW20="","",BT21*1000+BU21*10+BV21)</f>
        <v>3000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1</v>
      </c>
      <c r="N22" s="23">
        <f>VLOOKUP(2,AD20:AN23,5,FALSE)</f>
        <v>0</v>
      </c>
      <c r="O22" s="23" t="str">
        <f>VLOOKUP(2,AD20:AN23,6,FALSE) &amp; " - " &amp; VLOOKUP(2,AD20:AN23,7,FALSE)</f>
        <v>7 - 3</v>
      </c>
      <c r="P22" s="34">
        <f>L22*3+M22</f>
        <v>7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2</v>
      </c>
      <c r="AJ22" s="123">
        <f>SUMIF($E$7:$E$78,$AE22,$G$7:$G$78) + SUMIF($H$7:$H$78,$AE22,$F$7:$F$78)</f>
        <v>13</v>
      </c>
      <c r="AL22" s="123">
        <f>AI22-AJ22</f>
        <v>-11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0.18246403681818182</v>
      </c>
      <c r="AQ22" s="126">
        <f>VLOOKUP(AE22,db_fifarank,2,FALSE)</f>
        <v>1291.71</v>
      </c>
      <c r="AR22" s="125">
        <f>AP22/AP24</f>
        <v>1.8751583586367126E-9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1</v>
      </c>
      <c r="BN22" s="63">
        <v>1</v>
      </c>
      <c r="BO22" s="25">
        <v>3</v>
      </c>
      <c r="BP22" s="116">
        <f>IF(OR(BM22="",BM23="",AND(BN22="",BN23&lt;&gt;""),AND(BN23="",BN22&lt;&gt;""),AND(BO22="",BO23&lt;&gt;""),AND(BO23="",BO22&lt;&gt;"")),"",BM22*1000+BN22*10+BO22)</f>
        <v>1013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1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5 - 6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France_draw</v>
      </c>
      <c r="T23" s="127" t="str">
        <f t="shared" si="2"/>
        <v>Senegal_draw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0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5</v>
      </c>
      <c r="AJ23" s="123">
        <f>SUMIF($E$7:$E$78,$AE23,$G$7:$G$78) + SUMIF($H$7:$H$78,$AE23,$F$7:$F$78)</f>
        <v>6</v>
      </c>
      <c r="AL23" s="123">
        <f>AI23-AJ23</f>
        <v>-1</v>
      </c>
      <c r="AM23" s="123">
        <f>AL23-AL24</f>
        <v>10</v>
      </c>
      <c r="AN23" s="123">
        <f>AF23*3+AG23</f>
        <v>3</v>
      </c>
      <c r="AO23" s="123">
        <f>AN23/AN24*10+BA23</f>
        <v>3.75</v>
      </c>
      <c r="AP23" s="123">
        <f>AO23*10000000+BI23*100+AM23/AM24*10+AI23/AI24*1++IF(AQ23=0,ROW(),AQ23)/2000000</f>
        <v>37500005.455294631</v>
      </c>
      <c r="AQ23" s="126">
        <f>VLOOKUP(AE23,db_fifarank,2,FALSE)</f>
        <v>1498.35</v>
      </c>
      <c r="AR23" s="125">
        <f>AP23/AP24</f>
        <v>0.38538251101222537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1</v>
      </c>
      <c r="BN23" s="64">
        <v>1</v>
      </c>
      <c r="BO23" s="27">
        <v>2</v>
      </c>
      <c r="BP23" s="112">
        <f>IF(BP22="","",BM23*1000+BN23*10+BO23)</f>
        <v>1012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3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3000</v>
      </c>
    </row>
    <row r="24" spans="1:95" x14ac:dyDescent="0.2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1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2 - 13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2</v>
      </c>
      <c r="AH24" s="123">
        <f t="shared" si="14"/>
        <v>4</v>
      </c>
      <c r="AI24" s="123">
        <f>MAX(AI20:AI23)+1</f>
        <v>11</v>
      </c>
      <c r="AL24" s="123">
        <f>MIN(AL20:AL23)</f>
        <v>-11</v>
      </c>
      <c r="AM24" s="123">
        <f>MAX(AM20:AM23)+1</f>
        <v>20</v>
      </c>
      <c r="AN24" s="123">
        <f>MAX(AN20:AN23)+1</f>
        <v>8</v>
      </c>
      <c r="AO24" s="123">
        <f>MAX(AO20:AO23)+1</f>
        <v>10.730582524271846</v>
      </c>
      <c r="AP24" s="123">
        <f>MAX(AP20:AP23)+1</f>
        <v>97305934.710942373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2</v>
      </c>
      <c r="AW24" s="126">
        <f>MAX(AW20:AW23)-MIN(AW20:AW23)+1</f>
        <v>2</v>
      </c>
      <c r="AY24" s="126">
        <f>MAX(AY20:AY23)-MIN(AY20:AY23)+1</f>
        <v>1</v>
      </c>
      <c r="AZ24" s="126">
        <f>MAX(AZ20:AZ23)+1</f>
        <v>51.5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2</v>
      </c>
      <c r="BE24" s="126">
        <f>MAX(BE20:BE23)-MIN(BE20:BE23)+1</f>
        <v>2</v>
      </c>
      <c r="BG24" s="126">
        <f>MAX(BG20:BG23)-MIN(BG20:BG23)+1</f>
        <v>1</v>
      </c>
      <c r="BH24" s="126">
        <f>MAX(BH20:BH23)+1</f>
        <v>51.5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2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2</v>
      </c>
      <c r="AH26" s="123">
        <f>COUNTIF($S$7:$T$78,"=" &amp; AE26 &amp; "_lose")</f>
        <v>0</v>
      </c>
      <c r="AI26" s="123">
        <f>SUMIF($E$7:$E$78,$AE26,$F$7:$F$78) + SUMIF($H$7:$H$78,$AE26,$G$7:$G$78)</f>
        <v>2</v>
      </c>
      <c r="AJ26" s="123">
        <f>SUMIF($E$7:$E$78,$AE26,$G$7:$G$78) + SUMIF($H$7:$H$78,$AE26,$F$7:$F$78)</f>
        <v>1</v>
      </c>
      <c r="AL26" s="123">
        <f>AI26-AJ26</f>
        <v>1</v>
      </c>
      <c r="AM26" s="123">
        <f>AL26-AL30</f>
        <v>3</v>
      </c>
      <c r="AN26" s="123">
        <f>AF26*3+AG26</f>
        <v>5</v>
      </c>
      <c r="AO26" s="123">
        <f>AN26/AN30*10+BA26</f>
        <v>9.3137254901960791</v>
      </c>
      <c r="AP26" s="123">
        <f>AO26*10000000+BI26*100+AM26/AM30*10+AI26/AI30*1++IF(AQ26=0,ROW(),AQ26)/2000000</f>
        <v>93137360.94201304</v>
      </c>
      <c r="AQ26" s="126">
        <f>VLOOKUP(AE26,db_fifarank,2,FALSE)</f>
        <v>1673.13</v>
      </c>
      <c r="AR26" s="125">
        <f>AP26/AP30</f>
        <v>0.99999998926317024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1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50</v>
      </c>
      <c r="BA26" s="126">
        <f>AZ26/AZ30</f>
        <v>0.98039215686274506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1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50</v>
      </c>
      <c r="BI26" s="126">
        <f>BH26/BH30</f>
        <v>0.98039215686274506</v>
      </c>
      <c r="BK26" s="131">
        <v>83</v>
      </c>
      <c r="BL26" s="24" t="str">
        <f>AS69</f>
        <v>Colombia</v>
      </c>
      <c r="BM26" s="61">
        <v>2</v>
      </c>
      <c r="BN26" s="63">
        <v>3</v>
      </c>
      <c r="BO26" s="25"/>
      <c r="BP26" s="112">
        <f>IF(OR(BM26="",BM27="",AND(BN26="",BN27&lt;&gt;""),AND(BN27="",BN26&lt;&gt;""),AND(BO26="",BO27&lt;&gt;""),AND(BO27="",BO26&lt;&gt;"")),"",BM26*1000+BN26*10+BO26)</f>
        <v>2030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2</v>
      </c>
      <c r="G27" s="20">
        <v>1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1</v>
      </c>
      <c r="M27" s="31">
        <f>VLOOKUP(1,AD26:AN29,4,FALSE)</f>
        <v>2</v>
      </c>
      <c r="N27" s="31">
        <f>VLOOKUP(1,AD26:AN29,5,FALSE)</f>
        <v>0</v>
      </c>
      <c r="O27" s="31" t="str">
        <f>VLOOKUP(1,AD26:AN29,6,FALSE) &amp; " - " &amp; VLOOKUP(1,AD26:AN29,7,FALSE)</f>
        <v>2 - 1</v>
      </c>
      <c r="P27" s="32">
        <f>L27*3+M27</f>
        <v>5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0</v>
      </c>
      <c r="AH27" s="123">
        <f>COUNTIF($S$7:$T$78,"=" &amp; AE27 &amp; "_lose")</f>
        <v>2</v>
      </c>
      <c r="AI27" s="123">
        <f>SUMIF($E$7:$E$78,$AE27,$F$7:$F$78) + SUMIF($H$7:$H$78,$AE27,$G$7:$G$78)</f>
        <v>3</v>
      </c>
      <c r="AJ27" s="123">
        <f>SUMIF($E$7:$E$78,$AE27,$G$7:$G$78) + SUMIF($H$7:$H$78,$AE27,$F$7:$F$78)</f>
        <v>3</v>
      </c>
      <c r="AL27" s="123">
        <f>AI27-AJ27</f>
        <v>0</v>
      </c>
      <c r="AM27" s="123">
        <f>AL27-AL30</f>
        <v>2</v>
      </c>
      <c r="AN27" s="123">
        <f>AF27*3+AG27</f>
        <v>3</v>
      </c>
      <c r="AO27" s="123">
        <f>AN27/AN30*10+BA27</f>
        <v>5</v>
      </c>
      <c r="AP27" s="123">
        <f>AO27*10000000+BI27*100+AM27/AM30*10+AI27/AI30*1++IF(AQ27=0,ROW(),AQ27)/2000000</f>
        <v>50000005.750751749</v>
      </c>
      <c r="AQ27" s="126">
        <f>VLOOKUP(AE27,db_fifarank,2,FALSE)</f>
        <v>1503.5</v>
      </c>
      <c r="AR27" s="125">
        <f>AP27/AP30</f>
        <v>0.5368415500310344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Ghana</v>
      </c>
      <c r="BM27" s="62">
        <v>2</v>
      </c>
      <c r="BN27" s="64">
        <v>2</v>
      </c>
      <c r="BO27" s="27"/>
      <c r="BP27" s="113">
        <f>IF(BP26="","",BM27*1000+BN27*10+BO27)</f>
        <v>2020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2</v>
      </c>
      <c r="G28" s="20">
        <v>0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1</v>
      </c>
      <c r="M28" s="23">
        <f>VLOOKUP(2,AD26:AN29,4,FALSE)</f>
        <v>2</v>
      </c>
      <c r="N28" s="23">
        <f>VLOOKUP(2,AD26:AN29,5,FALSE)</f>
        <v>0</v>
      </c>
      <c r="O28" s="23" t="str">
        <f>VLOOKUP(2,AD26:AN29,6,FALSE) &amp; " - " &amp; VLOOKUP(2,AD26:AN29,7,FALSE)</f>
        <v>2 - 1</v>
      </c>
      <c r="P28" s="34">
        <f>L28*3+M28</f>
        <v>5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2</v>
      </c>
      <c r="AH28" s="123">
        <f>COUNTIF($S$7:$T$78,"=" &amp; AE28 &amp; "_lose")</f>
        <v>1</v>
      </c>
      <c r="AI28" s="123">
        <f>SUMIF($E$7:$E$78,$AE28,$F$7:$F$78) + SUMIF($H$7:$H$78,$AE28,$G$7:$G$78)</f>
        <v>1</v>
      </c>
      <c r="AJ28" s="123">
        <f>SUMIF($E$7:$E$78,$AE28,$G$7:$G$78) + SUMIF($H$7:$H$78,$AE28,$F$7:$F$78)</f>
        <v>3</v>
      </c>
      <c r="AL28" s="123">
        <f>AI28-AJ28</f>
        <v>-2</v>
      </c>
      <c r="AM28" s="123">
        <f>AL28-AL30</f>
        <v>0</v>
      </c>
      <c r="AN28" s="123">
        <f>AF28*3+AG28</f>
        <v>2</v>
      </c>
      <c r="AO28" s="123">
        <f>AN28/AN30*10+BA28</f>
        <v>3.333333333333333</v>
      </c>
      <c r="AP28" s="123">
        <f>AO28*10000000+BI28*100+AM28/AM30*10+AI28/AI30*1++IF(AQ28=0,ROW(),AQ28)/2000000</f>
        <v>33333333.584123667</v>
      </c>
      <c r="AQ28" s="126">
        <f>VLOOKUP(AE28,db_fifarank,2,FALSE)</f>
        <v>1580.67</v>
      </c>
      <c r="AR28" s="125">
        <f>AP28/AP30</f>
        <v>0.35789432821682099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1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3</v>
      </c>
      <c r="G29" s="20">
        <v>1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1</v>
      </c>
      <c r="M29" s="23">
        <f>VLOOKUP(3,AD26:AN29,4,FALSE)</f>
        <v>0</v>
      </c>
      <c r="N29" s="23">
        <f>VLOOKUP(3,AD26:AN29,5,FALSE)</f>
        <v>2</v>
      </c>
      <c r="O29" s="23" t="str">
        <f>VLOOKUP(3,AD26:AN29,6,FALSE) &amp; " - " &amp; VLOOKUP(3,AD26:AN29,7,FALSE)</f>
        <v>3 - 3</v>
      </c>
      <c r="P29" s="34">
        <f>L29*3+M29</f>
        <v>3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1</v>
      </c>
      <c r="AG29" s="123">
        <f>COUNTIF($S$7:$T$78,"=" &amp; AE29 &amp; "_draw")</f>
        <v>2</v>
      </c>
      <c r="AH29" s="123">
        <f>COUNTIF($S$7:$T$78,"=" &amp; AE29 &amp; "_lose")</f>
        <v>0</v>
      </c>
      <c r="AI29" s="123">
        <f>SUMIF($E$7:$E$78,$AE29,$F$7:$F$78) + SUMIF($H$7:$H$78,$AE29,$G$7:$G$78)</f>
        <v>2</v>
      </c>
      <c r="AJ29" s="123">
        <f>SUMIF($E$7:$E$78,$AE29,$G$7:$G$78) + SUMIF($H$7:$H$78,$AE29,$F$7:$F$78)</f>
        <v>1</v>
      </c>
      <c r="AL29" s="123">
        <f>AI29-AJ29</f>
        <v>1</v>
      </c>
      <c r="AM29" s="123">
        <f>AL29-AL30</f>
        <v>3</v>
      </c>
      <c r="AN29" s="123">
        <f>AF29*3+AG29</f>
        <v>5</v>
      </c>
      <c r="AO29" s="123">
        <f>AN29/AN30*10+BA29</f>
        <v>9.3137254901960791</v>
      </c>
      <c r="AP29" s="123">
        <f>AO29*10000000+BI29*100+AM29/AM30*10+AI29/AI30*1++IF(AQ29=0,ROW(),AQ29)/2000000</f>
        <v>93137360.941975996</v>
      </c>
      <c r="AQ29" s="126">
        <f>VLOOKUP(AE29,db_fifarank,2,FALSE)</f>
        <v>1599.04</v>
      </c>
      <c r="AR29" s="125">
        <f>AP29/AP30</f>
        <v>0.99999998926277245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1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50</v>
      </c>
      <c r="BA29" s="126">
        <f>AZ29/AZ30</f>
        <v>0.98039215686274506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1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50</v>
      </c>
      <c r="BI29" s="126">
        <f>BH29/BH30</f>
        <v>0.98039215686274506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4</v>
      </c>
      <c r="BU29" s="64"/>
      <c r="BV29" s="27"/>
      <c r="BW29" s="113">
        <f>IF(BW28="","",BT29*1000+BU29*10+BV29)</f>
        <v>4000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1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2</v>
      </c>
      <c r="N30" s="36">
        <f>VLOOKUP(4,AD26:AN29,5,FALSE)</f>
        <v>1</v>
      </c>
      <c r="O30" s="36" t="str">
        <f>VLOOKUP(4,AD26:AN29,6,FALSE) &amp; " - " &amp; VLOOKUP(4,AD26:AN29,7,FALSE)</f>
        <v>1 - 3</v>
      </c>
      <c r="P30" s="37">
        <f>L30*3+M30</f>
        <v>2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2</v>
      </c>
      <c r="AG30" s="123">
        <f t="shared" si="15"/>
        <v>3</v>
      </c>
      <c r="AH30" s="123">
        <f t="shared" si="15"/>
        <v>3</v>
      </c>
      <c r="AI30" s="123">
        <f>MAX(AI26:AI29)+1</f>
        <v>4</v>
      </c>
      <c r="AL30" s="123">
        <f>MIN(AL26:AL29)</f>
        <v>-2</v>
      </c>
      <c r="AM30" s="123">
        <f>MAX(AM26:AM29)+1</f>
        <v>4</v>
      </c>
      <c r="AN30" s="123">
        <f>MAX(AN26:AN29)+1</f>
        <v>6</v>
      </c>
      <c r="AO30" s="123">
        <f>MAX(AO26:AO29)+1</f>
        <v>10.313725490196079</v>
      </c>
      <c r="AP30" s="123">
        <f>MAX(AP26:AP29)+1</f>
        <v>93137361.94201304</v>
      </c>
      <c r="AT30" s="126">
        <f>MAX(AT26:AT29)-MIN(AT26:AT29)+1</f>
        <v>1</v>
      </c>
      <c r="AU30" s="126">
        <f>MAX(AU26:AU29)-MIN(AU26:AU29)+1</f>
        <v>2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51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51</v>
      </c>
      <c r="BK30" s="131">
        <v>84</v>
      </c>
      <c r="BL30" s="24" t="str">
        <f>AS50</f>
        <v>Spain</v>
      </c>
      <c r="BM30" s="61">
        <v>5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5000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2</v>
      </c>
      <c r="G31" s="20">
        <v>0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Austria</v>
      </c>
      <c r="BM31" s="62">
        <v>1</v>
      </c>
      <c r="BN31" s="64"/>
      <c r="BO31" s="27"/>
      <c r="BP31" s="112">
        <f>IF(BP30="","",BM31*1000+BN31*10+BO31)</f>
        <v>1000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2</v>
      </c>
      <c r="G32" s="20">
        <v>2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Switzerland_draw</v>
      </c>
      <c r="T32" s="127" t="str">
        <f t="shared" si="2"/>
        <v>Bosnia and Herzegovina_draw</v>
      </c>
      <c r="U32" s="123">
        <f t="shared" si="8"/>
        <v>1</v>
      </c>
      <c r="V32" s="123">
        <f t="shared" si="3"/>
        <v>2</v>
      </c>
      <c r="W32" s="123">
        <f t="shared" si="4"/>
        <v>2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0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2</v>
      </c>
      <c r="AG32" s="123">
        <f>COUNTIF($S$7:$T$78,"=" &amp; AE32 &amp; "_draw")</f>
        <v>1</v>
      </c>
      <c r="AH32" s="123">
        <f>COUNTIF($S$7:$T$78,"=" &amp; AE32 &amp; "_lose")</f>
        <v>0</v>
      </c>
      <c r="AI32" s="123">
        <f>SUMIF($E$7:$E$78,$AE32,$F$7:$F$78) + SUMIF($H$7:$H$78,$AE32,$G$7:$G$78)</f>
        <v>10</v>
      </c>
      <c r="AJ32" s="123">
        <f>SUMIF($E$7:$E$78,$AE32,$G$7:$G$78) + SUMIF($H$7:$H$78,$AE32,$F$7:$F$78)</f>
        <v>2</v>
      </c>
      <c r="AL32" s="123">
        <f>AI32-AJ32</f>
        <v>8</v>
      </c>
      <c r="AM32" s="123">
        <f>AL32-AL36</f>
        <v>20</v>
      </c>
      <c r="AN32" s="123">
        <f>AF32*3+AG32</f>
        <v>7</v>
      </c>
      <c r="AO32" s="123">
        <f>AN32/AN36*10+BA32</f>
        <v>8.75</v>
      </c>
      <c r="AP32" s="123">
        <f>AO32*10000000+BI32*100+AM32/AM36*10+AI32/AI36*1++IF(AQ32=0,ROW(),AQ32)/2000000</f>
        <v>87500010.43376562</v>
      </c>
      <c r="AQ32" s="126">
        <f>VLOOKUP(AE32,db_fifarank,2,FALSE)</f>
        <v>1730.37</v>
      </c>
      <c r="AR32" s="125">
        <f>AP32/AP36</f>
        <v>0.99999998857143002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2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2000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2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2</v>
      </c>
      <c r="M33" s="31">
        <f>VLOOKUP(1,AD32:AN35,4,FALSE)</f>
        <v>1</v>
      </c>
      <c r="N33" s="31">
        <f>VLOOKUP(1,AD32:AN35,5,FALSE)</f>
        <v>0</v>
      </c>
      <c r="O33" s="31" t="str">
        <f>VLOOKUP(1,AD32:AN35,6,FALSE) &amp; " - " &amp; VLOOKUP(1,AD32:AN35,7,FALSE)</f>
        <v>10 - 2</v>
      </c>
      <c r="P33" s="32">
        <f>L33*3+M33</f>
        <v>7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1</v>
      </c>
      <c r="AJ33" s="123">
        <f>SUMIF($E$7:$E$78,$AE33,$G$7:$G$78) + SUMIF($H$7:$H$78,$AE33,$F$7:$F$78)</f>
        <v>13</v>
      </c>
      <c r="AL33" s="123">
        <f>AI33-AJ33</f>
        <v>-12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9.1556415909090916E-2</v>
      </c>
      <c r="AQ33" s="126">
        <f>VLOOKUP(AE33,db_fifarank,2,FALSE)</f>
        <v>1294.6500000000001</v>
      </c>
      <c r="AR33" s="125">
        <f>AP33/AP36</f>
        <v>1.0463589022316398E-9</v>
      </c>
      <c r="AS33" s="125" t="str">
        <f>IF(SUM(AF32:AH35)=12,J34,"2E")</f>
        <v>Ivory Coast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United States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3</v>
      </c>
      <c r="G34" s="20">
        <v>0</v>
      </c>
      <c r="H34" s="80" t="str">
        <f>AE10</f>
        <v>Korea Republic</v>
      </c>
      <c r="J34" s="33" t="str">
        <f>VLOOKUP(2,AD32:AN35,2,FALSE)</f>
        <v>Ivory Coast</v>
      </c>
      <c r="K34" s="23">
        <f>L34+M34+N34</f>
        <v>3</v>
      </c>
      <c r="L34" s="23">
        <f>VLOOKUP(2,AD32:AN35,3,FALSE)</f>
        <v>1</v>
      </c>
      <c r="M34" s="23">
        <f>VLOOKUP(2,AD32:AN35,4,FALSE)</f>
        <v>2</v>
      </c>
      <c r="N34" s="23">
        <f>VLOOKUP(2,AD32:AN35,5,FALSE)</f>
        <v>0</v>
      </c>
      <c r="O34" s="23" t="str">
        <f>VLOOKUP(2,AD32:AN35,6,FALSE) &amp; " - " &amp; VLOOKUP(2,AD32:AN35,7,FALSE)</f>
        <v>5 - 2</v>
      </c>
      <c r="P34" s="34">
        <f>L34*3+M34</f>
        <v>5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2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2</v>
      </c>
      <c r="AH34" s="123">
        <f>COUNTIF($S$7:$T$78,"=" &amp; AE34 &amp; "_lose")</f>
        <v>0</v>
      </c>
      <c r="AI34" s="123">
        <f>SUMIF($E$7:$E$78,$AE34,$F$7:$F$78) + SUMIF($H$7:$H$78,$AE34,$G$7:$G$78)</f>
        <v>5</v>
      </c>
      <c r="AJ34" s="123">
        <f>SUMIF($E$7:$E$78,$AE34,$G$7:$G$78) + SUMIF($H$7:$H$78,$AE34,$F$7:$F$78)</f>
        <v>2</v>
      </c>
      <c r="AL34" s="123">
        <f>AI34-AJ34</f>
        <v>3</v>
      </c>
      <c r="AM34" s="123">
        <f>AL34-AL36</f>
        <v>15</v>
      </c>
      <c r="AN34" s="123">
        <f>AF34*3+AG34</f>
        <v>5</v>
      </c>
      <c r="AO34" s="123">
        <f>AN34/AN36*10+BA34</f>
        <v>6.25</v>
      </c>
      <c r="AP34" s="123">
        <f>AO34*10000000+BI34*100+AM34/AM36*10+AI34/AI36*1++IF(AQ34=0,ROW(),AQ34)/2000000</f>
        <v>62500007.598169088</v>
      </c>
      <c r="AQ34" s="126">
        <f>VLOOKUP(AE34,db_fifarank,2,FALSE)</f>
        <v>1532.98</v>
      </c>
      <c r="AR34" s="125">
        <f>AP34/AP36</f>
        <v>0.71428570778507106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United States</v>
      </c>
      <c r="BM34" s="61">
        <v>3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3000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6</v>
      </c>
      <c r="G35" s="20">
        <v>0</v>
      </c>
      <c r="H35" s="80" t="str">
        <f>AE22</f>
        <v>Haiti</v>
      </c>
      <c r="J35" s="33" t="str">
        <f>VLOOKUP(3,AD32:AN35,2,FALSE)</f>
        <v>Ecuador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4 - 3</v>
      </c>
      <c r="P35" s="34">
        <f>L35*3+M35</f>
        <v>4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3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4</v>
      </c>
      <c r="AJ35" s="123">
        <f>SUMIF($E$7:$E$78,$AE35,$G$7:$G$78) + SUMIF($H$7:$H$78,$AE35,$F$7:$F$78)</f>
        <v>3</v>
      </c>
      <c r="AL35" s="123">
        <f>AI35-AJ35</f>
        <v>1</v>
      </c>
      <c r="AM35" s="123">
        <f>AL35-AL36</f>
        <v>13</v>
      </c>
      <c r="AN35" s="123">
        <f>AF35*3+AG35</f>
        <v>4</v>
      </c>
      <c r="AO35" s="123">
        <f>AN35/AN36*10+BA35</f>
        <v>5</v>
      </c>
      <c r="AP35" s="123">
        <f>AO35*10000000+BI35*100+AM35/AM36*10+AI35/AI36*1++IF(AQ35=0,ROW(),AQ35)/2000000</f>
        <v>50000006.554909952</v>
      </c>
      <c r="AQ35" s="126">
        <f>VLOOKUP(AE35,db_fifarank,2,FALSE)</f>
        <v>1594.78</v>
      </c>
      <c r="AR35" s="125">
        <f>AP35/AP36</f>
        <v>0.57142857167233818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Canada</v>
      </c>
      <c r="BM35" s="62">
        <v>1</v>
      </c>
      <c r="BN35" s="64"/>
      <c r="BO35" s="27"/>
      <c r="BP35" s="113">
        <f>IF(BP34="","",BM35*1000+BN35*10+BO35)</f>
        <v>1000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1 - 13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3</v>
      </c>
      <c r="AG36" s="123">
        <f t="shared" si="16"/>
        <v>3</v>
      </c>
      <c r="AH36" s="123">
        <f t="shared" si="16"/>
        <v>4</v>
      </c>
      <c r="AI36" s="123">
        <f>MAX(AI32:AI35)+1</f>
        <v>11</v>
      </c>
      <c r="AL36" s="123">
        <f>MIN(AL32:AL35)</f>
        <v>-12</v>
      </c>
      <c r="AM36" s="123">
        <f>MAX(AM32:AM35)+1</f>
        <v>21</v>
      </c>
      <c r="AN36" s="123">
        <f>MAX(AN32:AN35)+1</f>
        <v>8</v>
      </c>
      <c r="AO36" s="123">
        <f>MAX(AO32:AO35)+1</f>
        <v>9.75</v>
      </c>
      <c r="AP36" s="123">
        <f>MAX(AP32:AP35)+1</f>
        <v>87500011.43376562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United States</v>
      </c>
      <c r="BT36" s="61">
        <v>2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2000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1</v>
      </c>
      <c r="G37" s="20">
        <v>1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States_draw</v>
      </c>
      <c r="T37" s="127" t="str">
        <f t="shared" si="2"/>
        <v>Australia_draw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0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1</v>
      </c>
      <c r="BU37" s="64"/>
      <c r="BV37" s="27"/>
      <c r="BW37" s="112">
        <f>IF(BW36="","",BT37*1000+BU37*10+BV37)</f>
        <v>1000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France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2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6</v>
      </c>
      <c r="AJ38" s="123">
        <f>SUMIF($E$7:$E$78,$AE38,$G$7:$G$78) + SUMIF($H$7:$H$78,$AE38,$F$7:$F$78)</f>
        <v>2</v>
      </c>
      <c r="AL38" s="123">
        <f>AI38-AJ38</f>
        <v>4</v>
      </c>
      <c r="AM38" s="123">
        <f>AL38-AL42</f>
        <v>7</v>
      </c>
      <c r="AN38" s="123">
        <f>AF38*3+AG38</f>
        <v>7</v>
      </c>
      <c r="AO38" s="123">
        <f>AN38/AN42*10+BA38</f>
        <v>8.75</v>
      </c>
      <c r="AP38" s="123">
        <f>AO38*10000000+BI38*100+AM38/AM42*10+AI38/AI42*1++IF(AQ38=0,ROW(),AQ38)/2000000</f>
        <v>87500009.608021781</v>
      </c>
      <c r="AQ38" s="126">
        <f>VLOOKUP(AE38,db_fifarank,2,FALSE)</f>
        <v>1757.87</v>
      </c>
      <c r="AR38" s="125">
        <f>AP38/AP42</f>
        <v>0.99999998857142991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2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2000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Argentina</v>
      </c>
      <c r="CO38" s="62">
        <v>2</v>
      </c>
      <c r="CP38" s="64"/>
      <c r="CQ38" s="27"/>
      <c r="CR38" s="111">
        <f>IF(CR37="","",CO38*1000+CP38*10+CQ38)</f>
        <v>2000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1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6 - 2</v>
      </c>
      <c r="P39" s="32">
        <f>L39*3+M39</f>
        <v>7</v>
      </c>
      <c r="R39" s="123">
        <f>DATE(2026,6,20)+TIME(9,0,0)+gmt_delta</f>
        <v>46193.916666666664</v>
      </c>
      <c r="S39" s="127" t="str">
        <f t="shared" si="1"/>
        <v>Germany_draw</v>
      </c>
      <c r="T39" s="127" t="str">
        <f t="shared" si="2"/>
        <v>Ivory Coast_draw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0</v>
      </c>
      <c r="AD39" s="123">
        <f>COUNTIF(AR38:AR41,CONCATENATE("&gt;=",AR39))</f>
        <v>4</v>
      </c>
      <c r="AE39" s="124" t="str">
        <f>VLOOKUP("Japan",T,lang,FALSE)</f>
        <v>Japan</v>
      </c>
      <c r="AF39" s="123">
        <f>COUNTIF($S$7:$T$78,"=" &amp; AE39 &amp; "_win")</f>
        <v>0</v>
      </c>
      <c r="AG39" s="123">
        <f>COUNTIF($S$7:$T$78,"=" &amp; AE39 &amp; "_draw")</f>
        <v>1</v>
      </c>
      <c r="AH39" s="123">
        <f>COUNTIF($S$7:$T$78,"=" &amp; AE39 &amp; "_lose")</f>
        <v>2</v>
      </c>
      <c r="AI39" s="123">
        <f>SUMIF($E$7:$E$78,$AE39,$F$7:$F$78) + SUMIF($H$7:$H$78,$AE39,$G$7:$G$78)</f>
        <v>1</v>
      </c>
      <c r="AJ39" s="123">
        <f>SUMIF($E$7:$E$78,$AE39,$G$7:$G$78) + SUMIF($H$7:$H$78,$AE39,$F$7:$F$78)</f>
        <v>4</v>
      </c>
      <c r="AL39" s="123">
        <f>AI39-AJ39</f>
        <v>-3</v>
      </c>
      <c r="AM39" s="123">
        <f>AL39-AL42</f>
        <v>0</v>
      </c>
      <c r="AN39" s="123">
        <f>AF39*3+AG39</f>
        <v>1</v>
      </c>
      <c r="AO39" s="123">
        <f>AN39/AN42*10+BA39</f>
        <v>1.25</v>
      </c>
      <c r="AP39" s="123">
        <f>AO39*10000000+BI39*100+AM39/AM42*10+AI39/AI42*1++IF(AQ39=0,ROW(),AQ39)/2000000</f>
        <v>12500000.143687358</v>
      </c>
      <c r="AQ39" s="126">
        <f>VLOOKUP(AE39,db_fifarank,2,FALSE)</f>
        <v>1660.43</v>
      </c>
      <c r="AR39" s="125">
        <f>AP39/AP42</f>
        <v>0.14285712718006677</v>
      </c>
      <c r="AS39" s="125" t="str">
        <f>IF(SUM(AF38:AH41)=12,J40,"2F")</f>
        <v>Sweden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South Africa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3</v>
      </c>
      <c r="G40" s="20">
        <v>0</v>
      </c>
      <c r="H40" s="80" t="str">
        <f>AE33</f>
        <v>Curaçao</v>
      </c>
      <c r="J40" s="33" t="str">
        <f>VLOOKUP(2,AD38:AN41,2,FALSE)</f>
        <v>Sweden</v>
      </c>
      <c r="K40" s="23">
        <f>L40+M40+N40</f>
        <v>3</v>
      </c>
      <c r="L40" s="23">
        <f>VLOOKUP(2,AD38:AN41,3,FALSE)</f>
        <v>1</v>
      </c>
      <c r="M40" s="23">
        <f>VLOOKUP(2,AD38:AN41,4,FALSE)</f>
        <v>2</v>
      </c>
      <c r="N40" s="23">
        <f>VLOOKUP(2,AD38:AN41,5,FALSE)</f>
        <v>0</v>
      </c>
      <c r="O40" s="23" t="str">
        <f>VLOOKUP(2,AD38:AN41,6,FALSE) &amp; " - " &amp; VLOOKUP(2,AD38:AN41,7,FALSE)</f>
        <v>3 - 2</v>
      </c>
      <c r="P40" s="34">
        <f>L40*3+M40</f>
        <v>5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2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2</v>
      </c>
      <c r="AH40" s="123">
        <f>COUNTIF($S$7:$T$78,"=" &amp; AE40 &amp; "_lose")</f>
        <v>0</v>
      </c>
      <c r="AI40" s="123">
        <f>SUMIF($E$7:$E$78,$AE40,$F$7:$F$78) + SUMIF($H$7:$H$78,$AE40,$G$7:$G$78)</f>
        <v>3</v>
      </c>
      <c r="AJ40" s="123">
        <f>SUMIF($E$7:$E$78,$AE40,$G$7:$G$78) + SUMIF($H$7:$H$78,$AE40,$F$7:$F$78)</f>
        <v>2</v>
      </c>
      <c r="AL40" s="123">
        <f>AI40-AJ40</f>
        <v>1</v>
      </c>
      <c r="AM40" s="123">
        <f>AL40-AL42</f>
        <v>4</v>
      </c>
      <c r="AN40" s="123">
        <f>AF40*3+AG40</f>
        <v>5</v>
      </c>
      <c r="AO40" s="123">
        <f>AN40/AN42*10+BA40</f>
        <v>6.25</v>
      </c>
      <c r="AP40" s="123">
        <f>AO40*10000000+BI40*100+AM40/AM42*10+AI40/AI42*1++IF(AQ40=0,ROW(),AQ40)/2000000</f>
        <v>62500005.429328807</v>
      </c>
      <c r="AQ40" s="126">
        <f>VLOOKUP(AE40,db_fifarank,2,FALSE)</f>
        <v>1514.77</v>
      </c>
      <c r="AR40" s="125">
        <f>AP40/AP42</f>
        <v>0.71428568973909312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1</v>
      </c>
      <c r="G41" s="20">
        <v>1</v>
      </c>
      <c r="H41" s="80" t="str">
        <f>AE40</f>
        <v>Sweden</v>
      </c>
      <c r="J41" s="33" t="str">
        <f>VLOOKUP(3,AD38:AN41,2,FALSE)</f>
        <v>Tunisia</v>
      </c>
      <c r="K41" s="23">
        <f>L41+M41+N41</f>
        <v>3</v>
      </c>
      <c r="L41" s="23">
        <f>VLOOKUP(3,AD38:AN41,3,FALSE)</f>
        <v>0</v>
      </c>
      <c r="M41" s="23">
        <f>VLOOKUP(3,AD38:AN41,4,FALSE)</f>
        <v>2</v>
      </c>
      <c r="N41" s="23">
        <f>VLOOKUP(3,AD38:AN41,5,FALSE)</f>
        <v>1</v>
      </c>
      <c r="O41" s="23" t="str">
        <f>VLOOKUP(3,AD38:AN41,6,FALSE) &amp; " - " &amp; VLOOKUP(3,AD38:AN41,7,FALSE)</f>
        <v>1 - 3</v>
      </c>
      <c r="P41" s="34">
        <f>L41*3+M41</f>
        <v>2</v>
      </c>
      <c r="R41" s="123">
        <f>DATE(2026,6,20)+TIME(6,0,0)+gmt_delta</f>
        <v>46193.791666666664</v>
      </c>
      <c r="S41" s="127" t="str">
        <f t="shared" si="1"/>
        <v>Netherlands_draw</v>
      </c>
      <c r="T41" s="127" t="str">
        <f t="shared" si="2"/>
        <v>Sweden_draw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0</v>
      </c>
      <c r="AD41" s="123">
        <f>COUNTIF(AR38:AR41,CONCATENATE("&gt;=",AR41))</f>
        <v>3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2</v>
      </c>
      <c r="AH41" s="123">
        <f>COUNTIF($S$7:$T$78,"=" &amp; AE41 &amp; "_lose")</f>
        <v>1</v>
      </c>
      <c r="AI41" s="123">
        <f>SUMIF($E$7:$E$78,$AE41,$F$7:$F$78) + SUMIF($H$7:$H$78,$AE41,$G$7:$G$78)</f>
        <v>1</v>
      </c>
      <c r="AJ41" s="123">
        <f>SUMIF($E$7:$E$78,$AE41,$G$7:$G$78) + SUMIF($H$7:$H$78,$AE41,$F$7:$F$78)</f>
        <v>3</v>
      </c>
      <c r="AL41" s="123">
        <f>AI41-AJ41</f>
        <v>-2</v>
      </c>
      <c r="AM41" s="123">
        <f>AL41-AL42</f>
        <v>1</v>
      </c>
      <c r="AN41" s="123">
        <f>AF41*3+AG41</f>
        <v>2</v>
      </c>
      <c r="AO41" s="123">
        <f>AN41/AN42*10+BA41</f>
        <v>2.5</v>
      </c>
      <c r="AP41" s="123">
        <f>AO41*10000000+BI41*100+AM41/AM42*10+AI41/AI42*1++IF(AQ41=0,ROW(),AQ41)/2000000</f>
        <v>25000001.393598668</v>
      </c>
      <c r="AQ41" s="126">
        <f>VLOOKUP(AE41,db_fifarank,2,FALSE)</f>
        <v>1483.05</v>
      </c>
      <c r="AR41" s="125">
        <f>AP41/AP42</f>
        <v>0.28571426700269142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0</v>
      </c>
      <c r="G42" s="20">
        <v>0</v>
      </c>
      <c r="H42" s="80" t="str">
        <f>AE39</f>
        <v>Japan</v>
      </c>
      <c r="J42" s="35" t="str">
        <f>VLOOKUP(4,AD38:AN41,2,FALSE)</f>
        <v>Japan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1 - 4</v>
      </c>
      <c r="P42" s="37">
        <f>L42*3+M42</f>
        <v>1</v>
      </c>
      <c r="R42" s="123">
        <f>DATE(2026,6,20)+TIME(17,0,0)+gmt_delta</f>
        <v>46194.25</v>
      </c>
      <c r="S42" s="127" t="str">
        <f t="shared" si="1"/>
        <v>Tunisia_draw</v>
      </c>
      <c r="T42" s="127" t="str">
        <f t="shared" si="2"/>
        <v>Japan_draw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0</v>
      </c>
      <c r="AF42" s="123">
        <f t="shared" ref="AF42:AH42" si="18">MAX(AF38:AF41)-MIN(AF38:AF41)+1</f>
        <v>3</v>
      </c>
      <c r="AG42" s="123">
        <f t="shared" si="18"/>
        <v>2</v>
      </c>
      <c r="AH42" s="123">
        <f t="shared" si="18"/>
        <v>3</v>
      </c>
      <c r="AI42" s="123">
        <f>MAX(AI38:AI41)+1</f>
        <v>7</v>
      </c>
      <c r="AL42" s="123">
        <f>MIN(AL38:AL41)</f>
        <v>-3</v>
      </c>
      <c r="AM42" s="123">
        <f>MAX(AM38:AM41)+1</f>
        <v>8</v>
      </c>
      <c r="AN42" s="123">
        <f>MAX(AN38:AN41)+1</f>
        <v>8</v>
      </c>
      <c r="AO42" s="123">
        <f>MAX(AO38:AO41)+1</f>
        <v>9.75</v>
      </c>
      <c r="AP42" s="123">
        <f>MAX(AP38:AP41)+1</f>
        <v>87500010.608021781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Brazil</v>
      </c>
      <c r="BM42" s="61">
        <v>3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3000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1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Sweden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3</v>
      </c>
      <c r="G44" s="20">
        <v>1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8</v>
      </c>
      <c r="AJ44" s="123">
        <f>SUMIF($E$7:$E$78,$AE44,$G$7:$G$78) + SUMIF($H$7:$H$78,$AE44,$F$7:$F$78)</f>
        <v>1</v>
      </c>
      <c r="AL44" s="123">
        <f>AI44-AJ44</f>
        <v>7</v>
      </c>
      <c r="AM44" s="123">
        <f>AL44-AL48</f>
        <v>13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90000010.175470531</v>
      </c>
      <c r="AQ44" s="126">
        <f>VLOOKUP(AE44,db_fifarank,2,FALSE)</f>
        <v>1734.71</v>
      </c>
      <c r="AR44" s="125">
        <f>AP44/AP48</f>
        <v>0.9999999888888903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3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3000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8 - 1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0</v>
      </c>
      <c r="AH45" s="123">
        <f>COUNTIF($S$7:$T$78,"=" &amp; AE45 &amp; "_lose")</f>
        <v>1</v>
      </c>
      <c r="AI45" s="123">
        <f>SUMIF($E$7:$E$78,$AE45,$F$7:$F$78) + SUMIF($H$7:$H$78,$AE45,$G$7:$G$78)</f>
        <v>7</v>
      </c>
      <c r="AJ45" s="123">
        <f>SUMIF($E$7:$E$78,$AE45,$G$7:$G$78) + SUMIF($H$7:$H$78,$AE45,$F$7:$F$78)</f>
        <v>4</v>
      </c>
      <c r="AL45" s="123">
        <f>AI45-AJ45</f>
        <v>3</v>
      </c>
      <c r="AM45" s="123">
        <f>AL45-AL48</f>
        <v>9</v>
      </c>
      <c r="AN45" s="123">
        <f>AF45*3+AG45</f>
        <v>6</v>
      </c>
      <c r="AO45" s="123">
        <f>AN45/AN48*10+BA45</f>
        <v>6</v>
      </c>
      <c r="AP45" s="123">
        <f>AO45*10000000+BI45*100+AM45/AM48*10+AI45/AI48*1++IF(AQ45=0,ROW(),AQ45)/2000000</f>
        <v>60000007.20713082</v>
      </c>
      <c r="AQ45" s="126">
        <f>VLOOKUP(AE45,db_fifarank,2,FALSE)</f>
        <v>1563.24</v>
      </c>
      <c r="AR45" s="125">
        <f>AP45/AP48</f>
        <v>0.66666666396463514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Ivory Coast</v>
      </c>
      <c r="BT45" s="62">
        <v>1</v>
      </c>
      <c r="BU45" s="64"/>
      <c r="BV45" s="27"/>
      <c r="BW45" s="113">
        <f>IF(BW44="","",BT45*1000+BU45*10+BV45)</f>
        <v>1000</v>
      </c>
      <c r="CK45" s="114"/>
      <c r="CM45" s="136"/>
      <c r="CN45" s="137"/>
      <c r="CO45" s="137"/>
      <c r="CP45" s="137"/>
      <c r="CQ45" s="138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1</v>
      </c>
      <c r="G46" s="20">
        <v>3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7 - 4</v>
      </c>
      <c r="P46" s="34">
        <f>L46*3+M46</f>
        <v>6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1</v>
      </c>
      <c r="AH46" s="123">
        <f>COUNTIF($S$7:$T$78,"=" &amp; AE46 &amp; "_lose")</f>
        <v>2</v>
      </c>
      <c r="AI46" s="123">
        <f>SUMIF($E$7:$E$78,$AE46,$F$7:$F$78) + SUMIF($H$7:$H$78,$AE46,$G$7:$G$78)</f>
        <v>3</v>
      </c>
      <c r="AJ46" s="123">
        <f>SUMIF($E$7:$E$78,$AE46,$G$7:$G$78) + SUMIF($H$7:$H$78,$AE46,$F$7:$F$78)</f>
        <v>7</v>
      </c>
      <c r="AL46" s="123">
        <f>AI46-AJ46</f>
        <v>-4</v>
      </c>
      <c r="AM46" s="123">
        <f>AL46-AL48</f>
        <v>2</v>
      </c>
      <c r="AN46" s="123">
        <f>AF46*3+AG46</f>
        <v>1</v>
      </c>
      <c r="AO46" s="123">
        <f>AN46/AN48*10+BA46</f>
        <v>1.9806451612903224</v>
      </c>
      <c r="AP46" s="123">
        <f>AO46*10000000+BI46*100+AM46/AM48*10+AI46/AI48*1++IF(AQ46=0,ROW(),AQ46)/2000000</f>
        <v>19806551.440131765</v>
      </c>
      <c r="AQ46" s="126">
        <f>VLOOKUP(AE46,db_fifarank,2,FALSE)</f>
        <v>1615.3</v>
      </c>
      <c r="AR46" s="125">
        <f>AP46/AP48</f>
        <v>0.22007276645238943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2</v>
      </c>
      <c r="AW46" s="126" cm="1">
        <f t="array" ref="AW46">SUMPRODUCT(($E$7:$E$78=AE46)*($U$7:$U$78)*($G$7:$G$78))+SUMPRODUCT(($H$7:$H$78=AE46)*($U$7:$U$78)*($F$7:$F$78))</f>
        <v>2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50.666666666666664</v>
      </c>
      <c r="BA46" s="126">
        <f>AZ46/AZ48</f>
        <v>0.98064516129032253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2</v>
      </c>
      <c r="BE46" s="126" cm="1">
        <f t="array" ref="BE46">SUMPRODUCT(($E$7:$E$78=AE46)*($X$7:$X$78)*($G$7:$G$78))+SUMPRODUCT(($H$7:$H$78=AE46)*($X$7:$X$78)*($F$7:$F$78))</f>
        <v>2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50.666666666666664</v>
      </c>
      <c r="BI46" s="126">
        <f>BH46/BH48</f>
        <v>0.98064516129032253</v>
      </c>
      <c r="BK46" s="131">
        <v>78</v>
      </c>
      <c r="BL46" s="24" t="str">
        <f>AS33</f>
        <v>Ivory Coast</v>
      </c>
      <c r="BM46" s="61">
        <v>0</v>
      </c>
      <c r="BN46" s="63">
        <v>1</v>
      </c>
      <c r="BO46" s="25"/>
      <c r="BP46" s="116">
        <f>IF(OR(BM46="",BM47="",AND(BN46="",BN47&lt;&gt;""),AND(BN47="",BN46&lt;&gt;""),AND(BO46="",BO47&lt;&gt;""),AND(BO47="",BO46&lt;&gt;"")),"",BM46*1000+BN46*10+BO46)</f>
        <v>10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1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0</v>
      </c>
      <c r="M47" s="23">
        <f>VLOOKUP(3,AD44:AN47,4,FALSE)</f>
        <v>1</v>
      </c>
      <c r="N47" s="23">
        <f>VLOOKUP(3,AD44:AN47,5,FALSE)</f>
        <v>2</v>
      </c>
      <c r="O47" s="23" t="str">
        <f>VLOOKUP(3,AD44:AN47,6,FALSE) &amp; " - " &amp; VLOOKUP(3,AD44:AN47,7,FALSE)</f>
        <v>3 - 7</v>
      </c>
      <c r="P47" s="34">
        <f>L47*3+M47</f>
        <v>1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3</v>
      </c>
      <c r="AJ47" s="123">
        <f>SUMIF($E$7:$E$78,$AE47,$G$7:$G$78) + SUMIF($H$7:$H$78,$AE47,$F$7:$F$78)</f>
        <v>9</v>
      </c>
      <c r="AL47" s="123">
        <f>AI47-AJ47</f>
        <v>-6</v>
      </c>
      <c r="AM47" s="123">
        <f>AL47-AL48</f>
        <v>0</v>
      </c>
      <c r="AN47" s="123">
        <f>AF47*3+AG47</f>
        <v>1</v>
      </c>
      <c r="AO47" s="123">
        <f>AN47/AN48*10+BA47</f>
        <v>1.9806451612903224</v>
      </c>
      <c r="AP47" s="123">
        <f>AO47*10000000+BI47*100+AM47/AM48*10+AI47/AI48*1++IF(AQ47=0,ROW(),AQ47)/2000000</f>
        <v>19806550.011393469</v>
      </c>
      <c r="AQ47" s="126">
        <f>VLOOKUP(AE47,db_fifarank,2,FALSE)</f>
        <v>1281.57</v>
      </c>
      <c r="AR47" s="125">
        <f>AP47/AP48</f>
        <v>0.22007275057752146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1</v>
      </c>
      <c r="AV47" s="126" cm="1">
        <f t="array" ref="AV47">SUMPRODUCT(($E$7:$E$78=AE47)*($U$7:$U$78)*($F$7:$F$78))+SUMPRODUCT(($H$7:$H$78=AE47)*($U$7:$U$78)*($G$7:$G$78))</f>
        <v>2</v>
      </c>
      <c r="AW47" s="126" cm="1">
        <f t="array" ref="AW47">SUMPRODUCT(($E$7:$E$78=AE47)*($U$7:$U$78)*($G$7:$G$78))+SUMPRODUCT(($H$7:$H$78=AE47)*($U$7:$U$78)*($F$7:$F$78))</f>
        <v>2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50.666666666666664</v>
      </c>
      <c r="BA47" s="126">
        <f>AZ47/AZ48</f>
        <v>0.98064516129032253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1</v>
      </c>
      <c r="BD47" s="126" cm="1">
        <f t="array" ref="BD47">SUMPRODUCT(($E$7:$E$78=AE47)*($X$7:$X$78)*($F$7:$F$78))+SUMPRODUCT(($H$7:$H$78=AE47)*($X$7:$X$78)*($G$7:$G$78))</f>
        <v>2</v>
      </c>
      <c r="BE47" s="126" cm="1">
        <f t="array" ref="BE47">SUMPRODUCT(($E$7:$E$78=AE47)*($X$7:$X$78)*($G$7:$G$78))+SUMPRODUCT(($H$7:$H$78=AE47)*($X$7:$X$78)*($F$7:$F$78))</f>
        <v>2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50.666666666666664</v>
      </c>
      <c r="BI47" s="126">
        <f>BH47/BH48</f>
        <v>0.98064516129032253</v>
      </c>
      <c r="BK47" s="132"/>
      <c r="BL47" s="26" t="str">
        <f>AS57</f>
        <v>Senegal</v>
      </c>
      <c r="BM47" s="62">
        <v>0</v>
      </c>
      <c r="BN47" s="64">
        <v>0</v>
      </c>
      <c r="BO47" s="27"/>
      <c r="BP47" s="112">
        <f>IF(BP46="","",BM47*1000+BN47*10+BO47)</f>
        <v>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3 - 9</v>
      </c>
      <c r="P48" s="37">
        <f>L48*3+M48</f>
        <v>1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2</v>
      </c>
      <c r="AH48" s="123">
        <f t="shared" si="24"/>
        <v>3</v>
      </c>
      <c r="AI48" s="123">
        <f>MAX(AI44:AI47)+1</f>
        <v>9</v>
      </c>
      <c r="AL48" s="123">
        <f>MIN(AL44:AL47)</f>
        <v>-6</v>
      </c>
      <c r="AM48" s="123">
        <f>MAX(AM44:AM47)+1</f>
        <v>14</v>
      </c>
      <c r="AN48" s="123">
        <f>MAX(AN44:AN47)+1</f>
        <v>10</v>
      </c>
      <c r="AO48" s="123">
        <f>MAX(AO44:AO47)+1</f>
        <v>10</v>
      </c>
      <c r="AP48" s="123">
        <f>MAX(AP44:AP47)+1</f>
        <v>90000011.175470531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3</v>
      </c>
      <c r="AW48" s="126">
        <f>MAX(AW44:AW47)-MIN(AW44:AW47)+1</f>
        <v>3</v>
      </c>
      <c r="AY48" s="126">
        <f>MAX(AY44:AY47)-MIN(AY44:AY47)+1</f>
        <v>1</v>
      </c>
      <c r="AZ48" s="126">
        <f>MAX(AZ44:AZ47)+1</f>
        <v>51.666666666666664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3</v>
      </c>
      <c r="BE48" s="126">
        <f>MAX(BE44:BE47)-MIN(BE44:BE47)+1</f>
        <v>3</v>
      </c>
      <c r="BG48" s="126">
        <f>MAX(BG44:BG47)-MIN(BG44:BG47)+1</f>
        <v>1</v>
      </c>
      <c r="BH48" s="126">
        <f>MAX(BH44:BH47)+1</f>
        <v>51.666666666666664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2</v>
      </c>
      <c r="CB48" s="63">
        <v>3</v>
      </c>
      <c r="CC48" s="25"/>
      <c r="CD48" s="112">
        <f>IF(OR(CA48="",CA49="",AND(CB48="",CB49&lt;&gt;""),AND(CB49="",CB48&lt;&gt;""),AND(CC48="",CC49&lt;&gt;""),AND(CC49="",CC48&lt;&gt;"")),"",CA48*1000+CB48*10+CC48)</f>
        <v>2030</v>
      </c>
      <c r="CK48" s="114"/>
      <c r="CL48" s="112"/>
      <c r="CM48" s="131">
        <v>103</v>
      </c>
      <c r="CN48" s="24" t="str">
        <f>IF(CK23&gt;CK24,CG24,IF(CK23&lt;CK24,CG23,""))</f>
        <v>Spain</v>
      </c>
      <c r="CO48" s="61">
        <v>2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2000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3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2</v>
      </c>
      <c r="CB49" s="64">
        <v>2</v>
      </c>
      <c r="CC49" s="27"/>
      <c r="CD49" s="113">
        <f>IF(CD48="","",CA49*1000+CB49*10+CC49)</f>
        <v>2020</v>
      </c>
      <c r="CK49" s="114"/>
      <c r="CL49" s="115"/>
      <c r="CM49" s="132"/>
      <c r="CN49" s="26" t="str">
        <f>IF(CK55&gt;CK56,CG56,IF(CK55&lt;CK56,CG55,""))</f>
        <v>Brazil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1</v>
      </c>
      <c r="G50" s="20">
        <v>3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2</v>
      </c>
      <c r="AG50" s="123">
        <f>COUNTIF($S$7:$T$78,"=" &amp; AE50 &amp; "_draw")</f>
        <v>1</v>
      </c>
      <c r="AH50" s="123">
        <f>COUNTIF($S$7:$T$78,"=" &amp; AE50 &amp; "_lose")</f>
        <v>0</v>
      </c>
      <c r="AI50" s="123">
        <f>SUMIF($E$7:$E$78,$AE50,$F$7:$F$78) + SUMIF($H$7:$H$78,$AE50,$G$7:$G$78)</f>
        <v>8</v>
      </c>
      <c r="AJ50" s="123">
        <f>SUMIF($E$7:$E$78,$AE50,$G$7:$G$78) + SUMIF($H$7:$H$78,$AE50,$F$7:$F$78)</f>
        <v>2</v>
      </c>
      <c r="AL50" s="123">
        <f>AI50-AJ50</f>
        <v>6</v>
      </c>
      <c r="AM50" s="123">
        <f>AL50-AL54</f>
        <v>11</v>
      </c>
      <c r="AN50" s="123">
        <f>AF50*3+AG50</f>
        <v>7</v>
      </c>
      <c r="AO50" s="123">
        <f>AN50/AN54*10+BA50</f>
        <v>9.7401960784313726</v>
      </c>
      <c r="AP50" s="123">
        <f>AO50*10000000+BI50*100+AM50/AM54*10+AI50/AI54*1++IF(AQ50=0,ROW(),AQ50)/2000000</f>
        <v>97402069.860415339</v>
      </c>
      <c r="AQ50" s="126">
        <f>VLOOKUP(AE50,db_fifarank,2,FALSE)</f>
        <v>1876.4</v>
      </c>
      <c r="AR50" s="125">
        <f>AP50/AP54</f>
        <v>0.99999998973327786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1</v>
      </c>
      <c r="AV50" s="126" cm="1">
        <f t="array" ref="AV50">SUMPRODUCT(($E$7:$E$78=AE50)*($U$7:$U$78)*($F$7:$F$78))+SUMPRODUCT(($H$7:$H$78=AE50)*($U$7:$U$78)*($G$7:$G$78))</f>
        <v>1</v>
      </c>
      <c r="AW50" s="126" cm="1">
        <f t="array" ref="AW50">SUMPRODUCT(($E$7:$E$78=AE50)*($U$7:$U$78)*($G$7:$G$78))+SUMPRODUCT(($H$7:$H$78=AE50)*($U$7:$U$78)*($F$7:$F$78))</f>
        <v>1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101</v>
      </c>
      <c r="BA50" s="126">
        <f>AZ50/AZ54</f>
        <v>0.99019607843137258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1</v>
      </c>
      <c r="BD50" s="126" cm="1">
        <f t="array" ref="BD50">SUMPRODUCT(($E$7:$E$78=AE50)*($X$7:$X$78)*($F$7:$F$78))+SUMPRODUCT(($H$7:$H$78=AE50)*($X$7:$X$78)*($G$7:$G$78))</f>
        <v>1</v>
      </c>
      <c r="BE50" s="126" cm="1">
        <f t="array" ref="BE50">SUMPRODUCT(($E$7:$E$78=AE50)*($X$7:$X$78)*($G$7:$G$78))+SUMPRODUCT(($H$7:$H$78=AE50)*($X$7:$X$78)*($F$7:$F$78))</f>
        <v>1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101</v>
      </c>
      <c r="BI50" s="126">
        <f>BH50/BH54</f>
        <v>0.99019607843137258</v>
      </c>
      <c r="BK50" s="131">
        <v>79</v>
      </c>
      <c r="BL50" s="24" t="str">
        <f>AS8</f>
        <v>Mexico</v>
      </c>
      <c r="BM50" s="61">
        <v>2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2000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1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2</v>
      </c>
      <c r="M51" s="31">
        <f>VLOOKUP(1,AD50:AN53,4,FALSE)</f>
        <v>1</v>
      </c>
      <c r="N51" s="31">
        <f>VLOOKUP(1,AD50:AN53,5,FALSE)</f>
        <v>0</v>
      </c>
      <c r="O51" s="31" t="str">
        <f>VLOOKUP(1,AD50:AN53,6,FALSE) &amp; " - " &amp; VLOOKUP(1,AD50:AN53,7,FALSE)</f>
        <v>8 - 2</v>
      </c>
      <c r="P51" s="32">
        <f>L51*3+M51</f>
        <v>7</v>
      </c>
      <c r="R51" s="123">
        <f>DATE(2026,6,23)+TIME(9,0,0)+gmt_delta</f>
        <v>46196.916666666664</v>
      </c>
      <c r="S51" s="127" t="str">
        <f t="shared" si="19"/>
        <v>England_draw</v>
      </c>
      <c r="T51" s="127" t="str">
        <f t="shared" si="20"/>
        <v>Ghana_draw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0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6</v>
      </c>
      <c r="AL51" s="123">
        <f>AI51-AJ51</f>
        <v>-5</v>
      </c>
      <c r="AM51" s="123">
        <f>AL51-AL54</f>
        <v>0</v>
      </c>
      <c r="AN51" s="123">
        <f>AF51*3+AG51</f>
        <v>1</v>
      </c>
      <c r="AO51" s="123">
        <f>AN51/AN54*10+BA51</f>
        <v>2.2401960784313726</v>
      </c>
      <c r="AP51" s="123">
        <f>AO51*10000000+BI51*100+AM51/AM54*10+AI51/AI54*1++IF(AQ51=0,ROW(),AQ51)/2000000</f>
        <v>22402059.915715747</v>
      </c>
      <c r="AQ51" s="126">
        <f>VLOOKUP(AE51,db_fifarank,2,FALSE)</f>
        <v>1366.13</v>
      </c>
      <c r="AR51" s="125">
        <f>AP51/AP54</f>
        <v>0.22999572511984495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1</v>
      </c>
      <c r="AW51" s="126" cm="1">
        <f t="array" ref="AW51">SUMPRODUCT(($E$7:$E$78=AE51)*($U$7:$U$78)*($G$7:$G$78))+SUMPRODUCT(($H$7:$H$78=AE51)*($U$7:$U$78)*($F$7:$F$78))</f>
        <v>1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101</v>
      </c>
      <c r="BA51" s="126">
        <f>AZ51/AZ54</f>
        <v>0.99019607843137258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1</v>
      </c>
      <c r="BE51" s="126" cm="1">
        <f t="array" ref="BE51">SUMPRODUCT(($E$7:$E$78=AE51)*($X$7:$X$78)*($G$7:$G$78))+SUMPRODUCT(($H$7:$H$78=AE51)*($X$7:$X$78)*($F$7:$F$78))</f>
        <v>1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101</v>
      </c>
      <c r="BI51" s="126">
        <f>BH51/BH54</f>
        <v>0.99019607843137258</v>
      </c>
      <c r="BK51" s="132"/>
      <c r="BL51" s="26" t="str">
        <f>IF(group_round_completed,VLOOKUP('3rd places'!D3,AK80:AS91,9,FALSE),"3rd Group C/E/F/H/I")</f>
        <v>Ecuador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3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1</v>
      </c>
      <c r="N52" s="23">
        <f>VLOOKUP(2,AD50:AN53,5,FALSE)</f>
        <v>0</v>
      </c>
      <c r="O52" s="23" t="str">
        <f>VLOOKUP(2,AD50:AN53,6,FALSE) &amp; " - " &amp; VLOOKUP(2,AD50:AN53,7,FALSE)</f>
        <v>4 - 1</v>
      </c>
      <c r="P52" s="34">
        <f>L52*3+M52</f>
        <v>7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2</v>
      </c>
      <c r="AJ52" s="123">
        <f>SUMIF($E$7:$E$78,$AE52,$G$7:$G$78) + SUMIF($H$7:$H$78,$AE52,$F$7:$F$78)</f>
        <v>6</v>
      </c>
      <c r="AL52" s="123">
        <f>AI52-AJ52</f>
        <v>-4</v>
      </c>
      <c r="AM52" s="123">
        <f>AL52-AL54</f>
        <v>1</v>
      </c>
      <c r="AN52" s="123">
        <f>AF52*3+AG52</f>
        <v>1</v>
      </c>
      <c r="AO52" s="123">
        <f>AN52/AN54*10+BA52</f>
        <v>2.2401960784313726</v>
      </c>
      <c r="AP52" s="123">
        <f>AO52*10000000+BI52*100+AM52/AM54*10+AI52/AI54*1++IF(AQ52=0,ROW(),AQ52)/2000000</f>
        <v>22402060.86018784</v>
      </c>
      <c r="AQ52" s="126">
        <f>VLOOKUP(AE52,db_fifarank,2,FALSE)</f>
        <v>1421.43</v>
      </c>
      <c r="AR52" s="125">
        <f>AP52/AP54</f>
        <v>0.22999573481647753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1</v>
      </c>
      <c r="AW52" s="126" cm="1">
        <f t="array" ref="AW52">SUMPRODUCT(($E$7:$E$78=AE52)*($U$7:$U$78)*($G$7:$G$78))+SUMPRODUCT(($H$7:$H$78=AE52)*($U$7:$U$78)*($F$7:$F$78))</f>
        <v>1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101</v>
      </c>
      <c r="BA52" s="126">
        <f>AZ52/AZ54</f>
        <v>0.99019607843137258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1</v>
      </c>
      <c r="BE52" s="126" cm="1">
        <f t="array" ref="BE52">SUMPRODUCT(($E$7:$E$78=AE52)*($X$7:$X$78)*($G$7:$G$78))+SUMPRODUCT(($H$7:$H$78=AE52)*($X$7:$X$78)*($F$7:$F$78))</f>
        <v>1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101</v>
      </c>
      <c r="BI52" s="126">
        <f>BH52/BH54</f>
        <v>0.99019607843137258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1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1000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4</v>
      </c>
      <c r="G53" s="20">
        <v>1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2 - 6</v>
      </c>
      <c r="P53" s="34">
        <f>L53*3+M53</f>
        <v>1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1</v>
      </c>
      <c r="AH53" s="123">
        <f>COUNTIF($S$7:$T$78,"=" &amp; AE53 &amp; "_lose")</f>
        <v>0</v>
      </c>
      <c r="AI53" s="123">
        <f>SUMIF($E$7:$E$78,$AE53,$F$7:$F$78) + SUMIF($H$7:$H$78,$AE53,$G$7:$G$78)</f>
        <v>4</v>
      </c>
      <c r="AJ53" s="123">
        <f>SUMIF($E$7:$E$78,$AE53,$G$7:$G$78) + SUMIF($H$7:$H$78,$AE53,$F$7:$F$78)</f>
        <v>1</v>
      </c>
      <c r="AL53" s="123">
        <f>AI53-AJ53</f>
        <v>3</v>
      </c>
      <c r="AM53" s="123">
        <f>AL53-AL54</f>
        <v>8</v>
      </c>
      <c r="AN53" s="123">
        <f>AF53*3+AG53</f>
        <v>7</v>
      </c>
      <c r="AO53" s="123">
        <f>AN53/AN54*10+BA53</f>
        <v>9.7401960784313726</v>
      </c>
      <c r="AP53" s="123">
        <f>AO53*10000000+BI53*100+AM53/AM54*10+AI53/AI54*1++IF(AQ53=0,ROW(),AQ53)/2000000</f>
        <v>97402066.915869221</v>
      </c>
      <c r="AQ53" s="126">
        <f>VLOOKUP(AE53,db_fifarank,2,FALSE)</f>
        <v>1673.07</v>
      </c>
      <c r="AR53" s="125">
        <f>AP53/AP54</f>
        <v>0.99999995950244092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1</v>
      </c>
      <c r="AV53" s="126" cm="1">
        <f t="array" ref="AV53">SUMPRODUCT(($E$7:$E$78=AE53)*($U$7:$U$78)*($F$7:$F$78))+SUMPRODUCT(($H$7:$H$78=AE53)*($U$7:$U$78)*($G$7:$G$78))</f>
        <v>1</v>
      </c>
      <c r="AW53" s="126" cm="1">
        <f t="array" ref="AW53">SUMPRODUCT(($E$7:$E$78=AE53)*($U$7:$U$78)*($G$7:$G$78))+SUMPRODUCT(($H$7:$H$78=AE53)*($U$7:$U$78)*($F$7:$F$78))</f>
        <v>1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101</v>
      </c>
      <c r="BA53" s="126">
        <f>AZ53/AZ54</f>
        <v>0.99019607843137258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1</v>
      </c>
      <c r="BD53" s="126" cm="1">
        <f t="array" ref="BD53">SUMPRODUCT(($E$7:$E$78=AE53)*($X$7:$X$78)*($F$7:$F$78))+SUMPRODUCT(($H$7:$H$78=AE53)*($X$7:$X$78)*($G$7:$G$78))</f>
        <v>1</v>
      </c>
      <c r="BE53" s="126" cm="1">
        <f t="array" ref="BE53">SUMPRODUCT(($E$7:$E$78=AE53)*($X$7:$X$78)*($G$7:$G$78))+SUMPRODUCT(($H$7:$H$78=AE53)*($X$7:$X$78)*($F$7:$F$78))</f>
        <v>1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101</v>
      </c>
      <c r="BI53" s="126">
        <f>BH53/BH54</f>
        <v>0.99019607843137258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2</v>
      </c>
      <c r="BU53" s="64"/>
      <c r="BV53" s="27"/>
      <c r="BW53" s="112">
        <f>IF(BW52="","",BT53*1000+BU53*10+BV53)</f>
        <v>2000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1 - 6</v>
      </c>
      <c r="P54" s="37">
        <f>L54*3+M54</f>
        <v>1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3</v>
      </c>
      <c r="AG54" s="123">
        <f t="shared" si="25"/>
        <v>1</v>
      </c>
      <c r="AH54" s="123">
        <f t="shared" si="25"/>
        <v>3</v>
      </c>
      <c r="AI54" s="123">
        <f>MAX(AI50:AI53)+1</f>
        <v>9</v>
      </c>
      <c r="AL54" s="123">
        <f>MIN(AL50:AL53)</f>
        <v>-5</v>
      </c>
      <c r="AM54" s="123">
        <f>MAX(AM50:AM53)+1</f>
        <v>12</v>
      </c>
      <c r="AN54" s="123">
        <f>MAX(AN50:AN53)+1</f>
        <v>8</v>
      </c>
      <c r="AO54" s="123">
        <f>MAX(AO50:AO53)+1</f>
        <v>10.740196078431373</v>
      </c>
      <c r="AP54" s="123">
        <f>MAX(AP50:AP53)+1</f>
        <v>97402070.860415339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102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102</v>
      </c>
      <c r="BK54" s="131">
        <v>80</v>
      </c>
      <c r="BL54" s="24" t="str">
        <f>AS74</f>
        <v>England</v>
      </c>
      <c r="BM54" s="61">
        <v>3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3000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1</v>
      </c>
      <c r="G55" s="20">
        <v>3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Norway</v>
      </c>
      <c r="BM55" s="62">
        <v>1</v>
      </c>
      <c r="BN55" s="64"/>
      <c r="BO55" s="27"/>
      <c r="BP55" s="112">
        <f>IF(BP54="","",BM55*1000+BN55*10+BO55)</f>
        <v>1000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2</v>
      </c>
      <c r="CI55" s="63">
        <v>2</v>
      </c>
      <c r="CJ55" s="25"/>
      <c r="CK55" s="116">
        <f>IF(OR(CH55="",CH56="",AND(CI55="",CI56&lt;&gt;""),AND(CI56="",CI55&lt;&gt;""),AND(CJ55="",CJ56&lt;&gt;""),AND(CJ56="",CJ55&lt;&gt;"")),"",CH55*1000+CI55*10+CJ55)</f>
        <v>2020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4</v>
      </c>
      <c r="G56" s="20">
        <v>1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2</v>
      </c>
      <c r="AG56" s="123">
        <f>COUNTIF($S$7:$T$78,"=" &amp; AE56 &amp; "_draw")</f>
        <v>1</v>
      </c>
      <c r="AH56" s="123">
        <f>COUNTIF($S$7:$T$78,"=" &amp; AE56 &amp; "_lose")</f>
        <v>0</v>
      </c>
      <c r="AI56" s="123">
        <f>SUMIF($E$7:$E$78,$AE56,$F$7:$F$78) + SUMIF($H$7:$H$78,$AE56,$G$7:$G$78)</f>
        <v>8</v>
      </c>
      <c r="AJ56" s="123">
        <f>SUMIF($E$7:$E$78,$AE56,$G$7:$G$78) + SUMIF($H$7:$H$78,$AE56,$F$7:$F$78)</f>
        <v>2</v>
      </c>
      <c r="AL56" s="123">
        <f>AI56-AJ56</f>
        <v>6</v>
      </c>
      <c r="AM56" s="123">
        <f>AL56-AL60</f>
        <v>12</v>
      </c>
      <c r="AN56" s="123">
        <f>AF56*3+AG56</f>
        <v>7</v>
      </c>
      <c r="AO56" s="123">
        <f>AN56/AN60*10+BA56</f>
        <v>8.75</v>
      </c>
      <c r="AP56" s="123">
        <f>AO56*10000000+BI56*100+AM56/AM60*10+AI56/AI60*1++IF(AQ56=0,ROW(),AQ56)/2000000</f>
        <v>87500010.120596781</v>
      </c>
      <c r="AQ56" s="126">
        <f>VLOOKUP(AE56,db_fifarank,2,FALSE)</f>
        <v>1877.32</v>
      </c>
      <c r="AR56" s="125">
        <f>AP56/AP60</f>
        <v>0.99999998857143002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Argentina</v>
      </c>
      <c r="CH56" s="62">
        <v>2</v>
      </c>
      <c r="CI56" s="64">
        <v>3</v>
      </c>
      <c r="CJ56" s="27"/>
      <c r="CK56" s="112">
        <f>IF(CK55="","",CH56*1000+CI56*10+CJ56)</f>
        <v>2030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0</v>
      </c>
      <c r="G57" s="20">
        <v>0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2</v>
      </c>
      <c r="M57" s="31">
        <f>VLOOKUP(1,AD56:AN59,4,FALSE)</f>
        <v>1</v>
      </c>
      <c r="N57" s="31">
        <f>VLOOKUP(1,AD56:AN59,5,FALSE)</f>
        <v>0</v>
      </c>
      <c r="O57" s="31" t="str">
        <f>VLOOKUP(1,AD56:AN59,6,FALSE) &amp; " - " &amp; VLOOKUP(1,AD56:AN59,7,FALSE)</f>
        <v>8 - 2</v>
      </c>
      <c r="P57" s="32">
        <f>L57*3+M57</f>
        <v>7</v>
      </c>
      <c r="R57" s="123">
        <f>DATE(2026,6,24)+TIME(8,0,0)+gmt_delta</f>
        <v>46197.875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1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2</v>
      </c>
      <c r="AH57" s="123">
        <f>COUNTIF($S$7:$T$78,"=" &amp; AE57 &amp; "_lose")</f>
        <v>0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2</v>
      </c>
      <c r="AL57" s="123">
        <f>AI57-AJ57</f>
        <v>2</v>
      </c>
      <c r="AM57" s="123">
        <f>AL57-AL60</f>
        <v>8</v>
      </c>
      <c r="AN57" s="123">
        <f>AF57*3+AG57</f>
        <v>5</v>
      </c>
      <c r="AO57" s="123">
        <f>AN57/AN60*10+BA57</f>
        <v>6.25</v>
      </c>
      <c r="AP57" s="123">
        <f>AO57*10000000+BI57*100+AM57/AM60*10+AI57/AI60*1++IF(AQ57=0,ROW(),AQ57)/2000000</f>
        <v>62500006.599135093</v>
      </c>
      <c r="AQ57" s="126">
        <f>VLOOKUP(AE57,db_fifarank,2,FALSE)</f>
        <v>1688.99</v>
      </c>
      <c r="AR57" s="125">
        <f>AP57/AP60</f>
        <v>0.71428569892402116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3</v>
      </c>
      <c r="G58" s="20">
        <v>0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1</v>
      </c>
      <c r="M58" s="23">
        <f>VLOOKUP(2,AD56:AN59,4,FALSE)</f>
        <v>2</v>
      </c>
      <c r="N58" s="23">
        <f>VLOOKUP(2,AD56:AN59,5,FALSE)</f>
        <v>0</v>
      </c>
      <c r="O58" s="23" t="str">
        <f>VLOOKUP(2,AD56:AN59,6,FALSE) &amp; " - " &amp; VLOOKUP(2,AD56:AN59,7,FALSE)</f>
        <v>4 - 2</v>
      </c>
      <c r="P58" s="34">
        <f>L58*3+M58</f>
        <v>5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1</v>
      </c>
      <c r="AJ58" s="123">
        <f>SUMIF($E$7:$E$78,$AE58,$G$7:$G$78) + SUMIF($H$7:$H$78,$AE58,$F$7:$F$78)</f>
        <v>7</v>
      </c>
      <c r="AL58" s="123">
        <f>AI58-AJ58</f>
        <v>-6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0.11183468111111111</v>
      </c>
      <c r="AQ58" s="126">
        <f>VLOOKUP(AE58,db_fifarank,2,FALSE)</f>
        <v>1447.14</v>
      </c>
      <c r="AR58" s="125">
        <f>AP58/AP60</f>
        <v>1.2781104788315409E-9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3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3000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2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4 - 6</v>
      </c>
      <c r="P59" s="34">
        <f>L59*3+M59</f>
        <v>4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1</v>
      </c>
      <c r="AH59" s="123">
        <f>COUNTIF($S$7:$T$78,"=" &amp; AE59 &amp; "_lose")</f>
        <v>1</v>
      </c>
      <c r="AI59" s="123">
        <f>SUMIF($E$7:$E$78,$AE59,$F$7:$F$78) + SUMIF($H$7:$H$78,$AE59,$G$7:$G$78)</f>
        <v>4</v>
      </c>
      <c r="AJ59" s="123">
        <f>SUMIF($E$7:$E$78,$AE59,$G$7:$G$78) + SUMIF($H$7:$H$78,$AE59,$F$7:$F$78)</f>
        <v>6</v>
      </c>
      <c r="AL59" s="123">
        <f>AI59-AJ59</f>
        <v>-2</v>
      </c>
      <c r="AM59" s="123">
        <f>AL59-AL60</f>
        <v>4</v>
      </c>
      <c r="AN59" s="123">
        <f>AF59*3+AG59</f>
        <v>4</v>
      </c>
      <c r="AO59" s="123">
        <f>AN59/AN60*10+BA59</f>
        <v>5</v>
      </c>
      <c r="AP59" s="123">
        <f>AO59*10000000+BI59*100+AM59/AM60*10+AI59/AI60*1++IF(AQ59=0,ROW(),AQ59)/2000000</f>
        <v>50000003.522142999</v>
      </c>
      <c r="AQ59" s="126">
        <f>VLOOKUP(AE59,db_fifarank,2,FALSE)</f>
        <v>1550.94</v>
      </c>
      <c r="AR59" s="125">
        <f>AP59/AP60</f>
        <v>0.57142853905733293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1</v>
      </c>
      <c r="BN59" s="64"/>
      <c r="BO59" s="27"/>
      <c r="BP59" s="113">
        <f>IF(BP58="","",BM59*1000+BN59*10+BO59)</f>
        <v>1000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4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1 - 7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Africa_win</v>
      </c>
      <c r="T60" s="127" t="str">
        <f t="shared" si="20"/>
        <v>Korea Republic_lose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1</v>
      </c>
      <c r="AF60" s="123">
        <f t="shared" ref="AF60:AH60" si="27">MAX(AF56:AF59)-MIN(AF56:AF59)+1</f>
        <v>3</v>
      </c>
      <c r="AG60" s="123">
        <f t="shared" si="27"/>
        <v>3</v>
      </c>
      <c r="AH60" s="123">
        <f t="shared" si="27"/>
        <v>4</v>
      </c>
      <c r="AI60" s="123">
        <f>MAX(AI56:AI59)+1</f>
        <v>9</v>
      </c>
      <c r="AL60" s="123">
        <f>MIN(AL56:AL59)</f>
        <v>-6</v>
      </c>
      <c r="AM60" s="123">
        <f>MAX(AM56:AM59)+1</f>
        <v>13</v>
      </c>
      <c r="AN60" s="123">
        <f>MAX(AN56:AN59)+1</f>
        <v>8</v>
      </c>
      <c r="AO60" s="123">
        <f>MAX(AO56:AO59)+1</f>
        <v>9.75</v>
      </c>
      <c r="AP60" s="123">
        <f>MAX(AP56:AP59)+1</f>
        <v>87500011.120596781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3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3000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1</v>
      </c>
      <c r="G61" s="20">
        <v>4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Egypt</v>
      </c>
      <c r="BT61" s="62">
        <v>1</v>
      </c>
      <c r="BU61" s="64"/>
      <c r="BV61" s="27"/>
      <c r="BW61" s="113">
        <f>IF(BW60="","",BT61*1000+BU61*10+BV61)</f>
        <v>1000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3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7</v>
      </c>
      <c r="AJ62" s="123">
        <f>SUMIF($E$7:$E$78,$AE62,$G$7:$G$78) + SUMIF($H$7:$H$78,$AE62,$F$7:$F$78)</f>
        <v>1</v>
      </c>
      <c r="AL62" s="123">
        <f>AI62-AJ62</f>
        <v>6</v>
      </c>
      <c r="AM62" s="123">
        <f>AL62-AL66</f>
        <v>12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90000010.106706649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Turkey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1</v>
      </c>
      <c r="G63" s="20">
        <v>2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7 - 1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Japan_lose</v>
      </c>
      <c r="T63" s="127" t="str">
        <f t="shared" si="20"/>
        <v>Sweden_win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-1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1</v>
      </c>
      <c r="AH63" s="123">
        <f>COUNTIF($S$7:$T$78,"=" &amp; AE63 &amp; "_lose")</f>
        <v>1</v>
      </c>
      <c r="AI63" s="123">
        <f>SUMIF($E$7:$E$78,$AE63,$F$7:$F$78) + SUMIF($H$7:$H$78,$AE63,$G$7:$G$78)</f>
        <v>4</v>
      </c>
      <c r="AJ63" s="123">
        <f>SUMIF($E$7:$E$78,$AE63,$G$7:$G$78) + SUMIF($H$7:$H$78,$AE63,$F$7:$F$78)</f>
        <v>4</v>
      </c>
      <c r="AL63" s="123">
        <f>AI63-AJ63</f>
        <v>0</v>
      </c>
      <c r="AM63" s="123">
        <f>AL63-AL66</f>
        <v>6</v>
      </c>
      <c r="AN63" s="123">
        <f>AF63*3+AG63</f>
        <v>4</v>
      </c>
      <c r="AO63" s="123">
        <f>AN63/AN66*10+BA63</f>
        <v>4.9805825242718447</v>
      </c>
      <c r="AP63" s="123">
        <f>AO63*10000000+BI63*100+AM63/AM66*10+AI63/AI66*1++IF(AQ63=0,ROW(),AQ63)/2000000</f>
        <v>49805928.417137615</v>
      </c>
      <c r="AQ63" s="126">
        <f>VLOOKUP(AE63,db_fifarank,2,FALSE)</f>
        <v>1564.26</v>
      </c>
      <c r="AR63" s="125">
        <f>AP63/AP66</f>
        <v>0.55339913634106386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1</v>
      </c>
      <c r="AW63" s="126" cm="1">
        <f t="array" ref="AW63">SUMPRODUCT(($E$7:$E$78=AE63)*($U$7:$U$78)*($G$7:$G$78))+SUMPRODUCT(($H$7:$H$78=AE63)*($U$7:$U$78)*($F$7:$F$78))</f>
        <v>1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50.5</v>
      </c>
      <c r="BA63" s="126">
        <f>AZ63/AZ66</f>
        <v>0.98058252427184467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1</v>
      </c>
      <c r="BE63" s="126" cm="1">
        <f t="array" ref="BE63">SUMPRODUCT(($E$7:$E$78=AE63)*($X$7:$X$78)*($G$7:$G$78))+SUMPRODUCT(($H$7:$H$78=AE63)*($X$7:$X$78)*($F$7:$F$78))</f>
        <v>1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50.5</v>
      </c>
      <c r="BI63" s="126">
        <f>BH63/BH66</f>
        <v>0.98058252427184467</v>
      </c>
      <c r="BK63" s="132"/>
      <c r="BL63" s="26" t="str">
        <f>AS45</f>
        <v>Egypt</v>
      </c>
      <c r="BM63" s="62">
        <v>3</v>
      </c>
      <c r="BN63" s="64"/>
      <c r="BO63" s="27"/>
      <c r="BP63" s="112">
        <f>IF(BP62="","",BM63*1000+BN63*10+BO63)</f>
        <v>3000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2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1</v>
      </c>
      <c r="G64" s="20">
        <v>3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4 - 4</v>
      </c>
      <c r="P64" s="34">
        <f>L64*3+M64</f>
        <v>4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4</v>
      </c>
      <c r="AL64" s="123">
        <f>AI64-AJ64</f>
        <v>0</v>
      </c>
      <c r="AM64" s="123">
        <f>AL64-AL66</f>
        <v>6</v>
      </c>
      <c r="AN64" s="123">
        <f>AF64*3+AG64</f>
        <v>4</v>
      </c>
      <c r="AO64" s="123">
        <f>AN64/AN66*10+BA64</f>
        <v>4.9805825242718447</v>
      </c>
      <c r="AP64" s="123">
        <f>AO64*10000000+BI64*100+AM64/AM66*10+AI64/AI66*1++IF(AQ64=0,ROW(),AQ64)/2000000</f>
        <v>49805928.417152211</v>
      </c>
      <c r="AQ64" s="126">
        <f>VLOOKUP(AE64,db_fifarank,2,FALSE)</f>
        <v>1593.45</v>
      </c>
      <c r="AR64" s="125">
        <f>AP64/AP66</f>
        <v>0.55339913634122606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1</v>
      </c>
      <c r="AV64" s="126" cm="1">
        <f t="array" ref="AV64">SUMPRODUCT(($E$7:$E$78=AE64)*($U$7:$U$78)*($F$7:$F$78))+SUMPRODUCT(($H$7:$H$78=AE64)*($U$7:$U$78)*($G$7:$G$78))</f>
        <v>1</v>
      </c>
      <c r="AW64" s="126" cm="1">
        <f t="array" ref="AW64">SUMPRODUCT(($E$7:$E$78=AE64)*($U$7:$U$78)*($G$7:$G$78))+SUMPRODUCT(($H$7:$H$78=AE64)*($U$7:$U$78)*($F$7:$F$78))</f>
        <v>1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50.5</v>
      </c>
      <c r="BA64" s="126">
        <f>AZ64/AZ66</f>
        <v>0.98058252427184467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1</v>
      </c>
      <c r="BD64" s="126" cm="1">
        <f t="array" ref="BD64">SUMPRODUCT(($E$7:$E$78=AE64)*($X$7:$X$78)*($F$7:$F$78))+SUMPRODUCT(($H$7:$H$78=AE64)*($X$7:$X$78)*($G$7:$G$78))</f>
        <v>1</v>
      </c>
      <c r="BE64" s="126" cm="1">
        <f t="array" ref="BE64">SUMPRODUCT(($E$7:$E$78=AE64)*($X$7:$X$78)*($G$7:$G$78))+SUMPRODUCT(($H$7:$H$78=AE64)*($X$7:$X$78)*($F$7:$F$78))</f>
        <v>1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50.5</v>
      </c>
      <c r="BI64" s="126">
        <f>BH64/BH66</f>
        <v>0.98058252427184467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1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1000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0</v>
      </c>
      <c r="G65" s="20">
        <v>0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1</v>
      </c>
      <c r="N65" s="23">
        <f>VLOOKUP(3,AD62:AN65,5,FALSE)</f>
        <v>1</v>
      </c>
      <c r="O65" s="23" t="str">
        <f>VLOOKUP(3,AD62:AN65,6,FALSE) &amp; " - " &amp; VLOOKUP(3,AD62:AN65,7,FALSE)</f>
        <v>4 - 4</v>
      </c>
      <c r="P65" s="34">
        <f>L65*3+M65</f>
        <v>4</v>
      </c>
      <c r="R65" s="123">
        <f>DATE(2026,6,25)+TIME(15,0,0)+gmt_delta</f>
        <v>46199.166666666664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1</v>
      </c>
      <c r="V65" s="123">
        <f t="shared" si="21"/>
        <v>0</v>
      </c>
      <c r="W65" s="123">
        <f t="shared" si="22"/>
        <v>0</v>
      </c>
      <c r="X65" s="123">
        <f t="shared" si="9"/>
        <v>1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1</v>
      </c>
      <c r="AJ65" s="123">
        <f>SUMIF($E$7:$E$78,$AE65,$G$7:$G$78) + SUMIF($H$7:$H$78,$AE65,$F$7:$F$78)</f>
        <v>7</v>
      </c>
      <c r="AL65" s="123">
        <f>AI65-AJ65</f>
        <v>-6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0.12569572500000001</v>
      </c>
      <c r="AQ65" s="126">
        <f>VLOOKUP(AE65,db_fifarank,2,FALSE)</f>
        <v>1391.45</v>
      </c>
      <c r="AR65" s="125">
        <f>AP65/AP66</f>
        <v>1.3966189943129172E-9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0</v>
      </c>
      <c r="CB65" s="64"/>
      <c r="CC65" s="27"/>
      <c r="CD65" s="112">
        <f>IF(CD64="","",CA65*1000+CB65*10+CC65)</f>
        <v>0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2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1 - 7</v>
      </c>
      <c r="P66" s="37">
        <f>L66*3+M66</f>
        <v>0</v>
      </c>
      <c r="R66" s="123">
        <f>DATE(2026,6,25)+TIME(15,0,0)+gmt_delta</f>
        <v>46199.166666666664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4</v>
      </c>
      <c r="AI66" s="123">
        <f>MAX(AI62:AI65)+1</f>
        <v>8</v>
      </c>
      <c r="AL66" s="123">
        <f>MIN(AL62:AL65)</f>
        <v>-6</v>
      </c>
      <c r="AM66" s="123">
        <f>MAX(AM62:AM65)+1</f>
        <v>13</v>
      </c>
      <c r="AN66" s="123">
        <f>MAX(AN62:AN65)+1</f>
        <v>10</v>
      </c>
      <c r="AO66" s="123">
        <f>MAX(AO62:AO65)+1</f>
        <v>10</v>
      </c>
      <c r="AP66" s="123">
        <f>MAX(AP62:AP65)+1</f>
        <v>90000011.106706649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2</v>
      </c>
      <c r="AW66" s="126">
        <f>MAX(AW62:AW65)-MIN(AW62:AW65)+1</f>
        <v>2</v>
      </c>
      <c r="AY66" s="126">
        <f>MAX(AY62:AY65)-MIN(AY62:AY65)+1</f>
        <v>1</v>
      </c>
      <c r="AZ66" s="126">
        <f>MAX(AZ62:AZ65)+1</f>
        <v>51.5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2</v>
      </c>
      <c r="BE66" s="126">
        <f>MAX(BE62:BE65)-MIN(BE62:BE65)+1</f>
        <v>2</v>
      </c>
      <c r="BG66" s="126">
        <f>MAX(BG62:BG65)-MIN(BG62:BG65)+1</f>
        <v>1</v>
      </c>
      <c r="BH66" s="126">
        <f>MAX(BH62:BH65)+1</f>
        <v>51.5</v>
      </c>
      <c r="BK66" s="131">
        <v>85</v>
      </c>
      <c r="BL66" s="24" t="str">
        <f>AS14</f>
        <v>Bosnia and Herzegovina</v>
      </c>
      <c r="BM66" s="61">
        <v>1</v>
      </c>
      <c r="BN66" s="63">
        <v>2</v>
      </c>
      <c r="BO66" s="25"/>
      <c r="BP66" s="112">
        <f>IF(OR(BM66="",BM67="",AND(BN66="",BN67&lt;&gt;""),AND(BN67="",BN66&lt;&gt;""),AND(BO66="",BO67&lt;&gt;""),AND(BO67="",BO66&lt;&gt;"")),"",BM66*1000+BN66*10+BO66)</f>
        <v>1020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4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Algeria</v>
      </c>
      <c r="BM67" s="62">
        <v>1</v>
      </c>
      <c r="BN67" s="64">
        <v>1</v>
      </c>
      <c r="BO67" s="27"/>
      <c r="BP67" s="113">
        <f>IF(BP66="","",BM67*1000+BN67*10+BO67)</f>
        <v>1010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8</v>
      </c>
      <c r="AJ68" s="123">
        <f>SUMIF($E$7:$E$78,$AE68,$G$7:$G$78) + SUMIF($H$7:$H$78,$AE68,$F$7:$F$78)</f>
        <v>3</v>
      </c>
      <c r="AL68" s="123">
        <f>AI68-AJ68</f>
        <v>5</v>
      </c>
      <c r="AM68" s="123">
        <f>AL68-AL72</f>
        <v>11</v>
      </c>
      <c r="AN68" s="123">
        <f>AF68*3+AG68</f>
        <v>7</v>
      </c>
      <c r="AO68" s="123">
        <f>AN68/AN72*10+BA68</f>
        <v>9.7305825242718456</v>
      </c>
      <c r="AP68" s="123">
        <f>AO68*10000000+BI68*100+AM68/AM72*10+AI68/AI72*1++IF(AQ68=0,ROW(),AQ68)/2000000</f>
        <v>97305933.35740836</v>
      </c>
      <c r="AQ68" s="126">
        <f>VLOOKUP(AE68,db_fifarank,2,FALSE)</f>
        <v>1763.83</v>
      </c>
      <c r="AR68" s="125">
        <f>AP68/AP72</f>
        <v>0.99999998972313453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1</v>
      </c>
      <c r="AV68" s="126" cm="1">
        <f t="array" ref="AV68">SUMPRODUCT(($E$7:$E$78=AE68)*($U$7:$U$78)*($F$7:$F$78))+SUMPRODUCT(($H$7:$H$78=AE68)*($U$7:$U$78)*($G$7:$G$78))</f>
        <v>1</v>
      </c>
      <c r="AW68" s="126" cm="1">
        <f t="array" ref="AW68">SUMPRODUCT(($E$7:$E$78=AE68)*($U$7:$U$78)*($G$7:$G$78))+SUMPRODUCT(($H$7:$H$78=AE68)*($U$7:$U$78)*($F$7:$F$78))</f>
        <v>1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50.5</v>
      </c>
      <c r="BA68" s="126">
        <f>AZ68/AZ72</f>
        <v>0.98058252427184467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1</v>
      </c>
      <c r="BD68" s="126" cm="1">
        <f t="array" ref="BD68">SUMPRODUCT(($E$7:$E$78=AE68)*($X$7:$X$78)*($F$7:$F$78))+SUMPRODUCT(($H$7:$H$78=AE68)*($X$7:$X$78)*($G$7:$G$78))</f>
        <v>1</v>
      </c>
      <c r="BE68" s="126" cm="1">
        <f t="array" ref="BE68">SUMPRODUCT(($E$7:$E$78=AE68)*($X$7:$X$78)*($G$7:$G$78))+SUMPRODUCT(($H$7:$H$78=AE68)*($X$7:$X$78)*($F$7:$F$78))</f>
        <v>1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50.5</v>
      </c>
      <c r="BI68" s="126">
        <f>BH68/BH72</f>
        <v>0.98058252427184467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Bosnia and Herzegovina</v>
      </c>
      <c r="BT68" s="61">
        <v>1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1000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Argentina</v>
      </c>
      <c r="CL68" s="153"/>
      <c r="CM68" s="153"/>
      <c r="CN68" s="153"/>
      <c r="CO68" s="153"/>
      <c r="CP68" s="153"/>
      <c r="CQ68" s="153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3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8 - 3</v>
      </c>
      <c r="P69" s="32">
        <f>L69*3+M69</f>
        <v>7</v>
      </c>
      <c r="R69" s="123">
        <f>DATE(2026,6,26)+TIME(16,0,0)+gmt_delta</f>
        <v>46200.208333333328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1</v>
      </c>
      <c r="AG69" s="123">
        <f>COUNTIF($S$7:$T$78,"=" &amp; AE69 &amp; "_draw")</f>
        <v>0</v>
      </c>
      <c r="AH69" s="123">
        <f>COUNTIF($S$7:$T$78,"=" &amp; AE69 &amp; "_lose")</f>
        <v>2</v>
      </c>
      <c r="AI69" s="123">
        <f>SUMIF($E$7:$E$78,$AE69,$F$7:$F$78) + SUMIF($H$7:$H$78,$AE69,$G$7:$G$78)</f>
        <v>4</v>
      </c>
      <c r="AJ69" s="123">
        <f>SUMIF($E$7:$E$78,$AE69,$G$7:$G$78) + SUMIF($H$7:$H$78,$AE69,$F$7:$F$78)</f>
        <v>6</v>
      </c>
      <c r="AL69" s="123">
        <f>AI69-AJ69</f>
        <v>-2</v>
      </c>
      <c r="AM69" s="123">
        <f>AL69-AL72</f>
        <v>4</v>
      </c>
      <c r="AN69" s="123">
        <f>AF69*3+AG69</f>
        <v>3</v>
      </c>
      <c r="AO69" s="123">
        <f>AN69/AN72*10+BA69</f>
        <v>3.75</v>
      </c>
      <c r="AP69" s="123">
        <f>AO69*10000000+BI69*100+AM69/AM72*10+AI69/AI72*1++IF(AQ69=0,ROW(),AQ69)/2000000</f>
        <v>37500003.778516956</v>
      </c>
      <c r="AQ69" s="126">
        <f>VLOOKUP(AE69,db_fifarank,2,FALSE)</f>
        <v>1478.35</v>
      </c>
      <c r="AR69" s="125">
        <f>AP69/AP72</f>
        <v>0.38538249518038675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2</v>
      </c>
      <c r="BU69" s="64"/>
      <c r="BV69" s="27"/>
      <c r="BW69" s="112">
        <f>IF(BW68="","",BT69*1000+BU69*10+BV69)</f>
        <v>2000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4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1</v>
      </c>
      <c r="N70" s="23">
        <f>VLOOKUP(2,AD68:AN71,5,FALSE)</f>
        <v>0</v>
      </c>
      <c r="O70" s="23" t="str">
        <f>VLOOKUP(2,AD68:AN71,6,FALSE) &amp; " - " &amp; VLOOKUP(2,AD68:AN71,7,FALSE)</f>
        <v>4 - 1</v>
      </c>
      <c r="P70" s="34">
        <f>L70*3+M70</f>
        <v>7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0</v>
      </c>
      <c r="AH70" s="123">
        <f>COUNTIF($S$7:$T$78,"=" &amp; AE70 &amp; "_lose")</f>
        <v>3</v>
      </c>
      <c r="AI70" s="123">
        <f>SUMIF($E$7:$E$78,$AE70,$F$7:$F$78) + SUMIF($H$7:$H$78,$AE70,$G$7:$G$78)</f>
        <v>2</v>
      </c>
      <c r="AJ70" s="123">
        <f>SUMIF($E$7:$E$78,$AE70,$G$7:$G$78) + SUMIF($H$7:$H$78,$AE70,$F$7:$F$78)</f>
        <v>8</v>
      </c>
      <c r="AL70" s="123">
        <f>AI70-AJ70</f>
        <v>-6</v>
      </c>
      <c r="AM70" s="123">
        <f>AL70-AL72</f>
        <v>0</v>
      </c>
      <c r="AN70" s="123">
        <f>AF70*3+AG70</f>
        <v>0</v>
      </c>
      <c r="AO70" s="123">
        <f>AN70/AN72*10+BA70</f>
        <v>0</v>
      </c>
      <c r="AP70" s="123">
        <f>AO70*10000000+BI70*100+AM70/AM72*10+AI70/AI72*1++IF(AQ70=0,ROW(),AQ70)/2000000</f>
        <v>0.2229548922222222</v>
      </c>
      <c r="AQ70" s="126">
        <f>VLOOKUP(AE70,db_fifarank,2,FALSE)</f>
        <v>1465.34</v>
      </c>
      <c r="AR70" s="125">
        <f>AP70/AP72</f>
        <v>2.2912774405238276E-9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31">
        <v>87</v>
      </c>
      <c r="BL70" s="24" t="str">
        <f>AS68</f>
        <v>Portugal</v>
      </c>
      <c r="BM70" s="61">
        <v>3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3000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1</v>
      </c>
      <c r="G71" s="20">
        <v>1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4 - 6</v>
      </c>
      <c r="P71" s="34">
        <f>L71*3+M71</f>
        <v>3</v>
      </c>
      <c r="R71" s="123">
        <f>DATE(2026,6,26)+TIME(13,0,0)+gmt_delta</f>
        <v>46200.083333333328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1</v>
      </c>
      <c r="V71" s="123">
        <f t="shared" si="21"/>
        <v>1</v>
      </c>
      <c r="W71" s="123">
        <f t="shared" si="22"/>
        <v>1</v>
      </c>
      <c r="X71" s="123">
        <f t="shared" si="9"/>
        <v>1</v>
      </c>
      <c r="Y71" s="123">
        <f t="shared" si="10"/>
        <v>1</v>
      </c>
      <c r="Z71" s="123">
        <f t="shared" si="11"/>
        <v>1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1</v>
      </c>
      <c r="AH71" s="123">
        <f>COUNTIF($S$7:$T$78,"=" &amp; AE71 &amp; "_lose")</f>
        <v>0</v>
      </c>
      <c r="AI71" s="123">
        <f>SUMIF($E$7:$E$78,$AE71,$F$7:$F$78) + SUMIF($H$7:$H$78,$AE71,$G$7:$G$78)</f>
        <v>4</v>
      </c>
      <c r="AJ71" s="123">
        <f>SUMIF($E$7:$E$78,$AE71,$G$7:$G$78) + SUMIF($H$7:$H$78,$AE71,$F$7:$F$78)</f>
        <v>1</v>
      </c>
      <c r="AL71" s="123">
        <f>AI71-AJ71</f>
        <v>3</v>
      </c>
      <c r="AM71" s="123">
        <f>AL71-AL72</f>
        <v>9</v>
      </c>
      <c r="AN71" s="123">
        <f>AF71*3+AG71</f>
        <v>7</v>
      </c>
      <c r="AO71" s="123">
        <f>AN71/AN72*10+BA71</f>
        <v>9.7305825242718456</v>
      </c>
      <c r="AP71" s="123">
        <f>AO71*10000000+BI71*100+AM71/AM72*10+AI71/AI72*1++IF(AQ71=0,ROW(),AQ71)/2000000</f>
        <v>97305931.24626188</v>
      </c>
      <c r="AQ71" s="126">
        <f>VLOOKUP(AE71,db_fifarank,2,FALSE)</f>
        <v>1693.09</v>
      </c>
      <c r="AR71" s="125">
        <f>AP71/AP72</f>
        <v>0.99999996802716606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1</v>
      </c>
      <c r="AW71" s="126" cm="1">
        <f t="array" ref="AW71">SUMPRODUCT(($E$7:$E$78=AE71)*($U$7:$U$78)*($G$7:$G$78))+SUMPRODUCT(($H$7:$H$78=AE71)*($U$7:$U$78)*($F$7:$F$78))</f>
        <v>1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50.5</v>
      </c>
      <c r="BA71" s="126">
        <f>AZ71/AZ72</f>
        <v>0.98058252427184467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1</v>
      </c>
      <c r="BD71" s="126" cm="1">
        <f t="array" ref="BD71">SUMPRODUCT(($E$7:$E$78=AE71)*($X$7:$X$78)*($F$7:$F$78))+SUMPRODUCT(($H$7:$H$78=AE71)*($X$7:$X$78)*($G$7:$G$78))</f>
        <v>1</v>
      </c>
      <c r="BE71" s="126" cm="1">
        <f t="array" ref="BE71">SUMPRODUCT(($E$7:$E$78=AE71)*($X$7:$X$78)*($G$7:$G$78))+SUMPRODUCT(($H$7:$H$78=AE71)*($X$7:$X$78)*($F$7:$F$78))</f>
        <v>1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50.5</v>
      </c>
      <c r="BI71" s="126">
        <f>BH71/BH72</f>
        <v>0.98058252427184467</v>
      </c>
      <c r="BK71" s="132"/>
      <c r="BL71" s="26" t="str">
        <f>IF(group_round_completed,VLOOKUP('3rd places'!J3,AK80:AS91,9,FALSE),"3rd Group D/E/I/J/L")</f>
        <v>Croatia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1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2 - 8</v>
      </c>
      <c r="P72" s="37">
        <f>L72*3+M72</f>
        <v>0</v>
      </c>
      <c r="R72" s="123">
        <f>DATE(2026,6,26)+TIME(13,0,0)+gmt_delta</f>
        <v>46200.083333333328</v>
      </c>
      <c r="S72" s="127" t="str">
        <f t="shared" si="19"/>
        <v>Uruguay_draw</v>
      </c>
      <c r="T72" s="127" t="str">
        <f t="shared" si="20"/>
        <v>Spain_draw</v>
      </c>
      <c r="U72" s="123">
        <f t="shared" ref="U72:U78" si="31">IF(S72="",0,IF(VLOOKUP(E72,$AE$8:$AN$77,10,FALSE)=VLOOKUP(H72,$AE$8:$AN$77,10,FALSE),1,0))</f>
        <v>1</v>
      </c>
      <c r="V72" s="123">
        <f t="shared" si="21"/>
        <v>1</v>
      </c>
      <c r="W72" s="123">
        <f t="shared" si="22"/>
        <v>1</v>
      </c>
      <c r="X72" s="123">
        <f t="shared" ref="X72:X78" si="32">IF(S72="",0,IF(VLOOKUP(E72,$AE$8:$AO$77,11,FALSE)=VLOOKUP(H72,$AE$8:$AO$77,11,FALSE),1,0))</f>
        <v>1</v>
      </c>
      <c r="Y72" s="123">
        <f t="shared" ref="Y72:Y78" si="33">X72*F72</f>
        <v>1</v>
      </c>
      <c r="Z72" s="123">
        <f t="shared" ref="Z72:Z78" si="34">X72*G72</f>
        <v>1</v>
      </c>
      <c r="AA72" s="123">
        <f t="shared" si="29"/>
        <v>0</v>
      </c>
      <c r="AB72" s="123">
        <f t="shared" si="23"/>
        <v>0</v>
      </c>
      <c r="AF72" s="123">
        <f t="shared" ref="AF72:AH72" si="35">MAX(AF68:AF71)-MIN(AF68:AF71)+1</f>
        <v>3</v>
      </c>
      <c r="AG72" s="123">
        <f t="shared" si="35"/>
        <v>2</v>
      </c>
      <c r="AH72" s="123">
        <f t="shared" si="35"/>
        <v>4</v>
      </c>
      <c r="AI72" s="123">
        <f>MAX(AI68:AI71)+1</f>
        <v>9</v>
      </c>
      <c r="AL72" s="123">
        <f>MIN(AL68:AL71)</f>
        <v>-6</v>
      </c>
      <c r="AM72" s="123">
        <f>MAX(AM68:AM71)+1</f>
        <v>12</v>
      </c>
      <c r="AN72" s="123">
        <f>MAX(AN68:AN71)+1</f>
        <v>8</v>
      </c>
      <c r="AO72" s="123">
        <f>MAX(AO68:AO71)+1</f>
        <v>10.730582524271846</v>
      </c>
      <c r="AP72" s="123">
        <f>MAX(AP68:AP71)+1</f>
        <v>97305934.35740836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2</v>
      </c>
      <c r="AW72" s="126">
        <f>MAX(AW68:AW71)-MIN(AW68:AW71)+1</f>
        <v>2</v>
      </c>
      <c r="AY72" s="126">
        <f>MAX(AY68:AY71)-MIN(AY68:AY71)+1</f>
        <v>1</v>
      </c>
      <c r="AZ72" s="126">
        <f>MAX(AZ68:AZ71)+1</f>
        <v>51.5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2</v>
      </c>
      <c r="BE72" s="126">
        <f>MAX(BE68:BE71)-MIN(BE68:BE71)+1</f>
        <v>2</v>
      </c>
      <c r="BG72" s="126">
        <f>MAX(BG68:BG71)-MIN(BG68:BG71)+1</f>
        <v>1</v>
      </c>
      <c r="BH72" s="126">
        <f>MAX(BH68:BH71)+1</f>
        <v>51.5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4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2</v>
      </c>
      <c r="G74" s="20">
        <v>2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Croatia_draw</v>
      </c>
      <c r="T74" s="127" t="str">
        <f t="shared" si="20"/>
        <v>Ghana_draw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0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7</v>
      </c>
      <c r="AJ74" s="123">
        <f>SUMIF($E$7:$E$78,$AE74,$G$7:$G$78) + SUMIF($H$7:$H$78,$AE74,$F$7:$F$78)</f>
        <v>1</v>
      </c>
      <c r="AL74" s="123">
        <f>AI74-AJ74</f>
        <v>6</v>
      </c>
      <c r="AM74" s="123">
        <f>AL74-AL78</f>
        <v>14</v>
      </c>
      <c r="AN74" s="123">
        <f>AF74*3+AG74</f>
        <v>7</v>
      </c>
      <c r="AO74" s="123">
        <f>AN74/AN78*10+BA74</f>
        <v>8.75</v>
      </c>
      <c r="AP74" s="123">
        <f>AO74*10000000+BI74*100+AM74/AM78*10+AI74/AI78*1++IF(AQ74=0,ROW(),AQ74)/2000000</f>
        <v>87500010.209246308</v>
      </c>
      <c r="AQ74" s="126">
        <f>VLOOKUP(AE74,db_fifarank,2,FALSE)</f>
        <v>1825.97</v>
      </c>
      <c r="AR74" s="125">
        <f>AP74/AP78</f>
        <v>0.99999998857143002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7 - 1</v>
      </c>
      <c r="P75" s="32">
        <f>L75*3+M75</f>
        <v>7</v>
      </c>
      <c r="R75" s="123">
        <f>DATE(2026,6,27)+TIME(15,0,0)+gmt_delta</f>
        <v>46201.166666666664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1</v>
      </c>
      <c r="V75" s="123">
        <f t="shared" si="21"/>
        <v>1</v>
      </c>
      <c r="W75" s="123">
        <f t="shared" si="22"/>
        <v>1</v>
      </c>
      <c r="X75" s="123">
        <f t="shared" si="32"/>
        <v>1</v>
      </c>
      <c r="Y75" s="123">
        <f t="shared" si="33"/>
        <v>1</v>
      </c>
      <c r="Z75" s="123">
        <f t="shared" si="34"/>
        <v>1</v>
      </c>
      <c r="AA75" s="123">
        <f t="shared" si="29"/>
        <v>0</v>
      </c>
      <c r="AB75" s="123">
        <f t="shared" si="23"/>
        <v>0</v>
      </c>
      <c r="AD75" s="123">
        <f>COUNTIF(AR74:AR77,CONCATENATE("&gt;=",AR75))</f>
        <v>3</v>
      </c>
      <c r="AE75" s="124" t="str">
        <f>VLOOKUP("Croatia",T,lang,FALSE)</f>
        <v>Croatia</v>
      </c>
      <c r="AF75" s="123">
        <f>COUNTIF($S$7:$T$78,"=" &amp; AE75 &amp; "_win")</f>
        <v>1</v>
      </c>
      <c r="AG75" s="123">
        <f>COUNTIF($S$7:$T$78,"=" &amp; AE75 &amp; "_draw")</f>
        <v>1</v>
      </c>
      <c r="AH75" s="123">
        <f>COUNTIF($S$7:$T$78,"=" &amp; AE75 &amp; "_lose")</f>
        <v>1</v>
      </c>
      <c r="AI75" s="123">
        <f>SUMIF($E$7:$E$78,$AE75,$F$7:$F$78) + SUMIF($H$7:$H$78,$AE75,$G$7:$G$78)</f>
        <v>5</v>
      </c>
      <c r="AJ75" s="123">
        <f>SUMIF($E$7:$E$78,$AE75,$G$7:$G$78) + SUMIF($H$7:$H$78,$AE75,$F$7:$F$78)</f>
        <v>4</v>
      </c>
      <c r="AL75" s="123">
        <f>AI75-AJ75</f>
        <v>1</v>
      </c>
      <c r="AM75" s="123">
        <f>AL75-AL78</f>
        <v>9</v>
      </c>
      <c r="AN75" s="123">
        <f>AF75*3+AG75</f>
        <v>4</v>
      </c>
      <c r="AO75" s="123">
        <f>AN75/AN78*10+BA75</f>
        <v>5</v>
      </c>
      <c r="AP75" s="123">
        <f>AO75*10000000+BI75*100+AM75/AM78*10+AI75/AI78*1++IF(AQ75=0,ROW(),AQ75)/2000000</f>
        <v>50000006.625858538</v>
      </c>
      <c r="AQ75" s="126">
        <f>VLOOKUP(AE75,db_fifarank,2,FALSE)</f>
        <v>1717.07</v>
      </c>
      <c r="AR75" s="125">
        <f>AP75/AP78</f>
        <v>0.57142857394942748</v>
      </c>
      <c r="AS75" s="125" t="str">
        <f>IF(SUM(AF74:AH77)=12,J76,"2L")</f>
        <v>Ghana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2</v>
      </c>
      <c r="H76" s="80" t="str">
        <f>AE62</f>
        <v>Argentina</v>
      </c>
      <c r="I76" s="69"/>
      <c r="J76" s="33" t="str">
        <f>VLOOKUP(2,AD74:AN77,2,FALSE)</f>
        <v>Ghana</v>
      </c>
      <c r="K76" s="23">
        <f>L76+M76+N76</f>
        <v>3</v>
      </c>
      <c r="L76" s="23">
        <f>VLOOKUP(2,AD74:AN77,3,FALSE)</f>
        <v>1</v>
      </c>
      <c r="M76" s="23">
        <f>VLOOKUP(2,AD74:AN77,4,FALSE)</f>
        <v>2</v>
      </c>
      <c r="N76" s="23">
        <f>VLOOKUP(2,AD74:AN77,5,FALSE)</f>
        <v>0</v>
      </c>
      <c r="O76" s="23" t="str">
        <f>VLOOKUP(2,AD74:AN77,6,FALSE) &amp; " - " &amp; VLOOKUP(2,AD74:AN77,7,FALSE)</f>
        <v>5 - 4</v>
      </c>
      <c r="P76" s="34">
        <f>L76*3+M76</f>
        <v>5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2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2</v>
      </c>
      <c r="AH76" s="123">
        <f>COUNTIF($S$7:$T$78,"=" &amp; AE76 &amp; "_lose")</f>
        <v>0</v>
      </c>
      <c r="AI76" s="123">
        <f>SUMIF($E$7:$E$78,$AE76,$F$7:$F$78) + SUMIF($H$7:$H$78,$AE76,$G$7:$G$78)</f>
        <v>5</v>
      </c>
      <c r="AJ76" s="123">
        <f>SUMIF($E$7:$E$78,$AE76,$G$7:$G$78) + SUMIF($H$7:$H$78,$AE76,$F$7:$F$78)</f>
        <v>4</v>
      </c>
      <c r="AL76" s="123">
        <f>AI76-AJ76</f>
        <v>1</v>
      </c>
      <c r="AM76" s="123">
        <f>AL76-AL78</f>
        <v>9</v>
      </c>
      <c r="AN76" s="123">
        <f>AF76*3+AG76</f>
        <v>5</v>
      </c>
      <c r="AO76" s="123">
        <f>AN76/AN78*10+BA76</f>
        <v>6.25</v>
      </c>
      <c r="AP76" s="123">
        <f>AO76*10000000+BI76*100+AM76/AM78*10+AI76/AI78*1++IF(AQ76=0,ROW(),AQ76)/2000000</f>
        <v>62500006.625673153</v>
      </c>
      <c r="AQ76" s="126">
        <f>VLOOKUP(AE76,db_fifarank,2,FALSE)</f>
        <v>1346.31</v>
      </c>
      <c r="AR76" s="125">
        <f>AP76/AP78</f>
        <v>0.71428569850364365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1</v>
      </c>
      <c r="H77" s="80" t="str">
        <f>AE68</f>
        <v>Portugal</v>
      </c>
      <c r="I77" s="69"/>
      <c r="J77" s="33" t="str">
        <f>VLOOKUP(3,AD74:AN77,2,FALSE)</f>
        <v>Croatia</v>
      </c>
      <c r="K77" s="23">
        <f>L77+M77+N77</f>
        <v>3</v>
      </c>
      <c r="L77" s="23">
        <f>VLOOKUP(3,AD74:AN77,3,FALSE)</f>
        <v>1</v>
      </c>
      <c r="M77" s="23">
        <f>VLOOKUP(3,AD74:AN77,4,FALSE)</f>
        <v>1</v>
      </c>
      <c r="N77" s="23">
        <f>VLOOKUP(3,AD74:AN77,5,FALSE)</f>
        <v>1</v>
      </c>
      <c r="O77" s="23" t="str">
        <f>VLOOKUP(3,AD74:AN77,6,FALSE) &amp; " - " &amp; VLOOKUP(3,AD74:AN77,7,FALSE)</f>
        <v>5 - 4</v>
      </c>
      <c r="P77" s="34">
        <f>L77*3+M77</f>
        <v>4</v>
      </c>
      <c r="R77" s="123">
        <f>DATE(2026,6,27)+TIME(12,30,0)+gmt_delta</f>
        <v>46201.0625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1</v>
      </c>
      <c r="V77" s="123">
        <f t="shared" si="21"/>
        <v>1</v>
      </c>
      <c r="W77" s="123">
        <f t="shared" si="22"/>
        <v>1</v>
      </c>
      <c r="X77" s="123">
        <f t="shared" si="32"/>
        <v>1</v>
      </c>
      <c r="Y77" s="123">
        <f t="shared" si="33"/>
        <v>1</v>
      </c>
      <c r="Z77" s="123">
        <f t="shared" si="34"/>
        <v>1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1</v>
      </c>
      <c r="AJ77" s="123">
        <f>SUMIF($E$7:$E$78,$AE77,$G$7:$G$78) + SUMIF($H$7:$H$78,$AE77,$F$7:$F$78)</f>
        <v>9</v>
      </c>
      <c r="AL77" s="123">
        <f>AI77-AJ77</f>
        <v>-8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0.12577031999999999</v>
      </c>
      <c r="AQ77" s="126">
        <f>VLOOKUP(AE77,db_fifarank,2,FALSE)</f>
        <v>1540.64</v>
      </c>
      <c r="AR77" s="125">
        <f>AP77/AP78</f>
        <v>1.4373749015784077E-9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3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1 - 9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Congo_win</v>
      </c>
      <c r="T78" s="127" t="str">
        <f t="shared" si="20"/>
        <v>Uzbekistan_lose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1</v>
      </c>
      <c r="AF78" s="123">
        <f t="shared" ref="AF78:AH78" si="36">MAX(AF74:AF77)-MIN(AF74:AF77)+1</f>
        <v>3</v>
      </c>
      <c r="AG78" s="123">
        <f t="shared" si="36"/>
        <v>3</v>
      </c>
      <c r="AH78" s="123">
        <f t="shared" si="36"/>
        <v>4</v>
      </c>
      <c r="AI78" s="123">
        <f>MAX(AI74:AI77)+1</f>
        <v>8</v>
      </c>
      <c r="AL78" s="123">
        <f>MIN(AL74:AL77)</f>
        <v>-8</v>
      </c>
      <c r="AM78" s="123">
        <f>MAX(AM74:AM77)+1</f>
        <v>15</v>
      </c>
      <c r="AN78" s="123">
        <f>MAX(AN74:AN77)+1</f>
        <v>8</v>
      </c>
      <c r="AO78" s="123">
        <f>MAX(AO74:AO77)+1</f>
        <v>9.75</v>
      </c>
      <c r="AP78" s="123">
        <f>MAX(AP74:AP77)+1</f>
        <v>87500011.209246308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4</v>
      </c>
      <c r="AE80" s="124" t="str">
        <f>J11</f>
        <v>South Africa</v>
      </c>
      <c r="AF80" s="123">
        <f>VLOOKUP($AE80,$AE$8:$AQ$78,2,FALSE)</f>
        <v>1</v>
      </c>
      <c r="AG80" s="123">
        <f>VLOOKUP($AE80,$AE$8:$AQ$78,3,FALSE)</f>
        <v>1</v>
      </c>
      <c r="AH80" s="123">
        <f>VLOOKUP($AE80,$AE$8:$AQ$78,4,FALSE)</f>
        <v>1</v>
      </c>
      <c r="AI80" s="123">
        <f>VLOOKUP($AE80,$AE$8:$AQ$78,5,FALSE)</f>
        <v>4</v>
      </c>
      <c r="AJ80" s="123">
        <f>VLOOKUP($AE80,$AE$8:$AQ$78,6,FALSE)</f>
        <v>3</v>
      </c>
      <c r="AK80" s="123" t="s">
        <v>3180</v>
      </c>
      <c r="AL80" s="123">
        <f>VLOOKUP($AE80,$AE$8:$AQ$78,8,FALSE)</f>
        <v>1</v>
      </c>
      <c r="AM80" s="123">
        <f>AL80-$AL$92</f>
        <v>5</v>
      </c>
      <c r="AN80" s="123">
        <f>VLOOKUP($AE80,$AE$8:$AQ$78,10,FALSE)</f>
        <v>4</v>
      </c>
      <c r="AP80" s="123">
        <f>AN80/AN92*10000+AM80/AM92*1000+AI80/AI92*100+IF(AQ80=0,ROW(),AQ80)/2000000</f>
        <v>7447.6197624840479</v>
      </c>
      <c r="AQ80" s="126">
        <f t="shared" ref="AQ80:AQ91" si="37">VLOOKUP($AE80,$AE$8:$AQ$78,13,FALSE)</f>
        <v>1429.73</v>
      </c>
      <c r="AR80" s="125" t="str">
        <f>IF(AD80&lt;=8,RIGHT(AK80,1),"")</f>
        <v>A</v>
      </c>
      <c r="AS80" s="129" t="str">
        <f>IF(AD80&lt;=8,AE80,"")</f>
        <v>South Africa</v>
      </c>
      <c r="AT80" s="130" t="str">
        <f>"Ⓐ "&amp;AE80</f>
        <v>Ⓐ South Africa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Ⓑ Canada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2</v>
      </c>
      <c r="N81" s="97">
        <f>VLOOKUP(1,$AD$80:$AN$91,5,FALSE)</f>
        <v>0</v>
      </c>
      <c r="O81" s="97" t="str">
        <f>VLOOKUP(1,$AD$80:$AN$91,6,FALSE) &amp; " - " &amp; VLOOKUP(1,$AD$80:$AN$91,7,FALSE)</f>
        <v>3 - 1</v>
      </c>
      <c r="P81" s="98">
        <f>L81*3+M81</f>
        <v>5</v>
      </c>
      <c r="AD81" s="123">
        <f t="shared" ref="AD81:AD91" si="38">COUNTIF($AP$80:$AP$91,CONCATENATE("&gt;=",AP81))</f>
        <v>1</v>
      </c>
      <c r="AE81" s="124" t="str">
        <f>J17</f>
        <v>Canada</v>
      </c>
      <c r="AF81" s="123">
        <f t="shared" ref="AF81:AF91" si="39">VLOOKUP($AE81,$AE$8:$AQ$78,2,FALSE)</f>
        <v>1</v>
      </c>
      <c r="AG81" s="123">
        <f>VLOOKUP($AE81,$AE$8:$AQ$78,3,FALSE)</f>
        <v>2</v>
      </c>
      <c r="AH81" s="123">
        <f t="shared" ref="AH81:AH90" si="40">VLOOKUP($AE81,$AE$8:$AQ$78,4,FALSE)</f>
        <v>0</v>
      </c>
      <c r="AI81" s="123">
        <f t="shared" ref="AI81:AI90" si="41">VLOOKUP($AE81,$AE$8:$AQ$78,5,FALSE)</f>
        <v>3</v>
      </c>
      <c r="AJ81" s="123">
        <f t="shared" ref="AJ81:AJ90" si="42">VLOOKUP($AE81,$AE$8:$AQ$78,6,FALSE)</f>
        <v>1</v>
      </c>
      <c r="AK81" s="123" t="s">
        <v>3181</v>
      </c>
      <c r="AL81" s="123">
        <f t="shared" ref="AL81:AL90" si="43">VLOOKUP($AE81,$AE$8:$AQ$78,8,FALSE)</f>
        <v>2</v>
      </c>
      <c r="AM81" s="123">
        <f t="shared" ref="AM81:AM91" si="44">AL81-$AL$92</f>
        <v>6</v>
      </c>
      <c r="AN81" s="123">
        <f t="shared" ref="AN81:AN90" si="45">VLOOKUP($AE81,$AE$8:$AQ$78,10,FALSE)</f>
        <v>5</v>
      </c>
      <c r="AP81" s="123">
        <f>AN81/AN92*10000+AM81/AM92*1000+AI81/AI92*100+IF(AQ81=0,ROW(),AQ81)/2000000</f>
        <v>9240.4769687161915</v>
      </c>
      <c r="AQ81" s="126">
        <f t="shared" si="37"/>
        <v>1556.48</v>
      </c>
      <c r="AR81" s="125" t="str">
        <f>AR80&amp;IF(AD81&lt;=8,RIGHT(AK81,1),"")</f>
        <v>AB</v>
      </c>
      <c r="AS81" s="129" t="str">
        <f t="shared" ref="AS81:AS91" si="46">IF(AD81&lt;=8,AE81,"")</f>
        <v>Canada</v>
      </c>
      <c r="AT81" s="130" t="str">
        <f>"Ⓑ "&amp;AE81</f>
        <v>Ⓑ Canada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Ⓛ Croatia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5 - 4</v>
      </c>
      <c r="P82" s="101">
        <f t="shared" ref="P82:P92" si="48">L82*3+M82</f>
        <v>4</v>
      </c>
      <c r="AD82" s="123">
        <f t="shared" si="38"/>
        <v>8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5</v>
      </c>
      <c r="AJ82" s="123">
        <f t="shared" si="42"/>
        <v>6</v>
      </c>
      <c r="AK82" s="123" t="s">
        <v>3182</v>
      </c>
      <c r="AL82" s="123">
        <f t="shared" si="43"/>
        <v>-1</v>
      </c>
      <c r="AM82" s="123">
        <f t="shared" si="44"/>
        <v>3</v>
      </c>
      <c r="AN82" s="123">
        <f t="shared" si="45"/>
        <v>3</v>
      </c>
      <c r="AP82" s="123">
        <f>AN82/AN92*10000+AM82/AM92*1000+AI82/AI92*100+IF(AQ82=0,ROW(),AQ82)/2000000</f>
        <v>5511.9055110797617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Ⓔ Ecuador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4 - 3</v>
      </c>
      <c r="P83" s="101">
        <f t="shared" si="48"/>
        <v>4</v>
      </c>
      <c r="AD83" s="123">
        <f t="shared" si="38"/>
        <v>7</v>
      </c>
      <c r="AE83" s="124" t="str">
        <f>J29</f>
        <v>Paraguay</v>
      </c>
      <c r="AF83" s="123">
        <f t="shared" si="39"/>
        <v>1</v>
      </c>
      <c r="AG83" s="123">
        <f t="shared" si="49"/>
        <v>0</v>
      </c>
      <c r="AH83" s="123">
        <f t="shared" si="40"/>
        <v>2</v>
      </c>
      <c r="AI83" s="123">
        <f t="shared" si="41"/>
        <v>3</v>
      </c>
      <c r="AJ83" s="123">
        <f t="shared" si="42"/>
        <v>3</v>
      </c>
      <c r="AK83" s="123" t="s">
        <v>3184</v>
      </c>
      <c r="AL83" s="123">
        <f t="shared" si="43"/>
        <v>0</v>
      </c>
      <c r="AM83" s="123">
        <f t="shared" si="44"/>
        <v>4</v>
      </c>
      <c r="AN83" s="123">
        <f t="shared" si="45"/>
        <v>3</v>
      </c>
      <c r="AP83" s="123">
        <f>AN83/AN92*10000+AM83/AM92*1000+AI83/AI92*100+IF(AQ83=0,ROW(),AQ83)/2000000</f>
        <v>5621.4293231785714</v>
      </c>
      <c r="AQ83" s="126">
        <f t="shared" si="37"/>
        <v>1503.5</v>
      </c>
      <c r="AR83" s="125" t="str">
        <f t="shared" si="50"/>
        <v>ABCD</v>
      </c>
      <c r="AS83" s="129" t="str">
        <f t="shared" si="46"/>
        <v>Paraguay</v>
      </c>
      <c r="AT83" s="130" t="str">
        <f>"Ⓓ "&amp;AE83</f>
        <v>Ⓓ Paraguay</v>
      </c>
    </row>
    <row r="84" spans="1:46" ht="15" customHeight="1" x14ac:dyDescent="0.2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Ⓐ South Africa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4 - 3</v>
      </c>
      <c r="P84" s="101">
        <f t="shared" si="48"/>
        <v>4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3</v>
      </c>
      <c r="AE84" s="124" t="str">
        <f>J35</f>
        <v>Ecuador</v>
      </c>
      <c r="AF84" s="123">
        <f t="shared" si="39"/>
        <v>1</v>
      </c>
      <c r="AG84" s="123">
        <f t="shared" si="49"/>
        <v>1</v>
      </c>
      <c r="AH84" s="123">
        <f t="shared" si="40"/>
        <v>1</v>
      </c>
      <c r="AI84" s="123">
        <f t="shared" si="41"/>
        <v>4</v>
      </c>
      <c r="AJ84" s="123">
        <f t="shared" si="42"/>
        <v>3</v>
      </c>
      <c r="AK84" s="123" t="s">
        <v>3185</v>
      </c>
      <c r="AL84" s="123">
        <f t="shared" si="43"/>
        <v>1</v>
      </c>
      <c r="AM84" s="123">
        <f t="shared" si="44"/>
        <v>5</v>
      </c>
      <c r="AN84" s="123">
        <f t="shared" si="45"/>
        <v>4</v>
      </c>
      <c r="AP84" s="123">
        <f>AN84/AN92*10000+AM84/AM92*1000+AI84/AI92*100+IF(AQ84=0,ROW(),AQ84)/2000000</f>
        <v>7447.6198450090478</v>
      </c>
      <c r="AQ84" s="126">
        <f t="shared" si="37"/>
        <v>1594.78</v>
      </c>
      <c r="AR84" s="125" t="str">
        <f t="shared" si="50"/>
        <v>ABCDE</v>
      </c>
      <c r="AS84" s="129" t="str">
        <f t="shared" si="46"/>
        <v>Ecuador</v>
      </c>
      <c r="AT84" s="130" t="str">
        <f>"Ⓔ "&amp;AE84</f>
        <v>Ⓔ Ecuador</v>
      </c>
    </row>
    <row r="85" spans="1:46" ht="15" customHeight="1" x14ac:dyDescent="0.2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Ⓙ Algeria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1</v>
      </c>
      <c r="N85" s="100">
        <f>VLOOKUP(5,$AD$80:$AN$91,5,FALSE)</f>
        <v>1</v>
      </c>
      <c r="O85" s="100" t="str">
        <f>VLOOKUP(5,$AD$80:$AN$91,6,FALSE) &amp; " - " &amp; VLOOKUP(5,$AD$80:$AN$91,7,FALSE)</f>
        <v>4 - 4</v>
      </c>
      <c r="P85" s="101">
        <f t="shared" si="48"/>
        <v>4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10</v>
      </c>
      <c r="AE85" s="124" t="str">
        <f>J41</f>
        <v>Tunisia</v>
      </c>
      <c r="AF85" s="123">
        <f t="shared" si="39"/>
        <v>0</v>
      </c>
      <c r="AG85" s="123">
        <f t="shared" si="49"/>
        <v>2</v>
      </c>
      <c r="AH85" s="123">
        <f t="shared" si="40"/>
        <v>1</v>
      </c>
      <c r="AI85" s="123">
        <f t="shared" si="41"/>
        <v>1</v>
      </c>
      <c r="AJ85" s="123">
        <f t="shared" si="42"/>
        <v>3</v>
      </c>
      <c r="AK85" s="123" t="s">
        <v>3186</v>
      </c>
      <c r="AL85" s="123">
        <f t="shared" si="43"/>
        <v>-2</v>
      </c>
      <c r="AM85" s="123">
        <f t="shared" si="44"/>
        <v>2</v>
      </c>
      <c r="AN85" s="123">
        <f t="shared" si="45"/>
        <v>2</v>
      </c>
      <c r="AP85" s="123">
        <f>AN85/AN92*10000+AM85/AM92*1000+AI85/AI92*100+IF(AQ85=0,ROW(),AQ85)/2000000</f>
        <v>3635.7150272392855</v>
      </c>
      <c r="AQ85" s="126">
        <f t="shared" si="37"/>
        <v>1483.05</v>
      </c>
      <c r="AR85" s="125" t="str">
        <f t="shared" si="50"/>
        <v>ABCDE</v>
      </c>
      <c r="AS85" s="129" t="str">
        <f t="shared" si="46"/>
        <v/>
      </c>
      <c r="AT85" s="130" t="str">
        <f>"Ⓕ "&amp;AE85</f>
        <v>Ⓕ Tunisia</v>
      </c>
    </row>
    <row r="86" spans="1:46" ht="15" customHeight="1" x14ac:dyDescent="0.2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Ⓘ Norway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1</v>
      </c>
      <c r="N86" s="100">
        <f>VLOOKUP(6,$AD$80:$AN$91,5,FALSE)</f>
        <v>1</v>
      </c>
      <c r="O86" s="100" t="str">
        <f>VLOOKUP(6,$AD$80:$AN$91,6,FALSE) &amp; " - " &amp; VLOOKUP(6,$AD$80:$AN$91,7,FALSE)</f>
        <v>4 - 6</v>
      </c>
      <c r="P86" s="101">
        <f t="shared" si="48"/>
        <v>4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11</v>
      </c>
      <c r="AE86" s="124" t="str">
        <f>J47</f>
        <v>Iran</v>
      </c>
      <c r="AF86" s="123">
        <f t="shared" si="39"/>
        <v>0</v>
      </c>
      <c r="AG86" s="123">
        <f t="shared" si="49"/>
        <v>1</v>
      </c>
      <c r="AH86" s="123">
        <f t="shared" si="40"/>
        <v>2</v>
      </c>
      <c r="AI86" s="123">
        <f t="shared" si="41"/>
        <v>3</v>
      </c>
      <c r="AJ86" s="123">
        <f t="shared" si="42"/>
        <v>7</v>
      </c>
      <c r="AK86" s="123" t="s">
        <v>3187</v>
      </c>
      <c r="AL86" s="123">
        <f t="shared" si="43"/>
        <v>-4</v>
      </c>
      <c r="AM86" s="123">
        <f t="shared" si="44"/>
        <v>0</v>
      </c>
      <c r="AN86" s="123">
        <f t="shared" si="45"/>
        <v>1</v>
      </c>
      <c r="AP86" s="123">
        <f>AN86/AN92*10000+AM86/AM92*1000+AI86/AI92*100+IF(AQ86=0,ROW(),AQ86)/2000000</f>
        <v>1716.6674743166666</v>
      </c>
      <c r="AQ86" s="126">
        <f t="shared" si="37"/>
        <v>1615.3</v>
      </c>
      <c r="AR86" s="125" t="str">
        <f t="shared" si="50"/>
        <v>ABCDE</v>
      </c>
      <c r="AS86" s="129" t="str">
        <f t="shared" si="46"/>
        <v/>
      </c>
      <c r="AT86" s="130" t="str">
        <f>"Ⓖ "&amp;AE86</f>
        <v>Ⓖ Iran</v>
      </c>
    </row>
    <row r="87" spans="1:46" ht="15" customHeight="1" x14ac:dyDescent="0.2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Ⓓ Paraguay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3 - 3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12</v>
      </c>
      <c r="AE87" s="124" t="str">
        <f>J53</f>
        <v>Saudi Arabia</v>
      </c>
      <c r="AF87" s="123">
        <f t="shared" si="39"/>
        <v>0</v>
      </c>
      <c r="AG87" s="123">
        <f t="shared" si="49"/>
        <v>1</v>
      </c>
      <c r="AH87" s="123">
        <f t="shared" si="40"/>
        <v>2</v>
      </c>
      <c r="AI87" s="123">
        <f t="shared" si="41"/>
        <v>2</v>
      </c>
      <c r="AJ87" s="123">
        <f t="shared" si="42"/>
        <v>6</v>
      </c>
      <c r="AK87" s="123" t="s">
        <v>3188</v>
      </c>
      <c r="AL87" s="123">
        <f t="shared" si="43"/>
        <v>-4</v>
      </c>
      <c r="AM87" s="123">
        <f t="shared" si="44"/>
        <v>0</v>
      </c>
      <c r="AN87" s="123">
        <f t="shared" si="45"/>
        <v>1</v>
      </c>
      <c r="AP87" s="123">
        <f>AN87/AN92*10000+AM87/AM92*1000+AI87/AI92*100+IF(AQ87=0,ROW(),AQ87)/2000000</f>
        <v>1700.0007107149997</v>
      </c>
      <c r="AQ87" s="126">
        <f t="shared" si="37"/>
        <v>1421.43</v>
      </c>
      <c r="AR87" s="125" t="str">
        <f t="shared" si="50"/>
        <v>ABCDE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2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Ⓒ Scotland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5 - 6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Czech Republic</v>
      </c>
      <c r="T88" s="127" t="str" cm="1">
        <f t="array" ref="T88">IF(OR(S88="",S88="draw"),INDEX(T,90,lang),S88)</f>
        <v>Czech Republic</v>
      </c>
      <c r="AD88" s="123">
        <f t="shared" si="38"/>
        <v>6</v>
      </c>
      <c r="AE88" s="124" t="str">
        <f>J59</f>
        <v>Norway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4</v>
      </c>
      <c r="AJ88" s="123">
        <f t="shared" si="42"/>
        <v>6</v>
      </c>
      <c r="AK88" s="123" t="s">
        <v>3189</v>
      </c>
      <c r="AL88" s="123">
        <f t="shared" si="43"/>
        <v>-2</v>
      </c>
      <c r="AM88" s="123">
        <f t="shared" si="44"/>
        <v>2</v>
      </c>
      <c r="AN88" s="123">
        <f t="shared" si="45"/>
        <v>4</v>
      </c>
      <c r="AP88" s="123">
        <f>AN88/AN92*10000+AM88/AM92*1000+AI88/AI92*100+IF(AQ88=0,ROW(),AQ88)/2000000</f>
        <v>7019.0483945176184</v>
      </c>
      <c r="AQ88" s="126">
        <f t="shared" si="37"/>
        <v>1550.94</v>
      </c>
      <c r="AR88" s="125" t="str">
        <f t="shared" si="50"/>
        <v>ABCDEI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Ⓚ DR Congo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4 - 6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5</v>
      </c>
      <c r="AE89" s="124" t="str">
        <f>J65</f>
        <v>Algeria</v>
      </c>
      <c r="AF89" s="123">
        <f t="shared" si="39"/>
        <v>1</v>
      </c>
      <c r="AG89" s="123">
        <f t="shared" si="49"/>
        <v>1</v>
      </c>
      <c r="AH89" s="123">
        <f t="shared" si="40"/>
        <v>1</v>
      </c>
      <c r="AI89" s="123">
        <f t="shared" si="41"/>
        <v>4</v>
      </c>
      <c r="AJ89" s="123">
        <f t="shared" si="42"/>
        <v>4</v>
      </c>
      <c r="AK89" s="123" t="s">
        <v>3190</v>
      </c>
      <c r="AL89" s="123">
        <f t="shared" si="43"/>
        <v>0</v>
      </c>
      <c r="AM89" s="123">
        <f t="shared" si="44"/>
        <v>4</v>
      </c>
      <c r="AN89" s="123">
        <f t="shared" si="45"/>
        <v>4</v>
      </c>
      <c r="AP89" s="123">
        <f>AN89/AN92*10000+AM89/AM92*1000+AI89/AI92*100+IF(AQ89=0,ROW(),AQ89)/2000000</f>
        <v>7304.7626868919042</v>
      </c>
      <c r="AQ89" s="126">
        <f t="shared" si="37"/>
        <v>1564.26</v>
      </c>
      <c r="AR89" s="125" t="str">
        <f t="shared" si="50"/>
        <v>ABCDEIJ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Ⓕ Tunisia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1 - 3</v>
      </c>
      <c r="P90" s="104">
        <f t="shared" si="48"/>
        <v>2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9</v>
      </c>
      <c r="AE90" s="124" t="str">
        <f>J71</f>
        <v>DR Congo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4</v>
      </c>
      <c r="AJ90" s="123">
        <f t="shared" si="42"/>
        <v>6</v>
      </c>
      <c r="AK90" s="123" t="s">
        <v>3191</v>
      </c>
      <c r="AL90" s="123">
        <f t="shared" si="43"/>
        <v>-2</v>
      </c>
      <c r="AM90" s="123">
        <f t="shared" si="44"/>
        <v>2</v>
      </c>
      <c r="AN90" s="123">
        <f t="shared" si="45"/>
        <v>3</v>
      </c>
      <c r="AP90" s="123">
        <f>AN90/AN92*10000+AM90/AM92*1000+AI90/AI92*100+IF(AQ90=0,ROW(),AQ90)/2000000</f>
        <v>5352.3816915559519</v>
      </c>
      <c r="AQ90" s="126">
        <f t="shared" si="37"/>
        <v>1478.35</v>
      </c>
      <c r="AR90" s="125" t="str">
        <f t="shared" si="50"/>
        <v>ABCDEIJ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Ⓖ Iran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3 - 7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2</v>
      </c>
      <c r="AE91" s="124" t="str">
        <f>J77</f>
        <v>Croatia</v>
      </c>
      <c r="AF91" s="123">
        <f t="shared" si="39"/>
        <v>1</v>
      </c>
      <c r="AG91" s="123">
        <f t="shared" si="49"/>
        <v>1</v>
      </c>
      <c r="AH91" s="123">
        <f>VLOOKUP($AE91,$AE$8:$AQ$78,4,FALSE)</f>
        <v>1</v>
      </c>
      <c r="AI91" s="123">
        <f>VLOOKUP($AE91,$AE$8:$AQ$78,5,FALSE)</f>
        <v>5</v>
      </c>
      <c r="AJ91" s="123">
        <f>VLOOKUP($AE91,$AE$8:$AQ$78,6,FALSE)</f>
        <v>4</v>
      </c>
      <c r="AK91" s="123" t="s">
        <v>3192</v>
      </c>
      <c r="AL91" s="123">
        <f>VLOOKUP($AE91,$AE$8:$AQ$78,8,FALSE)</f>
        <v>1</v>
      </c>
      <c r="AM91" s="123">
        <f t="shared" si="44"/>
        <v>5</v>
      </c>
      <c r="AN91" s="123">
        <f>VLOOKUP($AE91,$AE$8:$AQ$78,10,FALSE)</f>
        <v>4</v>
      </c>
      <c r="AP91" s="123">
        <f>AN91/AN92*10000+AM91/AM92*1000+AI91/AI92*100+IF(AQ91=0,ROW(),AQ91)/2000000</f>
        <v>7464.2865728207134</v>
      </c>
      <c r="AQ91" s="126">
        <f t="shared" si="37"/>
        <v>1717.07</v>
      </c>
      <c r="AR91" s="125" t="str">
        <f t="shared" si="50"/>
        <v>ABCDEIJL</v>
      </c>
      <c r="AS91" s="129" t="str">
        <f t="shared" si="46"/>
        <v>Croatia</v>
      </c>
      <c r="AT91" s="130" t="str">
        <f>"Ⓛ "&amp;AE91</f>
        <v>Ⓛ Croatia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Ⓗ Saudi Arabia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2 - 6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6</v>
      </c>
      <c r="AJ92" s="123">
        <f>MAX(AJ80:AJ91)+1</f>
        <v>8</v>
      </c>
      <c r="AL92" s="123">
        <f>MIN(AL80:AL91)</f>
        <v>-4</v>
      </c>
      <c r="AM92" s="123">
        <f>MAX(AM80:AM91)+1</f>
        <v>7</v>
      </c>
      <c r="AN92" s="123">
        <f>MAX(AN80:AN91)+1</f>
        <v>6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2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United States</v>
      </c>
      <c r="T98" s="127" t="str" cm="1">
        <f t="array" ref="T98">IF(OR(S98="",S98="draw"),INDEX(T,97,lang),S98)</f>
        <v>United States</v>
      </c>
    </row>
    <row r="102" spans="18:29" x14ac:dyDescent="0.2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2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United States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United States</v>
      </c>
    </row>
    <row r="107" spans="18:29" x14ac:dyDescent="0.2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France</v>
      </c>
      <c r="T111" s="127" t="str">
        <f>S111</f>
        <v>France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463</v>
      </c>
      <c r="C3" s="121" t="str">
        <f>'2026 World Cup'!AR91</f>
        <v>ABCDEIJL</v>
      </c>
      <c r="D3" s="121" t="str">
        <f>VLOOKUP($C3,$C$6:$K$500,2,FALSE)</f>
        <v>3E</v>
      </c>
      <c r="E3" s="121" t="str">
        <f>VLOOKUP($C3,$C$6:$K$500,3,FALSE)</f>
        <v>3J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3D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Fernando Cueto</cp:lastModifiedBy>
  <cp:revision/>
  <dcterms:created xsi:type="dcterms:W3CDTF">2017-12-27T19:32:51Z</dcterms:created>
  <dcterms:modified xsi:type="dcterms:W3CDTF">2026-06-11T12:04:19Z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