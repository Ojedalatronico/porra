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b8293dbc530baa/Escritorio/"/>
    </mc:Choice>
  </mc:AlternateContent>
  <xr:revisionPtr revIDLastSave="0" documentId="8_{9D33CAC2-32CA-49F6-9600-7D5CBBF966B8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S54" i="3"/>
  <c r="S77" i="3"/>
  <c r="S50" i="3"/>
  <c r="S76" i="3"/>
  <c r="S47" i="3"/>
  <c r="S67" i="3"/>
  <c r="T23" i="3"/>
  <c r="T48" i="3"/>
  <c r="T43" i="3"/>
  <c r="S72" i="3"/>
  <c r="T46" i="3"/>
  <c r="S70" i="3"/>
  <c r="S42" i="3"/>
  <c r="S64" i="3"/>
  <c r="T41" i="3"/>
  <c r="S40" i="3"/>
  <c r="S62" i="3"/>
  <c r="T61" i="3"/>
  <c r="S38" i="3"/>
  <c r="S65" i="3"/>
  <c r="T37" i="3"/>
  <c r="S55" i="3"/>
  <c r="T56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28" i="3" l="1"/>
  <c r="AR33" i="3"/>
  <c r="AR34" i="3"/>
  <c r="AR35" i="3"/>
  <c r="AD58" i="3"/>
  <c r="AR21" i="3"/>
  <c r="AR9" i="3"/>
  <c r="AR10" i="3"/>
  <c r="AR22" i="3"/>
  <c r="AR11" i="3"/>
  <c r="AD8" i="3" s="1"/>
  <c r="AR75" i="3"/>
  <c r="AR76" i="3"/>
  <c r="AR77" i="3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41" i="3"/>
  <c r="AD27" i="3"/>
  <c r="AD62" i="3"/>
  <c r="N63" i="3" s="1"/>
  <c r="AD44" i="3"/>
  <c r="AD32" i="3"/>
  <c r="AD75" i="3"/>
  <c r="AD33" i="3"/>
  <c r="L58" i="3"/>
  <c r="O60" i="3"/>
  <c r="AD11" i="3"/>
  <c r="N9" i="3" s="1"/>
  <c r="AD35" i="3"/>
  <c r="AD53" i="3"/>
  <c r="AD77" i="3"/>
  <c r="AD9" i="3"/>
  <c r="AD34" i="3"/>
  <c r="AD10" i="3"/>
  <c r="AD15" i="3"/>
  <c r="AD70" i="3"/>
  <c r="AD28" i="3"/>
  <c r="AD47" i="3"/>
  <c r="L59" i="3"/>
  <c r="N58" i="3"/>
  <c r="AD71" i="3"/>
  <c r="AD63" i="3"/>
  <c r="AD29" i="3"/>
  <c r="AD68" i="3"/>
  <c r="AD20" i="3"/>
  <c r="AD21" i="3"/>
  <c r="M59" i="3"/>
  <c r="AD76" i="3"/>
  <c r="AD26" i="3"/>
  <c r="AD14" i="3"/>
  <c r="AD74" i="3"/>
  <c r="J75" i="3" s="1"/>
  <c r="AS74" i="3" s="1"/>
  <c r="BL54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J39" i="3" s="1"/>
  <c r="AS38" i="3" s="1"/>
  <c r="BL22" i="3" s="1"/>
  <c r="AD50" i="3"/>
  <c r="N59" i="3"/>
  <c r="AD17" i="3"/>
  <c r="S89" i="3" l="1"/>
  <c r="T89" i="3" s="1" a="1"/>
  <c r="T89" i="3" s="1"/>
  <c r="BS21" i="3"/>
  <c r="M24" i="3"/>
  <c r="J45" i="3"/>
  <c r="AS44" i="3" s="1"/>
  <c r="BL38" i="3" s="1"/>
  <c r="N12" i="3"/>
  <c r="J33" i="3"/>
  <c r="AS32" i="3" s="1"/>
  <c r="BL10" i="3" s="1"/>
  <c r="L33" i="3"/>
  <c r="J36" i="3"/>
  <c r="O9" i="3"/>
  <c r="N33" i="3"/>
  <c r="K58" i="3"/>
  <c r="P58" i="3"/>
  <c r="L9" i="3"/>
  <c r="J9" i="3"/>
  <c r="AS8" i="3" s="1"/>
  <c r="BL50" i="3" s="1"/>
  <c r="M9" i="3"/>
  <c r="J12" i="3"/>
  <c r="J63" i="3"/>
  <c r="AS62" i="3" s="1"/>
  <c r="BL58" i="3" s="1"/>
  <c r="BS60" i="3" s="1"/>
  <c r="BZ64" i="3" s="1"/>
  <c r="N45" i="3"/>
  <c r="L51" i="3"/>
  <c r="O40" i="3"/>
  <c r="O33" i="3"/>
  <c r="L36" i="3"/>
  <c r="O63" i="3"/>
  <c r="L63" i="3"/>
  <c r="N52" i="3"/>
  <c r="M66" i="3"/>
  <c r="M63" i="3"/>
  <c r="M10" i="3"/>
  <c r="N21" i="3"/>
  <c r="O45" i="3"/>
  <c r="L45" i="3"/>
  <c r="M45" i="3"/>
  <c r="N29" i="3"/>
  <c r="N36" i="3"/>
  <c r="M36" i="3"/>
  <c r="L18" i="3"/>
  <c r="O36" i="3"/>
  <c r="M33" i="3"/>
  <c r="N35" i="3"/>
  <c r="J70" i="3"/>
  <c r="AS69" i="3" s="1"/>
  <c r="BL26" i="3" s="1"/>
  <c r="J16" i="3"/>
  <c r="AS15" i="3" s="1"/>
  <c r="BL19" i="3" s="1"/>
  <c r="M16" i="3"/>
  <c r="J76" i="3"/>
  <c r="AS75" i="3" s="1"/>
  <c r="BL27" i="3" s="1"/>
  <c r="O16" i="3"/>
  <c r="O76" i="3"/>
  <c r="O42" i="3"/>
  <c r="L34" i="3"/>
  <c r="O35" i="3"/>
  <c r="J35" i="3"/>
  <c r="AE84" i="3" s="1"/>
  <c r="AQ84" i="3" s="1"/>
  <c r="O51" i="3"/>
  <c r="O34" i="3"/>
  <c r="J10" i="3"/>
  <c r="AS9" i="3" s="1"/>
  <c r="BL18" i="3" s="1"/>
  <c r="J69" i="3"/>
  <c r="AS68" i="3" s="1"/>
  <c r="BL70" i="3" s="1"/>
  <c r="J40" i="3"/>
  <c r="AS39" i="3" s="1"/>
  <c r="BL43" i="3" s="1"/>
  <c r="J41" i="3"/>
  <c r="AE85" i="3" s="1"/>
  <c r="AQ85" i="3" s="1"/>
  <c r="M11" i="3"/>
  <c r="N11" i="3"/>
  <c r="O10" i="3"/>
  <c r="L10" i="3"/>
  <c r="J34" i="3"/>
  <c r="AS33" i="3" s="1"/>
  <c r="BL46" i="3" s="1"/>
  <c r="O12" i="3"/>
  <c r="L35" i="3"/>
  <c r="O78" i="3"/>
  <c r="L70" i="3"/>
  <c r="M27" i="3"/>
  <c r="O11" i="3"/>
  <c r="M35" i="3"/>
  <c r="L22" i="3"/>
  <c r="L11" i="3"/>
  <c r="O21" i="3"/>
  <c r="M12" i="3"/>
  <c r="N30" i="3"/>
  <c r="J11" i="3"/>
  <c r="AE80" i="3" s="1"/>
  <c r="AQ80" i="3" s="1"/>
  <c r="O24" i="3"/>
  <c r="L15" i="3"/>
  <c r="N34" i="3"/>
  <c r="N66" i="3"/>
  <c r="N51" i="3"/>
  <c r="M34" i="3"/>
  <c r="L12" i="3"/>
  <c r="M54" i="3"/>
  <c r="J42" i="3"/>
  <c r="M42" i="3"/>
  <c r="P59" i="3"/>
  <c r="O75" i="3"/>
  <c r="J18" i="3"/>
  <c r="O39" i="3"/>
  <c r="N16" i="3"/>
  <c r="N10" i="3"/>
  <c r="K57" i="3"/>
  <c r="J65" i="3"/>
  <c r="AE89" i="3" s="1"/>
  <c r="AQ89" i="3" s="1"/>
  <c r="J66" i="3"/>
  <c r="L76" i="3"/>
  <c r="O66" i="3"/>
  <c r="M76" i="3"/>
  <c r="N18" i="3"/>
  <c r="N76" i="3"/>
  <c r="O18" i="3"/>
  <c r="L77" i="3"/>
  <c r="N75" i="3"/>
  <c r="L16" i="3"/>
  <c r="N40" i="3"/>
  <c r="L75" i="3"/>
  <c r="L54" i="3"/>
  <c r="M39" i="3"/>
  <c r="M18" i="3"/>
  <c r="N17" i="3"/>
  <c r="N71" i="3"/>
  <c r="AT88" i="3"/>
  <c r="N64" i="3"/>
  <c r="M71" i="3"/>
  <c r="L66" i="3"/>
  <c r="AJ88" i="3"/>
  <c r="J71" i="3"/>
  <c r="AE90" i="3" s="1"/>
  <c r="AQ90" i="3" s="1"/>
  <c r="J72" i="3"/>
  <c r="L71" i="3"/>
  <c r="O65" i="3"/>
  <c r="M51" i="3"/>
  <c r="L40" i="3"/>
  <c r="M17" i="3"/>
  <c r="O70" i="3"/>
  <c r="N65" i="3"/>
  <c r="M40" i="3"/>
  <c r="M75" i="3"/>
  <c r="N70" i="3"/>
  <c r="M64" i="3"/>
  <c r="L42" i="3"/>
  <c r="M70" i="3"/>
  <c r="L64" i="3"/>
  <c r="L39" i="3"/>
  <c r="J48" i="3"/>
  <c r="AN88" i="3"/>
  <c r="N24" i="3"/>
  <c r="N28" i="3"/>
  <c r="L78" i="3"/>
  <c r="M78" i="3"/>
  <c r="J27" i="3"/>
  <c r="AS26" i="3" s="1"/>
  <c r="BL34" i="3" s="1"/>
  <c r="AI88" i="3"/>
  <c r="N78" i="3"/>
  <c r="O48" i="3"/>
  <c r="M29" i="3"/>
  <c r="O46" i="3"/>
  <c r="O27" i="3"/>
  <c r="N27" i="3"/>
  <c r="O30" i="3"/>
  <c r="L48" i="3"/>
  <c r="L46" i="3"/>
  <c r="M48" i="3"/>
  <c r="N46" i="3"/>
  <c r="M30" i="3"/>
  <c r="J29" i="3"/>
  <c r="AE83" i="3" s="1"/>
  <c r="AQ83" i="3" s="1"/>
  <c r="L24" i="3"/>
  <c r="AF88" i="3"/>
  <c r="N77" i="3"/>
  <c r="O72" i="3"/>
  <c r="O69" i="3"/>
  <c r="M47" i="3"/>
  <c r="L47" i="3"/>
  <c r="O28" i="3"/>
  <c r="J30" i="3"/>
  <c r="M22" i="3"/>
  <c r="M77" i="3"/>
  <c r="J78" i="3"/>
  <c r="N72" i="3"/>
  <c r="N69" i="3"/>
  <c r="N47" i="3"/>
  <c r="L28" i="3"/>
  <c r="O23" i="3"/>
  <c r="L21" i="3"/>
  <c r="K59" i="3"/>
  <c r="J77" i="3"/>
  <c r="AE91" i="3" s="1"/>
  <c r="AQ91" i="3" s="1"/>
  <c r="M72" i="3"/>
  <c r="M69" i="3"/>
  <c r="M65" i="3"/>
  <c r="L27" i="3"/>
  <c r="N22" i="3"/>
  <c r="J21" i="3"/>
  <c r="AS20" i="3" s="1"/>
  <c r="BL42" i="3" s="1"/>
  <c r="BS44" i="3" s="1"/>
  <c r="BZ48" i="3" s="1"/>
  <c r="O54" i="3"/>
  <c r="L23" i="3"/>
  <c r="O77" i="3"/>
  <c r="L72" i="3"/>
  <c r="L69" i="3"/>
  <c r="L65" i="3"/>
  <c r="N54" i="3"/>
  <c r="N48" i="3"/>
  <c r="J46" i="3"/>
  <c r="AS45" i="3" s="1"/>
  <c r="BL63" i="3" s="1"/>
  <c r="O29" i="3"/>
  <c r="M21" i="3"/>
  <c r="J22" i="3"/>
  <c r="AS21" i="3" s="1"/>
  <c r="BL23" i="3" s="1"/>
  <c r="L17" i="3"/>
  <c r="P57" i="3"/>
  <c r="O71" i="3"/>
  <c r="O64" i="3"/>
  <c r="J52" i="3"/>
  <c r="AS51" i="3" s="1"/>
  <c r="BL59" i="3" s="1"/>
  <c r="O47" i="3"/>
  <c r="J47" i="3"/>
  <c r="AE86" i="3" s="1"/>
  <c r="AQ86" i="3" s="1"/>
  <c r="N39" i="3"/>
  <c r="L29" i="3"/>
  <c r="O22" i="3"/>
  <c r="J24" i="3"/>
  <c r="O17" i="3"/>
  <c r="N53" i="3"/>
  <c r="M28" i="3"/>
  <c r="J28" i="3"/>
  <c r="AS27" i="3" s="1"/>
  <c r="BL62" i="3" s="1"/>
  <c r="BS61" i="3" s="1"/>
  <c r="AG88" i="3"/>
  <c r="J64" i="3"/>
  <c r="AS63" i="3" s="1"/>
  <c r="BL31" i="3" s="1"/>
  <c r="J51" i="3"/>
  <c r="AS50" i="3" s="1"/>
  <c r="BL30" i="3" s="1"/>
  <c r="M46" i="3"/>
  <c r="L30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Z17" i="3" l="1"/>
  <c r="U102" i="3" s="1"/>
  <c r="AC102" i="3" s="1" a="1"/>
  <c r="AC102" i="3" s="1"/>
  <c r="S96" i="3"/>
  <c r="T96" i="3" s="1" a="1"/>
  <c r="T96" i="3" s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P33" i="3"/>
  <c r="S88" i="3"/>
  <c r="T88" i="3" s="1" a="1"/>
  <c r="T88" i="3" s="1"/>
  <c r="BS20" i="3"/>
  <c r="P9" i="3"/>
  <c r="K9" i="3"/>
  <c r="P36" i="3"/>
  <c r="P63" i="3"/>
  <c r="K63" i="3"/>
  <c r="P45" i="3"/>
  <c r="K45" i="3"/>
  <c r="P66" i="3"/>
  <c r="K36" i="3"/>
  <c r="P10" i="3"/>
  <c r="P15" i="3"/>
  <c r="K33" i="3"/>
  <c r="AF90" i="3"/>
  <c r="P27" i="3"/>
  <c r="P18" i="3"/>
  <c r="AJ89" i="3"/>
  <c r="P70" i="3"/>
  <c r="K12" i="3"/>
  <c r="AH84" i="3"/>
  <c r="K42" i="3"/>
  <c r="P34" i="3"/>
  <c r="AG84" i="3"/>
  <c r="AF84" i="3"/>
  <c r="P16" i="3"/>
  <c r="AT84" i="3"/>
  <c r="AN84" i="3"/>
  <c r="AL89" i="3"/>
  <c r="P76" i="3"/>
  <c r="K11" i="3"/>
  <c r="AL84" i="3"/>
  <c r="AJ84" i="3"/>
  <c r="AI84" i="3"/>
  <c r="P39" i="3"/>
  <c r="K51" i="3"/>
  <c r="P48" i="3"/>
  <c r="AJ85" i="3"/>
  <c r="AI85" i="3"/>
  <c r="P35" i="3"/>
  <c r="AT85" i="3"/>
  <c r="AN85" i="3"/>
  <c r="AL85" i="3"/>
  <c r="K76" i="3"/>
  <c r="K23" i="3"/>
  <c r="P23" i="3"/>
  <c r="P12" i="3"/>
  <c r="AN80" i="3"/>
  <c r="AL80" i="3"/>
  <c r="AG85" i="3"/>
  <c r="K10" i="3"/>
  <c r="K35" i="3"/>
  <c r="AJ80" i="3"/>
  <c r="AI80" i="3"/>
  <c r="AH85" i="3"/>
  <c r="AF85" i="3"/>
  <c r="P75" i="3"/>
  <c r="K16" i="3"/>
  <c r="K34" i="3"/>
  <c r="P65" i="3"/>
  <c r="P78" i="3"/>
  <c r="P40" i="3"/>
  <c r="P46" i="3"/>
  <c r="AT86" i="3"/>
  <c r="K75" i="3"/>
  <c r="AH80" i="3"/>
  <c r="AN86" i="3"/>
  <c r="AG80" i="3"/>
  <c r="AL86" i="3"/>
  <c r="AF80" i="3"/>
  <c r="K24" i="3"/>
  <c r="K48" i="3"/>
  <c r="K78" i="3"/>
  <c r="P42" i="3"/>
  <c r="P11" i="3"/>
  <c r="K18" i="3"/>
  <c r="P52" i="3"/>
  <c r="K65" i="3"/>
  <c r="K64" i="3"/>
  <c r="AT91" i="3"/>
  <c r="AF91" i="3"/>
  <c r="P71" i="3"/>
  <c r="P54" i="3"/>
  <c r="AT80" i="3"/>
  <c r="P69" i="3"/>
  <c r="P22" i="3"/>
  <c r="AH89" i="3"/>
  <c r="K22" i="3"/>
  <c r="AG89" i="3"/>
  <c r="AJ81" i="3"/>
  <c r="AT83" i="3"/>
  <c r="AH86" i="3"/>
  <c r="AL90" i="3"/>
  <c r="AL91" i="3"/>
  <c r="K15" i="3"/>
  <c r="K27" i="3"/>
  <c r="AL83" i="3"/>
  <c r="AI91" i="3"/>
  <c r="K40" i="3"/>
  <c r="K54" i="3"/>
  <c r="AI89" i="3"/>
  <c r="K30" i="3"/>
  <c r="AJ86" i="3"/>
  <c r="AF89" i="3"/>
  <c r="AL81" i="3"/>
  <c r="AI86" i="3"/>
  <c r="AN91" i="3"/>
  <c r="P47" i="3"/>
  <c r="AI81" i="3"/>
  <c r="AN83" i="3"/>
  <c r="K46" i="3"/>
  <c r="K66" i="3"/>
  <c r="AJ90" i="3"/>
  <c r="AJ91" i="3"/>
  <c r="AH81" i="3"/>
  <c r="AI90" i="3"/>
  <c r="AG81" i="3"/>
  <c r="AJ83" i="3"/>
  <c r="AT89" i="3"/>
  <c r="AH90" i="3"/>
  <c r="AH91" i="3"/>
  <c r="P41" i="3"/>
  <c r="K53" i="3"/>
  <c r="AF81" i="3"/>
  <c r="AN89" i="3"/>
  <c r="AG90" i="3"/>
  <c r="AG91" i="3"/>
  <c r="K29" i="3"/>
  <c r="P64" i="3"/>
  <c r="P28" i="3"/>
  <c r="P29" i="3"/>
  <c r="K77" i="3"/>
  <c r="P30" i="3"/>
  <c r="AH87" i="3"/>
  <c r="AT82" i="3"/>
  <c r="AT90" i="3"/>
  <c r="P51" i="3"/>
  <c r="K70" i="3"/>
  <c r="AJ87" i="3"/>
  <c r="K71" i="3"/>
  <c r="K39" i="3"/>
  <c r="K69" i="3"/>
  <c r="AG86" i="3"/>
  <c r="AG87" i="3"/>
  <c r="AN81" i="3"/>
  <c r="AN82" i="3"/>
  <c r="K47" i="3"/>
  <c r="AF87" i="3"/>
  <c r="AN90" i="3"/>
  <c r="P17" i="3"/>
  <c r="K72" i="3"/>
  <c r="P21" i="3"/>
  <c r="AJ82" i="3"/>
  <c r="K28" i="3"/>
  <c r="AI82" i="3"/>
  <c r="K17" i="3"/>
  <c r="AH82" i="3"/>
  <c r="AG82" i="3"/>
  <c r="P72" i="3"/>
  <c r="AF82" i="3"/>
  <c r="AI83" i="3"/>
  <c r="K41" i="3"/>
  <c r="K21" i="3"/>
  <c r="AH83" i="3"/>
  <c r="P53" i="3"/>
  <c r="AG83" i="3"/>
  <c r="AT87" i="3"/>
  <c r="P77" i="3"/>
  <c r="P24" i="3"/>
  <c r="AF83" i="3"/>
  <c r="AF86" i="3"/>
  <c r="AN87" i="3"/>
  <c r="AT81" i="3"/>
  <c r="AL87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G92" i="3"/>
  <c r="AJ92" i="3"/>
  <c r="AI92" i="3"/>
  <c r="AL92" i="3"/>
  <c r="AM88" i="3" s="1"/>
  <c r="AF92" i="3"/>
  <c r="AS92" i="3"/>
  <c r="AN92" i="3"/>
  <c r="AH92" i="3"/>
  <c r="S103" i="3" l="1"/>
  <c r="T103" i="3" s="1" a="1"/>
  <c r="T103" i="3" s="1"/>
  <c r="CG24" i="3"/>
  <c r="S111" i="3" s="1"/>
  <c r="T111" i="3" s="1"/>
  <c r="AM90" i="3"/>
  <c r="AM82" i="3"/>
  <c r="AM91" i="3"/>
  <c r="AM83" i="3"/>
  <c r="AM84" i="3"/>
  <c r="AM85" i="3"/>
  <c r="AM86" i="3"/>
  <c r="AM87" i="3"/>
  <c r="AM81" i="3"/>
  <c r="AM80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5" i="3"/>
  <c r="AP91" i="3"/>
  <c r="AP83" i="3"/>
  <c r="AP82" i="3"/>
  <c r="AP88" i="3"/>
  <c r="AP90" i="3"/>
  <c r="AP89" i="3"/>
  <c r="AP86" i="3"/>
  <c r="AP84" i="3"/>
  <c r="AP81" i="3"/>
  <c r="AP80" i="3"/>
  <c r="CN37" i="3" l="1"/>
  <c r="CK68" i="3" s="1"/>
  <c r="CN48" i="3"/>
  <c r="AD85" i="3"/>
  <c r="AS85" i="3" s="1"/>
  <c r="AD91" i="3"/>
  <c r="AS91" i="3" s="1"/>
  <c r="AD89" i="3"/>
  <c r="AS89" i="3" s="1"/>
  <c r="AD81" i="3"/>
  <c r="AS81" i="3" s="1"/>
  <c r="AD84" i="3"/>
  <c r="AS84" i="3" s="1"/>
  <c r="AD86" i="3"/>
  <c r="AS86" i="3" s="1"/>
  <c r="AD80" i="3"/>
  <c r="AS80" i="3" s="1"/>
  <c r="AD88" i="3"/>
  <c r="AS88" i="3" s="1"/>
  <c r="AD90" i="3"/>
  <c r="AS90" i="3" s="1"/>
  <c r="AD82" i="3"/>
  <c r="AS82" i="3" s="1"/>
  <c r="AD83" i="3"/>
  <c r="AS83" i="3" s="1"/>
  <c r="AD87" i="3"/>
  <c r="AS87" i="3" s="1"/>
  <c r="M88" i="3" l="1"/>
  <c r="J92" i="3"/>
  <c r="M81" i="3"/>
  <c r="J91" i="3"/>
  <c r="J81" i="3"/>
  <c r="M89" i="3"/>
  <c r="O87" i="3"/>
  <c r="J89" i="3"/>
  <c r="N89" i="3"/>
  <c r="L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91" i="3"/>
  <c r="O91" i="3"/>
  <c r="L89" i="3"/>
  <c r="O86" i="3"/>
  <c r="O88" i="3"/>
  <c r="J83" i="3"/>
  <c r="N81" i="3"/>
  <c r="M90" i="3"/>
  <c r="L91" i="3"/>
  <c r="O81" i="3"/>
  <c r="J86" i="3"/>
  <c r="L87" i="3"/>
  <c r="O89" i="3"/>
  <c r="J85" i="3"/>
  <c r="M86" i="3"/>
  <c r="O92" i="3"/>
  <c r="L84" i="3"/>
  <c r="J84" i="3"/>
  <c r="M82" i="3"/>
  <c r="L82" i="3"/>
  <c r="N85" i="3"/>
  <c r="M87" i="3"/>
  <c r="N88" i="3"/>
  <c r="N83" i="3"/>
  <c r="L90" i="3"/>
  <c r="L83" i="3"/>
  <c r="M92" i="3"/>
  <c r="N82" i="3"/>
  <c r="N86" i="3"/>
  <c r="O85" i="3"/>
  <c r="L86" i="3"/>
  <c r="O83" i="3"/>
  <c r="J90" i="3"/>
  <c r="O90" i="3"/>
  <c r="J87" i="3"/>
  <c r="J82" i="3"/>
  <c r="L88" i="3"/>
  <c r="O84" i="3"/>
  <c r="N92" i="3"/>
  <c r="N91" i="3"/>
  <c r="N90" i="3"/>
  <c r="M85" i="3"/>
  <c r="L85" i="3"/>
  <c r="M84" i="3"/>
  <c r="M83" i="3"/>
  <c r="L81" i="3"/>
  <c r="O82" i="3"/>
  <c r="N87" i="3"/>
  <c r="K87" i="3" s="1"/>
  <c r="J88" i="3"/>
  <c r="N84" i="3"/>
  <c r="P88" i="3" l="1"/>
  <c r="P92" i="3"/>
  <c r="P81" i="3"/>
  <c r="P86" i="3"/>
  <c r="P85" i="3"/>
  <c r="K89" i="3"/>
  <c r="P89" i="3"/>
  <c r="K92" i="3"/>
  <c r="P90" i="3"/>
  <c r="P87" i="3"/>
  <c r="P83" i="3"/>
  <c r="K86" i="3"/>
  <c r="P84" i="3"/>
  <c r="K82" i="3"/>
  <c r="P91" i="3"/>
  <c r="K81" i="3"/>
  <c r="K83" i="3"/>
  <c r="K3" i="4"/>
  <c r="BL55" i="3" s="1"/>
  <c r="K84" i="3"/>
  <c r="D3" i="4"/>
  <c r="BL51" i="3" s="1"/>
  <c r="BS52" i="3" s="1"/>
  <c r="B3" i="4"/>
  <c r="K91" i="3"/>
  <c r="K90" i="3"/>
  <c r="K88" i="3"/>
  <c r="J3" i="4"/>
  <c r="BL71" i="3" s="1"/>
  <c r="G3" i="4"/>
  <c r="BL11" i="3" s="1"/>
  <c r="P82" i="3"/>
  <c r="I3" i="4"/>
  <c r="BL15" i="3" s="1"/>
  <c r="H3" i="4"/>
  <c r="BL39" i="3" s="1"/>
  <c r="K85" i="3"/>
  <c r="E3" i="4"/>
  <c r="BL67" i="3" s="1"/>
  <c r="BS53" i="3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<sst xmlns="http://schemas.openxmlformats.org/spreadsheetml/2006/main" count="9785" uniqueCount="3699">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</sst>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N41" sqref="CN41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2</v>
      </c>
      <c r="AL8" s="123">
        <f>AI8-AJ8</f>
        <v>1</v>
      </c>
      <c r="AM8" s="123">
        <f>AL8-AL12</f>
        <v>2</v>
      </c>
      <c r="AN8" s="123">
        <f>AF8*3+AG8</f>
        <v>5</v>
      </c>
      <c r="AO8" s="123">
        <f>AN8/AN12*10+BA8</f>
        <v>9.3139158576051777</v>
      </c>
      <c r="AP8" s="123">
        <f>AO8*10000000+BI8*100+AM8/AM12*10+AI8/AI12*1++IF(AQ8=0,ROW(),AQ8)/2000000</f>
        <v>93139264.051811382</v>
      </c>
      <c r="AQ8" s="126">
        <f>VLOOKUP(AE8,db_fifarank,2,FALSE)</f>
        <v>1681.03</v>
      </c>
      <c r="AR8" s="125">
        <f>AP8/AP12</f>
        <v>0.99999998926338962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3 - 2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3</v>
      </c>
      <c r="AL9" s="123">
        <f>AI9-AJ9</f>
        <v>-1</v>
      </c>
      <c r="AM9" s="123">
        <f>AL9-AL12</f>
        <v>0</v>
      </c>
      <c r="AN9" s="123">
        <f>AF9*3+AG9</f>
        <v>3</v>
      </c>
      <c r="AO9" s="123">
        <f>AN9/AN12*10+BA9</f>
        <v>5</v>
      </c>
      <c r="AP9" s="123">
        <f>AO9*10000000+BI9*100+AM9/AM12*10+AI9/AI12*1++IF(AQ9=0,ROW(),AQ9)/2000000</f>
        <v>50000000.500714868</v>
      </c>
      <c r="AQ9" s="126">
        <f>VLOOKUP(AE9,db_fifarank,2,FALSE)</f>
        <v>1429.73</v>
      </c>
      <c r="AR9" s="125">
        <f>AP9/AP12</f>
        <v>0.53683052440773438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2 - 1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0</v>
      </c>
      <c r="AN10" s="123">
        <f>AF10*3+AG10</f>
        <v>2</v>
      </c>
      <c r="AO10" s="123">
        <f>AN10/AN12*10+BA10</f>
        <v>3.333333333333333</v>
      </c>
      <c r="AP10" s="123">
        <f>AO10*10000000+BI10*100+AM10/AM12*10+AI10/AI12*1++IF(AQ10=0,ROW(),AQ10)/2000000</f>
        <v>33333333.834127661</v>
      </c>
      <c r="AQ10" s="126">
        <f>VLOOKUP(AE10,db_fifarank,2,FALSE)</f>
        <v>1588.66</v>
      </c>
      <c r="AR10" s="125">
        <f>AP10/AP12</f>
        <v>0.35788701806466949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1</v>
      </c>
      <c r="AL11" s="123">
        <f>AI11-AJ11</f>
        <v>1</v>
      </c>
      <c r="AM11" s="123">
        <f>AL11-AL12</f>
        <v>2</v>
      </c>
      <c r="AN11" s="123">
        <f>AF11*3+AG11</f>
        <v>5</v>
      </c>
      <c r="AO11" s="123">
        <f>AN11/AN12*10+BA11</f>
        <v>9.3139158576051777</v>
      </c>
      <c r="AP11" s="123">
        <f>AO11*10000000+BI11*100+AM11/AM12*10+AI11/AI12*1++IF(AQ11=0,ROW(),AQ11)/2000000</f>
        <v>93139263.801721558</v>
      </c>
      <c r="AQ11" s="126">
        <f>VLOOKUP(AE11,db_fifarank,2,FALSE)</f>
        <v>1501.38</v>
      </c>
      <c r="AR11" s="125">
        <f>AP11/AP12</f>
        <v>0.9999999865782726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Turkey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2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2 - 3</v>
      </c>
      <c r="P12" s="37">
        <f>L12*3+M12</f>
        <v>2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2</v>
      </c>
      <c r="W12" s="123">
        <f t="shared" si="4"/>
        <v>2</v>
      </c>
      <c r="X12" s="123">
        <f t="shared" si="9"/>
        <v>1</v>
      </c>
      <c r="Y12" s="123">
        <f t="shared" si="10"/>
        <v>2</v>
      </c>
      <c r="Z12" s="123">
        <f t="shared" si="11"/>
        <v>2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3</v>
      </c>
      <c r="AI12" s="123">
        <f>MAX(AI8:AI11)+1</f>
        <v>4</v>
      </c>
      <c r="AL12" s="123">
        <f>MIN(AL8:AL11)</f>
        <v>-1</v>
      </c>
      <c r="AM12" s="123">
        <f>MAX(AM8:AM11)+1</f>
        <v>3</v>
      </c>
      <c r="AN12" s="123">
        <f>MAX(AN8:AN11)+1</f>
        <v>6</v>
      </c>
      <c r="AO12" s="123">
        <f>MAX(AO8:AO11)+1</f>
        <v>10.313915857605178</v>
      </c>
      <c r="AP12" s="123">
        <f>MAX(AP8:AP11)+1</f>
        <v>93139265.051811382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4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0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Qatar_win</v>
      </c>
      <c r="T14" s="127" t="str">
        <f t="shared" si="2"/>
        <v>Switzerland_lose</v>
      </c>
      <c r="U14" s="123">
        <f t="shared" si="8"/>
        <v>1</v>
      </c>
      <c r="V14" s="123">
        <f t="shared" si="3"/>
        <v>1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2</v>
      </c>
      <c r="AL14" s="123">
        <f>AI14-AJ14</f>
        <v>5</v>
      </c>
      <c r="AM14" s="123">
        <f>AL14-AL18</f>
        <v>9</v>
      </c>
      <c r="AN14" s="123">
        <f>AF14*3+AG14</f>
        <v>9</v>
      </c>
      <c r="AO14" s="123">
        <f>AN14/AN18*10+BA14</f>
        <v>9.0083966972990623</v>
      </c>
      <c r="AP14" s="123">
        <f>AO14*10000000+BI14*100+AM14/AM18*10+AI14/AI18*1++IF(AQ14=0,ROW(),AQ14)/2000000</f>
        <v>90083976.84876886</v>
      </c>
      <c r="AQ14" s="126">
        <f>VLOOKUP(AE14,db_fifarank,2,FALSE)</f>
        <v>1556.48</v>
      </c>
      <c r="AR14" s="125">
        <f>AP14/AP18</f>
        <v>0.99999998889924691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3</v>
      </c>
      <c r="AZ14" s="126">
        <f>AT14/AT18*1000+AU14/AU18*100+AY14/AY18*10+AV14/AV18</f>
        <v>4.2857142857142856</v>
      </c>
      <c r="BA14" s="126">
        <f>AZ14/AZ18</f>
        <v>8.3966972990623685E-3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6</v>
      </c>
      <c r="AJ15" s="123">
        <f>SUMIF($E$7:$E$78,$AE15,$G$7:$G$78) + SUMIF($H$7:$H$78,$AE15,$F$7:$F$78)</f>
        <v>5</v>
      </c>
      <c r="AL15" s="123">
        <f>AI15-AJ15</f>
        <v>1</v>
      </c>
      <c r="AM15" s="123">
        <f>AL15-AL18</f>
        <v>5</v>
      </c>
      <c r="AN15" s="123">
        <f>AF15*3+AG15</f>
        <v>3</v>
      </c>
      <c r="AO15" s="123">
        <f>AN15/AN18*10+BA15</f>
        <v>3.9980407706302188</v>
      </c>
      <c r="AP15" s="123">
        <f>AO15*10000000+BI15*100+AM15/AM18*10+AI15/AI18*1++IF(AQ15=0,ROW(),AQ15)/2000000</f>
        <v>39980413.456995107</v>
      </c>
      <c r="AQ15" s="126">
        <f>VLOOKUP(AE15,db_fifarank,2,FALSE)</f>
        <v>1385.84</v>
      </c>
      <c r="AR15" s="125">
        <f>AP15/AP18</f>
        <v>0.44381270023525615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1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5</v>
      </c>
      <c r="AW15" s="126" cm="1">
        <f t="array" ref="AW15">SUMPRODUCT(($E$7:$E$78=AE15)*($U$7:$U$78)*($G$7:$G$78))+SUMPRODUCT(($H$7:$H$78=AE15)*($U$7:$U$78)*($F$7:$F$78))</f>
        <v>2</v>
      </c>
      <c r="AX15" s="126">
        <f>AV15-AW15</f>
        <v>3</v>
      </c>
      <c r="AY15" s="126">
        <f>AX15-MIN(AX14:AX17)</f>
        <v>6</v>
      </c>
      <c r="AZ15" s="126">
        <f>AT15/AT18*1000+AU15/AU18*100+AY15/AY18*10+AV15/AV18</f>
        <v>509.40476190476187</v>
      </c>
      <c r="BA15" s="126">
        <f>AZ15/AZ18</f>
        <v>0.99804077063021879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0</v>
      </c>
      <c r="N16" s="23">
        <f>VLOOKUP(2,AD14:AN17,5,FALSE)</f>
        <v>2</v>
      </c>
      <c r="O16" s="23" t="str">
        <f>VLOOKUP(2,AD14:AN17,6,FALSE) &amp; " - " &amp; VLOOKUP(2,AD14:AN17,7,FALSE)</f>
        <v>6 - 5</v>
      </c>
      <c r="P16" s="34">
        <f>L16*3+M16</f>
        <v>3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3</v>
      </c>
      <c r="AO16" s="123">
        <f>AN16/AN18*10+BA16</f>
        <v>3.9799412231189066</v>
      </c>
      <c r="AP16" s="123">
        <f>AO16*10000000+BI16*100+AM16/AM18*10+AI16/AI18*1++IF(AQ16=0,ROW(),AQ16)/2000000</f>
        <v>39799412.356916547</v>
      </c>
      <c r="AQ16" s="126">
        <f>VLOOKUP(AE16,db_fifarank,2,FALSE)</f>
        <v>1454.96</v>
      </c>
      <c r="AR16" s="125">
        <f>AP16/AP18</f>
        <v>0.44180345170515212</v>
      </c>
      <c r="AT16" s="126" cm="1">
        <f t="array" ref="AT16">SUMPRODUCT(($S$7:$S$78=AE16&amp;"_win")*($U$7:$U$78))+SUMPRODUCT(($T$7:$T$78=AE16&amp;"_win")*($U$7:$U$78))</f>
        <v>1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4</v>
      </c>
      <c r="AX16" s="126">
        <f>AV16-AW16</f>
        <v>-3</v>
      </c>
      <c r="AY16" s="126">
        <f>AX16-MIN(AX14:AX17)</f>
        <v>0</v>
      </c>
      <c r="AZ16" s="126">
        <f>AT16/AT18*1000+AU16/AU18*100+AY16/AY18*10+AV16/AV18</f>
        <v>500.16666666666669</v>
      </c>
      <c r="BA16" s="126">
        <f>AZ16/AZ18</f>
        <v>0.97994122311890663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Switzerland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3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0</v>
      </c>
      <c r="AH17" s="123">
        <f>COUNTIF($S$7:$T$78,"=" &amp; AE17 &amp; "_lose")</f>
        <v>2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5</v>
      </c>
      <c r="AL17" s="123">
        <f>AI17-AJ17</f>
        <v>-2</v>
      </c>
      <c r="AM17" s="123">
        <f>AL17-AL18</f>
        <v>2</v>
      </c>
      <c r="AN17" s="123">
        <f>AF17*3+AG17</f>
        <v>3</v>
      </c>
      <c r="AO17" s="123">
        <f>AN17/AN18*10+BA17</f>
        <v>3.9886644586462658</v>
      </c>
      <c r="AP17" s="123">
        <f>AO17*10000000+BI17*100+AM17/AM18*10+AI17/AI18*1++IF(AQ17=0,ROW(),AQ17)/2000000</f>
        <v>39886646.962287359</v>
      </c>
      <c r="AQ17" s="126">
        <f>VLOOKUP(AE17,db_fifarank,2,FALSE)</f>
        <v>1649.4</v>
      </c>
      <c r="AR17" s="125">
        <f>AP17/AP18</f>
        <v>0.44277182152466943</v>
      </c>
      <c r="AT17" s="126" cm="1">
        <f t="array" ref="AT17">SUMPRODUCT(($S$7:$S$78=AE17&amp;"_win")*($U$7:$U$78))+SUMPRODUCT(($T$7:$T$78=AE17&amp;"_win")*($U$7:$U$78))</f>
        <v>1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3</v>
      </c>
      <c r="AZ17" s="126">
        <f>AT17/AT18*1000+AU17/AU18*100+AY17/AY18*10+AV17/AV18</f>
        <v>504.61904761904759</v>
      </c>
      <c r="BA17" s="126">
        <f>AZ17/AZ18</f>
        <v>0.98866445864626584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1</v>
      </c>
      <c r="M18" s="36">
        <f>VLOOKUP(4,AD14:AN17,4,FALSE)</f>
        <v>0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3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8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10.008396697299062</v>
      </c>
      <c r="AP18" s="123">
        <f>MAX(AP14:AP17)+1</f>
        <v>90083977.84876886</v>
      </c>
      <c r="AT18" s="126">
        <f>MAX(AT14:AT17)-MIN(AT14:AT17)+1</f>
        <v>2</v>
      </c>
      <c r="AU18" s="126">
        <f>MAX(AU14:AU17)-MIN(AU14:AU17)+1</f>
        <v>1</v>
      </c>
      <c r="AV18" s="126">
        <f>MAX(AV14:AV17)-MIN(AV14:AV17)+1</f>
        <v>6</v>
      </c>
      <c r="AW18" s="126">
        <f>MAX(AW14:AW17)-MIN(AW14:AW17)+1</f>
        <v>5</v>
      </c>
      <c r="AY18" s="126">
        <f>MAX(AY14:AY17)-MIN(AY14:AY17)+1</f>
        <v>7</v>
      </c>
      <c r="AZ18" s="126">
        <f>MAX(AZ14:AZ17)+1</f>
        <v>510.40476190476187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>
        <v>1</v>
      </c>
      <c r="BO18" s="25">
        <v>1</v>
      </c>
      <c r="BP18" s="112">
        <f>IF(OR(BM18="",BM19="",AND(BN18="",BN19&lt;&gt;""),AND(BN19="",BN18&lt;&gt;""),AND(BO18="",BO19&lt;&gt;""),AND(BO19="",BO18&lt;&gt;"")),"",BM18*1000+BN18*10+BO18)</f>
        <v>1011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1</v>
      </c>
      <c r="BN19" s="64">
        <v>1</v>
      </c>
      <c r="BO19" s="27">
        <v>0</v>
      </c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3</v>
      </c>
      <c r="AL20" s="123">
        <f>AI20-AJ20</f>
        <v>7</v>
      </c>
      <c r="AM20" s="123">
        <f>AL20-AL24</f>
        <v>14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90000010.243304819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10 - 3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6</v>
      </c>
      <c r="AL21" s="123">
        <f>AI21-AJ21</f>
        <v>-1</v>
      </c>
      <c r="AM21" s="123">
        <f>AL21-AL24</f>
        <v>6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49805927.756394252</v>
      </c>
      <c r="AQ21" s="126">
        <f>VLOOKUP(AE21,db_fifarank,2,FALSE)</f>
        <v>1755.87</v>
      </c>
      <c r="AR21" s="125">
        <f>AP21/AP24</f>
        <v>0.55339912815954628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9.1554945909090912E-2</v>
      </c>
      <c r="AQ22" s="126">
        <f>VLOOKUP(AE22,db_fifarank,2,FALSE)</f>
        <v>1291.71</v>
      </c>
      <c r="AR22" s="125">
        <f>AP22/AP24</f>
        <v>1.0172770496837218E-9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5 - 6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4</v>
      </c>
      <c r="AL23" s="123">
        <f>AI23-AJ23</f>
        <v>1</v>
      </c>
      <c r="AM23" s="123">
        <f>AL23-AL24</f>
        <v>8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49805929.089598835</v>
      </c>
      <c r="AQ23" s="126">
        <f>VLOOKUP(AE23,db_fifarank,2,FALSE)</f>
        <v>1498.35</v>
      </c>
      <c r="AR23" s="125">
        <f>AP23/AP24</f>
        <v>0.55339914297292869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Scotland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-7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90000011.243304819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3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87500008.334169894</v>
      </c>
      <c r="AQ26" s="126">
        <f>VLOOKUP(AE26,db_fifarank,2,FALSE)</f>
        <v>1673.13</v>
      </c>
      <c r="AR26" s="125">
        <f>AP26/AP30</f>
        <v>0.9999999885714298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3</v>
      </c>
      <c r="AH27" s="123">
        <f>COUNTIF($S$7:$T$78,"=" &amp; AE27 &amp; "_lose")</f>
        <v>0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1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37500003.000751749</v>
      </c>
      <c r="AQ27" s="126">
        <f>VLOOKUP(AE27,db_fifarank,2,FALSE)</f>
        <v>1503.5</v>
      </c>
      <c r="AR27" s="125">
        <f>AP27/AP30</f>
        <v>0.42857141714735231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0</v>
      </c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0</v>
      </c>
      <c r="M28" s="23">
        <f>VLOOKUP(2,AD26:AN29,4,FALSE)</f>
        <v>3</v>
      </c>
      <c r="N28" s="23">
        <f>VLOOKUP(2,AD26:AN29,5,FALSE)</f>
        <v>0</v>
      </c>
      <c r="O28" s="23" t="str">
        <f>VLOOKUP(2,AD26:AN29,6,FALSE) &amp; " - " &amp; VLOOKUP(2,AD26:AN29,7,FALSE)</f>
        <v>3 - 3</v>
      </c>
      <c r="P28" s="34">
        <f>L28*3+M28</f>
        <v>3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5</v>
      </c>
      <c r="AL28" s="123">
        <f>AI28-AJ28</f>
        <v>-1</v>
      </c>
      <c r="AM28" s="123">
        <f>AL28-AL30</f>
        <v>0</v>
      </c>
      <c r="AN28" s="123">
        <f>AF28*3+AG28</f>
        <v>2</v>
      </c>
      <c r="AO28" s="123">
        <f>AN28/AN30*10+BA28</f>
        <v>3.4806451612903224</v>
      </c>
      <c r="AP28" s="123">
        <f>AO28*10000000+BI28*100+AM28/AM30*10+AI28/AI30*1++IF(AQ28=0,ROW(),AQ28)/2000000</f>
        <v>34806550.344876349</v>
      </c>
      <c r="AQ28" s="126">
        <f>VLOOKUP(AE28,db_fifarank,2,FALSE)</f>
        <v>1580.67</v>
      </c>
      <c r="AR28" s="125">
        <f>AP28/AP30</f>
        <v>0.39778910436394588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2</v>
      </c>
      <c r="AW28" s="126" cm="1">
        <f t="array" ref="AW28">SUMPRODUCT(($E$7:$E$78=AE28)*($U$7:$U$78)*($G$7:$G$78))+SUMPRODUCT(($H$7:$H$78=AE28)*($U$7:$U$78)*($F$7:$F$78))</f>
        <v>2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50.666666666666664</v>
      </c>
      <c r="BA28" s="126">
        <f>AZ28/AZ30</f>
        <v>0.98064516129032253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2</v>
      </c>
      <c r="BE28" s="126" cm="1">
        <f t="array" ref="BE28">SUMPRODUCT(($E$7:$E$78=AE28)*($X$7:$X$78)*($G$7:$G$78))+SUMPRODUCT(($H$7:$H$78=AE28)*($X$7:$X$78)*($F$7:$F$78))</f>
        <v>2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50.666666666666664</v>
      </c>
      <c r="BI28" s="126">
        <f>BH28/BH30</f>
        <v>0.98064516129032253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4 - 5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2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5</v>
      </c>
      <c r="AL29" s="123">
        <f>AI29-AJ29</f>
        <v>-1</v>
      </c>
      <c r="AM29" s="123">
        <f>AL29-AL30</f>
        <v>0</v>
      </c>
      <c r="AN29" s="123">
        <f>AF29*3+AG29</f>
        <v>2</v>
      </c>
      <c r="AO29" s="123">
        <f>AN29/AN30*10+BA29</f>
        <v>3.4806451612903224</v>
      </c>
      <c r="AP29" s="123">
        <f>AO29*10000000+BI29*100+AM29/AM30*10+AI29/AI30*1++IF(AQ29=0,ROW(),AQ29)/2000000</f>
        <v>34806550.344885536</v>
      </c>
      <c r="AQ29" s="126">
        <f>VLOOKUP(AE29,db_fifarank,2,FALSE)</f>
        <v>1599.04</v>
      </c>
      <c r="AR29" s="125">
        <f>AP29/AP30</f>
        <v>0.39778910436405091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50.666666666666664</v>
      </c>
      <c r="BA29" s="126">
        <f>AZ29/AZ30</f>
        <v>0.98064516129032253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50.666666666666664</v>
      </c>
      <c r="BI29" s="126">
        <f>BH29/BH30</f>
        <v>0.98064516129032253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4 - 5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2</v>
      </c>
      <c r="AI30" s="123">
        <f>MAX(AI26:AI29)+1</f>
        <v>6</v>
      </c>
      <c r="AL30" s="123">
        <f>MIN(AL26:AL29)</f>
        <v>-1</v>
      </c>
      <c r="AM30" s="123">
        <f>MAX(AM26:AM29)+1</f>
        <v>4</v>
      </c>
      <c r="AN30" s="123">
        <f>MAX(AN26:AN29)+1</f>
        <v>8</v>
      </c>
      <c r="AO30" s="123">
        <f>MAX(AO26:AO29)+1</f>
        <v>9.75</v>
      </c>
      <c r="AP30" s="123">
        <f>MAX(AP26:AP29)+1</f>
        <v>87500009.334169894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51.666666666666664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1</v>
      </c>
      <c r="V32" s="123">
        <f t="shared" si="3"/>
        <v>2</v>
      </c>
      <c r="W32" s="123">
        <f t="shared" si="4"/>
        <v>1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90000009.966774285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5</v>
      </c>
      <c r="AL33" s="123">
        <f>AI33-AJ33</f>
        <v>-4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19805923.4266182</v>
      </c>
      <c r="AQ33" s="126">
        <f>VLOOKUP(AE33,db_fifarank,2,FALSE)</f>
        <v>1294.6500000000001</v>
      </c>
      <c r="AR33" s="125">
        <f>AP33/AP36</f>
        <v>0.22006578903562626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5</v>
      </c>
      <c r="AL34" s="123">
        <f>AI34-AJ34</f>
        <v>-4</v>
      </c>
      <c r="AM34" s="123">
        <f>AL34-AL36</f>
        <v>0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19805923.426737364</v>
      </c>
      <c r="AQ34" s="126">
        <f>VLOOKUP(AE34,db_fifarank,2,FALSE)</f>
        <v>1532.98</v>
      </c>
      <c r="AR34" s="125">
        <f>AP34/AP36</f>
        <v>0.22006578903695032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1 - 5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2</v>
      </c>
      <c r="AL35" s="123">
        <f>AI35-AJ35</f>
        <v>2</v>
      </c>
      <c r="AM35" s="123">
        <f>AL35-AL36</f>
        <v>6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60000005.955342844</v>
      </c>
      <c r="AQ35" s="126">
        <f>VLOOKUP(AE35,db_fifarank,2,FALSE)</f>
        <v>1594.78</v>
      </c>
      <c r="AR35" s="125">
        <f>AP35/AP36</f>
        <v>0.66666665160177951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Switzerland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1 - 5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8</v>
      </c>
      <c r="AL36" s="123">
        <f>MIN(AL32:AL35)</f>
        <v>-4</v>
      </c>
      <c r="AM36" s="123">
        <f>MAX(AM32:AM35)+1</f>
        <v>11</v>
      </c>
      <c r="AN36" s="123">
        <f>MAX(AN32:AN35)+1</f>
        <v>10</v>
      </c>
      <c r="AO36" s="123">
        <f>MAX(AO32:AO35)+1</f>
        <v>10</v>
      </c>
      <c r="AP36" s="123">
        <f>MAX(AP32:AP35)+1</f>
        <v>90000010.966774285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3</v>
      </c>
      <c r="AL38" s="123">
        <f>AI38-AJ38</f>
        <v>2</v>
      </c>
      <c r="AM38" s="123">
        <f>AL38-AL42</f>
        <v>4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87500008.834212258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2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50000004.667496882</v>
      </c>
      <c r="AQ39" s="126">
        <f>VLOOKUP(AE39,db_fifarank,2,FALSE)</f>
        <v>1660.43</v>
      </c>
      <c r="AR39" s="125">
        <f>AP39/AP42</f>
        <v>0.5714285605479672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3</v>
      </c>
      <c r="AH40" s="123">
        <f>COUNTIF($S$7:$T$78,"=" &amp; AE40 &amp; "_lose")</f>
        <v>0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2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37500004.500757381</v>
      </c>
      <c r="AQ40" s="126">
        <f>VLOOKUP(AE40,db_fifarank,2,FALSE)</f>
        <v>1514.77</v>
      </c>
      <c r="AR40" s="125">
        <f>AP40/AP42</f>
        <v>0.42857143184108515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3</v>
      </c>
      <c r="N41" s="23">
        <f>VLOOKUP(3,AD38:AN41,5,FALSE)</f>
        <v>0</v>
      </c>
      <c r="O41" s="23" t="str">
        <f>VLOOKUP(3,AD38:AN41,6,FALSE) &amp; " - " &amp; VLOOKUP(3,AD38:AN41,7,FALSE)</f>
        <v>3 - 3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12500000.500741525</v>
      </c>
      <c r="AQ41" s="126">
        <f>VLOOKUP(AE41,db_fifarank,2,FALSE)</f>
        <v>1483.05</v>
      </c>
      <c r="AR41" s="125">
        <f>AP41/AP42</f>
        <v>0.14285713252404755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3</v>
      </c>
      <c r="AI42" s="123">
        <f>MAX(AI38:AI41)+1</f>
        <v>6</v>
      </c>
      <c r="AL42" s="123">
        <f>MIN(AL38:AL41)</f>
        <v>-2</v>
      </c>
      <c r="AM42" s="123">
        <f>MAX(AM38:AM41)+1</f>
        <v>5</v>
      </c>
      <c r="AN42" s="123">
        <f>MAX(AN38:AN41)+1</f>
        <v>8</v>
      </c>
      <c r="AO42" s="123">
        <f>MAX(AO38:AO41)+1</f>
        <v>9.75</v>
      </c>
      <c r="AP42" s="123">
        <f>MAX(AP38:AP41)+1</f>
        <v>87500009.834212258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4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4000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3</v>
      </c>
      <c r="AL45" s="123">
        <f>AI45-AJ45</f>
        <v>-1</v>
      </c>
      <c r="AM45" s="123">
        <f>AL45-AL48</f>
        <v>3</v>
      </c>
      <c r="AN45" s="123">
        <f>AF45*3+AG45</f>
        <v>3</v>
      </c>
      <c r="AO45" s="123">
        <f>AN45/AN48*10+BA45</f>
        <v>3</v>
      </c>
      <c r="AP45" s="123">
        <f>AO45*10000000+BI45*100+AM45/AM48*10+AI45/AI48*1++IF(AQ45=0,ROW(),AQ45)/2000000</f>
        <v>30000003.286495909</v>
      </c>
      <c r="AQ45" s="126">
        <f>VLOOKUP(AE45,db_fifarank,2,FALSE)</f>
        <v>1563.24</v>
      </c>
      <c r="AR45" s="125">
        <f>AP45/AP48</f>
        <v>0.33333332963510237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0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4 - 4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Zealand_win</v>
      </c>
      <c r="T46" s="127" t="str">
        <f t="shared" si="2"/>
        <v>Egypt_lose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0.14366479285714284</v>
      </c>
      <c r="AQ46" s="126">
        <f>VLOOKUP(AE46,db_fifarank,2,FALSE)</f>
        <v>1615.3</v>
      </c>
      <c r="AR46" s="125">
        <f>AP46/AP48</f>
        <v>1.5962752836085503E-9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2 - 3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2</v>
      </c>
      <c r="AG47" s="123">
        <f>COUNTIF($S$7:$T$78,"=" &amp; AE47 &amp; "_draw")</f>
        <v>0</v>
      </c>
      <c r="AH47" s="123">
        <f>COUNTIF($S$7:$T$78,"=" &amp; AE47 &amp; "_lose")</f>
        <v>1</v>
      </c>
      <c r="AI47" s="123">
        <f>SUMIF($E$7:$E$78,$AE47,$F$7:$F$78) + SUMIF($H$7:$H$78,$AE47,$G$7:$G$78)</f>
        <v>4</v>
      </c>
      <c r="AJ47" s="123">
        <f>SUMIF($E$7:$E$78,$AE47,$G$7:$G$78) + SUMIF($H$7:$H$78,$AE47,$F$7:$F$78)</f>
        <v>4</v>
      </c>
      <c r="AL47" s="123">
        <f>AI47-AJ47</f>
        <v>0</v>
      </c>
      <c r="AM47" s="123">
        <f>AL47-AL48</f>
        <v>4</v>
      </c>
      <c r="AN47" s="123">
        <f>AF47*3+AG47</f>
        <v>6</v>
      </c>
      <c r="AO47" s="123">
        <f>AN47/AN48*10+BA47</f>
        <v>6</v>
      </c>
      <c r="AP47" s="123">
        <f>AO47*10000000+BI47*100+AM47/AM48*10+AI47/AI48*1++IF(AQ47=0,ROW(),AQ47)/2000000</f>
        <v>60000004.572069362</v>
      </c>
      <c r="AQ47" s="126">
        <f>VLOOKUP(AE47,db_fifarank,2,FALSE)</f>
        <v>1281.57</v>
      </c>
      <c r="AR47" s="125">
        <f>AP47/AP48</f>
        <v>0.66666663703773577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>
        <v>2</v>
      </c>
      <c r="BO47" s="27"/>
      <c r="BP47" s="112">
        <f>IF(BP46="","",BM47*1000+BN47*10+BO47)</f>
        <v>20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1 - 5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14</v>
      </c>
      <c r="AN50" s="123">
        <f>AF50*3+AG50</f>
        <v>7</v>
      </c>
      <c r="AO50" s="123">
        <f>AN50/AN54*10+BA50</f>
        <v>9.7402912621359228</v>
      </c>
      <c r="AP50" s="123">
        <f>AO50*10000000+BI50*100+AM50/AM54*10+AI50/AI54*1++IF(AQ50=0,ROW(),AQ50)/2000000</f>
        <v>97403021.884756982</v>
      </c>
      <c r="AQ50" s="126">
        <f>VLOOKUP(AE50,db_fifarank,2,FALSE)</f>
        <v>1876.4</v>
      </c>
      <c r="AR50" s="125">
        <f>AP50/AP54</f>
        <v>0.99999998973337823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2</v>
      </c>
      <c r="AW50" s="126" cm="1">
        <f t="array" ref="AW50">SUMPRODUCT(($E$7:$E$78=AE50)*($U$7:$U$78)*($G$7:$G$78))+SUMPRODUCT(($H$7:$H$78=AE50)*($U$7:$U$78)*($F$7:$F$78))</f>
        <v>2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102</v>
      </c>
      <c r="BA50" s="126">
        <f>AZ50/AZ54</f>
        <v>0.99029126213592233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2</v>
      </c>
      <c r="BE50" s="126" cm="1">
        <f t="array" ref="BE50">SUMPRODUCT(($E$7:$E$78=AE50)*($X$7:$X$78)*($G$7:$G$78))+SUMPRODUCT(($H$7:$H$78=AE50)*($X$7:$X$78)*($F$7:$F$78))</f>
        <v>2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102</v>
      </c>
      <c r="BI50" s="126">
        <f>BH50/BH54</f>
        <v>0.99029126213592233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7</v>
      </c>
      <c r="AL51" s="123">
        <f>AI51-AJ51</f>
        <v>-5</v>
      </c>
      <c r="AM51" s="123">
        <f>AL51-AL54</f>
        <v>2</v>
      </c>
      <c r="AN51" s="123">
        <f>AF51*3+AG51</f>
        <v>1</v>
      </c>
      <c r="AO51" s="123">
        <f>AN51/AN54*10+BA51</f>
        <v>2.2402912621359223</v>
      </c>
      <c r="AP51" s="123">
        <f>AO51*10000000+BI51*100+AM51/AM54*10+AI51/AI54*1++IF(AQ51=0,ROW(),AQ51)/2000000</f>
        <v>22403013.18450183</v>
      </c>
      <c r="AQ51" s="126">
        <f>VLOOKUP(AE51,db_fifarank,2,FALSE)</f>
        <v>1366.13</v>
      </c>
      <c r="AR51" s="125">
        <f>AP51/AP54</f>
        <v>0.23000326397475468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2</v>
      </c>
      <c r="AW51" s="126" cm="1">
        <f t="array" ref="AW51">SUMPRODUCT(($E$7:$E$78=AE51)*($U$7:$U$78)*($G$7:$G$78))+SUMPRODUCT(($H$7:$H$78=AE51)*($U$7:$U$78)*($F$7:$F$78))</f>
        <v>2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102</v>
      </c>
      <c r="BA51" s="126">
        <f>AZ51/AZ54</f>
        <v>0.99029126213592233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2</v>
      </c>
      <c r="BE51" s="126" cm="1">
        <f t="array" ref="BE51">SUMPRODUCT(($E$7:$E$78=AE51)*($X$7:$X$78)*($G$7:$G$78))+SUMPRODUCT(($H$7:$H$78=AE51)*($X$7:$X$78)*($F$7:$F$78))</f>
        <v>2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102</v>
      </c>
      <c r="BI51" s="126">
        <f>BH51/BH54</f>
        <v>0.99029126213592233</v>
      </c>
      <c r="BK51" s="132"/>
      <c r="BL51" s="26" t="str">
        <f>IF(group_round_completed,VLOOKUP('3rd places'!D3,AK80:AS91,9,FALSE),"3rd Group C/E/F/H/I")</f>
        <v>Morocco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7 - 2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9</v>
      </c>
      <c r="AL52" s="123">
        <f>AI52-AJ52</f>
        <v>-7</v>
      </c>
      <c r="AM52" s="123">
        <f>AL52-AL54</f>
        <v>0</v>
      </c>
      <c r="AN52" s="123">
        <f>AF52*3+AG52</f>
        <v>1</v>
      </c>
      <c r="AO52" s="123">
        <f>AN52/AN54*10+BA52</f>
        <v>2.2402912621359223</v>
      </c>
      <c r="AP52" s="123">
        <f>AO52*10000000+BI52*100+AM52/AM54*10+AI52/AI54*1++IF(AQ52=0,ROW(),AQ52)/2000000</f>
        <v>22403011.851196148</v>
      </c>
      <c r="AQ52" s="126">
        <f>VLOOKUP(AE52,db_fifarank,2,FALSE)</f>
        <v>1421.43</v>
      </c>
      <c r="AR52" s="125">
        <f>AP52/AP54</f>
        <v>0.23000325028620947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2</v>
      </c>
      <c r="AW52" s="126" cm="1">
        <f t="array" ref="AW52">SUMPRODUCT(($E$7:$E$78=AE52)*($U$7:$U$78)*($G$7:$G$78))+SUMPRODUCT(($H$7:$H$78=AE52)*($U$7:$U$78)*($F$7:$F$78))</f>
        <v>2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102</v>
      </c>
      <c r="BA52" s="126">
        <f>AZ52/AZ54</f>
        <v>0.99029126213592233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2</v>
      </c>
      <c r="BE52" s="126" cm="1">
        <f t="array" ref="BE52">SUMPRODUCT(($E$7:$E$78=AE52)*($X$7:$X$78)*($G$7:$G$78))+SUMPRODUCT(($H$7:$H$78=AE52)*($X$7:$X$78)*($F$7:$F$78))</f>
        <v>2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102</v>
      </c>
      <c r="BI52" s="126">
        <f>BH52/BH54</f>
        <v>0.99029126213592233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Morocco</v>
      </c>
      <c r="BT52" s="61">
        <v>1</v>
      </c>
      <c r="BU52" s="63">
        <v>1</v>
      </c>
      <c r="BV52" s="25">
        <v>2</v>
      </c>
      <c r="BW52" s="116">
        <f>IF(OR(BT52="",BT53="",AND(BU52="",BU53&lt;&gt;""),AND(BU53="",BU52&lt;&gt;""),AND(BV52="",BV53&lt;&gt;""),AND(BV53="",BV52&lt;&gt;"")),"",BT52*1000+BU52*10+BV52)</f>
        <v>1012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2</v>
      </c>
      <c r="AL53" s="123">
        <f>AI53-AJ53</f>
        <v>5</v>
      </c>
      <c r="AM53" s="123">
        <f>AL53-AL54</f>
        <v>12</v>
      </c>
      <c r="AN53" s="123">
        <f>AF53*3+AG53</f>
        <v>7</v>
      </c>
      <c r="AO53" s="123">
        <f>AN53/AN54*10+BA53</f>
        <v>9.7402912621359228</v>
      </c>
      <c r="AP53" s="123">
        <f>AO53*10000000+BI53*100+AM53/AM54*10+AI53/AI54*1++IF(AQ53=0,ROW(),AQ53)/2000000</f>
        <v>97403020.35132198</v>
      </c>
      <c r="AQ53" s="126">
        <f>VLOOKUP(AE53,db_fifarank,2,FALSE)</f>
        <v>1673.07</v>
      </c>
      <c r="AR53" s="125">
        <f>AP53/AP54</f>
        <v>0.99999997399018092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2</v>
      </c>
      <c r="AW53" s="126" cm="1">
        <f t="array" ref="AW53">SUMPRODUCT(($E$7:$E$78=AE53)*($U$7:$U$78)*($G$7:$G$78))+SUMPRODUCT(($H$7:$H$78=AE53)*($U$7:$U$78)*($F$7:$F$78))</f>
        <v>2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102</v>
      </c>
      <c r="BA53" s="126">
        <f>AZ53/AZ54</f>
        <v>0.99029126213592233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2</v>
      </c>
      <c r="BE53" s="126" cm="1">
        <f t="array" ref="BE53">SUMPRODUCT(($E$7:$E$78=AE53)*($X$7:$X$78)*($G$7:$G$78))+SUMPRODUCT(($H$7:$H$78=AE53)*($X$7:$X$78)*($F$7:$F$78))</f>
        <v>2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102</v>
      </c>
      <c r="BI53" s="126">
        <f>BH53/BH54</f>
        <v>0.99029126213592233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>
        <v>1</v>
      </c>
      <c r="BV53" s="27">
        <v>3</v>
      </c>
      <c r="BW53" s="112">
        <f>IF(BW52="","",BT53*1000+BU53*10+BV53)</f>
        <v>1013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2 - 9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10</v>
      </c>
      <c r="AL54" s="123">
        <f>MIN(AL50:AL53)</f>
        <v>-7</v>
      </c>
      <c r="AM54" s="123">
        <f>MAX(AM50:AM53)+1</f>
        <v>15</v>
      </c>
      <c r="AN54" s="123">
        <f>MAX(AN50:AN53)+1</f>
        <v>8</v>
      </c>
      <c r="AO54" s="123">
        <f>MAX(AO50:AO53)+1</f>
        <v>10.740291262135923</v>
      </c>
      <c r="AP54" s="123">
        <f>MAX(AP50:AP53)+1</f>
        <v>97403022.884756982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103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103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2</v>
      </c>
      <c r="AL56" s="123">
        <f>AI56-AJ56</f>
        <v>4</v>
      </c>
      <c r="AM56" s="123">
        <f>AL56-AL60</f>
        <v>10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87500009.948990598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3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6 - 2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7</v>
      </c>
      <c r="AN57" s="123">
        <f>AF57*3+AG57</f>
        <v>6</v>
      </c>
      <c r="AO57" s="123">
        <f>AN57/AN60*10+BA57</f>
        <v>7.5</v>
      </c>
      <c r="AP57" s="123">
        <f>AO57*10000000+BI57*100+AM57/AM60*10+AI57/AI60*1++IF(AQ57=0,ROW(),AQ57)/2000000</f>
        <v>75000007.078766569</v>
      </c>
      <c r="AQ57" s="126">
        <f>VLOOKUP(AE57,db_fifarank,2,FALSE)</f>
        <v>1688.99</v>
      </c>
      <c r="AR57" s="125">
        <f>AP57/AP60</f>
        <v>0.85714283078763165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4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1</v>
      </c>
      <c r="V58" s="123">
        <f t="shared" si="21"/>
        <v>4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0.14358071285714286</v>
      </c>
      <c r="AQ58" s="126">
        <f>VLOOKUP(AE58,db_fifarank,2,FALSE)</f>
        <v>1447.14</v>
      </c>
      <c r="AR58" s="125">
        <f>AP58/AP60</f>
        <v>1.6409222273222951E-9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4</v>
      </c>
      <c r="AL59" s="123">
        <f>AI59-AJ59</f>
        <v>1</v>
      </c>
      <c r="AM59" s="123">
        <f>AL59-AL60</f>
        <v>7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50000007.078697555</v>
      </c>
      <c r="AQ59" s="126">
        <f>VLOOKUP(AE59,db_fifarank,2,FALSE)</f>
        <v>1550.94</v>
      </c>
      <c r="AR59" s="125">
        <f>AP59/AP60</f>
        <v>0.57142858082435877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7</v>
      </c>
      <c r="AL60" s="123">
        <f>MIN(AL56:AL59)</f>
        <v>-6</v>
      </c>
      <c r="AM60" s="123">
        <f>MAX(AM56:AM59)+1</f>
        <v>11</v>
      </c>
      <c r="AN60" s="123">
        <f>MAX(AN56:AN59)+1</f>
        <v>8</v>
      </c>
      <c r="AO60" s="123">
        <f>MAX(AO56:AO59)+1</f>
        <v>9.75</v>
      </c>
      <c r="AP60" s="123">
        <f>MAX(AP56:AP59)+1</f>
        <v>87500010.948990598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3</v>
      </c>
      <c r="AL62" s="123">
        <f>AI62-AJ62</f>
        <v>6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90000010.067604095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9 - 3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5</v>
      </c>
      <c r="AL63" s="123">
        <f>AI63-AJ63</f>
        <v>-4</v>
      </c>
      <c r="AM63" s="123">
        <f>AL63-AL66</f>
        <v>1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19804020.5419586</v>
      </c>
      <c r="AQ63" s="126">
        <f>VLOOKUP(AE63,db_fifarank,2,FALSE)</f>
        <v>1564.26</v>
      </c>
      <c r="AR63" s="125">
        <f>AP63/AP66</f>
        <v>0.22004464562879533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New Zealand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2</v>
      </c>
      <c r="AL64" s="123">
        <f>AI64-AJ64</f>
        <v>3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60000007.167463392</v>
      </c>
      <c r="AQ64" s="126">
        <f>VLOOKUP(AE64,db_fifarank,2,FALSE)</f>
        <v>1593.45</v>
      </c>
      <c r="AR64" s="125">
        <f>AP64/AP66</f>
        <v>0.66666666432289656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3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3000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1 - 5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19804019.708538864</v>
      </c>
      <c r="AQ65" s="126">
        <f>VLOOKUP(AE65,db_fifarank,2,FALSE)</f>
        <v>1391.45</v>
      </c>
      <c r="AR65" s="125">
        <f>AP65/AP66</f>
        <v>0.22004463636857716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10</v>
      </c>
      <c r="AL66" s="123">
        <f>MIN(AL62:AL65)</f>
        <v>-5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90000011.067604095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Canada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Egypt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90000009.966791004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1</v>
      </c>
      <c r="AP69" s="123">
        <f>AO69*10000000+BI69*100+AM69/AM72*10+AI69/AI72*1++IF(AQ69=0,ROW(),AQ69)/2000000</f>
        <v>10000000.125739176</v>
      </c>
      <c r="AQ69" s="126">
        <f>VLOOKUP(AE69,db_fifarank,2,FALSE)</f>
        <v>1478.35</v>
      </c>
      <c r="AR69" s="125">
        <f>AP69/AP72</f>
        <v>0.11111109896896638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4 - 3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4</v>
      </c>
      <c r="AL70" s="123">
        <f>AI70-AJ70</f>
        <v>-3</v>
      </c>
      <c r="AM70" s="123">
        <f>AL70-AL72</f>
        <v>1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30000001.034823582</v>
      </c>
      <c r="AQ70" s="126">
        <f>VLOOKUP(AE70,db_fifarank,2,FALSE)</f>
        <v>1465.34</v>
      </c>
      <c r="AR70" s="125">
        <f>AP70/AP72</f>
        <v>0.33333330421363222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2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2</v>
      </c>
      <c r="W71" s="123">
        <f t="shared" si="22"/>
        <v>2</v>
      </c>
      <c r="X71" s="123">
        <f t="shared" si="9"/>
        <v>1</v>
      </c>
      <c r="Y71" s="123">
        <f t="shared" si="10"/>
        <v>2</v>
      </c>
      <c r="Z71" s="123">
        <f t="shared" si="11"/>
        <v>2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3</v>
      </c>
      <c r="AL71" s="123">
        <f>AI71-AJ71</f>
        <v>1</v>
      </c>
      <c r="AM71" s="123">
        <f>AL71-AL72</f>
        <v>5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40000005.046301089</v>
      </c>
      <c r="AQ71" s="126">
        <f>VLOOKUP(AE71,db_fifarank,2,FALSE)</f>
        <v>1693.09</v>
      </c>
      <c r="AR71" s="125">
        <f>AP71/AP72</f>
        <v>0.44444444635746372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Norway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2</v>
      </c>
      <c r="W72" s="123">
        <f t="shared" si="22"/>
        <v>2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2</v>
      </c>
      <c r="Z72" s="123">
        <f t="shared" ref="Z72:Z78" si="34">X72*G72</f>
        <v>2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-4</v>
      </c>
      <c r="AM72" s="123">
        <f>MAX(AM68:AM71)+1</f>
        <v>11</v>
      </c>
      <c r="AN72" s="123">
        <f>MAX(AN68:AN71)+1</f>
        <v>10</v>
      </c>
      <c r="AO72" s="123">
        <f>MAX(AO68:AO71)+1</f>
        <v>10</v>
      </c>
      <c r="AP72" s="123">
        <f>MAX(AP68:AP71)+1</f>
        <v>90000010.966791004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4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90000009.875912979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4</v>
      </c>
      <c r="AL75" s="123">
        <f>AI75-AJ75</f>
        <v>3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60000007.875858538</v>
      </c>
      <c r="AQ75" s="126">
        <f>VLOOKUP(AE75,db_fifarank,2,FALSE)</f>
        <v>1717.07</v>
      </c>
      <c r="AR75" s="125">
        <f>AP75/AP78</f>
        <v>0.66666667361388676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6</v>
      </c>
      <c r="AL76" s="123">
        <f>AI76-AJ76</f>
        <v>-4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19805923.551644031</v>
      </c>
      <c r="AQ76" s="126">
        <f>VLOOKUP(AE76,db_fifarank,2,FALSE)</f>
        <v>1346.31</v>
      </c>
      <c r="AR76" s="125">
        <f>AP76/AP78</f>
        <v>0.22006579064697379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3 - 7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7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19805923.676741194</v>
      </c>
      <c r="AQ77" s="126">
        <f>VLOOKUP(AE77,db_fifarank,2,FALSE)</f>
        <v>1540.64</v>
      </c>
      <c r="AR77" s="125">
        <f>AP77/AP78</f>
        <v>0.2200657920369421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8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90000010.875912979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6604.7626196269048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38">COUNTIF($AP$80:$AP$91,CONCATENATE("&gt;=",AP81))</f>
        <v>6</v>
      </c>
      <c r="AE81" s="124" t="str">
        <f>J17</f>
        <v>Switzerland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6478.5722532714281</v>
      </c>
      <c r="AQ81" s="126">
        <f t="shared" si="37"/>
        <v>1649.4</v>
      </c>
      <c r="AR81" s="125" t="str">
        <f>AR80&amp;IF(AD81&lt;=8,RIGHT(AK81,1),"")</f>
        <v>AB</v>
      </c>
      <c r="AS81" s="129" t="str">
        <f t="shared" ref="AS81:AS91" si="46">IF(AD81&lt;=8,AE81,"")</f>
        <v>Switzerland</v>
      </c>
      <c r="AT81" s="130" t="str">
        <f>"Ⓑ "&amp;AE81</f>
        <v>Ⓑ Switzerland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Morocco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5 - 6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Morocco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6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8654.7627826969037</v>
      </c>
      <c r="AQ82" s="126">
        <f t="shared" si="37"/>
        <v>1755.87</v>
      </c>
      <c r="AR82" s="125" t="str">
        <f t="shared" ref="AR82:AR91" si="50">AR81&amp;IF(AD82&lt;=8,RIGHT(AK82,1),"")</f>
        <v>ABC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Ⓕ Sweden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3 - 3</v>
      </c>
      <c r="P83" s="101">
        <f t="shared" si="48"/>
        <v>3</v>
      </c>
      <c r="AD83" s="123">
        <f t="shared" si="38"/>
        <v>8</v>
      </c>
      <c r="AE83" s="124" t="str">
        <f>J29</f>
        <v>Turkey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2</v>
      </c>
      <c r="AP83" s="123">
        <f>AN83/AN92*10000+AM83/AM92*1000+AI83/AI92*100+IF(AQ83=0,ROW(),AQ83)/2000000</f>
        <v>4638.0960376152389</v>
      </c>
      <c r="AQ83" s="126">
        <f t="shared" si="37"/>
        <v>1599.04</v>
      </c>
      <c r="AR83" s="125" t="str">
        <f t="shared" si="50"/>
        <v>ABCD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Ⓖ Egypt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1</v>
      </c>
      <c r="AJ84" s="123">
        <f t="shared" si="42"/>
        <v>5</v>
      </c>
      <c r="AK84" s="123" t="s">
        <v>3185</v>
      </c>
      <c r="AL84" s="123">
        <f t="shared" si="43"/>
        <v>-4</v>
      </c>
      <c r="AM84" s="123">
        <f t="shared" si="44"/>
        <v>1</v>
      </c>
      <c r="AN84" s="123">
        <f t="shared" si="45"/>
        <v>1</v>
      </c>
      <c r="AP84" s="123">
        <f>AN84/AN92*10000+AM84/AM92*1000+AI84/AI92*100+IF(AQ84=0,ROW(),AQ84)/2000000</f>
        <v>2159.5245760138091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Ⓐ South Africa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Sweden</v>
      </c>
      <c r="AF85" s="123">
        <f t="shared" si="39"/>
        <v>0</v>
      </c>
      <c r="AG85" s="123">
        <f t="shared" si="49"/>
        <v>3</v>
      </c>
      <c r="AH85" s="123">
        <f t="shared" si="40"/>
        <v>0</v>
      </c>
      <c r="AI85" s="123">
        <f t="shared" si="41"/>
        <v>3</v>
      </c>
      <c r="AJ85" s="123">
        <f t="shared" si="42"/>
        <v>3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6764.2864716707145</v>
      </c>
      <c r="AQ85" s="126">
        <f t="shared" si="37"/>
        <v>1514.77</v>
      </c>
      <c r="AR85" s="125" t="str">
        <f t="shared" si="50"/>
        <v>ABCDF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Ⓑ Switzerland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4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6604.762686381905</v>
      </c>
      <c r="AQ86" s="126">
        <f t="shared" si="37"/>
        <v>1563.24</v>
      </c>
      <c r="AR86" s="125" t="str">
        <f t="shared" si="50"/>
        <v>ABCDFG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Ⓚ Uzbekistan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2033.3340163983332</v>
      </c>
      <c r="AQ87" s="126">
        <f t="shared" si="37"/>
        <v>1366.13</v>
      </c>
      <c r="AR87" s="125" t="str">
        <f t="shared" si="50"/>
        <v>ABCDFG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Turkey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4 - 5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4</v>
      </c>
      <c r="AK88" s="123" t="s">
        <v>3189</v>
      </c>
      <c r="AL88" s="123">
        <f t="shared" si="43"/>
        <v>1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8940.4769659461908</v>
      </c>
      <c r="AQ88" s="126">
        <f t="shared" si="37"/>
        <v>1550.94</v>
      </c>
      <c r="AR88" s="125" t="str">
        <f t="shared" si="50"/>
        <v>ABCDFGI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Panama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3 - 7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1</v>
      </c>
      <c r="AJ89" s="123">
        <f t="shared" si="42"/>
        <v>5</v>
      </c>
      <c r="AK89" s="123" t="s">
        <v>3190</v>
      </c>
      <c r="AL89" s="123">
        <f t="shared" si="43"/>
        <v>-4</v>
      </c>
      <c r="AM89" s="123">
        <f t="shared" si="44"/>
        <v>1</v>
      </c>
      <c r="AN89" s="123">
        <f t="shared" si="45"/>
        <v>1</v>
      </c>
      <c r="AP89" s="123">
        <f>AN89/AN92*10000+AM89/AM92*1000+AI89/AI92*100+IF(AQ89=0,ROW(),AQ89)/2000000</f>
        <v>2159.5245916538092</v>
      </c>
      <c r="AQ89" s="126">
        <f t="shared" si="37"/>
        <v>1564.26</v>
      </c>
      <c r="AR89" s="125" t="str">
        <f t="shared" si="50"/>
        <v>ABCDFGI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7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6302.381685050952</v>
      </c>
      <c r="AQ90" s="126">
        <f t="shared" si="37"/>
        <v>1465.34</v>
      </c>
      <c r="AR90" s="125" t="str">
        <f t="shared" si="50"/>
        <v>ABCDFGIK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Ivory Coast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7</v>
      </c>
      <c r="AK91" s="123" t="s">
        <v>3192</v>
      </c>
      <c r="AL91" s="123">
        <f>VLOOKUP($AE91,$AE$8:$AQ$78,8,FALSE)</f>
        <v>-4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2192.8579131771426</v>
      </c>
      <c r="AQ91" s="126">
        <f t="shared" si="37"/>
        <v>1540.64</v>
      </c>
      <c r="AR91" s="125" t="str">
        <f t="shared" si="50"/>
        <v>ABCDFGIK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455</v>
      </c>
      <c r="C3" s="121" t="str">
        <f>'2026 World Cup'!AR91</f>
        <v>ABCDFGIK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Jorge Coello</cp:lastModifiedBy>
  <cp:revision/>
  <dcterms:created xsi:type="dcterms:W3CDTF">2017-12-27T19:32:51Z</dcterms:created>
  <dcterms:modified xsi:type="dcterms:W3CDTF">2026-06-01T08:35:16Z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