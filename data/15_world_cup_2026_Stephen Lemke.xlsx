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mke\Desktop\"/>
    </mc:Choice>
  </mc:AlternateContent>
  <bookViews>
    <workbookView xWindow="0" yWindow="0" windowWidth="21600" windowHeight="9735" firstSheet="1" activeTab="2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S86" i="3"/>
  <c r="S87" i="3"/>
  <c r="S88" i="3"/>
  <c r="S89" i="3"/>
  <c r="S90" i="3"/>
  <c r="S91" i="3"/>
  <c r="S96" i="3"/>
  <c r="S97" i="3"/>
  <c r="S98" i="3"/>
  <c r="S102" i="3"/>
  <c r="U102" i="3"/>
  <c r="U103" i="3"/>
  <c r="T107" i="3"/>
  <c r="S111" i="3"/>
  <c r="T111" i="3" s="1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T86" i="3" a="1"/>
  <c r="T86" i="3" s="1"/>
  <c r="T87" i="3" a="1"/>
  <c r="T87" i="3" s="1"/>
  <c r="T88" i="3" a="1"/>
  <c r="T88" i="3" s="1"/>
  <c r="T89" i="3" a="1"/>
  <c r="T89" i="3" s="1"/>
  <c r="T90" i="3" a="1"/>
  <c r="T90" i="3" s="1"/>
  <c r="T91" i="3" a="1"/>
  <c r="T91" i="3" s="1"/>
  <c r="T96" i="3" a="1"/>
  <c r="T96" i="3" s="1"/>
  <c r="T97" i="3" a="1"/>
  <c r="T97" i="3" s="1"/>
  <c r="T98" i="3" a="1"/>
  <c r="T98" i="3" s="1"/>
  <c r="T102" i="3" a="1"/>
  <c r="T102" i="3" s="1"/>
  <c r="AC102" i="3" a="1"/>
  <c r="AC102" i="3" s="1"/>
  <c r="AC103" i="3" a="1"/>
  <c r="AC103" i="3" s="1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T12" i="3" s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T43" i="3" s="1"/>
  <c r="S19" i="3"/>
  <c r="S20" i="3"/>
  <c r="T20" i="3" s="1"/>
  <c r="S44" i="3"/>
  <c r="T44" i="3" s="1"/>
  <c r="S46" i="3"/>
  <c r="T46" i="3" s="1"/>
  <c r="S21" i="3"/>
  <c r="T21" i="3" s="1"/>
  <c r="S45" i="3"/>
  <c r="T45" i="3" s="1"/>
  <c r="S18" i="3"/>
  <c r="S63" i="3"/>
  <c r="T63" i="3" s="1"/>
  <c r="S17" i="3"/>
  <c r="T17" i="3" s="1"/>
  <c r="S41" i="3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S24" i="3"/>
  <c r="S69" i="3"/>
  <c r="S58" i="3"/>
  <c r="S31" i="3"/>
  <c r="S59" i="3"/>
  <c r="S71" i="3"/>
  <c r="S52" i="3"/>
  <c r="S73" i="3"/>
  <c r="S54" i="3"/>
  <c r="S77" i="3"/>
  <c r="S50" i="3"/>
  <c r="S76" i="3"/>
  <c r="T26" i="3"/>
  <c r="S47" i="3"/>
  <c r="S67" i="3"/>
  <c r="S72" i="3"/>
  <c r="T19" i="3"/>
  <c r="S70" i="3"/>
  <c r="S42" i="3"/>
  <c r="S64" i="3"/>
  <c r="T18" i="3"/>
  <c r="T41" i="3"/>
  <c r="S40" i="3"/>
  <c r="S62" i="3"/>
  <c r="S38" i="3"/>
  <c r="S65" i="3"/>
  <c r="S55" i="3"/>
  <c r="S57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BS29" i="3"/>
  <c r="BS20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BS21" i="3"/>
  <c r="BZ17" i="3" s="1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BS28" i="3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BZ32" i="3"/>
  <c r="S103" i="3" s="1"/>
  <c r="T103" i="3" s="1" a="1"/>
  <c r="T103" i="3" s="1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BZ65" i="3"/>
  <c r="CG56" i="3" s="1"/>
  <c r="CN38" i="3"/>
  <c r="CN49" i="3"/>
  <c r="BS37" i="3"/>
  <c r="BS36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BZ3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CG24" i="3"/>
  <c r="CG23" i="3"/>
  <c r="CN37" i="3" s="1"/>
  <c r="CK68" i="3" s="1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CN48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 l="1"/>
  <c r="BG78" i="3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R9" i="3" l="1"/>
  <c r="AD58" i="3"/>
  <c r="AR22" i="3"/>
  <c r="AR11" i="3"/>
  <c r="AR10" i="3"/>
  <c r="AR21" i="3"/>
  <c r="AD57" i="3"/>
  <c r="AR33" i="3"/>
  <c r="AR34" i="3"/>
  <c r="AR35" i="3"/>
  <c r="AR28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8" i="3" l="1"/>
  <c r="O60" i="3"/>
  <c r="AD9" i="3"/>
  <c r="AD10" i="3"/>
  <c r="AD34" i="3"/>
  <c r="AD32" i="3"/>
  <c r="J33" i="3" s="1"/>
  <c r="AS32" i="3" s="1"/>
  <c r="BL10" i="3" s="1"/>
  <c r="AD22" i="3"/>
  <c r="AD11" i="3"/>
  <c r="AD33" i="3"/>
  <c r="L58" i="3"/>
  <c r="AD14" i="3"/>
  <c r="AD41" i="3"/>
  <c r="AD27" i="3"/>
  <c r="AD15" i="3"/>
  <c r="AD68" i="3"/>
  <c r="J69" i="3" s="1"/>
  <c r="AS68" i="3" s="1"/>
  <c r="BL70" i="3" s="1"/>
  <c r="AD70" i="3"/>
  <c r="AD74" i="3"/>
  <c r="AD35" i="3"/>
  <c r="AD44" i="3"/>
  <c r="N45" i="3" s="1"/>
  <c r="AD20" i="3"/>
  <c r="AD75" i="3"/>
  <c r="AD63" i="3"/>
  <c r="AD28" i="3"/>
  <c r="AD77" i="3"/>
  <c r="M58" i="3"/>
  <c r="AD53" i="3"/>
  <c r="M59" i="3"/>
  <c r="AD76" i="3"/>
  <c r="AD71" i="3"/>
  <c r="AD29" i="3"/>
  <c r="AD21" i="3"/>
  <c r="AD47" i="3"/>
  <c r="L59" i="3"/>
  <c r="N58" i="3"/>
  <c r="AD26" i="3"/>
  <c r="AD62" i="3"/>
  <c r="M63" i="3" s="1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AD50" i="3"/>
  <c r="N59" i="3"/>
  <c r="AD17" i="3"/>
  <c r="L11" i="3" l="1"/>
  <c r="N63" i="3"/>
  <c r="L45" i="3"/>
  <c r="L33" i="3"/>
  <c r="L63" i="3"/>
  <c r="N33" i="3"/>
  <c r="M75" i="3"/>
  <c r="J63" i="3"/>
  <c r="AS62" i="3" s="1"/>
  <c r="BL58" i="3" s="1"/>
  <c r="BS60" i="3" s="1"/>
  <c r="BZ64" i="3" s="1"/>
  <c r="M33" i="3"/>
  <c r="O51" i="3"/>
  <c r="J65" i="3"/>
  <c r="AE89" i="3" s="1"/>
  <c r="AQ89" i="3" s="1"/>
  <c r="O69" i="3"/>
  <c r="L12" i="3"/>
  <c r="M69" i="3"/>
  <c r="L36" i="3"/>
  <c r="N34" i="3"/>
  <c r="J35" i="3"/>
  <c r="AE84" i="3" s="1"/>
  <c r="AQ84" i="3" s="1"/>
  <c r="M65" i="3"/>
  <c r="N35" i="3"/>
  <c r="N11" i="3"/>
  <c r="M34" i="3"/>
  <c r="M11" i="3"/>
  <c r="O36" i="3"/>
  <c r="O11" i="3"/>
  <c r="M10" i="3"/>
  <c r="J45" i="3"/>
  <c r="AS44" i="3" s="1"/>
  <c r="BL38" i="3" s="1"/>
  <c r="M9" i="3"/>
  <c r="N36" i="3"/>
  <c r="O78" i="3"/>
  <c r="O35" i="3"/>
  <c r="J36" i="3"/>
  <c r="N22" i="3"/>
  <c r="L18" i="3"/>
  <c r="O9" i="3"/>
  <c r="L34" i="3"/>
  <c r="J71" i="3"/>
  <c r="AE90" i="3" s="1"/>
  <c r="AQ90" i="3" s="1"/>
  <c r="O33" i="3"/>
  <c r="M46" i="3"/>
  <c r="L65" i="3"/>
  <c r="N69" i="3"/>
  <c r="L15" i="3"/>
  <c r="J9" i="3"/>
  <c r="AS8" i="3" s="1"/>
  <c r="BL50" i="3" s="1"/>
  <c r="O40" i="3"/>
  <c r="M45" i="3"/>
  <c r="O12" i="3"/>
  <c r="N47" i="3"/>
  <c r="L35" i="3"/>
  <c r="N9" i="3"/>
  <c r="L39" i="3"/>
  <c r="J51" i="3"/>
  <c r="AS50" i="3" s="1"/>
  <c r="BL30" i="3" s="1"/>
  <c r="O72" i="3"/>
  <c r="N10" i="3"/>
  <c r="O70" i="3"/>
  <c r="M39" i="3"/>
  <c r="O71" i="3"/>
  <c r="L69" i="3"/>
  <c r="M24" i="3"/>
  <c r="N71" i="3"/>
  <c r="M35" i="3"/>
  <c r="J72" i="3"/>
  <c r="M71" i="3"/>
  <c r="L71" i="3"/>
  <c r="L30" i="3"/>
  <c r="J11" i="3"/>
  <c r="AE80" i="3" s="1"/>
  <c r="AQ80" i="3" s="1"/>
  <c r="J34" i="3"/>
  <c r="AS33" i="3" s="1"/>
  <c r="BL46" i="3" s="1"/>
  <c r="M36" i="3"/>
  <c r="J10" i="3"/>
  <c r="AS9" i="3" s="1"/>
  <c r="BL18" i="3" s="1"/>
  <c r="O10" i="3"/>
  <c r="M42" i="3"/>
  <c r="N18" i="3"/>
  <c r="M12" i="3"/>
  <c r="N30" i="3"/>
  <c r="L46" i="3"/>
  <c r="O29" i="3"/>
  <c r="N40" i="3"/>
  <c r="N65" i="3"/>
  <c r="N21" i="3"/>
  <c r="O18" i="3"/>
  <c r="M21" i="3"/>
  <c r="P58" i="3"/>
  <c r="J18" i="3"/>
  <c r="N12" i="3"/>
  <c r="L40" i="3"/>
  <c r="J21" i="3"/>
  <c r="AS20" i="3" s="1"/>
  <c r="BL42" i="3" s="1"/>
  <c r="BS44" i="3" s="1"/>
  <c r="N53" i="3"/>
  <c r="M54" i="3"/>
  <c r="O21" i="3"/>
  <c r="O45" i="3"/>
  <c r="J30" i="3"/>
  <c r="M18" i="3"/>
  <c r="L51" i="3"/>
  <c r="J48" i="3"/>
  <c r="O34" i="3"/>
  <c r="L9" i="3"/>
  <c r="J12" i="3"/>
  <c r="L27" i="3"/>
  <c r="O65" i="3"/>
  <c r="N51" i="3"/>
  <c r="O63" i="3"/>
  <c r="M51" i="3"/>
  <c r="J29" i="3"/>
  <c r="AE83" i="3" s="1"/>
  <c r="AQ83" i="3" s="1"/>
  <c r="L10" i="3"/>
  <c r="N17" i="3"/>
  <c r="N24" i="3"/>
  <c r="J40" i="3"/>
  <c r="AS39" i="3" s="1"/>
  <c r="BL43" i="3" s="1"/>
  <c r="K58" i="3"/>
  <c r="N76" i="3"/>
  <c r="M66" i="3"/>
  <c r="L48" i="3"/>
  <c r="J70" i="3"/>
  <c r="AS69" i="3" s="1"/>
  <c r="BL26" i="3" s="1"/>
  <c r="L42" i="3"/>
  <c r="M29" i="3"/>
  <c r="J39" i="3"/>
  <c r="AS38" i="3" s="1"/>
  <c r="BL22" i="3" s="1"/>
  <c r="M77" i="3"/>
  <c r="M78" i="3"/>
  <c r="N75" i="3"/>
  <c r="N72" i="3"/>
  <c r="N70" i="3"/>
  <c r="J64" i="3"/>
  <c r="AS63" i="3" s="1"/>
  <c r="BL31" i="3" s="1"/>
  <c r="O64" i="3"/>
  <c r="N54" i="3"/>
  <c r="M17" i="3"/>
  <c r="O17" i="3"/>
  <c r="J16" i="3"/>
  <c r="AS15" i="3" s="1"/>
  <c r="BL19" i="3" s="1"/>
  <c r="J77" i="3"/>
  <c r="AE91" i="3" s="1"/>
  <c r="AQ91" i="3" s="1"/>
  <c r="N78" i="3"/>
  <c r="O75" i="3"/>
  <c r="M72" i="3"/>
  <c r="M70" i="3"/>
  <c r="L16" i="3"/>
  <c r="M16" i="3"/>
  <c r="N77" i="3"/>
  <c r="N64" i="3"/>
  <c r="O77" i="3"/>
  <c r="L76" i="3"/>
  <c r="L75" i="3"/>
  <c r="L72" i="3"/>
  <c r="L70" i="3"/>
  <c r="N66" i="3"/>
  <c r="M64" i="3"/>
  <c r="L77" i="3"/>
  <c r="O16" i="3"/>
  <c r="L64" i="3"/>
  <c r="L78" i="3"/>
  <c r="J75" i="3"/>
  <c r="AS74" i="3" s="1"/>
  <c r="BL54" i="3" s="1"/>
  <c r="J76" i="3"/>
  <c r="AS75" i="3" s="1"/>
  <c r="BL27" i="3" s="1"/>
  <c r="J78" i="3"/>
  <c r="N16" i="3"/>
  <c r="O66" i="3"/>
  <c r="J47" i="3"/>
  <c r="AE86" i="3" s="1"/>
  <c r="AQ86" i="3" s="1"/>
  <c r="L17" i="3"/>
  <c r="M76" i="3"/>
  <c r="O76" i="3"/>
  <c r="L66" i="3"/>
  <c r="N48" i="3"/>
  <c r="N46" i="3"/>
  <c r="N28" i="3"/>
  <c r="L29" i="3"/>
  <c r="O23" i="3"/>
  <c r="O47" i="3"/>
  <c r="L47" i="3"/>
  <c r="J41" i="3"/>
  <c r="AE85" i="3" s="1"/>
  <c r="AQ85" i="3" s="1"/>
  <c r="O27" i="3"/>
  <c r="N29" i="3"/>
  <c r="O42" i="3"/>
  <c r="O30" i="3"/>
  <c r="M27" i="3"/>
  <c r="M28" i="3"/>
  <c r="N27" i="3"/>
  <c r="J66" i="3"/>
  <c r="M48" i="3"/>
  <c r="O48" i="3"/>
  <c r="J46" i="3"/>
  <c r="AS45" i="3" s="1"/>
  <c r="BL63" i="3" s="1"/>
  <c r="O28" i="3"/>
  <c r="J27" i="3"/>
  <c r="AS26" i="3" s="1"/>
  <c r="BL34" i="3" s="1"/>
  <c r="M47" i="3"/>
  <c r="O46" i="3"/>
  <c r="L28" i="3"/>
  <c r="J28" i="3"/>
  <c r="AS27" i="3" s="1"/>
  <c r="BL62" i="3" s="1"/>
  <c r="BS61" i="3" s="1"/>
  <c r="J42" i="3"/>
  <c r="K59" i="3"/>
  <c r="O39" i="3"/>
  <c r="N39" i="3"/>
  <c r="J24" i="3"/>
  <c r="M41" i="3"/>
  <c r="M40" i="3"/>
  <c r="P59" i="3"/>
  <c r="M22" i="3"/>
  <c r="AJ88" i="3"/>
  <c r="J52" i="3"/>
  <c r="AS51" i="3" s="1"/>
  <c r="BL59" i="3" s="1"/>
  <c r="O22" i="3"/>
  <c r="L21" i="3"/>
  <c r="AI88" i="3"/>
  <c r="O24" i="3"/>
  <c r="J22" i="3"/>
  <c r="AS21" i="3" s="1"/>
  <c r="BL23" i="3" s="1"/>
  <c r="L24" i="3"/>
  <c r="L54" i="3"/>
  <c r="L22" i="3"/>
  <c r="AG88" i="3"/>
  <c r="L23" i="3"/>
  <c r="M30" i="3"/>
  <c r="AF88" i="3"/>
  <c r="P57" i="3"/>
  <c r="N52" i="3"/>
  <c r="AT88" i="3"/>
  <c r="O54" i="3"/>
  <c r="K57" i="3"/>
  <c r="AN88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AH89" i="3"/>
  <c r="P63" i="3"/>
  <c r="K11" i="3" l="1"/>
  <c r="AL83" i="3"/>
  <c r="AG83" i="3"/>
  <c r="AJ83" i="3"/>
  <c r="AL80" i="3"/>
  <c r="AI83" i="3"/>
  <c r="AH83" i="3"/>
  <c r="P11" i="3"/>
  <c r="AH86" i="3"/>
  <c r="AN86" i="3"/>
  <c r="P33" i="3"/>
  <c r="K63" i="3"/>
  <c r="K33" i="3"/>
  <c r="AN84" i="3"/>
  <c r="AF86" i="3"/>
  <c r="K45" i="3"/>
  <c r="AL84" i="3"/>
  <c r="P34" i="3"/>
  <c r="AI85" i="3"/>
  <c r="AF89" i="3"/>
  <c r="AT89" i="3"/>
  <c r="AG89" i="3"/>
  <c r="K34" i="3"/>
  <c r="AN89" i="3"/>
  <c r="AL89" i="3"/>
  <c r="AJ89" i="3"/>
  <c r="AI89" i="3"/>
  <c r="P75" i="3"/>
  <c r="P9" i="3"/>
  <c r="K71" i="3"/>
  <c r="P69" i="3"/>
  <c r="P54" i="3"/>
  <c r="K9" i="3"/>
  <c r="AT86" i="3"/>
  <c r="K69" i="3"/>
  <c r="AJ86" i="3"/>
  <c r="AI86" i="3"/>
  <c r="P29" i="3"/>
  <c r="AF83" i="3"/>
  <c r="AI80" i="3"/>
  <c r="AH80" i="3"/>
  <c r="AG80" i="3"/>
  <c r="K75" i="3"/>
  <c r="AF80" i="3"/>
  <c r="AJ80" i="3"/>
  <c r="AT80" i="3"/>
  <c r="P28" i="3"/>
  <c r="AN80" i="3"/>
  <c r="P40" i="3"/>
  <c r="P36" i="3"/>
  <c r="P46" i="3"/>
  <c r="K53" i="3"/>
  <c r="P16" i="3"/>
  <c r="P39" i="3"/>
  <c r="P18" i="3"/>
  <c r="P10" i="3"/>
  <c r="K29" i="3"/>
  <c r="K36" i="3"/>
  <c r="AH85" i="3"/>
  <c r="AJ84" i="3"/>
  <c r="AF85" i="3"/>
  <c r="AL81" i="3"/>
  <c r="AI84" i="3"/>
  <c r="P15" i="3"/>
  <c r="K18" i="3"/>
  <c r="AG84" i="3"/>
  <c r="AT85" i="3"/>
  <c r="P77" i="3"/>
  <c r="AF84" i="3"/>
  <c r="AN85" i="3"/>
  <c r="P24" i="3"/>
  <c r="AH84" i="3"/>
  <c r="K40" i="3"/>
  <c r="AT84" i="3"/>
  <c r="AJ85" i="3"/>
  <c r="P71" i="3"/>
  <c r="AJ81" i="3"/>
  <c r="K39" i="3"/>
  <c r="P27" i="3"/>
  <c r="P17" i="3"/>
  <c r="P12" i="3"/>
  <c r="P65" i="3"/>
  <c r="AJ90" i="3"/>
  <c r="K48" i="3"/>
  <c r="P72" i="3"/>
  <c r="K42" i="3"/>
  <c r="AT83" i="3"/>
  <c r="AN83" i="3"/>
  <c r="P48" i="3"/>
  <c r="AF91" i="3"/>
  <c r="AN81" i="3"/>
  <c r="AG85" i="3"/>
  <c r="AL86" i="3"/>
  <c r="K46" i="3"/>
  <c r="AG81" i="3"/>
  <c r="AL85" i="3"/>
  <c r="AG86" i="3"/>
  <c r="AI81" i="3"/>
  <c r="AH81" i="3"/>
  <c r="AN91" i="3"/>
  <c r="AF81" i="3"/>
  <c r="AL91" i="3"/>
  <c r="AT81" i="3"/>
  <c r="AJ91" i="3"/>
  <c r="P42" i="3"/>
  <c r="K16" i="3"/>
  <c r="K51" i="3"/>
  <c r="P22" i="3"/>
  <c r="P66" i="3"/>
  <c r="K10" i="3"/>
  <c r="K17" i="3"/>
  <c r="P51" i="3"/>
  <c r="AI90" i="3"/>
  <c r="AH90" i="3"/>
  <c r="K24" i="3"/>
  <c r="AG90" i="3"/>
  <c r="K22" i="3"/>
  <c r="AF90" i="3"/>
  <c r="P45" i="3"/>
  <c r="AT90" i="3"/>
  <c r="K15" i="3"/>
  <c r="K66" i="3"/>
  <c r="AN90" i="3"/>
  <c r="AL90" i="3"/>
  <c r="K77" i="3"/>
  <c r="P64" i="3"/>
  <c r="P35" i="3"/>
  <c r="K65" i="3"/>
  <c r="K35" i="3"/>
  <c r="K12" i="3"/>
  <c r="K64" i="3"/>
  <c r="K30" i="3"/>
  <c r="P21" i="3"/>
  <c r="AH91" i="3"/>
  <c r="AT91" i="3"/>
  <c r="AI91" i="3"/>
  <c r="AJ87" i="3"/>
  <c r="AN87" i="3"/>
  <c r="AL87" i="3"/>
  <c r="AH87" i="3"/>
  <c r="AG87" i="3"/>
  <c r="P76" i="3"/>
  <c r="K78" i="3"/>
  <c r="AG91" i="3"/>
  <c r="AT87" i="3"/>
  <c r="P41" i="3"/>
  <c r="K27" i="3"/>
  <c r="K47" i="3"/>
  <c r="K72" i="3"/>
  <c r="P70" i="3"/>
  <c r="K54" i="3"/>
  <c r="P23" i="3"/>
  <c r="K28" i="3"/>
  <c r="AN82" i="3"/>
  <c r="K76" i="3"/>
  <c r="K70" i="3"/>
  <c r="AI82" i="3"/>
  <c r="P78" i="3"/>
  <c r="K21" i="3"/>
  <c r="AF87" i="3"/>
  <c r="AT82" i="3"/>
  <c r="AJ82" i="3"/>
  <c r="P30" i="3"/>
  <c r="AH82" i="3"/>
  <c r="AG82" i="3"/>
  <c r="AF82" i="3"/>
  <c r="K41" i="3"/>
  <c r="P47" i="3"/>
  <c r="P53" i="3"/>
  <c r="P52" i="3"/>
  <c r="K23" i="3"/>
  <c r="AL82" i="3"/>
  <c r="AI87" i="3"/>
  <c r="K52" i="3"/>
  <c r="AJ92" i="3" l="1"/>
  <c r="AL92" i="3"/>
  <c r="AM88" i="3" s="1"/>
  <c r="AN92" i="3"/>
  <c r="AI92" i="3"/>
  <c r="AH92" i="3"/>
  <c r="AG92" i="3"/>
  <c r="AF92" i="3"/>
  <c r="AS92" i="3"/>
  <c r="AM84" i="3" l="1"/>
  <c r="AM82" i="3"/>
  <c r="AM85" i="3"/>
  <c r="AM91" i="3"/>
  <c r="AM83" i="3"/>
  <c r="AM87" i="3"/>
  <c r="AM86" i="3"/>
  <c r="AM81" i="3"/>
  <c r="AM80" i="3"/>
  <c r="AM89" i="3"/>
  <c r="AM90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AP83" i="3" l="1"/>
  <c r="AP82" i="3"/>
  <c r="AP90" i="3"/>
  <c r="AP85" i="3"/>
  <c r="AP88" i="3"/>
  <c r="AP89" i="3"/>
  <c r="AP80" i="3"/>
  <c r="AD80" i="3" s="1"/>
  <c r="AP86" i="3"/>
  <c r="AP84" i="3"/>
  <c r="AP91" i="3"/>
  <c r="AP81" i="3"/>
  <c r="AD84" i="3" l="1"/>
  <c r="AS84" i="3" s="1"/>
  <c r="AD88" i="3"/>
  <c r="AS88" i="3" s="1"/>
  <c r="AD82" i="3"/>
  <c r="AS82" i="3" s="1"/>
  <c r="AD87" i="3"/>
  <c r="AS87" i="3" s="1"/>
  <c r="AD90" i="3"/>
  <c r="AS90" i="3" s="1"/>
  <c r="AD86" i="3"/>
  <c r="AS86" i="3" s="1"/>
  <c r="AD83" i="3"/>
  <c r="AS83" i="3" s="1"/>
  <c r="AD89" i="3"/>
  <c r="AS89" i="3" s="1"/>
  <c r="AD85" i="3"/>
  <c r="AS85" i="3" s="1"/>
  <c r="AD91" i="3"/>
  <c r="AS91" i="3" s="1"/>
  <c r="AD81" i="3"/>
  <c r="AS81" i="3" s="1"/>
  <c r="AS80" i="3"/>
  <c r="AR80" i="3"/>
  <c r="J88" i="3" l="1"/>
  <c r="L88" i="3"/>
  <c r="N88" i="3"/>
  <c r="M88" i="3"/>
  <c r="O88" i="3"/>
  <c r="M81" i="3"/>
  <c r="J90" i="3"/>
  <c r="O81" i="3"/>
  <c r="N87" i="3"/>
  <c r="O90" i="3"/>
  <c r="L91" i="3"/>
  <c r="N84" i="3"/>
  <c r="L85" i="3"/>
  <c r="M83" i="3"/>
  <c r="J91" i="3"/>
  <c r="AR81" i="3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O91" i="3"/>
  <c r="J85" i="3"/>
  <c r="L83" i="3"/>
  <c r="M90" i="3"/>
  <c r="M87" i="3"/>
  <c r="J82" i="3"/>
  <c r="J89" i="3"/>
  <c r="J83" i="3"/>
  <c r="N92" i="3"/>
  <c r="J81" i="3"/>
  <c r="O92" i="3"/>
  <c r="N90" i="3"/>
  <c r="L84" i="3"/>
  <c r="O83" i="3"/>
  <c r="M82" i="3"/>
  <c r="N82" i="3"/>
  <c r="J84" i="3"/>
  <c r="M92" i="3"/>
  <c r="L92" i="3"/>
  <c r="L81" i="3"/>
  <c r="M89" i="3"/>
  <c r="L87" i="3"/>
  <c r="O82" i="3"/>
  <c r="N89" i="3"/>
  <c r="L90" i="3"/>
  <c r="J87" i="3"/>
  <c r="O87" i="3"/>
  <c r="O85" i="3"/>
  <c r="M84" i="3"/>
  <c r="L82" i="3"/>
  <c r="N85" i="3"/>
  <c r="L89" i="3"/>
  <c r="N86" i="3"/>
  <c r="N83" i="3"/>
  <c r="O89" i="3"/>
  <c r="M91" i="3"/>
  <c r="N81" i="3"/>
  <c r="O84" i="3"/>
  <c r="M86" i="3"/>
  <c r="L86" i="3"/>
  <c r="N91" i="3"/>
  <c r="O86" i="3"/>
  <c r="J86" i="3"/>
  <c r="M85" i="3"/>
  <c r="J92" i="3"/>
  <c r="K82" i="3" l="1"/>
  <c r="K90" i="3"/>
  <c r="P83" i="3"/>
  <c r="P81" i="3"/>
  <c r="P88" i="3"/>
  <c r="P85" i="3"/>
  <c r="K89" i="3"/>
  <c r="P82" i="3"/>
  <c r="K88" i="3"/>
  <c r="P92" i="3"/>
  <c r="P91" i="3"/>
  <c r="K81" i="3"/>
  <c r="K84" i="3"/>
  <c r="K83" i="3"/>
  <c r="K91" i="3"/>
  <c r="K92" i="3"/>
  <c r="K87" i="3"/>
  <c r="K86" i="3"/>
  <c r="K85" i="3"/>
  <c r="P84" i="3"/>
  <c r="P87" i="3"/>
  <c r="P90" i="3"/>
  <c r="P89" i="3"/>
  <c r="K3" i="4"/>
  <c r="BL55" i="3" s="1"/>
  <c r="E3" i="4"/>
  <c r="D3" i="4"/>
  <c r="BL51" i="3" s="1"/>
  <c r="B3" i="4"/>
  <c r="P86" i="3"/>
  <c r="J3" i="4"/>
  <c r="BL71" i="3" s="1"/>
  <c r="G3" i="4"/>
  <c r="BL11" i="3" s="1"/>
  <c r="I3" i="4"/>
  <c r="BL15" i="3" s="1"/>
  <c r="H3" i="4"/>
  <c r="BL39" i="3" s="1"/>
  <c r="BS53" i="3"/>
  <c r="BS52" i="3"/>
  <c r="BZ49" i="3" s="1"/>
  <c r="CG55" i="3" s="1"/>
  <c r="BS69" i="3"/>
  <c r="BS68" i="3"/>
  <c r="BL67" i="3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<sst xmlns="http://schemas.openxmlformats.org/spreadsheetml/2006/main" count="9785" uniqueCount="3699">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</sst>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11.png"/><Relationship Id="rId34" Type="http://schemas.openxmlformats.org/officeDocument/2006/relationships/image" Target="../media/image34.svg"/><Relationship Id="rId42" Type="http://schemas.openxmlformats.org/officeDocument/2006/relationships/image" Target="../media/image25.jpeg"/><Relationship Id="rId47" Type="http://schemas.openxmlformats.org/officeDocument/2006/relationships/image" Target="../media/image30.jpeg"/><Relationship Id="rId50" Type="http://schemas.openxmlformats.org/officeDocument/2006/relationships/image" Target="../media/image33.jpeg"/><Relationship Id="rId55" Type="http://schemas.openxmlformats.org/officeDocument/2006/relationships/image" Target="../media/image38.jpeg"/><Relationship Id="rId63" Type="http://schemas.openxmlformats.org/officeDocument/2006/relationships/image" Target="../media/image46.jpeg"/><Relationship Id="rId7" Type="http://schemas.openxmlformats.org/officeDocument/2006/relationships/image" Target="../media/image4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15.png"/><Relationship Id="rId11" Type="http://schemas.openxmlformats.org/officeDocument/2006/relationships/image" Target="../media/image6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20.jpeg"/><Relationship Id="rId40" Type="http://schemas.openxmlformats.org/officeDocument/2006/relationships/image" Target="../media/image23.jpeg"/><Relationship Id="rId45" Type="http://schemas.openxmlformats.org/officeDocument/2006/relationships/image" Target="../media/image28.jpeg"/><Relationship Id="rId53" Type="http://schemas.openxmlformats.org/officeDocument/2006/relationships/image" Target="../media/image36.jpeg"/><Relationship Id="rId58" Type="http://schemas.openxmlformats.org/officeDocument/2006/relationships/image" Target="../media/image41.jpeg"/><Relationship Id="rId66" Type="http://schemas.openxmlformats.org/officeDocument/2006/relationships/image" Target="../media/image49.jpeg"/><Relationship Id="rId5" Type="http://schemas.openxmlformats.org/officeDocument/2006/relationships/image" Target="../media/image3.png"/><Relationship Id="rId61" Type="http://schemas.openxmlformats.org/officeDocument/2006/relationships/image" Target="../media/image44.jpeg"/><Relationship Id="rId19" Type="http://schemas.openxmlformats.org/officeDocument/2006/relationships/image" Target="../media/image10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14.png"/><Relationship Id="rId30" Type="http://schemas.openxmlformats.org/officeDocument/2006/relationships/image" Target="../media/image30.svg"/><Relationship Id="rId35" Type="http://schemas.openxmlformats.org/officeDocument/2006/relationships/image" Target="../media/image18.png"/><Relationship Id="rId43" Type="http://schemas.openxmlformats.org/officeDocument/2006/relationships/image" Target="../media/image26.jpeg"/><Relationship Id="rId48" Type="http://schemas.openxmlformats.org/officeDocument/2006/relationships/image" Target="../media/image31.jpeg"/><Relationship Id="rId56" Type="http://schemas.openxmlformats.org/officeDocument/2006/relationships/image" Target="../media/image39.jpeg"/><Relationship Id="rId64" Type="http://schemas.openxmlformats.org/officeDocument/2006/relationships/image" Target="../media/image47.jpeg"/><Relationship Id="rId8" Type="http://schemas.openxmlformats.org/officeDocument/2006/relationships/image" Target="../media/image8.svg"/><Relationship Id="rId51" Type="http://schemas.openxmlformats.org/officeDocument/2006/relationships/image" Target="../media/image34.jpeg"/><Relationship Id="rId3" Type="http://schemas.openxmlformats.org/officeDocument/2006/relationships/image" Target="../media/image2.png"/><Relationship Id="rId12" Type="http://schemas.openxmlformats.org/officeDocument/2006/relationships/image" Target="../media/image12.svg"/><Relationship Id="rId17" Type="http://schemas.openxmlformats.org/officeDocument/2006/relationships/image" Target="../media/image9.png"/><Relationship Id="rId25" Type="http://schemas.openxmlformats.org/officeDocument/2006/relationships/image" Target="../media/image13.png"/><Relationship Id="rId33" Type="http://schemas.openxmlformats.org/officeDocument/2006/relationships/image" Target="../media/image17.png"/><Relationship Id="rId38" Type="http://schemas.openxmlformats.org/officeDocument/2006/relationships/image" Target="../media/image21.jpeg"/><Relationship Id="rId46" Type="http://schemas.openxmlformats.org/officeDocument/2006/relationships/image" Target="../media/image29.jpeg"/><Relationship Id="rId59" Type="http://schemas.openxmlformats.org/officeDocument/2006/relationships/image" Target="../media/image42.jpeg"/><Relationship Id="rId20" Type="http://schemas.openxmlformats.org/officeDocument/2006/relationships/image" Target="../media/image20.svg"/><Relationship Id="rId41" Type="http://schemas.openxmlformats.org/officeDocument/2006/relationships/image" Target="../media/image24.jpeg"/><Relationship Id="rId54" Type="http://schemas.openxmlformats.org/officeDocument/2006/relationships/image" Target="../media/image37.jpeg"/><Relationship Id="rId62" Type="http://schemas.openxmlformats.org/officeDocument/2006/relationships/image" Target="../media/image45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8.png"/><Relationship Id="rId23" Type="http://schemas.openxmlformats.org/officeDocument/2006/relationships/image" Target="../media/image12.png"/><Relationship Id="rId28" Type="http://schemas.openxmlformats.org/officeDocument/2006/relationships/image" Target="../media/image28.svg"/><Relationship Id="rId36" Type="http://schemas.openxmlformats.org/officeDocument/2006/relationships/image" Target="../media/image19.png"/><Relationship Id="rId49" Type="http://schemas.openxmlformats.org/officeDocument/2006/relationships/image" Target="../media/image32.jpeg"/><Relationship Id="rId57" Type="http://schemas.openxmlformats.org/officeDocument/2006/relationships/image" Target="../media/image40.jpeg"/><Relationship Id="rId10" Type="http://schemas.openxmlformats.org/officeDocument/2006/relationships/image" Target="../media/image10.svg"/><Relationship Id="rId31" Type="http://schemas.openxmlformats.org/officeDocument/2006/relationships/image" Target="../media/image16.png"/><Relationship Id="rId44" Type="http://schemas.openxmlformats.org/officeDocument/2006/relationships/image" Target="../media/image27.jpeg"/><Relationship Id="rId52" Type="http://schemas.openxmlformats.org/officeDocument/2006/relationships/image" Target="../media/image35.jpeg"/><Relationship Id="rId60" Type="http://schemas.openxmlformats.org/officeDocument/2006/relationships/image" Target="../media/image43.jpeg"/><Relationship Id="rId65" Type="http://schemas.openxmlformats.org/officeDocument/2006/relationships/image" Target="../media/image48.jpeg"/><Relationship Id="rId4" Type="http://schemas.openxmlformats.org/officeDocument/2006/relationships/image" Target="../media/image4.svg"/><Relationship Id="rId9" Type="http://schemas.openxmlformats.org/officeDocument/2006/relationships/image" Target="../media/image5.png"/><Relationship Id="rId13" Type="http://schemas.openxmlformats.org/officeDocument/2006/relationships/image" Target="../media/image7.png"/><Relationship Id="rId18" Type="http://schemas.openxmlformats.org/officeDocument/2006/relationships/image" Target="../media/image18.svg"/><Relationship Id="rId39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xmlns="" id="{F51A19F6-415C-428E-AE45-6B8444E8C5C6}"/>
            </a:ext>
            <a:ext uri="{147F2762-F138-4A5C-976F-8EAC2B608ADB}">
              <a16:predDERef xmlns:a16="http://schemas.microsoft.com/office/drawing/2014/main" xmlns="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xmlns="" id="{1B46314B-96F4-4815-F17C-4CFD773C5BEE}"/>
            </a:ext>
            <a:ext uri="{147F2762-F138-4A5C-976F-8EAC2B608ADB}">
              <a16:predDERef xmlns:a16="http://schemas.microsoft.com/office/drawing/2014/main" xmlns="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xmlns="" id="{DD2796C7-63CF-A040-CAC6-694AE2C956E4}"/>
            </a:ext>
            <a:ext uri="{147F2762-F138-4A5C-976F-8EAC2B608ADB}">
              <a16:predDERef xmlns:a16="http://schemas.microsoft.com/office/drawing/2014/main" xmlns="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xmlns="" id="{40B6E916-F412-551A-9B8E-659085D4E61F}"/>
            </a:ext>
            <a:ext uri="{147F2762-F138-4A5C-976F-8EAC2B608ADB}">
              <a16:predDERef xmlns:a16="http://schemas.microsoft.com/office/drawing/2014/main" xmlns="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xmlns="" id="{1B863B75-27AB-03EF-340E-38758835B422}"/>
            </a:ext>
            <a:ext uri="{147F2762-F138-4A5C-976F-8EAC2B608ADB}">
              <a16:predDERef xmlns:a16="http://schemas.microsoft.com/office/drawing/2014/main" xmlns="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xmlns="" id="{F9F7A320-9819-4817-B1BF-EDB370E4FCEE}"/>
            </a:ext>
            <a:ext uri="{147F2762-F138-4A5C-976F-8EAC2B608ADB}">
              <a16:predDERef xmlns:a16="http://schemas.microsoft.com/office/drawing/2014/main" xmlns="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xmlns="" id="{4CAA2867-7516-4884-9806-DFE9C30E4882}"/>
            </a:ext>
            <a:ext uri="{147F2762-F138-4A5C-976F-8EAC2B608ADB}">
              <a16:predDERef xmlns:a16="http://schemas.microsoft.com/office/drawing/2014/main" xmlns="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xmlns="" id="{2ECC2E3A-3621-4470-849A-445866F91979}"/>
            </a:ext>
            <a:ext uri="{147F2762-F138-4A5C-976F-8EAC2B608ADB}">
              <a16:predDERef xmlns:a16="http://schemas.microsoft.com/office/drawing/2014/main" xmlns="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xmlns="" id="{22861624-4BEA-4E9A-ABFA-5D5439CE4101}"/>
            </a:ext>
            <a:ext uri="{147F2762-F138-4A5C-976F-8EAC2B608ADB}">
              <a16:predDERef xmlns:a16="http://schemas.microsoft.com/office/drawing/2014/main" xmlns="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xmlns="" id="{5C5EBB62-A95E-43F4-9140-2603EC615986}"/>
            </a:ext>
            <a:ext uri="{147F2762-F138-4A5C-976F-8EAC2B608ADB}">
              <a16:predDERef xmlns:a16="http://schemas.microsoft.com/office/drawing/2014/main" xmlns="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xmlns="" id="{3B7BDB38-DF6E-43BF-86FB-6A9B230F72ED}"/>
            </a:ext>
            <a:ext uri="{147F2762-F138-4A5C-976F-8EAC2B608ADB}">
              <a16:predDERef xmlns:a16="http://schemas.microsoft.com/office/drawing/2014/main" xmlns="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xmlns="" id="{17B10BFC-AE3E-46EC-A0E7-FB856C1C432E}"/>
            </a:ext>
            <a:ext uri="{147F2762-F138-4A5C-976F-8EAC2B608ADB}">
              <a16:predDERef xmlns:a16="http://schemas.microsoft.com/office/drawing/2014/main" xmlns="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xmlns="" id="{7B79FBDE-9EAD-4A8D-8194-73FC1A89727B}"/>
            </a:ext>
            <a:ext uri="{147F2762-F138-4A5C-976F-8EAC2B608ADB}">
              <a16:predDERef xmlns:a16="http://schemas.microsoft.com/office/drawing/2014/main" xmlns="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xmlns="" id="{AC5ABD82-A79E-43D6-A08A-526028B33D27}"/>
            </a:ext>
            <a:ext uri="{147F2762-F138-4A5C-976F-8EAC2B608ADB}">
              <a16:predDERef xmlns:a16="http://schemas.microsoft.com/office/drawing/2014/main" xmlns="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xmlns="" id="{D3B1F9D8-1FB9-4CCC-AB18-8FC380654943}"/>
            </a:ext>
            <a:ext uri="{147F2762-F138-4A5C-976F-8EAC2B608ADB}">
              <a16:predDERef xmlns:a16="http://schemas.microsoft.com/office/drawing/2014/main" xmlns="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xmlns="" id="{4A4F891E-AB72-43C4-A284-70FCE9C97759}"/>
            </a:ext>
            <a:ext uri="{147F2762-F138-4A5C-976F-8EAC2B608ADB}">
              <a16:predDERef xmlns:a16="http://schemas.microsoft.com/office/drawing/2014/main" xmlns="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xmlns="" id="{319DA717-6C51-4F4D-BFFA-1D38C87BFD71}"/>
            </a:ext>
            <a:ext uri="{147F2762-F138-4A5C-976F-8EAC2B608ADB}">
              <a16:predDERef xmlns:a16="http://schemas.microsoft.com/office/drawing/2014/main" xmlns="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xmlns="" id="{632F5E0B-950B-4A04-BA6C-0436A596B91C}"/>
            </a:ext>
            <a:ext uri="{147F2762-F138-4A5C-976F-8EAC2B608ADB}">
              <a16:predDERef xmlns:a16="http://schemas.microsoft.com/office/drawing/2014/main" xmlns="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xmlns="" id="{F796A2AB-26EF-4897-93AC-402DBEAD10B1}"/>
            </a:ext>
            <a:ext uri="{147F2762-F138-4A5C-976F-8EAC2B608ADB}">
              <a16:predDERef xmlns:a16="http://schemas.microsoft.com/office/drawing/2014/main" xmlns="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xmlns="" id="{7B11A404-E79B-4E70-A731-103B739D09D1}"/>
            </a:ext>
            <a:ext uri="{147F2762-F138-4A5C-976F-8EAC2B608ADB}">
              <a16:predDERef xmlns:a16="http://schemas.microsoft.com/office/drawing/2014/main" xmlns="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xmlns="" id="{24837278-93DD-4EE9-B1B4-8AA3B6709C88}"/>
            </a:ext>
            <a:ext uri="{147F2762-F138-4A5C-976F-8EAC2B608ADB}">
              <a16:predDERef xmlns:a16="http://schemas.microsoft.com/office/drawing/2014/main" xmlns="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xmlns="" id="{F4C67D1C-DBC8-48F3-AEB4-717369EC7ADB}"/>
            </a:ext>
            <a:ext uri="{147F2762-F138-4A5C-976F-8EAC2B608ADB}">
              <a16:predDERef xmlns:a16="http://schemas.microsoft.com/office/drawing/2014/main" xmlns="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xmlns="" id="{36A088A0-E9DE-4E2B-820A-4ED4CEF4983C}"/>
            </a:ext>
            <a:ext uri="{147F2762-F138-4A5C-976F-8EAC2B608ADB}">
              <a16:predDERef xmlns:a16="http://schemas.microsoft.com/office/drawing/2014/main" xmlns="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xmlns="" id="{C6FF0E20-6461-4635-9D83-B6A8D8CDB869}"/>
            </a:ext>
            <a:ext uri="{147F2762-F138-4A5C-976F-8EAC2B608ADB}">
              <a16:predDERef xmlns:a16="http://schemas.microsoft.com/office/drawing/2014/main" xmlns="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xmlns="" id="{1D2DE972-42C3-4B35-9D9B-D44D3222DCB2}"/>
            </a:ext>
            <a:ext uri="{147F2762-F138-4A5C-976F-8EAC2B608ADB}">
              <a16:predDERef xmlns:a16="http://schemas.microsoft.com/office/drawing/2014/main" xmlns="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xmlns="" id="{45B79A5B-7180-4EF1-A10A-F4558F6895B9}"/>
            </a:ext>
            <a:ext uri="{147F2762-F138-4A5C-976F-8EAC2B608ADB}">
              <a16:predDERef xmlns:a16="http://schemas.microsoft.com/office/drawing/2014/main" xmlns="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xmlns="" id="{99219DA7-2B42-47C5-A117-23215AE09188}"/>
            </a:ext>
            <a:ext uri="{147F2762-F138-4A5C-976F-8EAC2B608ADB}">
              <a16:predDERef xmlns:a16="http://schemas.microsoft.com/office/drawing/2014/main" xmlns="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xmlns="" id="{34E4060E-64BF-4420-92E8-55ED4FDE1F2C}"/>
            </a:ext>
            <a:ext uri="{147F2762-F138-4A5C-976F-8EAC2B608ADB}">
              <a16:predDERef xmlns:a16="http://schemas.microsoft.com/office/drawing/2014/main" xmlns="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xmlns="" id="{E34D46EF-A7A1-49C2-8271-6B46C1F01729}"/>
            </a:ext>
            <a:ext uri="{147F2762-F138-4A5C-976F-8EAC2B608ADB}">
              <a16:predDERef xmlns:a16="http://schemas.microsoft.com/office/drawing/2014/main" xmlns="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xmlns="" id="{CE5C2639-EABA-4A03-8A6C-AF7B87EEBBC4}"/>
            </a:ext>
            <a:ext uri="{147F2762-F138-4A5C-976F-8EAC2B608ADB}">
              <a16:predDERef xmlns:a16="http://schemas.microsoft.com/office/drawing/2014/main" xmlns="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xmlns="" id="{895A885F-98CA-4F6A-9916-B0DAF4808B58}"/>
            </a:ext>
            <a:ext uri="{147F2762-F138-4A5C-976F-8EAC2B608ADB}">
              <a16:predDERef xmlns:a16="http://schemas.microsoft.com/office/drawing/2014/main" xmlns="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xmlns="" id="{23478721-E983-4248-9001-C89BDD9ABF4A}"/>
            </a:ext>
            <a:ext uri="{147F2762-F138-4A5C-976F-8EAC2B608ADB}">
              <a16:predDERef xmlns:a16="http://schemas.microsoft.com/office/drawing/2014/main" xmlns="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xmlns="" id="{914E9B18-87CA-4972-A74B-487A65254FBF}"/>
            </a:ext>
            <a:ext uri="{147F2762-F138-4A5C-976F-8EAC2B608ADB}">
              <a16:predDERef xmlns:a16="http://schemas.microsoft.com/office/drawing/2014/main" xmlns="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xmlns="" id="{6A835687-E18C-4E61-96BF-2CACA7028655}"/>
            </a:ext>
            <a:ext uri="{147F2762-F138-4A5C-976F-8EAC2B608ADB}">
              <a16:predDERef xmlns:a16="http://schemas.microsoft.com/office/drawing/2014/main" xmlns="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xmlns="" id="{0BB292AF-CF63-4D91-9FB2-B9D9255E9111}"/>
            </a:ext>
            <a:ext uri="{147F2762-F138-4A5C-976F-8EAC2B608ADB}">
              <a16:predDERef xmlns:a16="http://schemas.microsoft.com/office/drawing/2014/main" xmlns="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xmlns="" id="{D5A3DA86-7AE0-44D5-8116-38B4AF820308}"/>
            </a:ext>
            <a:ext uri="{147F2762-F138-4A5C-976F-8EAC2B608ADB}">
              <a16:predDERef xmlns:a16="http://schemas.microsoft.com/office/drawing/2014/main" xmlns="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xmlns="" id="{5538F9C8-A0F4-472F-8854-3DD951573486}"/>
            </a:ext>
            <a:ext uri="{147F2762-F138-4A5C-976F-8EAC2B608ADB}">
              <a16:predDERef xmlns:a16="http://schemas.microsoft.com/office/drawing/2014/main" xmlns="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xmlns="" id="{605DFDD4-24E5-4DCF-8C84-4031B2CF39C2}"/>
            </a:ext>
            <a:ext uri="{147F2762-F138-4A5C-976F-8EAC2B608ADB}">
              <a16:predDERef xmlns:a16="http://schemas.microsoft.com/office/drawing/2014/main" xmlns="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xmlns="" id="{BD0BD818-94C4-4B50-B510-C69C4DCC7841}"/>
            </a:ext>
            <a:ext uri="{147F2762-F138-4A5C-976F-8EAC2B608ADB}">
              <a16:predDERef xmlns:a16="http://schemas.microsoft.com/office/drawing/2014/main" xmlns="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xmlns="" id="{F8144853-86A7-442E-8925-6805C06536BF}"/>
            </a:ext>
            <a:ext uri="{147F2762-F138-4A5C-976F-8EAC2B608ADB}">
              <a16:predDERef xmlns:a16="http://schemas.microsoft.com/office/drawing/2014/main" xmlns="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xmlns="" id="{D9869385-E3E9-48AF-8AEA-A5C54A95F42B}"/>
            </a:ext>
            <a:ext uri="{147F2762-F138-4A5C-976F-8EAC2B608ADB}">
              <a16:predDERef xmlns:a16="http://schemas.microsoft.com/office/drawing/2014/main" xmlns="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xmlns="" id="{66D40F43-9FAC-461B-9600-C0A8D1D4DAFF}"/>
            </a:ext>
            <a:ext uri="{147F2762-F138-4A5C-976F-8EAC2B608ADB}">
              <a16:predDERef xmlns:a16="http://schemas.microsoft.com/office/drawing/2014/main" xmlns="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xmlns="" id="{B29E90D8-0ACB-42E6-8B0A-2F3AF5C2CD64}"/>
            </a:ext>
            <a:ext uri="{147F2762-F138-4A5C-976F-8EAC2B608ADB}">
              <a16:predDERef xmlns:a16="http://schemas.microsoft.com/office/drawing/2014/main" xmlns="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xmlns="" id="{2041A232-6C75-469A-8901-4D7B2E621DCC}"/>
            </a:ext>
            <a:ext uri="{147F2762-F138-4A5C-976F-8EAC2B608ADB}">
              <a16:predDERef xmlns:a16="http://schemas.microsoft.com/office/drawing/2014/main" xmlns="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xmlns="" id="{FE4B9485-F6AA-4F52-956A-7E1D92C37B10}"/>
            </a:ext>
            <a:ext uri="{147F2762-F138-4A5C-976F-8EAC2B608ADB}">
              <a16:predDERef xmlns:a16="http://schemas.microsoft.com/office/drawing/2014/main" xmlns="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xmlns="" id="{1E9ADE1C-28E2-4F40-B825-0D86951080F6}"/>
            </a:ext>
            <a:ext uri="{147F2762-F138-4A5C-976F-8EAC2B608ADB}">
              <a16:predDERef xmlns:a16="http://schemas.microsoft.com/office/drawing/2014/main" xmlns="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xmlns="" id="{7D2B5624-F239-4AEC-AEB0-88500E4118FA}"/>
            </a:ext>
            <a:ext uri="{147F2762-F138-4A5C-976F-8EAC2B608ADB}">
              <a16:predDERef xmlns:a16="http://schemas.microsoft.com/office/drawing/2014/main" xmlns="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xmlns="" id="{49B0B1E0-79B7-4827-AFB1-4DCA0DF62F5E}"/>
            </a:ext>
            <a:ext uri="{147F2762-F138-4A5C-976F-8EAC2B608ADB}">
              <a16:predDERef xmlns:a16="http://schemas.microsoft.com/office/drawing/2014/main" xmlns="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BB6D60D7-263B-2905-A703-4417C42B4357}"/>
            </a:ext>
            <a:ext uri="{147F2762-F138-4A5C-976F-8EAC2B608ADB}">
              <a16:predDERef xmlns:a16="http://schemas.microsoft.com/office/drawing/2014/main" xmlns="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BE1B5D36-C0A1-4E50-88CB-FDADEE6396CE}"/>
            </a:ext>
            <a:ext uri="{147F2762-F138-4A5C-976F-8EAC2B608ADB}">
              <a16:predDERef xmlns:a16="http://schemas.microsoft.com/office/drawing/2014/main" xmlns="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C031B59A-81A8-4F0E-AA68-4D7B043C698D}"/>
            </a:ext>
            <a:ext uri="{147F2762-F138-4A5C-976F-8EAC2B608ADB}">
              <a16:predDERef xmlns:a16="http://schemas.microsoft.com/office/drawing/2014/main" xmlns="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xmlns="" id="{69EE8444-1F25-2356-F4A0-9AA849A76C50}"/>
            </a:ext>
            <a:ext uri="{147F2762-F138-4A5C-976F-8EAC2B608ADB}">
              <a16:predDERef xmlns:a16="http://schemas.microsoft.com/office/drawing/2014/main" xmlns="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xmlns="" id="{D0739553-C807-45C2-8E0C-C1E8D304CA8A}"/>
            </a:ext>
            <a:ext uri="{147F2762-F138-4A5C-976F-8EAC2B608ADB}">
              <a16:predDERef xmlns:a16="http://schemas.microsoft.com/office/drawing/2014/main" xmlns="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xmlns="" id="{847CA9E4-7471-494A-8D45-FE9AFE54E8FD}"/>
            </a:ext>
            <a:ext uri="{147F2762-F138-4A5C-976F-8EAC2B608ADB}">
              <a16:predDERef xmlns:a16="http://schemas.microsoft.com/office/drawing/2014/main" xmlns="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xmlns="" id="{4383D23F-95CC-44E7-F347-5683F4589692}"/>
            </a:ext>
            <a:ext uri="{147F2762-F138-4A5C-976F-8EAC2B608ADB}">
              <a16:predDERef xmlns:a16="http://schemas.microsoft.com/office/drawing/2014/main" xmlns="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xmlns="" id="{8B0F07F1-CACA-B80C-9E7E-82D6DBAFAEAD}"/>
            </a:ext>
            <a:ext uri="{147F2762-F138-4A5C-976F-8EAC2B608ADB}">
              <a16:predDERef xmlns:a16="http://schemas.microsoft.com/office/drawing/2014/main" xmlns="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xmlns="" id="{5EC2B216-D836-45D8-8687-C70EE6030040}"/>
            </a:ext>
            <a:ext uri="{147F2762-F138-4A5C-976F-8EAC2B608ADB}">
              <a16:predDERef xmlns:a16="http://schemas.microsoft.com/office/drawing/2014/main" xmlns="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xmlns="" id="{AB6E75E2-D7BB-4FA9-93F5-63B0296369A7}"/>
            </a:ext>
            <a:ext uri="{147F2762-F138-4A5C-976F-8EAC2B608ADB}">
              <a16:predDERef xmlns:a16="http://schemas.microsoft.com/office/drawing/2014/main" xmlns="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xmlns="" id="{437C0994-7F98-40EB-905D-E5E44D2B304B}"/>
            </a:ext>
            <a:ext uri="{147F2762-F138-4A5C-976F-8EAC2B608ADB}">
              <a16:predDERef xmlns:a16="http://schemas.microsoft.com/office/drawing/2014/main" xmlns="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xmlns="" id="{C16ACF93-8809-49B5-A1C7-6D4825FAD0E8}"/>
            </a:ext>
            <a:ext uri="{147F2762-F138-4A5C-976F-8EAC2B608ADB}">
              <a16:predDERef xmlns:a16="http://schemas.microsoft.com/office/drawing/2014/main" xmlns="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xmlns="" id="{D43BCD2C-6856-30EB-249D-4ABD75B8C5FA}"/>
            </a:ext>
            <a:ext uri="{147F2762-F138-4A5C-976F-8EAC2B608ADB}">
              <a16:predDERef xmlns:a16="http://schemas.microsoft.com/office/drawing/2014/main" xmlns="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xmlns="" id="{50CC640E-DC57-4408-A445-0690585C932E}"/>
            </a:ext>
            <a:ext uri="{147F2762-F138-4A5C-976F-8EAC2B608ADB}">
              <a16:predDERef xmlns:a16="http://schemas.microsoft.com/office/drawing/2014/main" xmlns="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xmlns="" id="{4491A8DE-4C7D-4A7F-91F7-654A69FABD2F}"/>
            </a:ext>
            <a:ext uri="{147F2762-F138-4A5C-976F-8EAC2B608ADB}">
              <a16:predDERef xmlns:a16="http://schemas.microsoft.com/office/drawing/2014/main" xmlns="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xmlns="" id="{F10288F3-340E-31EB-D5F3-1743FD0B3316}"/>
            </a:ext>
            <a:ext uri="{147F2762-F138-4A5C-976F-8EAC2B608ADB}">
              <a16:predDERef xmlns:a16="http://schemas.microsoft.com/office/drawing/2014/main" xmlns="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xmlns="" id="{81A30AF2-AAF9-4147-85D7-78FF27D522C5}"/>
            </a:ext>
            <a:ext uri="{147F2762-F138-4A5C-976F-8EAC2B608ADB}">
              <a16:predDERef xmlns:a16="http://schemas.microsoft.com/office/drawing/2014/main" xmlns="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xmlns="" id="{99A09E97-3C00-4DBA-8301-04FB23CA2A5C}"/>
            </a:ext>
            <a:ext uri="{147F2762-F138-4A5C-976F-8EAC2B608ADB}">
              <a16:predDERef xmlns:a16="http://schemas.microsoft.com/office/drawing/2014/main" xmlns="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xmlns="" id="{72EA11BF-CA51-52E5-F4E9-630CE4982DFA}"/>
            </a:ext>
            <a:ext uri="{147F2762-F138-4A5C-976F-8EAC2B608ADB}">
              <a16:predDERef xmlns:a16="http://schemas.microsoft.com/office/drawing/2014/main" xmlns="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xmlns="" id="{52BD69E4-E968-4B71-B47D-370F99BCA0D6}"/>
            </a:ext>
            <a:ext uri="{147F2762-F138-4A5C-976F-8EAC2B608ADB}">
              <a16:predDERef xmlns:a16="http://schemas.microsoft.com/office/drawing/2014/main" xmlns="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xmlns="" id="{3CCE7B5F-C44C-4BB2-B714-87A9AF6C134E}"/>
            </a:ext>
            <a:ext uri="{147F2762-F138-4A5C-976F-8EAC2B608ADB}">
              <a16:predDERef xmlns:a16="http://schemas.microsoft.com/office/drawing/2014/main" xmlns="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xmlns="" id="{27766BD1-06AD-C18B-F134-FD484D5341A6}"/>
            </a:ext>
            <a:ext uri="{147F2762-F138-4A5C-976F-8EAC2B608ADB}">
              <a16:predDERef xmlns:a16="http://schemas.microsoft.com/office/drawing/2014/main" xmlns="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xmlns="" id="{C4B92765-1367-404F-A79F-C9AD30ACC023}"/>
            </a:ext>
            <a:ext uri="{147F2762-F138-4A5C-976F-8EAC2B608ADB}">
              <a16:predDERef xmlns:a16="http://schemas.microsoft.com/office/drawing/2014/main" xmlns="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xmlns="" id="{9B133708-FEC3-4B81-8B27-27A17D261279}"/>
            </a:ext>
            <a:ext uri="{147F2762-F138-4A5C-976F-8EAC2B608ADB}">
              <a16:predDERef xmlns:a16="http://schemas.microsoft.com/office/drawing/2014/main" xmlns="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xmlns="" id="{51D84315-7B60-FFFB-C340-A001D0A5FF07}"/>
            </a:ext>
            <a:ext uri="{147F2762-F138-4A5C-976F-8EAC2B608ADB}">
              <a16:predDERef xmlns:a16="http://schemas.microsoft.com/office/drawing/2014/main" xmlns="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xmlns="" id="{7597E444-EDCC-403A-A2D9-9CBFDE5DE51C}"/>
            </a:ext>
            <a:ext uri="{147F2762-F138-4A5C-976F-8EAC2B608ADB}">
              <a16:predDERef xmlns:a16="http://schemas.microsoft.com/office/drawing/2014/main" xmlns="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xmlns="" id="{A6275DFE-A44B-4640-B04D-AED21754C274}"/>
            </a:ext>
            <a:ext uri="{147F2762-F138-4A5C-976F-8EAC2B608ADB}">
              <a16:predDERef xmlns:a16="http://schemas.microsoft.com/office/drawing/2014/main" xmlns="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xmlns="" id="{345EE2B6-4254-4757-A17A-E588F3FF68D1}"/>
            </a:ext>
            <a:ext uri="{147F2762-F138-4A5C-976F-8EAC2B608ADB}">
              <a16:predDERef xmlns:a16="http://schemas.microsoft.com/office/drawing/2014/main" xmlns="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xmlns="" id="{869D3DB6-1929-49D0-932F-7437024DE66D}"/>
            </a:ext>
            <a:ext uri="{147F2762-F138-4A5C-976F-8EAC2B608ADB}">
              <a16:predDERef xmlns:a16="http://schemas.microsoft.com/office/drawing/2014/main" xmlns="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xmlns="" id="{010337C5-CF48-44DE-A32D-2BC9C520099F}"/>
            </a:ext>
            <a:ext uri="{147F2762-F138-4A5C-976F-8EAC2B608ADB}">
              <a16:predDERef xmlns:a16="http://schemas.microsoft.com/office/drawing/2014/main" xmlns="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xmlns="" id="{DFC93723-4221-C3D7-F719-7819AE9485BA}"/>
            </a:ext>
            <a:ext uri="{147F2762-F138-4A5C-976F-8EAC2B608ADB}">
              <a16:predDERef xmlns:a16="http://schemas.microsoft.com/office/drawing/2014/main" xmlns="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xmlns="" id="{29EA175C-4B47-4A09-AF7C-2432E57EE030}"/>
            </a:ext>
            <a:ext uri="{147F2762-F138-4A5C-976F-8EAC2B608ADB}">
              <a16:predDERef xmlns:a16="http://schemas.microsoft.com/office/drawing/2014/main" xmlns="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xmlns="" id="{73AEA0E1-7CF9-49AB-8A6F-BF04537168F5}"/>
            </a:ext>
            <a:ext uri="{147F2762-F138-4A5C-976F-8EAC2B608ADB}">
              <a16:predDERef xmlns:a16="http://schemas.microsoft.com/office/drawing/2014/main" xmlns="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xmlns="" id="{9ED42E84-6C21-450C-999C-39421CF91D08}"/>
            </a:ext>
            <a:ext uri="{147F2762-F138-4A5C-976F-8EAC2B608ADB}">
              <a16:predDERef xmlns:a16="http://schemas.microsoft.com/office/drawing/2014/main" xmlns="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xmlns="" id="{61770197-C4C3-4510-8FFE-B312E09827E7}"/>
            </a:ext>
            <a:ext uri="{147F2762-F138-4A5C-976F-8EAC2B608ADB}">
              <a16:predDERef xmlns:a16="http://schemas.microsoft.com/office/drawing/2014/main" xmlns="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xmlns="" id="{F068B2FF-8EDA-33E5-40CE-E16D2A3EF311}"/>
            </a:ext>
            <a:ext uri="{147F2762-F138-4A5C-976F-8EAC2B608ADB}">
              <a16:predDERef xmlns:a16="http://schemas.microsoft.com/office/drawing/2014/main" xmlns="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xmlns="" id="{A7A78207-A08D-41CC-AA47-8B1BA5E27D5F}"/>
            </a:ext>
            <a:ext uri="{147F2762-F138-4A5C-976F-8EAC2B608ADB}">
              <a16:predDERef xmlns:a16="http://schemas.microsoft.com/office/drawing/2014/main" xmlns="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xmlns="" id="{9DBE3F33-0403-456B-B4B8-1E91BB1BA8B9}"/>
            </a:ext>
            <a:ext uri="{147F2762-F138-4A5C-976F-8EAC2B608ADB}">
              <a16:predDERef xmlns:a16="http://schemas.microsoft.com/office/drawing/2014/main" xmlns="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xmlns="" id="{202897AA-DDF6-4593-8863-955ADF52A029}"/>
            </a:ext>
            <a:ext uri="{147F2762-F138-4A5C-976F-8EAC2B608ADB}">
              <a16:predDERef xmlns:a16="http://schemas.microsoft.com/office/drawing/2014/main" xmlns="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xmlns="" id="{EC4F796A-976A-4D1A-A99F-A4DAD1E3B03B}"/>
            </a:ext>
            <a:ext uri="{147F2762-F138-4A5C-976F-8EAC2B608ADB}">
              <a16:predDERef xmlns:a16="http://schemas.microsoft.com/office/drawing/2014/main" xmlns="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xmlns="" id="{CAD0A170-AEE0-4773-8608-BDCE577B3783}"/>
            </a:ext>
            <a:ext uri="{147F2762-F138-4A5C-976F-8EAC2B608ADB}">
              <a16:predDERef xmlns:a16="http://schemas.microsoft.com/office/drawing/2014/main" xmlns="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xmlns="" id="{F0E9C929-8FCA-12A2-FFC0-4B473B22CB76}"/>
            </a:ext>
            <a:ext uri="{147F2762-F138-4A5C-976F-8EAC2B608ADB}">
              <a16:predDERef xmlns:a16="http://schemas.microsoft.com/office/drawing/2014/main" xmlns="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xmlns="" id="{1AC42D6E-85FE-49C9-97F4-B291E1538138}"/>
            </a:ext>
            <a:ext uri="{147F2762-F138-4A5C-976F-8EAC2B608ADB}">
              <a16:predDERef xmlns:a16="http://schemas.microsoft.com/office/drawing/2014/main" xmlns="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xmlns="" id="{DA269B76-E247-48A7-BB6E-61336BBE7F43}"/>
            </a:ext>
            <a:ext uri="{147F2762-F138-4A5C-976F-8EAC2B608ADB}">
              <a16:predDERef xmlns:a16="http://schemas.microsoft.com/office/drawing/2014/main" xmlns="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xmlns="" id="{42BE210D-9B31-6BD2-97A1-AAE93B7E7EF7}"/>
            </a:ext>
            <a:ext uri="{147F2762-F138-4A5C-976F-8EAC2B608ADB}">
              <a16:predDERef xmlns:a16="http://schemas.microsoft.com/office/drawing/2014/main" xmlns="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xmlns="" id="{7BFCCDE7-B76F-4E04-A483-859E0B88B19A}"/>
            </a:ext>
            <a:ext uri="{147F2762-F138-4A5C-976F-8EAC2B608ADB}">
              <a16:predDERef xmlns:a16="http://schemas.microsoft.com/office/drawing/2014/main" xmlns="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xmlns="" id="{E57668A2-C937-4BB1-8E0A-C138846A902B}"/>
            </a:ext>
            <a:ext uri="{147F2762-F138-4A5C-976F-8EAC2B608ADB}">
              <a16:predDERef xmlns:a16="http://schemas.microsoft.com/office/drawing/2014/main" xmlns="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xmlns="" id="{C196E4D8-8C61-AC6E-8410-08C8A794DFC1}"/>
            </a:ext>
            <a:ext uri="{147F2762-F138-4A5C-976F-8EAC2B608ADB}">
              <a16:predDERef xmlns:a16="http://schemas.microsoft.com/office/drawing/2014/main" xmlns="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xmlns="" id="{4DF58BED-8D8C-4C50-97F6-E4630ED8C319}"/>
            </a:ext>
            <a:ext uri="{147F2762-F138-4A5C-976F-8EAC2B608ADB}">
              <a16:predDERef xmlns:a16="http://schemas.microsoft.com/office/drawing/2014/main" xmlns="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xmlns="" id="{72B4D245-49FF-45DB-A827-8BE8A1A8B48F}"/>
            </a:ext>
            <a:ext uri="{147F2762-F138-4A5C-976F-8EAC2B608ADB}">
              <a16:predDERef xmlns:a16="http://schemas.microsoft.com/office/drawing/2014/main" xmlns="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xmlns="" id="{0B455958-3603-1715-E2F5-6FB6F0CECE86}"/>
            </a:ext>
            <a:ext uri="{147F2762-F138-4A5C-976F-8EAC2B608ADB}">
              <a16:predDERef xmlns:a16="http://schemas.microsoft.com/office/drawing/2014/main" xmlns="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xmlns="" id="{098924BF-98E1-1FE5-2B9D-308786AA69E7}"/>
            </a:ext>
            <a:ext uri="{147F2762-F138-4A5C-976F-8EAC2B608ADB}">
              <a16:predDERef xmlns:a16="http://schemas.microsoft.com/office/drawing/2014/main" xmlns="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xmlns="" id="{88179672-29A1-458E-A299-B8EC1111A123}"/>
            </a:ext>
            <a:ext uri="{147F2762-F138-4A5C-976F-8EAC2B608ADB}">
              <a16:predDERef xmlns:a16="http://schemas.microsoft.com/office/drawing/2014/main" xmlns="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xmlns="" id="{E21C3AC7-2626-421F-91DF-9CA29ADCAAA7}"/>
            </a:ext>
            <a:ext uri="{147F2762-F138-4A5C-976F-8EAC2B608ADB}">
              <a16:predDERef xmlns:a16="http://schemas.microsoft.com/office/drawing/2014/main" xmlns="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xmlns="" id="{A339F249-01B0-573D-1A51-832F90447E7F}"/>
            </a:ext>
            <a:ext uri="{147F2762-F138-4A5C-976F-8EAC2B608ADB}">
              <a16:predDERef xmlns:a16="http://schemas.microsoft.com/office/drawing/2014/main" xmlns="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xmlns="" id="{B1AC6EF9-7793-4689-A249-1B24963F6EFA}"/>
            </a:ext>
            <a:ext uri="{147F2762-F138-4A5C-976F-8EAC2B608ADB}">
              <a16:predDERef xmlns:a16="http://schemas.microsoft.com/office/drawing/2014/main" xmlns="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xmlns="" id="{4191B125-922F-4D8D-927A-F296134E6639}"/>
            </a:ext>
            <a:ext uri="{147F2762-F138-4A5C-976F-8EAC2B608ADB}">
              <a16:predDERef xmlns:a16="http://schemas.microsoft.com/office/drawing/2014/main" xmlns="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xmlns="" id="{FB6A1F23-356F-03C8-89A9-A58D53733FA6}"/>
            </a:ext>
            <a:ext uri="{147F2762-F138-4A5C-976F-8EAC2B608ADB}">
              <a16:predDERef xmlns:a16="http://schemas.microsoft.com/office/drawing/2014/main" xmlns="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xmlns="" id="{30F1C7B3-F84D-454E-9558-C12993D76B14}"/>
            </a:ext>
            <a:ext uri="{147F2762-F138-4A5C-976F-8EAC2B608ADB}">
              <a16:predDERef xmlns:a16="http://schemas.microsoft.com/office/drawing/2014/main" xmlns="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xmlns="" id="{77FD7135-3C30-4340-A2CD-50300F9A1557}"/>
            </a:ext>
            <a:ext uri="{147F2762-F138-4A5C-976F-8EAC2B608ADB}">
              <a16:predDERef xmlns:a16="http://schemas.microsoft.com/office/drawing/2014/main" xmlns="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xmlns="" id="{B8298630-2532-ECAB-1AE9-D392529F0BB3}"/>
            </a:ext>
            <a:ext uri="{147F2762-F138-4A5C-976F-8EAC2B608ADB}">
              <a16:predDERef xmlns:a16="http://schemas.microsoft.com/office/drawing/2014/main" xmlns="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xmlns="" id="{81DA73B2-C784-4149-AF54-35F3E7EBC024}"/>
            </a:ext>
            <a:ext uri="{147F2762-F138-4A5C-976F-8EAC2B608ADB}">
              <a16:predDERef xmlns:a16="http://schemas.microsoft.com/office/drawing/2014/main" xmlns="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xmlns="" id="{E70919BA-D6FE-4669-948B-442CB9B5351B}"/>
            </a:ext>
            <a:ext uri="{147F2762-F138-4A5C-976F-8EAC2B608ADB}">
              <a16:predDERef xmlns:a16="http://schemas.microsoft.com/office/drawing/2014/main" xmlns="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xmlns="" id="{30FB3D2B-1857-4524-39E8-414D7241839F}"/>
            </a:ext>
            <a:ext uri="{147F2762-F138-4A5C-976F-8EAC2B608ADB}">
              <a16:predDERef xmlns:a16="http://schemas.microsoft.com/office/drawing/2014/main" xmlns="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xmlns="" id="{B3E0B716-3F31-49AB-B0DF-A7A5D062DAFF}"/>
            </a:ext>
            <a:ext uri="{147F2762-F138-4A5C-976F-8EAC2B608ADB}">
              <a16:predDERef xmlns:a16="http://schemas.microsoft.com/office/drawing/2014/main" xmlns="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xmlns="" id="{7BF3C833-4DBD-4384-8E02-297FBF928C0B}"/>
            </a:ext>
            <a:ext uri="{147F2762-F138-4A5C-976F-8EAC2B608ADB}">
              <a16:predDERef xmlns:a16="http://schemas.microsoft.com/office/drawing/2014/main" xmlns="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xmlns="" id="{3145E025-B580-5C4D-0669-0156CE68637F}"/>
            </a:ext>
            <a:ext uri="{147F2762-F138-4A5C-976F-8EAC2B608ADB}">
              <a16:predDERef xmlns:a16="http://schemas.microsoft.com/office/drawing/2014/main" xmlns="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xmlns="" id="{F422FA4D-C1F2-45D0-8FF3-1CD9CC3E692C}"/>
            </a:ext>
            <a:ext uri="{147F2762-F138-4A5C-976F-8EAC2B608ADB}">
              <a16:predDERef xmlns:a16="http://schemas.microsoft.com/office/drawing/2014/main" xmlns="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xmlns="" id="{AA774F6A-C08D-4E8A-B9CA-102E1E878606}"/>
            </a:ext>
            <a:ext uri="{147F2762-F138-4A5C-976F-8EAC2B608ADB}">
              <a16:predDERef xmlns:a16="http://schemas.microsoft.com/office/drawing/2014/main" xmlns="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xmlns="" id="{67C0255F-509C-57CF-A97D-D7B4864AF9B0}"/>
            </a:ext>
            <a:ext uri="{147F2762-F138-4A5C-976F-8EAC2B608ADB}">
              <a16:predDERef xmlns:a16="http://schemas.microsoft.com/office/drawing/2014/main" xmlns="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xmlns="" id="{DDAF7E5B-4C05-4A74-9825-D0066FB7F2C9}"/>
            </a:ext>
            <a:ext uri="{147F2762-F138-4A5C-976F-8EAC2B608ADB}">
              <a16:predDERef xmlns:a16="http://schemas.microsoft.com/office/drawing/2014/main" xmlns="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xmlns="" id="{ABCFE893-7E10-4D50-8649-6191D4CF8087}"/>
            </a:ext>
            <a:ext uri="{147F2762-F138-4A5C-976F-8EAC2B608ADB}">
              <a16:predDERef xmlns:a16="http://schemas.microsoft.com/office/drawing/2014/main" xmlns="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xmlns="" id="{58FC111B-CF3D-5593-695F-0456FF709E87}"/>
            </a:ext>
            <a:ext uri="{147F2762-F138-4A5C-976F-8EAC2B608ADB}">
              <a16:predDERef xmlns:a16="http://schemas.microsoft.com/office/drawing/2014/main" xmlns="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xmlns="" id="{E7DE13C6-FF48-4A46-9940-7737996098C5}"/>
            </a:ext>
            <a:ext uri="{147F2762-F138-4A5C-976F-8EAC2B608ADB}">
              <a16:predDERef xmlns:a16="http://schemas.microsoft.com/office/drawing/2014/main" xmlns="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xmlns="" id="{2139952F-33EC-4355-8BE7-B04B9260378A}"/>
            </a:ext>
            <a:ext uri="{147F2762-F138-4A5C-976F-8EAC2B608ADB}">
              <a16:predDERef xmlns:a16="http://schemas.microsoft.com/office/drawing/2014/main" xmlns="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xmlns="" id="{70C438E8-24F9-7767-C915-3978A26D5BA7}"/>
            </a:ext>
            <a:ext uri="{147F2762-F138-4A5C-976F-8EAC2B608ADB}">
              <a16:predDERef xmlns:a16="http://schemas.microsoft.com/office/drawing/2014/main" xmlns="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xmlns="" id="{935F9792-7EAA-40AD-AE13-7E60491755D6}"/>
            </a:ext>
            <a:ext uri="{147F2762-F138-4A5C-976F-8EAC2B608ADB}">
              <a16:predDERef xmlns:a16="http://schemas.microsoft.com/office/drawing/2014/main" xmlns="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xmlns="" id="{F4CC0F33-1C5C-4DE7-B21C-F8C30F59532F}"/>
            </a:ext>
            <a:ext uri="{147F2762-F138-4A5C-976F-8EAC2B608ADB}">
              <a16:predDERef xmlns:a16="http://schemas.microsoft.com/office/drawing/2014/main" xmlns="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xmlns="" id="{652CB5AB-A8A7-F9DF-276D-0D5BE7748231}"/>
            </a:ext>
            <a:ext uri="{147F2762-F138-4A5C-976F-8EAC2B608ADB}">
              <a16:predDERef xmlns:a16="http://schemas.microsoft.com/office/drawing/2014/main" xmlns="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xmlns="" id="{EF2907EB-5792-494A-94FA-8D1ED0F5A786}"/>
            </a:ext>
            <a:ext uri="{147F2762-F138-4A5C-976F-8EAC2B608ADB}">
              <a16:predDERef xmlns:a16="http://schemas.microsoft.com/office/drawing/2014/main" xmlns="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xmlns="" id="{88D0F5DC-F4AC-44F1-B04D-9396174C4E0D}"/>
            </a:ext>
            <a:ext uri="{147F2762-F138-4A5C-976F-8EAC2B608ADB}">
              <a16:predDERef xmlns:a16="http://schemas.microsoft.com/office/drawing/2014/main" xmlns="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xmlns="" id="{CC2BA196-9E41-3B8D-76C8-CBAE66B8CF10}"/>
            </a:ext>
            <a:ext uri="{147F2762-F138-4A5C-976F-8EAC2B608ADB}">
              <a16:predDERef xmlns:a16="http://schemas.microsoft.com/office/drawing/2014/main" xmlns="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xmlns="" id="{D92FE3C3-C952-4938-9336-AB35291EA1FF}"/>
            </a:ext>
            <a:ext uri="{147F2762-F138-4A5C-976F-8EAC2B608ADB}">
              <a16:predDERef xmlns:a16="http://schemas.microsoft.com/office/drawing/2014/main" xmlns="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xmlns="" id="{78F1F27C-38CD-4B4B-91C1-2C270068EDF0}"/>
            </a:ext>
            <a:ext uri="{147F2762-F138-4A5C-976F-8EAC2B608ADB}">
              <a16:predDERef xmlns:a16="http://schemas.microsoft.com/office/drawing/2014/main" xmlns="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xmlns="" id="{AD3B7227-2DB1-FDC9-1F40-DEC7BD7DE41E}"/>
            </a:ext>
            <a:ext uri="{147F2762-F138-4A5C-976F-8EAC2B608ADB}">
              <a16:predDERef xmlns:a16="http://schemas.microsoft.com/office/drawing/2014/main" xmlns="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xmlns="" id="{6E7558E1-CF67-4B72-9E7D-25A3E79F51DC}"/>
            </a:ext>
            <a:ext uri="{147F2762-F138-4A5C-976F-8EAC2B608ADB}">
              <a16:predDERef xmlns:a16="http://schemas.microsoft.com/office/drawing/2014/main" xmlns="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xmlns="" id="{CBA7BA57-6D9A-440B-8719-5C4B1E9FCDD8}"/>
            </a:ext>
            <a:ext uri="{147F2762-F138-4A5C-976F-8EAC2B608ADB}">
              <a16:predDERef xmlns:a16="http://schemas.microsoft.com/office/drawing/2014/main" xmlns="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xmlns="" id="{F0ACA1BB-2892-8D8F-16BC-AAA469005846}"/>
            </a:ext>
            <a:ext uri="{147F2762-F138-4A5C-976F-8EAC2B608ADB}">
              <a16:predDERef xmlns:a16="http://schemas.microsoft.com/office/drawing/2014/main" xmlns="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xmlns="" id="{A66CD503-F508-4880-B9CB-2407BC8B2FC0}"/>
            </a:ext>
            <a:ext uri="{147F2762-F138-4A5C-976F-8EAC2B608ADB}">
              <a16:predDERef xmlns:a16="http://schemas.microsoft.com/office/drawing/2014/main" xmlns="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xmlns="" id="{96100DE2-9C01-42BF-A75E-FA6C48C4CB00}"/>
            </a:ext>
            <a:ext uri="{147F2762-F138-4A5C-976F-8EAC2B608ADB}">
              <a16:predDERef xmlns:a16="http://schemas.microsoft.com/office/drawing/2014/main" xmlns="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xmlns="" id="{BAADC898-EF39-F06B-280A-55C896BC6499}"/>
            </a:ext>
            <a:ext uri="{147F2762-F138-4A5C-976F-8EAC2B608ADB}">
              <a16:predDERef xmlns:a16="http://schemas.microsoft.com/office/drawing/2014/main" xmlns="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xmlns="" id="{06725317-788A-40D9-9A96-55B138349EED}"/>
            </a:ext>
            <a:ext uri="{147F2762-F138-4A5C-976F-8EAC2B608ADB}">
              <a16:predDERef xmlns:a16="http://schemas.microsoft.com/office/drawing/2014/main" xmlns="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xmlns="" id="{E5BCB6FE-DF8E-4E1C-A89E-02718ED35B2F}"/>
            </a:ext>
            <a:ext uri="{147F2762-F138-4A5C-976F-8EAC2B608ADB}">
              <a16:predDERef xmlns:a16="http://schemas.microsoft.com/office/drawing/2014/main" xmlns="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xmlns="" id="{A91A538F-459A-2E5C-F58D-BFE81A3AD270}"/>
            </a:ext>
            <a:ext uri="{147F2762-F138-4A5C-976F-8EAC2B608ADB}">
              <a16:predDERef xmlns:a16="http://schemas.microsoft.com/office/drawing/2014/main" xmlns="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xmlns="" id="{87CB918A-C8E8-4384-9086-8D45C8599E43}"/>
            </a:ext>
            <a:ext uri="{147F2762-F138-4A5C-976F-8EAC2B608ADB}">
              <a16:predDERef xmlns:a16="http://schemas.microsoft.com/office/drawing/2014/main" xmlns="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xmlns="" id="{9CEE2CED-EED2-41A6-AEB6-5520EAB59514}"/>
            </a:ext>
            <a:ext uri="{147F2762-F138-4A5C-976F-8EAC2B608ADB}">
              <a16:predDERef xmlns:a16="http://schemas.microsoft.com/office/drawing/2014/main" xmlns="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72"/>
  <sheetViews>
    <sheetView showGridLines="0" workbookViewId="0">
      <selection activeCell="B2" sqref="B2"/>
    </sheetView>
  </sheetViews>
  <sheetFormatPr baseColWidth="10"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ref="I17:I64">
    <sortCondition ref="I17:I64"/>
  </sortState>
  <dataValidations count="6">
    <dataValidation type="list" allowBlank="1" showInputMessage="1" showErrorMessage="1" promptTitle="Select Language" prompt="Use drop-down List" sqref="C4">
      <formula1>lang_list</formula1>
    </dataValidation>
    <dataValidation type="list" allowBlank="1" showInputMessage="1" showErrorMessage="1" promptTitle="Select Summer Time" prompt="Use drop-down List" sqref="C6">
      <formula1>"Yes,No"</formula1>
    </dataValidation>
    <dataValidation type="list" allowBlank="1" showInputMessage="1" showErrorMessage="1" promptTitle="Select Minutes" prompt="Use drop-down List" sqref="C10">
      <formula1>$F$44:$F$47</formula1>
    </dataValidation>
    <dataValidation type="list" allowBlank="1" showInputMessage="1" showErrorMessage="1" promptTitle="Select Your Favorite Team" prompt="Use drop-down List" sqref="C12">
      <formula1>teams</formula1>
    </dataValidation>
    <dataValidation type="list" allowBlank="1" showInputMessage="1" showErrorMessage="1" promptTitle="Select GTM-time" prompt="Use drop-down List" sqref="C8">
      <formula1>$F$18:$F$42</formula1>
    </dataValidation>
    <dataValidation type="list" allowBlank="1" showInputMessage="1" showErrorMessage="1" promptTitle="Highlight Group Matches" prompt="Include all group-stage matches for your selected team" sqref="C14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R111"/>
  <sheetViews>
    <sheetView showGridLines="0" tabSelected="1" topLeftCell="A70" zoomScaleNormal="100" workbookViewId="0">
      <selection activeCell="BY29" sqref="BY29"/>
    </sheetView>
  </sheetViews>
  <sheetFormatPr baseColWidth="10"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1</v>
      </c>
      <c r="G7" s="15">
        <v>2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Mexico_lose</v>
      </c>
      <c r="T7" s="127" t="str">
        <f t="shared" ref="T7:T46" si="2">IF(S7="","",IF(F7&lt;G7,H7&amp;"_win",IF(F7&gt;G7,H7&amp;"_lose",H7&amp;"_draw")))</f>
        <v>South Africa_win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-1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0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Republic_lose</v>
      </c>
      <c r="T8" s="127" t="str">
        <f t="shared" si="2"/>
        <v>Czech Republic_win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-1</v>
      </c>
      <c r="AD8" s="123">
        <f>COUNTIF(AR8:AR11,CONCATENATE("&gt;=",AR8))</f>
        <v>2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0</v>
      </c>
      <c r="AH8" s="123">
        <f>COUNTIF($S$7:$T$78,"=" &amp; AE8 &amp; "_lose")</f>
        <v>1</v>
      </c>
      <c r="AI8" s="123">
        <f>SUMIF($E$7:$E$78,$AE8,$F$7:$F$78) + SUMIF($H$7:$H$78,$AE8,$G$7:$G$78)</f>
        <v>5</v>
      </c>
      <c r="AJ8" s="123">
        <f>SUMIF($E$7:$E$78,$AE8,$G$7:$G$78) + SUMIF($H$7:$H$78,$AE8,$F$7:$F$78)</f>
        <v>4</v>
      </c>
      <c r="AL8" s="123">
        <f>AI8-AJ8</f>
        <v>1</v>
      </c>
      <c r="AM8" s="123">
        <f>AL8-AL12</f>
        <v>5</v>
      </c>
      <c r="AN8" s="123">
        <f>AF8*3+AG8</f>
        <v>6</v>
      </c>
      <c r="AO8" s="123">
        <f>AN8/AN12*10+BA8</f>
        <v>7.5</v>
      </c>
      <c r="AP8" s="123">
        <f>AO8*10000000+BI8*100+AM8/AM12*10+AI8/AI12*1++IF(AQ8=0,ROW(),AQ8)/2000000</f>
        <v>75000006.875840515</v>
      </c>
      <c r="AQ8" s="126">
        <f>VLOOKUP(AE8,db_fifarank,2,FALSE)</f>
        <v>1681.03</v>
      </c>
      <c r="AR8" s="125">
        <f>AP8/AP12</f>
        <v>0.85714283163525928</v>
      </c>
      <c r="AS8" s="125" t="str">
        <f>IF(SUM(AF8:AH11)=12,J9,"1A")</f>
        <v>South Africa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2</v>
      </c>
      <c r="G9" s="20">
        <v>1</v>
      </c>
      <c r="H9" s="80" t="str">
        <f>AE15</f>
        <v>Bosnia and Herzegovina</v>
      </c>
      <c r="J9" s="30" t="str">
        <f>VLOOKUP(1,AD8:AN11,2,FALSE)</f>
        <v>South Africa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7 - 4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1</v>
      </c>
      <c r="AE9" s="124" t="str">
        <f>VLOOKUP("South Africa",T,lang,FALSE)</f>
        <v>South Africa</v>
      </c>
      <c r="AF9" s="123">
        <f>COUNTIF($S$7:$T$78,"=" &amp; AE9 &amp; "_win")</f>
        <v>2</v>
      </c>
      <c r="AG9" s="123">
        <f>COUNTIF($S$7:$T$78,"=" &amp; AE9 &amp; "_draw")</f>
        <v>1</v>
      </c>
      <c r="AH9" s="123">
        <f>COUNTIF($S$7:$T$78,"=" &amp; AE9 &amp; "_lose")</f>
        <v>0</v>
      </c>
      <c r="AI9" s="123">
        <f>SUMIF($E$7:$E$78,$AE9,$F$7:$F$78) + SUMIF($H$7:$H$78,$AE9,$G$7:$G$78)</f>
        <v>7</v>
      </c>
      <c r="AJ9" s="123">
        <f>SUMIF($E$7:$E$78,$AE9,$G$7:$G$78) + SUMIF($H$7:$H$78,$AE9,$F$7:$F$78)</f>
        <v>4</v>
      </c>
      <c r="AL9" s="123">
        <f>AI9-AJ9</f>
        <v>3</v>
      </c>
      <c r="AM9" s="123">
        <f>AL9-AL12</f>
        <v>7</v>
      </c>
      <c r="AN9" s="123">
        <f>AF9*3+AG9</f>
        <v>7</v>
      </c>
      <c r="AO9" s="123">
        <f>AN9/AN12*10+BA9</f>
        <v>8.75</v>
      </c>
      <c r="AP9" s="123">
        <f>AO9*10000000+BI9*100+AM9/AM12*10+AI9/AI12*1++IF(AQ9=0,ROW(),AQ9)/2000000</f>
        <v>87500009.625714868</v>
      </c>
      <c r="AQ9" s="126">
        <f>VLOOKUP(AE9,db_fifarank,2,FALSE)</f>
        <v>1429.73</v>
      </c>
      <c r="AR9" s="125">
        <f>AP9/AP12</f>
        <v>0.99999998857142991</v>
      </c>
      <c r="AS9" s="125" t="str">
        <f>IF(SUM(AF8:AH11)=12,J10,"2A")</f>
        <v>Mexico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2</v>
      </c>
      <c r="H10" s="80" t="str">
        <f>AE27</f>
        <v>Paraguay</v>
      </c>
      <c r="J10" s="33" t="str">
        <f>VLOOKUP(2,AD8:AN11,2,FALSE)</f>
        <v>Mexico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5 - 4</v>
      </c>
      <c r="P10" s="34">
        <f>L10*3+M10</f>
        <v>6</v>
      </c>
      <c r="R10" s="123">
        <f>DATE(2026,6,12)+TIME(14,0,0)+gmt_delta</f>
        <v>46186.125</v>
      </c>
      <c r="S10" s="127" t="str">
        <f t="shared" si="1"/>
        <v>United States_draw</v>
      </c>
      <c r="T10" s="127" t="str">
        <f t="shared" si="2"/>
        <v>Paraguay_draw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0</v>
      </c>
      <c r="AD10" s="123">
        <f>COUNTIF(AR8:AR11,CONCATENATE("&gt;=",AR10))</f>
        <v>4</v>
      </c>
      <c r="AE10" s="124" t="str">
        <f>VLOOKUP("Korea Republic",T,lang,FALSE)</f>
        <v>Korea Republic</v>
      </c>
      <c r="AF10" s="123">
        <f>COUNTIF($S$7:$T$78,"=" &amp; AE10 &amp; "_win")</f>
        <v>0</v>
      </c>
      <c r="AG10" s="123">
        <f>COUNTIF($S$7:$T$78,"=" &amp; AE10 &amp; "_draw")</f>
        <v>0</v>
      </c>
      <c r="AH10" s="123">
        <f>COUNTIF($S$7:$T$78,"=" &amp; AE10 &amp; "_lose")</f>
        <v>3</v>
      </c>
      <c r="AI10" s="123">
        <f>SUMIF($E$7:$E$78,$AE10,$F$7:$F$78) + SUMIF($H$7:$H$78,$AE10,$G$7:$G$78)</f>
        <v>2</v>
      </c>
      <c r="AJ10" s="123">
        <f>SUMIF($E$7:$E$78,$AE10,$G$7:$G$78) + SUMIF($H$7:$H$78,$AE10,$F$7:$F$78)</f>
        <v>6</v>
      </c>
      <c r="AL10" s="123">
        <f>AI10-AJ10</f>
        <v>-4</v>
      </c>
      <c r="AM10" s="123">
        <f>AL10-AL12</f>
        <v>0</v>
      </c>
      <c r="AN10" s="123">
        <f>AF10*3+AG10</f>
        <v>0</v>
      </c>
      <c r="AO10" s="123">
        <f>AN10/AN12*10+BA10</f>
        <v>0</v>
      </c>
      <c r="AP10" s="123">
        <f>AO10*10000000+BI10*100+AM10/AM12*10+AI10/AI12*1++IF(AQ10=0,ROW(),AQ10)/2000000</f>
        <v>0.25079433000000001</v>
      </c>
      <c r="AQ10" s="126">
        <f>VLOOKUP(AE10,db_fifarank,2,FALSE)</f>
        <v>1588.66</v>
      </c>
      <c r="AR10" s="125">
        <f>AP10/AP12</f>
        <v>2.8662205662212288E-9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4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4 - 4</v>
      </c>
      <c r="P11" s="34">
        <f>L11*3+M11</f>
        <v>4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1</v>
      </c>
      <c r="AH11" s="123">
        <f>COUNTIF($S$7:$T$78,"=" &amp; AE11 &amp; "_lose")</f>
        <v>1</v>
      </c>
      <c r="AI11" s="123">
        <f>SUMIF($E$7:$E$78,$AE11,$F$7:$F$78) + SUMIF($H$7:$H$78,$AE11,$G$7:$G$78)</f>
        <v>4</v>
      </c>
      <c r="AJ11" s="123">
        <f>SUMIF($E$7:$E$78,$AE11,$G$7:$G$78) + SUMIF($H$7:$H$78,$AE11,$F$7:$F$78)</f>
        <v>4</v>
      </c>
      <c r="AL11" s="123">
        <f>AI11-AJ11</f>
        <v>0</v>
      </c>
      <c r="AM11" s="123">
        <f>AL11-AL12</f>
        <v>4</v>
      </c>
      <c r="AN11" s="123">
        <f>AF11*3+AG11</f>
        <v>4</v>
      </c>
      <c r="AO11" s="123">
        <f>AN11/AN12*10+BA11</f>
        <v>5</v>
      </c>
      <c r="AP11" s="123">
        <f>AO11*10000000+BI11*100+AM11/AM12*10+AI11/AI12*1++IF(AQ11=0,ROW(),AQ11)/2000000</f>
        <v>50000005.500750691</v>
      </c>
      <c r="AQ11" s="126">
        <f>VLOOKUP(AE11,db_fifarank,2,FALSE)</f>
        <v>1501.38</v>
      </c>
      <c r="AR11" s="125">
        <f>AP11/AP12</f>
        <v>0.57142856490187077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Scotland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3</v>
      </c>
      <c r="H12" s="80" t="str">
        <f>AE29</f>
        <v>Turkey</v>
      </c>
      <c r="J12" s="35" t="str">
        <f>VLOOKUP(4,AD8:AN11,2,FALSE)</f>
        <v>Korea Republic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2 - 6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2</v>
      </c>
      <c r="AH12" s="123">
        <f t="shared" si="12"/>
        <v>4</v>
      </c>
      <c r="AI12" s="123">
        <f>MAX(AI8:AI11)+1</f>
        <v>8</v>
      </c>
      <c r="AL12" s="123">
        <f>MIN(AL8:AL11)</f>
        <v>-4</v>
      </c>
      <c r="AM12" s="123">
        <f>MAX(AM8:AM11)+1</f>
        <v>8</v>
      </c>
      <c r="AN12" s="123">
        <f>MAX(AN8:AN11)+1</f>
        <v>8</v>
      </c>
      <c r="AO12" s="123">
        <f>MAX(AO8:AO11)+1</f>
        <v>9.75</v>
      </c>
      <c r="AP12" s="123">
        <f>MAX(AP8:AP11)+1</f>
        <v>87500010.625714868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2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2000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3</v>
      </c>
      <c r="BU13" s="64"/>
      <c r="BV13" s="27"/>
      <c r="BW13" s="113">
        <f>IF(BW12="","",BT13*1000+BU13*10+BV13)</f>
        <v>3000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1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0</v>
      </c>
      <c r="AH14" s="123">
        <f>COUNTIF($S$7:$T$78,"=" &amp; AE14 &amp; "_lose")</f>
        <v>1</v>
      </c>
      <c r="AI14" s="123">
        <f>SUMIF($E$7:$E$78,$AE14,$F$7:$F$78) + SUMIF($H$7:$H$78,$AE14,$G$7:$G$78)</f>
        <v>4</v>
      </c>
      <c r="AJ14" s="123">
        <f>SUMIF($E$7:$E$78,$AE14,$G$7:$G$78) + SUMIF($H$7:$H$78,$AE14,$F$7:$F$78)</f>
        <v>4</v>
      </c>
      <c r="AL14" s="123">
        <f>AI14-AJ14</f>
        <v>0</v>
      </c>
      <c r="AM14" s="123">
        <f>AL14-AL18</f>
        <v>5</v>
      </c>
      <c r="AN14" s="123">
        <f>AF14*3+AG14</f>
        <v>6</v>
      </c>
      <c r="AO14" s="123">
        <f>AN14/AN18*10+BA14</f>
        <v>6</v>
      </c>
      <c r="AP14" s="123">
        <f>AO14*10000000+BI14*100+AM14/AM18*10+AI14/AI18*1++IF(AQ14=0,ROW(),AQ14)/2000000</f>
        <v>60000005.117661364</v>
      </c>
      <c r="AQ14" s="126">
        <f>VLOOKUP(AE14,db_fifarank,2,FALSE)</f>
        <v>1556.48</v>
      </c>
      <c r="AR14" s="125">
        <f>AP14/AP18</f>
        <v>0.66666664242678364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0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6 - 1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4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0</v>
      </c>
      <c r="AH15" s="123">
        <f>COUNTIF($S$7:$T$78,"=" &amp; AE15 &amp; "_lose")</f>
        <v>3</v>
      </c>
      <c r="AI15" s="123">
        <f>SUMIF($E$7:$E$78,$AE15,$F$7:$F$78) + SUMIF($H$7:$H$78,$AE15,$G$7:$G$78)</f>
        <v>2</v>
      </c>
      <c r="AJ15" s="123">
        <f>SUMIF($E$7:$E$78,$AE15,$G$7:$G$78) + SUMIF($H$7:$H$78,$AE15,$F$7:$F$78)</f>
        <v>7</v>
      </c>
      <c r="AL15" s="123">
        <f>AI15-AJ15</f>
        <v>-5</v>
      </c>
      <c r="AM15" s="123">
        <f>AL15-AL18</f>
        <v>0</v>
      </c>
      <c r="AN15" s="123">
        <f>AF15*3+AG15</f>
        <v>0</v>
      </c>
      <c r="AO15" s="123">
        <f>AN15/AN18*10+BA15</f>
        <v>0</v>
      </c>
      <c r="AP15" s="123">
        <f>AO15*10000000+BI15*100+AM15/AM18*10+AI15/AI18*1++IF(AQ15=0,ROW(),AQ15)/2000000</f>
        <v>0.28640720571428568</v>
      </c>
      <c r="AQ15" s="126">
        <f>VLOOKUP(AE15,db_fifarank,2,FALSE)</f>
        <v>1385.84</v>
      </c>
      <c r="AR15" s="125">
        <f>AP15/AP18</f>
        <v>3.1823018985739417E-9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Saudi Arabia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5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4 - 4</v>
      </c>
      <c r="P16" s="34">
        <f>L16*3+M16</f>
        <v>6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3</v>
      </c>
      <c r="AE16" s="124" t="str">
        <f>VLOOKUP("Qatar",T,lang,FALSE)</f>
        <v>Qatar</v>
      </c>
      <c r="AF16" s="123">
        <f>COUNTIF($S$7:$T$78,"=" &amp; AE16 &amp; "_win")</f>
        <v>1</v>
      </c>
      <c r="AG16" s="123">
        <f>COUNTIF($S$7:$T$78,"=" &amp; AE16 &amp; "_draw")</f>
        <v>0</v>
      </c>
      <c r="AH16" s="123">
        <f>COUNTIF($S$7:$T$78,"=" &amp; AE16 &amp; "_lose")</f>
        <v>2</v>
      </c>
      <c r="AI16" s="123">
        <f>SUMIF($E$7:$E$78,$AE16,$F$7:$F$78) + SUMIF($H$7:$H$78,$AE16,$G$7:$G$78)</f>
        <v>5</v>
      </c>
      <c r="AJ16" s="123">
        <f>SUMIF($E$7:$E$78,$AE16,$G$7:$G$78) + SUMIF($H$7:$H$78,$AE16,$F$7:$F$78)</f>
        <v>5</v>
      </c>
      <c r="AL16" s="123">
        <f>AI16-AJ16</f>
        <v>0</v>
      </c>
      <c r="AM16" s="123">
        <f>AL16-AL18</f>
        <v>5</v>
      </c>
      <c r="AN16" s="123">
        <f>AF16*3+AG16</f>
        <v>3</v>
      </c>
      <c r="AO16" s="123">
        <f>AN16/AN18*10+BA16</f>
        <v>3</v>
      </c>
      <c r="AP16" s="123">
        <f>AO16*10000000+BI16*100+AM16/AM18*10+AI16/AI18*1++IF(AQ16=0,ROW(),AQ16)/2000000</f>
        <v>30000005.260467738</v>
      </c>
      <c r="AQ16" s="126">
        <f>VLOOKUP(AE16,db_fifarank,2,FALSE)</f>
        <v>1454.96</v>
      </c>
      <c r="AR16" s="125">
        <f>AP16/AP18</f>
        <v>0.3333333512315777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3</v>
      </c>
      <c r="G17" s="20">
        <v>1</v>
      </c>
      <c r="H17" s="80" t="str">
        <f>AE39</f>
        <v>Japan</v>
      </c>
      <c r="J17" s="33" t="str">
        <f>VLOOKUP(3,AD14:AN17,2,FALSE)</f>
        <v>Qatar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5 - 5</v>
      </c>
      <c r="P17" s="34">
        <f>L17*3+M17</f>
        <v>3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6</v>
      </c>
      <c r="AJ17" s="123">
        <f>SUMIF($E$7:$E$78,$AE17,$G$7:$G$78) + SUMIF($H$7:$H$78,$AE17,$F$7:$F$78)</f>
        <v>1</v>
      </c>
      <c r="AL17" s="123">
        <f>AI17-AJ17</f>
        <v>5</v>
      </c>
      <c r="AM17" s="123">
        <f>AL17-AL18</f>
        <v>10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90000009.948876649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Morocco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1</v>
      </c>
      <c r="H18" s="80" t="str">
        <f>AE41</f>
        <v>Tunisia</v>
      </c>
      <c r="J18" s="35" t="str">
        <f>VLOOKUP(4,AD14:AN17,2,FALSE)</f>
        <v>Bosnia and Herzegovina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2 - 7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1</v>
      </c>
      <c r="V18" s="123">
        <f t="shared" si="3"/>
        <v>1</v>
      </c>
      <c r="W18" s="123">
        <f t="shared" si="4"/>
        <v>1</v>
      </c>
      <c r="X18" s="123">
        <f t="shared" si="9"/>
        <v>1</v>
      </c>
      <c r="Y18" s="123">
        <f t="shared" si="10"/>
        <v>1</v>
      </c>
      <c r="Z18" s="123">
        <f t="shared" si="11"/>
        <v>1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4</v>
      </c>
      <c r="AG18" s="123">
        <f t="shared" si="13"/>
        <v>1</v>
      </c>
      <c r="AH18" s="123">
        <f t="shared" si="13"/>
        <v>4</v>
      </c>
      <c r="AI18" s="123">
        <f>MAX(AI14:AI17)+1</f>
        <v>7</v>
      </c>
      <c r="AL18" s="123">
        <f>MIN(AL14:AL17)</f>
        <v>-5</v>
      </c>
      <c r="AM18" s="123">
        <f>MAX(AM14:AM17)+1</f>
        <v>11</v>
      </c>
      <c r="AN18" s="123">
        <f>MAX(AN14:AN17)+1</f>
        <v>10</v>
      </c>
      <c r="AO18" s="123">
        <f>MAX(AO14:AO17)+1</f>
        <v>10</v>
      </c>
      <c r="AP18" s="123">
        <f>MAX(AP14:AP17)+1</f>
        <v>90000010.948876649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Mexico</v>
      </c>
      <c r="BM18" s="61">
        <v>0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2</v>
      </c>
      <c r="G19" s="20">
        <v>4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Canada</v>
      </c>
      <c r="BM19" s="62">
        <v>1</v>
      </c>
      <c r="BN19" s="64"/>
      <c r="BO19" s="27"/>
      <c r="BP19" s="113">
        <f>IF(BP18="","",BM19*1000+BN19*10+BO19)</f>
        <v>1000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3</v>
      </c>
      <c r="G20" s="20">
        <v>1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8</v>
      </c>
      <c r="AJ20" s="123">
        <f>SUMIF($E$7:$E$78,$AE20,$G$7:$G$78) + SUMIF($H$7:$H$78,$AE20,$F$7:$F$78)</f>
        <v>3</v>
      </c>
      <c r="AL20" s="123">
        <f>AI20-AJ20</f>
        <v>5</v>
      </c>
      <c r="AM20" s="123">
        <f>AL20-AL24</f>
        <v>16</v>
      </c>
      <c r="AN20" s="123">
        <f>AF20*3+AG20</f>
        <v>7</v>
      </c>
      <c r="AO20" s="123">
        <f>AN20/AN24*10+BA20</f>
        <v>8.75</v>
      </c>
      <c r="AP20" s="123">
        <f>AO20*10000000+BI20*100+AM20/AM24*10+AI20/AI24*1++IF(AQ20=0,ROW(),AQ20)/2000000</f>
        <v>87500010.301534191</v>
      </c>
      <c r="AQ20" s="126">
        <f>VLOOKUP(AE20,db_fifarank,2,FALSE)</f>
        <v>1761.16</v>
      </c>
      <c r="AR20" s="125">
        <f>AP20/AP24</f>
        <v>0.99999998857143002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Canada</v>
      </c>
      <c r="BT20" s="61">
        <v>1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1000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0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8 - 3</v>
      </c>
      <c r="P21" s="32">
        <f>L21*3+M21</f>
        <v>7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8</v>
      </c>
      <c r="AJ21" s="123">
        <f>SUMIF($E$7:$E$78,$AE21,$G$7:$G$78) + SUMIF($H$7:$H$78,$AE21,$F$7:$F$78)</f>
        <v>4</v>
      </c>
      <c r="AL21" s="123">
        <f>AI21-AJ21</f>
        <v>4</v>
      </c>
      <c r="AM21" s="123">
        <f>AL21-AL24</f>
        <v>15</v>
      </c>
      <c r="AN21" s="123">
        <f>AF21*3+AG21</f>
        <v>6</v>
      </c>
      <c r="AO21" s="123">
        <f>AN21/AN24*10+BA21</f>
        <v>7.5</v>
      </c>
      <c r="AP21" s="123">
        <f>AO21*10000000+BI21*100+AM21/AM24*10+AI21/AI24*1++IF(AQ21=0,ROW(),AQ21)/2000000</f>
        <v>75000009.713296235</v>
      </c>
      <c r="AQ21" s="126">
        <f>VLOOKUP(AE21,db_fifarank,2,FALSE)</f>
        <v>1755.87</v>
      </c>
      <c r="AR21" s="125">
        <f>AP21/AP24</f>
        <v>0.85714285744305052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Morocco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3</v>
      </c>
      <c r="G22" s="20">
        <v>2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8 - 4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2</v>
      </c>
      <c r="AJ22" s="123">
        <f>SUMIF($E$7:$E$78,$AE22,$G$7:$G$78) + SUMIF($H$7:$H$78,$AE22,$F$7:$F$78)</f>
        <v>13</v>
      </c>
      <c r="AL22" s="123">
        <f>AI22-AJ22</f>
        <v>-11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0.22286807722222221</v>
      </c>
      <c r="AQ22" s="126">
        <f>VLOOKUP(AE22,db_fifarank,2,FALSE)</f>
        <v>1291.71</v>
      </c>
      <c r="AR22" s="125">
        <f>AP22/AP24</f>
        <v>2.547063410702834E-9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0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4</v>
      </c>
      <c r="G23" s="20">
        <v>2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1</v>
      </c>
      <c r="N23" s="23">
        <f>VLOOKUP(3,AD20:AN23,5,FALSE)</f>
        <v>1</v>
      </c>
      <c r="O23" s="23" t="str">
        <f>VLOOKUP(3,AD20:AN23,6,FALSE) &amp; " - " &amp; VLOOKUP(3,AD20:AN23,7,FALSE)</f>
        <v>6 - 4</v>
      </c>
      <c r="P23" s="34">
        <f>L23*3+M23</f>
        <v>4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1</v>
      </c>
      <c r="AH23" s="123">
        <f>COUNTIF($S$7:$T$78,"=" &amp; AE23 &amp; "_lose")</f>
        <v>1</v>
      </c>
      <c r="AI23" s="123">
        <f>SUMIF($E$7:$E$78,$AE23,$F$7:$F$78) + SUMIF($H$7:$H$78,$AE23,$G$7:$G$78)</f>
        <v>6</v>
      </c>
      <c r="AJ23" s="123">
        <f>SUMIF($E$7:$E$78,$AE23,$G$7:$G$78) + SUMIF($H$7:$H$78,$AE23,$F$7:$F$78)</f>
        <v>4</v>
      </c>
      <c r="AL23" s="123">
        <f>AI23-AJ23</f>
        <v>2</v>
      </c>
      <c r="AM23" s="123">
        <f>AL23-AL24</f>
        <v>13</v>
      </c>
      <c r="AN23" s="123">
        <f>AF23*3+AG23</f>
        <v>4</v>
      </c>
      <c r="AO23" s="123">
        <f>AN23/AN24*10+BA23</f>
        <v>5</v>
      </c>
      <c r="AP23" s="123">
        <f>AO23*10000000+BI23*100+AM23/AM24*10+AI23/AI24*1++IF(AQ23=0,ROW(),AQ23)/2000000</f>
        <v>50000008.314474665</v>
      </c>
      <c r="AQ23" s="126">
        <f>VLOOKUP(AE23,db_fifarank,2,FALSE)</f>
        <v>1498.35</v>
      </c>
      <c r="AR23" s="125">
        <f>AP23/AP24</f>
        <v>0.57142859264519874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3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3000</v>
      </c>
    </row>
    <row r="24" spans="1:95" x14ac:dyDescent="0.2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1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2 - 13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9</v>
      </c>
      <c r="AL24" s="123">
        <f>MIN(AL20:AL23)</f>
        <v>-11</v>
      </c>
      <c r="AM24" s="123">
        <f>MAX(AM20:AM23)+1</f>
        <v>17</v>
      </c>
      <c r="AN24" s="123">
        <f>MAX(AN20:AN23)+1</f>
        <v>8</v>
      </c>
      <c r="AO24" s="123">
        <f>MAX(AO20:AO23)+1</f>
        <v>9.75</v>
      </c>
      <c r="AP24" s="123">
        <f>MAX(AP20:AP23)+1</f>
        <v>87500011.301534191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2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1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1</v>
      </c>
      <c r="V26" s="123">
        <f t="shared" si="3"/>
        <v>1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1</v>
      </c>
      <c r="AH26" s="123">
        <f>COUNTIF($S$7:$T$78,"=" &amp; AE26 &amp; "_lose")</f>
        <v>0</v>
      </c>
      <c r="AI26" s="123">
        <f>SUMIF($E$7:$E$78,$AE26,$F$7:$F$78) + SUMIF($H$7:$H$78,$AE26,$G$7:$G$78)</f>
        <v>6</v>
      </c>
      <c r="AJ26" s="123">
        <f>SUMIF($E$7:$E$78,$AE26,$G$7:$G$78) + SUMIF($H$7:$H$78,$AE26,$F$7:$F$78)</f>
        <v>2</v>
      </c>
      <c r="AL26" s="123">
        <f>AI26-AJ26</f>
        <v>4</v>
      </c>
      <c r="AM26" s="123">
        <f>AL26-AL30</f>
        <v>8</v>
      </c>
      <c r="AN26" s="123">
        <f>AF26*3+AG26</f>
        <v>7</v>
      </c>
      <c r="AO26" s="123">
        <f>AN26/AN30*10+BA26</f>
        <v>8.75</v>
      </c>
      <c r="AP26" s="123">
        <f>AO26*10000000+BI26*100+AM26/AM30*10+AI26/AI30*1++IF(AQ26=0,ROW(),AQ26)/2000000</f>
        <v>87500009.746868312</v>
      </c>
      <c r="AQ26" s="126">
        <f>VLOOKUP(AE26,db_fifarank,2,FALSE)</f>
        <v>1673.13</v>
      </c>
      <c r="AR26" s="125">
        <f>AP26/AP30</f>
        <v>0.99999998857143002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0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3</v>
      </c>
      <c r="G27" s="20">
        <v>2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6 - 2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2</v>
      </c>
      <c r="AH27" s="123">
        <f>COUNTIF($S$7:$T$78,"=" &amp; AE27 &amp; "_lose")</f>
        <v>1</v>
      </c>
      <c r="AI27" s="123">
        <f>SUMIF($E$7:$E$78,$AE27,$F$7:$F$78) + SUMIF($H$7:$H$78,$AE27,$G$7:$G$78)</f>
        <v>5</v>
      </c>
      <c r="AJ27" s="123">
        <f>SUMIF($E$7:$E$78,$AE27,$G$7:$G$78) + SUMIF($H$7:$H$78,$AE27,$F$7:$F$78)</f>
        <v>6</v>
      </c>
      <c r="AL27" s="123">
        <f>AI27-AJ27</f>
        <v>-1</v>
      </c>
      <c r="AM27" s="123">
        <f>AL27-AL30</f>
        <v>3</v>
      </c>
      <c r="AN27" s="123">
        <f>AF27*3+AG27</f>
        <v>2</v>
      </c>
      <c r="AO27" s="123">
        <f>AN27/AN30*10+BA27</f>
        <v>2.5</v>
      </c>
      <c r="AP27" s="123">
        <f>AO27*10000000+BI27*100+AM27/AM30*10+AI27/AI30*1++IF(AQ27=0,ROW(),AQ27)/2000000</f>
        <v>25000004.048370793</v>
      </c>
      <c r="AQ27" s="126">
        <f>VLOOKUP(AE27,db_fifarank,2,FALSE)</f>
        <v>1503.5</v>
      </c>
      <c r="AR27" s="125">
        <f>AP27/AP30</f>
        <v>0.28571429688956423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England</v>
      </c>
      <c r="BM27" s="62">
        <v>3</v>
      </c>
      <c r="BN27" s="64"/>
      <c r="BO27" s="27"/>
      <c r="BP27" s="113">
        <f>IF(BP26="","",BM27*1000+BN27*10+BO27)</f>
        <v>3000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3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5 - 4</v>
      </c>
      <c r="P28" s="34">
        <f>L28*3+M28</f>
        <v>6</v>
      </c>
      <c r="R28" s="123">
        <f>DATE(2026,6,17)+TIME(9,0,0)+gmt_delta</f>
        <v>46190.916666666664</v>
      </c>
      <c r="S28" s="127" t="str">
        <f t="shared" si="1"/>
        <v>England_lose</v>
      </c>
      <c r="T28" s="127" t="str">
        <f t="shared" si="2"/>
        <v>Croatia_win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-1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7</v>
      </c>
      <c r="AL28" s="123">
        <f>AI28-AJ28</f>
        <v>-4</v>
      </c>
      <c r="AM28" s="123">
        <f>AL28-AL30</f>
        <v>0</v>
      </c>
      <c r="AN28" s="123">
        <f>AF28*3+AG28</f>
        <v>1</v>
      </c>
      <c r="AO28" s="123">
        <f>AN28/AN30*10+BA28</f>
        <v>1.25</v>
      </c>
      <c r="AP28" s="123">
        <f>AO28*10000000+BI28*100+AM28/AM30*10+AI28/AI30*1++IF(AQ28=0,ROW(),AQ28)/2000000</f>
        <v>12500000.429361764</v>
      </c>
      <c r="AQ28" s="126">
        <f>VLOOKUP(AE28,db_fifarank,2,FALSE)</f>
        <v>1580.67</v>
      </c>
      <c r="AR28" s="125">
        <f>AP28/AP30</f>
        <v>0.14285713021822855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England</v>
      </c>
      <c r="BT28" s="61">
        <v>2</v>
      </c>
      <c r="BU28" s="63">
        <v>2</v>
      </c>
      <c r="BV28" s="25">
        <v>3</v>
      </c>
      <c r="BW28" s="112">
        <f>IF(OR(BT28="",BT29="",AND(BU28="",BU29&lt;&gt;""),AND(BU29="",BU28&lt;&gt;""),AND(BV28="",BV29&lt;&gt;""),AND(BV29="",BV28&lt;&gt;"")),"",BT28*1000+BU28*10+BV28)</f>
        <v>2023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0</v>
      </c>
      <c r="M29" s="23">
        <f>VLOOKUP(3,AD26:AN29,4,FALSE)</f>
        <v>2</v>
      </c>
      <c r="N29" s="23">
        <f>VLOOKUP(3,AD26:AN29,5,FALSE)</f>
        <v>1</v>
      </c>
      <c r="O29" s="23" t="str">
        <f>VLOOKUP(3,AD26:AN29,6,FALSE) &amp; " - " &amp; VLOOKUP(3,AD26:AN29,7,FALSE)</f>
        <v>5 - 6</v>
      </c>
      <c r="P29" s="34">
        <f>L29*3+M29</f>
        <v>2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0</v>
      </c>
      <c r="AH29" s="123">
        <f>COUNTIF($S$7:$T$78,"=" &amp; AE29 &amp; "_lose")</f>
        <v>1</v>
      </c>
      <c r="AI29" s="123">
        <f>SUMIF($E$7:$E$78,$AE29,$F$7:$F$78) + SUMIF($H$7:$H$78,$AE29,$G$7:$G$78)</f>
        <v>5</v>
      </c>
      <c r="AJ29" s="123">
        <f>SUMIF($E$7:$E$78,$AE29,$G$7:$G$78) + SUMIF($H$7:$H$78,$AE29,$F$7:$F$78)</f>
        <v>4</v>
      </c>
      <c r="AL29" s="123">
        <f>AI29-AJ29</f>
        <v>1</v>
      </c>
      <c r="AM29" s="123">
        <f>AL29-AL30</f>
        <v>5</v>
      </c>
      <c r="AN29" s="123">
        <f>AF29*3+AG29</f>
        <v>6</v>
      </c>
      <c r="AO29" s="123">
        <f>AN29/AN30*10+BA29</f>
        <v>7.5</v>
      </c>
      <c r="AP29" s="123">
        <f>AO29*10000000+BI29*100+AM29/AM30*10+AI29/AI30*1++IF(AQ29=0,ROW(),AQ29)/2000000</f>
        <v>75000006.27064079</v>
      </c>
      <c r="AQ29" s="126">
        <f>VLOOKUP(AE29,db_fifarank,2,FALSE)</f>
        <v>1599.04</v>
      </c>
      <c r="AR29" s="125">
        <f>AP29/AP30</f>
        <v>0.85714282353188276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2</v>
      </c>
      <c r="BU29" s="64">
        <v>2</v>
      </c>
      <c r="BV29" s="27">
        <v>4</v>
      </c>
      <c r="BW29" s="113">
        <f>IF(BW28="","",BT29*1000+BU29*10+BV29)</f>
        <v>2024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1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3 - 7</v>
      </c>
      <c r="P30" s="37">
        <f>L30*3+M30</f>
        <v>1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3</v>
      </c>
      <c r="AH30" s="123">
        <f t="shared" si="15"/>
        <v>3</v>
      </c>
      <c r="AI30" s="123">
        <f>MAX(AI26:AI29)+1</f>
        <v>7</v>
      </c>
      <c r="AL30" s="123">
        <f>MIN(AL26:AL29)</f>
        <v>-4</v>
      </c>
      <c r="AM30" s="123">
        <f>MAX(AM26:AM29)+1</f>
        <v>9</v>
      </c>
      <c r="AN30" s="123">
        <f>MAX(AN26:AN29)+1</f>
        <v>8</v>
      </c>
      <c r="AO30" s="123">
        <f>MAX(AO26:AO29)+1</f>
        <v>9.75</v>
      </c>
      <c r="AP30" s="123">
        <f>MAX(AP26:AP29)+1</f>
        <v>87500010.746868312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2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2000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2</v>
      </c>
      <c r="G31" s="20">
        <v>2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0</v>
      </c>
      <c r="BK31" s="132"/>
      <c r="BL31" s="26" t="str">
        <f>AS63</f>
        <v>Jordan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12</v>
      </c>
      <c r="AJ32" s="123">
        <f>SUMIF($E$7:$E$78,$AE32,$G$7:$G$78) + SUMIF($H$7:$H$78,$AE32,$F$7:$F$78)</f>
        <v>2</v>
      </c>
      <c r="AL32" s="123">
        <f>AI32-AJ32</f>
        <v>10</v>
      </c>
      <c r="AM32" s="123">
        <f>AL32-AL36</f>
        <v>18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90000010.397626325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12 - 2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1</v>
      </c>
      <c r="AH33" s="123">
        <f>COUNTIF($S$7:$T$78,"=" &amp; AE33 &amp; "_lose")</f>
        <v>2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9</v>
      </c>
      <c r="AL33" s="123">
        <f>AI33-AJ33</f>
        <v>-8</v>
      </c>
      <c r="AM33" s="123">
        <f>AL33-AL36</f>
        <v>0</v>
      </c>
      <c r="AN33" s="123">
        <f>AF33*3+AG33</f>
        <v>1</v>
      </c>
      <c r="AO33" s="123">
        <f>AN33/AN36*10+BA33</f>
        <v>1.9805825242718447</v>
      </c>
      <c r="AP33" s="123">
        <f>AO33*10000000+BI33*100+AM33/AM36*10+AI33/AI36*1++IF(AQ33=0,ROW(),AQ33)/2000000</f>
        <v>19805923.378541276</v>
      </c>
      <c r="AQ33" s="126">
        <f>VLOOKUP(AE33,db_fifarank,2,FALSE)</f>
        <v>1294.6500000000001</v>
      </c>
      <c r="AR33" s="125">
        <f>AP33/AP36</f>
        <v>0.2200657874479296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1</v>
      </c>
      <c r="AV33" s="126" cm="1">
        <f t="array" ref="AV33">SUMPRODUCT(($E$7:$E$78=AE33)*($U$7:$U$78)*($F$7:$F$78))+SUMPRODUCT(($H$7:$H$78=AE33)*($U$7:$U$78)*($G$7:$G$78))</f>
        <v>1</v>
      </c>
      <c r="AW33" s="126" cm="1">
        <f t="array" ref="AW33">SUMPRODUCT(($E$7:$E$78=AE33)*($U$7:$U$78)*($G$7:$G$78))+SUMPRODUCT(($H$7:$H$78=AE33)*($U$7:$U$78)*($F$7:$F$78))</f>
        <v>1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50.5</v>
      </c>
      <c r="BA33" s="126">
        <f>AZ33/AZ36</f>
        <v>0.98058252427184467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1</v>
      </c>
      <c r="BD33" s="126" cm="1">
        <f t="array" ref="BD33">SUMPRODUCT(($E$7:$E$78=AE33)*($X$7:$X$78)*($F$7:$F$78))+SUMPRODUCT(($H$7:$H$78=AE33)*($X$7:$X$78)*($G$7:$G$78))</f>
        <v>1</v>
      </c>
      <c r="BE33" s="126" cm="1">
        <f t="array" ref="BE33">SUMPRODUCT(($E$7:$E$78=AE33)*($X$7:$X$78)*($G$7:$G$78))+SUMPRODUCT(($H$7:$H$78=AE33)*($X$7:$X$78)*($F$7:$F$78))</f>
        <v>1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50.5</v>
      </c>
      <c r="BI33" s="126">
        <f>BH33/BH36</f>
        <v>0.98058252427184467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United States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6 - 4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0</v>
      </c>
      <c r="AG34" s="123">
        <f>COUNTIF($S$7:$T$78,"=" &amp; AE34 &amp; "_draw")</f>
        <v>1</v>
      </c>
      <c r="AH34" s="123">
        <f>COUNTIF($S$7:$T$78,"=" &amp; AE34 &amp; "_lose")</f>
        <v>2</v>
      </c>
      <c r="AI34" s="123">
        <f>SUMIF($E$7:$E$78,$AE34,$F$7:$F$78) + SUMIF($H$7:$H$78,$AE34,$G$7:$G$78)</f>
        <v>1</v>
      </c>
      <c r="AJ34" s="123">
        <f>SUMIF($E$7:$E$78,$AE34,$G$7:$G$78) + SUMIF($H$7:$H$78,$AE34,$F$7:$F$78)</f>
        <v>5</v>
      </c>
      <c r="AL34" s="123">
        <f>AI34-AJ34</f>
        <v>-4</v>
      </c>
      <c r="AM34" s="123">
        <f>AL34-AL36</f>
        <v>4</v>
      </c>
      <c r="AN34" s="123">
        <f>AF34*3+AG34</f>
        <v>1</v>
      </c>
      <c r="AO34" s="123">
        <f>AN34/AN36*10+BA34</f>
        <v>1.9805825242718447</v>
      </c>
      <c r="AP34" s="123">
        <f>AO34*10000000+BI34*100+AM34/AM36*10+AI34/AI36*1++IF(AQ34=0,ROW(),AQ34)/2000000</f>
        <v>19805925.483923599</v>
      </c>
      <c r="AQ34" s="126">
        <f>VLOOKUP(AE34,db_fifarank,2,FALSE)</f>
        <v>1532.98</v>
      </c>
      <c r="AR34" s="125">
        <f>AP34/AP36</f>
        <v>0.22006581084106355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50.5</v>
      </c>
      <c r="BA34" s="126">
        <f>AZ34/AZ36</f>
        <v>0.98058252427184467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31">
        <v>81</v>
      </c>
      <c r="BL34" s="24" t="str">
        <f>AS26</f>
        <v>United States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5</v>
      </c>
      <c r="G35" s="20">
        <v>1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0</v>
      </c>
      <c r="M35" s="23">
        <f>VLOOKUP(3,AD32:AN35,4,FALSE)</f>
        <v>1</v>
      </c>
      <c r="N35" s="23">
        <f>VLOOKUP(3,AD32:AN35,5,FALSE)</f>
        <v>2</v>
      </c>
      <c r="O35" s="23" t="str">
        <f>VLOOKUP(3,AD32:AN35,6,FALSE) &amp; " - " &amp; VLOOKUP(3,AD32:AN35,7,FALSE)</f>
        <v>1 - 5</v>
      </c>
      <c r="P35" s="34">
        <f>L35*3+M35</f>
        <v>1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6</v>
      </c>
      <c r="AJ35" s="123">
        <f>SUMIF($E$7:$E$78,$AE35,$G$7:$G$78) + SUMIF($H$7:$H$78,$AE35,$F$7:$F$78)</f>
        <v>4</v>
      </c>
      <c r="AL35" s="123">
        <f>AI35-AJ35</f>
        <v>2</v>
      </c>
      <c r="AM35" s="123">
        <f>AL35-AL36</f>
        <v>10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60000005.725493751</v>
      </c>
      <c r="AQ35" s="126">
        <f>VLOOKUP(AE35,db_fifarank,2,FALSE)</f>
        <v>1594.78</v>
      </c>
      <c r="AR35" s="125">
        <f>AP35/AP36</f>
        <v>0.66666664585640489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Qatar</v>
      </c>
      <c r="BM35" s="62">
        <v>1</v>
      </c>
      <c r="BN35" s="64"/>
      <c r="BO35" s="27"/>
      <c r="BP35" s="113">
        <f>IF(BP34="","",BM35*1000+BN35*10+BO35)</f>
        <v>1000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3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1</v>
      </c>
      <c r="N36" s="36">
        <f>VLOOKUP(4,AD32:AN35,5,FALSE)</f>
        <v>2</v>
      </c>
      <c r="O36" s="36" t="str">
        <f>VLOOKUP(4,AD32:AN35,6,FALSE) &amp; " - " &amp; VLOOKUP(4,AD32:AN35,7,FALSE)</f>
        <v>1 - 9</v>
      </c>
      <c r="P36" s="37">
        <f>L36*3+M36</f>
        <v>1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3</v>
      </c>
      <c r="AI36" s="123">
        <f>MAX(AI32:AI35)+1</f>
        <v>13</v>
      </c>
      <c r="AL36" s="123">
        <f>MIN(AL32:AL35)</f>
        <v>-8</v>
      </c>
      <c r="AM36" s="123">
        <f>MAX(AM32:AM35)+1</f>
        <v>19</v>
      </c>
      <c r="AN36" s="123">
        <f>MAX(AN32:AN35)+1</f>
        <v>10</v>
      </c>
      <c r="AO36" s="123">
        <f>MAX(AO32:AO35)+1</f>
        <v>10</v>
      </c>
      <c r="AP36" s="123">
        <f>MAX(AP32:AP35)+1</f>
        <v>90000011.397626325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United States</v>
      </c>
      <c r="BT36" s="61">
        <v>2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2000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0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Czech Republic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France</v>
      </c>
      <c r="CO37" s="61">
        <v>2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2000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2</v>
      </c>
      <c r="AL38" s="123">
        <f>AI38-AJ38</f>
        <v>4</v>
      </c>
      <c r="AM38" s="123">
        <f>AL38-AL42</f>
        <v>6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90000009.429450348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Argentina</v>
      </c>
      <c r="CO38" s="62">
        <v>1</v>
      </c>
      <c r="CP38" s="64"/>
      <c r="CQ38" s="27"/>
      <c r="CR38" s="111">
        <f>IF(CR37="","",CO38*1000+CP38*10+CQ38)</f>
        <v>1000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3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6 - 2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0</v>
      </c>
      <c r="AH39" s="123">
        <f>COUNTIF($S$7:$T$78,"=" &amp; AE39 &amp; "_lose")</f>
        <v>1</v>
      </c>
      <c r="AI39" s="123">
        <f>SUMIF($E$7:$E$78,$AE39,$F$7:$F$78) + SUMIF($H$7:$H$78,$AE39,$G$7:$G$78)</f>
        <v>6</v>
      </c>
      <c r="AJ39" s="123">
        <f>SUMIF($E$7:$E$78,$AE39,$G$7:$G$78) + SUMIF($H$7:$H$78,$AE39,$F$7:$F$78)</f>
        <v>6</v>
      </c>
      <c r="AL39" s="123">
        <f>AI39-AJ39</f>
        <v>0</v>
      </c>
      <c r="AM39" s="123">
        <f>AL39-AL42</f>
        <v>2</v>
      </c>
      <c r="AN39" s="123">
        <f>AF39*3+AG39</f>
        <v>6</v>
      </c>
      <c r="AO39" s="123">
        <f>AN39/AN42*10+BA39</f>
        <v>6</v>
      </c>
      <c r="AP39" s="123">
        <f>AO39*10000000+BI39*100+AM39/AM42*10+AI39/AI42*1++IF(AQ39=0,ROW(),AQ39)/2000000</f>
        <v>60000003.715115935</v>
      </c>
      <c r="AQ39" s="126">
        <f>VLOOKUP(AE39,db_fifarank,2,FALSE)</f>
        <v>1660.43</v>
      </c>
      <c r="AR39" s="125">
        <f>AP39/AP42</f>
        <v>0.66666663069054899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Czech Republic</v>
      </c>
      <c r="BM39" s="62">
        <v>2</v>
      </c>
      <c r="BN39" s="64"/>
      <c r="BO39" s="27"/>
      <c r="BP39" s="112">
        <f>IF(BP38="","",BM39*1000+BN39*10+BO39)</f>
        <v>2000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6 - 6</v>
      </c>
      <c r="P40" s="34">
        <f>L40*3+M40</f>
        <v>6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1</v>
      </c>
      <c r="AH40" s="123">
        <f>COUNTIF($S$7:$T$78,"=" &amp; AE40 &amp; "_lose")</f>
        <v>2</v>
      </c>
      <c r="AI40" s="123">
        <f>SUMIF($E$7:$E$78,$AE40,$F$7:$F$78) + SUMIF($H$7:$H$78,$AE40,$G$7:$G$78)</f>
        <v>3</v>
      </c>
      <c r="AJ40" s="123">
        <f>SUMIF($E$7:$E$78,$AE40,$G$7:$G$78) + SUMIF($H$7:$H$78,$AE40,$F$7:$F$78)</f>
        <v>5</v>
      </c>
      <c r="AL40" s="123">
        <f>AI40-AJ40</f>
        <v>-2</v>
      </c>
      <c r="AM40" s="123">
        <f>AL40-AL42</f>
        <v>0</v>
      </c>
      <c r="AN40" s="123">
        <f>AF40*3+AG40</f>
        <v>1</v>
      </c>
      <c r="AO40" s="123">
        <f>AN40/AN42*10+BA40</f>
        <v>1.9805825242718447</v>
      </c>
      <c r="AP40" s="123">
        <f>AO40*10000000+BI40*100+AM40/AM42*10+AI40/AI42*1++IF(AQ40=0,ROW(),AQ40)/2000000</f>
        <v>19805923.730299689</v>
      </c>
      <c r="AQ40" s="126">
        <f>VLOOKUP(AE40,db_fifarank,2,FALSE)</f>
        <v>1514.77</v>
      </c>
      <c r="AR40" s="125">
        <f>AP40/AP42</f>
        <v>0.22006579372371576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1</v>
      </c>
      <c r="AV40" s="126" cm="1">
        <f t="array" ref="AV40">SUMPRODUCT(($E$7:$E$78=AE40)*($U$7:$U$78)*($F$7:$F$78))+SUMPRODUCT(($H$7:$H$78=AE40)*($U$7:$U$78)*($G$7:$G$78))</f>
        <v>1</v>
      </c>
      <c r="AW40" s="126" cm="1">
        <f t="array" ref="AW40">SUMPRODUCT(($E$7:$E$78=AE40)*($U$7:$U$78)*($G$7:$G$78))+SUMPRODUCT(($H$7:$H$78=AE40)*($U$7:$U$78)*($F$7:$F$78))</f>
        <v>1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50.5</v>
      </c>
      <c r="BA40" s="126">
        <f>AZ40/AZ42</f>
        <v>0.98058252427184467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1</v>
      </c>
      <c r="BD40" s="126" cm="1">
        <f t="array" ref="BD40">SUMPRODUCT(($E$7:$E$78=AE40)*($X$7:$X$78)*($F$7:$F$78))+SUMPRODUCT(($H$7:$H$78=AE40)*($X$7:$X$78)*($G$7:$G$78))</f>
        <v>1</v>
      </c>
      <c r="BE40" s="126" cm="1">
        <f t="array" ref="BE40">SUMPRODUCT(($E$7:$E$78=AE40)*($X$7:$X$78)*($G$7:$G$78))+SUMPRODUCT(($H$7:$H$78=AE40)*($X$7:$X$78)*($F$7:$F$78))</f>
        <v>1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50.5</v>
      </c>
      <c r="BI40" s="126">
        <f>BH40/BH42</f>
        <v>0.98058252427184467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0</v>
      </c>
      <c r="M41" s="23">
        <f>VLOOKUP(3,AD38:AN41,4,FALSE)</f>
        <v>1</v>
      </c>
      <c r="N41" s="23">
        <f>VLOOKUP(3,AD38:AN41,5,FALSE)</f>
        <v>2</v>
      </c>
      <c r="O41" s="23" t="str">
        <f>VLOOKUP(3,AD38:AN41,6,FALSE) &amp; " - " &amp; VLOOKUP(3,AD38:AN41,7,FALSE)</f>
        <v>3 - 5</v>
      </c>
      <c r="P41" s="34">
        <f>L41*3+M41</f>
        <v>1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1</v>
      </c>
      <c r="AH41" s="123">
        <f>COUNTIF($S$7:$T$78,"=" &amp; AE41 &amp; "_lose")</f>
        <v>2</v>
      </c>
      <c r="AI41" s="123">
        <f>SUMIF($E$7:$E$78,$AE41,$F$7:$F$78) + SUMIF($H$7:$H$78,$AE41,$G$7:$G$78)</f>
        <v>3</v>
      </c>
      <c r="AJ41" s="123">
        <f>SUMIF($E$7:$E$78,$AE41,$G$7:$G$78) + SUMIF($H$7:$H$78,$AE41,$F$7:$F$78)</f>
        <v>5</v>
      </c>
      <c r="AL41" s="123">
        <f>AI41-AJ41</f>
        <v>-2</v>
      </c>
      <c r="AM41" s="123">
        <f>AL41-AL42</f>
        <v>0</v>
      </c>
      <c r="AN41" s="123">
        <f>AF41*3+AG41</f>
        <v>1</v>
      </c>
      <c r="AO41" s="123">
        <f>AN41/AN42*10+BA41</f>
        <v>1.9805825242718447</v>
      </c>
      <c r="AP41" s="123">
        <f>AO41*10000000+BI41*100+AM41/AM42*10+AI41/AI42*1++IF(AQ41=0,ROW(),AQ41)/2000000</f>
        <v>19805923.73028383</v>
      </c>
      <c r="AQ41" s="126">
        <f>VLOOKUP(AE41,db_fifarank,2,FALSE)</f>
        <v>1483.05</v>
      </c>
      <c r="AR41" s="125">
        <f>AP41/AP42</f>
        <v>0.22006579372353957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1</v>
      </c>
      <c r="AV41" s="126" cm="1">
        <f t="array" ref="AV41">SUMPRODUCT(($E$7:$E$78=AE41)*($U$7:$U$78)*($F$7:$F$78))+SUMPRODUCT(($H$7:$H$78=AE41)*($U$7:$U$78)*($G$7:$G$78))</f>
        <v>1</v>
      </c>
      <c r="AW41" s="126" cm="1">
        <f t="array" ref="AW41">SUMPRODUCT(($E$7:$E$78=AE41)*($U$7:$U$78)*($G$7:$G$78))+SUMPRODUCT(($H$7:$H$78=AE41)*($U$7:$U$78)*($F$7:$F$78))</f>
        <v>1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50.5</v>
      </c>
      <c r="BA41" s="126">
        <f>AZ41/AZ42</f>
        <v>0.98058252427184467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1</v>
      </c>
      <c r="BD41" s="126" cm="1">
        <f t="array" ref="BD41">SUMPRODUCT(($E$7:$E$78=AE41)*($X$7:$X$78)*($F$7:$F$78))+SUMPRODUCT(($H$7:$H$78=AE41)*($X$7:$X$78)*($G$7:$G$78))</f>
        <v>1</v>
      </c>
      <c r="BE41" s="126" cm="1">
        <f t="array" ref="BE41">SUMPRODUCT(($E$7:$E$78=AE41)*($X$7:$X$78)*($G$7:$G$78))+SUMPRODUCT(($H$7:$H$78=AE41)*($X$7:$X$78)*($F$7:$F$78))</f>
        <v>1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50.5</v>
      </c>
      <c r="BI41" s="126">
        <f>BH41/BH42</f>
        <v>0.98058252427184467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2</v>
      </c>
      <c r="G42" s="20">
        <v>3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3 - 5</v>
      </c>
      <c r="P42" s="37">
        <f>L42*3+M42</f>
        <v>1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2</v>
      </c>
      <c r="AH42" s="123">
        <f t="shared" si="18"/>
        <v>3</v>
      </c>
      <c r="AI42" s="123">
        <f>MAX(AI38:AI41)+1</f>
        <v>7</v>
      </c>
      <c r="AL42" s="123">
        <f>MIN(AL38:AL41)</f>
        <v>-2</v>
      </c>
      <c r="AM42" s="123">
        <f>MAX(AM38:AM41)+1</f>
        <v>7</v>
      </c>
      <c r="AN42" s="123">
        <f>MAX(AN38:AN41)+1</f>
        <v>10</v>
      </c>
      <c r="AO42" s="123">
        <f>MAX(AO38:AO41)+1</f>
        <v>10</v>
      </c>
      <c r="AP42" s="123">
        <f>MAX(AP38:AP41)+1</f>
        <v>90000010.429450348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2</v>
      </c>
      <c r="AW42" s="126">
        <f>MAX(AW38:AW41)-MIN(AW38:AW41)+1</f>
        <v>2</v>
      </c>
      <c r="AY42" s="126">
        <f>MAX(AY38:AY41)-MIN(AY38:AY41)+1</f>
        <v>1</v>
      </c>
      <c r="AZ42" s="126">
        <f>MAX(AZ38:AZ41)+1</f>
        <v>51.5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2</v>
      </c>
      <c r="BE42" s="126">
        <f>MAX(BE38:BE41)-MIN(BE38:BE41)+1</f>
        <v>2</v>
      </c>
      <c r="BG42" s="126">
        <f>MAX(BG38:BG41)-MIN(BG38:BG41)+1</f>
        <v>1</v>
      </c>
      <c r="BH42" s="126">
        <f>MAX(BH38:BH41)+1</f>
        <v>51.5</v>
      </c>
      <c r="BK42" s="131">
        <v>76</v>
      </c>
      <c r="BL42" s="24" t="str">
        <f>AS20</f>
        <v>Brazil</v>
      </c>
      <c r="BM42" s="61">
        <v>3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3000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3</v>
      </c>
      <c r="G43" s="20">
        <v>2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2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8</v>
      </c>
      <c r="AJ44" s="123">
        <f>SUMIF($E$7:$E$78,$AE44,$G$7:$G$78) + SUMIF($H$7:$H$78,$AE44,$F$7:$F$78)</f>
        <v>3</v>
      </c>
      <c r="AL44" s="123">
        <f>AI44-AJ44</f>
        <v>5</v>
      </c>
      <c r="AM44" s="123">
        <f>AL44-AL48</f>
        <v>8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90000009.778645143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2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2000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8 - 3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4</v>
      </c>
      <c r="AL45" s="123">
        <f>AI45-AJ45</f>
        <v>0</v>
      </c>
      <c r="AM45" s="123">
        <f>AL45-AL48</f>
        <v>3</v>
      </c>
      <c r="AN45" s="123">
        <f>AF45*3+AG45</f>
        <v>4</v>
      </c>
      <c r="AO45" s="123">
        <f>AN45/AN48*10+BA45</f>
        <v>4</v>
      </c>
      <c r="AP45" s="123">
        <f>AO45*10000000+BI45*100+AM45/AM48*10+AI45/AI48*1++IF(AQ45=0,ROW(),AQ45)/2000000</f>
        <v>40000003.778559402</v>
      </c>
      <c r="AQ45" s="126">
        <f>VLOOKUP(AE45,db_fifarank,2,FALSE)</f>
        <v>1563.24</v>
      </c>
      <c r="AR45" s="125">
        <f>AP45/AP48</f>
        <v>0.44444443320056187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Ecuador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36"/>
      <c r="CN45" s="137"/>
      <c r="CO45" s="137"/>
      <c r="CP45" s="137"/>
      <c r="CQ45" s="138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1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4 - 4</v>
      </c>
      <c r="P46" s="34">
        <f>L46*3+M46</f>
        <v>4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2</v>
      </c>
      <c r="AH46" s="123">
        <f>COUNTIF($S$7:$T$78,"=" &amp; AE46 &amp; "_lose")</f>
        <v>1</v>
      </c>
      <c r="AI46" s="123">
        <f>SUMIF($E$7:$E$78,$AE46,$F$7:$F$78) + SUMIF($H$7:$H$78,$AE46,$G$7:$G$78)</f>
        <v>0</v>
      </c>
      <c r="AJ46" s="123">
        <f>SUMIF($E$7:$E$78,$AE46,$G$7:$G$78) + SUMIF($H$7:$H$78,$AE46,$F$7:$F$78)</f>
        <v>2</v>
      </c>
      <c r="AL46" s="123">
        <f>AI46-AJ46</f>
        <v>-2</v>
      </c>
      <c r="AM46" s="123">
        <f>AL46-AL48</f>
        <v>1</v>
      </c>
      <c r="AN46" s="123">
        <f>AF46*3+AG46</f>
        <v>2</v>
      </c>
      <c r="AO46" s="123">
        <f>AN46/AN48*10+BA46</f>
        <v>2</v>
      </c>
      <c r="AP46" s="123">
        <f>AO46*10000000+BI46*100+AM46/AM48*10+AI46/AI48*1++IF(AQ46=0,ROW(),AQ46)/2000000</f>
        <v>20000001.111918762</v>
      </c>
      <c r="AQ46" s="126">
        <f>VLOOKUP(AE46,db_fifarank,2,FALSE)</f>
        <v>1615.3</v>
      </c>
      <c r="AR46" s="125">
        <f>AP46/AP48</f>
        <v>0.22222220796293823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Ecuador</v>
      </c>
      <c r="BM46" s="61">
        <v>2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2000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2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2</v>
      </c>
      <c r="N47" s="23">
        <f>VLOOKUP(3,AD44:AN47,5,FALSE)</f>
        <v>1</v>
      </c>
      <c r="O47" s="23" t="str">
        <f>VLOOKUP(3,AD44:AN47,6,FALSE) &amp; " - " &amp; VLOOKUP(3,AD44:AN47,7,FALSE)</f>
        <v>0 - 2</v>
      </c>
      <c r="P47" s="34">
        <f>L47*3+M47</f>
        <v>2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Norway_lose</v>
      </c>
      <c r="T47" s="127" t="str">
        <f t="shared" ref="T47:T78" si="20">IF(S47="","",IF(F47&lt;G47,H47&amp;"_win",IF(F47&gt;G47,H47&amp;"_lose",H47&amp;"_draw")))</f>
        <v>Senegal_win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-1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2</v>
      </c>
      <c r="AJ47" s="123">
        <f>SUMIF($E$7:$E$78,$AE47,$G$7:$G$78) + SUMIF($H$7:$H$78,$AE47,$F$7:$F$78)</f>
        <v>5</v>
      </c>
      <c r="AL47" s="123">
        <f>AI47-AJ47</f>
        <v>-3</v>
      </c>
      <c r="AM47" s="123">
        <f>AL47-AL48</f>
        <v>0</v>
      </c>
      <c r="AN47" s="123">
        <f>AF47*3+AG47</f>
        <v>1</v>
      </c>
      <c r="AO47" s="123">
        <f>AN47/AN48*10+BA47</f>
        <v>1</v>
      </c>
      <c r="AP47" s="123">
        <f>AO47*10000000+BI47*100+AM47/AM48*10+AI47/AI48*1++IF(AQ47=0,ROW(),AQ47)/2000000</f>
        <v>10000000.222863007</v>
      </c>
      <c r="AQ47" s="126">
        <f>VLOOKUP(AE47,db_fifarank,2,FALSE)</f>
        <v>1281.57</v>
      </c>
      <c r="AR47" s="125">
        <f>AP47/AP48</f>
        <v>0.11111110028039874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Senegal</v>
      </c>
      <c r="BM47" s="62">
        <v>0</v>
      </c>
      <c r="BN47" s="64"/>
      <c r="BO47" s="27"/>
      <c r="BP47" s="112">
        <f>IF(BP46="","",BM47*1000+BN47*10+BO47)</f>
        <v>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1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2 - 5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3</v>
      </c>
      <c r="AH48" s="123">
        <f t="shared" si="24"/>
        <v>3</v>
      </c>
      <c r="AI48" s="123">
        <f>MAX(AI44:AI47)+1</f>
        <v>9</v>
      </c>
      <c r="AL48" s="123">
        <f>MIN(AL44:AL47)</f>
        <v>-3</v>
      </c>
      <c r="AM48" s="123">
        <f>MAX(AM44:AM47)+1</f>
        <v>9</v>
      </c>
      <c r="AN48" s="123">
        <f>MAX(AN44:AN47)+1</f>
        <v>10</v>
      </c>
      <c r="AO48" s="123">
        <f>MAX(AO44:AO47)+1</f>
        <v>10</v>
      </c>
      <c r="AP48" s="123">
        <f>MAX(AP44:AP47)+1</f>
        <v>90000010.778645143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3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3000</v>
      </c>
      <c r="CK48" s="114"/>
      <c r="CL48" s="112"/>
      <c r="CM48" s="131">
        <v>103</v>
      </c>
      <c r="CN48" s="24" t="str">
        <f>IF(CK23&gt;CK24,CG24,IF(CK23&lt;CK24,CG23,""))</f>
        <v>Spain</v>
      </c>
      <c r="CO48" s="61">
        <v>3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3000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South Africa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32"/>
      <c r="CN49" s="26" t="str">
        <f>IF(CK55&gt;CK56,CG56,IF(CK55&lt;CK56,CG55,""))</f>
        <v>Brazil</v>
      </c>
      <c r="CO49" s="62">
        <v>4</v>
      </c>
      <c r="CP49" s="64"/>
      <c r="CQ49" s="27"/>
      <c r="CR49" s="111">
        <f>IF(CR48="","",CO49*1000+CP49*10+CQ49)</f>
        <v>4000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2</v>
      </c>
      <c r="G50" s="20">
        <v>0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Jordan_win</v>
      </c>
      <c r="T50" s="127" t="str">
        <f t="shared" si="20"/>
        <v>Algeria_lose</v>
      </c>
      <c r="U50" s="123">
        <f t="shared" si="8"/>
        <v>1</v>
      </c>
      <c r="V50" s="123">
        <f t="shared" si="21"/>
        <v>2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7</v>
      </c>
      <c r="AJ50" s="123">
        <f>SUMIF($E$7:$E$78,$AE50,$G$7:$G$78) + SUMIF($H$7:$H$78,$AE50,$F$7:$F$78)</f>
        <v>3</v>
      </c>
      <c r="AL50" s="123">
        <f>AI50-AJ50</f>
        <v>4</v>
      </c>
      <c r="AM50" s="123">
        <f>AL50-AL54</f>
        <v>9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90000009.778715983</v>
      </c>
      <c r="AQ50" s="126">
        <f>VLOOKUP(AE50,db_fifarank,2,FALSE)</f>
        <v>1876.4</v>
      </c>
      <c r="AR50" s="125">
        <f>AP50/AP54</f>
        <v>0.99999998888889019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South Africa</v>
      </c>
      <c r="BM50" s="61">
        <v>2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2000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3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7 - 3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3</v>
      </c>
      <c r="AJ51" s="123">
        <f>SUMIF($E$7:$E$78,$AE51,$G$7:$G$78) + SUMIF($H$7:$H$78,$AE51,$F$7:$F$78)</f>
        <v>8</v>
      </c>
      <c r="AL51" s="123">
        <f>AI51-AJ51</f>
        <v>-5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0.3340163983333333</v>
      </c>
      <c r="AQ51" s="126">
        <f>VLOOKUP(AE51,db_fifarank,2,FALSE)</f>
        <v>1366.13</v>
      </c>
      <c r="AR51" s="125">
        <f>AP51/AP54</f>
        <v>3.7112928703373504E-9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Norway</v>
      </c>
      <c r="BM51" s="62">
        <v>1</v>
      </c>
      <c r="BN51" s="64"/>
      <c r="BO51" s="27"/>
      <c r="BP51" s="113">
        <f>IF(BP50="","",BM51*1000+BN51*10+BO51)</f>
        <v>1000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1</v>
      </c>
      <c r="G52" s="20">
        <v>4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8 - 6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5</v>
      </c>
      <c r="AJ52" s="123">
        <f>SUMIF($E$7:$E$78,$AE52,$G$7:$G$78) + SUMIF($H$7:$H$78,$AE52,$F$7:$F$78)</f>
        <v>6</v>
      </c>
      <c r="AL52" s="123">
        <f>AI52-AJ52</f>
        <v>-1</v>
      </c>
      <c r="AM52" s="123">
        <f>AL52-AL54</f>
        <v>4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30000004.556266271</v>
      </c>
      <c r="AQ52" s="126">
        <f>VLOOKUP(AE52,db_fifarank,2,FALSE)</f>
        <v>1421.43</v>
      </c>
      <c r="AR52" s="125">
        <f>AP52/AP54</f>
        <v>0.33333334403734255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South Africa</v>
      </c>
      <c r="BT52" s="61">
        <v>3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3000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3</v>
      </c>
      <c r="G53" s="20">
        <v>2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5 - 6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8</v>
      </c>
      <c r="AJ53" s="123">
        <f>SUMIF($E$7:$E$78,$AE53,$G$7:$G$78) + SUMIF($H$7:$H$78,$AE53,$F$7:$F$78)</f>
        <v>6</v>
      </c>
      <c r="AL53" s="123">
        <f>AI53-AJ53</f>
        <v>2</v>
      </c>
      <c r="AM53" s="123">
        <f>AL53-AL54</f>
        <v>7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60000007.889725424</v>
      </c>
      <c r="AQ53" s="126">
        <f>VLOOKUP(AE53,db_fifarank,2,FALSE)</f>
        <v>1673.07</v>
      </c>
      <c r="AR53" s="125">
        <f>AP53/AP54</f>
        <v>0.66666667448794092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Croatia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1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3 - 8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9</v>
      </c>
      <c r="AL54" s="123">
        <f>MIN(AL50:AL53)</f>
        <v>-5</v>
      </c>
      <c r="AM54" s="123">
        <f>MAX(AM50:AM53)+1</f>
        <v>10</v>
      </c>
      <c r="AN54" s="123">
        <f>MAX(AN50:AN53)+1</f>
        <v>10</v>
      </c>
      <c r="AO54" s="123">
        <f>MAX(AO50:AO53)+1</f>
        <v>10</v>
      </c>
      <c r="AP54" s="123">
        <f>MAX(AP50:AP53)+1</f>
        <v>90000010.778715983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Croatia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1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Scotland_draw</v>
      </c>
      <c r="T55" s="127" t="str">
        <f t="shared" si="20"/>
        <v>Brazil_draw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0</v>
      </c>
      <c r="BK55" s="132"/>
      <c r="BL55" s="26" t="str">
        <f>IF(group_round_completed,VLOOKUP('3rd places'!K3,AK80:AS91,9,FALSE),"3rd Group E/H/I/J/K")</f>
        <v>Uzbekistan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4</v>
      </c>
      <c r="G56" s="20">
        <v>1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9</v>
      </c>
      <c r="AJ56" s="123">
        <f>SUMIF($E$7:$E$78,$AE56,$G$7:$G$78) + SUMIF($H$7:$H$78,$AE56,$F$7:$F$78)</f>
        <v>4</v>
      </c>
      <c r="AL56" s="123">
        <f>AI56-AJ56</f>
        <v>5</v>
      </c>
      <c r="AM56" s="123">
        <f>AL56-AL60</f>
        <v>9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90000009.90093866</v>
      </c>
      <c r="AQ56" s="126">
        <f>VLOOKUP(AE56,db_fifarank,2,FALSE)</f>
        <v>1877.32</v>
      </c>
      <c r="AR56" s="125">
        <f>AP56/AP60</f>
        <v>0.99999998888889019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Argentina</v>
      </c>
      <c r="CH56" s="62">
        <v>2</v>
      </c>
      <c r="CI56" s="64"/>
      <c r="CJ56" s="27"/>
      <c r="CK56" s="112">
        <f>IF(CK55="","",CH56*1000+CI56*10+CJ56)</f>
        <v>2000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2</v>
      </c>
      <c r="G57" s="20">
        <v>0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9 - 4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2</v>
      </c>
      <c r="AG57" s="123">
        <f>COUNTIF($S$7:$T$78,"=" &amp; AE57 &amp; "_draw")</f>
        <v>0</v>
      </c>
      <c r="AH57" s="123">
        <f>COUNTIF($S$7:$T$78,"=" &amp; AE57 &amp; "_lose")</f>
        <v>1</v>
      </c>
      <c r="AI57" s="123">
        <f>SUMIF($E$7:$E$78,$AE57,$F$7:$F$78) + SUMIF($H$7:$H$78,$AE57,$G$7:$G$78)</f>
        <v>5</v>
      </c>
      <c r="AJ57" s="123">
        <f>SUMIF($E$7:$E$78,$AE57,$G$7:$G$78) + SUMIF($H$7:$H$78,$AE57,$F$7:$F$78)</f>
        <v>5</v>
      </c>
      <c r="AL57" s="123">
        <f>AI57-AJ57</f>
        <v>0</v>
      </c>
      <c r="AM57" s="123">
        <f>AL57-AL60</f>
        <v>4</v>
      </c>
      <c r="AN57" s="123">
        <f>AF57*3+AG57</f>
        <v>6</v>
      </c>
      <c r="AO57" s="123">
        <f>AN57/AN60*10+BA57</f>
        <v>6</v>
      </c>
      <c r="AP57" s="123">
        <f>AO57*10000000+BI57*100+AM57/AM60*10+AI57/AI60*1++IF(AQ57=0,ROW(),AQ57)/2000000</f>
        <v>60000004.500844494</v>
      </c>
      <c r="AQ57" s="126">
        <f>VLOOKUP(AE57,db_fifarank,2,FALSE)</f>
        <v>1688.99</v>
      </c>
      <c r="AR57" s="125">
        <f>AP57/AP60</f>
        <v>0.66666663592835984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1</v>
      </c>
      <c r="G58" s="20">
        <v>3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5 - 5</v>
      </c>
      <c r="P58" s="34">
        <f>L58*3+M58</f>
        <v>6</v>
      </c>
      <c r="R58" s="123">
        <f>DATE(2026,6,24)+TIME(8,0,0)+gmt_delta</f>
        <v>46197.875</v>
      </c>
      <c r="S58" s="127" t="str">
        <f t="shared" si="19"/>
        <v>Bosnia and Herzegovina_lose</v>
      </c>
      <c r="T58" s="127" t="str">
        <f t="shared" si="20"/>
        <v>Qatar_win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-1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2</v>
      </c>
      <c r="AJ58" s="123">
        <f>SUMIF($E$7:$E$78,$AE58,$G$7:$G$78) + SUMIF($H$7:$H$78,$AE58,$F$7:$F$78)</f>
        <v>6</v>
      </c>
      <c r="AL58" s="123">
        <f>AI58-AJ58</f>
        <v>-4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0.20072357000000002</v>
      </c>
      <c r="AQ58" s="126">
        <f>VLOOKUP(AE58,db_fifarank,2,FALSE)</f>
        <v>1447.14</v>
      </c>
      <c r="AR58" s="125">
        <f>AP58/AP60</f>
        <v>2.2302616187561659E-9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3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3000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2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4 - 5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0</v>
      </c>
      <c r="AH59" s="123">
        <f>COUNTIF($S$7:$T$78,"=" &amp; AE59 &amp; "_lose")</f>
        <v>2</v>
      </c>
      <c r="AI59" s="123">
        <f>SUMIF($E$7:$E$78,$AE59,$F$7:$F$78) + SUMIF($H$7:$H$78,$AE59,$G$7:$G$78)</f>
        <v>4</v>
      </c>
      <c r="AJ59" s="123">
        <f>SUMIF($E$7:$E$78,$AE59,$G$7:$G$78) + SUMIF($H$7:$H$78,$AE59,$F$7:$F$78)</f>
        <v>5</v>
      </c>
      <c r="AL59" s="123">
        <f>AI59-AJ59</f>
        <v>-1</v>
      </c>
      <c r="AM59" s="123">
        <f>AL59-AL60</f>
        <v>3</v>
      </c>
      <c r="AN59" s="123">
        <f>AF59*3+AG59</f>
        <v>3</v>
      </c>
      <c r="AO59" s="123">
        <f>AN59/AN60*10+BA59</f>
        <v>3</v>
      </c>
      <c r="AP59" s="123">
        <f>AO59*10000000+BI59*100+AM59/AM60*10+AI59/AI60*1++IF(AQ59=0,ROW(),AQ59)/2000000</f>
        <v>30000003.40077547</v>
      </c>
      <c r="AQ59" s="126">
        <f>VLOOKUP(AE59,db_fifarank,2,FALSE)</f>
        <v>1550.94</v>
      </c>
      <c r="AR59" s="125">
        <f>AP59/AP60</f>
        <v>0.33333333074588084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2</v>
      </c>
      <c r="BN59" s="64"/>
      <c r="BO59" s="27"/>
      <c r="BP59" s="113">
        <f>IF(BP58="","",BM59*1000+BN59*10+BO59)</f>
        <v>2000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3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2 - 6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Africa_win</v>
      </c>
      <c r="T60" s="127" t="str">
        <f t="shared" si="20"/>
        <v>Korea Republic_lose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1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10</v>
      </c>
      <c r="AL60" s="123">
        <f>MIN(AL56:AL59)</f>
        <v>-4</v>
      </c>
      <c r="AM60" s="123">
        <f>MAX(AM56:AM59)+1</f>
        <v>10</v>
      </c>
      <c r="AN60" s="123">
        <f>MAX(AN56:AN59)+1</f>
        <v>10</v>
      </c>
      <c r="AO60" s="123">
        <f>MAX(AO56:AO59)+1</f>
        <v>10</v>
      </c>
      <c r="AP60" s="123">
        <f>MAX(AP56:AP59)+1</f>
        <v>90000010.90093866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3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3000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1</v>
      </c>
      <c r="G61" s="20">
        <v>1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Curaçao_draw</v>
      </c>
      <c r="T61" s="127" t="str">
        <f t="shared" si="20"/>
        <v>Ivory Coast_draw</v>
      </c>
      <c r="U61" s="123">
        <f t="shared" si="8"/>
        <v>1</v>
      </c>
      <c r="V61" s="123">
        <f t="shared" si="21"/>
        <v>1</v>
      </c>
      <c r="W61" s="123">
        <f t="shared" si="22"/>
        <v>1</v>
      </c>
      <c r="X61" s="123">
        <f t="shared" si="9"/>
        <v>1</v>
      </c>
      <c r="Y61" s="123">
        <f t="shared" si="10"/>
        <v>1</v>
      </c>
      <c r="Z61" s="123">
        <f t="shared" si="11"/>
        <v>1</v>
      </c>
      <c r="AA61" s="123">
        <f t="shared" si="17"/>
        <v>0</v>
      </c>
      <c r="AB61" s="123">
        <f t="shared" si="23"/>
        <v>0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Turkey</v>
      </c>
      <c r="BT61" s="62">
        <v>1</v>
      </c>
      <c r="BU61" s="64"/>
      <c r="BV61" s="27"/>
      <c r="BW61" s="113">
        <f>IF(BW60="","",BT61*1000+BU61*10+BV61)</f>
        <v>1000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2</v>
      </c>
      <c r="G62" s="20">
        <v>4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9</v>
      </c>
      <c r="AJ62" s="123">
        <f>SUMIF($E$7:$E$78,$AE62,$G$7:$G$78) + SUMIF($H$7:$H$78,$AE62,$F$7:$F$78)</f>
        <v>1</v>
      </c>
      <c r="AL62" s="123">
        <f>AI62-AJ62</f>
        <v>8</v>
      </c>
      <c r="AM62" s="123">
        <f>AL62-AL66</f>
        <v>12</v>
      </c>
      <c r="AN62" s="123">
        <f>AF62*3+AG62</f>
        <v>9</v>
      </c>
      <c r="AO62" s="123">
        <f>AN62/AN66*10+BA62</f>
        <v>9.0065573770491802</v>
      </c>
      <c r="AP62" s="123">
        <f>AO62*10000000+BI62*100+AM62/AM66*10+AI62/AI66*1++IF(AQ62=0,ROW(),AQ62)/2000000</f>
        <v>90065583.902198464</v>
      </c>
      <c r="AQ62" s="126">
        <f>VLOOKUP(AE62,db_fifarank,2,FALSE)</f>
        <v>1874.82</v>
      </c>
      <c r="AR62" s="125">
        <f>AP62/AP66</f>
        <v>0.99999998889697994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1</v>
      </c>
      <c r="AZ62" s="126">
        <f>AT62/AT66*1000+AU62/AU66*100+AY62/AY66*10+AV62/AV66</f>
        <v>3.333333333333333</v>
      </c>
      <c r="BA62" s="126">
        <f>AZ62/AZ66</f>
        <v>6.557377049180327E-3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Turkey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2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9 - 1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4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0</v>
      </c>
      <c r="AH63" s="123">
        <f>COUNTIF($S$7:$T$78,"=" &amp; AE63 &amp; "_lose")</f>
        <v>2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5</v>
      </c>
      <c r="AL63" s="123">
        <f>AI63-AJ63</f>
        <v>-3</v>
      </c>
      <c r="AM63" s="123">
        <f>AL63-AL66</f>
        <v>1</v>
      </c>
      <c r="AN63" s="123">
        <f>AF63*3+AG63</f>
        <v>3</v>
      </c>
      <c r="AO63" s="123">
        <f>AN63/AN66*10+BA63</f>
        <v>3.9849180327868852</v>
      </c>
      <c r="AP63" s="123">
        <f>AO63*10000000+BI63*100+AM63/AM66*10+AI63/AI66*1++IF(AQ63=0,ROW(),AQ63)/2000000</f>
        <v>39849181.297881752</v>
      </c>
      <c r="AQ63" s="126">
        <f>VLOOKUP(AE63,db_fifarank,2,FALSE)</f>
        <v>1564.26</v>
      </c>
      <c r="AR63" s="125">
        <f>AP63/AP66</f>
        <v>0.44244626114573815</v>
      </c>
      <c r="AS63" s="125" t="str">
        <f>IF(SUM(AF62:AH65)=12,J64,"2J")</f>
        <v>Jordan</v>
      </c>
      <c r="AT63" s="126" cm="1">
        <f t="array" ref="AT63">SUMPRODUCT(($S$7:$S$78=AE63&amp;"_win")*($U$7:$U$78))+SUMPRODUCT(($T$7:$T$78=AE63&amp;"_win")*($U$7:$U$78))</f>
        <v>1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2</v>
      </c>
      <c r="AW63" s="126" cm="1">
        <f t="array" ref="AW63">SUMPRODUCT(($E$7:$E$78=AE63)*($U$7:$U$78)*($G$7:$G$78))+SUMPRODUCT(($H$7:$H$78=AE63)*($U$7:$U$78)*($F$7:$F$78))</f>
        <v>3</v>
      </c>
      <c r="AX63" s="126">
        <f>AV63-AW63</f>
        <v>-1</v>
      </c>
      <c r="AY63" s="126">
        <f>AX63-MIN(AX62:AX65)</f>
        <v>0</v>
      </c>
      <c r="AZ63" s="126">
        <f>AT63/AT66*1000+AU63/AU66*100+AY63/AY66*10+AV63/AV66</f>
        <v>500.66666666666669</v>
      </c>
      <c r="BA63" s="126">
        <f>AZ63/AZ66</f>
        <v>0.98491803278688517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2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1</v>
      </c>
      <c r="H64" s="80" t="str">
        <f>AE38</f>
        <v>Netherlands</v>
      </c>
      <c r="I64" s="69"/>
      <c r="J64" s="33" t="str">
        <f>VLOOKUP(2,AD62:AN65,2,FALSE)</f>
        <v>Jordan</v>
      </c>
      <c r="K64" s="23">
        <f>L64+M64+N64</f>
        <v>3</v>
      </c>
      <c r="L64" s="23">
        <f>VLOOKUP(2,AD62:AN65,3,FALSE)</f>
        <v>1</v>
      </c>
      <c r="M64" s="23">
        <f>VLOOKUP(2,AD62:AN65,4,FALSE)</f>
        <v>0</v>
      </c>
      <c r="N64" s="23">
        <f>VLOOKUP(2,AD62:AN65,5,FALSE)</f>
        <v>2</v>
      </c>
      <c r="O64" s="23" t="str">
        <f>VLOOKUP(2,AD62:AN65,6,FALSE) &amp; " - " &amp; VLOOKUP(2,AD62:AN65,7,FALSE)</f>
        <v>2 - 6</v>
      </c>
      <c r="P64" s="34">
        <f>L64*3+M64</f>
        <v>3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3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0</v>
      </c>
      <c r="AH64" s="123">
        <f>COUNTIF($S$7:$T$78,"=" &amp; AE64 &amp; "_lose")</f>
        <v>2</v>
      </c>
      <c r="AI64" s="123">
        <f>SUMIF($E$7:$E$78,$AE64,$F$7:$F$78) + SUMIF($H$7:$H$78,$AE64,$G$7:$G$78)</f>
        <v>3</v>
      </c>
      <c r="AJ64" s="123">
        <f>SUMIF($E$7:$E$78,$AE64,$G$7:$G$78) + SUMIF($H$7:$H$78,$AE64,$F$7:$F$78)</f>
        <v>4</v>
      </c>
      <c r="AL64" s="123">
        <f>AI64-AJ64</f>
        <v>-1</v>
      </c>
      <c r="AM64" s="123">
        <f>AL64-AL66</f>
        <v>3</v>
      </c>
      <c r="AN64" s="123">
        <f>AF64*3+AG64</f>
        <v>3</v>
      </c>
      <c r="AO64" s="123">
        <f>AN64/AN66*10+BA64</f>
        <v>3.9914754098360654</v>
      </c>
      <c r="AP64" s="123">
        <f>AO64*10000000+BI64*100+AM64/AM66*10+AI64/AI66*1++IF(AQ64=0,ROW(),AQ64)/2000000</f>
        <v>39914756.706849687</v>
      </c>
      <c r="AQ64" s="126">
        <f>VLOOKUP(AE64,db_fifarank,2,FALSE)</f>
        <v>1593.45</v>
      </c>
      <c r="AR64" s="125">
        <f>AP64/AP66</f>
        <v>0.44317434622994806</v>
      </c>
      <c r="AT64" s="126" cm="1">
        <f t="array" ref="AT64">SUMPRODUCT(($S$7:$S$78=AE64&amp;"_win")*($U$7:$U$78))+SUMPRODUCT(($T$7:$T$78=AE64&amp;"_win")*($U$7:$U$78))</f>
        <v>1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2</v>
      </c>
      <c r="AW64" s="126" cm="1">
        <f t="array" ref="AW64">SUMPRODUCT(($E$7:$E$78=AE64)*($U$7:$U$78)*($G$7:$G$78))+SUMPRODUCT(($H$7:$H$78=AE64)*($U$7:$U$78)*($F$7:$F$78))</f>
        <v>2</v>
      </c>
      <c r="AX64" s="126">
        <f>AV64-AW64</f>
        <v>0</v>
      </c>
      <c r="AY64" s="126">
        <f>AX64-MIN(AX62:AX65)</f>
        <v>1</v>
      </c>
      <c r="AZ64" s="126">
        <f>AT64/AT66*1000+AU64/AU66*100+AY64/AY66*10+AV64/AV66</f>
        <v>504</v>
      </c>
      <c r="BA64" s="126">
        <f>AZ64/AZ66</f>
        <v>0.99147540983606552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2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2000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0</v>
      </c>
      <c r="G65" s="20">
        <v>2</v>
      </c>
      <c r="H65" s="80" t="str">
        <f>AE26</f>
        <v>United States</v>
      </c>
      <c r="I65" s="69"/>
      <c r="J65" s="33" t="str">
        <f>VLOOKUP(3,AD62:AN65,2,FALSE)</f>
        <v>Austria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3 - 4</v>
      </c>
      <c r="P65" s="34">
        <f>L65*3+M65</f>
        <v>3</v>
      </c>
      <c r="R65" s="123">
        <f>DATE(2026,6,25)+TIME(15,0,0)+gmt_delta</f>
        <v>46199.166666666664</v>
      </c>
      <c r="S65" s="127" t="str">
        <f t="shared" si="19"/>
        <v>Turkey_lose</v>
      </c>
      <c r="T65" s="127" t="str">
        <f t="shared" si="20"/>
        <v>United States_win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-1</v>
      </c>
      <c r="AD65" s="123">
        <f>COUNTIF(AR62:AR65,CONCATENATE("&gt;=",AR65))</f>
        <v>2</v>
      </c>
      <c r="AE65" s="124" t="str">
        <f>VLOOKUP("Jordan",T,lang,FALSE)</f>
        <v>Jordan</v>
      </c>
      <c r="AF65" s="123">
        <f>COUNTIF($S$7:$T$78,"=" &amp; AE65 &amp; "_win")</f>
        <v>1</v>
      </c>
      <c r="AG65" s="123">
        <f>COUNTIF($S$7:$T$78,"=" &amp; AE65 &amp; "_draw")</f>
        <v>0</v>
      </c>
      <c r="AH65" s="123">
        <f>COUNTIF($S$7:$T$78,"=" &amp; AE65 &amp; "_lose")</f>
        <v>2</v>
      </c>
      <c r="AI65" s="123">
        <f>SUMIF($E$7:$E$78,$AE65,$F$7:$F$78) + SUMIF($H$7:$H$78,$AE65,$G$7:$G$78)</f>
        <v>2</v>
      </c>
      <c r="AJ65" s="123">
        <f>SUMIF($E$7:$E$78,$AE65,$G$7:$G$78) + SUMIF($H$7:$H$78,$AE65,$F$7:$F$78)</f>
        <v>6</v>
      </c>
      <c r="AL65" s="123">
        <f>AI65-AJ65</f>
        <v>-4</v>
      </c>
      <c r="AM65" s="123">
        <f>AL65-AL66</f>
        <v>0</v>
      </c>
      <c r="AN65" s="123">
        <f>AF65*3+AG65</f>
        <v>3</v>
      </c>
      <c r="AO65" s="123">
        <f>AN65/AN66*10+BA65</f>
        <v>3.9980327868852461</v>
      </c>
      <c r="AP65" s="123">
        <f>AO65*10000000+BI65*100+AM65/AM66*10+AI65/AI66*1++IF(AQ65=0,ROW(),AQ65)/2000000</f>
        <v>39980328.06954819</v>
      </c>
      <c r="AQ65" s="126">
        <f>VLOOKUP(AE65,db_fifarank,2,FALSE)</f>
        <v>1391.45</v>
      </c>
      <c r="AR65" s="125">
        <f>AP65/AP66</f>
        <v>0.44390238638834717</v>
      </c>
      <c r="AT65" s="126" cm="1">
        <f t="array" ref="AT65">SUMPRODUCT(($S$7:$S$78=AE65&amp;"_win")*($U$7:$U$78))+SUMPRODUCT(($T$7:$T$78=AE65&amp;"_win")*($U$7:$U$78))</f>
        <v>1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2</v>
      </c>
      <c r="AW65" s="126" cm="1">
        <f t="array" ref="AW65">SUMPRODUCT(($E$7:$E$78=AE65)*($U$7:$U$78)*($G$7:$G$78))+SUMPRODUCT(($H$7:$H$78=AE65)*($U$7:$U$78)*($F$7:$F$78))</f>
        <v>1</v>
      </c>
      <c r="AX65" s="126">
        <f>AV65-AW65</f>
        <v>1</v>
      </c>
      <c r="AY65" s="126">
        <f>AX65-MIN(AX62:AX65)</f>
        <v>2</v>
      </c>
      <c r="AZ65" s="126">
        <f>AT65/AT66*1000+AU65/AU66*100+AY65/AY66*10+AV65/AV66</f>
        <v>507.33333333333337</v>
      </c>
      <c r="BA65" s="126">
        <f>AZ65/AZ66</f>
        <v>0.99803278688524588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Switzerland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2</v>
      </c>
      <c r="G66" s="20">
        <v>2</v>
      </c>
      <c r="H66" s="80" t="str">
        <f>AE28</f>
        <v>Australia</v>
      </c>
      <c r="I66" s="69"/>
      <c r="J66" s="35" t="str">
        <f>VLOOKUP(4,AD62:AN65,2,FALSE)</f>
        <v>Algeria</v>
      </c>
      <c r="K66" s="36">
        <f>L66+M66+N66</f>
        <v>3</v>
      </c>
      <c r="L66" s="36">
        <f>VLOOKUP(4,AD62:AN65,3,FALSE)</f>
        <v>1</v>
      </c>
      <c r="M66" s="36">
        <f>VLOOKUP(4,AD62:AN65,4,FALSE)</f>
        <v>0</v>
      </c>
      <c r="N66" s="36">
        <f>VLOOKUP(4,AD62:AN65,5,FALSE)</f>
        <v>2</v>
      </c>
      <c r="O66" s="36" t="str">
        <f>VLOOKUP(4,AD62:AN65,6,FALSE) &amp; " - " &amp; VLOOKUP(4,AD62:AN65,7,FALSE)</f>
        <v>2 - 5</v>
      </c>
      <c r="P66" s="37">
        <f>L66*3+M66</f>
        <v>3</v>
      </c>
      <c r="R66" s="123">
        <f>DATE(2026,6,25)+TIME(15,0,0)+gmt_delta</f>
        <v>46199.166666666664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3</v>
      </c>
      <c r="AG66" s="123">
        <f t="shared" si="28"/>
        <v>1</v>
      </c>
      <c r="AH66" s="123">
        <f t="shared" si="28"/>
        <v>3</v>
      </c>
      <c r="AI66" s="123">
        <f>MAX(AI62:AI65)+1</f>
        <v>10</v>
      </c>
      <c r="AL66" s="123">
        <f>MIN(AL62:AL65)</f>
        <v>-4</v>
      </c>
      <c r="AM66" s="123">
        <f>MAX(AM62:AM65)+1</f>
        <v>13</v>
      </c>
      <c r="AN66" s="123">
        <f>MAX(AN62:AN65)+1</f>
        <v>10</v>
      </c>
      <c r="AO66" s="123">
        <f>MAX(AO62:AO65)+1</f>
        <v>10.00655737704918</v>
      </c>
      <c r="AP66" s="123">
        <f>MAX(AP62:AP65)+1</f>
        <v>90065584.902198464</v>
      </c>
      <c r="AT66" s="126">
        <f>MAX(AT62:AT65)-MIN(AT62:AT65)+1</f>
        <v>2</v>
      </c>
      <c r="AU66" s="126">
        <f>MAX(AU62:AU65)-MIN(AU62:AU65)+1</f>
        <v>1</v>
      </c>
      <c r="AV66" s="126">
        <f>MAX(AV62:AV65)-MIN(AV62:AV65)+1</f>
        <v>3</v>
      </c>
      <c r="AW66" s="126">
        <f>MAX(AW62:AW65)-MIN(AW62:AW65)+1</f>
        <v>4</v>
      </c>
      <c r="AY66" s="126">
        <f>MAX(AY62:AY65)-MIN(AY62:AY65)+1</f>
        <v>3</v>
      </c>
      <c r="AZ66" s="126">
        <f>MAX(AZ62:AZ65)+1</f>
        <v>508.33333333333337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Switzerland</v>
      </c>
      <c r="BM66" s="61">
        <v>2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2000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Austria</v>
      </c>
      <c r="BM67" s="62">
        <v>1</v>
      </c>
      <c r="BN67" s="64"/>
      <c r="BO67" s="27"/>
      <c r="BP67" s="113">
        <f>IF(BP66="","",BM67*1000+BN67*10+BO67)</f>
        <v>1000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1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8</v>
      </c>
      <c r="AJ68" s="123">
        <f>SUMIF($E$7:$E$78,$AE68,$G$7:$G$78) + SUMIF($H$7:$H$78,$AE68,$F$7:$F$78)</f>
        <v>2</v>
      </c>
      <c r="AL68" s="123">
        <f>AI68-AJ68</f>
        <v>6</v>
      </c>
      <c r="AM68" s="123">
        <f>AL68-AL72</f>
        <v>11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90000010.056437477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3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3000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France</v>
      </c>
      <c r="CL68" s="153"/>
      <c r="CM68" s="153"/>
      <c r="CN68" s="153"/>
      <c r="CO68" s="153"/>
      <c r="CP68" s="153"/>
      <c r="CQ68" s="153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0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8 - 2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0</v>
      </c>
      <c r="AH69" s="123">
        <f>COUNTIF($S$7:$T$78,"=" &amp; AE69 &amp; "_lose")</f>
        <v>3</v>
      </c>
      <c r="AI69" s="123">
        <f>SUMIF($E$7:$E$78,$AE69,$F$7:$F$78) + SUMIF($H$7:$H$78,$AE69,$G$7:$G$78)</f>
        <v>0</v>
      </c>
      <c r="AJ69" s="123">
        <f>SUMIF($E$7:$E$78,$AE69,$G$7:$G$78) + SUMIF($H$7:$H$78,$AE69,$F$7:$F$78)</f>
        <v>5</v>
      </c>
      <c r="AL69" s="123">
        <f>AI69-AJ69</f>
        <v>-5</v>
      </c>
      <c r="AM69" s="123">
        <f>AL69-AL72</f>
        <v>0</v>
      </c>
      <c r="AN69" s="123">
        <f>AF69*3+AG69</f>
        <v>0</v>
      </c>
      <c r="AO69" s="123">
        <f>AN69/AN72*10+BA69</f>
        <v>0</v>
      </c>
      <c r="AP69" s="123">
        <f>AO69*10000000+BI69*100+AM69/AM72*10+AI69/AI72*1++IF(AQ69=0,ROW(),AQ69)/2000000</f>
        <v>7.391749999999999E-4</v>
      </c>
      <c r="AQ69" s="126">
        <f>VLOOKUP(AE69,db_fifarank,2,FALSE)</f>
        <v>1478.35</v>
      </c>
      <c r="AR69" s="125">
        <f>AP69/AP72</f>
        <v>8.213054546587509E-12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0</v>
      </c>
      <c r="BU69" s="64"/>
      <c r="BV69" s="27"/>
      <c r="BW69" s="112">
        <f>IF(BW68="","",BT69*1000+BU69*10+BV69)</f>
        <v>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1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2 - 2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1</v>
      </c>
      <c r="AG70" s="123">
        <f>COUNTIF($S$7:$T$78,"=" &amp; AE70 &amp; "_draw")</f>
        <v>0</v>
      </c>
      <c r="AH70" s="123">
        <f>COUNTIF($S$7:$T$78,"=" &amp; AE70 &amp; "_lose")</f>
        <v>2</v>
      </c>
      <c r="AI70" s="123">
        <f>SUMIF($E$7:$E$78,$AE70,$F$7:$F$78) + SUMIF($H$7:$H$78,$AE70,$G$7:$G$78)</f>
        <v>3</v>
      </c>
      <c r="AJ70" s="123">
        <f>SUMIF($E$7:$E$78,$AE70,$G$7:$G$78) + SUMIF($H$7:$H$78,$AE70,$F$7:$F$78)</f>
        <v>4</v>
      </c>
      <c r="AL70" s="123">
        <f>AI70-AJ70</f>
        <v>-1</v>
      </c>
      <c r="AM70" s="123">
        <f>AL70-AL72</f>
        <v>4</v>
      </c>
      <c r="AN70" s="123">
        <f>AF70*3+AG70</f>
        <v>3</v>
      </c>
      <c r="AO70" s="123">
        <f>AN70/AN72*10+BA70</f>
        <v>3</v>
      </c>
      <c r="AP70" s="123">
        <f>AO70*10000000+BI70*100+AM70/AM72*10+AI70/AI72*1++IF(AQ70=0,ROW(),AQ70)/2000000</f>
        <v>30000003.667399336</v>
      </c>
      <c r="AQ70" s="126">
        <f>VLOOKUP(AE70,db_fifarank,2,FALSE)</f>
        <v>1465.34</v>
      </c>
      <c r="AR70" s="125">
        <f>AP70/AP72</f>
        <v>0.33333333313244645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Portugal</v>
      </c>
      <c r="BM70" s="61">
        <v>3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3000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0</v>
      </c>
      <c r="G71" s="20">
        <v>2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3 - 4</v>
      </c>
      <c r="P71" s="34">
        <f>L71*3+M71</f>
        <v>3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2</v>
      </c>
      <c r="AJ71" s="123">
        <f>SUMIF($E$7:$E$78,$AE71,$G$7:$G$78) + SUMIF($H$7:$H$78,$AE71,$F$7:$F$78)</f>
        <v>2</v>
      </c>
      <c r="AL71" s="123">
        <f>AI71-AJ71</f>
        <v>0</v>
      </c>
      <c r="AM71" s="123">
        <f>AL71-AL72</f>
        <v>5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60000004.38973543</v>
      </c>
      <c r="AQ71" s="126">
        <f>VLOOKUP(AE71,db_fifarank,2,FALSE)</f>
        <v>1693.09</v>
      </c>
      <c r="AR71" s="125">
        <f>AP71/AP72</f>
        <v>0.66666663354197198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Ghana</v>
      </c>
      <c r="BM71" s="62">
        <v>2</v>
      </c>
      <c r="BN71" s="64"/>
      <c r="BO71" s="27"/>
      <c r="BP71" s="112">
        <f>IF(BP70="","",BM71*1000+BN71*10+BO71)</f>
        <v>2000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0 - 5</v>
      </c>
      <c r="P72" s="37">
        <f>L72*3+M72</f>
        <v>0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1</v>
      </c>
      <c r="AH72" s="123">
        <f t="shared" si="35"/>
        <v>4</v>
      </c>
      <c r="AI72" s="123">
        <f>MAX(AI68:AI71)+1</f>
        <v>9</v>
      </c>
      <c r="AL72" s="123">
        <f>MIN(AL68:AL71)</f>
        <v>-5</v>
      </c>
      <c r="AM72" s="123">
        <f>MAX(AM68:AM71)+1</f>
        <v>12</v>
      </c>
      <c r="AN72" s="123">
        <f>MAX(AN68:AN71)+1</f>
        <v>10</v>
      </c>
      <c r="AO72" s="123">
        <f>MAX(AO68:AO71)+1</f>
        <v>10</v>
      </c>
      <c r="AP72" s="123">
        <f>MAX(AP68:AP71)+1</f>
        <v>90000011.056437477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1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3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2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0</v>
      </c>
      <c r="AH74" s="123">
        <f>COUNTIF($S$7:$T$78,"=" &amp; AE74 &amp; "_lose")</f>
        <v>1</v>
      </c>
      <c r="AI74" s="123">
        <f>SUMIF($E$7:$E$78,$AE74,$F$7:$F$78) + SUMIF($H$7:$H$78,$AE74,$G$7:$G$78)</f>
        <v>8</v>
      </c>
      <c r="AJ74" s="123">
        <f>SUMIF($E$7:$E$78,$AE74,$G$7:$G$78) + SUMIF($H$7:$H$78,$AE74,$F$7:$F$78)</f>
        <v>5</v>
      </c>
      <c r="AL74" s="123">
        <f>AI74-AJ74</f>
        <v>3</v>
      </c>
      <c r="AM74" s="123">
        <f>AL74-AL78</f>
        <v>9</v>
      </c>
      <c r="AN74" s="123">
        <f>AF74*3+AG74</f>
        <v>6</v>
      </c>
      <c r="AO74" s="123">
        <f>AN74/AN78*10+BA74</f>
        <v>6</v>
      </c>
      <c r="AP74" s="123">
        <f>AO74*10000000+BI74*100+AM74/AM78*10+AI74/AI78*1++IF(AQ74=0,ROW(),AQ74)/2000000</f>
        <v>60000007.651262634</v>
      </c>
      <c r="AQ74" s="126">
        <f>VLOOKUP(AE74,db_fifarank,2,FALSE)</f>
        <v>1825.97</v>
      </c>
      <c r="AR74" s="125">
        <f>AP74/AP78</f>
        <v>0.66666666915685358</v>
      </c>
      <c r="AS74" s="125" t="str">
        <f>IF(SUM(AF74:AH77)=12,J75,"1L")</f>
        <v>Croatia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2</v>
      </c>
      <c r="G75" s="20">
        <v>1</v>
      </c>
      <c r="H75" s="80" t="str">
        <f>AE64</f>
        <v>Austria</v>
      </c>
      <c r="I75" s="69"/>
      <c r="J75" s="30" t="str">
        <f>VLOOKUP(1,AD74:AN77,2,FALSE)</f>
        <v>Croatia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10 - 4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Algeria_win</v>
      </c>
      <c r="T75" s="127" t="str">
        <f t="shared" si="20"/>
        <v>Austria_lose</v>
      </c>
      <c r="U75" s="123">
        <f t="shared" si="31"/>
        <v>1</v>
      </c>
      <c r="V75" s="123">
        <f t="shared" si="21"/>
        <v>2</v>
      </c>
      <c r="W75" s="123">
        <f t="shared" si="22"/>
        <v>1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1</v>
      </c>
      <c r="AD75" s="123">
        <f>COUNTIF(AR74:AR77,CONCATENATE("&gt;=",AR75))</f>
        <v>1</v>
      </c>
      <c r="AE75" s="124" t="str">
        <f>VLOOKUP("Croatia",T,lang,FALSE)</f>
        <v>Croatia</v>
      </c>
      <c r="AF75" s="123">
        <f>COUNTIF($S$7:$T$78,"=" &amp; AE75 &amp; "_win")</f>
        <v>3</v>
      </c>
      <c r="AG75" s="123">
        <f>COUNTIF($S$7:$T$78,"=" &amp; AE75 &amp; "_draw")</f>
        <v>0</v>
      </c>
      <c r="AH75" s="123">
        <f>COUNTIF($S$7:$T$78,"=" &amp; AE75 &amp; "_lose")</f>
        <v>0</v>
      </c>
      <c r="AI75" s="123">
        <f>SUMIF($E$7:$E$78,$AE75,$F$7:$F$78) + SUMIF($H$7:$H$78,$AE75,$G$7:$G$78)</f>
        <v>10</v>
      </c>
      <c r="AJ75" s="123">
        <f>SUMIF($E$7:$E$78,$AE75,$G$7:$G$78) + SUMIF($H$7:$H$78,$AE75,$F$7:$F$78)</f>
        <v>4</v>
      </c>
      <c r="AL75" s="123">
        <f>AI75-AJ75</f>
        <v>6</v>
      </c>
      <c r="AM75" s="123">
        <f>AL75-AL78</f>
        <v>12</v>
      </c>
      <c r="AN75" s="123">
        <f>AF75*3+AG75</f>
        <v>9</v>
      </c>
      <c r="AO75" s="123">
        <f>AN75/AN78*10+BA75</f>
        <v>9</v>
      </c>
      <c r="AP75" s="123">
        <f>AO75*10000000+BI75*100+AM75/AM78*10+AI75/AI78*1++IF(AQ75=0,ROW(),AQ75)/2000000</f>
        <v>90000010.140718669</v>
      </c>
      <c r="AQ75" s="126">
        <f>VLOOKUP(AE75,db_fifarank,2,FALSE)</f>
        <v>1717.07</v>
      </c>
      <c r="AR75" s="125">
        <f>AP75/AP78</f>
        <v>0.9999999888888903</v>
      </c>
      <c r="AS75" s="125" t="str">
        <f>IF(SUM(AF74:AH77)=12,J76,"2L")</f>
        <v>England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5</v>
      </c>
      <c r="H76" s="80" t="str">
        <f>AE62</f>
        <v>Argentina</v>
      </c>
      <c r="I76" s="69"/>
      <c r="J76" s="33" t="str">
        <f>VLOOKUP(2,AD74:AN77,2,FALSE)</f>
        <v>England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8 - 5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5</v>
      </c>
      <c r="AJ76" s="123">
        <f>SUMIF($E$7:$E$78,$AE76,$G$7:$G$78) + SUMIF($H$7:$H$78,$AE76,$F$7:$F$78)</f>
        <v>8</v>
      </c>
      <c r="AL76" s="123">
        <f>AI76-AJ76</f>
        <v>-3</v>
      </c>
      <c r="AM76" s="123">
        <f>AL76-AL78</f>
        <v>3</v>
      </c>
      <c r="AN76" s="123">
        <f>AF76*3+AG76</f>
        <v>3</v>
      </c>
      <c r="AO76" s="123">
        <f>AN76/AN78*10+BA76</f>
        <v>3</v>
      </c>
      <c r="AP76" s="123">
        <f>AO76*10000000+BI76*100+AM76/AM78*10+AI76/AI78*1++IF(AQ76=0,ROW(),AQ76)/2000000</f>
        <v>30000002.762910917</v>
      </c>
      <c r="AQ76" s="126">
        <f>VLOOKUP(AE76,db_fifarank,2,FALSE)</f>
        <v>1346.31</v>
      </c>
      <c r="AR76" s="125">
        <f>AP76/AP78</f>
        <v>0.33333332277042382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0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5 - 8</v>
      </c>
      <c r="P77" s="34">
        <f>L77*3+M77</f>
        <v>3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4</v>
      </c>
      <c r="AJ77" s="123">
        <f>SUMIF($E$7:$E$78,$AE77,$G$7:$G$78) + SUMIF($H$7:$H$78,$AE77,$F$7:$F$78)</f>
        <v>10</v>
      </c>
      <c r="AL77" s="123">
        <f>AI77-AJ77</f>
        <v>-6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0.36440668363636364</v>
      </c>
      <c r="AQ77" s="126">
        <f>VLOOKUP(AE77,db_fifarank,2,FALSE)</f>
        <v>1540.64</v>
      </c>
      <c r="AR77" s="125">
        <f>AP77/AP78</f>
        <v>4.0489626503112202E-9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0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4 - 10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Congo_lose</v>
      </c>
      <c r="T78" s="127" t="str">
        <f t="shared" si="20"/>
        <v>Uzbekistan_win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-1</v>
      </c>
      <c r="AF78" s="123">
        <f t="shared" ref="AF78:AH78" si="36">MAX(AF74:AF77)-MIN(AF74:AF77)+1</f>
        <v>4</v>
      </c>
      <c r="AG78" s="123">
        <f t="shared" si="36"/>
        <v>1</v>
      </c>
      <c r="AH78" s="123">
        <f t="shared" si="36"/>
        <v>4</v>
      </c>
      <c r="AI78" s="123">
        <f>MAX(AI74:AI77)+1</f>
        <v>11</v>
      </c>
      <c r="AL78" s="123">
        <f>MIN(AL74:AL77)</f>
        <v>-6</v>
      </c>
      <c r="AM78" s="123">
        <f>MAX(AM74:AM77)+1</f>
        <v>13</v>
      </c>
      <c r="AN78" s="123">
        <f>MAX(AN74:AN77)+1</f>
        <v>10</v>
      </c>
      <c r="AO78" s="123">
        <f>MAX(AO74:AO77)+1</f>
        <v>10</v>
      </c>
      <c r="AP78" s="123">
        <f>MAX(AP74:AP77)+1</f>
        <v>90000011.140718669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2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4</v>
      </c>
      <c r="AJ80" s="123">
        <f>VLOOKUP($AE80,$AE$8:$AQ$78,6,FALSE)</f>
        <v>4</v>
      </c>
      <c r="AK80" s="123" t="s">
        <v>3180</v>
      </c>
      <c r="AL80" s="123">
        <f>VLOOKUP($AE80,$AE$8:$AQ$78,8,FALSE)</f>
        <v>0</v>
      </c>
      <c r="AM80" s="123">
        <f>AL80-$AL$92</f>
        <v>4</v>
      </c>
      <c r="AN80" s="123">
        <f>VLOOKUP($AE80,$AE$8:$AQ$78,10,FALSE)</f>
        <v>4</v>
      </c>
      <c r="AP80" s="123">
        <f>AN80/AN92*10000+AM80/AM92*1000+AI80/AI92*100+IF(AQ80=0,ROW(),AQ80)/2000000</f>
        <v>8628.5721792614277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Ⓒ Scotland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6 - 4</v>
      </c>
      <c r="P81" s="98">
        <f>L81*3+M81</f>
        <v>4</v>
      </c>
      <c r="AD81" s="123">
        <f t="shared" ref="AD81:AD91" si="38">COUNTIF($AP$80:$AP$91,CONCATENATE("&gt;=",AP81))</f>
        <v>3</v>
      </c>
      <c r="AE81" s="124" t="str">
        <f>J17</f>
        <v>Qatar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5</v>
      </c>
      <c r="AJ81" s="123">
        <f t="shared" ref="AJ81:AJ90" si="42">VLOOKUP($AE81,$AE$8:$AQ$78,6,FALSE)</f>
        <v>5</v>
      </c>
      <c r="AK81" s="123" t="s">
        <v>3181</v>
      </c>
      <c r="AL81" s="123">
        <f t="shared" ref="AL81:AL90" si="43">VLOOKUP($AE81,$AE$8:$AQ$78,8,FALSE)</f>
        <v>0</v>
      </c>
      <c r="AM81" s="123">
        <f t="shared" ref="AM81:AM91" si="44">AL81-$AL$92</f>
        <v>4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6642.8578703371431</v>
      </c>
      <c r="AQ81" s="126">
        <f t="shared" si="37"/>
        <v>1454.96</v>
      </c>
      <c r="AR81" s="125" t="str">
        <f>AR80&amp;IF(AD81&lt;=8,RIGHT(AK81,1),"")</f>
        <v>AB</v>
      </c>
      <c r="AS81" s="129" t="str">
        <f t="shared" ref="AS81:AS91" si="46">IF(AD81&lt;=8,AE81,"")</f>
        <v>Qatar</v>
      </c>
      <c r="AT81" s="130" t="str">
        <f>"Ⓑ "&amp;AE81</f>
        <v>Ⓑ Qatar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Ⓐ Czech Republic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4 - 4</v>
      </c>
      <c r="P82" s="101">
        <f t="shared" ref="P82:P92" si="48">L82*3+M82</f>
        <v>4</v>
      </c>
      <c r="AD82" s="123">
        <f t="shared" si="38"/>
        <v>1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1</v>
      </c>
      <c r="AH82" s="123">
        <f t="shared" si="40"/>
        <v>1</v>
      </c>
      <c r="AI82" s="123">
        <f t="shared" si="41"/>
        <v>6</v>
      </c>
      <c r="AJ82" s="123">
        <f t="shared" si="42"/>
        <v>4</v>
      </c>
      <c r="AK82" s="123" t="s">
        <v>3182</v>
      </c>
      <c r="AL82" s="123">
        <f t="shared" si="43"/>
        <v>2</v>
      </c>
      <c r="AM82" s="123">
        <f t="shared" si="44"/>
        <v>6</v>
      </c>
      <c r="AN82" s="123">
        <f t="shared" si="45"/>
        <v>4</v>
      </c>
      <c r="AP82" s="123">
        <f>AN82/AN92*10000+AM82/AM92*1000+AI82/AI92*100+IF(AQ82=0,ROW(),AQ82)/2000000</f>
        <v>8942.8578920321434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Ⓑ Qatar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5 - 5</v>
      </c>
      <c r="P83" s="101">
        <f t="shared" si="48"/>
        <v>3</v>
      </c>
      <c r="AD83" s="123">
        <f t="shared" si="38"/>
        <v>9</v>
      </c>
      <c r="AE83" s="124" t="str">
        <f>J29</f>
        <v>Paraguay</v>
      </c>
      <c r="AF83" s="123">
        <f t="shared" si="39"/>
        <v>0</v>
      </c>
      <c r="AG83" s="123">
        <f t="shared" si="49"/>
        <v>2</v>
      </c>
      <c r="AH83" s="123">
        <f t="shared" si="40"/>
        <v>1</v>
      </c>
      <c r="AI83" s="123">
        <f t="shared" si="41"/>
        <v>5</v>
      </c>
      <c r="AJ83" s="123">
        <f t="shared" si="42"/>
        <v>6</v>
      </c>
      <c r="AK83" s="123" t="s">
        <v>3184</v>
      </c>
      <c r="AL83" s="123">
        <f t="shared" si="43"/>
        <v>-1</v>
      </c>
      <c r="AM83" s="123">
        <f t="shared" si="44"/>
        <v>3</v>
      </c>
      <c r="AN83" s="123">
        <f t="shared" si="45"/>
        <v>2</v>
      </c>
      <c r="AP83" s="123">
        <f>AN83/AN92*10000+AM83/AM92*1000+AI83/AI92*100+IF(AQ83=0,ROW(),AQ83)/2000000</f>
        <v>4500.0007517499998</v>
      </c>
      <c r="AQ83" s="126">
        <f t="shared" si="37"/>
        <v>1503.5</v>
      </c>
      <c r="AR83" s="125" t="str">
        <f t="shared" si="50"/>
        <v>ABC</v>
      </c>
      <c r="AS83" s="129" t="str">
        <f t="shared" si="46"/>
        <v/>
      </c>
      <c r="AT83" s="130" t="str">
        <f>"Ⓓ "&amp;AE83</f>
        <v>Ⓓ Paraguay</v>
      </c>
    </row>
    <row r="84" spans="1:46" ht="15" customHeight="1" x14ac:dyDescent="0.2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Ⓗ Saudi Arabia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5 - 6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12</v>
      </c>
      <c r="AE84" s="124" t="str">
        <f>J35</f>
        <v>Ivory Coast</v>
      </c>
      <c r="AF84" s="123">
        <f t="shared" si="39"/>
        <v>0</v>
      </c>
      <c r="AG84" s="123">
        <f t="shared" si="49"/>
        <v>1</v>
      </c>
      <c r="AH84" s="123">
        <f t="shared" si="40"/>
        <v>2</v>
      </c>
      <c r="AI84" s="123">
        <f t="shared" si="41"/>
        <v>1</v>
      </c>
      <c r="AJ84" s="123">
        <f t="shared" si="42"/>
        <v>5</v>
      </c>
      <c r="AK84" s="123" t="s">
        <v>3185</v>
      </c>
      <c r="AL84" s="123">
        <f t="shared" si="43"/>
        <v>-4</v>
      </c>
      <c r="AM84" s="123">
        <f t="shared" si="44"/>
        <v>0</v>
      </c>
      <c r="AN84" s="123">
        <f t="shared" si="45"/>
        <v>1</v>
      </c>
      <c r="AP84" s="123">
        <f>AN84/AN92*10000+AM84/AM92*1000+AI84/AI92*100+IF(AQ84=0,ROW(),AQ84)/2000000</f>
        <v>2014.2864807757142</v>
      </c>
      <c r="AQ84" s="126">
        <f t="shared" si="37"/>
        <v>1532.98</v>
      </c>
      <c r="AR84" s="125" t="str">
        <f t="shared" si="50"/>
        <v>ABC</v>
      </c>
      <c r="AS84" s="129" t="str">
        <f t="shared" si="46"/>
        <v/>
      </c>
      <c r="AT84" s="130" t="str">
        <f>"Ⓔ "&amp;AE84</f>
        <v>Ⓔ Ivory Coast</v>
      </c>
    </row>
    <row r="85" spans="1:46" ht="15" customHeight="1" x14ac:dyDescent="0.2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Ⓘ Norway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4 - 5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11</v>
      </c>
      <c r="AE85" s="124" t="str">
        <f>J41</f>
        <v>Sweden</v>
      </c>
      <c r="AF85" s="123">
        <f t="shared" si="39"/>
        <v>0</v>
      </c>
      <c r="AG85" s="123">
        <f t="shared" si="49"/>
        <v>1</v>
      </c>
      <c r="AH85" s="123">
        <f t="shared" si="40"/>
        <v>2</v>
      </c>
      <c r="AI85" s="123">
        <f t="shared" si="41"/>
        <v>3</v>
      </c>
      <c r="AJ85" s="123">
        <f t="shared" si="42"/>
        <v>5</v>
      </c>
      <c r="AK85" s="123" t="s">
        <v>3186</v>
      </c>
      <c r="AL85" s="123">
        <f t="shared" si="43"/>
        <v>-2</v>
      </c>
      <c r="AM85" s="123">
        <f t="shared" si="44"/>
        <v>2</v>
      </c>
      <c r="AN85" s="123">
        <f t="shared" si="45"/>
        <v>1</v>
      </c>
      <c r="AP85" s="123">
        <f>AN85/AN92*10000+AM85/AM92*1000+AI85/AI92*100+IF(AQ85=0,ROW(),AQ85)/2000000</f>
        <v>2328.5721859564283</v>
      </c>
      <c r="AQ85" s="126">
        <f t="shared" si="37"/>
        <v>1514.77</v>
      </c>
      <c r="AR85" s="125" t="str">
        <f t="shared" si="50"/>
        <v>ABC</v>
      </c>
      <c r="AS85" s="129" t="str">
        <f t="shared" si="46"/>
        <v/>
      </c>
      <c r="AT85" s="130" t="str">
        <f>"Ⓕ "&amp;AE85</f>
        <v>Ⓕ Sweden</v>
      </c>
    </row>
    <row r="86" spans="1:46" ht="15" customHeight="1" x14ac:dyDescent="0.2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Ⓙ Austria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3 - 4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England</v>
      </c>
      <c r="T86" s="127" t="str" cm="1">
        <f t="array" ref="T86">IF(OR(S86="",S86="draw"),INDEX(T,88,lang),S86)</f>
        <v>England</v>
      </c>
      <c r="AD86" s="123">
        <f t="shared" si="38"/>
        <v>10</v>
      </c>
      <c r="AE86" s="124" t="str">
        <f>J47</f>
        <v>Iran</v>
      </c>
      <c r="AF86" s="123">
        <f t="shared" si="39"/>
        <v>0</v>
      </c>
      <c r="AG86" s="123">
        <f t="shared" si="49"/>
        <v>2</v>
      </c>
      <c r="AH86" s="123">
        <f t="shared" si="40"/>
        <v>1</v>
      </c>
      <c r="AI86" s="123">
        <f t="shared" si="41"/>
        <v>0</v>
      </c>
      <c r="AJ86" s="123">
        <f t="shared" si="42"/>
        <v>2</v>
      </c>
      <c r="AK86" s="123" t="s">
        <v>3187</v>
      </c>
      <c r="AL86" s="123">
        <f t="shared" si="43"/>
        <v>-2</v>
      </c>
      <c r="AM86" s="123">
        <f t="shared" si="44"/>
        <v>2</v>
      </c>
      <c r="AN86" s="123">
        <f t="shared" si="45"/>
        <v>2</v>
      </c>
      <c r="AP86" s="123">
        <f>AN86/AN92*10000+AM86/AM92*1000+AI86/AI92*100+IF(AQ86=0,ROW(),AQ86)/2000000</f>
        <v>4285.7150933642852</v>
      </c>
      <c r="AQ86" s="126">
        <f t="shared" si="37"/>
        <v>1615.3</v>
      </c>
      <c r="AR86" s="125" t="str">
        <f t="shared" si="50"/>
        <v>ABC</v>
      </c>
      <c r="AS86" s="129" t="str">
        <f t="shared" si="46"/>
        <v/>
      </c>
      <c r="AT86" s="130" t="str">
        <f>"Ⓖ "&amp;AE86</f>
        <v>Ⓖ Iran</v>
      </c>
    </row>
    <row r="87" spans="1:46" ht="15" customHeight="1" x14ac:dyDescent="0.2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Ⓚ Uzbekistan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3 - 4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4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5</v>
      </c>
      <c r="AJ87" s="123">
        <f t="shared" si="42"/>
        <v>6</v>
      </c>
      <c r="AK87" s="123" t="s">
        <v>3188</v>
      </c>
      <c r="AL87" s="123">
        <f t="shared" si="43"/>
        <v>-1</v>
      </c>
      <c r="AM87" s="123">
        <f t="shared" si="44"/>
        <v>3</v>
      </c>
      <c r="AN87" s="123">
        <f t="shared" si="45"/>
        <v>3</v>
      </c>
      <c r="AP87" s="123">
        <f>AN87/AN92*10000+AM87/AM92*1000+AI87/AI92*100+IF(AQ87=0,ROW(),AQ87)/2000000</f>
        <v>6500.0007107150004</v>
      </c>
      <c r="AQ87" s="126">
        <f t="shared" si="37"/>
        <v>1421.43</v>
      </c>
      <c r="AR87" s="125" t="str">
        <f t="shared" si="50"/>
        <v>ABCH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Ⓛ Ghana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5 - 8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Canada</v>
      </c>
      <c r="T88" s="127" t="str" cm="1">
        <f t="array" ref="T88">IF(OR(S88="",S88="draw"),INDEX(T,90,lang),S88)</f>
        <v>Canada</v>
      </c>
      <c r="AD88" s="123">
        <f t="shared" si="38"/>
        <v>5</v>
      </c>
      <c r="AE88" s="124" t="str">
        <f>J59</f>
        <v>Norway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4</v>
      </c>
      <c r="AJ88" s="123">
        <f t="shared" si="42"/>
        <v>5</v>
      </c>
      <c r="AK88" s="123" t="s">
        <v>3189</v>
      </c>
      <c r="AL88" s="123">
        <f t="shared" si="43"/>
        <v>-1</v>
      </c>
      <c r="AM88" s="123">
        <f t="shared" si="44"/>
        <v>3</v>
      </c>
      <c r="AN88" s="123">
        <f t="shared" si="45"/>
        <v>3</v>
      </c>
      <c r="AP88" s="123">
        <f>AN88/AN92*10000+AM88/AM92*1000+AI88/AI92*100+IF(AQ88=0,ROW(),AQ88)/2000000</f>
        <v>6485.7150611842853</v>
      </c>
      <c r="AQ88" s="126">
        <f t="shared" si="37"/>
        <v>1550.94</v>
      </c>
      <c r="AR88" s="125" t="str">
        <f t="shared" si="50"/>
        <v>ABCHI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Ⓓ Paraguay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5 - 6</v>
      </c>
      <c r="P89" s="104">
        <f t="shared" si="48"/>
        <v>2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6</v>
      </c>
      <c r="AE89" s="124" t="str">
        <f>J65</f>
        <v>Austria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3</v>
      </c>
      <c r="AJ89" s="123">
        <f t="shared" si="42"/>
        <v>4</v>
      </c>
      <c r="AK89" s="123" t="s">
        <v>3190</v>
      </c>
      <c r="AL89" s="123">
        <f t="shared" si="43"/>
        <v>-1</v>
      </c>
      <c r="AM89" s="123">
        <f t="shared" si="44"/>
        <v>3</v>
      </c>
      <c r="AN89" s="123">
        <f t="shared" si="45"/>
        <v>3</v>
      </c>
      <c r="AP89" s="123">
        <f>AN89/AN92*10000+AM89/AM92*1000+AI89/AI92*100+IF(AQ89=0,ROW(),AQ89)/2000000</f>
        <v>6471.4293681535719</v>
      </c>
      <c r="AQ89" s="126">
        <f t="shared" si="37"/>
        <v>1593.45</v>
      </c>
      <c r="AR89" s="125" t="str">
        <f t="shared" si="50"/>
        <v>ABCHIJ</v>
      </c>
      <c r="AS89" s="129" t="str">
        <f t="shared" si="46"/>
        <v>Austria</v>
      </c>
      <c r="AT89" s="130" t="str">
        <f>"Ⓙ "&amp;AE89</f>
        <v>Ⓙ Austria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Ⓖ Iran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0 - 2</v>
      </c>
      <c r="P90" s="104">
        <f t="shared" si="48"/>
        <v>2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7</v>
      </c>
      <c r="AE90" s="124" t="str">
        <f>J71</f>
        <v>Uzbekistan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3</v>
      </c>
      <c r="AJ90" s="123">
        <f t="shared" si="42"/>
        <v>4</v>
      </c>
      <c r="AK90" s="123" t="s">
        <v>3191</v>
      </c>
      <c r="AL90" s="123">
        <f t="shared" si="43"/>
        <v>-1</v>
      </c>
      <c r="AM90" s="123">
        <f t="shared" si="44"/>
        <v>3</v>
      </c>
      <c r="AN90" s="123">
        <f t="shared" si="45"/>
        <v>3</v>
      </c>
      <c r="AP90" s="123">
        <f>AN90/AN92*10000+AM90/AM92*1000+AI90/AI92*100+IF(AQ90=0,ROW(),AQ90)/2000000</f>
        <v>6471.4293040985713</v>
      </c>
      <c r="AQ90" s="126">
        <f t="shared" si="37"/>
        <v>1465.34</v>
      </c>
      <c r="AR90" s="125" t="str">
        <f t="shared" si="50"/>
        <v>ABCHIJK</v>
      </c>
      <c r="AS90" s="129" t="str">
        <f t="shared" si="46"/>
        <v>Uzbekistan</v>
      </c>
      <c r="AT90" s="130" t="str">
        <f>"Ⓚ "&amp;AE90</f>
        <v>Ⓚ Uzbekistan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Ⓕ Sweden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3 - 5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Czech Republic</v>
      </c>
      <c r="T91" s="127" t="str" cm="1">
        <f t="array" ref="T91">IF(OR(S91="",S91="draw"),INDEX(T,93,lang),S91)</f>
        <v>Czech Republic</v>
      </c>
      <c r="AD91" s="123">
        <f t="shared" si="38"/>
        <v>8</v>
      </c>
      <c r="AE91" s="124" t="str">
        <f>J77</f>
        <v>Ghana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5</v>
      </c>
      <c r="AJ91" s="123">
        <f>VLOOKUP($AE91,$AE$8:$AQ$78,6,FALSE)</f>
        <v>8</v>
      </c>
      <c r="AK91" s="123" t="s">
        <v>3192</v>
      </c>
      <c r="AL91" s="123">
        <f>VLOOKUP($AE91,$AE$8:$AQ$78,8,FALSE)</f>
        <v>-3</v>
      </c>
      <c r="AM91" s="123">
        <f t="shared" si="44"/>
        <v>1</v>
      </c>
      <c r="AN91" s="123">
        <f>VLOOKUP($AE91,$AE$8:$AQ$78,10,FALSE)</f>
        <v>3</v>
      </c>
      <c r="AP91" s="123">
        <f>AN91/AN92*10000+AM91/AM92*1000+AI91/AI92*100+IF(AQ91=0,ROW(),AQ91)/2000000</f>
        <v>6214.2863874407149</v>
      </c>
      <c r="AQ91" s="126">
        <f t="shared" si="37"/>
        <v>1346.31</v>
      </c>
      <c r="AR91" s="125" t="str">
        <f t="shared" si="50"/>
        <v>ABCHIJKL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Ⓔ Ivory Coast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1 - 5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7</v>
      </c>
      <c r="AJ92" s="123">
        <f>MAX(AJ80:AJ91)+1</f>
        <v>9</v>
      </c>
      <c r="AL92" s="123">
        <f>MIN(AL80:AL91)</f>
        <v>-4</v>
      </c>
      <c r="AM92" s="123">
        <f>MAX(AM80:AM91)+1</f>
        <v>7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2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United States</v>
      </c>
      <c r="T98" s="127" t="str" cm="1">
        <f t="array" ref="T98">IF(OR(S98="",S98="draw"),INDEX(T,97,lang),S98)</f>
        <v>United States</v>
      </c>
    </row>
    <row r="102" spans="18:29" x14ac:dyDescent="0.2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2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United States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United States</v>
      </c>
    </row>
    <row r="107" spans="18:29" x14ac:dyDescent="0.2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>
      <formula1>"0,1,2,3,4,5,6,7,8,9,10,11,12,13,14,15,16,17,18,19,20"</formula1>
    </dataValidation>
    <dataValidation type="list" allowBlank="1" showInputMessage="1" showErrorMessage="1" sqref="F7:G78">
      <formula1>"0,1,2,3,4,5,6,7,8,9"</formula1>
    </dataValidation>
  </dataValidations>
  <hyperlinks>
    <hyperlink ref="O3" location="Settings!C4" tooltip="Settings" display="Settings!C4"/>
    <hyperlink ref="J5:P5" r:id="rId1" tooltip="Excel Schedule" display="Home Page: www.excely.com"/>
    <hyperlink ref="J5:P6" r:id="rId2" tooltip="World Cup 2026 Schedule in Excel" display="Home Page: www.excely.com"/>
    <hyperlink ref="C83:G88" r:id="rId3" tooltip="World Cup 2026 Interactive Schedule Online - www.wallchart.io" display="http://www.wallchart.io/football/world-cup-2026.html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00"/>
  <sheetViews>
    <sheetView showGridLines="0" workbookViewId="0">
      <selection activeCell="D6" sqref="D6"/>
    </sheetView>
  </sheetViews>
  <sheetFormatPr baseColWidth="10"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370</v>
      </c>
      <c r="C3" s="121" t="str">
        <f>'2026 World Cup'!AR91</f>
        <v>ABCHIJKL</v>
      </c>
      <c r="D3" s="121" t="str">
        <f>VLOOKUP($C3,$C$6:$K$500,2,FALSE)</f>
        <v>3I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3H</v>
      </c>
      <c r="J3" s="121" t="str">
        <f>VLOOKUP($C3,$C$6:$K$500,8,FALSE)</f>
        <v>3L</v>
      </c>
      <c r="K3" s="122" t="str">
        <f>VLOOKUP($C3,$C$6:$K$500,9,FALSE)</f>
        <v>3K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stephen lemke</cp:lastModifiedBy>
  <cp:revision/>
  <dcterms:created xsi:type="dcterms:W3CDTF">2017-12-27T19:32:51Z</dcterms:created>
  <dcterms:modified xsi:type="dcterms:W3CDTF">2026-06-02T19:28:21Z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