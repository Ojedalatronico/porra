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5B126BF6-0940-3F43-BCBA-A40B3D7B11CA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O3" i="3"/>
  <c r="G65" i="2"/>
  <c r="G16" i="2"/>
  <c r="CD31" i="3"/>
  <c r="G15" i="2"/>
  <c r="CE68" i="3"/>
  <c r="BW19" i="3"/>
  <c r="BW59" i="3"/>
  <c r="BR59" i="3" a="1"/>
  <c r="BR59" i="3"/>
  <c r="BP53" i="3"/>
  <c r="BK53" i="3" a="1"/>
  <c r="BK53" i="3"/>
  <c r="BP29" i="3"/>
  <c r="BK29" i="3" a="1"/>
  <c r="BK29" i="3"/>
  <c r="BP17" i="3"/>
  <c r="BK17" i="3" a="1"/>
  <c r="BK17" i="3"/>
  <c r="BP45" i="3"/>
  <c r="BK45" i="3" a="1"/>
  <c r="BK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P49" i="3"/>
  <c r="BK49" i="3" a="1"/>
  <c r="BK49" i="3"/>
  <c r="BK41" i="3" a="1"/>
  <c r="BK41" i="3"/>
  <c r="BP37" i="3"/>
  <c r="BK37" i="3" a="1"/>
  <c r="BK37" i="3"/>
  <c r="BP33" i="3"/>
  <c r="BK33" i="3" a="1"/>
  <c r="BK33" i="3"/>
  <c r="BP25" i="3"/>
  <c r="BK25" i="3" a="1"/>
  <c r="BK25" i="3"/>
  <c r="BP21" i="3"/>
  <c r="BK21" i="3" a="1"/>
  <c r="BK21" i="3"/>
  <c r="BP13" i="3"/>
  <c r="BK13" i="3" a="1"/>
  <c r="BK13" i="3"/>
  <c r="BP9" i="3"/>
  <c r="BK9" i="3" a="1"/>
  <c r="BK9" i="3"/>
  <c r="I15" i="2"/>
  <c r="AA14" i="3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AA34" i="3"/>
  <c r="E7" i="3"/>
  <c r="E60" i="3"/>
  <c r="H31" i="3"/>
  <c r="H7" i="3"/>
  <c r="H57" i="3"/>
  <c r="E33" i="3"/>
  <c r="AA33" i="3"/>
  <c r="E9" i="3"/>
  <c r="H60" i="3"/>
  <c r="H34" i="3"/>
  <c r="E8" i="3"/>
  <c r="H58" i="3"/>
  <c r="H33" i="3"/>
  <c r="E14" i="3"/>
  <c r="E57" i="3"/>
  <c r="E32" i="3"/>
  <c r="H14" i="3"/>
  <c r="H55" i="3"/>
  <c r="E13" i="3"/>
  <c r="AA13" i="3"/>
  <c r="E56" i="3"/>
  <c r="H13" i="3"/>
  <c r="H56" i="3"/>
  <c r="E11" i="3"/>
  <c r="E55" i="3"/>
  <c r="AA55" i="3"/>
  <c r="H11" i="3"/>
  <c r="H65" i="3"/>
  <c r="E37" i="3"/>
  <c r="AA37" i="3"/>
  <c r="E10" i="3"/>
  <c r="E66" i="3"/>
  <c r="AA66" i="3"/>
  <c r="H38" i="3"/>
  <c r="H10" i="3"/>
  <c r="H66" i="3"/>
  <c r="H37" i="3"/>
  <c r="E65" i="3"/>
  <c r="AA65" i="3"/>
  <c r="E38" i="3"/>
  <c r="H62" i="3"/>
  <c r="E39" i="3"/>
  <c r="E16" i="3"/>
  <c r="AA16" i="3"/>
  <c r="E61" i="3"/>
  <c r="H40" i="3"/>
  <c r="H16" i="3"/>
  <c r="H61" i="3"/>
  <c r="H39" i="3"/>
  <c r="E15" i="3"/>
  <c r="AA15" i="3"/>
  <c r="E62" i="3"/>
  <c r="E40" i="3"/>
  <c r="AA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/>
  <c r="H18" i="3"/>
  <c r="H70" i="3"/>
  <c r="E45" i="3"/>
  <c r="AA45" i="3"/>
  <c r="H69" i="3"/>
  <c r="H45" i="3"/>
  <c r="E21" i="3"/>
  <c r="E70" i="3"/>
  <c r="AA70" i="3"/>
  <c r="E46" i="3"/>
  <c r="AA46" i="3"/>
  <c r="H21" i="3"/>
  <c r="H72" i="3"/>
  <c r="E44" i="3"/>
  <c r="E20" i="3"/>
  <c r="H71" i="3"/>
  <c r="H44" i="3"/>
  <c r="E19" i="3"/>
  <c r="AA19" i="3"/>
  <c r="E72" i="3"/>
  <c r="AA72" i="3"/>
  <c r="E43" i="3"/>
  <c r="H19" i="3"/>
  <c r="H67" i="3"/>
  <c r="E48" i="3"/>
  <c r="AA48" i="3"/>
  <c r="E23" i="3"/>
  <c r="AA23" i="3"/>
  <c r="E68" i="3"/>
  <c r="H47" i="3"/>
  <c r="H23" i="3"/>
  <c r="E67" i="3"/>
  <c r="AA67" i="3"/>
  <c r="E47" i="3"/>
  <c r="AA47" i="3"/>
  <c r="H24" i="3"/>
  <c r="H76" i="3"/>
  <c r="E49" i="3"/>
  <c r="AA49" i="3"/>
  <c r="E25" i="3"/>
  <c r="E75" i="3"/>
  <c r="AA75" i="3"/>
  <c r="H50" i="3"/>
  <c r="H25" i="3"/>
  <c r="H75" i="3"/>
  <c r="H49" i="3"/>
  <c r="E26" i="3"/>
  <c r="E76" i="3"/>
  <c r="AA76" i="3"/>
  <c r="E50" i="3"/>
  <c r="AA50" i="3"/>
  <c r="H26" i="3"/>
  <c r="E78" i="3"/>
  <c r="AA78" i="3"/>
  <c r="H54" i="3"/>
  <c r="H29" i="3"/>
  <c r="H78" i="3"/>
  <c r="H53" i="3"/>
  <c r="E30" i="3"/>
  <c r="AA30" i="3"/>
  <c r="E77" i="3"/>
  <c r="E54" i="3"/>
  <c r="AA54" i="3"/>
  <c r="H30" i="3"/>
  <c r="H73" i="3"/>
  <c r="E51" i="3"/>
  <c r="E28" i="3"/>
  <c r="AA28" i="3"/>
  <c r="E74" i="3"/>
  <c r="H52" i="3"/>
  <c r="H28" i="3"/>
  <c r="H74" i="3"/>
  <c r="H51" i="3"/>
  <c r="E27" i="3"/>
  <c r="AA27" i="3"/>
  <c r="E73" i="3"/>
  <c r="E52" i="3"/>
  <c r="AA52" i="3"/>
  <c r="H27" i="3"/>
  <c r="E71" i="3"/>
  <c r="AA71" i="3"/>
  <c r="H43" i="3"/>
  <c r="H20" i="3"/>
  <c r="E59" i="3"/>
  <c r="E31" i="3"/>
  <c r="AA31" i="3"/>
  <c r="E58" i="3"/>
  <c r="H32" i="3"/>
  <c r="E69" i="3"/>
  <c r="AA69" i="3"/>
  <c r="H46" i="3"/>
  <c r="H68" i="3"/>
  <c r="H48" i="3"/>
  <c r="E24" i="3"/>
  <c r="E12" i="3"/>
  <c r="AA12" i="3"/>
  <c r="H8" i="3"/>
  <c r="H22" i="3"/>
  <c r="H12" i="3"/>
  <c r="E22" i="3"/>
  <c r="H9" i="3"/>
  <c r="AA9" i="3"/>
  <c r="D7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/>
  <c r="S28" i="3"/>
  <c r="S51" i="3"/>
  <c r="S30" i="3"/>
  <c r="T30" i="3"/>
  <c r="S78" i="3"/>
  <c r="S26" i="3"/>
  <c r="S75" i="3"/>
  <c r="T75" i="3"/>
  <c r="S25" i="3"/>
  <c r="S49" i="3"/>
  <c r="T49" i="3"/>
  <c r="S68" i="3"/>
  <c r="T68" i="3"/>
  <c r="S23" i="3"/>
  <c r="S48" i="3"/>
  <c r="S43" i="3"/>
  <c r="S19" i="3"/>
  <c r="S20" i="3"/>
  <c r="T20" i="3"/>
  <c r="S44" i="3"/>
  <c r="T44" i="3"/>
  <c r="S46" i="3"/>
  <c r="S21" i="3"/>
  <c r="S45" i="3"/>
  <c r="T45" i="3"/>
  <c r="S18" i="3"/>
  <c r="S63" i="3"/>
  <c r="S17" i="3"/>
  <c r="T17" i="3"/>
  <c r="S41" i="3"/>
  <c r="S15" i="3"/>
  <c r="T15" i="3"/>
  <c r="S61" i="3"/>
  <c r="S16" i="3"/>
  <c r="S39" i="3"/>
  <c r="T39" i="3"/>
  <c r="S66" i="3"/>
  <c r="T66" i="3"/>
  <c r="S10" i="3"/>
  <c r="T10" i="3"/>
  <c r="S37" i="3"/>
  <c r="S11" i="3"/>
  <c r="T11" i="3"/>
  <c r="S56" i="3"/>
  <c r="S13" i="3"/>
  <c r="T13" i="3"/>
  <c r="S32" i="3"/>
  <c r="T32" i="3"/>
  <c r="S14" i="3"/>
  <c r="T14" i="3"/>
  <c r="S8" i="3"/>
  <c r="S9" i="3"/>
  <c r="T9" i="3"/>
  <c r="S33" i="3"/>
  <c r="S60" i="3"/>
  <c r="T60" i="3"/>
  <c r="S34" i="3"/>
  <c r="T34" i="3"/>
  <c r="S29" i="3"/>
  <c r="T29" i="3"/>
  <c r="S53" i="3"/>
  <c r="S35" i="3"/>
  <c r="S7" i="3"/>
  <c r="T7" i="3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60" i="3"/>
  <c r="BH56" i="3"/>
  <c r="BG78" i="3"/>
  <c r="BH74" i="3"/>
  <c r="BG66" i="3"/>
  <c r="BH62" i="3"/>
  <c r="BG48" i="3"/>
  <c r="BH44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6" i="3"/>
  <c r="AP26" i="3"/>
  <c r="BI20" i="3"/>
  <c r="AP20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AP12" i="3"/>
  <c r="AR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AP36" i="3"/>
  <c r="AR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72" i="3"/>
  <c r="AR68" i="3"/>
  <c r="AP30" i="3"/>
  <c r="AR26" i="3"/>
  <c r="AP78" i="3"/>
  <c r="AR74" i="3"/>
  <c r="AP24" i="3"/>
  <c r="AR20" i="3"/>
  <c r="AR58" i="3"/>
  <c r="AR59" i="3"/>
  <c r="AR56" i="3"/>
  <c r="AD57" i="3"/>
  <c r="AP42" i="3"/>
  <c r="AR38" i="3"/>
  <c r="AP66" i="3"/>
  <c r="AR62" i="3"/>
  <c r="AP48" i="3"/>
  <c r="AR44" i="3"/>
  <c r="AP18" i="3"/>
  <c r="AR14" i="3"/>
  <c r="AP54" i="3"/>
  <c r="AR50" i="3"/>
  <c r="AD58" i="3"/>
  <c r="AR11" i="3"/>
  <c r="AR10" i="3"/>
  <c r="AR9" i="3"/>
  <c r="AR22" i="3"/>
  <c r="AR21" i="3"/>
  <c r="AR28" i="3"/>
  <c r="AR35" i="3"/>
  <c r="AR34" i="3"/>
  <c r="AR33" i="3"/>
  <c r="AR75" i="3"/>
  <c r="AR76" i="3"/>
  <c r="AR77" i="3"/>
  <c r="AD74" i="3"/>
  <c r="AD76" i="3"/>
  <c r="AD77" i="3"/>
  <c r="AR65" i="3"/>
  <c r="AR40" i="3"/>
  <c r="AR41" i="3"/>
  <c r="AR29" i="3"/>
  <c r="AR27" i="3"/>
  <c r="AD29" i="3"/>
  <c r="AR69" i="3"/>
  <c r="AR71" i="3"/>
  <c r="AR70" i="3"/>
  <c r="AD71" i="3"/>
  <c r="AD28" i="3"/>
  <c r="AR23" i="3"/>
  <c r="AD22" i="3"/>
  <c r="AR51" i="3"/>
  <c r="AR52" i="3"/>
  <c r="AR53" i="3"/>
  <c r="AD53" i="3"/>
  <c r="AR46" i="3"/>
  <c r="AR15" i="3"/>
  <c r="AR45" i="3"/>
  <c r="AR63" i="3"/>
  <c r="AR64" i="3"/>
  <c r="AD63" i="3"/>
  <c r="AR47" i="3"/>
  <c r="AD44" i="3"/>
  <c r="AD62" i="3"/>
  <c r="AR39" i="3"/>
  <c r="AD56" i="3"/>
  <c r="AD59" i="3"/>
  <c r="M58" i="3"/>
  <c r="AR16" i="3"/>
  <c r="AR17" i="3"/>
  <c r="AD14" i="3"/>
  <c r="M59" i="3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AD69" i="3"/>
  <c r="AD39" i="3"/>
  <c r="L57" i="3"/>
  <c r="AD64" i="3"/>
  <c r="AD16" i="3"/>
  <c r="AD17" i="3"/>
  <c r="N17" i="3"/>
  <c r="L60" i="3"/>
  <c r="J57" i="3"/>
  <c r="AS56" i="3"/>
  <c r="BL14" i="3"/>
  <c r="J59" i="3"/>
  <c r="AE88" i="3"/>
  <c r="AQ88" i="3"/>
  <c r="AD46" i="3"/>
  <c r="M60" i="3"/>
  <c r="O57" i="3"/>
  <c r="N60" i="3"/>
  <c r="M57" i="3"/>
  <c r="P57" i="3"/>
  <c r="AD23" i="3"/>
  <c r="L23" i="3"/>
  <c r="AD65" i="3"/>
  <c r="AD51" i="3"/>
  <c r="O58" i="3"/>
  <c r="N57" i="3"/>
  <c r="K57" i="3"/>
  <c r="J60" i="3"/>
  <c r="J58" i="3"/>
  <c r="AS57" i="3"/>
  <c r="BL47" i="3"/>
  <c r="BS45" i="3"/>
  <c r="BZ48" i="3"/>
  <c r="O59" i="3"/>
  <c r="AD45" i="3"/>
  <c r="AD40" i="3"/>
  <c r="AD38" i="3"/>
  <c r="M41" i="3"/>
  <c r="AD52" i="3"/>
  <c r="AD50" i="3"/>
  <c r="N53" i="3"/>
  <c r="O54" i="3"/>
  <c r="N59" i="3"/>
  <c r="K59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/>
  <c r="BL50" i="3"/>
  <c r="L9" i="3"/>
  <c r="L11" i="3"/>
  <c r="M10" i="3"/>
  <c r="N10" i="3"/>
  <c r="O11" i="3"/>
  <c r="J11" i="3"/>
  <c r="AE80" i="3"/>
  <c r="AQ80" i="3"/>
  <c r="L10" i="3"/>
  <c r="O10" i="3"/>
  <c r="N11" i="3"/>
  <c r="M11" i="3"/>
  <c r="J10" i="3"/>
  <c r="AS9" i="3"/>
  <c r="BL18" i="3"/>
  <c r="L15" i="3"/>
  <c r="M16" i="3"/>
  <c r="O17" i="3"/>
  <c r="L17" i="3"/>
  <c r="J16" i="3"/>
  <c r="AS15" i="3"/>
  <c r="BL19" i="3"/>
  <c r="M18" i="3"/>
  <c r="N16" i="3"/>
  <c r="O16" i="3"/>
  <c r="J18" i="3"/>
  <c r="L16" i="3"/>
  <c r="M17" i="3"/>
  <c r="O18" i="3"/>
  <c r="N18" i="3"/>
  <c r="L18" i="3"/>
  <c r="J24" i="3"/>
  <c r="J22" i="3"/>
  <c r="AS21" i="3"/>
  <c r="BL23" i="3"/>
  <c r="J21" i="3"/>
  <c r="AS20" i="3"/>
  <c r="BL42" i="3"/>
  <c r="BS44" i="3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/>
  <c r="AQ83" i="3"/>
  <c r="J28" i="3"/>
  <c r="AS27" i="3"/>
  <c r="BL62" i="3"/>
  <c r="BS61" i="3"/>
  <c r="J27" i="3"/>
  <c r="AS26" i="3"/>
  <c r="BL34" i="3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/>
  <c r="AQ84" i="3"/>
  <c r="J34" i="3"/>
  <c r="AS33" i="3"/>
  <c r="BL46" i="3"/>
  <c r="J33" i="3"/>
  <c r="AS32" i="3"/>
  <c r="BL10" i="3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/>
  <c r="AQ85" i="3"/>
  <c r="J40" i="3"/>
  <c r="AS39" i="3"/>
  <c r="BL43" i="3"/>
  <c r="J39" i="3"/>
  <c r="AS38" i="3"/>
  <c r="BL22" i="3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/>
  <c r="AQ86" i="3"/>
  <c r="J46" i="3"/>
  <c r="AS45" i="3"/>
  <c r="BL63" i="3"/>
  <c r="J45" i="3"/>
  <c r="AS44" i="3"/>
  <c r="BL38" i="3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/>
  <c r="BL30" i="3"/>
  <c r="J52" i="3"/>
  <c r="AS51" i="3"/>
  <c r="BL59" i="3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/>
  <c r="AQ89" i="3"/>
  <c r="J64" i="3"/>
  <c r="AS63" i="3"/>
  <c r="BL31" i="3"/>
  <c r="J63" i="3"/>
  <c r="AS62" i="3"/>
  <c r="BL58" i="3"/>
  <c r="BS60" i="3"/>
  <c r="BZ64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/>
  <c r="AQ90" i="3"/>
  <c r="J70" i="3"/>
  <c r="AS69" i="3"/>
  <c r="BL26" i="3"/>
  <c r="J69" i="3"/>
  <c r="AS68" i="3"/>
  <c r="BL70" i="3"/>
  <c r="L75" i="3"/>
  <c r="O75" i="3"/>
  <c r="N75" i="3"/>
  <c r="J75" i="3"/>
  <c r="AS74" i="3"/>
  <c r="BL54" i="3"/>
  <c r="M75" i="3"/>
  <c r="N76" i="3"/>
  <c r="J78" i="3"/>
  <c r="M76" i="3"/>
  <c r="L76" i="3"/>
  <c r="N78" i="3"/>
  <c r="M78" i="3"/>
  <c r="L78" i="3"/>
  <c r="O78" i="3"/>
  <c r="O76" i="3"/>
  <c r="J76" i="3"/>
  <c r="AS75" i="3"/>
  <c r="BL27" i="3"/>
  <c r="L77" i="3"/>
  <c r="O77" i="3"/>
  <c r="J77" i="3"/>
  <c r="AE91" i="3"/>
  <c r="AQ91" i="3"/>
  <c r="M77" i="3"/>
  <c r="N77" i="3"/>
  <c r="J54" i="3"/>
  <c r="O52" i="3"/>
  <c r="O41" i="3"/>
  <c r="L41" i="3"/>
  <c r="N23" i="3"/>
  <c r="M23" i="3"/>
  <c r="K23" i="3"/>
  <c r="AL88" i="3"/>
  <c r="N15" i="3"/>
  <c r="O53" i="3"/>
  <c r="L52" i="3"/>
  <c r="J17" i="3"/>
  <c r="AE81" i="3"/>
  <c r="AQ81" i="3"/>
  <c r="L53" i="3"/>
  <c r="M53" i="3"/>
  <c r="P53" i="3"/>
  <c r="M52" i="3"/>
  <c r="P52" i="3"/>
  <c r="J53" i="3"/>
  <c r="AE87" i="3"/>
  <c r="AQ87" i="3"/>
  <c r="N41" i="3"/>
  <c r="J23" i="3"/>
  <c r="AE82" i="3"/>
  <c r="AQ82" i="3"/>
  <c r="AH88" i="3"/>
  <c r="N42" i="3"/>
  <c r="P60" i="3"/>
  <c r="K60" i="3"/>
  <c r="M15" i="3"/>
  <c r="O15" i="3"/>
  <c r="J15" i="3"/>
  <c r="AS14" i="3"/>
  <c r="BL66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L82" i="3"/>
  <c r="AL92" i="3"/>
  <c r="AM88" i="3"/>
  <c r="AI87" i="3"/>
  <c r="AI92" i="3"/>
  <c r="K52" i="3"/>
  <c r="AJ92" i="3"/>
  <c r="AG92" i="3"/>
  <c r="AF92" i="3"/>
  <c r="AH92" i="3"/>
  <c r="AS92" i="3"/>
  <c r="AN92" i="3"/>
  <c r="AM83" i="3"/>
  <c r="AM91" i="3"/>
  <c r="AM82" i="3"/>
  <c r="AM90" i="3"/>
  <c r="AM89" i="3"/>
  <c r="AM80" i="3"/>
  <c r="AM81" i="3"/>
  <c r="AM87" i="3"/>
  <c r="AM86" i="3"/>
  <c r="AM85" i="3"/>
  <c r="AM84" i="3"/>
  <c r="AM92" i="3"/>
  <c r="AP87" i="3"/>
  <c r="S85" i="3"/>
  <c r="T85" i="3" a="1"/>
  <c r="T85" i="3"/>
  <c r="BS13" i="3"/>
  <c r="S84" i="3"/>
  <c r="T84" i="3" a="1"/>
  <c r="T84" i="3"/>
  <c r="BS12" i="3"/>
  <c r="BZ16" i="3"/>
  <c r="S95" i="3"/>
  <c r="T95" i="3" a="1"/>
  <c r="T95" i="3"/>
  <c r="AP81" i="3"/>
  <c r="AP84" i="3"/>
  <c r="AP86" i="3"/>
  <c r="AP89" i="3"/>
  <c r="AP90" i="3"/>
  <c r="AP88" i="3"/>
  <c r="AP82" i="3"/>
  <c r="AP83" i="3"/>
  <c r="AP91" i="3"/>
  <c r="AP85" i="3"/>
  <c r="AP80" i="3"/>
  <c r="AD85" i="3"/>
  <c r="AS85" i="3"/>
  <c r="AD89" i="3"/>
  <c r="AS89" i="3"/>
  <c r="AD86" i="3"/>
  <c r="AS86" i="3"/>
  <c r="AD84" i="3"/>
  <c r="AS84" i="3"/>
  <c r="AD83" i="3"/>
  <c r="AS83" i="3"/>
  <c r="AD91" i="3"/>
  <c r="AS91" i="3"/>
  <c r="AD82" i="3"/>
  <c r="AS82" i="3"/>
  <c r="AD90" i="3"/>
  <c r="AS90" i="3"/>
  <c r="AD88" i="3"/>
  <c r="AS88" i="3"/>
  <c r="AD87" i="3"/>
  <c r="AS87" i="3"/>
  <c r="AD80" i="3"/>
  <c r="AD81" i="3"/>
  <c r="AS81" i="3"/>
  <c r="J92" i="3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/>
  <c r="I3" i="4"/>
  <c r="BL15" i="3"/>
  <c r="P89" i="3"/>
  <c r="G3" i="4"/>
  <c r="BL11" i="3"/>
  <c r="J3" i="4"/>
  <c r="B3" i="4"/>
  <c r="D3" i="4"/>
  <c r="K3" i="4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<sst xmlns="http://schemas.openxmlformats.org/spreadsheetml/2006/main" count="9785" uniqueCount="3699">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</sst>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Z36" zoomScaleNormal="100" workbookViewId="0">
      <selection activeCell="CO50" sqref="CO50"/>
    </sheetView>
  </sheetViews>
  <sheetFormatPr defaultColWidth="9.14453125" defaultRowHeight="15" x14ac:dyDescent="0.2"/>
  <cols>
    <col min="1" max="1" width="4.83984375" style="3" customWidth="1"/>
    <col min="2" max="2" width="6.0507812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359375" style="2" customWidth="1"/>
    <col min="64" max="64" width="19.63671875" style="2" customWidth="1"/>
    <col min="65" max="67" width="2.95703125" style="2" customWidth="1"/>
    <col min="68" max="69" width="2.015625" style="111" customWidth="1"/>
    <col min="70" max="70" width="3.359375" style="2" customWidth="1"/>
    <col min="71" max="71" width="19.636718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636718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63671875" style="2" customWidth="1"/>
    <col min="86" max="88" width="2.95703125" style="2" customWidth="1"/>
    <col min="89" max="90" width="2.015625" style="111" customWidth="1"/>
    <col min="91" max="91" width="3.62890625" style="2" customWidth="1"/>
    <col min="92" max="92" width="19.636718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3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9</v>
      </c>
      <c r="AN8" s="123">
        <f>AF8*3+AG8</f>
        <v>7</v>
      </c>
      <c r="AO8" s="123">
        <f>AN8/AN12*10+BA8</f>
        <v>8.7565595277140051</v>
      </c>
      <c r="AP8" s="123">
        <f>AO8*10000000+BI8*100+AM8/AM12*10+AI8/AI12*1++IF(AQ8=0,ROW(),AQ8)/2000000</f>
        <v>87565605.135123417</v>
      </c>
      <c r="AQ8" s="126">
        <f>VLOOKUP(AE8,db_fifarank,2,FALSE)</f>
        <v>1681.03</v>
      </c>
      <c r="AR8" s="125">
        <f>AP8/AP12</f>
        <v>0.99999998857999106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1</v>
      </c>
      <c r="AZ8" s="126">
        <f>AT8/AT12*1000+AU8/AU12*100+AY8/AY12*10+AV8/AV12</f>
        <v>3.333333333333333</v>
      </c>
      <c r="BA8" s="126">
        <f>AZ8/AZ12</f>
        <v>6.5595277140045906E-3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4</v>
      </c>
      <c r="AN9" s="123">
        <f>AF9*3+AG9</f>
        <v>4</v>
      </c>
      <c r="AO9" s="123">
        <f>AN9/AN12*10+BA9</f>
        <v>5.9980321416857985</v>
      </c>
      <c r="AP9" s="123">
        <f>AO9*10000000+BI9*100+AM9/AM12*10+AI9/AI12*1++IF(AQ9=0,ROW(),AQ9)/2000000</f>
        <v>59980325.70328714</v>
      </c>
      <c r="AQ9" s="126">
        <f>VLOOKUP(AE9,db_fifarank,2,FALSE)</f>
        <v>1429.73</v>
      </c>
      <c r="AR9" s="125">
        <f>AP9/AP12</f>
        <v>0.68497585239952385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1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1</v>
      </c>
      <c r="AY9" s="126">
        <f>AX9-MIN(AX8:AX11)</f>
        <v>2</v>
      </c>
      <c r="AZ9" s="126">
        <f>AT9/AT12*1000+AU9/AU12*100+AY9/AY12*10+AV9/AV12</f>
        <v>507.16666666666669</v>
      </c>
      <c r="BA9" s="126">
        <f>AZ9/AZ12</f>
        <v>0.99803214168579857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2 - 3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6</v>
      </c>
      <c r="AL10" s="123">
        <f>AI10-AJ10</f>
        <v>-5</v>
      </c>
      <c r="AM10" s="123">
        <f>AL10-AL12</f>
        <v>0</v>
      </c>
      <c r="AN10" s="123">
        <f>AF10*3+AG10</f>
        <v>1</v>
      </c>
      <c r="AO10" s="123">
        <f>AN10/AN12*10+BA10</f>
        <v>1.2565595277140047</v>
      </c>
      <c r="AP10" s="123">
        <f>AO10*10000000+BI10*100+AM10/AM12*10+AI10/AI12*1++IF(AQ10=0,ROW(),AQ10)/2000000</f>
        <v>12565595.420791522</v>
      </c>
      <c r="AQ10" s="126">
        <f>VLOOKUP(AE10,db_fifarank,2,FALSE)</f>
        <v>1588.66</v>
      </c>
      <c r="AR10" s="125">
        <f>AP10/AP12</f>
        <v>0.14349921133876944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1</v>
      </c>
      <c r="AZ10" s="126">
        <f>AT10/AT12*1000+AU10/AU12*100+AY10/AY12*10+AV10/AV12</f>
        <v>3.333333333333333</v>
      </c>
      <c r="BA10" s="126">
        <f>AZ10/AZ12</f>
        <v>6.5595277140045906E-3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5 - 3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3</v>
      </c>
      <c r="AL11" s="123">
        <f>AI11-AJ11</f>
        <v>2</v>
      </c>
      <c r="AM11" s="123">
        <f>AL11-AL12</f>
        <v>7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50000007.715036407</v>
      </c>
      <c r="AQ11" s="126">
        <f>VLOOKUP(AE11,db_fifarank,2,FALSE)</f>
        <v>1501.38</v>
      </c>
      <c r="AR11" s="125">
        <f>AP11/AP12</f>
        <v>0.57100053230809444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-1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7</v>
      </c>
      <c r="AL12" s="123">
        <f>MIN(AL8:AL11)</f>
        <v>-5</v>
      </c>
      <c r="AM12" s="123">
        <f>MAX(AM8:AM11)+1</f>
        <v>10</v>
      </c>
      <c r="AN12" s="123">
        <f>MAX(AN8:AN11)+1</f>
        <v>8</v>
      </c>
      <c r="AO12" s="123">
        <f>MAX(AO8:AO11)+1</f>
        <v>9.7565595277140051</v>
      </c>
      <c r="AP12" s="123">
        <f>MAX(AP8:AP11)+1</f>
        <v>87565606.135123417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3</v>
      </c>
      <c r="AZ12" s="126">
        <f>MAX(AZ8:AZ11)+1</f>
        <v>508.16666666666669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0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Senegal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1</v>
      </c>
      <c r="AL14" s="123">
        <f>AI14-AJ14</f>
        <v>3</v>
      </c>
      <c r="AM14" s="123">
        <f>AL14-AL18</f>
        <v>6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87500009.372206807</v>
      </c>
      <c r="AQ14" s="126">
        <f>VLOOKUP(AE14,db_fifarank,2,FALSE)</f>
        <v>1556.48</v>
      </c>
      <c r="AR14" s="125">
        <f>AP14/AP18</f>
        <v>0.99999998857142991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Senegal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5</v>
      </c>
      <c r="AN15" s="123">
        <f>AF15*3+AG15</f>
        <v>6</v>
      </c>
      <c r="AO15" s="123">
        <f>AN15/AN18*10+BA15</f>
        <v>7.5</v>
      </c>
      <c r="AP15" s="123">
        <f>AO15*10000000+BI15*100+AM15/AM18*10+AI15/AI18*1++IF(AQ15=0,ROW(),AQ15)/2000000</f>
        <v>75000007.943550065</v>
      </c>
      <c r="AQ15" s="126">
        <f>VLOOKUP(AE15,db_fifarank,2,FALSE)</f>
        <v>1385.84</v>
      </c>
      <c r="AR15" s="125">
        <f>AP15/AP18</f>
        <v>0.85714284632099658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1.25</v>
      </c>
      <c r="AP16" s="123">
        <f>AO16*10000000+BI16*100+AM16/AM18*10+AI16/AI18*1++IF(AQ16=0,ROW(),AQ16)/2000000</f>
        <v>12500000.20072748</v>
      </c>
      <c r="AQ16" s="126">
        <f>VLOOKUP(AE16,db_fifarank,2,FALSE)</f>
        <v>1454.96</v>
      </c>
      <c r="AR16" s="125">
        <f>AP16/AP18</f>
        <v>0.14285712821695773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0</v>
      </c>
      <c r="AG17" s="123">
        <f>COUNTIF($S$7:$T$78,"=" &amp; AE17 &amp; "_draw")</f>
        <v>2</v>
      </c>
      <c r="AH17" s="123">
        <f>COUNTIF($S$7:$T$78,"=" &amp; AE17 &amp; "_lose")</f>
        <v>1</v>
      </c>
      <c r="AI17" s="123">
        <f>SUMIF($E$7:$E$78,$AE17,$F$7:$F$78) + SUMIF($H$7:$H$78,$AE17,$G$7:$G$78)</f>
        <v>1</v>
      </c>
      <c r="AJ17" s="123">
        <f>SUMIF($E$7:$E$78,$AE17,$G$7:$G$78) + SUMIF($H$7:$H$78,$AE17,$F$7:$F$78)</f>
        <v>3</v>
      </c>
      <c r="AL17" s="123">
        <f>AI17-AJ17</f>
        <v>-2</v>
      </c>
      <c r="AM17" s="123">
        <f>AL17-AL18</f>
        <v>1</v>
      </c>
      <c r="AN17" s="123">
        <f>AF17*3+AG17</f>
        <v>2</v>
      </c>
      <c r="AO17" s="123">
        <f>AN17/AN18*10+BA17</f>
        <v>2.5</v>
      </c>
      <c r="AP17" s="123">
        <f>AO17*10000000+BI17*100+AM17/AM18*10+AI17/AI18*1++IF(AQ17=0,ROW(),AQ17)/2000000</f>
        <v>25000001.629396129</v>
      </c>
      <c r="AQ17" s="126">
        <f>VLOOKUP(AE17,db_fifarank,2,FALSE)</f>
        <v>1649.4</v>
      </c>
      <c r="AR17" s="125">
        <f>AP17/AP18</f>
        <v>0.28571427046752718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Brazil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1</v>
      </c>
      <c r="V18" s="123">
        <f t="shared" si="3"/>
        <v>0</v>
      </c>
      <c r="W18" s="123">
        <f t="shared" si="4"/>
        <v>2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3</v>
      </c>
      <c r="AI18" s="123">
        <f>MAX(AI14:AI17)+1</f>
        <v>5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9.75</v>
      </c>
      <c r="AP18" s="123">
        <f>MAX(AP14:AP17)+1</f>
        <v>87500010.372206807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South Africa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4</v>
      </c>
      <c r="AJ20" s="123">
        <f>SUMIF($E$7:$E$78,$AE20,$G$7:$G$78) + SUMIF($H$7:$H$78,$AE20,$F$7:$F$78)</f>
        <v>2</v>
      </c>
      <c r="AL20" s="123">
        <f>AI20-AJ20</f>
        <v>2</v>
      </c>
      <c r="AM20" s="123">
        <f>AL20-AL24</f>
        <v>9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60000007.000880577</v>
      </c>
      <c r="AQ20" s="126">
        <f>VLOOKUP(AE20,db_fifarank,2,FALSE)</f>
        <v>1761.16</v>
      </c>
      <c r="AR20" s="125">
        <f>AP20/AP24</f>
        <v>0.66666666190804358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Bosnia and Herzegovina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0</v>
      </c>
      <c r="AL21" s="123">
        <f>AI21-AJ21</f>
        <v>6</v>
      </c>
      <c r="AM21" s="123">
        <f>AL21-AL24</f>
        <v>13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90000010.143735066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0</v>
      </c>
      <c r="G22" s="20">
        <v>0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0.14350299785714285</v>
      </c>
      <c r="AQ22" s="126">
        <f>VLOOKUP(AE22,db_fifarank,2,FALSE)</f>
        <v>1291.71</v>
      </c>
      <c r="AR22" s="125">
        <f>AP22/AP24</f>
        <v>1.5944775565411932E-9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30000004.572177749</v>
      </c>
      <c r="AQ23" s="126">
        <f>VLOOKUP(AE23,db_fifarank,2,FALSE)</f>
        <v>1498.35</v>
      </c>
      <c r="AR23" s="125">
        <f>AP23/AP24</f>
        <v>0.33333334286221433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Brazil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0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Iraq_draw</v>
      </c>
      <c r="T24" s="127" t="str">
        <f t="shared" si="2"/>
        <v>Norway_draw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0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7</v>
      </c>
      <c r="AL24" s="123">
        <f>MIN(AL20:AL23)</f>
        <v>-7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90000011.143735066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1</v>
      </c>
      <c r="AJ26" s="123">
        <f>SUMIF($E$7:$E$78,$AE26,$G$7:$G$78) + SUMIF($H$7:$H$78,$AE26,$F$7:$F$78)</f>
        <v>5</v>
      </c>
      <c r="AL26" s="123">
        <f>AI26-AJ26</f>
        <v>-4</v>
      </c>
      <c r="AM26" s="123">
        <f>AL26-AL30</f>
        <v>0</v>
      </c>
      <c r="AN26" s="123">
        <f>AF26*3+AG26</f>
        <v>1</v>
      </c>
      <c r="AO26" s="123">
        <f>AN26/AN30*10+BA26</f>
        <v>1.25</v>
      </c>
      <c r="AP26" s="123">
        <f>AO26*10000000+BI26*100+AM26/AM30*10+AI26/AI30*1++IF(AQ26=0,ROW(),AQ26)/2000000</f>
        <v>12500000.143693708</v>
      </c>
      <c r="AQ26" s="126">
        <f>VLOOKUP(AE26,db_fifarank,2,FALSE)</f>
        <v>1673.13</v>
      </c>
      <c r="AR26" s="125">
        <f>AP26/AP30</f>
        <v>0.1428571267721058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3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50000003.429323174</v>
      </c>
      <c r="AQ27" s="126">
        <f>VLOOKUP(AE27,db_fifarank,2,FALSE)</f>
        <v>1503.5</v>
      </c>
      <c r="AR27" s="125">
        <f>AP27/AP30</f>
        <v>0.57142853971182883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4</v>
      </c>
      <c r="AL28" s="123">
        <f>AI28-AJ28</f>
        <v>0</v>
      </c>
      <c r="AM28" s="123">
        <f>AL28-AL30</f>
        <v>4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37500004.57221891</v>
      </c>
      <c r="AQ28" s="126">
        <f>VLOOKUP(AE28,db_fifarank,2,FALSE)</f>
        <v>1580.67</v>
      </c>
      <c r="AR28" s="125">
        <f>AP28/AP30</f>
        <v>0.42857142764360051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4 - 4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1</v>
      </c>
      <c r="AL29" s="123">
        <f>AI29-AJ29</f>
        <v>5</v>
      </c>
      <c r="AM29" s="123">
        <f>AL29-AL30</f>
        <v>9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87500009.857942373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1</v>
      </c>
      <c r="V31" s="123">
        <f t="shared" si="3"/>
        <v>0</v>
      </c>
      <c r="W31" s="123">
        <f t="shared" si="4"/>
        <v>1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0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Switzerland_lose</v>
      </c>
      <c r="T32" s="127" t="str">
        <f t="shared" si="2"/>
        <v>Bosnia and Herzegovina_win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-1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0</v>
      </c>
      <c r="AL32" s="123">
        <f>AI32-AJ32</f>
        <v>9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90000010.312629908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3</v>
      </c>
      <c r="AL33" s="123">
        <f>AI33-AJ33</f>
        <v>-2</v>
      </c>
      <c r="AM33" s="123">
        <f>AL33-AL36</f>
        <v>5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30000003.041823797</v>
      </c>
      <c r="AQ33" s="126">
        <f>VLOOKUP(AE33,db_fifarank,2,FALSE)</f>
        <v>1294.6500000000001</v>
      </c>
      <c r="AR33" s="125">
        <f>AP33/AP36</f>
        <v>0.33333332523274722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7</v>
      </c>
      <c r="AL34" s="123">
        <f>AI34-AJ34</f>
        <v>-7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7.6648999999999999E-4</v>
      </c>
      <c r="AQ34" s="126">
        <f>VLOOKUP(AE34,db_fifarank,2,FALSE)</f>
        <v>1532.98</v>
      </c>
      <c r="AR34" s="125">
        <f>AP34/AP36</f>
        <v>8.5165544850596785E-12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7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60000004.418444447</v>
      </c>
      <c r="AQ35" s="126">
        <f>VLOOKUP(AE35,db_fifarank,2,FALSE)</f>
        <v>1594.78</v>
      </c>
      <c r="AR35" s="125">
        <f>AP35/AP36</f>
        <v>0.66666663196323961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Curaçao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-7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90000011.312629908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Czech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8</v>
      </c>
      <c r="AN38" s="123">
        <f>AF38*3+AG38</f>
        <v>9</v>
      </c>
      <c r="AO38" s="123">
        <f>AN38/AN42*10+BA38</f>
        <v>9.0065573770491802</v>
      </c>
      <c r="AP38" s="123">
        <f>AO38*10000000+BI38*100+AM38/AM42*10+AI38/AI42*1++IF(AQ38=0,ROW(),AQ38)/2000000</f>
        <v>90065583.535259634</v>
      </c>
      <c r="AQ38" s="126">
        <f>VLOOKUP(AE38,db_fifarank,2,FALSE)</f>
        <v>1757.87</v>
      </c>
      <c r="AR38" s="125">
        <f>AP38/AP42</f>
        <v>0.99999998889697983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1</v>
      </c>
      <c r="AZ38" s="126">
        <f>AT38/AT42*1000+AU38/AU42*100+AY38/AY42*10+AV38/AV42</f>
        <v>3.333333333333333</v>
      </c>
      <c r="BA38" s="126">
        <f>AZ38/AZ42</f>
        <v>6.557377049180327E-3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Iran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Morocco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4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2</v>
      </c>
      <c r="AN39" s="123">
        <f>AF39*3+AG39</f>
        <v>3</v>
      </c>
      <c r="AO39" s="123">
        <f>AN39/AN42*10+BA39</f>
        <v>3.9908196721311473</v>
      </c>
      <c r="AP39" s="123">
        <f>AO39*10000000+BI39*100+AM39/AM42*10+AI39/AI42*1++IF(AQ39=0,ROW(),AQ39)/2000000</f>
        <v>39908199.194363914</v>
      </c>
      <c r="AQ39" s="126">
        <f>VLOOKUP(AE39,db_fifarank,2,FALSE)</f>
        <v>1660.43</v>
      </c>
      <c r="AR39" s="125">
        <f>AP39/AP42</f>
        <v>0.44310153984222816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1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1</v>
      </c>
      <c r="AZ39" s="126">
        <f>AT39/AT42*1000+AU39/AU42*100+AY39/AY42*10+AV39/AV42</f>
        <v>503.66666666666663</v>
      </c>
      <c r="BA39" s="126">
        <f>AZ39/AZ42</f>
        <v>0.99081967213114741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0</v>
      </c>
      <c r="N40" s="23">
        <f>VLOOKUP(2,AD38:AN41,5,FALSE)</f>
        <v>2</v>
      </c>
      <c r="O40" s="23" t="str">
        <f>VLOOKUP(2,AD38:AN41,6,FALSE) &amp; " - " &amp; VLOOKUP(2,AD38:AN41,7,FALSE)</f>
        <v>3 - 4</v>
      </c>
      <c r="P40" s="34">
        <f>L40*3+M40</f>
        <v>3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4</v>
      </c>
      <c r="AL40" s="123">
        <f>AI40-AJ40</f>
        <v>-3</v>
      </c>
      <c r="AM40" s="123">
        <f>AL40-AL42</f>
        <v>0</v>
      </c>
      <c r="AN40" s="123">
        <f>AF40*3+AG40</f>
        <v>3</v>
      </c>
      <c r="AO40" s="123">
        <f>AN40/AN42*10+BA40</f>
        <v>3.9842622950819671</v>
      </c>
      <c r="AP40" s="123">
        <f>AO40*10000000+BI40*100+AM40/AM42*10+AI40/AI42*1++IF(AQ40=0,ROW(),AQ40)/2000000</f>
        <v>39842623.076577052</v>
      </c>
      <c r="AQ40" s="126">
        <f>VLOOKUP(AE40,db_fifarank,2,FALSE)</f>
        <v>1514.77</v>
      </c>
      <c r="AR40" s="125">
        <f>AP40/AP42</f>
        <v>0.44237344688502106</v>
      </c>
      <c r="AT40" s="126" cm="1">
        <f t="array" ref="AT40">SUMPRODUCT(($S$7:$S$78=AE40&amp;"_win")*($U$7:$U$78))+SUMPRODUCT(($T$7:$T$78=AE40&amp;"_win")*($U$7:$U$78))</f>
        <v>1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2</v>
      </c>
      <c r="AX40" s="126">
        <f>AV40-AW40</f>
        <v>-1</v>
      </c>
      <c r="AY40" s="126">
        <f>AX40-MIN(AX38:AX41)</f>
        <v>0</v>
      </c>
      <c r="AZ40" s="126">
        <f>AT40/AT42*1000+AU40/AU42*100+AY40/AY42*10+AV40/AV42</f>
        <v>500.33333333333331</v>
      </c>
      <c r="BA40" s="126">
        <f>AZ40/AZ42</f>
        <v>0.98426229508196705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2 - 3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4</v>
      </c>
      <c r="AL41" s="123">
        <f>AI41-AJ41</f>
        <v>-1</v>
      </c>
      <c r="AM41" s="123">
        <f>AL41-AL42</f>
        <v>2</v>
      </c>
      <c r="AN41" s="123">
        <f>AF41*3+AG41</f>
        <v>3</v>
      </c>
      <c r="AO41" s="123">
        <f>AN41/AN42*10+BA41</f>
        <v>3.9980327868852461</v>
      </c>
      <c r="AP41" s="123">
        <f>AO41*10000000+BI41*100+AM41/AM42*10+AI41/AI42*1++IF(AQ41=0,ROW(),AQ41)/2000000</f>
        <v>39980330.466816209</v>
      </c>
      <c r="AQ41" s="126">
        <f>VLOOKUP(AE41,db_fifarank,2,FALSE)</f>
        <v>1483.05</v>
      </c>
      <c r="AR41" s="125">
        <f>AP41/AP42</f>
        <v>0.44390241481377796</v>
      </c>
      <c r="AT41" s="126" cm="1">
        <f t="array" ref="AT41">SUMPRODUCT(($S$7:$S$78=AE41&amp;"_win")*($U$7:$U$78))+SUMPRODUCT(($T$7:$T$78=AE41&amp;"_win")*($U$7:$U$78))</f>
        <v>1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2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1</v>
      </c>
      <c r="AY41" s="126">
        <f>AX41-MIN(AX38:AX41)</f>
        <v>2</v>
      </c>
      <c r="AZ41" s="126">
        <f>AT41/AT42*1000+AU41/AU42*100+AY41/AY42*10+AV41/AV42</f>
        <v>507.33333333333337</v>
      </c>
      <c r="BA41" s="126">
        <f>AZ41/AZ42</f>
        <v>0.99803278688524588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1</v>
      </c>
      <c r="M42" s="36">
        <f>VLOOKUP(4,AD38:AN41,4,FALSE)</f>
        <v>0</v>
      </c>
      <c r="N42" s="36">
        <f>VLOOKUP(4,AD38:AN41,5,FALSE)</f>
        <v>2</v>
      </c>
      <c r="O42" s="36" t="str">
        <f>VLOOKUP(4,AD38:AN41,6,FALSE) &amp; " - " &amp; VLOOKUP(4,AD38:AN41,7,FALSE)</f>
        <v>1 - 4</v>
      </c>
      <c r="P42" s="37">
        <f>L42*3+M42</f>
        <v>3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1</v>
      </c>
      <c r="V42" s="123">
        <f t="shared" si="3"/>
        <v>0</v>
      </c>
      <c r="W42" s="123">
        <f t="shared" si="4"/>
        <v>1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8</v>
      </c>
      <c r="AL42" s="123">
        <f>MIN(AL38:AL41)</f>
        <v>-3</v>
      </c>
      <c r="AM42" s="123">
        <f>MAX(AM38:AM41)+1</f>
        <v>9</v>
      </c>
      <c r="AN42" s="123">
        <f>MAX(AN38:AN41)+1</f>
        <v>10</v>
      </c>
      <c r="AO42" s="123">
        <f>MAX(AO38:AO41)+1</f>
        <v>10.00655737704918</v>
      </c>
      <c r="AP42" s="123">
        <f>MAX(AP38:AP41)+1</f>
        <v>90065584.535259634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3</v>
      </c>
      <c r="AZ42" s="126">
        <f>MAX(AZ38:AZ41)+1</f>
        <v>508.33333333333337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Morocco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3</v>
      </c>
      <c r="AE44" s="124" t="str">
        <f>VLOOKUP("Belgium",T,lang,FALSE)</f>
        <v>Belgium</v>
      </c>
      <c r="AF44" s="123">
        <f>COUNTIF($S$7:$T$78,"=" &amp; AE44 &amp; "_win")</f>
        <v>0</v>
      </c>
      <c r="AG44" s="123">
        <f>COUNTIF($S$7:$T$78,"=" &amp; AE44 &amp; "_draw")</f>
        <v>3</v>
      </c>
      <c r="AH44" s="123">
        <f>COUNTIF($S$7:$T$78,"=" &amp; AE44 &amp; "_lose")</f>
        <v>0</v>
      </c>
      <c r="AI44" s="123">
        <f>SUMIF($E$7:$E$78,$AE44,$F$7:$F$78) + SUMIF($H$7:$H$78,$AE44,$G$7:$G$78)</f>
        <v>2</v>
      </c>
      <c r="AJ44" s="123">
        <f>SUMIF($E$7:$E$78,$AE44,$G$7:$G$78) + SUMIF($H$7:$H$78,$AE44,$F$7:$F$78)</f>
        <v>2</v>
      </c>
      <c r="AL44" s="123">
        <f>AI44-AJ44</f>
        <v>0</v>
      </c>
      <c r="AM44" s="123">
        <f>AL44-AL48</f>
        <v>1</v>
      </c>
      <c r="AN44" s="123">
        <f>AF44*3+AG44</f>
        <v>3</v>
      </c>
      <c r="AO44" s="123">
        <f>AN44/AN48*10+BA44</f>
        <v>5.9805825242718447</v>
      </c>
      <c r="AP44" s="123">
        <f>AO44*10000000+BI44*100+AM44/AM48*10+AI44/AI48*1++IF(AQ44=0,ROW(),AQ44)/2000000</f>
        <v>59805927.135171555</v>
      </c>
      <c r="AQ44" s="126">
        <f>VLOOKUP(AE44,db_fifarank,2,FALSE)</f>
        <v>1734.71</v>
      </c>
      <c r="AR44" s="125">
        <f>AP44/AP48</f>
        <v>0.71767105313032675</v>
      </c>
      <c r="AS44" s="125" t="str">
        <f>IF(SUM(AF44:AH47)=12,J45,"1G")</f>
        <v>Iran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50.5</v>
      </c>
      <c r="BA44" s="126">
        <f>AZ44/AZ48</f>
        <v>0.98058252427184467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50.5</v>
      </c>
      <c r="BI44" s="126">
        <f>BH44/BH48</f>
        <v>0.98058252427184467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Iran</v>
      </c>
      <c r="K45" s="31">
        <f>L45+M45+N45</f>
        <v>3</v>
      </c>
      <c r="L45" s="31">
        <f>VLOOKUP(1,AD44:AN47,3,FALSE)</f>
        <v>1</v>
      </c>
      <c r="M45" s="31">
        <f>VLOOKUP(1,AD44:AN47,4,FALSE)</f>
        <v>2</v>
      </c>
      <c r="N45" s="31">
        <f>VLOOKUP(1,AD44:AN47,5,FALSE)</f>
        <v>0</v>
      </c>
      <c r="O45" s="31" t="str">
        <f>VLOOKUP(1,AD44:AN47,6,FALSE) &amp; " - " &amp; VLOOKUP(1,AD44:AN47,7,FALSE)</f>
        <v>3 - 2</v>
      </c>
      <c r="P45" s="32">
        <f>L45*3+M45</f>
        <v>5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4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2</v>
      </c>
      <c r="AL45" s="123">
        <f>AI45-AJ45</f>
        <v>-1</v>
      </c>
      <c r="AM45" s="123">
        <f>AL45-AL48</f>
        <v>0</v>
      </c>
      <c r="AN45" s="123">
        <f>AF45*3+AG45</f>
        <v>2</v>
      </c>
      <c r="AO45" s="123">
        <f>AN45/AN48*10+BA45</f>
        <v>3.333333333333333</v>
      </c>
      <c r="AP45" s="123">
        <f>AO45*10000000+BI45*100+AM45/AM48*10+AI45/AI48*1++IF(AQ45=0,ROW(),AQ45)/2000000</f>
        <v>33333333.584114954</v>
      </c>
      <c r="AQ45" s="126">
        <f>VLOOKUP(AE45,db_fifarank,2,FALSE)</f>
        <v>1563.24</v>
      </c>
      <c r="AR45" s="125">
        <f>AP45/AP48</f>
        <v>0.39999996260550646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France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0</v>
      </c>
      <c r="M46" s="23">
        <f>VLOOKUP(2,AD44:AN47,4,FALSE)</f>
        <v>3</v>
      </c>
      <c r="N46" s="23">
        <f>VLOOKUP(2,AD44:AN47,5,FALSE)</f>
        <v>0</v>
      </c>
      <c r="O46" s="23" t="str">
        <f>VLOOKUP(2,AD44:AN47,6,FALSE) &amp; " - " &amp; VLOOKUP(2,AD44:AN47,7,FALSE)</f>
        <v>3 - 3</v>
      </c>
      <c r="P46" s="34">
        <f>L46*3+M46</f>
        <v>3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1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2</v>
      </c>
      <c r="AN46" s="123">
        <f>AF46*3+AG46</f>
        <v>5</v>
      </c>
      <c r="AO46" s="123">
        <f>AN46/AN48*10+BA46</f>
        <v>8.3333333333333339</v>
      </c>
      <c r="AP46" s="123">
        <f>AO46*10000000+BI46*100+AM46/AM48*10+AI46/AI48*1++IF(AQ46=0,ROW(),AQ46)/2000000</f>
        <v>83333340.750807658</v>
      </c>
      <c r="AQ46" s="126">
        <f>VLOOKUP(AE46,db_fifarank,2,FALSE)</f>
        <v>1615.3</v>
      </c>
      <c r="AR46" s="125">
        <f>AP46/AP48</f>
        <v>0.99999998800000123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Belgium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2 - 2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3</v>
      </c>
      <c r="AH47" s="123">
        <f>COUNTIF($S$7:$T$78,"=" &amp; AE47 &amp; "_lose")</f>
        <v>0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3</v>
      </c>
      <c r="AL47" s="123">
        <f>AI47-AJ47</f>
        <v>0</v>
      </c>
      <c r="AM47" s="123">
        <f>AL47-AL48</f>
        <v>1</v>
      </c>
      <c r="AN47" s="123">
        <f>AF47*3+AG47</f>
        <v>3</v>
      </c>
      <c r="AO47" s="123">
        <f>AN47/AN48*10+BA47</f>
        <v>5.9805825242718447</v>
      </c>
      <c r="AP47" s="123">
        <f>AO47*10000000+BI47*100+AM47/AM48*10+AI47/AI48*1++IF(AQ47=0,ROW(),AQ47)/2000000</f>
        <v>59805927.38494499</v>
      </c>
      <c r="AQ47" s="126">
        <f>VLOOKUP(AE47,db_fifarank,2,FALSE)</f>
        <v>1281.57</v>
      </c>
      <c r="AR47" s="125">
        <f>AP47/AP48</f>
        <v>0.71767105612760762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France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Egypt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1 - 2</v>
      </c>
      <c r="P48" s="37">
        <f>L48*3+M48</f>
        <v>2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2</v>
      </c>
      <c r="AG48" s="123">
        <f t="shared" si="24"/>
        <v>2</v>
      </c>
      <c r="AH48" s="123">
        <f t="shared" si="24"/>
        <v>2</v>
      </c>
      <c r="AI48" s="123">
        <f>MAX(AI44:AI47)+1</f>
        <v>4</v>
      </c>
      <c r="AL48" s="123">
        <f>MIN(AL44:AL47)</f>
        <v>-1</v>
      </c>
      <c r="AM48" s="123">
        <f>MAX(AM44:AM47)+1</f>
        <v>3</v>
      </c>
      <c r="AN48" s="123">
        <f>MAX(AN44:AN47)+1</f>
        <v>6</v>
      </c>
      <c r="AO48" s="123">
        <f>MAX(AO44:AO47)+1</f>
        <v>9.3333333333333339</v>
      </c>
      <c r="AP48" s="123">
        <f>MAX(AP44:AP47)+1</f>
        <v>83333341.750807658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Morocco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Brazil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2</v>
      </c>
      <c r="AL50" s="123">
        <f>AI50-AJ50</f>
        <v>6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90000010.056493774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5</v>
      </c>
      <c r="AL51" s="123">
        <f>AI51-AJ51</f>
        <v>-3</v>
      </c>
      <c r="AM51" s="123">
        <f>AL51-AL54</f>
        <v>2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30000001.889571957</v>
      </c>
      <c r="AQ51" s="126">
        <f>VLOOKUP(AE51,db_fifarank,2,FALSE)</f>
        <v>1366.13</v>
      </c>
      <c r="AR51" s="125">
        <f>AP51/AP54</f>
        <v>0.33333331337860284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0.11182182611111111</v>
      </c>
      <c r="AQ52" s="126">
        <f>VLOOKUP(AE52,db_fifarank,2,FALSE)</f>
        <v>1421.43</v>
      </c>
      <c r="AR52" s="125">
        <f>AP52/AP54</f>
        <v>1.2424645819312132E-9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60000006.389725424</v>
      </c>
      <c r="AQ53" s="126">
        <f>VLOOKUP(AE53,db_fifarank,2,FALSE)</f>
        <v>1673.07</v>
      </c>
      <c r="AR53" s="125">
        <f>AP53/AP54</f>
        <v>0.66666665576366324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-5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90000011.056493774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Morocco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1</v>
      </c>
      <c r="AG56" s="123">
        <f>COUNTIF($S$7:$T$78,"=" &amp; AE56 &amp; "_draw")</f>
        <v>2</v>
      </c>
      <c r="AH56" s="123">
        <f>COUNTIF($S$7:$T$78,"=" &amp; AE56 &amp; "_lose")</f>
        <v>0</v>
      </c>
      <c r="AI56" s="123">
        <f>SUMIF($E$7:$E$78,$AE56,$F$7:$F$78) + SUMIF($H$7:$H$78,$AE56,$G$7:$G$78)</f>
        <v>3</v>
      </c>
      <c r="AJ56" s="123">
        <f>SUMIF($E$7:$E$78,$AE56,$G$7:$G$78) + SUMIF($H$7:$H$78,$AE56,$F$7:$F$78)</f>
        <v>1</v>
      </c>
      <c r="AL56" s="123">
        <f>AI56-AJ56</f>
        <v>2</v>
      </c>
      <c r="AM56" s="123">
        <f>AL56-AL60</f>
        <v>5</v>
      </c>
      <c r="AN56" s="123">
        <f>AF56*3+AG56</f>
        <v>5</v>
      </c>
      <c r="AO56" s="123">
        <f>AN56/AN60*10+BA56</f>
        <v>6.25</v>
      </c>
      <c r="AP56" s="123">
        <f>AO56*10000000+BI56*100+AM56/AM60*10+AI56/AI60*1++IF(AQ56=0,ROW(),AQ56)/2000000</f>
        <v>62500008.834271997</v>
      </c>
      <c r="AQ56" s="126">
        <f>VLOOKUP(AE56,db_fifarank,2,FALSE)</f>
        <v>1877.32</v>
      </c>
      <c r="AR56" s="125">
        <f>AP56/AP60</f>
        <v>0.71428573224872971</v>
      </c>
      <c r="AS56" s="125" t="str">
        <f>IF(SUM(AF56:AH59)=12,J57,"1I")</f>
        <v>Senegal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Senegal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1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5</v>
      </c>
      <c r="AN57" s="123">
        <f>AF57*3+AG57</f>
        <v>7</v>
      </c>
      <c r="AO57" s="123">
        <f>AN57/AN60*10+BA57</f>
        <v>8.75</v>
      </c>
      <c r="AP57" s="123">
        <f>AO57*10000000+BI57*100+AM57/AM60*10+AI57/AI60*1++IF(AQ57=0,ROW(),AQ57)/2000000</f>
        <v>87500009.16751115</v>
      </c>
      <c r="AQ57" s="126">
        <f>VLOOKUP(AE57,db_fifarank,2,FALSE)</f>
        <v>1688.99</v>
      </c>
      <c r="AR57" s="125">
        <f>AP57/AP60</f>
        <v>0.99999998857142991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3 - 1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4</v>
      </c>
      <c r="AL58" s="123">
        <f>AI58-AJ58</f>
        <v>-3</v>
      </c>
      <c r="AM58" s="123">
        <f>AL58-AL60</f>
        <v>0</v>
      </c>
      <c r="AN58" s="123">
        <f>AF58*3+AG58</f>
        <v>1</v>
      </c>
      <c r="AO58" s="123">
        <f>AN58/AN60*10+BA58</f>
        <v>1.25</v>
      </c>
      <c r="AP58" s="123">
        <f>AO58*10000000+BI58*100+AM58/AM60*10+AI58/AI60*1++IF(AQ58=0,ROW(),AQ58)/2000000</f>
        <v>12500000.167390237</v>
      </c>
      <c r="AQ58" s="126">
        <f>VLOOKUP(AE58,db_fifarank,2,FALSE)</f>
        <v>1447.14</v>
      </c>
      <c r="AR58" s="125">
        <f>AP58/AP60</f>
        <v>0.14285712817015764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0</v>
      </c>
      <c r="M59" s="23">
        <f>VLOOKUP(3,AD56:AN59,4,FALSE)</f>
        <v>2</v>
      </c>
      <c r="N59" s="23">
        <f>VLOOKUP(3,AD56:AN59,5,FALSE)</f>
        <v>1</v>
      </c>
      <c r="O59" s="23" t="str">
        <f>VLOOKUP(3,AD56:AN59,6,FALSE) &amp; " - " &amp; VLOOKUP(3,AD56:AN59,7,FALSE)</f>
        <v>1 - 2</v>
      </c>
      <c r="P59" s="34">
        <f>L59*3+M59</f>
        <v>2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0</v>
      </c>
      <c r="AG59" s="123">
        <f>COUNTIF($S$7:$T$78,"=" &amp; AE59 &amp; "_draw")</f>
        <v>2</v>
      </c>
      <c r="AH59" s="123">
        <f>COUNTIF($S$7:$T$78,"=" &amp; AE59 &amp; "_lose")</f>
        <v>1</v>
      </c>
      <c r="AI59" s="123">
        <f>SUMIF($E$7:$E$78,$AE59,$F$7:$F$78) + SUMIF($H$7:$H$78,$AE59,$G$7:$G$78)</f>
        <v>1</v>
      </c>
      <c r="AJ59" s="123">
        <f>SUMIF($E$7:$E$78,$AE59,$G$7:$G$78) + SUMIF($H$7:$H$78,$AE59,$F$7:$F$78)</f>
        <v>2</v>
      </c>
      <c r="AL59" s="123">
        <f>AI59-AJ59</f>
        <v>-1</v>
      </c>
      <c r="AM59" s="123">
        <f>AL59-AL60</f>
        <v>2</v>
      </c>
      <c r="AN59" s="123">
        <f>AF59*3+AG59</f>
        <v>2</v>
      </c>
      <c r="AO59" s="123">
        <f>AN59/AN60*10+BA59</f>
        <v>2.5</v>
      </c>
      <c r="AP59" s="123">
        <f>AO59*10000000+BI59*100+AM59/AM60*10+AI59/AI60*1++IF(AQ59=0,ROW(),AQ59)/2000000</f>
        <v>25000003.500775471</v>
      </c>
      <c r="AQ59" s="126">
        <f>VLOOKUP(AE59,db_fifarank,2,FALSE)</f>
        <v>1550.94</v>
      </c>
      <c r="AR59" s="125">
        <f>AP59/AP60</f>
        <v>0.28571429252311104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1 - 4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3</v>
      </c>
      <c r="AI60" s="123">
        <f>MAX(AI56:AI59)+1</f>
        <v>6</v>
      </c>
      <c r="AL60" s="123">
        <f>MIN(AL56:AL59)</f>
        <v>-3</v>
      </c>
      <c r="AM60" s="123">
        <f>MAX(AM56:AM59)+1</f>
        <v>6</v>
      </c>
      <c r="AN60" s="123">
        <f>MAX(AN56:AN59)+1</f>
        <v>8</v>
      </c>
      <c r="AO60" s="123">
        <f>MAX(AO56:AO59)+1</f>
        <v>9.75</v>
      </c>
      <c r="AP60" s="123">
        <f>MAX(AP56:AP59)+1</f>
        <v>87500010.16751115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New Zealand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90000009.764826313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1</v>
      </c>
      <c r="V63" s="123">
        <f t="shared" si="21"/>
        <v>0</v>
      </c>
      <c r="W63" s="123">
        <f t="shared" si="22"/>
        <v>1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5</v>
      </c>
      <c r="AL63" s="123">
        <f>AI63-AJ63</f>
        <v>-2</v>
      </c>
      <c r="AM63" s="123">
        <f>AL63-AL66</f>
        <v>0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20000000.375782128</v>
      </c>
      <c r="AQ63" s="126">
        <f>VLOOKUP(AE63,db_fifarank,2,FALSE)</f>
        <v>1564.26</v>
      </c>
      <c r="AR63" s="125">
        <f>AP63/AP66</f>
        <v>0.22222219981776384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New Zealand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3 - 5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5</v>
      </c>
      <c r="AL64" s="123">
        <f>AI64-AJ64</f>
        <v>-2</v>
      </c>
      <c r="AM64" s="123">
        <f>AL64-AL66</f>
        <v>0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40000000.375796728</v>
      </c>
      <c r="AQ64" s="126">
        <f>VLOOKUP(AE64,db_fifarank,2,FALSE)</f>
        <v>1593.45</v>
      </c>
      <c r="AR64" s="125">
        <f>AP64/AP66</f>
        <v>0.44444439546033337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4</v>
      </c>
      <c r="AJ65" s="123">
        <f>SUMIF($E$7:$E$78,$AE65,$G$7:$G$78) + SUMIF($H$7:$H$78,$AE65,$F$7:$F$78)</f>
        <v>6</v>
      </c>
      <c r="AL65" s="123">
        <f>AI65-AJ65</f>
        <v>-2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10000000.500695726</v>
      </c>
      <c r="AQ65" s="126">
        <f>VLOOKUP(AE65,db_fifarank,2,FALSE)</f>
        <v>1391.45</v>
      </c>
      <c r="AR65" s="125">
        <f>AP65/AP66</f>
        <v>0.11111110338448885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Canada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4 - 6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8</v>
      </c>
      <c r="AL66" s="123">
        <f>MIN(AL62:AL65)</f>
        <v>-2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90000010.764826313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0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Belgium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0</v>
      </c>
      <c r="AH68" s="123">
        <f>COUNTIF($S$7:$T$78,"=" &amp; AE68 &amp; "_lose")</f>
        <v>1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3</v>
      </c>
      <c r="AL68" s="123">
        <f>AI68-AJ68</f>
        <v>3</v>
      </c>
      <c r="AM68" s="123">
        <f>AL68-AL72</f>
        <v>7</v>
      </c>
      <c r="AN68" s="123">
        <f>AF68*3+AG68</f>
        <v>6</v>
      </c>
      <c r="AO68" s="123">
        <f>AN68/AN72*10+BA68</f>
        <v>6</v>
      </c>
      <c r="AP68" s="123">
        <f>AO68*10000000+BI68*100+AM68/AM72*10+AI68/AI72*1++IF(AQ68=0,ROW(),AQ68)/2000000</f>
        <v>60000008.635802552</v>
      </c>
      <c r="AQ68" s="126">
        <f>VLOOKUP(AE68,db_fifarank,2,FALSE)</f>
        <v>1763.83</v>
      </c>
      <c r="AR68" s="125">
        <f>AP68/AP72</f>
        <v>0.6666666830135205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1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30000001.540421717</v>
      </c>
      <c r="AQ69" s="126">
        <f>VLOOKUP(AE69,db_fifarank,2,FALSE)</f>
        <v>1478.35</v>
      </c>
      <c r="AR69" s="125">
        <f>AP69/AP72</f>
        <v>0.33333331064587995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Colombia</v>
      </c>
      <c r="BT69" s="62">
        <v>0</v>
      </c>
      <c r="BU69" s="64"/>
      <c r="BV69" s="27"/>
      <c r="BW69" s="112">
        <f>IF(BW68="","",BT69*1000+BU69*10+BV69)</f>
        <v>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1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1</v>
      </c>
      <c r="V70" s="123">
        <f t="shared" si="21"/>
        <v>1</v>
      </c>
      <c r="W70" s="123">
        <f t="shared" si="22"/>
        <v>1</v>
      </c>
      <c r="X70" s="123">
        <f t="shared" si="9"/>
        <v>1</v>
      </c>
      <c r="Y70" s="123">
        <f t="shared" si="10"/>
        <v>1</v>
      </c>
      <c r="Z70" s="123">
        <f t="shared" si="11"/>
        <v>1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0.28644695571428569</v>
      </c>
      <c r="AQ70" s="126">
        <f>VLOOKUP(AE70,db_fifarank,2,FALSE)</f>
        <v>1465.34</v>
      </c>
      <c r="AR70" s="125">
        <f>AP70/AP72</f>
        <v>3.1827435723303097E-9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Colombia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3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8</v>
      </c>
      <c r="AN71" s="123">
        <f>AF71*3+AG71</f>
        <v>9</v>
      </c>
      <c r="AO71" s="123">
        <f>AN71/AN72*10+BA71</f>
        <v>9</v>
      </c>
      <c r="AP71" s="123">
        <f>AO71*10000000+BI71*100+AM71/AM72*10+AI71/AI72*1++IF(AQ71=0,ROW(),AQ71)/2000000</f>
        <v>90000009.746878296</v>
      </c>
      <c r="AQ71" s="126">
        <f>VLOOKUP(AE71,db_fifarank,2,FALSE)</f>
        <v>1693.09</v>
      </c>
      <c r="AR71" s="125">
        <f>AP71/AP72</f>
        <v>0.99999998888889019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10</v>
      </c>
      <c r="AO72" s="123">
        <f>MAX(AO68:AO71)+1</f>
        <v>10</v>
      </c>
      <c r="AP72" s="123">
        <f>MAX(AP68:AP71)+1</f>
        <v>90000010.746878296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7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97305932.766169578</v>
      </c>
      <c r="AQ74" s="126">
        <f>VLOOKUP(AE74,db_fifarank,2,FALSE)</f>
        <v>1825.97</v>
      </c>
      <c r="AR74" s="125">
        <f>AP74/AP78</f>
        <v>0.99999998825557046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7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97305932.908972263</v>
      </c>
      <c r="AQ75" s="126">
        <f>VLOOKUP(AE75,db_fifarank,2,FALSE)</f>
        <v>1717.07</v>
      </c>
      <c r="AR75" s="125">
        <f>AP75/AP78</f>
        <v>0.99999998972313442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7</v>
      </c>
      <c r="AL76" s="123">
        <f>AI76-AJ76</f>
        <v>-4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0.42924458357142853</v>
      </c>
      <c r="AQ76" s="126">
        <f>VLOOKUP(AE76,db_fifarank,2,FALSE)</f>
        <v>1346.31</v>
      </c>
      <c r="AR76" s="125">
        <f>AP76/AP78</f>
        <v>4.4112888734306601E-9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1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Colombia_win</v>
      </c>
      <c r="T77" s="127" t="str">
        <f t="shared" si="20"/>
        <v>Portugal_lose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3</v>
      </c>
      <c r="AL77" s="123">
        <f>AI77-AJ77</f>
        <v>-2</v>
      </c>
      <c r="AM77" s="123">
        <f>AL77-AL78</f>
        <v>2</v>
      </c>
      <c r="AN77" s="123">
        <f>AF77*3+AG77</f>
        <v>3</v>
      </c>
      <c r="AO77" s="123">
        <f>AN77/AN78*10+BA77</f>
        <v>3.75</v>
      </c>
      <c r="AP77" s="123">
        <f>AO77*10000000+BI77*100+AM77/AM78*10+AI77/AI78*1++IF(AQ77=0,ROW(),AQ77)/2000000</f>
        <v>37500002.643627465</v>
      </c>
      <c r="AQ77" s="126">
        <f>VLOOKUP(AE77,db_fifarank,2,FALSE)</f>
        <v>1540.64</v>
      </c>
      <c r="AR77" s="125">
        <f>AP77/AP78</f>
        <v>0.38538248529332197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3 - 7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8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97305933.908972263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5</v>
      </c>
      <c r="AJ80" s="123">
        <f>VLOOKUP($AE80,$AE$8:$AQ$78,6,FALSE)</f>
        <v>3</v>
      </c>
      <c r="AK80" s="123" t="s">
        <v>3180</v>
      </c>
      <c r="AL80" s="123">
        <f>VLOOKUP($AE80,$AE$8:$AQ$78,8,FALSE)</f>
        <v>2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8916.667417356668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Czech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12</v>
      </c>
      <c r="AE81" s="124" t="str">
        <f>J17</f>
        <v>Switzerland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4183.3341580333336</v>
      </c>
      <c r="AQ81" s="126">
        <f t="shared" si="37"/>
        <v>1649.4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Switzerland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47">L82+M82+N82</f>
        <v>3</v>
      </c>
      <c r="L82" s="100">
        <f>VLOOKUP(2,$AD$80:$AN$91,3,FALSE)</f>
        <v>0</v>
      </c>
      <c r="M82" s="100">
        <f>VLOOKUP(2,$AD$80:$AN$91,4,FALSE)</f>
        <v>3</v>
      </c>
      <c r="N82" s="100">
        <f>VLOOKUP(2,$AD$80:$AN$91,5,FALSE)</f>
        <v>0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3</v>
      </c>
      <c r="AK82" s="123" t="s">
        <v>3182</v>
      </c>
      <c r="AL82" s="123">
        <f t="shared" si="43"/>
        <v>-1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6366.6674158416663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Ⓖ Belgium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2 - 2</v>
      </c>
      <c r="P83" s="101">
        <f t="shared" si="48"/>
        <v>3</v>
      </c>
      <c r="AD83" s="123">
        <f t="shared" si="38"/>
        <v>2</v>
      </c>
      <c r="AE83" s="124" t="str">
        <f>J29</f>
        <v>Australia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4</v>
      </c>
      <c r="AJ83" s="123">
        <f t="shared" si="42"/>
        <v>4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6566.6674570016667</v>
      </c>
      <c r="AQ83" s="126">
        <f t="shared" si="37"/>
        <v>1580.67</v>
      </c>
      <c r="AR83" s="125" t="str">
        <f t="shared" si="50"/>
        <v>ACD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Japan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6183.3339806583335</v>
      </c>
      <c r="AQ84" s="126">
        <f t="shared" si="37"/>
        <v>1294.6500000000001</v>
      </c>
      <c r="AR84" s="125" t="str">
        <f t="shared" si="50"/>
        <v>ACDE</v>
      </c>
      <c r="AS84" s="129" t="str">
        <f t="shared" si="46"/>
        <v>Curaçao</v>
      </c>
      <c r="AT84" s="130" t="str">
        <f>"Ⓔ "&amp;AE84</f>
        <v>Ⓔ Curaçao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Senegal</v>
      </c>
      <c r="T85" s="127" t="str" cm="1">
        <f t="array" ref="T85">IF(OR(S85="",S85="draw"),INDEX(T,87,lang),S85)</f>
        <v>Senegal</v>
      </c>
      <c r="AD85" s="123">
        <f t="shared" si="38"/>
        <v>4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6366.667496881666</v>
      </c>
      <c r="AQ85" s="126">
        <f t="shared" si="37"/>
        <v>1660.43</v>
      </c>
      <c r="AR85" s="125" t="str">
        <f t="shared" si="50"/>
        <v>ACDEF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Ⓛ Panama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3</v>
      </c>
      <c r="AE86" s="124" t="str">
        <f>J47</f>
        <v>Belgium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2</v>
      </c>
      <c r="AJ86" s="123">
        <f t="shared" si="42"/>
        <v>2</v>
      </c>
      <c r="AK86" s="123" t="s">
        <v>3187</v>
      </c>
      <c r="AL86" s="123">
        <f t="shared" si="43"/>
        <v>0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6533.3342006883331</v>
      </c>
      <c r="AQ86" s="126">
        <f t="shared" si="37"/>
        <v>1734.71</v>
      </c>
      <c r="AR86" s="125" t="str">
        <f t="shared" si="50"/>
        <v>ACDEFG</v>
      </c>
      <c r="AS86" s="129" t="str">
        <f t="shared" si="46"/>
        <v>Belgium</v>
      </c>
      <c r="AT86" s="130" t="str">
        <f>"Ⓖ "&amp;AE86</f>
        <v>Ⓖ Belgium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Curaçao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6033.334016398333</v>
      </c>
      <c r="AQ87" s="126">
        <f t="shared" si="37"/>
        <v>1366.13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10</v>
      </c>
      <c r="AE88" s="124" t="str">
        <f>J59</f>
        <v>Norway</v>
      </c>
      <c r="AF88" s="123">
        <f t="shared" si="39"/>
        <v>0</v>
      </c>
      <c r="AG88" s="123">
        <f t="shared" si="49"/>
        <v>2</v>
      </c>
      <c r="AH88" s="123">
        <f t="shared" si="40"/>
        <v>1</v>
      </c>
      <c r="AI88" s="123">
        <f t="shared" si="41"/>
        <v>1</v>
      </c>
      <c r="AJ88" s="123">
        <f t="shared" si="42"/>
        <v>2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2</v>
      </c>
      <c r="AP88" s="123">
        <f>AN88/AN92*10000+AM88/AM92*1000+AI88/AI92*100+IF(AQ88=0,ROW(),AQ88)/2000000</f>
        <v>4350.00077547</v>
      </c>
      <c r="AQ88" s="126">
        <f t="shared" si="37"/>
        <v>1550.94</v>
      </c>
      <c r="AR88" s="125" t="str">
        <f t="shared" si="50"/>
        <v>ACDEFG</v>
      </c>
      <c r="AS88" s="129" t="str">
        <f t="shared" si="46"/>
        <v/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Cape Verde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4216.6674487966666</v>
      </c>
      <c r="AQ89" s="126">
        <f t="shared" si="37"/>
        <v>1564.26</v>
      </c>
      <c r="AR89" s="125" t="str">
        <f t="shared" si="50"/>
        <v>ACDEFG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Ⓘ Norway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1 - 2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6050.0007391749996</v>
      </c>
      <c r="AQ90" s="126">
        <f t="shared" si="37"/>
        <v>1478.35</v>
      </c>
      <c r="AR90" s="125" t="str">
        <f t="shared" si="50"/>
        <v>ACDEFGK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3 - 5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6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3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6183.3341036533338</v>
      </c>
      <c r="AQ91" s="126">
        <f t="shared" si="37"/>
        <v>1540.64</v>
      </c>
      <c r="AR91" s="125" t="str">
        <f t="shared" si="50"/>
        <v>ACDEFGKL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Ⓑ Switzerland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1 - 3</v>
      </c>
      <c r="P92" s="107">
        <f t="shared" si="48"/>
        <v>2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Brazil</v>
      </c>
      <c r="T102" s="127" t="str" cm="1">
        <f t="array" ref="T102">IF(OR(S102="",S102="draw"),INDEX(T,98,lang),S102)</f>
        <v>Brazil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Germany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Germany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276</v>
      </c>
      <c r="C3" s="121" t="str">
        <f>'2026 World Cup'!AR91</f>
        <v>ACDEFGKL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2026-05-30T09:52:37Z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