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pi\Documents\"/>
    </mc:Choice>
  </mc:AlternateContent>
  <xr:revisionPtr revIDLastSave="0" documentId="8_{38592C99-0B95-4AB8-AC69-042EBB7403F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T23" i="3"/>
  <c r="T48" i="3"/>
  <c r="T43" i="3"/>
  <c r="S72" i="3"/>
  <c r="T19" i="3"/>
  <c r="S70" i="3"/>
  <c r="S42" i="3"/>
  <c r="S64" i="3"/>
  <c r="T18" i="3"/>
  <c r="T41" i="3"/>
  <c r="S40" i="3"/>
  <c r="S62" i="3"/>
  <c r="T16" i="3"/>
  <c r="S38" i="3"/>
  <c r="S65" i="3"/>
  <c r="T37" i="3"/>
  <c r="S55" i="3"/>
  <c r="T56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34" i="3"/>
  <c r="AR33" i="3"/>
  <c r="AR35" i="3"/>
  <c r="AR9" i="3"/>
  <c r="AR10" i="3"/>
  <c r="AR11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2" i="3" l="1"/>
  <c r="AD35" i="3"/>
  <c r="AD8" i="3"/>
  <c r="AD9" i="3"/>
  <c r="AD34" i="3"/>
  <c r="AD14" i="3"/>
  <c r="AD10" i="3"/>
  <c r="AD33" i="3"/>
  <c r="AD68" i="3"/>
  <c r="L69" i="3" s="1"/>
  <c r="M58" i="3"/>
  <c r="AD70" i="3"/>
  <c r="AD11" i="3"/>
  <c r="AD41" i="3"/>
  <c r="AD22" i="3"/>
  <c r="AD28" i="3"/>
  <c r="AD75" i="3"/>
  <c r="AD20" i="3"/>
  <c r="L58" i="3"/>
  <c r="O60" i="3"/>
  <c r="AD44" i="3"/>
  <c r="AD77" i="3"/>
  <c r="AD21" i="3"/>
  <c r="M59" i="3"/>
  <c r="N58" i="3"/>
  <c r="L59" i="3"/>
  <c r="AD63" i="3"/>
  <c r="AD15" i="3"/>
  <c r="AD47" i="3"/>
  <c r="AD62" i="3"/>
  <c r="AD26" i="3"/>
  <c r="AD27" i="3"/>
  <c r="AD76" i="3"/>
  <c r="AD74" i="3"/>
  <c r="AD71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N10" i="3"/>
  <c r="J10" i="3"/>
  <c r="AS9" i="3" s="1"/>
  <c r="BL18" i="3" s="1"/>
  <c r="J33" i="3"/>
  <c r="AS32" i="3" s="1"/>
  <c r="BL10" i="3" s="1"/>
  <c r="N33" i="3"/>
  <c r="L33" i="3"/>
  <c r="O33" i="3"/>
  <c r="M33" i="3"/>
  <c r="J12" i="3" l="1"/>
  <c r="L12" i="3"/>
  <c r="O10" i="3"/>
  <c r="S88" i="3"/>
  <c r="T88" i="3" s="1" a="1"/>
  <c r="T88" i="3" s="1"/>
  <c r="BS20" i="3"/>
  <c r="O12" i="3"/>
  <c r="M63" i="3"/>
  <c r="N12" i="3"/>
  <c r="L34" i="3"/>
  <c r="P58" i="3"/>
  <c r="M12" i="3"/>
  <c r="P12" i="3" s="1"/>
  <c r="M11" i="3"/>
  <c r="M9" i="3"/>
  <c r="L36" i="3"/>
  <c r="M34" i="3"/>
  <c r="M35" i="3"/>
  <c r="J36" i="3"/>
  <c r="N36" i="3"/>
  <c r="J35" i="3"/>
  <c r="AE84" i="3" s="1"/>
  <c r="AQ84" i="3" s="1"/>
  <c r="N35" i="3"/>
  <c r="N34" i="3"/>
  <c r="J34" i="3"/>
  <c r="AS33" i="3" s="1"/>
  <c r="BL46" i="3" s="1"/>
  <c r="BS45" i="3" s="1"/>
  <c r="L35" i="3"/>
  <c r="M36" i="3"/>
  <c r="O36" i="3"/>
  <c r="O34" i="3"/>
  <c r="O35" i="3"/>
  <c r="J69" i="3"/>
  <c r="AS68" i="3" s="1"/>
  <c r="BL70" i="3" s="1"/>
  <c r="O69" i="3"/>
  <c r="N69" i="3"/>
  <c r="M69" i="3"/>
  <c r="N9" i="3"/>
  <c r="J18" i="3"/>
  <c r="O9" i="3"/>
  <c r="L9" i="3"/>
  <c r="J9" i="3"/>
  <c r="AS8" i="3" s="1"/>
  <c r="BL50" i="3" s="1"/>
  <c r="L10" i="3"/>
  <c r="M10" i="3"/>
  <c r="J11" i="3"/>
  <c r="AE80" i="3" s="1"/>
  <c r="AQ80" i="3" s="1"/>
  <c r="O11" i="3"/>
  <c r="L11" i="3"/>
  <c r="N11" i="3"/>
  <c r="M75" i="3"/>
  <c r="J45" i="3"/>
  <c r="AS44" i="3" s="1"/>
  <c r="BL38" i="3" s="1"/>
  <c r="M51" i="3"/>
  <c r="L76" i="3"/>
  <c r="L39" i="3"/>
  <c r="J75" i="3"/>
  <c r="AS74" i="3" s="1"/>
  <c r="BL54" i="3" s="1"/>
  <c r="K59" i="3"/>
  <c r="P59" i="3"/>
  <c r="L75" i="3"/>
  <c r="M22" i="3"/>
  <c r="M27" i="3"/>
  <c r="N77" i="3"/>
  <c r="O16" i="3"/>
  <c r="N78" i="3"/>
  <c r="L21" i="3"/>
  <c r="J21" i="3"/>
  <c r="AS20" i="3" s="1"/>
  <c r="BL42" i="3" s="1"/>
  <c r="M21" i="3"/>
  <c r="N21" i="3"/>
  <c r="O21" i="3"/>
  <c r="K58" i="3"/>
  <c r="L16" i="3"/>
  <c r="O45" i="3"/>
  <c r="L45" i="3"/>
  <c r="J22" i="3"/>
  <c r="AS21" i="3" s="1"/>
  <c r="BL23" i="3" s="1"/>
  <c r="N45" i="3"/>
  <c r="N16" i="3"/>
  <c r="O47" i="3"/>
  <c r="M45" i="3"/>
  <c r="L22" i="3"/>
  <c r="J16" i="3"/>
  <c r="AS15" i="3" s="1"/>
  <c r="BL19" i="3" s="1"/>
  <c r="M16" i="3"/>
  <c r="O24" i="3"/>
  <c r="O27" i="3"/>
  <c r="J24" i="3"/>
  <c r="M29" i="3"/>
  <c r="N22" i="3"/>
  <c r="M24" i="3"/>
  <c r="L24" i="3"/>
  <c r="L46" i="3"/>
  <c r="L23" i="3"/>
  <c r="N24" i="3"/>
  <c r="O22" i="3"/>
  <c r="M18" i="3"/>
  <c r="L18" i="3"/>
  <c r="N18" i="3"/>
  <c r="O18" i="3"/>
  <c r="L47" i="3"/>
  <c r="M47" i="3"/>
  <c r="N47" i="3"/>
  <c r="L48" i="3"/>
  <c r="L70" i="3"/>
  <c r="O65" i="3"/>
  <c r="J47" i="3"/>
  <c r="AE86" i="3" s="1"/>
  <c r="AQ86" i="3" s="1"/>
  <c r="O23" i="3"/>
  <c r="L65" i="3"/>
  <c r="J72" i="3"/>
  <c r="O48" i="3"/>
  <c r="O71" i="3"/>
  <c r="L63" i="3"/>
  <c r="J46" i="3"/>
  <c r="AS45" i="3" s="1"/>
  <c r="BL63" i="3" s="1"/>
  <c r="L71" i="3"/>
  <c r="M48" i="3"/>
  <c r="J41" i="3"/>
  <c r="AE85" i="3" s="1"/>
  <c r="AQ85" i="3" s="1"/>
  <c r="J40" i="3"/>
  <c r="AS39" i="3" s="1"/>
  <c r="BL43" i="3" s="1"/>
  <c r="O51" i="3"/>
  <c r="M30" i="3"/>
  <c r="N53" i="3"/>
  <c r="N54" i="3"/>
  <c r="N27" i="3"/>
  <c r="J52" i="3"/>
  <c r="AS51" i="3" s="1"/>
  <c r="BL59" i="3" s="1"/>
  <c r="L27" i="3"/>
  <c r="J29" i="3"/>
  <c r="AE83" i="3" s="1"/>
  <c r="AQ83" i="3" s="1"/>
  <c r="O30" i="3"/>
  <c r="O29" i="3"/>
  <c r="J30" i="3"/>
  <c r="L29" i="3"/>
  <c r="J51" i="3"/>
  <c r="AS50" i="3" s="1"/>
  <c r="BL30" i="3" s="1"/>
  <c r="N51" i="3"/>
  <c r="L78" i="3"/>
  <c r="J27" i="3"/>
  <c r="AS26" i="3" s="1"/>
  <c r="BL34" i="3" s="1"/>
  <c r="L51" i="3"/>
  <c r="M42" i="3"/>
  <c r="L30" i="3"/>
  <c r="N29" i="3"/>
  <c r="L40" i="3"/>
  <c r="N30" i="3"/>
  <c r="J64" i="3"/>
  <c r="AS63" i="3" s="1"/>
  <c r="BL31" i="3" s="1"/>
  <c r="J70" i="3"/>
  <c r="AS69" i="3" s="1"/>
  <c r="BL26" i="3" s="1"/>
  <c r="N71" i="3"/>
  <c r="N65" i="3"/>
  <c r="O46" i="3"/>
  <c r="M40" i="3"/>
  <c r="J42" i="3"/>
  <c r="J71" i="3"/>
  <c r="AE90" i="3" s="1"/>
  <c r="AQ90" i="3" s="1"/>
  <c r="M71" i="3"/>
  <c r="M65" i="3"/>
  <c r="J48" i="3"/>
  <c r="L42" i="3"/>
  <c r="O70" i="3"/>
  <c r="N46" i="3"/>
  <c r="O72" i="3"/>
  <c r="O64" i="3"/>
  <c r="N48" i="3"/>
  <c r="N40" i="3"/>
  <c r="O40" i="3"/>
  <c r="N70" i="3"/>
  <c r="M72" i="3"/>
  <c r="M70" i="3"/>
  <c r="J66" i="3"/>
  <c r="N63" i="3"/>
  <c r="M46" i="3"/>
  <c r="P46" i="3" s="1"/>
  <c r="M39" i="3"/>
  <c r="J39" i="3"/>
  <c r="AS38" i="3" s="1"/>
  <c r="BL22" i="3" s="1"/>
  <c r="AJ88" i="3"/>
  <c r="J63" i="3"/>
  <c r="AS62" i="3" s="1"/>
  <c r="BL58" i="3" s="1"/>
  <c r="BS60" i="3" s="1"/>
  <c r="BZ64" i="3" s="1"/>
  <c r="N72" i="3"/>
  <c r="J65" i="3"/>
  <c r="AE89" i="3" s="1"/>
  <c r="AQ89" i="3" s="1"/>
  <c r="O63" i="3"/>
  <c r="O39" i="3"/>
  <c r="N39" i="3"/>
  <c r="L72" i="3"/>
  <c r="O66" i="3"/>
  <c r="O42" i="3"/>
  <c r="AF88" i="3"/>
  <c r="P57" i="3"/>
  <c r="N17" i="3"/>
  <c r="N66" i="3"/>
  <c r="N64" i="3"/>
  <c r="J77" i="3"/>
  <c r="AE91" i="3" s="1"/>
  <c r="AQ91" i="3" s="1"/>
  <c r="O77" i="3"/>
  <c r="M66" i="3"/>
  <c r="M64" i="3"/>
  <c r="L66" i="3"/>
  <c r="L64" i="3"/>
  <c r="N28" i="3"/>
  <c r="L17" i="3"/>
  <c r="M41" i="3"/>
  <c r="M77" i="3"/>
  <c r="M78" i="3"/>
  <c r="N75" i="3"/>
  <c r="AI88" i="3"/>
  <c r="O75" i="3"/>
  <c r="M28" i="3"/>
  <c r="AG88" i="3"/>
  <c r="L54" i="3"/>
  <c r="O28" i="3"/>
  <c r="M17" i="3"/>
  <c r="O17" i="3"/>
  <c r="L77" i="3"/>
  <c r="M76" i="3"/>
  <c r="J76" i="3"/>
  <c r="AS75" i="3" s="1"/>
  <c r="BL27" i="3" s="1"/>
  <c r="J78" i="3"/>
  <c r="N52" i="3"/>
  <c r="M54" i="3"/>
  <c r="L28" i="3"/>
  <c r="O76" i="3"/>
  <c r="N76" i="3"/>
  <c r="J28" i="3"/>
  <c r="AS27" i="3" s="1"/>
  <c r="BL62" i="3" s="1"/>
  <c r="BS61" i="3" s="1"/>
  <c r="L15" i="3"/>
  <c r="AT88" i="3"/>
  <c r="O54" i="3"/>
  <c r="K57" i="3"/>
  <c r="O78" i="3"/>
  <c r="AN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9" i="3"/>
  <c r="P33" i="3"/>
  <c r="K33" i="3"/>
  <c r="P63" i="3" l="1"/>
  <c r="BS44" i="3"/>
  <c r="BZ48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P34" i="3"/>
  <c r="K12" i="3"/>
  <c r="P35" i="3"/>
  <c r="P9" i="3"/>
  <c r="P11" i="3"/>
  <c r="P36" i="3"/>
  <c r="K69" i="3"/>
  <c r="K35" i="3"/>
  <c r="AL84" i="3"/>
  <c r="P75" i="3"/>
  <c r="AN84" i="3"/>
  <c r="AH84" i="3"/>
  <c r="AG84" i="3"/>
  <c r="K34" i="3"/>
  <c r="K36" i="3"/>
  <c r="AJ84" i="3"/>
  <c r="AI84" i="3"/>
  <c r="AF84" i="3"/>
  <c r="AT84" i="3"/>
  <c r="K9" i="3"/>
  <c r="P10" i="3"/>
  <c r="AN80" i="3"/>
  <c r="K10" i="3"/>
  <c r="AL80" i="3"/>
  <c r="AJ80" i="3"/>
  <c r="AI80" i="3"/>
  <c r="AH80" i="3"/>
  <c r="AG80" i="3"/>
  <c r="AF80" i="3"/>
  <c r="AT80" i="3"/>
  <c r="K11" i="3"/>
  <c r="P51" i="3"/>
  <c r="P76" i="3"/>
  <c r="P39" i="3"/>
  <c r="K75" i="3"/>
  <c r="K39" i="3"/>
  <c r="P70" i="3"/>
  <c r="P29" i="3"/>
  <c r="P42" i="3"/>
  <c r="P22" i="3"/>
  <c r="P21" i="3"/>
  <c r="AF83" i="3"/>
  <c r="AT83" i="3"/>
  <c r="AN83" i="3"/>
  <c r="AL83" i="3"/>
  <c r="AJ83" i="3"/>
  <c r="AI83" i="3"/>
  <c r="P23" i="3"/>
  <c r="AH83" i="3"/>
  <c r="AG83" i="3"/>
  <c r="K21" i="3"/>
  <c r="P16" i="3"/>
  <c r="P18" i="3"/>
  <c r="K45" i="3"/>
  <c r="AL91" i="3"/>
  <c r="P45" i="3"/>
  <c r="AJ91" i="3"/>
  <c r="K18" i="3"/>
  <c r="K24" i="3"/>
  <c r="K47" i="3"/>
  <c r="K22" i="3"/>
  <c r="K29" i="3"/>
  <c r="AH89" i="3"/>
  <c r="P54" i="3"/>
  <c r="AG89" i="3"/>
  <c r="AT86" i="3"/>
  <c r="P65" i="3"/>
  <c r="K16" i="3"/>
  <c r="AN86" i="3"/>
  <c r="P24" i="3"/>
  <c r="K64" i="3"/>
  <c r="K48" i="3"/>
  <c r="AL85" i="3"/>
  <c r="P41" i="3"/>
  <c r="AI85" i="3"/>
  <c r="AJ85" i="3"/>
  <c r="AH85" i="3"/>
  <c r="P47" i="3"/>
  <c r="AG85" i="3"/>
  <c r="P77" i="3"/>
  <c r="K70" i="3"/>
  <c r="K65" i="3"/>
  <c r="P48" i="3"/>
  <c r="AF85" i="3"/>
  <c r="AT85" i="3"/>
  <c r="AN85" i="3"/>
  <c r="AN90" i="3"/>
  <c r="AL87" i="3"/>
  <c r="AI91" i="3"/>
  <c r="AG82" i="3"/>
  <c r="AH91" i="3"/>
  <c r="K42" i="3"/>
  <c r="AF91" i="3"/>
  <c r="K40" i="3"/>
  <c r="P71" i="3"/>
  <c r="AT91" i="3"/>
  <c r="AN91" i="3"/>
  <c r="P17" i="3"/>
  <c r="AL86" i="3"/>
  <c r="AF89" i="3"/>
  <c r="AJ86" i="3"/>
  <c r="K41" i="3"/>
  <c r="P66" i="3"/>
  <c r="K72" i="3"/>
  <c r="K30" i="3"/>
  <c r="AH86" i="3"/>
  <c r="AL89" i="3"/>
  <c r="AI86" i="3"/>
  <c r="AT82" i="3"/>
  <c r="P40" i="3"/>
  <c r="AG86" i="3"/>
  <c r="AJ89" i="3"/>
  <c r="AN89" i="3"/>
  <c r="AN82" i="3"/>
  <c r="AF86" i="3"/>
  <c r="AN87" i="3"/>
  <c r="AI89" i="3"/>
  <c r="K71" i="3"/>
  <c r="K27" i="3"/>
  <c r="P15" i="3"/>
  <c r="P30" i="3"/>
  <c r="K63" i="3"/>
  <c r="K51" i="3"/>
  <c r="K77" i="3"/>
  <c r="K46" i="3"/>
  <c r="AT87" i="3"/>
  <c r="K15" i="3"/>
  <c r="P28" i="3"/>
  <c r="K78" i="3"/>
  <c r="P27" i="3"/>
  <c r="AH87" i="3"/>
  <c r="K53" i="3"/>
  <c r="K54" i="3"/>
  <c r="AG87" i="3"/>
  <c r="AL90" i="3"/>
  <c r="AJ90" i="3"/>
  <c r="AI90" i="3"/>
  <c r="K17" i="3"/>
  <c r="AH90" i="3"/>
  <c r="P72" i="3"/>
  <c r="AF90" i="3"/>
  <c r="P64" i="3"/>
  <c r="AG90" i="3"/>
  <c r="AF87" i="3"/>
  <c r="K66" i="3"/>
  <c r="AT89" i="3"/>
  <c r="AT90" i="3"/>
  <c r="AG91" i="3"/>
  <c r="AG81" i="3"/>
  <c r="K23" i="3"/>
  <c r="K28" i="3"/>
  <c r="P78" i="3"/>
  <c r="AJ87" i="3"/>
  <c r="AI81" i="3"/>
  <c r="AF82" i="3"/>
  <c r="P52" i="3"/>
  <c r="AJ81" i="3"/>
  <c r="AH81" i="3"/>
  <c r="P53" i="3"/>
  <c r="AT81" i="3"/>
  <c r="AJ82" i="3"/>
  <c r="AN81" i="3"/>
  <c r="AI82" i="3"/>
  <c r="K76" i="3"/>
  <c r="AF81" i="3"/>
  <c r="AL81" i="3"/>
  <c r="AH8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N92" i="3"/>
  <c r="AS92" i="3"/>
  <c r="AG92" i="3"/>
  <c r="AL92" i="3"/>
  <c r="AM88" i="3" s="1"/>
  <c r="AH92" i="3"/>
  <c r="AI92" i="3"/>
  <c r="AF92" i="3"/>
  <c r="AJ92" i="3"/>
  <c r="S103" i="3" l="1"/>
  <c r="T103" i="3" s="1" a="1"/>
  <c r="T103" i="3" s="1"/>
  <c r="CG24" i="3"/>
  <c r="S111" i="3" s="1"/>
  <c r="T111" i="3" s="1"/>
  <c r="AM86" i="3"/>
  <c r="AM81" i="3"/>
  <c r="AM83" i="3"/>
  <c r="AM87" i="3"/>
  <c r="AM80" i="3"/>
  <c r="AM89" i="3"/>
  <c r="AM90" i="3"/>
  <c r="AM84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8" i="3"/>
  <c r="AP90" i="3"/>
  <c r="AP89" i="3"/>
  <c r="AP86" i="3"/>
  <c r="AP84" i="3"/>
  <c r="AP81" i="3"/>
  <c r="AP85" i="3"/>
  <c r="AP91" i="3"/>
  <c r="AP83" i="3"/>
  <c r="AP82" i="3"/>
  <c r="CN37" i="3" l="1"/>
  <c r="CN48" i="3"/>
  <c r="AD87" i="3"/>
  <c r="AS87" i="3" s="1"/>
  <c r="AD83" i="3"/>
  <c r="AS83" i="3" s="1"/>
  <c r="AD81" i="3"/>
  <c r="AS81" i="3" s="1"/>
  <c r="AD84" i="3"/>
  <c r="AS84" i="3" s="1"/>
  <c r="AD88" i="3"/>
  <c r="AS88" i="3" s="1"/>
  <c r="AD82" i="3"/>
  <c r="AS82" i="3" s="1"/>
  <c r="AD91" i="3"/>
  <c r="AS91" i="3" s="1"/>
  <c r="AD86" i="3"/>
  <c r="AS86" i="3" s="1"/>
  <c r="AD80" i="3"/>
  <c r="AD89" i="3"/>
  <c r="AS89" i="3" s="1"/>
  <c r="AD85" i="3"/>
  <c r="AS85" i="3" s="1"/>
  <c r="AD90" i="3"/>
  <c r="AS90" i="3" s="1"/>
  <c r="M82" i="3" l="1"/>
  <c r="L91" i="3"/>
  <c r="M87" i="3"/>
  <c r="O87" i="3"/>
  <c r="J82" i="3"/>
  <c r="O81" i="3"/>
  <c r="J89" i="3"/>
  <c r="N87" i="3"/>
  <c r="L89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91" i="3"/>
  <c r="J91" i="3"/>
  <c r="O91" i="3"/>
  <c r="M83" i="3"/>
  <c r="J81" i="3"/>
  <c r="O88" i="3"/>
  <c r="N81" i="3"/>
  <c r="L85" i="3"/>
  <c r="O89" i="3"/>
  <c r="N82" i="3"/>
  <c r="M90" i="3"/>
  <c r="O90" i="3"/>
  <c r="N86" i="3"/>
  <c r="N83" i="3"/>
  <c r="L88" i="3"/>
  <c r="M88" i="3"/>
  <c r="O84" i="3"/>
  <c r="M86" i="3"/>
  <c r="L86" i="3"/>
  <c r="N91" i="3"/>
  <c r="O86" i="3"/>
  <c r="J86" i="3"/>
  <c r="M85" i="3"/>
  <c r="J92" i="3"/>
  <c r="J90" i="3"/>
  <c r="N84" i="3"/>
  <c r="N88" i="3"/>
  <c r="J83" i="3"/>
  <c r="N92" i="3"/>
  <c r="O92" i="3"/>
  <c r="N90" i="3"/>
  <c r="L84" i="3"/>
  <c r="O83" i="3"/>
  <c r="O85" i="3"/>
  <c r="L92" i="3"/>
  <c r="L82" i="3"/>
  <c r="L81" i="3"/>
  <c r="N85" i="3"/>
  <c r="AS80" i="3"/>
  <c r="J84" i="3"/>
  <c r="J85" i="3"/>
  <c r="L83" i="3"/>
  <c r="M92" i="3"/>
  <c r="M84" i="3"/>
  <c r="M89" i="3"/>
  <c r="L87" i="3"/>
  <c r="O82" i="3"/>
  <c r="N89" i="3"/>
  <c r="L90" i="3"/>
  <c r="J88" i="3"/>
  <c r="J87" i="3"/>
  <c r="P91" i="3" l="1"/>
  <c r="P81" i="3"/>
  <c r="P82" i="3"/>
  <c r="K91" i="3"/>
  <c r="K87" i="3"/>
  <c r="P89" i="3"/>
  <c r="K83" i="3"/>
  <c r="K89" i="3"/>
  <c r="P83" i="3"/>
  <c r="K82" i="3"/>
  <c r="K81" i="3"/>
  <c r="K86" i="3"/>
  <c r="K90" i="3"/>
  <c r="P84" i="3"/>
  <c r="K92" i="3"/>
  <c r="K84" i="3"/>
  <c r="K85" i="3"/>
  <c r="K88" i="3"/>
  <c r="P87" i="3"/>
  <c r="H3" i="4"/>
  <c r="BL39" i="3" s="1"/>
  <c r="P92" i="3"/>
  <c r="J3" i="4"/>
  <c r="BL71" i="3" s="1"/>
  <c r="G3" i="4"/>
  <c r="BL11" i="3" s="1"/>
  <c r="I3" i="4"/>
  <c r="BL15" i="3" s="1"/>
  <c r="P85" i="3"/>
  <c r="P88" i="3"/>
  <c r="B3" i="4"/>
  <c r="P90" i="3"/>
  <c r="P86" i="3"/>
  <c r="E3" i="4"/>
  <c r="BL67" i="3" s="1"/>
  <c r="K3" i="4"/>
  <c r="BL55" i="3" s="1"/>
  <c r="D3" i="4"/>
  <c r="BL51" i="3" s="1"/>
  <c r="BS52" i="3" s="1"/>
  <c r="BZ49" i="3" s="1"/>
  <c r="CG55" i="3" s="1"/>
  <c r="CN49" i="3" s="1"/>
  <c r="BS53" i="3"/>
  <c r="BS69" i="3"/>
  <c r="BZ65" i="3" s="1"/>
  <c r="CG56" i="3" s="1"/>
  <c r="CN38" i="3" s="1"/>
  <c r="CK6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<sst xmlns="http://schemas.openxmlformats.org/spreadsheetml/2006/main" count="9785" uniqueCount="3699">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</sst>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1" zoomScaleNormal="100" workbookViewId="0">
      <selection activeCell="CN53" sqref="CN53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2</v>
      </c>
      <c r="W8" s="123">
        <f t="shared" si="4"/>
        <v>2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4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9.3158065563128858</v>
      </c>
      <c r="AP8" s="123">
        <f>AO8*10000000+BI8*100+AM8/AM12*10+AI8/AI12*1++IF(AQ8=0,ROW(),AQ8)/2000000</f>
        <v>93158172.336507514</v>
      </c>
      <c r="AQ8" s="126">
        <f>VLOOKUP(AE8,db_fifarank,2,FALSE)</f>
        <v>1681.03</v>
      </c>
      <c r="AR8" s="125">
        <f>AP8/AP12</f>
        <v>0.99968757133537245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3</v>
      </c>
      <c r="AW8" s="126" cm="1">
        <f t="array" ref="AW8">SUMPRODUCT(($E$7:$E$78=AE8)*($U$7:$U$78)*($G$7:$G$78))+SUMPRODUCT(($H$7:$H$78=AE8)*($U$7:$U$78)*($F$7:$F$78))</f>
        <v>3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67.266666666666652</v>
      </c>
      <c r="BA8" s="126">
        <f>AZ8/AZ12</f>
        <v>0.98247322297955209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6 - 5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0.42928629357142856</v>
      </c>
      <c r="AQ9" s="126">
        <f>VLOOKUP(AE9,db_fifarank,2,FALSE)</f>
        <v>1429.73</v>
      </c>
      <c r="AR9" s="125">
        <f>AP9/AP12</f>
        <v>4.6067045055134231E-9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5 - 4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9.3158065563128858</v>
      </c>
      <c r="AP10" s="123">
        <f>AO10*10000000+BI10*100+AM10/AM12*10+AI10/AI12*1++IF(AQ10=0,ROW(),AQ10)/2000000</f>
        <v>93158172.336461335</v>
      </c>
      <c r="AQ10" s="126">
        <f>VLOOKUP(AE10,db_fifarank,2,FALSE)</f>
        <v>1588.66</v>
      </c>
      <c r="AR10" s="125">
        <f>AP10/AP12</f>
        <v>0.99968757133487685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3</v>
      </c>
      <c r="AW10" s="126" cm="1">
        <f t="array" ref="AW10">SUMPRODUCT(($E$7:$E$78=AE10)*($U$7:$U$78)*($G$7:$G$78))+SUMPRODUCT(($H$7:$H$78=AE10)*($U$7:$U$78)*($F$7:$F$78))</f>
        <v>3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67.266666666666652</v>
      </c>
      <c r="BA10" s="126">
        <f>AZ10/AZ12</f>
        <v>0.98247322297955209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5 - 4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6</v>
      </c>
      <c r="AJ11" s="123">
        <f>SUMIF($E$7:$E$78,$AE11,$G$7:$G$78) + SUMIF($H$7:$H$78,$AE11,$F$7:$F$78)</f>
        <v>5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9.3187276858162935</v>
      </c>
      <c r="AP11" s="123">
        <f>AO11*10000000+BI11*100+AM11/AM12*10+AI11/AI12*1++IF(AQ11=0,ROW(),AQ11)/2000000</f>
        <v>93187285.716056481</v>
      </c>
      <c r="AQ11" s="126">
        <f>VLOOKUP(AE11,db_fifarank,2,FALSE)</f>
        <v>1501.38</v>
      </c>
      <c r="AR11" s="125">
        <f>AP11/AP12</f>
        <v>0.99999998926892242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4</v>
      </c>
      <c r="AW11" s="126" cm="1">
        <f t="array" ref="AW11">SUMPRODUCT(($E$7:$E$78=AE11)*($U$7:$U$78)*($G$7:$G$78))+SUMPRODUCT(($H$7:$H$78=AE11)*($U$7:$U$78)*($F$7:$F$78))</f>
        <v>4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67.466666666666654</v>
      </c>
      <c r="BA11" s="126">
        <f>AZ11/AZ12</f>
        <v>0.98539435248296003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7</v>
      </c>
      <c r="AL12" s="123">
        <f>MIN(AL8:AL11)</f>
        <v>-3</v>
      </c>
      <c r="AM12" s="123">
        <f>MAX(AM8:AM11)+1</f>
        <v>5</v>
      </c>
      <c r="AN12" s="123">
        <f>MAX(AN8:AN11)+1</f>
        <v>6</v>
      </c>
      <c r="AO12" s="123">
        <f>MAX(AO8:AO11)+1</f>
        <v>10.318727685816294</v>
      </c>
      <c r="AP12" s="123">
        <f>MAX(AP8:AP11)+1</f>
        <v>93187286.716056481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5</v>
      </c>
      <c r="AW12" s="126">
        <f>MAX(AW8:AW11)-MIN(AW8:AW11)+1</f>
        <v>5</v>
      </c>
      <c r="AY12" s="126">
        <f>MAX(AY8:AY11)-MIN(AY8:AY11)+1</f>
        <v>1</v>
      </c>
      <c r="AZ12" s="126">
        <f>MAX(AZ8:AZ11)+1</f>
        <v>68.466666666666654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9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87500009.834111571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4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50000004.334026255</v>
      </c>
      <c r="AQ15" s="126">
        <f>VLOOKUP(AE15,db_fifarank,2,FALSE)</f>
        <v>1385.84</v>
      </c>
      <c r="AR15" s="125">
        <f>AP15/AP18</f>
        <v>0.57142855020692096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Egypt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7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8.314056113423867E-12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7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62500007.667491361</v>
      </c>
      <c r="AQ17" s="126">
        <f>VLOOKUP(AE17,db_fifarank,2,FALSE)</f>
        <v>1649.4</v>
      </c>
      <c r="AR17" s="125">
        <f>AP17/AP18</f>
        <v>0.71428571347245995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87500010.834111571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>
        <v>1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1014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>
        <v>1</v>
      </c>
      <c r="BO19" s="27">
        <v>2</v>
      </c>
      <c r="BP19" s="113">
        <f>IF(BP18="","",BM19*1000+BN19*10+BO19)</f>
        <v>1012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18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97306560.051984146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16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97306558.799349919</v>
      </c>
      <c r="AQ21" s="126">
        <f>VLOOKUP(AE21,db_fifarank,2,FALSE)</f>
        <v>1755.87</v>
      </c>
      <c r="AR21" s="125">
        <f>AP21/AP24</f>
        <v>0.99999997685013009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12</v>
      </c>
      <c r="AL22" s="123">
        <f>AI22-AJ22</f>
        <v>-12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6.6373222218280268E-12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6 - 4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4</v>
      </c>
      <c r="AL23" s="123">
        <f>AI23-AJ23</f>
        <v>2</v>
      </c>
      <c r="AM23" s="123">
        <f>AL23-AL24</f>
        <v>14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37500007.969170235</v>
      </c>
      <c r="AQ23" s="126">
        <f>VLOOKUP(AE23,db_fifarank,2,FALSE)</f>
        <v>1498.35</v>
      </c>
      <c r="AR23" s="125">
        <f>AP23/AP24</f>
        <v>0.38538005622392291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>
        <v>1</v>
      </c>
      <c r="BO23" s="27"/>
      <c r="BP23" s="112">
        <f>IF(BP22="","",BM23*1000+BN23*10+BO23)</f>
        <v>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-12</v>
      </c>
      <c r="AM24" s="123">
        <f>MAX(AM20:AM23)+1</f>
        <v>19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97306561.051984146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1</v>
      </c>
      <c r="AL26" s="123">
        <f>AI26-AJ26</f>
        <v>1</v>
      </c>
      <c r="AM26" s="123">
        <f>AL26-AL30</f>
        <v>5</v>
      </c>
      <c r="AN26" s="123">
        <f>AF26*3+AG26</f>
        <v>5</v>
      </c>
      <c r="AO26" s="123">
        <f>AN26/AN30*10+BA26</f>
        <v>9.3114088509947219</v>
      </c>
      <c r="AP26" s="123">
        <f>AO26*10000000+BI26*100+AM26/AM30*10+AI26/AI30*1++IF(AQ26=0,ROW(),AQ26)/2000000</f>
        <v>93114095.939355224</v>
      </c>
      <c r="AQ26" s="126">
        <f>VLOOKUP(AE26,db_fifarank,2,FALSE)</f>
        <v>1673.13</v>
      </c>
      <c r="AR26" s="125">
        <f>AP26/AP30</f>
        <v>0.99921572251323387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66.916666666666657</v>
      </c>
      <c r="BA26" s="126">
        <f>AZ26/AZ30</f>
        <v>0.97807551766138856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5</v>
      </c>
      <c r="AN27" s="123">
        <f>AF27*3+AG27</f>
        <v>5</v>
      </c>
      <c r="AO27" s="123">
        <f>AN27/AN30*10+BA27</f>
        <v>9.3150629313844906</v>
      </c>
      <c r="AP27" s="123">
        <f>AO27*10000000+BI27*100+AM27/AM30*10+AI27/AI30*1++IF(AQ27=0,ROW(),AQ27)/2000000</f>
        <v>93150637.028882369</v>
      </c>
      <c r="AQ27" s="126">
        <f>VLOOKUP(AE27,db_fifarank,2,FALSE)</f>
        <v>1503.5</v>
      </c>
      <c r="AR27" s="125">
        <f>AP27/AP30</f>
        <v>0.99960784822529647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2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67.166666666666657</v>
      </c>
      <c r="BA27" s="126">
        <f>AZ27/AZ30</f>
        <v>0.98172959805115712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3.0745068048220942E-9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2 - 1</v>
      </c>
      <c r="P29" s="34">
        <f>L29*3+M29</f>
        <v>5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6</v>
      </c>
      <c r="AN29" s="123">
        <f>AF29*3+AG29</f>
        <v>5</v>
      </c>
      <c r="AO29" s="123">
        <f>AN29/AN30*10+BA29</f>
        <v>9.3187170117742593</v>
      </c>
      <c r="AP29" s="123">
        <f>AO29*10000000+BI29*100+AM29/AM30*10+AI29/AI30*1++IF(AQ29=0,ROW(),AQ29)/2000000</f>
        <v>93187179.547113538</v>
      </c>
      <c r="AQ29" s="126">
        <f>VLOOKUP(AE29,db_fifarank,2,FALSE)</f>
        <v>1599.04</v>
      </c>
      <c r="AR29" s="125">
        <f>AP29/AP30</f>
        <v>0.99999998926891021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67.416666666666657</v>
      </c>
      <c r="BA29" s="126">
        <f>AZ29/AZ30</f>
        <v>0.98538367844092567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7</v>
      </c>
      <c r="AN30" s="123">
        <f>MAX(AN26:AN29)+1</f>
        <v>6</v>
      </c>
      <c r="AO30" s="123">
        <f>MAX(AO26:AO29)+1</f>
        <v>10.318717011774259</v>
      </c>
      <c r="AP30" s="123">
        <f>MAX(AP26:AP29)+1</f>
        <v>93187180.547113538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4</v>
      </c>
      <c r="AW30" s="126">
        <f>MAX(AW26:AW29)-MIN(AW26:AW29)+1</f>
        <v>4</v>
      </c>
      <c r="AY30" s="126">
        <f>MAX(AY26:AY29)-MIN(AY26:AY29)+1</f>
        <v>1</v>
      </c>
      <c r="AZ30" s="126">
        <f>MAX(AZ26:AZ29)+1</f>
        <v>68.416666666666657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20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97305933.734736502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12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6.6524719357011263E-12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5 - 1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12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37500005.987779483</v>
      </c>
      <c r="AQ34" s="126">
        <f>VLOOKUP(AE34,db_fifarank,2,FALSE)</f>
        <v>1532.98</v>
      </c>
      <c r="AR34" s="125">
        <f>AP34/AP36</f>
        <v>0.38538251639026333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1</v>
      </c>
      <c r="AL35" s="123">
        <f>AI35-AJ35</f>
        <v>4</v>
      </c>
      <c r="AM35" s="123">
        <f>AL35-AL36</f>
        <v>16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97305931.375361338</v>
      </c>
      <c r="AQ35" s="126">
        <f>VLOOKUP(AE35,db_fifarank,2,FALSE)</f>
        <v>1594.78</v>
      </c>
      <c r="AR35" s="125">
        <f>AP35/AP36</f>
        <v>0.99999996547615344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0 - 12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-12</v>
      </c>
      <c r="AM36" s="123">
        <f>MAX(AM32:AM35)+1</f>
        <v>21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97305934.734736502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>
        <v>5</v>
      </c>
      <c r="BW36" s="116">
        <f>IF(OR(BT36="",BT37="",AND(BU36="",BU37&lt;&gt;""),AND(BU37="",BU36&lt;&gt;""),AND(BV36="",BV37&lt;&gt;""),AND(BV37="",BV36&lt;&gt;"")),"",BT36*1000+BU36*10+BV36)</f>
        <v>2025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>
        <v>2</v>
      </c>
      <c r="BV37" s="27">
        <v>4</v>
      </c>
      <c r="BW37" s="112">
        <f>IF(BW36="","",BT37*1000+BU37*10+BV37)</f>
        <v>2024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2</v>
      </c>
      <c r="AL38" s="123">
        <f>AI38-AJ38</f>
        <v>2</v>
      </c>
      <c r="AM38" s="123">
        <f>AL38-AL42</f>
        <v>5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97305932.435183138</v>
      </c>
      <c r="AQ38" s="126">
        <f>VLOOKUP(AE38,db_fifarank,2,FALSE)</f>
        <v>1757.87</v>
      </c>
      <c r="AR38" s="125">
        <f>AP38/AP42</f>
        <v>0.99999998972313442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1</v>
      </c>
      <c r="BN38" s="63">
        <v>1</v>
      </c>
      <c r="BO38" s="25">
        <v>4</v>
      </c>
      <c r="BP38" s="116">
        <f>IF(OR(BM38="",BM39="",AND(BN38="",BN39&lt;&gt;""),AND(BN39="",BN38&lt;&gt;""),AND(BO38="",BO39&lt;&gt;""),AND(BO39="",BO38&lt;&gt;"")),"",BM38*1000+BN38*10+BO38)</f>
        <v>1014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5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97305932.435134426</v>
      </c>
      <c r="AQ39" s="126">
        <f>VLOOKUP(AE39,db_fifarank,2,FALSE)</f>
        <v>1660.43</v>
      </c>
      <c r="AR39" s="125">
        <f>AP39/AP42</f>
        <v>0.99999998972263382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>
        <v>1</v>
      </c>
      <c r="BO39" s="27">
        <v>3</v>
      </c>
      <c r="BP39" s="112">
        <f>IF(BP38="","",BM39*1000+BN39*10+BO39)</f>
        <v>1013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2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37500003.934090719</v>
      </c>
      <c r="AQ40" s="126">
        <f>VLOOKUP(AE40,db_fifarank,2,FALSE)</f>
        <v>1514.77</v>
      </c>
      <c r="AR40" s="125">
        <f>AP40/AP42</f>
        <v>0.38538250043169264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0.40074152500000004</v>
      </c>
      <c r="AQ41" s="126">
        <f>VLOOKUP(AE41,db_fifarank,2,FALSE)</f>
        <v>1483.05</v>
      </c>
      <c r="AR41" s="125">
        <f>AP41/AP42</f>
        <v>4.1183667927808295E-9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5</v>
      </c>
      <c r="AL42" s="123">
        <f>MIN(AL38:AL41)</f>
        <v>-3</v>
      </c>
      <c r="AM42" s="123">
        <f>MAX(AM38:AM41)+1</f>
        <v>6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97305933.435183138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>
        <v>2</v>
      </c>
      <c r="BO42" s="25">
        <v>2</v>
      </c>
      <c r="BP42" s="112">
        <f>IF(OR(BM42="",BM43="",AND(BN42="",BN43&lt;&gt;""),AND(BN43="",BN42&lt;&gt;""),AND(BO42="",BO43&lt;&gt;""),AND(BO43="",BO42&lt;&gt;"")),"",BM42*1000+BN42*10+BO42)</f>
        <v>2022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2</v>
      </c>
      <c r="BN43" s="64">
        <v>2</v>
      </c>
      <c r="BO43" s="27">
        <v>4</v>
      </c>
      <c r="BP43" s="113">
        <f>IF(BP42="","",BM43*1000+BN43*10+BO43)</f>
        <v>2024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87500009.58420068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Japan</v>
      </c>
      <c r="BT44" s="61">
        <v>1</v>
      </c>
      <c r="BU44" s="63">
        <v>1</v>
      </c>
      <c r="BV44" s="25">
        <v>4</v>
      </c>
      <c r="BW44" s="112">
        <f>IF(OR(BT44="",BT45="",AND(BU44="",BU45&lt;&gt;""),AND(BU45="",BU44&lt;&gt;""),AND(BV44="",BV45&lt;&gt;""),AND(BV45="",BV44&lt;&gt;"")),"",BT44*1000+BU44*10+BV44)</f>
        <v>1014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4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50000005.500781618</v>
      </c>
      <c r="AQ45" s="126">
        <f>VLOOKUP(AE45,db_fifarank,2,FALSE)</f>
        <v>1563.24</v>
      </c>
      <c r="AR45" s="125">
        <f>AP45/AP48</f>
        <v>0.57142856517333729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1</v>
      </c>
      <c r="BU45" s="64">
        <v>1</v>
      </c>
      <c r="BV45" s="27">
        <v>2</v>
      </c>
      <c r="BW45" s="113">
        <f>IF(BW44="","",BT45*1000+BU45*10+BV45)</f>
        <v>1012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2 - 1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1</v>
      </c>
      <c r="AL46" s="123">
        <f>AI46-AJ46</f>
        <v>1</v>
      </c>
      <c r="AM46" s="123">
        <f>AL46-AL48</f>
        <v>5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62500006.584140986</v>
      </c>
      <c r="AQ46" s="126">
        <f>VLOOKUP(AE46,db_fifarank,2,FALSE)</f>
        <v>1615.3</v>
      </c>
      <c r="AR46" s="125">
        <f>AP46/AP48</f>
        <v>0.71428570313140294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>
        <v>2</v>
      </c>
      <c r="BO46" s="25"/>
      <c r="BP46" s="116">
        <f>IF(OR(BM46="",BM47="",AND(BN46="",BN47&lt;&gt;""),AND(BN47="",BN46&lt;&gt;""),AND(BO46="",BO47&lt;&gt;""),AND(BO47="",BO46&lt;&gt;"")),"",BM46*1000+BN46*10+BO46)</f>
        <v>1020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0.16730745166666666</v>
      </c>
      <c r="AQ47" s="126">
        <f>VLOOKUP(AE47,db_fifarank,2,FALSE)</f>
        <v>1281.57</v>
      </c>
      <c r="AR47" s="125">
        <f>AP47/AP48</f>
        <v>1.9120849306145833E-9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>
        <v>1</v>
      </c>
      <c r="BO47" s="27"/>
      <c r="BP47" s="112">
        <f>IF(BP46="","",BM47*1000+BN47*10+BO47)</f>
        <v>1010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6</v>
      </c>
      <c r="AL48" s="123">
        <f>MIN(AL44:AL47)</f>
        <v>-4</v>
      </c>
      <c r="AM48" s="123">
        <f>MAX(AM44:AM47)+1</f>
        <v>8</v>
      </c>
      <c r="AN48" s="123">
        <f>MAX(AN44:AN47)+1</f>
        <v>8</v>
      </c>
      <c r="AO48" s="123">
        <f>MAX(AO44:AO47)+1</f>
        <v>9.75</v>
      </c>
      <c r="AP48" s="123">
        <f>MAX(AP44:AP47)+1</f>
        <v>87500010.58420068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Japan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15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97305933.565797985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Czech Republic</v>
      </c>
      <c r="BM50" s="61">
        <v>0</v>
      </c>
      <c r="BN50" s="63">
        <v>0</v>
      </c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7.0197671195287019E-12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>
        <v>1</v>
      </c>
      <c r="BO51" s="27"/>
      <c r="BP51" s="113">
        <f>IF(BP50="","",BM51*1000+BN51*10+BO51)</f>
        <v>10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0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5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37500003.23682183</v>
      </c>
      <c r="AQ52" s="126">
        <f>VLOOKUP(AE52,db_fifarank,2,FALSE)</f>
        <v>1421.43</v>
      </c>
      <c r="AR52" s="125">
        <f>AP52/AP54</f>
        <v>0.3853824887881267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12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97305931.357362971</v>
      </c>
      <c r="AQ53" s="126">
        <f>VLOOKUP(AE53,db_fifarank,2,FALSE)</f>
        <v>1673.07</v>
      </c>
      <c r="AR53" s="125">
        <f>AP53/AP54</f>
        <v>0.99999996702734495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9</v>
      </c>
      <c r="AL54" s="123">
        <f>MIN(AL50:AL53)</f>
        <v>-8</v>
      </c>
      <c r="AM54" s="123">
        <f>MAX(AM50:AM53)+1</f>
        <v>16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97305934.565797985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2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5</v>
      </c>
      <c r="AL56" s="123">
        <f>AI56-AJ56</f>
        <v>2</v>
      </c>
      <c r="AM56" s="123">
        <f>AL56-AL60</f>
        <v>6</v>
      </c>
      <c r="AN56" s="123">
        <f>AF56*3+AG56</f>
        <v>5</v>
      </c>
      <c r="AO56" s="123">
        <f>AN56/AN60*10+BA56</f>
        <v>9.3187276858162935</v>
      </c>
      <c r="AP56" s="123">
        <f>AO56*10000000+BI56*100+AM56/AM60*10+AI56/AI60*1++IF(AQ56=0,ROW(),AQ56)/2000000</f>
        <v>93187384.844965413</v>
      </c>
      <c r="AQ56" s="126">
        <f>VLOOKUP(AE56,db_fifarank,2,FALSE)</f>
        <v>1877.32</v>
      </c>
      <c r="AR56" s="125">
        <f>AP56/AP60</f>
        <v>0.99999998926893385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2</v>
      </c>
      <c r="AV56" s="126" cm="1">
        <f t="array" ref="AV56">SUMPRODUCT(($E$7:$E$78=AE56)*($U$7:$U$78)*($F$7:$F$78))+SUMPRODUCT(($H$7:$H$78=AE56)*($U$7:$U$78)*($G$7:$G$78))</f>
        <v>4</v>
      </c>
      <c r="AW56" s="126" cm="1">
        <f t="array" ref="AW56">SUMPRODUCT(($E$7:$E$78=AE56)*($U$7:$U$78)*($G$7:$G$78))+SUMPRODUCT(($H$7:$H$78=AE56)*($U$7:$U$78)*($F$7:$F$78))</f>
        <v>4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67.466666666666654</v>
      </c>
      <c r="BA56" s="126">
        <f>AZ56/AZ60</f>
        <v>0.98539435248296003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2</v>
      </c>
      <c r="BD56" s="126" cm="1">
        <f t="array" ref="BD56">SUMPRODUCT(($E$7:$E$78=AE56)*($X$7:$X$78)*($F$7:$F$78))+SUMPRODUCT(($H$7:$H$78=AE56)*($X$7:$X$78)*($G$7:$G$78))</f>
        <v>4</v>
      </c>
      <c r="BE56" s="126" cm="1">
        <f t="array" ref="BE56">SUMPRODUCT(($E$7:$E$78=AE56)*($X$7:$X$78)*($G$7:$G$78))+SUMPRODUCT(($H$7:$H$78=AE56)*($X$7:$X$78)*($F$7:$F$78))</f>
        <v>4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67.466666666666654</v>
      </c>
      <c r="BI56" s="126">
        <f>BH56/BH60</f>
        <v>0.98539435248296003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1</v>
      </c>
      <c r="M57" s="31">
        <f>VLOOKUP(1,AD56:AN59,4,FALSE)</f>
        <v>2</v>
      </c>
      <c r="N57" s="31">
        <f>VLOOKUP(1,AD56:AN59,5,FALSE)</f>
        <v>0</v>
      </c>
      <c r="O57" s="31" t="str">
        <f>VLOOKUP(1,AD56:AN59,6,FALSE) &amp; " - " &amp; VLOOKUP(1,AD56:AN59,7,FALSE)</f>
        <v>7 - 5</v>
      </c>
      <c r="P57" s="32">
        <f>L57*3+M57</f>
        <v>5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5</v>
      </c>
      <c r="AN57" s="123">
        <f>AF57*3+AG57</f>
        <v>5</v>
      </c>
      <c r="AO57" s="123">
        <f>AN57/AN60*10+BA57</f>
        <v>9.3187276858162935</v>
      </c>
      <c r="AP57" s="123">
        <f>AO57*10000000+BI57*100+AM57/AM60*10+AI57/AI60*1++IF(AQ57=0,ROW(),AQ57)/2000000</f>
        <v>93187383.291299835</v>
      </c>
      <c r="AQ57" s="126">
        <f>VLOOKUP(AE57,db_fifarank,2,FALSE)</f>
        <v>1688.99</v>
      </c>
      <c r="AR57" s="125">
        <f>AP57/AP60</f>
        <v>0.9999999725964458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2</v>
      </c>
      <c r="AV57" s="126" cm="1">
        <f t="array" ref="AV57">SUMPRODUCT(($E$7:$E$78=AE57)*($U$7:$U$78)*($F$7:$F$78))+SUMPRODUCT(($H$7:$H$78=AE57)*($U$7:$U$78)*($G$7:$G$78))</f>
        <v>4</v>
      </c>
      <c r="AW57" s="126" cm="1">
        <f t="array" ref="AW57">SUMPRODUCT(($E$7:$E$78=AE57)*($U$7:$U$78)*($G$7:$G$78))+SUMPRODUCT(($H$7:$H$78=AE57)*($U$7:$U$78)*($F$7:$F$78))</f>
        <v>4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67.466666666666654</v>
      </c>
      <c r="BA57" s="126">
        <f>AZ57/AZ60</f>
        <v>0.98539435248296003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2</v>
      </c>
      <c r="BD57" s="126" cm="1">
        <f t="array" ref="BD57">SUMPRODUCT(($E$7:$E$78=AE57)*($X$7:$X$78)*($F$7:$F$78))+SUMPRODUCT(($H$7:$H$78=AE57)*($X$7:$X$78)*($G$7:$G$78))</f>
        <v>4</v>
      </c>
      <c r="BE57" s="126" cm="1">
        <f t="array" ref="BE57">SUMPRODUCT(($E$7:$E$78=AE57)*($X$7:$X$78)*($G$7:$G$78))+SUMPRODUCT(($H$7:$H$78=AE57)*($X$7:$X$78)*($F$7:$F$78))</f>
        <v>4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67.466666666666654</v>
      </c>
      <c r="BI57" s="126">
        <f>BH57/BH60</f>
        <v>0.98539435248296003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6 - 5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7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0.37572357000000001</v>
      </c>
      <c r="AQ58" s="126">
        <f>VLOOKUP(AE58,db_fifarank,2,FALSE)</f>
        <v>1447.14</v>
      </c>
      <c r="AR58" s="125">
        <f>AP58/AP60</f>
        <v>4.0319144763335911E-9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2030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2</v>
      </c>
      <c r="N59" s="23">
        <f>VLOOKUP(3,AD56:AN59,5,FALSE)</f>
        <v>0</v>
      </c>
      <c r="O59" s="23" t="str">
        <f>VLOOKUP(3,AD56:AN59,6,FALSE) &amp; " - " &amp; VLOOKUP(3,AD56:AN59,7,FALSE)</f>
        <v>6 - 5</v>
      </c>
      <c r="P59" s="34">
        <f>L59*3+M59</f>
        <v>5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2</v>
      </c>
      <c r="W59" s="123">
        <f t="shared" si="22"/>
        <v>2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5</v>
      </c>
      <c r="AN59" s="123">
        <f>AF59*3+AG59</f>
        <v>5</v>
      </c>
      <c r="AO59" s="123">
        <f>AN59/AN60*10+BA59</f>
        <v>9.3187276858162935</v>
      </c>
      <c r="AP59" s="123">
        <f>AO59*10000000+BI59*100+AM59/AM60*10+AI59/AI60*1++IF(AQ59=0,ROW(),AQ59)/2000000</f>
        <v>93187383.291230813</v>
      </c>
      <c r="AQ59" s="126">
        <f>VLOOKUP(AE59,db_fifarank,2,FALSE)</f>
        <v>1550.94</v>
      </c>
      <c r="AR59" s="125">
        <f>AP59/AP60</f>
        <v>0.99999997259570517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2</v>
      </c>
      <c r="AV59" s="126" cm="1">
        <f t="array" ref="AV59">SUMPRODUCT(($E$7:$E$78=AE59)*($U$7:$U$78)*($F$7:$F$78))+SUMPRODUCT(($H$7:$H$78=AE59)*($U$7:$U$78)*($G$7:$G$78))</f>
        <v>4</v>
      </c>
      <c r="AW59" s="126" cm="1">
        <f t="array" ref="AW59">SUMPRODUCT(($E$7:$E$78=AE59)*($U$7:$U$78)*($G$7:$G$78))+SUMPRODUCT(($H$7:$H$78=AE59)*($U$7:$U$78)*($F$7:$F$78))</f>
        <v>4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67.466666666666654</v>
      </c>
      <c r="BA59" s="126">
        <f>AZ59/AZ60</f>
        <v>0.98539435248296003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2</v>
      </c>
      <c r="BD59" s="126" cm="1">
        <f t="array" ref="BD59">SUMPRODUCT(($E$7:$E$78=AE59)*($X$7:$X$78)*($F$7:$F$78))+SUMPRODUCT(($H$7:$H$78=AE59)*($X$7:$X$78)*($G$7:$G$78))</f>
        <v>4</v>
      </c>
      <c r="BE59" s="126" cm="1">
        <f t="array" ref="BE59">SUMPRODUCT(($E$7:$E$78=AE59)*($X$7:$X$78)*($G$7:$G$78))+SUMPRODUCT(($H$7:$H$78=AE59)*($X$7:$X$78)*($F$7:$F$78))</f>
        <v>4</v>
      </c>
      <c r="BF59" s="126">
        <f>BD59-BE59</f>
        <v>0</v>
      </c>
      <c r="BG59" s="126">
        <f>BF59-MIN(BF56:BF59)</f>
        <v>0</v>
      </c>
      <c r="BH59" s="126">
        <f t="shared" si="26"/>
        <v>67.466666666666654</v>
      </c>
      <c r="BI59" s="126">
        <f>BH59/BH60</f>
        <v>0.98539435248296003</v>
      </c>
      <c r="BK59" s="132"/>
      <c r="BL59" s="26" t="str">
        <f>AS51</f>
        <v>Uruguay</v>
      </c>
      <c r="BM59" s="62">
        <v>2</v>
      </c>
      <c r="BN59" s="64">
        <v>2</v>
      </c>
      <c r="BO59" s="27"/>
      <c r="BP59" s="113">
        <f>IF(BP58="","",BM59*1000+BN59*10+BO59)</f>
        <v>2020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2</v>
      </c>
      <c r="AG60" s="123">
        <f t="shared" si="27"/>
        <v>3</v>
      </c>
      <c r="AH60" s="123">
        <f t="shared" si="27"/>
        <v>4</v>
      </c>
      <c r="AI60" s="123">
        <f>MAX(AI56:AI59)+1</f>
        <v>8</v>
      </c>
      <c r="AL60" s="123">
        <f>MIN(AL56:AL59)</f>
        <v>-4</v>
      </c>
      <c r="AM60" s="123">
        <f>MAX(AM56:AM59)+1</f>
        <v>7</v>
      </c>
      <c r="AN60" s="123">
        <f>MAX(AN56:AN59)+1</f>
        <v>6</v>
      </c>
      <c r="AO60" s="123">
        <f>MAX(AO56:AO59)+1</f>
        <v>10.318727685816294</v>
      </c>
      <c r="AP60" s="123">
        <f>MAX(AP56:AP59)+1</f>
        <v>93187385.844965413</v>
      </c>
      <c r="AT60" s="126">
        <f>MAX(AT56:AT59)-MIN(AT56:AT59)+1</f>
        <v>1</v>
      </c>
      <c r="AU60" s="126">
        <f>MAX(AU56:AU59)-MIN(AU56:AU59)+1</f>
        <v>3</v>
      </c>
      <c r="AV60" s="126">
        <f>MAX(AV56:AV59)-MIN(AV56:AV59)+1</f>
        <v>5</v>
      </c>
      <c r="AW60" s="126">
        <f>MAX(AW56:AW59)-MIN(AW56:AW59)+1</f>
        <v>5</v>
      </c>
      <c r="AY60" s="126">
        <f>MAX(AY56:AY59)-MIN(AY56:AY59)+1</f>
        <v>1</v>
      </c>
      <c r="AZ60" s="126">
        <f>MAX(AZ56:AZ59)+1</f>
        <v>68.466666666666654</v>
      </c>
      <c r="BB60" s="126">
        <f>MAX(BB56:BB59)-MIN(BB56:BB59)+1</f>
        <v>1</v>
      </c>
      <c r="BC60" s="126">
        <f>MAX(BC56:BC59)-MIN(BC56:BC59)+1</f>
        <v>3</v>
      </c>
      <c r="BD60" s="126">
        <f>MAX(BD56:BD59)-MIN(BD56:BD59)+1</f>
        <v>5</v>
      </c>
      <c r="BE60" s="126">
        <f>MAX(BE56:BE59)-MIN(BE56:BE59)+1</f>
        <v>5</v>
      </c>
      <c r="BG60" s="126">
        <f>MAX(BG56:BG59)-MIN(BG56:BG59)+1</f>
        <v>1</v>
      </c>
      <c r="BH60" s="126">
        <f>MAX(BH56:BH59)+1</f>
        <v>68.466666666666654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14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87500010.209270746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8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50000005.584115468</v>
      </c>
      <c r="AQ63" s="126">
        <f>VLOOKUP(AE63,db_fifarank,2,FALSE)</f>
        <v>1564.26</v>
      </c>
      <c r="AR63" s="125">
        <f>AP63/AP66</f>
        <v>0.57142856204363435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3 - 1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1</v>
      </c>
      <c r="AL64" s="123">
        <f>AI64-AJ64</f>
        <v>2</v>
      </c>
      <c r="AM64" s="123">
        <f>AL64-AL66</f>
        <v>10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62500007.042463392</v>
      </c>
      <c r="AQ64" s="126">
        <f>VLOOKUP(AE64,db_fifarank,2,FALSE)</f>
        <v>1593.45</v>
      </c>
      <c r="AR64" s="125">
        <f>AP64/AP66</f>
        <v>0.71428570326676066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2</v>
      </c>
      <c r="CC64" s="25">
        <v>2</v>
      </c>
      <c r="CD64" s="116">
        <f>IF(OR(CA64="",CA65="",AND(CB64="",CB65&lt;&gt;""),AND(CB65="",CB64&lt;&gt;""),AND(CC64="",CC65&lt;&gt;""),AND(CC65="",CC64&lt;&gt;"")),"",CA64*1000+CB64*10+CC64)</f>
        <v>2022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2 - 2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7.951141838554267E-12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2</v>
      </c>
      <c r="CC65" s="27">
        <v>3</v>
      </c>
      <c r="CD65" s="112">
        <f>IF(CD64="","",CA65*1000+CB65*10+CC65)</f>
        <v>2023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8</v>
      </c>
      <c r="AL66" s="123">
        <f>MIN(AL62:AL65)</f>
        <v>-8</v>
      </c>
      <c r="AM66" s="123">
        <f>MAX(AM62:AM65)+1</f>
        <v>15</v>
      </c>
      <c r="AN66" s="123">
        <f>MAX(AN62:AN65)+1</f>
        <v>8</v>
      </c>
      <c r="AO66" s="123">
        <f>MAX(AO62:AO65)+1</f>
        <v>9.75</v>
      </c>
      <c r="AP66" s="123">
        <f>MAX(AP62:AP65)+1</f>
        <v>87500011.209270746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15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97306559.953301266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5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37500003.225739174</v>
      </c>
      <c r="AQ69" s="126">
        <f>VLOOKUP(AE69,db_fifarank,2,FALSE)</f>
        <v>1478.35</v>
      </c>
      <c r="AR69" s="125">
        <f>AP69/AP72</f>
        <v>0.38538000786746468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8</v>
      </c>
      <c r="AL70" s="123">
        <f>AI70-AJ70</f>
        <v>-8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7.5295025620278386E-12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12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97306557.778265893</v>
      </c>
      <c r="AQ71" s="126">
        <f>VLOOKUP(AE71,db_fifarank,2,FALSE)</f>
        <v>1693.09</v>
      </c>
      <c r="AR71" s="125">
        <f>AP71/AP72</f>
        <v>0.99999996737079866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0 - 8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-8</v>
      </c>
      <c r="AM72" s="123">
        <f>MAX(AM68:AM71)+1</f>
        <v>16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97306560.953301266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87500009.764801875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3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3</v>
      </c>
      <c r="AL75" s="123">
        <f>AI75-AJ75</f>
        <v>0</v>
      </c>
      <c r="AM75" s="123">
        <f>AL75-AL78</f>
        <v>4</v>
      </c>
      <c r="AN75" s="123">
        <f>AF75*3+AG75</f>
        <v>3</v>
      </c>
      <c r="AO75" s="123">
        <f>AN75/AN78*10+BA75</f>
        <v>3.75</v>
      </c>
      <c r="AP75" s="123">
        <f>AO75*10000000+BI75*100+AM75/AM78*10+AI75/AI78*1++IF(AQ75=0,ROW(),AQ75)/2000000</f>
        <v>37500004.820302986</v>
      </c>
      <c r="AQ75" s="126">
        <f>VLOOKUP(AE75,db_fifarank,2,FALSE)</f>
        <v>1717.07</v>
      </c>
      <c r="AR75" s="125">
        <f>AP75/AP78</f>
        <v>0.42857143093504507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4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50000004.9451176</v>
      </c>
      <c r="AQ76" s="126">
        <f>VLOOKUP(AE76,db_fifarank,2,FALSE)</f>
        <v>1346.31</v>
      </c>
      <c r="AR76" s="125">
        <f>AP76/AP78</f>
        <v>0.5714285576434559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3</v>
      </c>
      <c r="N77" s="23">
        <f>VLOOKUP(3,AD74:AN77,5,FALSE)</f>
        <v>0</v>
      </c>
      <c r="O77" s="23" t="str">
        <f>VLOOKUP(3,AD74:AN77,6,FALSE) &amp; " - " &amp; VLOOKUP(3,AD74:AN77,7,FALSE)</f>
        <v>3 - 3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12500000.125770319</v>
      </c>
      <c r="AQ77" s="126">
        <f>VLOOKUP(AE77,db_fifarank,2,FALSE)</f>
        <v>1540.64</v>
      </c>
      <c r="AR77" s="125">
        <f>AP77/AP78</f>
        <v>0.14285712671933318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8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87500010.764801875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5</v>
      </c>
      <c r="AJ80" s="123">
        <f>VLOOKUP($AE80,$AE$8:$AQ$78,6,FALSE)</f>
        <v>4</v>
      </c>
      <c r="AK80" s="123" t="s">
        <v>3180</v>
      </c>
      <c r="AL80" s="123">
        <f>VLOOKUP($AE80,$AE$8:$AQ$78,8,FALSE)</f>
        <v>1</v>
      </c>
      <c r="AM80" s="123">
        <f>AL80-$AL$92</f>
        <v>4</v>
      </c>
      <c r="AN80" s="123">
        <f>VLOOKUP($AE80,$AE$8:$AQ$78,10,FALSE)</f>
        <v>5</v>
      </c>
      <c r="AP80" s="123">
        <f>AN80/AN92*10000+AM80/AM92*1000+AI80/AI92*100+IF(AQ80=0,ROW(),AQ80)/2000000</f>
        <v>9071.4293657585713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6 - 5</v>
      </c>
      <c r="P81" s="98">
        <f>L81*3+M81</f>
        <v>5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7028.5721214914274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2</v>
      </c>
      <c r="N82" s="100">
        <f>VLOOKUP(2,$AD$80:$AN$91,5,FALSE)</f>
        <v>0</v>
      </c>
      <c r="O82" s="100" t="str">
        <f>VLOOKUP(2,$AD$80:$AN$91,6,FALSE) &amp; " - " &amp; VLOOKUP(2,$AD$80:$AN$91,7,FALSE)</f>
        <v>5 - 4</v>
      </c>
      <c r="P82" s="101">
        <f t="shared" ref="P82:P92" si="48">L82*3+M82</f>
        <v>5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6</v>
      </c>
      <c r="AJ82" s="123">
        <f t="shared" si="42"/>
        <v>4</v>
      </c>
      <c r="AK82" s="123" t="s">
        <v>3182</v>
      </c>
      <c r="AL82" s="123">
        <f t="shared" si="43"/>
        <v>2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5919.0483682226186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2</v>
      </c>
      <c r="N83" s="100">
        <f>VLOOKUP(3,$AD$80:$AN$91,5,FALSE)</f>
        <v>0</v>
      </c>
      <c r="O83" s="100" t="str">
        <f>VLOOKUP(3,$AD$80:$AN$91,6,FALSE) &amp; " - " &amp; VLOOKUP(3,$AD$80:$AN$91,7,FALSE)</f>
        <v>2 - 1</v>
      </c>
      <c r="P83" s="101">
        <f t="shared" si="48"/>
        <v>5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2</v>
      </c>
      <c r="AJ83" s="123">
        <f t="shared" si="42"/>
        <v>1</v>
      </c>
      <c r="AK83" s="123" t="s">
        <v>3184</v>
      </c>
      <c r="AL83" s="123">
        <f t="shared" si="43"/>
        <v>1</v>
      </c>
      <c r="AM83" s="123">
        <f t="shared" si="44"/>
        <v>4</v>
      </c>
      <c r="AN83" s="123">
        <f t="shared" si="45"/>
        <v>5</v>
      </c>
      <c r="AP83" s="123">
        <f>AN83/AN92*10000+AM83/AM92*1000+AI83/AI92*100+IF(AQ83=0,ROW(),AQ83)/2000000</f>
        <v>9028.5722651364285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5542.8579093471435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5376.191233575476</v>
      </c>
      <c r="AQ85" s="126">
        <f t="shared" si="37"/>
        <v>1514.77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7209.5245911438096</v>
      </c>
      <c r="AQ86" s="126">
        <f t="shared" si="37"/>
        <v>1563.24</v>
      </c>
      <c r="AR86" s="125" t="str">
        <f t="shared" si="50"/>
        <v>ABCDG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6 - 4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5014.2864250007151</v>
      </c>
      <c r="AQ87" s="126">
        <f t="shared" si="37"/>
        <v>1421.43</v>
      </c>
      <c r="AR87" s="125" t="str">
        <f t="shared" si="50"/>
        <v>ABCDG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Croatia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3</v>
      </c>
      <c r="N88" s="100">
        <f>VLOOKUP(8,$AD$80:$AN$91,5,FALSE)</f>
        <v>0</v>
      </c>
      <c r="O88" s="100" t="str">
        <f>VLOOKUP(8,$AD$80:$AN$91,6,FALSE) &amp; " - " &amp; VLOOKUP(8,$AD$80:$AN$91,7,FALSE)</f>
        <v>3 - 3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2</v>
      </c>
      <c r="AH88" s="123">
        <f t="shared" si="40"/>
        <v>0</v>
      </c>
      <c r="AI88" s="123">
        <f t="shared" si="41"/>
        <v>6</v>
      </c>
      <c r="AJ88" s="123">
        <f t="shared" si="42"/>
        <v>5</v>
      </c>
      <c r="AK88" s="123" t="s">
        <v>3189</v>
      </c>
      <c r="AL88" s="123">
        <f t="shared" si="43"/>
        <v>1</v>
      </c>
      <c r="AM88" s="123">
        <f t="shared" si="44"/>
        <v>4</v>
      </c>
      <c r="AN88" s="123">
        <f t="shared" si="45"/>
        <v>5</v>
      </c>
      <c r="AP88" s="123">
        <f>AN88/AN92*10000+AM88/AM92*1000+AI88/AI92*100+IF(AQ88=0,ROW(),AQ88)/2000000</f>
        <v>9085.7150611842862</v>
      </c>
      <c r="AQ88" s="126">
        <f t="shared" si="37"/>
        <v>1550.94</v>
      </c>
      <c r="AR88" s="125" t="str">
        <f t="shared" si="50"/>
        <v>ABCDGI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7195.2388773680941</v>
      </c>
      <c r="AQ89" s="126">
        <f t="shared" si="37"/>
        <v>1564.26</v>
      </c>
      <c r="AR89" s="125" t="str">
        <f t="shared" si="50"/>
        <v>ABCDGIJ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Sweden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3 - 4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5014.2864534607143</v>
      </c>
      <c r="AQ90" s="126">
        <f t="shared" si="37"/>
        <v>1478.35</v>
      </c>
      <c r="AR90" s="125" t="str">
        <f t="shared" si="50"/>
        <v>ABCDGIJ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Croatia</v>
      </c>
      <c r="AF91" s="123">
        <f t="shared" si="39"/>
        <v>0</v>
      </c>
      <c r="AG91" s="123">
        <f t="shared" si="49"/>
        <v>3</v>
      </c>
      <c r="AH91" s="123">
        <f>VLOOKUP($AE91,$AE$8:$AQ$78,4,FALSE)</f>
        <v>0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5542.8580013921428</v>
      </c>
      <c r="AQ91" s="126">
        <f t="shared" si="37"/>
        <v>1717.07</v>
      </c>
      <c r="AR91" s="125" t="str">
        <f t="shared" si="50"/>
        <v>ABCDGIJL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3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6</v>
      </c>
      <c r="AL92" s="123">
        <f>MIN(AL80:AL91)</f>
        <v>-3</v>
      </c>
      <c r="AM92" s="123">
        <f>MAX(AM80:AM91)+1</f>
        <v>6</v>
      </c>
      <c r="AN92" s="123">
        <f>MAX(AN80:AN91)+1</f>
        <v>6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433</v>
      </c>
      <c r="C3" s="121" t="str">
        <f>'2026 World Cup'!AR91</f>
        <v>ABCDGIJL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Jesus Espinar</cp:lastModifiedBy>
  <cp:revision/>
  <dcterms:created xsi:type="dcterms:W3CDTF">2017-12-27T19:32:51Z</dcterms:created>
  <dcterms:modified xsi:type="dcterms:W3CDTF">2026-06-08T21:40:23Z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