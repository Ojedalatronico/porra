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06CAEC8-3811-452D-B4C9-48D97DC3DEC6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S30" i="3"/>
  <c r="T30" i="3" s="1"/>
  <c r="S78" i="3"/>
  <c r="S26" i="3"/>
  <c r="T26" i="3" s="1"/>
  <c r="S75" i="3"/>
  <c r="T75" i="3" s="1"/>
  <c r="S25" i="3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51" i="3"/>
  <c r="S54" i="3"/>
  <c r="S77" i="3"/>
  <c r="T78" i="3"/>
  <c r="S50" i="3"/>
  <c r="S76" i="3"/>
  <c r="T25" i="3"/>
  <c r="S47" i="3"/>
  <c r="S67" i="3"/>
  <c r="T23" i="3"/>
  <c r="T48" i="3"/>
  <c r="T43" i="3"/>
  <c r="S72" i="3"/>
  <c r="S70" i="3"/>
  <c r="S42" i="3"/>
  <c r="S64" i="3"/>
  <c r="T18" i="3"/>
  <c r="T41" i="3"/>
  <c r="S40" i="3"/>
  <c r="S62" i="3"/>
  <c r="S38" i="3"/>
  <c r="S65" i="3"/>
  <c r="S55" i="3"/>
  <c r="T56" i="3"/>
  <c r="S57" i="3"/>
  <c r="T8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35" i="3" l="1"/>
  <c r="AR34" i="3"/>
  <c r="AR21" i="3"/>
  <c r="AR33" i="3"/>
  <c r="AD32" i="3" s="1"/>
  <c r="AD57" i="3"/>
  <c r="AR9" i="3"/>
  <c r="AR22" i="3"/>
  <c r="AR10" i="3"/>
  <c r="AR11" i="3"/>
  <c r="AR28" i="3"/>
  <c r="AD58" i="3"/>
  <c r="AR75" i="3"/>
  <c r="AR76" i="3"/>
  <c r="AR77" i="3"/>
  <c r="AR65" i="3"/>
  <c r="AR40" i="3"/>
  <c r="AR41" i="3"/>
  <c r="AR29" i="3"/>
  <c r="AR69" i="3"/>
  <c r="AR70" i="3"/>
  <c r="AR71" i="3"/>
  <c r="AR27" i="3"/>
  <c r="AD28" i="3" s="1"/>
  <c r="AR23" i="3"/>
  <c r="AD22" i="3" s="1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4" i="3" l="1"/>
  <c r="M58" i="3"/>
  <c r="AD33" i="3"/>
  <c r="AD35" i="3"/>
  <c r="AD9" i="3"/>
  <c r="AD11" i="3"/>
  <c r="AD10" i="3"/>
  <c r="AD8" i="3"/>
  <c r="N9" i="3" s="1"/>
  <c r="AD75" i="3"/>
  <c r="AD68" i="3"/>
  <c r="L69" i="3" s="1"/>
  <c r="AD15" i="3"/>
  <c r="AD44" i="3"/>
  <c r="AD70" i="3"/>
  <c r="L58" i="3"/>
  <c r="O60" i="3"/>
  <c r="AD26" i="3"/>
  <c r="AD27" i="3"/>
  <c r="AD41" i="3"/>
  <c r="M59" i="3"/>
  <c r="L59" i="3"/>
  <c r="N58" i="3"/>
  <c r="AD74" i="3"/>
  <c r="AD20" i="3"/>
  <c r="AD21" i="3"/>
  <c r="AD47" i="3"/>
  <c r="AD62" i="3"/>
  <c r="AD71" i="3"/>
  <c r="AD63" i="3"/>
  <c r="AD53" i="3"/>
  <c r="AD29" i="3"/>
  <c r="AD77" i="3"/>
  <c r="AD76" i="3"/>
  <c r="AD1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J39" i="3" s="1"/>
  <c r="AS38" i="3" s="1"/>
  <c r="BL22" i="3" s="1"/>
  <c r="AD50" i="3"/>
  <c r="L51" i="3" s="1"/>
  <c r="N59" i="3"/>
  <c r="AD17" i="3"/>
  <c r="P58" i="3"/>
  <c r="J36" i="3"/>
  <c r="J35" i="3"/>
  <c r="AE84" i="3" s="1"/>
  <c r="AQ84" i="3" s="1"/>
  <c r="J33" i="3"/>
  <c r="AS32" i="3" s="1"/>
  <c r="BL10" i="3" s="1"/>
  <c r="N33" i="3"/>
  <c r="L33" i="3"/>
  <c r="O33" i="3"/>
  <c r="M33" i="3"/>
  <c r="M35" i="3" l="1"/>
  <c r="N36" i="3"/>
  <c r="O36" i="3"/>
  <c r="O35" i="3"/>
  <c r="N35" i="3"/>
  <c r="L36" i="3"/>
  <c r="M36" i="3"/>
  <c r="L35" i="3"/>
  <c r="P35" i="3" s="1"/>
  <c r="N34" i="3"/>
  <c r="J34" i="3"/>
  <c r="AS33" i="3" s="1"/>
  <c r="BL46" i="3" s="1"/>
  <c r="O34" i="3"/>
  <c r="L34" i="3"/>
  <c r="M34" i="3"/>
  <c r="M69" i="3"/>
  <c r="P69" i="3" s="1"/>
  <c r="L12" i="3"/>
  <c r="M11" i="3"/>
  <c r="O9" i="3"/>
  <c r="J11" i="3"/>
  <c r="AE80" i="3" s="1"/>
  <c r="AQ80" i="3" s="1"/>
  <c r="N69" i="3"/>
  <c r="L11" i="3"/>
  <c r="N11" i="3"/>
  <c r="O11" i="3"/>
  <c r="L9" i="3"/>
  <c r="M9" i="3"/>
  <c r="N12" i="3"/>
  <c r="O10" i="3"/>
  <c r="N10" i="3"/>
  <c r="J9" i="3"/>
  <c r="AS8" i="3" s="1"/>
  <c r="BL50" i="3" s="1"/>
  <c r="O12" i="3"/>
  <c r="J12" i="3"/>
  <c r="J10" i="3"/>
  <c r="AS9" i="3" s="1"/>
  <c r="BL18" i="3" s="1"/>
  <c r="L10" i="3"/>
  <c r="M10" i="3"/>
  <c r="M12" i="3"/>
  <c r="O69" i="3"/>
  <c r="J69" i="3"/>
  <c r="AS68" i="3" s="1"/>
  <c r="BL70" i="3" s="1"/>
  <c r="O75" i="3"/>
  <c r="N63" i="3"/>
  <c r="N45" i="3"/>
  <c r="O45" i="3"/>
  <c r="M45" i="3"/>
  <c r="J45" i="3"/>
  <c r="AS44" i="3" s="1"/>
  <c r="BL38" i="3" s="1"/>
  <c r="J21" i="3"/>
  <c r="AS20" i="3" s="1"/>
  <c r="BL42" i="3" s="1"/>
  <c r="BS44" i="3" s="1"/>
  <c r="L45" i="3"/>
  <c r="L47" i="3"/>
  <c r="J30" i="3"/>
  <c r="N21" i="3"/>
  <c r="N51" i="3"/>
  <c r="L54" i="3"/>
  <c r="O47" i="3"/>
  <c r="M21" i="3"/>
  <c r="M27" i="3"/>
  <c r="M51" i="3"/>
  <c r="J47" i="3"/>
  <c r="AE86" i="3" s="1"/>
  <c r="AQ86" i="3" s="1"/>
  <c r="K58" i="3"/>
  <c r="O51" i="3"/>
  <c r="N47" i="3"/>
  <c r="O21" i="3"/>
  <c r="N16" i="3"/>
  <c r="L27" i="3"/>
  <c r="N27" i="3"/>
  <c r="J27" i="3"/>
  <c r="AS26" i="3" s="1"/>
  <c r="BL34" i="3" s="1"/>
  <c r="J51" i="3"/>
  <c r="AS50" i="3" s="1"/>
  <c r="BL30" i="3" s="1"/>
  <c r="M47" i="3"/>
  <c r="L21" i="3"/>
  <c r="K59" i="3"/>
  <c r="N24" i="3"/>
  <c r="P59" i="3"/>
  <c r="N70" i="3"/>
  <c r="O27" i="3"/>
  <c r="L29" i="3"/>
  <c r="O29" i="3"/>
  <c r="O30" i="3"/>
  <c r="L30" i="3"/>
  <c r="M30" i="3"/>
  <c r="N29" i="3"/>
  <c r="L18" i="3"/>
  <c r="N30" i="3"/>
  <c r="J29" i="3"/>
  <c r="AE83" i="3" s="1"/>
  <c r="AQ83" i="3" s="1"/>
  <c r="O16" i="3"/>
  <c r="M29" i="3"/>
  <c r="L28" i="3"/>
  <c r="M71" i="3"/>
  <c r="J52" i="3"/>
  <c r="AS51" i="3" s="1"/>
  <c r="BL59" i="3" s="1"/>
  <c r="L76" i="3"/>
  <c r="N22" i="3"/>
  <c r="M24" i="3"/>
  <c r="O24" i="3"/>
  <c r="L22" i="3"/>
  <c r="L24" i="3"/>
  <c r="J22" i="3"/>
  <c r="AS21" i="3" s="1"/>
  <c r="BL23" i="3" s="1"/>
  <c r="L23" i="3"/>
  <c r="O22" i="3"/>
  <c r="M22" i="3"/>
  <c r="J24" i="3"/>
  <c r="P57" i="3"/>
  <c r="N52" i="3"/>
  <c r="N18" i="3"/>
  <c r="M18" i="3"/>
  <c r="N54" i="3"/>
  <c r="L16" i="3"/>
  <c r="J16" i="3"/>
  <c r="AS15" i="3" s="1"/>
  <c r="BL19" i="3" s="1"/>
  <c r="M54" i="3"/>
  <c r="J18" i="3"/>
  <c r="M16" i="3"/>
  <c r="AF88" i="3"/>
  <c r="J48" i="3"/>
  <c r="N17" i="3"/>
  <c r="M75" i="3"/>
  <c r="O77" i="3"/>
  <c r="J40" i="3"/>
  <c r="AS39" i="3" s="1"/>
  <c r="BL43" i="3" s="1"/>
  <c r="AN88" i="3"/>
  <c r="M65" i="3"/>
  <c r="L46" i="3"/>
  <c r="L75" i="3"/>
  <c r="O78" i="3"/>
  <c r="O18" i="3"/>
  <c r="AJ88" i="3"/>
  <c r="M70" i="3"/>
  <c r="N77" i="3"/>
  <c r="M64" i="3"/>
  <c r="M28" i="3"/>
  <c r="P28" i="3" s="1"/>
  <c r="M77" i="3"/>
  <c r="J76" i="3"/>
  <c r="AS75" i="3" s="1"/>
  <c r="BL27" i="3" s="1"/>
  <c r="M78" i="3"/>
  <c r="J78" i="3"/>
  <c r="N75" i="3"/>
  <c r="J71" i="3"/>
  <c r="AE90" i="3" s="1"/>
  <c r="AQ90" i="3" s="1"/>
  <c r="J65" i="3"/>
  <c r="AE89" i="3" s="1"/>
  <c r="AQ89" i="3" s="1"/>
  <c r="M63" i="3"/>
  <c r="O42" i="3"/>
  <c r="L17" i="3"/>
  <c r="AI88" i="3"/>
  <c r="L77" i="3"/>
  <c r="L78" i="3"/>
  <c r="M76" i="3"/>
  <c r="J75" i="3"/>
  <c r="AS74" i="3" s="1"/>
  <c r="BL54" i="3" s="1"/>
  <c r="L48" i="3"/>
  <c r="M42" i="3"/>
  <c r="J77" i="3"/>
  <c r="AE91" i="3" s="1"/>
  <c r="AQ91" i="3" s="1"/>
  <c r="O76" i="3"/>
  <c r="N78" i="3"/>
  <c r="N76" i="3"/>
  <c r="M72" i="3"/>
  <c r="M66" i="3"/>
  <c r="L39" i="3"/>
  <c r="J28" i="3"/>
  <c r="AS27" i="3" s="1"/>
  <c r="BL62" i="3" s="1"/>
  <c r="BS61" i="3" s="1"/>
  <c r="AT88" i="3"/>
  <c r="AG88" i="3"/>
  <c r="L71" i="3"/>
  <c r="L66" i="3"/>
  <c r="L63" i="3"/>
  <c r="M48" i="3"/>
  <c r="N48" i="3"/>
  <c r="O48" i="3"/>
  <c r="N46" i="3"/>
  <c r="J46" i="3"/>
  <c r="AS45" i="3" s="1"/>
  <c r="BL63" i="3" s="1"/>
  <c r="N40" i="3"/>
  <c r="L40" i="3"/>
  <c r="O40" i="3"/>
  <c r="J41" i="3"/>
  <c r="AE85" i="3" s="1"/>
  <c r="AQ85" i="3" s="1"/>
  <c r="N28" i="3"/>
  <c r="M17" i="3"/>
  <c r="O17" i="3"/>
  <c r="J72" i="3"/>
  <c r="L70" i="3"/>
  <c r="J66" i="3"/>
  <c r="L64" i="3"/>
  <c r="O72" i="3"/>
  <c r="O71" i="3"/>
  <c r="O70" i="3"/>
  <c r="J63" i="3"/>
  <c r="AS62" i="3" s="1"/>
  <c r="BL58" i="3" s="1"/>
  <c r="BS60" i="3" s="1"/>
  <c r="BZ64" i="3" s="1"/>
  <c r="O66" i="3"/>
  <c r="O65" i="3"/>
  <c r="O64" i="3"/>
  <c r="O63" i="3"/>
  <c r="O46" i="3"/>
  <c r="O39" i="3"/>
  <c r="M40" i="3"/>
  <c r="N39" i="3"/>
  <c r="J42" i="3"/>
  <c r="O28" i="3"/>
  <c r="L72" i="3"/>
  <c r="L65" i="3"/>
  <c r="J70" i="3"/>
  <c r="AS69" i="3" s="1"/>
  <c r="BL26" i="3" s="1"/>
  <c r="N72" i="3"/>
  <c r="N71" i="3"/>
  <c r="J64" i="3"/>
  <c r="AS63" i="3" s="1"/>
  <c r="BL31" i="3" s="1"/>
  <c r="N66" i="3"/>
  <c r="N65" i="3"/>
  <c r="N64" i="3"/>
  <c r="M46" i="3"/>
  <c r="M39" i="3"/>
  <c r="L42" i="3"/>
  <c r="L15" i="3"/>
  <c r="O54" i="3"/>
  <c r="K57" i="3"/>
  <c r="N53" i="3"/>
  <c r="O23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P23" i="3" s="1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33" i="3"/>
  <c r="K33" i="3"/>
  <c r="AF84" i="3"/>
  <c r="AG84" i="3"/>
  <c r="AH84" i="3"/>
  <c r="AI84" i="3"/>
  <c r="AJ84" i="3"/>
  <c r="AL84" i="3"/>
  <c r="AN84" i="3"/>
  <c r="AT84" i="3"/>
  <c r="S89" i="3" l="1"/>
  <c r="T89" i="3" s="1" a="1"/>
  <c r="T89" i="3" s="1"/>
  <c r="BS21" i="3"/>
  <c r="K36" i="3"/>
  <c r="P36" i="3"/>
  <c r="S90" i="3"/>
  <c r="T90" i="3" s="1" a="1"/>
  <c r="T90" i="3" s="1"/>
  <c r="BS36" i="3"/>
  <c r="K35" i="3"/>
  <c r="S91" i="3"/>
  <c r="T91" i="3" s="1" a="1"/>
  <c r="T91" i="3" s="1"/>
  <c r="BS37" i="3"/>
  <c r="S86" i="3"/>
  <c r="T86" i="3" s="1" a="1"/>
  <c r="T86" i="3" s="1"/>
  <c r="BS28" i="3"/>
  <c r="AF80" i="3"/>
  <c r="S87" i="3"/>
  <c r="T87" i="3" s="1" a="1"/>
  <c r="T87" i="3" s="1"/>
  <c r="BS29" i="3"/>
  <c r="S88" i="3"/>
  <c r="T88" i="3" s="1" a="1"/>
  <c r="T88" i="3" s="1"/>
  <c r="BS20" i="3"/>
  <c r="P11" i="3"/>
  <c r="P34" i="3"/>
  <c r="K34" i="3"/>
  <c r="K69" i="3"/>
  <c r="K11" i="3"/>
  <c r="P12" i="3"/>
  <c r="AJ80" i="3"/>
  <c r="K12" i="3"/>
  <c r="AT80" i="3"/>
  <c r="AI80" i="3"/>
  <c r="AN80" i="3"/>
  <c r="AH80" i="3"/>
  <c r="AL80" i="3"/>
  <c r="AG80" i="3"/>
  <c r="K10" i="3"/>
  <c r="P9" i="3"/>
  <c r="P10" i="3"/>
  <c r="K9" i="3"/>
  <c r="K45" i="3"/>
  <c r="P45" i="3"/>
  <c r="K51" i="3"/>
  <c r="P21" i="3"/>
  <c r="AL83" i="3"/>
  <c r="AJ83" i="3"/>
  <c r="AG83" i="3"/>
  <c r="P30" i="3"/>
  <c r="AF83" i="3"/>
  <c r="K21" i="3"/>
  <c r="AT86" i="3"/>
  <c r="P51" i="3"/>
  <c r="K47" i="3"/>
  <c r="AI86" i="3"/>
  <c r="P75" i="3"/>
  <c r="P54" i="3"/>
  <c r="AN86" i="3"/>
  <c r="AH86" i="3"/>
  <c r="AL86" i="3"/>
  <c r="AG86" i="3"/>
  <c r="K27" i="3"/>
  <c r="AJ86" i="3"/>
  <c r="AF86" i="3"/>
  <c r="P27" i="3"/>
  <c r="P77" i="3"/>
  <c r="P47" i="3"/>
  <c r="P40" i="3"/>
  <c r="P42" i="3"/>
  <c r="P70" i="3"/>
  <c r="P71" i="3"/>
  <c r="AT83" i="3"/>
  <c r="AI83" i="3"/>
  <c r="AN83" i="3"/>
  <c r="AH83" i="3"/>
  <c r="K29" i="3"/>
  <c r="K15" i="3"/>
  <c r="K66" i="3"/>
  <c r="P66" i="3"/>
  <c r="K41" i="3"/>
  <c r="P72" i="3"/>
  <c r="K17" i="3"/>
  <c r="K30" i="3"/>
  <c r="P18" i="3"/>
  <c r="AL90" i="3"/>
  <c r="P29" i="3"/>
  <c r="K76" i="3"/>
  <c r="AL89" i="3"/>
  <c r="AG82" i="3"/>
  <c r="AG89" i="3"/>
  <c r="P39" i="3"/>
  <c r="P24" i="3"/>
  <c r="P78" i="3"/>
  <c r="K75" i="3"/>
  <c r="P16" i="3"/>
  <c r="K24" i="3"/>
  <c r="K16" i="3"/>
  <c r="AJ89" i="3"/>
  <c r="AF89" i="3"/>
  <c r="P65" i="3"/>
  <c r="P64" i="3"/>
  <c r="AJ85" i="3"/>
  <c r="AT89" i="3"/>
  <c r="AI89" i="3"/>
  <c r="AF85" i="3"/>
  <c r="AN89" i="3"/>
  <c r="AH89" i="3"/>
  <c r="K40" i="3"/>
  <c r="K78" i="3"/>
  <c r="K18" i="3"/>
  <c r="K22" i="3"/>
  <c r="P22" i="3"/>
  <c r="P46" i="3"/>
  <c r="P63" i="3"/>
  <c r="K54" i="3"/>
  <c r="AF81" i="3"/>
  <c r="AN82" i="3"/>
  <c r="K28" i="3"/>
  <c r="AG90" i="3"/>
  <c r="AH91" i="3"/>
  <c r="K72" i="3"/>
  <c r="P76" i="3"/>
  <c r="P17" i="3"/>
  <c r="AL87" i="3"/>
  <c r="AT90" i="3"/>
  <c r="AN91" i="3"/>
  <c r="P15" i="3"/>
  <c r="P41" i="3"/>
  <c r="AI90" i="3"/>
  <c r="AJ81" i="3"/>
  <c r="AF87" i="3"/>
  <c r="K64" i="3"/>
  <c r="AJ90" i="3"/>
  <c r="AF90" i="3"/>
  <c r="AL91" i="3"/>
  <c r="AG91" i="3"/>
  <c r="K77" i="3"/>
  <c r="K46" i="3"/>
  <c r="AJ91" i="3"/>
  <c r="AF91" i="3"/>
  <c r="K70" i="3"/>
  <c r="AN90" i="3"/>
  <c r="AH90" i="3"/>
  <c r="AT91" i="3"/>
  <c r="AI91" i="3"/>
  <c r="K65" i="3"/>
  <c r="K48" i="3"/>
  <c r="K63" i="3"/>
  <c r="K53" i="3"/>
  <c r="K39" i="3"/>
  <c r="P48" i="3"/>
  <c r="AI81" i="3"/>
  <c r="AN81" i="3"/>
  <c r="K42" i="3"/>
  <c r="AT87" i="3"/>
  <c r="AH87" i="3"/>
  <c r="K71" i="3"/>
  <c r="AT81" i="3"/>
  <c r="AJ87" i="3"/>
  <c r="AH81" i="3"/>
  <c r="AL81" i="3"/>
  <c r="AG81" i="3"/>
  <c r="AN87" i="3"/>
  <c r="AG87" i="3"/>
  <c r="AF82" i="3"/>
  <c r="AI85" i="3"/>
  <c r="AJ82" i="3"/>
  <c r="AN85" i="3"/>
  <c r="AT85" i="3"/>
  <c r="AI82" i="3"/>
  <c r="AH85" i="3"/>
  <c r="AT82" i="3"/>
  <c r="AH82" i="3"/>
  <c r="AL85" i="3"/>
  <c r="AG85" i="3"/>
  <c r="K23" i="3"/>
  <c r="P52" i="3"/>
  <c r="P53" i="3"/>
  <c r="AL82" i="3"/>
  <c r="AI87" i="3"/>
  <c r="K52" i="3"/>
  <c r="BZ17" i="3" l="1"/>
  <c r="U102" i="3" s="1"/>
  <c r="AC102" i="3" s="1" a="1"/>
  <c r="AC102" i="3" s="1"/>
  <c r="S96" i="3"/>
  <c r="T96" i="3" s="1" a="1"/>
  <c r="T96" i="3" s="1"/>
  <c r="S98" i="3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AF92" i="3"/>
  <c r="AI92" i="3"/>
  <c r="AS92" i="3"/>
  <c r="AL92" i="3"/>
  <c r="AM88" i="3" s="1"/>
  <c r="AJ92" i="3"/>
  <c r="AN92" i="3"/>
  <c r="AG92" i="3"/>
  <c r="AH92" i="3"/>
  <c r="S103" i="3" l="1"/>
  <c r="T103" i="3" s="1" a="1"/>
  <c r="T103" i="3" s="1"/>
  <c r="CG24" i="3"/>
  <c r="S111" i="3" s="1"/>
  <c r="T111" i="3" s="1"/>
  <c r="AM87" i="3"/>
  <c r="AM89" i="3"/>
  <c r="AM90" i="3"/>
  <c r="AM86" i="3"/>
  <c r="AM83" i="3"/>
  <c r="AM84" i="3"/>
  <c r="AM81" i="3"/>
  <c r="AM82" i="3"/>
  <c r="AM85" i="3"/>
  <c r="AM80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5" i="3"/>
  <c r="AP88" i="3"/>
  <c r="AP84" i="3"/>
  <c r="AP83" i="3"/>
  <c r="AP91" i="3"/>
  <c r="AP90" i="3"/>
  <c r="AP81" i="3"/>
  <c r="AP89" i="3"/>
  <c r="AP80" i="3"/>
  <c r="AP82" i="3"/>
  <c r="AP86" i="3"/>
  <c r="CN37" i="3" l="1"/>
  <c r="CK68" i="3" s="1"/>
  <c r="CN48" i="3"/>
  <c r="AD89" i="3"/>
  <c r="AS89" i="3" s="1"/>
  <c r="AD85" i="3"/>
  <c r="AS85" i="3" s="1"/>
  <c r="AD91" i="3"/>
  <c r="AS91" i="3" s="1"/>
  <c r="AD88" i="3"/>
  <c r="AS88" i="3" s="1"/>
  <c r="AD86" i="3"/>
  <c r="AS86" i="3" s="1"/>
  <c r="AD83" i="3"/>
  <c r="AS83" i="3" s="1"/>
  <c r="AD81" i="3"/>
  <c r="AS81" i="3" s="1"/>
  <c r="AD90" i="3"/>
  <c r="AS90" i="3" s="1"/>
  <c r="AD84" i="3"/>
  <c r="AS84" i="3" s="1"/>
  <c r="AD80" i="3"/>
  <c r="AD82" i="3"/>
  <c r="AS82" i="3" s="1"/>
  <c r="AD87" i="3"/>
  <c r="AS87" i="3" s="1"/>
  <c r="N83" i="3" l="1"/>
  <c r="L89" i="3"/>
  <c r="J91" i="3"/>
  <c r="O89" i="3"/>
  <c r="J89" i="3"/>
  <c r="N86" i="3"/>
  <c r="J84" i="3"/>
  <c r="J82" i="3"/>
  <c r="O87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91" i="3"/>
  <c r="J85" i="3"/>
  <c r="M88" i="3"/>
  <c r="J83" i="3"/>
  <c r="N91" i="3"/>
  <c r="J86" i="3"/>
  <c r="L84" i="3"/>
  <c r="M85" i="3"/>
  <c r="O83" i="3"/>
  <c r="J92" i="3"/>
  <c r="M91" i="3"/>
  <c r="N81" i="3"/>
  <c r="L88" i="3"/>
  <c r="L83" i="3"/>
  <c r="O84" i="3"/>
  <c r="N92" i="3"/>
  <c r="J81" i="3"/>
  <c r="O86" i="3"/>
  <c r="O85" i="3"/>
  <c r="L85" i="3"/>
  <c r="P85" i="3" s="1"/>
  <c r="M92" i="3"/>
  <c r="M82" i="3"/>
  <c r="M84" i="3"/>
  <c r="M90" i="3"/>
  <c r="L92" i="3"/>
  <c r="M83" i="3"/>
  <c r="L82" i="3"/>
  <c r="O88" i="3"/>
  <c r="L81" i="3"/>
  <c r="N82" i="3"/>
  <c r="N85" i="3"/>
  <c r="M87" i="3"/>
  <c r="AS80" i="3"/>
  <c r="N88" i="3"/>
  <c r="M86" i="3"/>
  <c r="L86" i="3"/>
  <c r="O92" i="3"/>
  <c r="N90" i="3"/>
  <c r="M89" i="3"/>
  <c r="M81" i="3"/>
  <c r="L87" i="3"/>
  <c r="J90" i="3"/>
  <c r="O82" i="3"/>
  <c r="O81" i="3"/>
  <c r="N89" i="3"/>
  <c r="N87" i="3"/>
  <c r="L90" i="3"/>
  <c r="O90" i="3"/>
  <c r="J88" i="3"/>
  <c r="L91" i="3"/>
  <c r="J87" i="3"/>
  <c r="N84" i="3"/>
  <c r="P92" i="3"/>
  <c r="K83" i="3" l="1"/>
  <c r="P83" i="3"/>
  <c r="P81" i="3"/>
  <c r="K87" i="3"/>
  <c r="K92" i="3"/>
  <c r="K82" i="3"/>
  <c r="B3" i="4"/>
  <c r="E3" i="4"/>
  <c r="BL67" i="3" s="1"/>
  <c r="J3" i="4"/>
  <c r="BL71" i="3" s="1"/>
  <c r="G3" i="4"/>
  <c r="BL11" i="3" s="1"/>
  <c r="K3" i="4"/>
  <c r="BL55" i="3" s="1"/>
  <c r="H3" i="4"/>
  <c r="BL39" i="3" s="1"/>
  <c r="K91" i="3"/>
  <c r="K88" i="3"/>
  <c r="D3" i="4"/>
  <c r="BL51" i="3" s="1"/>
  <c r="I3" i="4"/>
  <c r="BL15" i="3" s="1"/>
  <c r="K86" i="3"/>
  <c r="K90" i="3"/>
  <c r="P90" i="3"/>
  <c r="P86" i="3"/>
  <c r="K85" i="3"/>
  <c r="K89" i="3"/>
  <c r="P91" i="3"/>
  <c r="P84" i="3"/>
  <c r="P88" i="3"/>
  <c r="P89" i="3"/>
  <c r="P87" i="3"/>
  <c r="K84" i="3"/>
  <c r="K81" i="3"/>
  <c r="P82" i="3"/>
  <c r="BS53" i="3"/>
  <c r="BS52" i="3"/>
  <c r="BZ49" i="3" s="1"/>
  <c r="CG55" i="3" s="1"/>
  <c r="CN49" i="3" s="1"/>
  <c r="BS69" i="3"/>
  <c r="BZ65" i="3" s="1"/>
  <c r="CG56" i="3" s="1"/>
  <c r="CN38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<sst xmlns="http://schemas.openxmlformats.org/spreadsheetml/2006/main" count="9785" uniqueCount="3699">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</sst>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N19" zoomScaleNormal="100" workbookViewId="0">
      <selection activeCell="CO49" sqref="CO49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1</v>
      </c>
      <c r="AL8" s="123">
        <f>AI8-AJ8</f>
        <v>3</v>
      </c>
      <c r="AM8" s="123">
        <f>AL8-AL12</f>
        <v>9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87500009.800840512</v>
      </c>
      <c r="AQ8" s="126">
        <f>VLOOKUP(AE8,db_fifarank,2,FALSE)</f>
        <v>1681.03</v>
      </c>
      <c r="AR8" s="125">
        <f>AP8/AP12</f>
        <v>0.99999998857143002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4 - 1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6</v>
      </c>
      <c r="AL9" s="123">
        <f>AI9-AJ9</f>
        <v>-6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8.1698847058100365E-12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3 - 1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3</v>
      </c>
      <c r="AL10" s="123">
        <f>AI10-AJ10</f>
        <v>1</v>
      </c>
      <c r="AM10" s="123">
        <f>AL10-AL12</f>
        <v>7</v>
      </c>
      <c r="AN10" s="123">
        <f>AF10*3+AG10</f>
        <v>4</v>
      </c>
      <c r="AO10" s="123">
        <f>AN10/AN12*10+BA10</f>
        <v>5</v>
      </c>
      <c r="AP10" s="123">
        <f>AO10*10000000+BI10*100+AM10/AM12*10+AI10/AI12*1++IF(AQ10=0,ROW(),AQ10)/2000000</f>
        <v>50000007.800794326</v>
      </c>
      <c r="AQ10" s="126">
        <f>VLOOKUP(AE10,db_fifarank,2,FALSE)</f>
        <v>1588.66</v>
      </c>
      <c r="AR10" s="125">
        <f>AP10/AP12</f>
        <v>0.57142859004440294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1</v>
      </c>
      <c r="AL11" s="123">
        <f>AI11-AJ11</f>
        <v>2</v>
      </c>
      <c r="AM11" s="123">
        <f>AL11-AL12</f>
        <v>8</v>
      </c>
      <c r="AN11" s="123">
        <f>AF11*3+AG11</f>
        <v>5</v>
      </c>
      <c r="AO11" s="123">
        <f>AN11/AN12*10+BA11</f>
        <v>6.25</v>
      </c>
      <c r="AP11" s="123">
        <f>AO11*10000000+BI11*100+AM11/AM12*10+AI11/AI12*1++IF(AQ11=0,ROW(),AQ11)/2000000</f>
        <v>62500008.600750692</v>
      </c>
      <c r="AQ11" s="126">
        <f>VLOOKUP(AE11,db_fifarank,2,FALSE)</f>
        <v>1501.38</v>
      </c>
      <c r="AR11" s="125">
        <f>AP11/AP12</f>
        <v>0.71428572440988003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United States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5</v>
      </c>
      <c r="AL12" s="123">
        <f>MIN(AL8:AL11)</f>
        <v>-6</v>
      </c>
      <c r="AM12" s="123">
        <f>MAX(AM8:AM11)+1</f>
        <v>10</v>
      </c>
      <c r="AN12" s="123">
        <f>MAX(AN8:AN11)+1</f>
        <v>8</v>
      </c>
      <c r="AO12" s="123">
        <f>MAX(AO8:AO11)+1</f>
        <v>9.75</v>
      </c>
      <c r="AP12" s="123">
        <f>MAX(AP8:AP11)+1</f>
        <v>87500010.800840512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0</v>
      </c>
      <c r="AH14" s="123">
        <f>COUNTIF($S$7:$T$78,"=" &amp; AE14 &amp; "_lose")</f>
        <v>2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4</v>
      </c>
      <c r="AL14" s="123">
        <f>AI14-AJ14</f>
        <v>-1</v>
      </c>
      <c r="AM14" s="123">
        <f>AL14-AL18</f>
        <v>4</v>
      </c>
      <c r="AN14" s="123">
        <f>AF14*3+AG14</f>
        <v>3</v>
      </c>
      <c r="AO14" s="123">
        <f>AN14/AN18*10+BA14</f>
        <v>3</v>
      </c>
      <c r="AP14" s="123">
        <f>AO14*10000000+BI14*100+AM14/AM18*10+AI14/AI18*1++IF(AQ14=0,ROW(),AQ14)/2000000</f>
        <v>30000004.429349668</v>
      </c>
      <c r="AQ14" s="126">
        <f>VLOOKUP(AE14,db_fifarank,2,FALSE)</f>
        <v>1556.48</v>
      </c>
      <c r="AR14" s="125">
        <f>AP14/AP18</f>
        <v>0.33333334233363393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2</v>
      </c>
      <c r="AL15" s="123">
        <f>AI15-AJ15</f>
        <v>2</v>
      </c>
      <c r="AM15" s="123">
        <f>AL15-AL18</f>
        <v>7</v>
      </c>
      <c r="AN15" s="123">
        <f>AF15*3+AG15</f>
        <v>6</v>
      </c>
      <c r="AO15" s="123">
        <f>AN15/AN18*10+BA15</f>
        <v>6</v>
      </c>
      <c r="AP15" s="123">
        <f>AO15*10000000+BI15*100+AM15/AM18*10+AI15/AI18*1++IF(AQ15=0,ROW(),AQ15)/2000000</f>
        <v>60000007.572121494</v>
      </c>
      <c r="AQ15" s="126">
        <f>VLOOKUP(AE15,db_fifarank,2,FALSE)</f>
        <v>1385.84</v>
      </c>
      <c r="AR15" s="125">
        <f>AP15/AP18</f>
        <v>0.66666667037196015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4 - 2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6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0.14358462285714285</v>
      </c>
      <c r="AQ16" s="126">
        <f>VLOOKUP(AE16,db_fifarank,2,FALSE)</f>
        <v>1454.96</v>
      </c>
      <c r="AR16" s="125">
        <f>AP16/AP18</f>
        <v>1.595384505938996E-9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3 - 4</v>
      </c>
      <c r="P17" s="34">
        <f>L17*3+M17</f>
        <v>3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9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90000009.857967556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7</v>
      </c>
      <c r="AL18" s="123">
        <f>MIN(AL14:AL17)</f>
        <v>-5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90000010.857967556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2</v>
      </c>
      <c r="BN18" s="63">
        <v>0</v>
      </c>
      <c r="BO18" s="25">
        <v>1</v>
      </c>
      <c r="BP18" s="112">
        <f>IF(OR(BM18="",BM19="",AND(BN18="",BN19&lt;&gt;""),AND(BN19="",BN18&lt;&gt;""),AND(BO18="",BO19&lt;&gt;""),AND(BO19="",BO18&lt;&gt;"")),"",BM18*1000+BN18*10+BO18)</f>
        <v>2001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2</v>
      </c>
      <c r="BN19" s="64">
        <v>0</v>
      </c>
      <c r="BO19" s="27">
        <v>0</v>
      </c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2</v>
      </c>
      <c r="AL20" s="123">
        <f>AI20-AJ20</f>
        <v>8</v>
      </c>
      <c r="AM20" s="123">
        <f>AL20-AL24</f>
        <v>17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90000010.354415938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10 - 2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1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3</v>
      </c>
      <c r="AL21" s="123">
        <f>AI21-AJ21</f>
        <v>2</v>
      </c>
      <c r="AM21" s="123">
        <f>AL21-AL24</f>
        <v>11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60000006.566534497</v>
      </c>
      <c r="AQ21" s="126">
        <f>VLOOKUP(AE21,db_fifarank,2,FALSE)</f>
        <v>1755.87</v>
      </c>
      <c r="AR21" s="125">
        <f>AP21/AP24</f>
        <v>0.66666665552137772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1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7.1761657613203234E-12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4 - 5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4</v>
      </c>
      <c r="AJ23" s="123">
        <f>SUMIF($E$7:$E$78,$AE23,$G$7:$G$78) + SUMIF($H$7:$H$78,$AE23,$F$7:$F$78)</f>
        <v>5</v>
      </c>
      <c r="AL23" s="123">
        <f>AI23-AJ23</f>
        <v>-1</v>
      </c>
      <c r="AM23" s="123">
        <f>AL23-AL24</f>
        <v>8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30000004.808829982</v>
      </c>
      <c r="AQ23" s="126">
        <f>VLOOKUP(AE23,db_fifarank,2,FALSE)</f>
        <v>1498.35</v>
      </c>
      <c r="AR23" s="125">
        <f>AP23/AP24</f>
        <v>0.33333334471138376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11</v>
      </c>
      <c r="AL24" s="123">
        <f>MIN(AL20:AL23)</f>
        <v>-9</v>
      </c>
      <c r="AM24" s="123">
        <f>MAX(AM20:AM23)+1</f>
        <v>18</v>
      </c>
      <c r="AN24" s="123">
        <f>MAX(AN20:AN23)+1</f>
        <v>10</v>
      </c>
      <c r="AO24" s="123">
        <f>MAX(AO20:AO23)+1</f>
        <v>10</v>
      </c>
      <c r="AP24" s="123">
        <f>MAX(AP20:AP23)+1</f>
        <v>90000011.354415938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2</v>
      </c>
      <c r="AL26" s="123">
        <f>AI26-AJ26</f>
        <v>1</v>
      </c>
      <c r="AM26" s="123">
        <f>AL26-AL30</f>
        <v>8</v>
      </c>
      <c r="AN26" s="123">
        <f>AF26*3+AG26</f>
        <v>4</v>
      </c>
      <c r="AO26" s="123">
        <f>AN26/AN30*10+BA26</f>
        <v>5</v>
      </c>
      <c r="AP26" s="123">
        <f>AO26*10000000+BI26*100+AM26/AM30*10+AI26/AI30*1++IF(AQ26=0,ROW(),AQ26)/2000000</f>
        <v>50000007.16750323</v>
      </c>
      <c r="AQ26" s="126">
        <f>VLOOKUP(AE26,db_fifarank,2,FALSE)</f>
        <v>1673.13</v>
      </c>
      <c r="AR26" s="125">
        <f>AP26/AP30</f>
        <v>0.57142858150093678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5 - 1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2</v>
      </c>
      <c r="AG27" s="123">
        <f>COUNTIF($S$7:$T$78,"=" &amp; AE27 &amp; "_draw")</f>
        <v>0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1</v>
      </c>
      <c r="AL27" s="123">
        <f>AI27-AJ27</f>
        <v>2</v>
      </c>
      <c r="AM27" s="123">
        <f>AL27-AL30</f>
        <v>9</v>
      </c>
      <c r="AN27" s="123">
        <f>AF27*3+AG27</f>
        <v>6</v>
      </c>
      <c r="AO27" s="123">
        <f>AN27/AN30*10+BA27</f>
        <v>7.5</v>
      </c>
      <c r="AP27" s="123">
        <f>AO27*10000000+BI27*100+AM27/AM30*10+AI27/AI30*1++IF(AQ27=0,ROW(),AQ27)/2000000</f>
        <v>75000008.000751749</v>
      </c>
      <c r="AQ27" s="126">
        <f>VLOOKUP(AE27,db_fifarank,2,FALSE)</f>
        <v>1503.5</v>
      </c>
      <c r="AR27" s="125">
        <f>AP27/AP30</f>
        <v>0.85714284081708791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3 - 1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7</v>
      </c>
      <c r="AL28" s="123">
        <f>AI28-AJ28</f>
        <v>-7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7.9033500000000008E-4</v>
      </c>
      <c r="AQ28" s="126">
        <f>VLOOKUP(AE28,db_fifarank,2,FALSE)</f>
        <v>1580.67</v>
      </c>
      <c r="AR28" s="125">
        <f>AP28/AP30</f>
        <v>9.0323988644158972E-12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3 - 2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1</v>
      </c>
      <c r="AL29" s="123">
        <f>AI29-AJ29</f>
        <v>4</v>
      </c>
      <c r="AM29" s="123">
        <f>AL29-AL30</f>
        <v>11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87500010.000799522</v>
      </c>
      <c r="AQ29" s="126">
        <f>VLOOKUP(AE29,db_fifarank,2,FALSE)</f>
        <v>1599.04</v>
      </c>
      <c r="AR29" s="125">
        <f>AP29/AP30</f>
        <v>0.99999998857143002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0 - 7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6</v>
      </c>
      <c r="AL30" s="123">
        <f>MIN(AL26:AL29)</f>
        <v>-7</v>
      </c>
      <c r="AM30" s="123">
        <f>MAX(AM26:AM29)+1</f>
        <v>12</v>
      </c>
      <c r="AN30" s="123">
        <f>MAX(AN26:AN29)+1</f>
        <v>8</v>
      </c>
      <c r="AO30" s="123">
        <f>MAX(AO26:AO29)+1</f>
        <v>9.75</v>
      </c>
      <c r="AP30" s="123">
        <f>MAX(AP26:AP29)+1</f>
        <v>87500011.000799522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1</v>
      </c>
      <c r="AL32" s="123">
        <f>AI32-AJ32</f>
        <v>6</v>
      </c>
      <c r="AM32" s="123">
        <f>AL32-AL36</f>
        <v>16</v>
      </c>
      <c r="AN32" s="123">
        <f>AF32*3+AG32</f>
        <v>7</v>
      </c>
      <c r="AO32" s="123">
        <f>AN32/AN36*10+BA32</f>
        <v>8.75</v>
      </c>
      <c r="AP32" s="123">
        <f>AO32*10000000+BI32*100+AM32/AM36*10+AI32/AI36*1++IF(AQ32=0,ROW(),AQ32)/2000000</f>
        <v>87500010.287629902</v>
      </c>
      <c r="AQ32" s="126">
        <f>VLOOKUP(AE32,db_fifarank,2,FALSE)</f>
        <v>1730.37</v>
      </c>
      <c r="AR32" s="125">
        <f>AP32/AP36</f>
        <v>0.99999998857143002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7 - 1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10</v>
      </c>
      <c r="AL33" s="123">
        <f>AI33-AJ33</f>
        <v>-10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7.3979990456471398E-12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4 - 1</v>
      </c>
      <c r="P34" s="34">
        <f>L34*3+M34</f>
        <v>5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1</v>
      </c>
      <c r="AL34" s="123">
        <f>AI34-AJ34</f>
        <v>1</v>
      </c>
      <c r="AM34" s="123">
        <f>AL34-AL36</f>
        <v>11</v>
      </c>
      <c r="AN34" s="123">
        <f>AF34*3+AG34</f>
        <v>4</v>
      </c>
      <c r="AO34" s="123">
        <f>AN34/AN36*10+BA34</f>
        <v>5</v>
      </c>
      <c r="AP34" s="123">
        <f>AO34*10000000+BI34*100+AM34/AM36*10+AI34/AI36*1++IF(AQ34=0,ROW(),AQ34)/2000000</f>
        <v>50000006.72135473</v>
      </c>
      <c r="AQ34" s="126">
        <f>VLOOKUP(AE34,db_fifarank,2,FALSE)</f>
        <v>1532.98</v>
      </c>
      <c r="AR34" s="125">
        <f>AP34/AP36</f>
        <v>0.5714285745289196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2 - 1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2</v>
      </c>
      <c r="AH35" s="123">
        <f>COUNTIF($S$7:$T$78,"=" &amp; AE35 &amp; "_lose")</f>
        <v>0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1</v>
      </c>
      <c r="AL35" s="123">
        <f>AI35-AJ35</f>
        <v>3</v>
      </c>
      <c r="AM35" s="123">
        <f>AL35-AL36</f>
        <v>13</v>
      </c>
      <c r="AN35" s="123">
        <f>AF35*3+AG35</f>
        <v>5</v>
      </c>
      <c r="AO35" s="123">
        <f>AN35/AN36*10+BA35</f>
        <v>6.25</v>
      </c>
      <c r="AP35" s="123">
        <f>AO35*10000000+BI35*100+AM35/AM36*10+AI35/AI36*1++IF(AQ35=0,ROW(),AQ35)/2000000</f>
        <v>62500008.147856213</v>
      </c>
      <c r="AQ35" s="126">
        <f>VLOOKUP(AE35,db_fifarank,2,FALSE)</f>
        <v>1594.78</v>
      </c>
      <c r="AR35" s="125">
        <f>AP35/AP36</f>
        <v>0.71428571526015328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Ivory Coast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0 - 10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3</v>
      </c>
      <c r="AH36" s="123">
        <f t="shared" si="16"/>
        <v>4</v>
      </c>
      <c r="AI36" s="123">
        <f>MAX(AI32:AI35)+1</f>
        <v>8</v>
      </c>
      <c r="AL36" s="123">
        <f>MIN(AL32:AL35)</f>
        <v>-10</v>
      </c>
      <c r="AM36" s="123">
        <f>MAX(AM32:AM35)+1</f>
        <v>17</v>
      </c>
      <c r="AN36" s="123">
        <f>MAX(AN32:AN35)+1</f>
        <v>8</v>
      </c>
      <c r="AO36" s="123">
        <f>MAX(AO32:AO35)+1</f>
        <v>9.75</v>
      </c>
      <c r="AP36" s="123">
        <f>MAX(AP32:AP35)+1</f>
        <v>87500011.287629902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1</v>
      </c>
      <c r="AL38" s="123">
        <f>AI38-AJ38</f>
        <v>5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90000009.948930874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1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4</v>
      </c>
      <c r="AL39" s="123">
        <f>AI39-AJ39</f>
        <v>0</v>
      </c>
      <c r="AM39" s="123">
        <f>AL39-AL42</f>
        <v>5</v>
      </c>
      <c r="AN39" s="123">
        <f>AF39*3+AG39</f>
        <v>4</v>
      </c>
      <c r="AO39" s="123">
        <f>AN39/AN42*10+BA39</f>
        <v>4.9805825242718447</v>
      </c>
      <c r="AP39" s="123">
        <f>AO39*10000000+BI39*100+AM39/AM42*10+AI39/AI42*1++IF(AQ39=0,ROW(),AQ39)/2000000</f>
        <v>49805928.418684207</v>
      </c>
      <c r="AQ39" s="126">
        <f>VLOOKUP(AE39,db_fifarank,2,FALSE)</f>
        <v>1660.43</v>
      </c>
      <c r="AR39" s="125">
        <f>AP39/AP42</f>
        <v>0.5533991373283923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4 - 4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2</v>
      </c>
      <c r="AL40" s="123">
        <f>AI40-AJ40</f>
        <v>0</v>
      </c>
      <c r="AM40" s="123">
        <f>AL40-AL42</f>
        <v>5</v>
      </c>
      <c r="AN40" s="123">
        <f>AF40*3+AG40</f>
        <v>4</v>
      </c>
      <c r="AO40" s="123">
        <f>AN40/AN42*10+BA40</f>
        <v>4.9805825242718447</v>
      </c>
      <c r="AP40" s="123">
        <f>AO40*10000000+BI40*100+AM40/AM42*10+AI40/AI42*1++IF(AQ40=0,ROW(),AQ40)/2000000</f>
        <v>49805928.132897079</v>
      </c>
      <c r="AQ40" s="126">
        <f>VLOOKUP(AE40,db_fifarank,2,FALSE)</f>
        <v>1514.77</v>
      </c>
      <c r="AR40" s="125">
        <f>AP40/AP42</f>
        <v>0.55339913415298014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2 - 2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6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0.14359866785714284</v>
      </c>
      <c r="AQ41" s="126">
        <f>VLOOKUP(AE41,db_fifarank,2,FALSE)</f>
        <v>1483.05</v>
      </c>
      <c r="AR41" s="125">
        <f>AP41/AP42</f>
        <v>1.595540559863106E-9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4</v>
      </c>
      <c r="AI42" s="123">
        <f>MAX(AI38:AI41)+1</f>
        <v>7</v>
      </c>
      <c r="AL42" s="123">
        <f>MIN(AL38:AL41)</f>
        <v>-5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90000010.948930874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0</v>
      </c>
      <c r="AL44" s="123">
        <f>AI44-AJ44</f>
        <v>6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90000010.024676874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0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6 - 0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1</v>
      </c>
      <c r="AL45" s="123">
        <f>AI45-AJ45</f>
        <v>2</v>
      </c>
      <c r="AM45" s="123">
        <f>AL45-AL48</f>
        <v>7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60000006.262686379</v>
      </c>
      <c r="AQ45" s="126">
        <f>VLOOKUP(AE45,db_fifarank,2,FALSE)</f>
        <v>1563.24</v>
      </c>
      <c r="AR45" s="125">
        <f>AP45/AP48</f>
        <v>0.66666665458779917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3 - 1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3</v>
      </c>
      <c r="AL46" s="123">
        <f>AI46-AJ46</f>
        <v>-3</v>
      </c>
      <c r="AM46" s="123">
        <f>AL46-AL48</f>
        <v>2</v>
      </c>
      <c r="AN46" s="123">
        <f>AF46*3+AG46</f>
        <v>1</v>
      </c>
      <c r="AO46" s="123">
        <f>AN46/AN48*10+BA46</f>
        <v>1.9803921568627452</v>
      </c>
      <c r="AP46" s="123">
        <f>AO46*10000000+BI46*100+AM46/AM48*10+AI46/AI48*1++IF(AQ46=0,ROW(),AQ46)/2000000</f>
        <v>19804021.275317457</v>
      </c>
      <c r="AQ46" s="126">
        <f>VLOOKUP(AE46,db_fifarank,2,FALSE)</f>
        <v>1615.3</v>
      </c>
      <c r="AR46" s="125">
        <f>AP46/AP48</f>
        <v>0.22004465388218056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0 - 3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5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1.9803921568627452</v>
      </c>
      <c r="AP47" s="123">
        <f>AO47*10000000+BI47*100+AM47/AM48*10+AI47/AI48*1++IF(AQ47=0,ROW(),AQ47)/2000000</f>
        <v>19804019.608483922</v>
      </c>
      <c r="AQ47" s="126">
        <f>VLOOKUP(AE47,db_fifarank,2,FALSE)</f>
        <v>1281.57</v>
      </c>
      <c r="AR47" s="125">
        <f>AP47/AP48</f>
        <v>0.22004463536181021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</v>
      </c>
      <c r="BA47" s="126">
        <f>AZ47/AZ48</f>
        <v>0.98039215686274506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</v>
      </c>
      <c r="BI47" s="126">
        <f>BH47/BH48</f>
        <v>0.98039215686274506</v>
      </c>
      <c r="BK47" s="13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7</v>
      </c>
      <c r="AL48" s="123">
        <f>MIN(AL44:AL47)</f>
        <v>-5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90000011.024676874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Senegal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England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1</v>
      </c>
      <c r="AL50" s="123">
        <f>AI50-AJ50</f>
        <v>7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90000010.175541386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0.1117941761111111</v>
      </c>
      <c r="AQ51" s="126">
        <f>VLOOKUP(AE51,db_fifarank,2,FALSE)</f>
        <v>1366.13</v>
      </c>
      <c r="AR51" s="125">
        <f>AP51/AP54</f>
        <v>1.2421573581036682E-9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3</v>
      </c>
      <c r="AL52" s="123">
        <f>AI52-AJ52</f>
        <v>-2</v>
      </c>
      <c r="AM52" s="123">
        <f>AL52-AL54</f>
        <v>4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30000002.968964685</v>
      </c>
      <c r="AQ52" s="126">
        <f>VLOOKUP(AE52,db_fifarank,2,FALSE)</f>
        <v>1421.43</v>
      </c>
      <c r="AR52" s="125">
        <f>AP52/AP54</f>
        <v>0.33333332493093687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1 - 3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3</v>
      </c>
      <c r="AL53" s="123">
        <f>AI53-AJ53</f>
        <v>1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60000005.445280984</v>
      </c>
      <c r="AQ53" s="126">
        <f>VLOOKUP(AE53,db_fifarank,2,FALSE)</f>
        <v>1673.07</v>
      </c>
      <c r="AR53" s="125">
        <f>AP53/AP54</f>
        <v>0.66666664438800338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9</v>
      </c>
      <c r="AL54" s="123">
        <f>MIN(AL50:AL53)</f>
        <v>-6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90000011.175541386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2</v>
      </c>
      <c r="AL56" s="123">
        <f>AI56-AJ56</f>
        <v>6</v>
      </c>
      <c r="AM56" s="123">
        <f>AL56-AL60</f>
        <v>14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90000010.223160878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8 - 2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3</v>
      </c>
      <c r="AL57" s="123">
        <f>AI57-AJ57</f>
        <v>2</v>
      </c>
      <c r="AM57" s="123">
        <f>AL57-AL60</f>
        <v>10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60000007.22306671</v>
      </c>
      <c r="AQ57" s="126">
        <f>VLOOKUP(AE57,db_fifarank,2,FALSE)</f>
        <v>1688.99</v>
      </c>
      <c r="AR57" s="125">
        <f>AP57/AP60</f>
        <v>0.66666666378843875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8</v>
      </c>
      <c r="AL58" s="123">
        <f>AI58-AJ58</f>
        <v>-8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8.0396656641059883E-12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0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5 - 5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5</v>
      </c>
      <c r="AL59" s="123">
        <f>AI59-AJ59</f>
        <v>0</v>
      </c>
      <c r="AM59" s="123">
        <f>AL59-AL60</f>
        <v>8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30000005.889664359</v>
      </c>
      <c r="AQ59" s="126">
        <f>VLOOKUP(AE59,db_fifarank,2,FALSE)</f>
        <v>1550.94</v>
      </c>
      <c r="AR59" s="125">
        <f>AP59/AP60</f>
        <v>0.33333335720678298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9</v>
      </c>
      <c r="AL60" s="123">
        <f>MIN(AL56:AL59)</f>
        <v>-8</v>
      </c>
      <c r="AM60" s="123">
        <f>MAX(AM56:AM59)+1</f>
        <v>15</v>
      </c>
      <c r="AN60" s="123">
        <f>MAX(AN56:AN59)+1</f>
        <v>10</v>
      </c>
      <c r="AO60" s="123">
        <f>MAX(AO56:AO59)+1</f>
        <v>10</v>
      </c>
      <c r="AP60" s="123">
        <f>MAX(AP56:AP59)+1</f>
        <v>90000011.223160878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Paraguay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2</v>
      </c>
      <c r="AL62" s="123">
        <f>AI62-AJ62</f>
        <v>4</v>
      </c>
      <c r="AM62" s="123">
        <f>AL62-AL66</f>
        <v>12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87500010.0888495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6 - 2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1</v>
      </c>
      <c r="W63" s="123">
        <f t="shared" si="22"/>
        <v>1</v>
      </c>
      <c r="X63" s="123">
        <f t="shared" si="9"/>
        <v>1</v>
      </c>
      <c r="Y63" s="123">
        <f t="shared" si="10"/>
        <v>1</v>
      </c>
      <c r="Z63" s="123">
        <f t="shared" si="11"/>
        <v>1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5</v>
      </c>
      <c r="AJ63" s="123">
        <f>SUMIF($E$7:$E$78,$AE63,$G$7:$G$78) + SUMIF($H$7:$H$78,$AE63,$F$7:$F$78)</f>
        <v>3</v>
      </c>
      <c r="AL63" s="123">
        <f>AI63-AJ63</f>
        <v>2</v>
      </c>
      <c r="AM63" s="123">
        <f>AL63-AL66</f>
        <v>10</v>
      </c>
      <c r="AN63" s="123">
        <f>AF63*3+AG63</f>
        <v>4</v>
      </c>
      <c r="AO63" s="123">
        <f>AN63/AN66*10+BA63</f>
        <v>5</v>
      </c>
      <c r="AP63" s="123">
        <f>AO63*10000000+BI63*100+AM63/AM66*10+AI63/AI66*1++IF(AQ63=0,ROW(),AQ63)/2000000</f>
        <v>50000008.407375544</v>
      </c>
      <c r="AQ63" s="126">
        <f>VLOOKUP(AE63,db_fifarank,2,FALSE)</f>
        <v>1564.26</v>
      </c>
      <c r="AR63" s="125">
        <f>AP63/AP66</f>
        <v>0.57142859509588406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4 - 2</v>
      </c>
      <c r="P64" s="34">
        <f>L64*3+M64</f>
        <v>5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2</v>
      </c>
      <c r="AH64" s="123">
        <f>COUNTIF($S$7:$T$78,"=" &amp; AE64 &amp; "_lose")</f>
        <v>0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2</v>
      </c>
      <c r="AL64" s="123">
        <f>AI64-AJ64</f>
        <v>2</v>
      </c>
      <c r="AM64" s="123">
        <f>AL64-AL66</f>
        <v>10</v>
      </c>
      <c r="AN64" s="123">
        <f>AF64*3+AG64</f>
        <v>5</v>
      </c>
      <c r="AO64" s="123">
        <f>AN64/AN66*10+BA64</f>
        <v>6.25</v>
      </c>
      <c r="AP64" s="123">
        <f>AO64*10000000+BI64*100+AM64/AM66*10+AI64/AI66*1++IF(AQ64=0,ROW(),AQ64)/2000000</f>
        <v>62500008.264532998</v>
      </c>
      <c r="AQ64" s="126">
        <f>VLOOKUP(AE64,db_fifarank,2,FALSE)</f>
        <v>1593.45</v>
      </c>
      <c r="AR64" s="125">
        <f>AP64/AP66</f>
        <v>0.71428571821629905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5 - 3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8</v>
      </c>
      <c r="AL65" s="123">
        <f>AI65-AJ65</f>
        <v>-8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7.9511418494969682E-12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0 - 8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4</v>
      </c>
      <c r="AI66" s="123">
        <f>MAX(AI62:AI65)+1</f>
        <v>7</v>
      </c>
      <c r="AL66" s="123">
        <f>MIN(AL62:AL65)</f>
        <v>-8</v>
      </c>
      <c r="AM66" s="123">
        <f>MAX(AM62:AM65)+1</f>
        <v>13</v>
      </c>
      <c r="AN66" s="123">
        <f>MAX(AN62:AN65)+1</f>
        <v>8</v>
      </c>
      <c r="AO66" s="123">
        <f>MAX(AO62:AO65)+1</f>
        <v>9.75</v>
      </c>
      <c r="AP66" s="123">
        <f>MAX(AP62:AP65)+1</f>
        <v>87500011.0888495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0</v>
      </c>
      <c r="AL68" s="123">
        <f>AI68-AJ68</f>
        <v>9</v>
      </c>
      <c r="AM68" s="123">
        <f>AL68-AL72</f>
        <v>16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90000010.312646627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9 - 0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5</v>
      </c>
      <c r="AL69" s="123">
        <f>AI69-AJ69</f>
        <v>-5</v>
      </c>
      <c r="AM69" s="123">
        <f>AL69-AL72</f>
        <v>2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19804020.785052903</v>
      </c>
      <c r="AQ69" s="126">
        <f>VLOOKUP(AE69,db_fifarank,2,FALSE)</f>
        <v>1478.35</v>
      </c>
      <c r="AR69" s="125">
        <f>AP69/AP72</f>
        <v>0.22004464773072846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7</v>
      </c>
      <c r="AL70" s="123">
        <f>AI70-AJ70</f>
        <v>-7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19804019.60857581</v>
      </c>
      <c r="AQ70" s="126">
        <f>VLOOKUP(AE70,db_fifarank,2,FALSE)</f>
        <v>1465.34</v>
      </c>
      <c r="AR70" s="125">
        <f>AP70/AP72</f>
        <v>0.22004463465876239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0 - 5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10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60000006.383199483</v>
      </c>
      <c r="AQ71" s="126">
        <f>VLOOKUP(AE71,db_fifarank,2,FALSE)</f>
        <v>1693.09</v>
      </c>
      <c r="AR71" s="125">
        <f>AP71/AP72</f>
        <v>0.66666665379372458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0 - 7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10</v>
      </c>
      <c r="AL72" s="123">
        <f>MIN(AL68:AL71)</f>
        <v>-7</v>
      </c>
      <c r="AM72" s="123">
        <f>MAX(AM68:AM71)+1</f>
        <v>17</v>
      </c>
      <c r="AN72" s="123">
        <f>MAX(AN68:AN71)+1</f>
        <v>10</v>
      </c>
      <c r="AO72" s="123">
        <f>MAX(AO68:AO71)+1</f>
        <v>10</v>
      </c>
      <c r="AP72" s="123">
        <f>MAX(AP68:AP71)+1</f>
        <v>90000011.312646627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0</v>
      </c>
      <c r="AL74" s="123">
        <f>AI74-AJ74</f>
        <v>5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90000010.000912979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5 - 0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3</v>
      </c>
      <c r="AL75" s="123">
        <f>AI75-AJ75</f>
        <v>1</v>
      </c>
      <c r="AM75" s="123">
        <f>AL75-AL78</f>
        <v>7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60000006.500858538</v>
      </c>
      <c r="AQ75" s="126">
        <f>VLOOKUP(AE75,db_fifarank,2,FALSE)</f>
        <v>1717.07</v>
      </c>
      <c r="AR75" s="125">
        <f>AP75/AP78</f>
        <v>0.66666665741018505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3</v>
      </c>
      <c r="AL76" s="123">
        <f>AI76-AJ76</f>
        <v>0</v>
      </c>
      <c r="AM76" s="123">
        <f>AL76-AL78</f>
        <v>6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30000005.500673156</v>
      </c>
      <c r="AQ76" s="126">
        <f>VLOOKUP(AE76,db_fifarank,2,FALSE)</f>
        <v>1346.31</v>
      </c>
      <c r="AR76" s="125">
        <f>AP76/AP78</f>
        <v>0.33333335370779932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0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3 - 3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6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8.5591100649108327E-12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6</v>
      </c>
      <c r="AL78" s="123">
        <f>MIN(AL74:AL77)</f>
        <v>-6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90000011.000912979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3</v>
      </c>
      <c r="AK80" s="123" t="s">
        <v>3180</v>
      </c>
      <c r="AL80" s="123">
        <f>VLOOKUP($AE80,$AE$8:$AQ$78,8,FALSE)</f>
        <v>1</v>
      </c>
      <c r="AM80" s="123">
        <f>AL80-$AL$92</f>
        <v>6</v>
      </c>
      <c r="AN80" s="123">
        <f>VLOOKUP($AE80,$AE$8:$AQ$78,10,FALSE)</f>
        <v>4</v>
      </c>
      <c r="AP80" s="123">
        <f>AN80/AN92*10000+AM80/AM92*1000+AI80/AI92*100+IF(AQ80=0,ROW(),AQ80)/2000000</f>
        <v>8816.6674609966667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Ⓙ Algeria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5 - 3</v>
      </c>
      <c r="P81" s="98">
        <f>L81*3+M81</f>
        <v>4</v>
      </c>
      <c r="AD81" s="123">
        <f t="shared" ref="AD81:AD91" si="38">COUNTIF($AP$80:$AP$91,CONCATENATE("&gt;=",AP81))</f>
        <v>9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4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6550.0007782399998</v>
      </c>
      <c r="AQ81" s="126">
        <f t="shared" si="37"/>
        <v>1556.48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Canada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Korea Republic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8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4</v>
      </c>
      <c r="AJ82" s="123">
        <f t="shared" si="42"/>
        <v>5</v>
      </c>
      <c r="AK82" s="123" t="s">
        <v>3182</v>
      </c>
      <c r="AL82" s="123">
        <f t="shared" si="43"/>
        <v>-1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6566.6674158416672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Ⓓ United States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3 - 2</v>
      </c>
      <c r="P83" s="101">
        <f t="shared" si="48"/>
        <v>4</v>
      </c>
      <c r="AD83" s="123">
        <f t="shared" si="38"/>
        <v>3</v>
      </c>
      <c r="AE83" s="124" t="str">
        <f>J29</f>
        <v>United States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2</v>
      </c>
      <c r="AK83" s="123" t="s">
        <v>3184</v>
      </c>
      <c r="AL83" s="123">
        <f t="shared" si="43"/>
        <v>1</v>
      </c>
      <c r="AM83" s="123">
        <f t="shared" si="44"/>
        <v>6</v>
      </c>
      <c r="AN83" s="123">
        <f t="shared" si="45"/>
        <v>4</v>
      </c>
      <c r="AP83" s="123">
        <f>AN83/AN92*10000+AM83/AM92*1000+AI83/AI92*100+IF(AQ83=0,ROW(),AQ83)/2000000</f>
        <v>8800.0008365649992</v>
      </c>
      <c r="AQ83" s="126">
        <f t="shared" si="37"/>
        <v>1673.13</v>
      </c>
      <c r="AR83" s="125" t="str">
        <f t="shared" si="50"/>
        <v>ACD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Ⓔ Ivory Coast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2 - 1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2</v>
      </c>
      <c r="AJ84" s="123">
        <f t="shared" si="42"/>
        <v>1</v>
      </c>
      <c r="AK84" s="123" t="s">
        <v>3185</v>
      </c>
      <c r="AL84" s="123">
        <f t="shared" si="43"/>
        <v>1</v>
      </c>
      <c r="AM84" s="123">
        <f t="shared" si="44"/>
        <v>6</v>
      </c>
      <c r="AN84" s="123">
        <f t="shared" si="45"/>
        <v>4</v>
      </c>
      <c r="AP84" s="123">
        <f>AN84/AN92*10000+AM84/AM92*1000+AI84/AI92*100+IF(AQ84=0,ROW(),AQ84)/2000000</f>
        <v>8783.3340998233343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Ⓕ Sweden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2 - 2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5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2</v>
      </c>
      <c r="AJ85" s="123">
        <f t="shared" si="42"/>
        <v>2</v>
      </c>
      <c r="AK85" s="123" t="s">
        <v>3186</v>
      </c>
      <c r="AL85" s="123">
        <f t="shared" si="43"/>
        <v>0</v>
      </c>
      <c r="AM85" s="123">
        <f t="shared" si="44"/>
        <v>5</v>
      </c>
      <c r="AN85" s="123">
        <f t="shared" si="45"/>
        <v>4</v>
      </c>
      <c r="AP85" s="123">
        <f>AN85/AN92*10000+AM85/AM92*1000+AI85/AI92*100+IF(AQ85=0,ROW(),AQ85)/2000000</f>
        <v>8658.3340907183338</v>
      </c>
      <c r="AQ85" s="126">
        <f t="shared" si="37"/>
        <v>1514.77</v>
      </c>
      <c r="AR85" s="125" t="str">
        <f t="shared" si="50"/>
        <v>ACDEF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Ⓘ Norway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5 - 5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11</v>
      </c>
      <c r="AE86" s="124" t="str">
        <f>J47</f>
        <v>Iran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0</v>
      </c>
      <c r="AJ86" s="123">
        <f t="shared" si="42"/>
        <v>3</v>
      </c>
      <c r="AK86" s="123" t="s">
        <v>3187</v>
      </c>
      <c r="AL86" s="123">
        <f t="shared" si="43"/>
        <v>-3</v>
      </c>
      <c r="AM86" s="123">
        <f t="shared" si="44"/>
        <v>2</v>
      </c>
      <c r="AN86" s="123">
        <f t="shared" si="45"/>
        <v>1</v>
      </c>
      <c r="AP86" s="123">
        <f>AN86/AN92*10000+AM86/AM92*1000+AI86/AI92*100+IF(AQ86=0,ROW(),AQ86)/2000000</f>
        <v>2250.0008076499998</v>
      </c>
      <c r="AQ86" s="126">
        <f t="shared" si="37"/>
        <v>1615.3</v>
      </c>
      <c r="AR86" s="125" t="str">
        <f t="shared" si="50"/>
        <v>ACDEF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Ⓛ Ghana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3 - 3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10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3</v>
      </c>
      <c r="AK87" s="123" t="s">
        <v>3188</v>
      </c>
      <c r="AL87" s="123">
        <f t="shared" si="43"/>
        <v>-2</v>
      </c>
      <c r="AM87" s="123">
        <f t="shared" si="44"/>
        <v>3</v>
      </c>
      <c r="AN87" s="123">
        <f t="shared" si="45"/>
        <v>3</v>
      </c>
      <c r="AP87" s="123">
        <f>AN87/AN92*10000+AM87/AM92*1000+AI87/AI92*100+IF(AQ87=0,ROW(),AQ87)/2000000</f>
        <v>6391.6673773816674</v>
      </c>
      <c r="AQ87" s="126">
        <f t="shared" si="37"/>
        <v>1421.43</v>
      </c>
      <c r="AR87" s="125" t="str">
        <f t="shared" si="50"/>
        <v>ACDEF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Ⓒ Scotland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4 - 5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6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5</v>
      </c>
      <c r="AJ88" s="123">
        <f t="shared" si="42"/>
        <v>5</v>
      </c>
      <c r="AK88" s="123" t="s">
        <v>3189</v>
      </c>
      <c r="AL88" s="123">
        <f t="shared" si="43"/>
        <v>0</v>
      </c>
      <c r="AM88" s="123">
        <f t="shared" si="44"/>
        <v>5</v>
      </c>
      <c r="AN88" s="123">
        <f t="shared" si="45"/>
        <v>3</v>
      </c>
      <c r="AP88" s="123">
        <f>AN88/AN92*10000+AM88/AM92*1000+AI88/AI92*100+IF(AQ88=0,ROW(),AQ88)/2000000</f>
        <v>6708.334108803333</v>
      </c>
      <c r="AQ88" s="126">
        <f t="shared" si="37"/>
        <v>1550.94</v>
      </c>
      <c r="AR88" s="125" t="str">
        <f t="shared" si="50"/>
        <v>ACDEFI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Ⓑ Canada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3 - 4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5</v>
      </c>
      <c r="AJ89" s="123">
        <f t="shared" si="42"/>
        <v>3</v>
      </c>
      <c r="AK89" s="123" t="s">
        <v>3190</v>
      </c>
      <c r="AL89" s="123">
        <f t="shared" si="43"/>
        <v>2</v>
      </c>
      <c r="AM89" s="123">
        <f t="shared" si="44"/>
        <v>7</v>
      </c>
      <c r="AN89" s="123">
        <f t="shared" si="45"/>
        <v>4</v>
      </c>
      <c r="AP89" s="123">
        <f>AN89/AN92*10000+AM89/AM92*1000+AI89/AI92*100+IF(AQ89=0,ROW(),AQ89)/2000000</f>
        <v>8958.3341154633345</v>
      </c>
      <c r="AQ89" s="126">
        <f t="shared" si="37"/>
        <v>1564.26</v>
      </c>
      <c r="AR89" s="125" t="str">
        <f t="shared" si="50"/>
        <v>ACDEFIJ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Saudi Arabia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1 - 3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5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2000.000739175</v>
      </c>
      <c r="AQ90" s="126">
        <f t="shared" si="37"/>
        <v>1478.35</v>
      </c>
      <c r="AR90" s="125" t="str">
        <f t="shared" si="50"/>
        <v>ACDEFIJ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Ⓖ Iran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0 - 3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7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3</v>
      </c>
      <c r="AK91" s="123" t="s">
        <v>3192</v>
      </c>
      <c r="AL91" s="123">
        <f>VLOOKUP($AE91,$AE$8:$AQ$78,8,FALSE)</f>
        <v>0</v>
      </c>
      <c r="AM91" s="123">
        <f t="shared" si="44"/>
        <v>5</v>
      </c>
      <c r="AN91" s="123">
        <f>VLOOKUP($AE91,$AE$8:$AQ$78,10,FALSE)</f>
        <v>3</v>
      </c>
      <c r="AP91" s="123">
        <f>AN91/AN92*10000+AM91/AM92*1000+AI91/AI92*100+IF(AQ91=0,ROW(),AQ91)/2000000</f>
        <v>6675.0006731550002</v>
      </c>
      <c r="AQ91" s="126">
        <f t="shared" si="37"/>
        <v>1346.31</v>
      </c>
      <c r="AR91" s="125" t="str">
        <f t="shared" si="50"/>
        <v>ACDEFIJL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0 - 5</v>
      </c>
      <c r="P92" s="107">
        <f t="shared" si="48"/>
        <v>1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6</v>
      </c>
      <c r="AJ92" s="123">
        <f>MAX(AJ80:AJ91)+1</f>
        <v>6</v>
      </c>
      <c r="AL92" s="123">
        <f>MIN(AL80:AL91)</f>
        <v>-5</v>
      </c>
      <c r="AM92" s="123">
        <f>MAX(AM80:AM91)+1</f>
        <v>8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xWindow="1638" yWindow="458"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268</v>
      </c>
      <c r="C3" s="121" t="str">
        <f>'2026 World Cup'!AR91</f>
        <v>ACDEFIJL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Usuario</cp:lastModifiedBy>
  <cp:revision/>
  <dcterms:created xsi:type="dcterms:W3CDTF">2017-12-27T19:32:51Z</dcterms:created>
  <dcterms:modified xsi:type="dcterms:W3CDTF">2026-06-10T20:21:42Z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