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mateos/Downloads/"/>
    </mc:Choice>
  </mc:AlternateContent>
  <xr:revisionPtr revIDLastSave="0" documentId="13_ncr:1_{07BC87EF-6CD0-314E-9BF0-2B4F68A9CD47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S30" i="3"/>
  <c r="T30" i="3" s="1"/>
  <c r="S78" i="3"/>
  <c r="S26" i="3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T51" i="3"/>
  <c r="S54" i="3"/>
  <c r="S77" i="3"/>
  <c r="T78" i="3"/>
  <c r="S50" i="3"/>
  <c r="S76" i="3"/>
  <c r="T26" i="3"/>
  <c r="S47" i="3"/>
  <c r="S67" i="3"/>
  <c r="T23" i="3"/>
  <c r="T48" i="3"/>
  <c r="T43" i="3"/>
  <c r="S72" i="3"/>
  <c r="T19" i="3"/>
  <c r="S70" i="3"/>
  <c r="S42" i="3"/>
  <c r="S64" i="3"/>
  <c r="T18" i="3"/>
  <c r="T41" i="3"/>
  <c r="S40" i="3"/>
  <c r="S62" i="3"/>
  <c r="T16" i="3"/>
  <c r="S38" i="3"/>
  <c r="S65" i="3"/>
  <c r="T37" i="3"/>
  <c r="S55" i="3"/>
  <c r="T56" i="3"/>
  <c r="S57" i="3"/>
  <c r="T8" i="3"/>
  <c r="T3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9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7" i="3" l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R33" i="3"/>
  <c r="AR34" i="3"/>
  <c r="AR35" i="3"/>
  <c r="AR9" i="3"/>
  <c r="AR10" i="3"/>
  <c r="AR11" i="3"/>
  <c r="AD58" i="3"/>
  <c r="AR28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4" i="3" l="1"/>
  <c r="AD32" i="3"/>
  <c r="N33" i="3" s="1"/>
  <c r="AD33" i="3"/>
  <c r="AD35" i="3"/>
  <c r="AD75" i="3"/>
  <c r="M58" i="3"/>
  <c r="AD11" i="3"/>
  <c r="AD53" i="3"/>
  <c r="AD9" i="3"/>
  <c r="AD8" i="3"/>
  <c r="AD41" i="3"/>
  <c r="AD10" i="3"/>
  <c r="L58" i="3"/>
  <c r="AD28" i="3"/>
  <c r="AD77" i="3"/>
  <c r="M59" i="3"/>
  <c r="AD63" i="3"/>
  <c r="AD27" i="3"/>
  <c r="O60" i="3"/>
  <c r="AD68" i="3"/>
  <c r="M69" i="3" s="1"/>
  <c r="AD20" i="3"/>
  <c r="L59" i="3"/>
  <c r="N58" i="3"/>
  <c r="AD21" i="3"/>
  <c r="AD70" i="3"/>
  <c r="AD62" i="3"/>
  <c r="O63" i="3" s="1"/>
  <c r="AD26" i="3"/>
  <c r="AD44" i="3"/>
  <c r="AD22" i="3"/>
  <c r="AD14" i="3"/>
  <c r="AD15" i="3"/>
  <c r="AD74" i="3"/>
  <c r="AD29" i="3"/>
  <c r="AD47" i="3"/>
  <c r="AD76" i="3"/>
  <c r="AD71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M51" i="3" l="1"/>
  <c r="M35" i="3"/>
  <c r="N35" i="3"/>
  <c r="L36" i="3"/>
  <c r="M33" i="3"/>
  <c r="O33" i="3"/>
  <c r="L33" i="3"/>
  <c r="N9" i="3"/>
  <c r="J36" i="3"/>
  <c r="N36" i="3"/>
  <c r="J33" i="3"/>
  <c r="AS32" i="3" s="1"/>
  <c r="BL10" i="3" s="1"/>
  <c r="L34" i="3"/>
  <c r="J35" i="3"/>
  <c r="AE84" i="3" s="1"/>
  <c r="AQ84" i="3" s="1"/>
  <c r="M36" i="3"/>
  <c r="L35" i="3"/>
  <c r="K35" i="3" s="1"/>
  <c r="O36" i="3"/>
  <c r="O35" i="3"/>
  <c r="N34" i="3"/>
  <c r="J34" i="3"/>
  <c r="AS33" i="3" s="1"/>
  <c r="BL46" i="3" s="1"/>
  <c r="N76" i="3"/>
  <c r="M34" i="3"/>
  <c r="O34" i="3"/>
  <c r="L12" i="3"/>
  <c r="P58" i="3"/>
  <c r="J9" i="3"/>
  <c r="AS8" i="3" s="1"/>
  <c r="BL50" i="3" s="1"/>
  <c r="M9" i="3"/>
  <c r="O12" i="3"/>
  <c r="N45" i="3"/>
  <c r="M63" i="3"/>
  <c r="L39" i="3"/>
  <c r="K58" i="3"/>
  <c r="M12" i="3"/>
  <c r="O9" i="3"/>
  <c r="N12" i="3"/>
  <c r="J11" i="3"/>
  <c r="AE80" i="3" s="1"/>
  <c r="AQ80" i="3" s="1"/>
  <c r="O10" i="3"/>
  <c r="M22" i="3"/>
  <c r="L10" i="3"/>
  <c r="O11" i="3"/>
  <c r="L11" i="3"/>
  <c r="L9" i="3"/>
  <c r="J12" i="3"/>
  <c r="O16" i="3"/>
  <c r="J65" i="3"/>
  <c r="AE89" i="3" s="1"/>
  <c r="AQ89" i="3" s="1"/>
  <c r="N10" i="3"/>
  <c r="M10" i="3"/>
  <c r="M27" i="3"/>
  <c r="J27" i="3"/>
  <c r="AS26" i="3" s="1"/>
  <c r="BL34" i="3" s="1"/>
  <c r="J21" i="3"/>
  <c r="AS20" i="3" s="1"/>
  <c r="BL42" i="3" s="1"/>
  <c r="BS44" i="3" s="1"/>
  <c r="BZ48" i="3" s="1"/>
  <c r="M21" i="3"/>
  <c r="N21" i="3"/>
  <c r="L40" i="3"/>
  <c r="J10" i="3"/>
  <c r="AS9" i="3" s="1"/>
  <c r="BL18" i="3" s="1"/>
  <c r="M11" i="3"/>
  <c r="J41" i="3"/>
  <c r="AE85" i="3" s="1"/>
  <c r="AQ85" i="3" s="1"/>
  <c r="N11" i="3"/>
  <c r="O27" i="3"/>
  <c r="P59" i="3"/>
  <c r="L16" i="3"/>
  <c r="O39" i="3"/>
  <c r="N18" i="3"/>
  <c r="K59" i="3"/>
  <c r="N27" i="3"/>
  <c r="M75" i="3"/>
  <c r="J75" i="3"/>
  <c r="AS74" i="3" s="1"/>
  <c r="BL54" i="3" s="1"/>
  <c r="O22" i="3"/>
  <c r="O30" i="3"/>
  <c r="L63" i="3"/>
  <c r="O40" i="3"/>
  <c r="J63" i="3"/>
  <c r="AS62" i="3" s="1"/>
  <c r="BL58" i="3" s="1"/>
  <c r="BS60" i="3" s="1"/>
  <c r="BZ64" i="3" s="1"/>
  <c r="O47" i="3"/>
  <c r="N63" i="3"/>
  <c r="L66" i="3"/>
  <c r="L78" i="3"/>
  <c r="O48" i="3"/>
  <c r="M30" i="3"/>
  <c r="J29" i="3"/>
  <c r="AE83" i="3" s="1"/>
  <c r="AQ83" i="3" s="1"/>
  <c r="AN88" i="3"/>
  <c r="L27" i="3"/>
  <c r="J30" i="3"/>
  <c r="AF88" i="3"/>
  <c r="N28" i="3"/>
  <c r="L65" i="3"/>
  <c r="O29" i="3"/>
  <c r="J69" i="3"/>
  <c r="AS68" i="3" s="1"/>
  <c r="BL70" i="3" s="1"/>
  <c r="N46" i="3"/>
  <c r="J72" i="3"/>
  <c r="N47" i="3"/>
  <c r="L71" i="3"/>
  <c r="O65" i="3"/>
  <c r="O71" i="3"/>
  <c r="L45" i="3"/>
  <c r="N48" i="3"/>
  <c r="J52" i="3"/>
  <c r="AS51" i="3" s="1"/>
  <c r="BL59" i="3" s="1"/>
  <c r="AT88" i="3"/>
  <c r="L47" i="3"/>
  <c r="N65" i="3"/>
  <c r="M48" i="3"/>
  <c r="N77" i="3"/>
  <c r="M65" i="3"/>
  <c r="J45" i="3"/>
  <c r="AS44" i="3" s="1"/>
  <c r="BL38" i="3" s="1"/>
  <c r="L29" i="3"/>
  <c r="O78" i="3"/>
  <c r="O69" i="3"/>
  <c r="L64" i="3"/>
  <c r="L30" i="3"/>
  <c r="N29" i="3"/>
  <c r="L69" i="3"/>
  <c r="P69" i="3" s="1"/>
  <c r="O42" i="3"/>
  <c r="N30" i="3"/>
  <c r="M29" i="3"/>
  <c r="L46" i="3"/>
  <c r="J70" i="3"/>
  <c r="AS69" i="3" s="1"/>
  <c r="BL26" i="3" s="1"/>
  <c r="L24" i="3"/>
  <c r="O51" i="3"/>
  <c r="M24" i="3"/>
  <c r="N39" i="3"/>
  <c r="J16" i="3"/>
  <c r="AS15" i="3" s="1"/>
  <c r="BL19" i="3" s="1"/>
  <c r="J48" i="3"/>
  <c r="J51" i="3"/>
  <c r="AS50" i="3" s="1"/>
  <c r="BL30" i="3" s="1"/>
  <c r="N51" i="3"/>
  <c r="M46" i="3"/>
  <c r="J46" i="3"/>
  <c r="AS45" i="3" s="1"/>
  <c r="BL63" i="3" s="1"/>
  <c r="J39" i="3"/>
  <c r="AS38" i="3" s="1"/>
  <c r="BL22" i="3" s="1"/>
  <c r="O21" i="3"/>
  <c r="M16" i="3"/>
  <c r="N16" i="3"/>
  <c r="L51" i="3"/>
  <c r="N40" i="3"/>
  <c r="J40" i="3"/>
  <c r="AS39" i="3" s="1"/>
  <c r="BL43" i="3" s="1"/>
  <c r="L70" i="3"/>
  <c r="L48" i="3"/>
  <c r="M39" i="3"/>
  <c r="L21" i="3"/>
  <c r="M64" i="3"/>
  <c r="L22" i="3"/>
  <c r="M77" i="3"/>
  <c r="J64" i="3"/>
  <c r="AS63" i="3" s="1"/>
  <c r="BL31" i="3" s="1"/>
  <c r="N78" i="3"/>
  <c r="J28" i="3"/>
  <c r="AS27" i="3" s="1"/>
  <c r="BL62" i="3" s="1"/>
  <c r="O24" i="3"/>
  <c r="L17" i="3"/>
  <c r="O70" i="3"/>
  <c r="M72" i="3"/>
  <c r="L75" i="3"/>
  <c r="O72" i="3"/>
  <c r="N75" i="3"/>
  <c r="N70" i="3"/>
  <c r="L28" i="3"/>
  <c r="L77" i="3"/>
  <c r="O66" i="3"/>
  <c r="M40" i="3"/>
  <c r="J24" i="3"/>
  <c r="M54" i="3"/>
  <c r="O28" i="3"/>
  <c r="N72" i="3"/>
  <c r="J77" i="3"/>
  <c r="AE91" i="3" s="1"/>
  <c r="AQ91" i="3" s="1"/>
  <c r="O75" i="3"/>
  <c r="M70" i="3"/>
  <c r="O77" i="3"/>
  <c r="J66" i="3"/>
  <c r="J22" i="3"/>
  <c r="AS21" i="3" s="1"/>
  <c r="BL23" i="3" s="1"/>
  <c r="M76" i="3"/>
  <c r="O64" i="3"/>
  <c r="J42" i="3"/>
  <c r="J78" i="3"/>
  <c r="N66" i="3"/>
  <c r="M41" i="3"/>
  <c r="M78" i="3"/>
  <c r="L76" i="3"/>
  <c r="L72" i="3"/>
  <c r="N53" i="3"/>
  <c r="J76" i="3"/>
  <c r="AS75" i="3" s="1"/>
  <c r="BL27" i="3" s="1"/>
  <c r="N71" i="3"/>
  <c r="N69" i="3"/>
  <c r="N64" i="3"/>
  <c r="N54" i="3"/>
  <c r="M47" i="3"/>
  <c r="O46" i="3"/>
  <c r="J47" i="3"/>
  <c r="AE86" i="3" s="1"/>
  <c r="AQ86" i="3" s="1"/>
  <c r="L42" i="3"/>
  <c r="O23" i="3"/>
  <c r="N24" i="3"/>
  <c r="O18" i="3"/>
  <c r="AJ88" i="3"/>
  <c r="O76" i="3"/>
  <c r="J71" i="3"/>
  <c r="AE90" i="3" s="1"/>
  <c r="AQ90" i="3" s="1"/>
  <c r="M71" i="3"/>
  <c r="M66" i="3"/>
  <c r="O45" i="3"/>
  <c r="M45" i="3"/>
  <c r="M28" i="3"/>
  <c r="N22" i="3"/>
  <c r="AI88" i="3"/>
  <c r="L23" i="3"/>
  <c r="M17" i="3"/>
  <c r="O17" i="3"/>
  <c r="J18" i="3"/>
  <c r="L18" i="3"/>
  <c r="M18" i="3"/>
  <c r="P57" i="3"/>
  <c r="N17" i="3"/>
  <c r="L54" i="3"/>
  <c r="N52" i="3"/>
  <c r="L15" i="3"/>
  <c r="O54" i="3"/>
  <c r="K57" i="3"/>
  <c r="M42" i="3"/>
  <c r="AG88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BS61" i="3" l="1"/>
  <c r="S91" i="3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S88" i="3"/>
  <c r="T88" i="3" s="1" a="1"/>
  <c r="T88" i="3" s="1"/>
  <c r="BS20" i="3"/>
  <c r="K27" i="3"/>
  <c r="P36" i="3"/>
  <c r="P33" i="3"/>
  <c r="K33" i="3"/>
  <c r="P35" i="3"/>
  <c r="P34" i="3"/>
  <c r="AN84" i="3"/>
  <c r="AL84" i="3"/>
  <c r="K36" i="3"/>
  <c r="AJ84" i="3"/>
  <c r="AH84" i="3"/>
  <c r="AG84" i="3"/>
  <c r="AF84" i="3"/>
  <c r="AI84" i="3"/>
  <c r="AT84" i="3"/>
  <c r="K34" i="3"/>
  <c r="P12" i="3"/>
  <c r="K9" i="3"/>
  <c r="K12" i="3"/>
  <c r="P63" i="3"/>
  <c r="AJ80" i="3"/>
  <c r="AH80" i="3"/>
  <c r="P39" i="3"/>
  <c r="AG80" i="3"/>
  <c r="AF80" i="3"/>
  <c r="AT80" i="3"/>
  <c r="AN80" i="3"/>
  <c r="AL80" i="3"/>
  <c r="AJ89" i="3"/>
  <c r="P22" i="3"/>
  <c r="AI80" i="3"/>
  <c r="P9" i="3"/>
  <c r="AH89" i="3"/>
  <c r="AI89" i="3"/>
  <c r="P11" i="3"/>
  <c r="K10" i="3"/>
  <c r="AG89" i="3"/>
  <c r="AT89" i="3"/>
  <c r="AN89" i="3"/>
  <c r="P10" i="3"/>
  <c r="AF89" i="3"/>
  <c r="AL89" i="3"/>
  <c r="P21" i="3"/>
  <c r="K53" i="3"/>
  <c r="AF83" i="3"/>
  <c r="AT85" i="3"/>
  <c r="AN85" i="3"/>
  <c r="P40" i="3"/>
  <c r="AJ85" i="3"/>
  <c r="AI85" i="3"/>
  <c r="AH85" i="3"/>
  <c r="AL85" i="3"/>
  <c r="K11" i="3"/>
  <c r="AG85" i="3"/>
  <c r="AG90" i="3"/>
  <c r="P29" i="3"/>
  <c r="AF90" i="3"/>
  <c r="P16" i="3"/>
  <c r="AF85" i="3"/>
  <c r="P48" i="3"/>
  <c r="P65" i="3"/>
  <c r="K29" i="3"/>
  <c r="P27" i="3"/>
  <c r="K21" i="3"/>
  <c r="P78" i="3"/>
  <c r="P66" i="3"/>
  <c r="P17" i="3"/>
  <c r="K71" i="3"/>
  <c r="K70" i="3"/>
  <c r="K45" i="3"/>
  <c r="AL91" i="3"/>
  <c r="K76" i="3"/>
  <c r="AN90" i="3"/>
  <c r="P23" i="3"/>
  <c r="AN86" i="3"/>
  <c r="AL90" i="3"/>
  <c r="P75" i="3"/>
  <c r="AL86" i="3"/>
  <c r="AJ90" i="3"/>
  <c r="P70" i="3"/>
  <c r="AG86" i="3"/>
  <c r="AI90" i="3"/>
  <c r="AH90" i="3"/>
  <c r="AJ91" i="3"/>
  <c r="AN83" i="3"/>
  <c r="AH91" i="3"/>
  <c r="AI86" i="3"/>
  <c r="K63" i="3"/>
  <c r="AL83" i="3"/>
  <c r="AH86" i="3"/>
  <c r="K17" i="3"/>
  <c r="P47" i="3"/>
  <c r="P46" i="3"/>
  <c r="P24" i="3"/>
  <c r="K75" i="3"/>
  <c r="K65" i="3"/>
  <c r="AJ83" i="3"/>
  <c r="AI83" i="3"/>
  <c r="K39" i="3"/>
  <c r="AF86" i="3"/>
  <c r="P45" i="3"/>
  <c r="K69" i="3"/>
  <c r="AT83" i="3"/>
  <c r="AH83" i="3"/>
  <c r="AG83" i="3"/>
  <c r="AT86" i="3"/>
  <c r="AT91" i="3"/>
  <c r="K54" i="3"/>
  <c r="K30" i="3"/>
  <c r="K48" i="3"/>
  <c r="P77" i="3"/>
  <c r="P71" i="3"/>
  <c r="K42" i="3"/>
  <c r="P28" i="3"/>
  <c r="P72" i="3"/>
  <c r="P30" i="3"/>
  <c r="K24" i="3"/>
  <c r="K66" i="3"/>
  <c r="P64" i="3"/>
  <c r="K16" i="3"/>
  <c r="K77" i="3"/>
  <c r="AI82" i="3"/>
  <c r="K64" i="3"/>
  <c r="K51" i="3"/>
  <c r="K22" i="3"/>
  <c r="AI91" i="3"/>
  <c r="AH82" i="3"/>
  <c r="AF82" i="3"/>
  <c r="P76" i="3"/>
  <c r="AG82" i="3"/>
  <c r="K15" i="3"/>
  <c r="K47" i="3"/>
  <c r="P15" i="3"/>
  <c r="K41" i="3"/>
  <c r="P42" i="3"/>
  <c r="P51" i="3"/>
  <c r="AT82" i="3"/>
  <c r="K46" i="3"/>
  <c r="AL87" i="3"/>
  <c r="K78" i="3"/>
  <c r="AG91" i="3"/>
  <c r="P18" i="3"/>
  <c r="AJ82" i="3"/>
  <c r="K28" i="3"/>
  <c r="AJ87" i="3"/>
  <c r="AF91" i="3"/>
  <c r="P54" i="3"/>
  <c r="AH87" i="3"/>
  <c r="K40" i="3"/>
  <c r="P41" i="3"/>
  <c r="AG87" i="3"/>
  <c r="K72" i="3"/>
  <c r="K18" i="3"/>
  <c r="AF87" i="3"/>
  <c r="AT87" i="3"/>
  <c r="AG81" i="3"/>
  <c r="AN82" i="3"/>
  <c r="AJ86" i="3"/>
  <c r="AN87" i="3"/>
  <c r="AT90" i="3"/>
  <c r="AN91" i="3"/>
  <c r="AN81" i="3"/>
  <c r="AT81" i="3"/>
  <c r="AL81" i="3"/>
  <c r="AI81" i="3"/>
  <c r="AF81" i="3"/>
  <c r="AJ81" i="3"/>
  <c r="AH81" i="3"/>
  <c r="P53" i="3"/>
  <c r="K23" i="3"/>
  <c r="P52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H92" i="3"/>
  <c r="AF92" i="3"/>
  <c r="AG92" i="3"/>
  <c r="AN92" i="3"/>
  <c r="AJ92" i="3"/>
  <c r="AS92" i="3"/>
  <c r="AI92" i="3"/>
  <c r="AL92" i="3"/>
  <c r="AM88" i="3" s="1"/>
  <c r="S103" i="3" l="1"/>
  <c r="T103" i="3" s="1" a="1"/>
  <c r="T103" i="3" s="1"/>
  <c r="CG24" i="3"/>
  <c r="S111" i="3" s="1"/>
  <c r="T111" i="3" s="1"/>
  <c r="AM89" i="3"/>
  <c r="AM80" i="3"/>
  <c r="AM90" i="3"/>
  <c r="AM83" i="3"/>
  <c r="AM84" i="3"/>
  <c r="AM82" i="3"/>
  <c r="AM85" i="3"/>
  <c r="AM91" i="3"/>
  <c r="AM86" i="3"/>
  <c r="AM87" i="3"/>
  <c r="AM8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90" i="3"/>
  <c r="AP89" i="3"/>
  <c r="AP80" i="3"/>
  <c r="AP86" i="3"/>
  <c r="AP85" i="3"/>
  <c r="AP84" i="3"/>
  <c r="AP91" i="3"/>
  <c r="AP81" i="3"/>
  <c r="AP82" i="3"/>
  <c r="AP88" i="3"/>
  <c r="AP83" i="3"/>
  <c r="CN37" i="3" l="1"/>
  <c r="CK68" i="3" s="1"/>
  <c r="CN48" i="3"/>
  <c r="AD90" i="3"/>
  <c r="AS90" i="3" s="1"/>
  <c r="AD84" i="3"/>
  <c r="AS84" i="3" s="1"/>
  <c r="AD91" i="3"/>
  <c r="AS91" i="3" s="1"/>
  <c r="AD88" i="3"/>
  <c r="AS88" i="3" s="1"/>
  <c r="AD83" i="3"/>
  <c r="AS83" i="3" s="1"/>
  <c r="AD85" i="3"/>
  <c r="AS85" i="3" s="1"/>
  <c r="AD81" i="3"/>
  <c r="AS81" i="3" s="1"/>
  <c r="AD80" i="3"/>
  <c r="AR80" i="3" s="1"/>
  <c r="AD89" i="3"/>
  <c r="AS89" i="3" s="1"/>
  <c r="AD82" i="3"/>
  <c r="AS82" i="3" s="1"/>
  <c r="AD86" i="3"/>
  <c r="AS86" i="3" s="1"/>
  <c r="AD87" i="3"/>
  <c r="AS87" i="3" s="1"/>
  <c r="M82" i="3" l="1"/>
  <c r="J82" i="3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92" i="3"/>
  <c r="N92" i="3"/>
  <c r="L92" i="3"/>
  <c r="J91" i="3"/>
  <c r="N91" i="3"/>
  <c r="L91" i="3"/>
  <c r="L88" i="3"/>
  <c r="O87" i="3"/>
  <c r="N86" i="3"/>
  <c r="M90" i="3"/>
  <c r="O92" i="3"/>
  <c r="AS80" i="3"/>
  <c r="M81" i="3"/>
  <c r="N81" i="3"/>
  <c r="N83" i="3"/>
  <c r="O81" i="3"/>
  <c r="M91" i="3"/>
  <c r="M88" i="3"/>
  <c r="L86" i="3"/>
  <c r="M86" i="3"/>
  <c r="J89" i="3"/>
  <c r="O90" i="3"/>
  <c r="J92" i="3"/>
  <c r="O89" i="3"/>
  <c r="L89" i="3"/>
  <c r="J90" i="3"/>
  <c r="J81" i="3"/>
  <c r="O91" i="3"/>
  <c r="O84" i="3"/>
  <c r="L81" i="3"/>
  <c r="O86" i="3"/>
  <c r="J86" i="3"/>
  <c r="M85" i="3"/>
  <c r="L85" i="3"/>
  <c r="M83" i="3"/>
  <c r="O88" i="3"/>
  <c r="N82" i="3"/>
  <c r="M87" i="3"/>
  <c r="N84" i="3"/>
  <c r="N87" i="3"/>
  <c r="J84" i="3"/>
  <c r="J85" i="3"/>
  <c r="N88" i="3"/>
  <c r="J83" i="3"/>
  <c r="N90" i="3"/>
  <c r="O85" i="3"/>
  <c r="M84" i="3"/>
  <c r="L82" i="3"/>
  <c r="N85" i="3"/>
  <c r="L83" i="3"/>
  <c r="L84" i="3"/>
  <c r="O83" i="3"/>
  <c r="M89" i="3"/>
  <c r="L87" i="3"/>
  <c r="O82" i="3"/>
  <c r="N89" i="3"/>
  <c r="L90" i="3"/>
  <c r="J88" i="3"/>
  <c r="J87" i="3"/>
  <c r="P92" i="3" l="1"/>
  <c r="P85" i="3"/>
  <c r="P83" i="3"/>
  <c r="K84" i="3"/>
  <c r="P90" i="3"/>
  <c r="K82" i="3"/>
  <c r="K92" i="3"/>
  <c r="P86" i="3"/>
  <c r="P82" i="3"/>
  <c r="P87" i="3"/>
  <c r="K81" i="3"/>
  <c r="K88" i="3"/>
  <c r="P91" i="3"/>
  <c r="K86" i="3"/>
  <c r="P81" i="3"/>
  <c r="K87" i="3"/>
  <c r="P84" i="3"/>
  <c r="K83" i="3"/>
  <c r="P88" i="3"/>
  <c r="I3" i="4"/>
  <c r="BL15" i="3" s="1"/>
  <c r="D3" i="4"/>
  <c r="BL51" i="3" s="1"/>
  <c r="G3" i="4"/>
  <c r="BL11" i="3" s="1"/>
  <c r="K85" i="3"/>
  <c r="H3" i="4"/>
  <c r="BL39" i="3" s="1"/>
  <c r="E3" i="4"/>
  <c r="BL67" i="3" s="1"/>
  <c r="K91" i="3"/>
  <c r="K3" i="4"/>
  <c r="BL55" i="3" s="1"/>
  <c r="P89" i="3"/>
  <c r="B3" i="4"/>
  <c r="J3" i="4"/>
  <c r="BL71" i="3" s="1"/>
  <c r="K90" i="3"/>
  <c r="K89" i="3"/>
  <c r="BS53" i="3"/>
  <c r="BS52" i="3"/>
  <c r="BS69" i="3"/>
  <c r="BZ65" i="3" s="1"/>
  <c r="CG56" i="3" s="1"/>
  <c r="CN49" i="3" s="1"/>
  <c r="BS68" i="3"/>
  <c r="BZ49" i="3" l="1"/>
  <c r="CG55" i="3" s="1"/>
  <c r="CN3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<sst xmlns="http://schemas.openxmlformats.org/spreadsheetml/2006/main" count="9785" uniqueCount="3699">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</sst>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"/>
  <cols>
    <col min="1" max="1" width="24.1640625" bestFit="1" customWidth="1"/>
    <col min="2" max="42" width="14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640625" defaultRowHeight="15" x14ac:dyDescent="0.2"/>
  <cols>
    <col min="1" max="1" width="1.1640625" style="10" customWidth="1"/>
    <col min="2" max="2" width="18.83203125" style="10" bestFit="1" customWidth="1"/>
    <col min="3" max="3" width="20.33203125" style="10" customWidth="1"/>
    <col min="4" max="4" width="9.1640625" style="10"/>
    <col min="5" max="5" width="1.1640625" style="10" customWidth="1"/>
    <col min="6" max="6" width="9.1640625" style="10"/>
    <col min="7" max="7" width="27.5" style="10" bestFit="1" customWidth="1"/>
    <col min="8" max="8" width="2.6640625" style="10" customWidth="1"/>
    <col min="9" max="9" width="1.1640625" style="10" customWidth="1"/>
    <col min="10" max="16384" width="9.1640625" style="10"/>
  </cols>
  <sheetData>
    <row r="1" spans="2:27" ht="7.5" customHeight="1" x14ac:dyDescent="0.2"/>
    <row r="2" spans="2:27" ht="17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6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="69" zoomScaleNormal="100" workbookViewId="0">
      <selection activeCell="CO50" sqref="CO50"/>
    </sheetView>
  </sheetViews>
  <sheetFormatPr baseColWidth="10" defaultColWidth="9.1640625" defaultRowHeight="15" x14ac:dyDescent="0.2"/>
  <cols>
    <col min="1" max="1" width="4.83203125" style="3" customWidth="1"/>
    <col min="2" max="2" width="6.1640625" style="3" customWidth="1"/>
    <col min="3" max="3" width="11.6640625" style="3" bestFit="1" customWidth="1"/>
    <col min="4" max="4" width="9" style="4" customWidth="1"/>
    <col min="5" max="5" width="22.5" style="5" customWidth="1"/>
    <col min="6" max="7" width="4.33203125" style="6" customWidth="1"/>
    <col min="8" max="8" width="22.5" style="7" customWidth="1"/>
    <col min="9" max="9" width="3.5" style="2" customWidth="1"/>
    <col min="10" max="10" width="19.5" style="8" customWidth="1"/>
    <col min="11" max="14" width="5.5" style="9" customWidth="1"/>
    <col min="15" max="15" width="7.6640625" style="9" customWidth="1"/>
    <col min="16" max="16" width="6.6640625" style="9" customWidth="1"/>
    <col min="17" max="17" width="3.5" style="68" customWidth="1"/>
    <col min="18" max="18" width="15.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5" style="123" hidden="1" customWidth="1"/>
    <col min="31" max="31" width="13.5" style="124" hidden="1" customWidth="1"/>
    <col min="32" max="36" width="5.5" style="123" hidden="1" customWidth="1"/>
    <col min="37" max="39" width="6" style="123" hidden="1" customWidth="1"/>
    <col min="40" max="40" width="5.5" style="123" hidden="1" customWidth="1"/>
    <col min="41" max="42" width="6" style="123" hidden="1" customWidth="1"/>
    <col min="43" max="43" width="7.164062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640625" style="125" hidden="1" customWidth="1"/>
    <col min="52" max="61" width="9.1640625" style="126" hidden="1" customWidth="1"/>
    <col min="62" max="62" width="9.164062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320312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640625" style="2"/>
  </cols>
  <sheetData>
    <row r="1" spans="1:95" ht="47" x14ac:dyDescent="0.2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3</v>
      </c>
      <c r="AL8" s="123">
        <f>AI8-AJ8</f>
        <v>2</v>
      </c>
      <c r="AM8" s="123">
        <f>AL8-AL12</f>
        <v>6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87500009.40560241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5 - 3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5</v>
      </c>
      <c r="AL9" s="123">
        <f>AI9-AJ9</f>
        <v>-4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0.16738153166666667</v>
      </c>
      <c r="AQ9" s="126">
        <f>VLOOKUP(AE9,db_fifarank,2,FALSE)</f>
        <v>1429.73</v>
      </c>
      <c r="AR9" s="125">
        <f>AP9/AP12</f>
        <v>1.9129315629881303E-9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2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3 - 2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3</v>
      </c>
      <c r="AL10" s="123">
        <f>AI10-AJ10</f>
        <v>1</v>
      </c>
      <c r="AM10" s="123">
        <f>AL10-AL12</f>
        <v>5</v>
      </c>
      <c r="AN10" s="123">
        <f>AF10*3+AG10</f>
        <v>4</v>
      </c>
      <c r="AO10" s="123">
        <f>AN10/AN12*10+BA10</f>
        <v>5</v>
      </c>
      <c r="AP10" s="123">
        <f>AO10*10000000+BI10*100+AM10/AM12*10+AI10/AI12*1++IF(AQ10=0,ROW(),AQ10)/2000000</f>
        <v>50000007.810318135</v>
      </c>
      <c r="AQ10" s="126">
        <f>VLOOKUP(AE10,db_fifarank,2,FALSE)</f>
        <v>1588.66</v>
      </c>
      <c r="AR10" s="125">
        <f>AP10/AP12</f>
        <v>0.57142859273439306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2</v>
      </c>
      <c r="AL11" s="123">
        <f>AI11-AJ11</f>
        <v>1</v>
      </c>
      <c r="AM11" s="123">
        <f>AL11-AL12</f>
        <v>5</v>
      </c>
      <c r="AN11" s="123">
        <f>AF11*3+AG11</f>
        <v>5</v>
      </c>
      <c r="AO11" s="123">
        <f>AN11/AN12*10+BA11</f>
        <v>6.25</v>
      </c>
      <c r="AP11" s="123">
        <f>AO11*10000000+BI11*100+AM11/AM12*10+AI11/AI12*1++IF(AQ11=0,ROW(),AQ11)/2000000</f>
        <v>62500007.643607832</v>
      </c>
      <c r="AQ11" s="126">
        <f>VLOOKUP(AE11,db_fifarank,2,FALSE)</f>
        <v>1501.38</v>
      </c>
      <c r="AR11" s="125">
        <f>AP11/AP12</f>
        <v>0.71428571669753893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United States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4</v>
      </c>
      <c r="AI12" s="123">
        <f>MAX(AI8:AI11)+1</f>
        <v>6</v>
      </c>
      <c r="AL12" s="123">
        <f>MIN(AL8:AL11)</f>
        <v>-4</v>
      </c>
      <c r="AM12" s="123">
        <f>MAX(AM8:AM11)+1</f>
        <v>7</v>
      </c>
      <c r="AN12" s="123">
        <f>MAX(AN8:AN11)+1</f>
        <v>8</v>
      </c>
      <c r="AO12" s="123">
        <f>MAX(AO8:AO11)+1</f>
        <v>9.75</v>
      </c>
      <c r="AP12" s="123">
        <f>MAX(AP8:AP11)+1</f>
        <v>87500010.40560241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2</v>
      </c>
      <c r="AL14" s="123">
        <f>AI14-AJ14</f>
        <v>1</v>
      </c>
      <c r="AM14" s="123">
        <f>AL14-AL18</f>
        <v>5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60000005.429349668</v>
      </c>
      <c r="AQ14" s="126">
        <f>VLOOKUP(AE14,db_fifarank,2,FALSE)</f>
        <v>1556.48</v>
      </c>
      <c r="AR14" s="125">
        <f>AP14/AP18</f>
        <v>0.66666664656338726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6 - 1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0</v>
      </c>
      <c r="AJ15" s="123">
        <f>SUMIF($E$7:$E$78,$AE15,$G$7:$G$78) + SUMIF($H$7:$H$78,$AE15,$F$7:$F$78)</f>
        <v>4</v>
      </c>
      <c r="AL15" s="123">
        <f>AI15-AJ15</f>
        <v>-4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6.9291999999999997E-4</v>
      </c>
      <c r="AQ15" s="126">
        <f>VLOOKUP(AE15,db_fifarank,2,FALSE)</f>
        <v>1385.84</v>
      </c>
      <c r="AR15" s="125">
        <f>AP15/AP18</f>
        <v>7.6991101822590164E-12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1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3 - 2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0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3</v>
      </c>
      <c r="AL16" s="123">
        <f>AI16-AJ16</f>
        <v>-2</v>
      </c>
      <c r="AM16" s="123">
        <f>AL16-AL18</f>
        <v>2</v>
      </c>
      <c r="AN16" s="123">
        <f>AF16*3+AG16</f>
        <v>3</v>
      </c>
      <c r="AO16" s="123">
        <f>AN16/AN18*10+BA16</f>
        <v>3</v>
      </c>
      <c r="AP16" s="123">
        <f>AO16*10000000+BI16*100+AM16/AM18*10+AI16/AI18*1++IF(AQ16=0,ROW(),AQ16)/2000000</f>
        <v>30000002.14358462</v>
      </c>
      <c r="AQ16" s="126">
        <f>VLOOKUP(AE16,db_fifarank,2,FALSE)</f>
        <v>1454.96</v>
      </c>
      <c r="AR16" s="125">
        <f>AP16/AP18</f>
        <v>0.33333331693624757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1 - 3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2</v>
      </c>
      <c r="W17" s="123">
        <f t="shared" si="4"/>
        <v>2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1</v>
      </c>
      <c r="AL17" s="123">
        <f>AI17-AJ17</f>
        <v>5</v>
      </c>
      <c r="AM17" s="123">
        <f>AL17-AL18</f>
        <v>9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90000009.857967556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0 - 4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7</v>
      </c>
      <c r="AL18" s="123">
        <f>MIN(AL14:AL17)</f>
        <v>-4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90000010.857967556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3</v>
      </c>
      <c r="AL20" s="123">
        <f>AI20-AJ20</f>
        <v>7</v>
      </c>
      <c r="AM20" s="123">
        <f>AL20-AL24</f>
        <v>13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90000010.195685774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10 - 3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8</v>
      </c>
      <c r="AJ21" s="123">
        <f>SUMIF($E$7:$E$78,$AE21,$G$7:$G$78) + SUMIF($H$7:$H$78,$AE21,$F$7:$F$78)</f>
        <v>5</v>
      </c>
      <c r="AL21" s="123">
        <f>AI21-AJ21</f>
        <v>3</v>
      </c>
      <c r="AM21" s="123">
        <f>AL21-AL24</f>
        <v>9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60000007.156722084</v>
      </c>
      <c r="AQ21" s="126">
        <f>VLOOKUP(AE21,db_fifarank,2,FALSE)</f>
        <v>1755.87</v>
      </c>
      <c r="AR21" s="125">
        <f>AP21/AP24</f>
        <v>0.66666666325479562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8 - 5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7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9.1554945909090912E-2</v>
      </c>
      <c r="AQ22" s="126">
        <f>VLOOKUP(AE22,db_fifarank,2,FALSE)</f>
        <v>1291.71</v>
      </c>
      <c r="AR22" s="125">
        <f>AP22/AP24</f>
        <v>1.0172770502219635E-9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Japan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3 - 7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7</v>
      </c>
      <c r="AL23" s="123">
        <f>AI23-AJ23</f>
        <v>-4</v>
      </c>
      <c r="AM23" s="123">
        <f>AL23-AL24</f>
        <v>2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30000001.702047877</v>
      </c>
      <c r="AQ23" s="126">
        <f>VLOOKUP(AE23,db_fifarank,2,FALSE)</f>
        <v>1498.35</v>
      </c>
      <c r="AR23" s="125">
        <f>AP23/AP24</f>
        <v>0.33333331077947637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1 - 7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11</v>
      </c>
      <c r="AL24" s="123">
        <f>MIN(AL20:AL23)</f>
        <v>-6</v>
      </c>
      <c r="AM24" s="123">
        <f>MAX(AM20:AM23)+1</f>
        <v>14</v>
      </c>
      <c r="AN24" s="123">
        <f>MAX(AN20:AN23)+1</f>
        <v>10</v>
      </c>
      <c r="AO24" s="123">
        <f>MAX(AO20:AO23)+1</f>
        <v>10</v>
      </c>
      <c r="AP24" s="123">
        <f>MAX(AP20:AP23)+1</f>
        <v>90000011.195685774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5</v>
      </c>
      <c r="AL26" s="123">
        <f>AI26-AJ26</f>
        <v>0</v>
      </c>
      <c r="AM26" s="123">
        <f>AL26-AL30</f>
        <v>4</v>
      </c>
      <c r="AN26" s="123">
        <f>AF26*3+AG26</f>
        <v>4</v>
      </c>
      <c r="AO26" s="123">
        <f>AN26/AN30*10+BA26</f>
        <v>5</v>
      </c>
      <c r="AP26" s="123">
        <f>AO26*10000000+BI26*100+AM26/AM30*10+AI26/AI30*1++IF(AQ26=0,ROW(),AQ26)/2000000</f>
        <v>50000005.834169902</v>
      </c>
      <c r="AQ26" s="126">
        <f>VLOOKUP(AE26,db_fifarank,2,FALSE)</f>
        <v>1673.13</v>
      </c>
      <c r="AR26" s="125">
        <f>AP26/AP30</f>
        <v>0.57142856898393157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0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2</v>
      </c>
      <c r="AL27" s="123">
        <f>AI27-AJ27</f>
        <v>1</v>
      </c>
      <c r="AM27" s="123">
        <f>AL27-AL30</f>
        <v>5</v>
      </c>
      <c r="AN27" s="123">
        <f>AF27*3+AG27</f>
        <v>6</v>
      </c>
      <c r="AO27" s="123">
        <f>AN27/AN30*10+BA27</f>
        <v>7.5</v>
      </c>
      <c r="AP27" s="123">
        <f>AO27*10000000+BI27*100+AM27/AM30*10+AI27/AI30*1++IF(AQ27=0,ROW(),AQ27)/2000000</f>
        <v>75000006.750751749</v>
      </c>
      <c r="AQ27" s="126">
        <f>VLOOKUP(AE27,db_fifarank,2,FALSE)</f>
        <v>1503.5</v>
      </c>
      <c r="AR27" s="125">
        <f>AP27/AP30</f>
        <v>0.85714283061300756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3 - 2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5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0.16745700166666666</v>
      </c>
      <c r="AQ28" s="126">
        <f>VLOOKUP(AE28,db_fifarank,2,FALSE)</f>
        <v>1580.67</v>
      </c>
      <c r="AR28" s="125">
        <f>AP28/AP30</f>
        <v>1.913794073266468E-9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5 - 5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2</v>
      </c>
      <c r="AL29" s="123">
        <f>AI29-AJ29</f>
        <v>3</v>
      </c>
      <c r="AM29" s="123">
        <f>AL29-AL30</f>
        <v>7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87500009.58413285</v>
      </c>
      <c r="AQ29" s="126">
        <f>VLOOKUP(AE29,db_fifarank,2,FALSE)</f>
        <v>1599.04</v>
      </c>
      <c r="AR29" s="125">
        <f>AP29/AP30</f>
        <v>0.99999998857142991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1 - 5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6</v>
      </c>
      <c r="AL30" s="123">
        <f>MIN(AL26:AL29)</f>
        <v>-4</v>
      </c>
      <c r="AM30" s="123">
        <f>MAX(AM26:AM29)+1</f>
        <v>8</v>
      </c>
      <c r="AN30" s="123">
        <f>MAX(AN26:AN29)+1</f>
        <v>8</v>
      </c>
      <c r="AO30" s="123">
        <f>MAX(AO26:AO29)+1</f>
        <v>9.75</v>
      </c>
      <c r="AP30" s="123">
        <f>MAX(AP26:AP29)+1</f>
        <v>87500010.58413285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2</v>
      </c>
      <c r="AL32" s="123">
        <f>AI32-AJ32</f>
        <v>5</v>
      </c>
      <c r="AM32" s="123">
        <f>AL32-AL36</f>
        <v>9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90000009.875865191</v>
      </c>
      <c r="AQ32" s="126">
        <f>VLOOKUP(AE32,db_fifarank,2,FALSE)</f>
        <v>1730.37</v>
      </c>
      <c r="AR32" s="125">
        <f>AP32/AP36</f>
        <v>0.99999998888889019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5</v>
      </c>
      <c r="AL33" s="123">
        <f>AI33-AJ33</f>
        <v>-4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0.125647325</v>
      </c>
      <c r="AQ33" s="126">
        <f>VLOOKUP(AE33,db_fifarank,2,FALSE)</f>
        <v>1294.6500000000001</v>
      </c>
      <c r="AR33" s="125">
        <f>AP33/AP36</f>
        <v>1.3960812201823206E-9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3 - 2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3</v>
      </c>
      <c r="AL34" s="123">
        <f>AI34-AJ34</f>
        <v>-2</v>
      </c>
      <c r="AM34" s="123">
        <f>AL34-AL36</f>
        <v>2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30000002.12576649</v>
      </c>
      <c r="AQ34" s="126">
        <f>VLOOKUP(AE34,db_fifarank,2,FALSE)</f>
        <v>1532.98</v>
      </c>
      <c r="AR34" s="125">
        <f>AP34/AP36</f>
        <v>0.33333331667198079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1 - 3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2</v>
      </c>
      <c r="AL35" s="123">
        <f>AI35-AJ35</f>
        <v>1</v>
      </c>
      <c r="AM35" s="123">
        <f>AL35-AL36</f>
        <v>5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60000005.375797391</v>
      </c>
      <c r="AQ35" s="126">
        <f>VLOOKUP(AE35,db_fifarank,2,FALSE)</f>
        <v>1594.78</v>
      </c>
      <c r="AR35" s="125">
        <f>AP35/AP36</f>
        <v>0.66666664583578694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1 - 5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8</v>
      </c>
      <c r="AL36" s="123">
        <f>MIN(AL32:AL35)</f>
        <v>-4</v>
      </c>
      <c r="AM36" s="123">
        <f>MAX(AM32:AM35)+1</f>
        <v>10</v>
      </c>
      <c r="AN36" s="123">
        <f>MAX(AN32:AN35)+1</f>
        <v>10</v>
      </c>
      <c r="AO36" s="123">
        <f>MAX(AO32:AO35)+1</f>
        <v>10</v>
      </c>
      <c r="AP36" s="123">
        <f>MAX(AP32:AP35)+1</f>
        <v>90000010.875865191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2</v>
      </c>
      <c r="AE38" s="124" t="str">
        <f>VLOOKUP("Netherlands",T,lang,FALSE)</f>
        <v>Netherlands</v>
      </c>
      <c r="AF38" s="123">
        <f>COUNTIF($S$7:$T$78,"=" &amp; AE38 &amp; "_win")</f>
        <v>1</v>
      </c>
      <c r="AG38" s="123">
        <f>COUNTIF($S$7:$T$78,"=" &amp; AE38 &amp; "_draw")</f>
        <v>2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3</v>
      </c>
      <c r="AL38" s="123">
        <f>AI38-AJ38</f>
        <v>2</v>
      </c>
      <c r="AM38" s="123">
        <f>AL38-AL42</f>
        <v>6</v>
      </c>
      <c r="AN38" s="123">
        <f>AF38*3+AG38</f>
        <v>5</v>
      </c>
      <c r="AO38" s="123">
        <f>AN38/AN42*10+BA38</f>
        <v>9.3158065563128858</v>
      </c>
      <c r="AP38" s="123">
        <f>AO38*10000000+BI38*100+AM38/AM42*10+AI38/AI42*1++IF(AQ38=0,ROW(),AQ38)/2000000</f>
        <v>93158173.027022108</v>
      </c>
      <c r="AQ38" s="126">
        <f>VLOOKUP(AE38,db_fifarank,2,FALSE)</f>
        <v>1757.87</v>
      </c>
      <c r="AR38" s="125">
        <f>AP38/AP42</f>
        <v>0.99968758819509973</v>
      </c>
      <c r="AS38" s="125" t="str">
        <f>IF(SUM(AF38:AH41)=12,J39,"1F")</f>
        <v>Japan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2</v>
      </c>
      <c r="AV38" s="126" cm="1">
        <f t="array" ref="AV38">SUMPRODUCT(($E$7:$E$78=AE38)*($U$7:$U$78)*($F$7:$F$78))+SUMPRODUCT(($H$7:$H$78=AE38)*($U$7:$U$78)*($G$7:$G$78))</f>
        <v>3</v>
      </c>
      <c r="AW38" s="126" cm="1">
        <f t="array" ref="AW38">SUMPRODUCT(($E$7:$E$78=AE38)*($U$7:$U$78)*($G$7:$G$78))+SUMPRODUCT(($H$7:$H$78=AE38)*($U$7:$U$78)*($F$7:$F$78))</f>
        <v>3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67.266666666666652</v>
      </c>
      <c r="BA38" s="126">
        <f>AZ38/AZ42</f>
        <v>0.98247322297955209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1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50.5</v>
      </c>
      <c r="BI38" s="126">
        <f>BH38/BH42</f>
        <v>0.98058252427184467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Japan</v>
      </c>
      <c r="K39" s="31">
        <f>L39+M39+N39</f>
        <v>3</v>
      </c>
      <c r="L39" s="31">
        <f>VLOOKUP(1,AD38:AN41,3,FALSE)</f>
        <v>1</v>
      </c>
      <c r="M39" s="31">
        <f>VLOOKUP(1,AD38:AN41,4,FALSE)</f>
        <v>2</v>
      </c>
      <c r="N39" s="31">
        <f>VLOOKUP(1,AD38:AN41,5,FALSE)</f>
        <v>0</v>
      </c>
      <c r="O39" s="31" t="str">
        <f>VLOOKUP(1,AD38:AN41,6,FALSE) &amp; " - " &amp; VLOOKUP(1,AD38:AN41,7,FALSE)</f>
        <v>5 - 4</v>
      </c>
      <c r="P39" s="32">
        <f>L39*3+M39</f>
        <v>5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1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2</v>
      </c>
      <c r="AH39" s="123">
        <f>COUNTIF($S$7:$T$78,"=" &amp; AE39 &amp; "_lose")</f>
        <v>0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4</v>
      </c>
      <c r="AL39" s="123">
        <f>AI39-AJ39</f>
        <v>1</v>
      </c>
      <c r="AM39" s="123">
        <f>AL39-AL42</f>
        <v>5</v>
      </c>
      <c r="AN39" s="123">
        <f>AF39*3+AG39</f>
        <v>5</v>
      </c>
      <c r="AO39" s="123">
        <f>AN39/AN42*10+BA39</f>
        <v>9.3187276858162935</v>
      </c>
      <c r="AP39" s="123">
        <f>AO39*10000000+BI39*100+AM39/AM42*10+AI39/AI42*1++IF(AQ39=0,ROW(),AQ39)/2000000</f>
        <v>93187284.835183635</v>
      </c>
      <c r="AQ39" s="126">
        <f>VLOOKUP(AE39,db_fifarank,2,FALSE)</f>
        <v>1660.43</v>
      </c>
      <c r="AR39" s="125">
        <f>AP39/AP42</f>
        <v>0.99999998926892231</v>
      </c>
      <c r="AS39" s="125" t="str">
        <f>IF(SUM(AF38:AH41)=12,J40,"2F")</f>
        <v>Netherlands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2</v>
      </c>
      <c r="AV39" s="126" cm="1">
        <f t="array" ref="AV39">SUMPRODUCT(($E$7:$E$78=AE39)*($U$7:$U$78)*($F$7:$F$78))+SUMPRODUCT(($H$7:$H$78=AE39)*($U$7:$U$78)*($G$7:$G$78))</f>
        <v>4</v>
      </c>
      <c r="AW39" s="126" cm="1">
        <f t="array" ref="AW39">SUMPRODUCT(($E$7:$E$78=AE39)*($U$7:$U$78)*($G$7:$G$78))+SUMPRODUCT(($H$7:$H$78=AE39)*($U$7:$U$78)*($F$7:$F$78))</f>
        <v>4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67.466666666666654</v>
      </c>
      <c r="BA39" s="126">
        <f>AZ39/AZ42</f>
        <v>0.98539435248296003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Netherlands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5 - 3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2</v>
      </c>
      <c r="AH40" s="123">
        <f>COUNTIF($S$7:$T$78,"=" &amp; AE40 &amp; "_lose")</f>
        <v>0</v>
      </c>
      <c r="AI40" s="123">
        <f>SUMIF($E$7:$E$78,$AE40,$F$7:$F$78) + SUMIF($H$7:$H$78,$AE40,$G$7:$G$78)</f>
        <v>5</v>
      </c>
      <c r="AJ40" s="123">
        <f>SUMIF($E$7:$E$78,$AE40,$G$7:$G$78) + SUMIF($H$7:$H$78,$AE40,$F$7:$F$78)</f>
        <v>4</v>
      </c>
      <c r="AL40" s="123">
        <f>AI40-AJ40</f>
        <v>1</v>
      </c>
      <c r="AM40" s="123">
        <f>AL40-AL42</f>
        <v>5</v>
      </c>
      <c r="AN40" s="123">
        <f>AF40*3+AG40</f>
        <v>5</v>
      </c>
      <c r="AO40" s="123">
        <f>AN40/AN42*10+BA40</f>
        <v>9.3158065563128858</v>
      </c>
      <c r="AP40" s="123">
        <f>AO40*10000000+BI40*100+AM40/AM42*10+AI40/AI42*1++IF(AQ40=0,ROW(),AQ40)/2000000</f>
        <v>93158171.598329142</v>
      </c>
      <c r="AQ40" s="126">
        <f>VLOOKUP(AE40,db_fifarank,2,FALSE)</f>
        <v>1514.77</v>
      </c>
      <c r="AR40" s="125">
        <f>AP40/AP42</f>
        <v>0.99968757286368459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2</v>
      </c>
      <c r="AV40" s="126" cm="1">
        <f t="array" ref="AV40">SUMPRODUCT(($E$7:$E$78=AE40)*($U$7:$U$78)*($F$7:$F$78))+SUMPRODUCT(($H$7:$H$78=AE40)*($U$7:$U$78)*($G$7:$G$78))</f>
        <v>3</v>
      </c>
      <c r="AW40" s="126" cm="1">
        <f t="array" ref="AW40">SUMPRODUCT(($E$7:$E$78=AE40)*($U$7:$U$78)*($G$7:$G$78))+SUMPRODUCT(($H$7:$H$78=AE40)*($U$7:$U$78)*($F$7:$F$78))</f>
        <v>3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67.266666666666652</v>
      </c>
      <c r="BA40" s="126">
        <f>AZ40/AZ42</f>
        <v>0.98247322297955209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2</v>
      </c>
      <c r="N41" s="23">
        <f>VLOOKUP(3,AD38:AN41,5,FALSE)</f>
        <v>0</v>
      </c>
      <c r="O41" s="23" t="str">
        <f>VLOOKUP(3,AD38:AN41,6,FALSE) &amp; " - " &amp; VLOOKUP(3,AD38:AN41,7,FALSE)</f>
        <v>5 - 4</v>
      </c>
      <c r="P41" s="34">
        <f>L41*3+M41</f>
        <v>5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1</v>
      </c>
      <c r="V41" s="123">
        <f t="shared" si="3"/>
        <v>1</v>
      </c>
      <c r="W41" s="123">
        <f t="shared" si="4"/>
        <v>1</v>
      </c>
      <c r="X41" s="123">
        <f t="shared" si="9"/>
        <v>1</v>
      </c>
      <c r="Y41" s="123">
        <f t="shared" si="10"/>
        <v>1</v>
      </c>
      <c r="Z41" s="123">
        <f t="shared" si="11"/>
        <v>1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5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0.16740819166666665</v>
      </c>
      <c r="AQ41" s="126">
        <f>VLOOKUP(AE41,db_fifarank,2,FALSE)</f>
        <v>1483.05</v>
      </c>
      <c r="AR41" s="125">
        <f>AP41/AP42</f>
        <v>1.7964703034999254E-9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2</v>
      </c>
      <c r="AG42" s="123">
        <f t="shared" si="18"/>
        <v>3</v>
      </c>
      <c r="AH42" s="123">
        <f t="shared" si="18"/>
        <v>4</v>
      </c>
      <c r="AI42" s="123">
        <f>MAX(AI38:AI41)+1</f>
        <v>6</v>
      </c>
      <c r="AL42" s="123">
        <f>MIN(AL38:AL41)</f>
        <v>-4</v>
      </c>
      <c r="AM42" s="123">
        <f>MAX(AM38:AM41)+1</f>
        <v>7</v>
      </c>
      <c r="AN42" s="123">
        <f>MAX(AN38:AN41)+1</f>
        <v>6</v>
      </c>
      <c r="AO42" s="123">
        <f>MAX(AO38:AO41)+1</f>
        <v>10.318727685816294</v>
      </c>
      <c r="AP42" s="123">
        <f>MAX(AP38:AP41)+1</f>
        <v>93187285.835183635</v>
      </c>
      <c r="AT42" s="126">
        <f>MAX(AT38:AT41)-MIN(AT38:AT41)+1</f>
        <v>1</v>
      </c>
      <c r="AU42" s="126">
        <f>MAX(AU38:AU41)-MIN(AU38:AU41)+1</f>
        <v>3</v>
      </c>
      <c r="AV42" s="126">
        <f>MAX(AV38:AV41)-MIN(AV38:AV41)+1</f>
        <v>5</v>
      </c>
      <c r="AW42" s="126">
        <f>MAX(AW38:AW41)-MIN(AW38:AW41)+1</f>
        <v>5</v>
      </c>
      <c r="AY42" s="126">
        <f>MAX(AY38:AY41)-MIN(AY38:AY41)+1</f>
        <v>1</v>
      </c>
      <c r="AZ42" s="126">
        <f>MAX(AZ38:AZ41)+1</f>
        <v>68.466666666666654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Netherlands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1</v>
      </c>
      <c r="AL44" s="123">
        <f>AI44-AJ44</f>
        <v>4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90000009.83420068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5 - 1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2</v>
      </c>
      <c r="AL45" s="123">
        <f>AI45-AJ45</f>
        <v>2</v>
      </c>
      <c r="AM45" s="123">
        <f>AL45-AL48</f>
        <v>7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60000007.667448282</v>
      </c>
      <c r="AQ45" s="126">
        <f>VLOOKUP(AE45,db_fifarank,2,FALSE)</f>
        <v>1563.24</v>
      </c>
      <c r="AR45" s="125">
        <f>AP45/AP48</f>
        <v>0.6666666716071975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4 - 2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0</v>
      </c>
      <c r="AH46" s="123">
        <f>COUNTIF($S$7:$T$78,"=" &amp; AE46 &amp; "_lose")</f>
        <v>3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5</v>
      </c>
      <c r="AL46" s="123">
        <f>AI46-AJ46</f>
        <v>-5</v>
      </c>
      <c r="AM46" s="123">
        <f>AL46-AL48</f>
        <v>0</v>
      </c>
      <c r="AN46" s="123">
        <f>AF46*3+AG46</f>
        <v>0</v>
      </c>
      <c r="AO46" s="123">
        <f>AN46/AN48*10+BA46</f>
        <v>0</v>
      </c>
      <c r="AP46" s="123">
        <f>AO46*10000000+BI46*100+AM46/AM48*10+AI46/AI48*1++IF(AQ46=0,ROW(),AQ46)/2000000</f>
        <v>8.0764999999999993E-4</v>
      </c>
      <c r="AQ46" s="126">
        <f>VLOOKUP(AE46,db_fifarank,2,FALSE)</f>
        <v>1615.3</v>
      </c>
      <c r="AR46" s="125">
        <f>AP46/AP48</f>
        <v>8.9738878086122065E-12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1 - 2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0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2</v>
      </c>
      <c r="AL47" s="123">
        <f>AI47-AJ47</f>
        <v>-1</v>
      </c>
      <c r="AM47" s="123">
        <f>AL47-AL48</f>
        <v>4</v>
      </c>
      <c r="AN47" s="123">
        <f>AF47*3+AG47</f>
        <v>3</v>
      </c>
      <c r="AO47" s="123">
        <f>AN47/AN48*10+BA47</f>
        <v>3</v>
      </c>
      <c r="AP47" s="123">
        <f>AO47*10000000+BI47*100+AM47/AM48*10+AI47/AI48*1++IF(AQ47=0,ROW(),AQ47)/2000000</f>
        <v>30000004.167307451</v>
      </c>
      <c r="AQ47" s="126">
        <f>VLOOKUP(AE47,db_fifarank,2,FALSE)</f>
        <v>1281.57</v>
      </c>
      <c r="AR47" s="125">
        <f>AP47/AP48</f>
        <v>0.33333333951007954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0 - 5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6</v>
      </c>
      <c r="AL48" s="123">
        <f>MIN(AL44:AL47)</f>
        <v>-5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90000010.83420068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Portugal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3</v>
      </c>
      <c r="AL50" s="123">
        <f>AI50-AJ50</f>
        <v>6</v>
      </c>
      <c r="AM50" s="123">
        <f>AL50-AL54</f>
        <v>12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90000010.131707445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9 - 3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6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7.5896101723853339E-12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4</v>
      </c>
      <c r="AL52" s="123">
        <f>AI52-AJ52</f>
        <v>-2</v>
      </c>
      <c r="AM52" s="123">
        <f>AL52-AL54</f>
        <v>4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30000003.27763379</v>
      </c>
      <c r="AQ52" s="126">
        <f>VLOOKUP(AE52,db_fifarank,2,FALSE)</f>
        <v>1421.43</v>
      </c>
      <c r="AR52" s="125">
        <f>AP52/AP54</f>
        <v>0.33333332852294106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2 - 4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3</v>
      </c>
      <c r="AL53" s="123">
        <f>AI53-AJ53</f>
        <v>2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60000006.654682688</v>
      </c>
      <c r="AQ53" s="126">
        <f>VLOOKUP(AE53,db_fifarank,2,FALSE)</f>
        <v>1673.07</v>
      </c>
      <c r="AR53" s="125">
        <f>AP53/AP54</f>
        <v>0.66666665815049431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0 - 6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10</v>
      </c>
      <c r="AL54" s="123">
        <f>MIN(AL50:AL53)</f>
        <v>-6</v>
      </c>
      <c r="AM54" s="123">
        <f>MAX(AM50:AM53)+1</f>
        <v>13</v>
      </c>
      <c r="AN54" s="123">
        <f>MAX(AN50:AN53)+1</f>
        <v>10</v>
      </c>
      <c r="AO54" s="123">
        <f>MAX(AO50:AO53)+1</f>
        <v>10</v>
      </c>
      <c r="AP54" s="123">
        <f>MAX(AP50:AP53)+1</f>
        <v>90000011.131707445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4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11</v>
      </c>
      <c r="AJ56" s="123">
        <f>SUMIF($E$7:$E$78,$AE56,$G$7:$G$78) + SUMIF($H$7:$H$78,$AE56,$F$7:$F$78)</f>
        <v>2</v>
      </c>
      <c r="AL56" s="123">
        <f>AI56-AJ56</f>
        <v>9</v>
      </c>
      <c r="AM56" s="123">
        <f>AL56-AL60</f>
        <v>16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90000010.329370037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11 - 2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5</v>
      </c>
      <c r="AL57" s="123">
        <f>AI57-AJ57</f>
        <v>-2</v>
      </c>
      <c r="AM57" s="123">
        <f>AL57-AL60</f>
        <v>5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49805926.492991835</v>
      </c>
      <c r="AQ57" s="126">
        <f>VLOOKUP(AE57,db_fifarank,2,FALSE)</f>
        <v>1688.99</v>
      </c>
      <c r="AR57" s="125">
        <f>AP57/AP60</f>
        <v>0.5533991135925389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5 - 5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8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8.4056903333333335E-2</v>
      </c>
      <c r="AQ58" s="126">
        <f>VLOOKUP(AE58,db_fifarank,2,FALSE)</f>
        <v>1447.14</v>
      </c>
      <c r="AR58" s="125">
        <f>AP58/AP60</f>
        <v>9.3396547502325415E-10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3 - 5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5</v>
      </c>
      <c r="AL59" s="123">
        <f>AI59-AJ59</f>
        <v>0</v>
      </c>
      <c r="AM59" s="123">
        <f>AL59-AL60</f>
        <v>7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49805927.836060062</v>
      </c>
      <c r="AQ59" s="126">
        <f>VLOOKUP(AE59,db_fifarank,2,FALSE)</f>
        <v>1550.94</v>
      </c>
      <c r="AR59" s="125">
        <f>AP59/AP60</f>
        <v>0.55339912851551731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1 - 8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12</v>
      </c>
      <c r="AL60" s="123">
        <f>MIN(AL56:AL59)</f>
        <v>-7</v>
      </c>
      <c r="AM60" s="123">
        <f>MAX(AM56:AM59)+1</f>
        <v>17</v>
      </c>
      <c r="AN60" s="123">
        <f>MAX(AN56:AN59)+1</f>
        <v>10</v>
      </c>
      <c r="AO60" s="123">
        <f>MAX(AO56:AO59)+1</f>
        <v>10</v>
      </c>
      <c r="AP60" s="123">
        <f>MAX(AP56:AP59)+1</f>
        <v>90000011.329370037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0</v>
      </c>
      <c r="AL62" s="123">
        <f>AI62-AJ62</f>
        <v>6</v>
      </c>
      <c r="AM62" s="123">
        <f>AL62-AL66</f>
        <v>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90000009.858080268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2</v>
      </c>
      <c r="W63" s="123">
        <f t="shared" si="22"/>
        <v>2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4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4</v>
      </c>
      <c r="AL63" s="123">
        <f>AI63-AJ63</f>
        <v>-3</v>
      </c>
      <c r="AM63" s="123">
        <f>AL63-AL66</f>
        <v>0</v>
      </c>
      <c r="AN63" s="123">
        <f>AF63*3+AG63</f>
        <v>1</v>
      </c>
      <c r="AO63" s="123">
        <f>AN63/AN66*10+BA63</f>
        <v>1</v>
      </c>
      <c r="AP63" s="123">
        <f>AO63*10000000+BI63*100+AM63/AM66*10+AI63/AI66*1++IF(AQ63=0,ROW(),AQ63)/2000000</f>
        <v>10000000.143639274</v>
      </c>
      <c r="AQ63" s="126">
        <f>VLOOKUP(AE63,db_fifarank,2,FALSE)</f>
        <v>1564.26</v>
      </c>
      <c r="AR63" s="125">
        <f>AP63/AP66</f>
        <v>0.1111110993020671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2 - 3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3</v>
      </c>
      <c r="AL64" s="123">
        <f>AI64-AJ64</f>
        <v>-1</v>
      </c>
      <c r="AM64" s="123">
        <f>AL64-AL66</f>
        <v>2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40000002.286511011</v>
      </c>
      <c r="AQ64" s="126">
        <f>VLOOKUP(AE64,db_fifarank,2,FALSE)</f>
        <v>1593.45</v>
      </c>
      <c r="AR64" s="125">
        <f>AP64/AP66</f>
        <v>0.44444441622997627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2 - 4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2</v>
      </c>
      <c r="AH65" s="123">
        <f>COUNTIF($S$7:$T$78,"=" &amp; AE65 &amp; "_lose")</f>
        <v>1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4</v>
      </c>
      <c r="AL65" s="123">
        <f>AI65-AJ65</f>
        <v>-2</v>
      </c>
      <c r="AM65" s="123">
        <f>AL65-AL66</f>
        <v>1</v>
      </c>
      <c r="AN65" s="123">
        <f>AF65*3+AG65</f>
        <v>2</v>
      </c>
      <c r="AO65" s="123">
        <f>AN65/AN66*10+BA65</f>
        <v>2</v>
      </c>
      <c r="AP65" s="123">
        <f>AO65*10000000+BI65*100+AM65/AM66*10+AI65/AI66*1++IF(AQ65=0,ROW(),AQ65)/2000000</f>
        <v>20000001.286410011</v>
      </c>
      <c r="AQ65" s="126">
        <f>VLOOKUP(AE65,db_fifarank,2,FALSE)</f>
        <v>1391.45</v>
      </c>
      <c r="AR65" s="125">
        <f>AP65/AP66</f>
        <v>0.22222220970559356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Algeria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1 - 4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7</v>
      </c>
      <c r="AL66" s="123">
        <f>MIN(AL62:AL65)</f>
        <v>-3</v>
      </c>
      <c r="AM66" s="123">
        <f>MAX(AM62:AM65)+1</f>
        <v>10</v>
      </c>
      <c r="AN66" s="123">
        <f>MAX(AN62:AN65)+1</f>
        <v>10</v>
      </c>
      <c r="AO66" s="123">
        <f>MAX(AO62:AO65)+1</f>
        <v>10</v>
      </c>
      <c r="AP66" s="123">
        <f>MAX(AP62:AP65)+1</f>
        <v>90000010.858080268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4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New Zealand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1</v>
      </c>
      <c r="AL68" s="123">
        <f>AI68-AJ68</f>
        <v>8</v>
      </c>
      <c r="AM68" s="123">
        <f>AL68-AL72</f>
        <v>13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90000010.1865962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6</v>
      </c>
      <c r="AL69" s="123">
        <f>AI69-AJ69</f>
        <v>-4</v>
      </c>
      <c r="AM69" s="123">
        <f>AL69-AL72</f>
        <v>1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19805924.215995762</v>
      </c>
      <c r="AQ69" s="126">
        <f>VLOOKUP(AE69,db_fifarank,2,FALSE)</f>
        <v>1478.35</v>
      </c>
      <c r="AR69" s="125">
        <f>AP69/AP72</f>
        <v>0.2200657972689839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5 - 4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19805923.401703548</v>
      </c>
      <c r="AQ70" s="126">
        <f>VLOOKUP(AE70,db_fifarank,2,FALSE)</f>
        <v>1465.34</v>
      </c>
      <c r="AR70" s="125">
        <f>AP70/AP72</f>
        <v>0.22006578822129375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2 - 6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4</v>
      </c>
      <c r="AL71" s="123">
        <f>AI71-AJ71</f>
        <v>1</v>
      </c>
      <c r="AM71" s="123">
        <f>AL71-AL72</f>
        <v>6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60000004.786560826</v>
      </c>
      <c r="AQ71" s="126">
        <f>VLOOKUP(AE71,db_fifarank,2,FALSE)</f>
        <v>1693.09</v>
      </c>
      <c r="AR71" s="125">
        <f>AP71/AP72</f>
        <v>0.66666663698700401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Ivory Coast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10</v>
      </c>
      <c r="AL72" s="123">
        <f>MIN(AL68:AL71)</f>
        <v>-5</v>
      </c>
      <c r="AM72" s="123">
        <f>MAX(AM68:AM71)+1</f>
        <v>14</v>
      </c>
      <c r="AN72" s="123">
        <f>MAX(AN68:AN71)+1</f>
        <v>10</v>
      </c>
      <c r="AO72" s="123">
        <f>MAX(AO68:AO71)+1</f>
        <v>10</v>
      </c>
      <c r="AP72" s="123">
        <f>MAX(AP68:AP71)+1</f>
        <v>90000011.1865962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3</v>
      </c>
      <c r="AL74" s="123">
        <f>AI74-AJ74</f>
        <v>5</v>
      </c>
      <c r="AM74" s="123">
        <f>AL74-AL78</f>
        <v>9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90000009.889801875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8 - 3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3</v>
      </c>
      <c r="AL75" s="123">
        <f>AI75-AJ75</f>
        <v>2</v>
      </c>
      <c r="AM75" s="123">
        <f>AL75-AL78</f>
        <v>6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60000006.55641409</v>
      </c>
      <c r="AQ75" s="126">
        <f>VLOOKUP(AE75,db_fifarank,2,FALSE)</f>
        <v>1717.07</v>
      </c>
      <c r="AR75" s="125">
        <f>AP75/AP78</f>
        <v>0.66666665885051402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5</v>
      </c>
      <c r="AL76" s="123">
        <f>AI76-AJ76</f>
        <v>-3</v>
      </c>
      <c r="AM76" s="123">
        <f>AL76-AL78</f>
        <v>1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30000001.22289538</v>
      </c>
      <c r="AQ76" s="126">
        <f>VLOOKUP(AE76,db_fifarank,2,FALSE)</f>
        <v>1346.31</v>
      </c>
      <c r="AR76" s="125">
        <f>AP76/AP78</f>
        <v>0.3333333065884635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6</v>
      </c>
      <c r="AL77" s="123">
        <f>AI77-AJ77</f>
        <v>-4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0.2229925422222222</v>
      </c>
      <c r="AQ77" s="126">
        <f>VLOOKUP(AE77,db_fifarank,2,FALSE)</f>
        <v>1540.64</v>
      </c>
      <c r="AR77" s="125">
        <f>AP77/AP78</f>
        <v>2.4776946137846528E-9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2 - 6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9</v>
      </c>
      <c r="AL78" s="123">
        <f>MIN(AL74:AL77)</f>
        <v>-4</v>
      </c>
      <c r="AM78" s="123">
        <f>MAX(AM74:AM77)+1</f>
        <v>10</v>
      </c>
      <c r="AN78" s="123">
        <f>MAX(AN74:AN77)+1</f>
        <v>10</v>
      </c>
      <c r="AO78" s="123">
        <f>MAX(AO74:AO77)+1</f>
        <v>10</v>
      </c>
      <c r="AP78" s="123">
        <f>MAX(AP74:AP77)+1</f>
        <v>90000010.889801875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3</v>
      </c>
      <c r="AK80" s="123" t="s">
        <v>3180</v>
      </c>
      <c r="AL80" s="123">
        <f>VLOOKUP($AE80,$AE$8:$AQ$78,8,FALSE)</f>
        <v>1</v>
      </c>
      <c r="AM80" s="123">
        <f>AL80-$AL$92</f>
        <v>5</v>
      </c>
      <c r="AN80" s="123">
        <f>VLOOKUP($AE80,$AE$8:$AQ$78,10,FALSE)</f>
        <v>4</v>
      </c>
      <c r="AP80" s="123">
        <f>AN80/AN92*10000+AM80/AM92*1000+AI80/AI92*100+IF(AQ80=0,ROW(),AQ80)/2000000</f>
        <v>7566.6674609966658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Ⓕ Sweden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5 - 4</v>
      </c>
      <c r="P81" s="98">
        <f>L81*3+M81</f>
        <v>5</v>
      </c>
      <c r="AD81" s="123">
        <f t="shared" ref="AD81:AD91" si="38">COUNTIF($AP$80:$AP$91,CONCATENATE("&gt;=",AP81))</f>
        <v>8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2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5350.00072748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Korea Republic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4 - 3</v>
      </c>
      <c r="P82" s="101">
        <f t="shared" ref="P82:P92" si="48">L82*3+M82</f>
        <v>4</v>
      </c>
      <c r="AD82" s="123">
        <f t="shared" si="38"/>
        <v>10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7</v>
      </c>
      <c r="AK82" s="123" t="s">
        <v>3182</v>
      </c>
      <c r="AL82" s="123">
        <f t="shared" si="43"/>
        <v>-4</v>
      </c>
      <c r="AM82" s="123">
        <f t="shared" si="44"/>
        <v>0</v>
      </c>
      <c r="AN82" s="123">
        <f t="shared" si="45"/>
        <v>3</v>
      </c>
      <c r="AP82" s="123">
        <f>AN82/AN92*10000+AM82/AM92*1000+AI82/AI92*100+IF(AQ82=0,ROW(),AQ82)/2000000</f>
        <v>5050.0007491750002</v>
      </c>
      <c r="AQ82" s="126">
        <f t="shared" si="37"/>
        <v>1498.35</v>
      </c>
      <c r="AR82" s="125" t="str">
        <f t="shared" ref="AR82:AR91" si="50">AR81&amp;IF(AD82&lt;=8,RIGHT(AK82,1),"")</f>
        <v>AB</v>
      </c>
      <c r="AS82" s="129" t="str">
        <f t="shared" si="46"/>
        <v/>
      </c>
      <c r="AT82" s="130" t="str">
        <f>"Ⓒ "&amp;AE82</f>
        <v>Ⓒ Scotland</v>
      </c>
    </row>
    <row r="83" spans="1:46" ht="15" customHeight="1" x14ac:dyDescent="0.2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Ⓓ United States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5 - 5</v>
      </c>
      <c r="P83" s="101">
        <f t="shared" si="48"/>
        <v>4</v>
      </c>
      <c r="AD83" s="123">
        <f t="shared" si="38"/>
        <v>3</v>
      </c>
      <c r="AE83" s="124" t="str">
        <f>J29</f>
        <v>United States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5</v>
      </c>
      <c r="AJ83" s="123">
        <f t="shared" si="42"/>
        <v>5</v>
      </c>
      <c r="AK83" s="123" t="s">
        <v>3184</v>
      </c>
      <c r="AL83" s="123">
        <f t="shared" si="43"/>
        <v>0</v>
      </c>
      <c r="AM83" s="123">
        <f t="shared" si="44"/>
        <v>4</v>
      </c>
      <c r="AN83" s="123">
        <f t="shared" si="45"/>
        <v>4</v>
      </c>
      <c r="AP83" s="123">
        <f>AN83/AN92*10000+AM83/AM92*1000+AI83/AI92*100+IF(AQ83=0,ROW(),AQ83)/2000000</f>
        <v>7416.6675032316662</v>
      </c>
      <c r="AQ83" s="126">
        <f t="shared" si="37"/>
        <v>1673.13</v>
      </c>
      <c r="AR83" s="125" t="str">
        <f t="shared" si="50"/>
        <v>ABD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2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Ⓘ Senegal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3 - 5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7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1</v>
      </c>
      <c r="AJ84" s="123">
        <f t="shared" si="42"/>
        <v>3</v>
      </c>
      <c r="AK84" s="123" t="s">
        <v>3185</v>
      </c>
      <c r="AL84" s="123">
        <f t="shared" si="43"/>
        <v>-2</v>
      </c>
      <c r="AM84" s="123">
        <f t="shared" si="44"/>
        <v>2</v>
      </c>
      <c r="AN84" s="123">
        <f t="shared" si="45"/>
        <v>3</v>
      </c>
      <c r="AP84" s="123">
        <f>AN84/AN92*10000+AM84/AM92*1000+AI84/AI92*100+IF(AQ84=0,ROW(),AQ84)/2000000</f>
        <v>5350.0007664900004</v>
      </c>
      <c r="AQ84" s="126">
        <f t="shared" si="37"/>
        <v>1532.98</v>
      </c>
      <c r="AR84" s="125" t="str">
        <f t="shared" si="50"/>
        <v>ABDE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Ⓖ New Zealand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1 - 2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</v>
      </c>
      <c r="AE85" s="124" t="str">
        <f>J41</f>
        <v>Sweden</v>
      </c>
      <c r="AF85" s="123">
        <f t="shared" si="39"/>
        <v>1</v>
      </c>
      <c r="AG85" s="123">
        <f t="shared" si="49"/>
        <v>2</v>
      </c>
      <c r="AH85" s="123">
        <f t="shared" si="40"/>
        <v>0</v>
      </c>
      <c r="AI85" s="123">
        <f t="shared" si="41"/>
        <v>5</v>
      </c>
      <c r="AJ85" s="123">
        <f t="shared" si="42"/>
        <v>4</v>
      </c>
      <c r="AK85" s="123" t="s">
        <v>3186</v>
      </c>
      <c r="AL85" s="123">
        <f t="shared" si="43"/>
        <v>1</v>
      </c>
      <c r="AM85" s="123">
        <f t="shared" si="44"/>
        <v>5</v>
      </c>
      <c r="AN85" s="123">
        <f t="shared" si="45"/>
        <v>5</v>
      </c>
      <c r="AP85" s="123">
        <f>AN85/AN92*10000+AM85/AM92*1000+AI85/AI92*100+IF(AQ85=0,ROW(),AQ85)/2000000</f>
        <v>9250.0007573850016</v>
      </c>
      <c r="AQ85" s="126">
        <f t="shared" si="37"/>
        <v>1514.77</v>
      </c>
      <c r="AR85" s="125" t="str">
        <f t="shared" si="50"/>
        <v>ABDEF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Ⓗ Saudi Arabia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5</v>
      </c>
      <c r="AE86" s="124" t="str">
        <f>J47</f>
        <v>New Zealand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1</v>
      </c>
      <c r="AJ86" s="123">
        <f t="shared" si="42"/>
        <v>2</v>
      </c>
      <c r="AK86" s="123" t="s">
        <v>3187</v>
      </c>
      <c r="AL86" s="123">
        <f t="shared" si="43"/>
        <v>-1</v>
      </c>
      <c r="AM86" s="123">
        <f t="shared" si="44"/>
        <v>3</v>
      </c>
      <c r="AN86" s="123">
        <f t="shared" si="45"/>
        <v>3</v>
      </c>
      <c r="AP86" s="123">
        <f>AN86/AN92*10000+AM86/AM92*1000+AI86/AI92*100+IF(AQ86=0,ROW(),AQ86)/2000000</f>
        <v>5516.6673074516666</v>
      </c>
      <c r="AQ86" s="126">
        <f t="shared" si="37"/>
        <v>1281.57</v>
      </c>
      <c r="AR86" s="125" t="str">
        <f t="shared" si="50"/>
        <v>ABDEFG</v>
      </c>
      <c r="AS86" s="129" t="str">
        <f t="shared" si="46"/>
        <v>New Zealand</v>
      </c>
      <c r="AT86" s="130" t="str">
        <f>"Ⓖ "&amp;AE86</f>
        <v>Ⓖ New Zealand</v>
      </c>
    </row>
    <row r="87" spans="1:46" ht="15" customHeight="1" x14ac:dyDescent="0.2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Ⓔ Ivory Coast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1 - 3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6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4</v>
      </c>
      <c r="AK87" s="123" t="s">
        <v>3188</v>
      </c>
      <c r="AL87" s="123">
        <f t="shared" si="43"/>
        <v>-2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5366.6673773816665</v>
      </c>
      <c r="AQ87" s="126">
        <f t="shared" si="37"/>
        <v>1421.43</v>
      </c>
      <c r="AR87" s="125" t="str">
        <f t="shared" si="50"/>
        <v>ABDEFGH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Ⓑ Qatar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1 - 3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4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3</v>
      </c>
      <c r="AJ88" s="123">
        <f t="shared" si="42"/>
        <v>5</v>
      </c>
      <c r="AK88" s="123" t="s">
        <v>3189</v>
      </c>
      <c r="AL88" s="123">
        <f t="shared" si="43"/>
        <v>-2</v>
      </c>
      <c r="AM88" s="123">
        <f t="shared" si="44"/>
        <v>2</v>
      </c>
      <c r="AN88" s="123">
        <f t="shared" si="45"/>
        <v>4</v>
      </c>
      <c r="AP88" s="123">
        <f>AN88/AN92*10000+AM88/AM92*1000+AI88/AI92*100+IF(AQ88=0,ROW(),AQ88)/2000000</f>
        <v>7050.000844494999</v>
      </c>
      <c r="AQ88" s="126">
        <f t="shared" si="37"/>
        <v>1688.99</v>
      </c>
      <c r="AR88" s="125" t="str">
        <f t="shared" si="50"/>
        <v>ABDEFGHI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Ghana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11</v>
      </c>
      <c r="AE89" s="124" t="str">
        <f>J65</f>
        <v>Jordan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2</v>
      </c>
      <c r="AN89" s="123">
        <f t="shared" si="45"/>
        <v>2</v>
      </c>
      <c r="AP89" s="123">
        <f>AN89/AN92*10000+AM89/AM92*1000+AI89/AI92*100+IF(AQ89=0,ROW(),AQ89)/2000000</f>
        <v>3700.0006957249998</v>
      </c>
      <c r="AQ89" s="126">
        <f t="shared" si="37"/>
        <v>1391.45</v>
      </c>
      <c r="AR89" s="125" t="str">
        <f t="shared" si="50"/>
        <v>ABDEFGHI</v>
      </c>
      <c r="AS89" s="129" t="str">
        <f t="shared" si="46"/>
        <v/>
      </c>
      <c r="AT89" s="130" t="str">
        <f>"Ⓙ "&amp;AE89</f>
        <v>Ⓙ Jordan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Ⓒ Scotland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3 - 7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6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1700.0007391749998</v>
      </c>
      <c r="AQ90" s="126">
        <f t="shared" si="37"/>
        <v>1478.35</v>
      </c>
      <c r="AR90" s="125" t="str">
        <f t="shared" si="50"/>
        <v>ABDEFGHI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Ⓙ Jordan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2 - 4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9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5</v>
      </c>
      <c r="AK91" s="123" t="s">
        <v>3192</v>
      </c>
      <c r="AL91" s="123">
        <f>VLOOKUP($AE91,$AE$8:$AQ$78,8,FALSE)</f>
        <v>-3</v>
      </c>
      <c r="AM91" s="123">
        <f t="shared" si="44"/>
        <v>1</v>
      </c>
      <c r="AN91" s="123">
        <f>VLOOKUP($AE91,$AE$8:$AQ$78,10,FALSE)</f>
        <v>3</v>
      </c>
      <c r="AP91" s="123">
        <f>AN91/AN92*10000+AM91/AM92*1000+AI91/AI92*100+IF(AQ91=0,ROW(),AQ91)/2000000</f>
        <v>5200.0006731550002</v>
      </c>
      <c r="AQ91" s="126">
        <f t="shared" si="37"/>
        <v>1346.31</v>
      </c>
      <c r="AR91" s="125" t="str">
        <f t="shared" si="50"/>
        <v>ABDEFGHI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8</v>
      </c>
      <c r="AL92" s="123">
        <f>MIN(AL80:AL91)</f>
        <v>-4</v>
      </c>
      <c r="AM92" s="123">
        <f>MAX(AM80:AM91)+1</f>
        <v>6</v>
      </c>
      <c r="AN92" s="123">
        <f>MAX(AN80:AN91)+1</f>
        <v>6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51">
      <formula>IF(AND(AA7=1,AB7=0),1,0)</formula>
    </cfRule>
    <cfRule type="expression" dxfId="226" priority="350">
      <formula>IF(AND(AA7=0,AB7=0),1,0)</formula>
    </cfRule>
    <cfRule type="expression" dxfId="225" priority="349">
      <formula>IF(AND(AA7=1,AB7=1),1,0)</formula>
    </cfRule>
    <cfRule type="expression" dxfId="224" priority="348">
      <formula>IF(AND(AA7=0,AB7=1),1,0)</formula>
    </cfRule>
    <cfRule type="expression" dxfId="223" priority="347">
      <formula>IF(AND(AA7=1,AB7=-1),1,0)</formula>
    </cfRule>
    <cfRule type="expression" dxfId="222" priority="346">
      <formula>IF(AND(AA7=0,AB7=-1),1,0)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5">
      <formula>IF(AND(AA7=1,AB7=0),1,0)</formula>
    </cfRule>
    <cfRule type="expression" dxfId="217" priority="344">
      <formula>IF(AND(AA7=0,AB7=0),1,0)</formula>
    </cfRule>
    <cfRule type="expression" dxfId="216" priority="343">
      <formula>IF(AND(AA7=1,AB7=1),1,0)</formula>
    </cfRule>
    <cfRule type="expression" dxfId="215" priority="342">
      <formula>IF(AND(AA7=0,AB7=1),1,0)</formula>
    </cfRule>
    <cfRule type="expression" dxfId="214" priority="341">
      <formula>IF(AND(AA7=1,AB7=-1),1,0)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1">
      <formula>IF(BP14&lt;BP15,1,0)</formula>
    </cfRule>
    <cfRule type="expression" dxfId="185" priority="183">
      <formula>IF(BP14&gt;BP15,1,0)</formula>
    </cfRule>
  </conditionalFormatting>
  <conditionalFormatting sqref="BL18">
    <cfRule type="expression" dxfId="184" priority="178">
      <formula>IF(BP18&gt;BP19,1,0)</formula>
    </cfRule>
    <cfRule type="expression" dxfId="183" priority="176">
      <formula>IF(BP18&lt;BP19,1,0)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2">
      <formula>IF(BP22&gt;BP23,1,0)</formula>
    </cfRule>
    <cfRule type="expression" dxfId="179" priority="170">
      <formula>IF(BP22&lt;BP23,1,0)</formula>
    </cfRule>
  </conditionalFormatting>
  <conditionalFormatting sqref="BL23">
    <cfRule type="expression" dxfId="178" priority="171">
      <formula>IF(BP22&gt;BP23,1,0)</formula>
    </cfRule>
    <cfRule type="expression" dxfId="177" priority="169">
      <formula>IF(BP22&lt;BP23,1,0)</formula>
    </cfRule>
  </conditionalFormatting>
  <conditionalFormatting sqref="BL26">
    <cfRule type="expression" dxfId="176" priority="166">
      <formula>IF(BP26&gt;BP27,1,0)</formula>
    </cfRule>
    <cfRule type="expression" dxfId="175" priority="164">
      <formula>IF(BP26&lt;BP27,1,0)</formula>
    </cfRule>
  </conditionalFormatting>
  <conditionalFormatting sqref="BL27">
    <cfRule type="expression" dxfId="174" priority="165">
      <formula>IF(BP26&gt;BP27,1,0)</formula>
    </cfRule>
    <cfRule type="expression" dxfId="173" priority="163">
      <formula>IF(BP26&lt;BP27,1,0)</formula>
    </cfRule>
  </conditionalFormatting>
  <conditionalFormatting sqref="BL30">
    <cfRule type="expression" dxfId="172" priority="160">
      <formula>IF(BP30&gt;BP31,1,0)</formula>
    </cfRule>
    <cfRule type="expression" dxfId="171" priority="158">
      <formula>IF(BP30&lt;BP31,1,0)</formula>
    </cfRule>
  </conditionalFormatting>
  <conditionalFormatting sqref="BL31">
    <cfRule type="expression" dxfId="170" priority="159">
      <formula>IF(BP30&gt;BP31,1,0)</formula>
    </cfRule>
    <cfRule type="expression" dxfId="169" priority="157">
      <formula>IF(BP30&lt;BP31,1,0)</formula>
    </cfRule>
  </conditionalFormatting>
  <conditionalFormatting sqref="BL34">
    <cfRule type="expression" dxfId="168" priority="154">
      <formula>IF(BP34&gt;BP35,1,0)</formula>
    </cfRule>
    <cfRule type="expression" dxfId="167" priority="152">
      <formula>IF(BP34&lt;BP35,1,0)</formula>
    </cfRule>
  </conditionalFormatting>
  <conditionalFormatting sqref="BL35">
    <cfRule type="expression" dxfId="166" priority="153">
      <formula>IF(BP34&gt;BP35,1,0)</formula>
    </cfRule>
    <cfRule type="expression" dxfId="165" priority="151">
      <formula>IF(BP34&lt;BP35,1,0)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5">
      <formula>IF(BP46&gt;BP47,1,0)</formula>
    </cfRule>
    <cfRule type="expression" dxfId="153" priority="133">
      <formula>IF(BP46&lt;BP47,1,0)</formula>
    </cfRule>
  </conditionalFormatting>
  <conditionalFormatting sqref="BL50">
    <cfRule type="expression" dxfId="152" priority="130">
      <formula>IF(BP50&gt;BP51,1,0)</formula>
    </cfRule>
    <cfRule type="expression" dxfId="151" priority="128">
      <formula>IF(BP50&lt;BP51,1,0)</formula>
    </cfRule>
  </conditionalFormatting>
  <conditionalFormatting sqref="BL51">
    <cfRule type="expression" dxfId="150" priority="129">
      <formula>IF(BP50&gt;BP51,1,0)</formula>
    </cfRule>
    <cfRule type="expression" dxfId="149" priority="127">
      <formula>IF(BP50&lt;BP51,1,0)</formula>
    </cfRule>
  </conditionalFormatting>
  <conditionalFormatting sqref="BL54">
    <cfRule type="expression" dxfId="148" priority="124">
      <formula>IF(BP54&gt;BP55,1,0)</formula>
    </cfRule>
    <cfRule type="expression" dxfId="147" priority="122">
      <formula>IF(BP54&lt;BP55,1,0)</formula>
    </cfRule>
  </conditionalFormatting>
  <conditionalFormatting sqref="BL55">
    <cfRule type="expression" dxfId="146" priority="123">
      <formula>IF(BP54&gt;BP55,1,0)</formula>
    </cfRule>
    <cfRule type="expression" dxfId="145" priority="121">
      <formula>IF(BP54&lt;BP55,1,0)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2">
      <formula>IF(BP62&gt;BP63,1,0)</formula>
    </cfRule>
    <cfRule type="expression" dxfId="139" priority="110">
      <formula>IF(BP62&lt;BP63,1,0)</formula>
    </cfRule>
  </conditionalFormatting>
  <conditionalFormatting sqref="BL63">
    <cfRule type="expression" dxfId="138" priority="111">
      <formula>IF(BP62&gt;BP63,1,0)</formula>
    </cfRule>
    <cfRule type="expression" dxfId="137" priority="109">
      <formula>IF(BP62&lt;BP63,1,0)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3">
      <formula>IF(BP66&lt;BP67,1,0)</formula>
    </cfRule>
    <cfRule type="expression" dxfId="133" priority="105">
      <formula>IF(BP66&gt;BP67,1,0)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0">
      <formula>IF(BW12&lt;BW13,1,0)</formula>
    </cfRule>
    <cfRule type="expression" dxfId="95" priority="52">
      <formula>IF(BW12&gt;BW13,1,0)</formula>
    </cfRule>
  </conditionalFormatting>
  <conditionalFormatting sqref="BS13">
    <cfRule type="expression" dxfId="94" priority="49">
      <formula>IF(BW12&lt;BW13,1,0)</formula>
    </cfRule>
    <cfRule type="expression" dxfId="93" priority="51">
      <formula>IF(BW12&gt;BW13,1,0)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4">
      <formula>IF(BW28&gt;BW29,1,0)</formula>
    </cfRule>
    <cfRule type="expression" dxfId="87" priority="62">
      <formula>IF(BW28&lt;BW29,1,0)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9">
      <formula>IF(BW36&gt;BW37,1,0)</formula>
    </cfRule>
    <cfRule type="expression" dxfId="81" priority="67">
      <formula>IF(BW36&lt;BW37,1,0)</formula>
    </cfRule>
  </conditionalFormatting>
  <conditionalFormatting sqref="BS44">
    <cfRule type="expression" dxfId="80" priority="76">
      <formula>IF(BW44&gt;BW45,1,0)</formula>
    </cfRule>
    <cfRule type="expression" dxfId="79" priority="74">
      <formula>IF(BW44&lt;BW45,1,0)</formula>
    </cfRule>
  </conditionalFormatting>
  <conditionalFormatting sqref="BS45">
    <cfRule type="expression" dxfId="78" priority="73">
      <formula>IF(BW44&lt;BW45,1,0)</formula>
    </cfRule>
    <cfRule type="expression" dxfId="77" priority="75">
      <formula>IF(BW44&gt;BW45,1,0)</formula>
    </cfRule>
  </conditionalFormatting>
  <conditionalFormatting sqref="BS52">
    <cfRule type="expression" dxfId="76" priority="82">
      <formula>IF(BW52&gt;BW53,1,0)</formula>
    </cfRule>
    <cfRule type="expression" dxfId="75" priority="80">
      <formula>IF(BW52&lt;BW53,1,0)</formula>
    </cfRule>
  </conditionalFormatting>
  <conditionalFormatting sqref="BS53">
    <cfRule type="expression" dxfId="74" priority="81">
      <formula>IF(BW52&gt;BW53,1,0)</formula>
    </cfRule>
    <cfRule type="expression" dxfId="73" priority="79">
      <formula>IF(BW52&lt;BW53,1,0)</formula>
    </cfRule>
  </conditionalFormatting>
  <conditionalFormatting sqref="BS60">
    <cfRule type="expression" dxfId="72" priority="88">
      <formula>IF(BW60&gt;BW61,1,0)</formula>
    </cfRule>
    <cfRule type="expression" dxfId="71" priority="86">
      <formula>IF(BW60&lt;BW61,1,0)</formula>
    </cfRule>
  </conditionalFormatting>
  <conditionalFormatting sqref="BS61">
    <cfRule type="expression" dxfId="70" priority="85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2">
      <formula>IF(BW68&lt;BW69,1,0)</formula>
    </cfRule>
    <cfRule type="expression" dxfId="67" priority="94">
      <formula>IF(BW68&gt;BW69,1,0)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40">
      <formula>IF(CD32&gt;CD33,1,0)</formula>
    </cfRule>
    <cfRule type="expression" dxfId="43" priority="38">
      <formula>IF(CD32&lt;CD33,1,0)</formula>
    </cfRule>
  </conditionalFormatting>
  <conditionalFormatting sqref="BZ33">
    <cfRule type="expression" dxfId="42" priority="39">
      <formula>IF(CD32&gt;CD33,1,0)</formula>
    </cfRule>
    <cfRule type="expression" dxfId="41" priority="37">
      <formula>IF(CD32&lt;CD33,1,0)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1">
      <formula>IF(CD48&lt;CD49,1,0)</formula>
    </cfRule>
    <cfRule type="expression" dxfId="37" priority="33">
      <formula>IF(CD48&gt;CD49,1,0)</formula>
    </cfRule>
  </conditionalFormatting>
  <conditionalFormatting sqref="BZ64">
    <cfRule type="expression" dxfId="36" priority="26">
      <formula>IF(CD64&lt;CD65,1,0)</formula>
    </cfRule>
    <cfRule type="expression" dxfId="35" priority="28">
      <formula>IF(CD64&gt;CD65,1,0)</formula>
    </cfRule>
  </conditionalFormatting>
  <conditionalFormatting sqref="BZ65">
    <cfRule type="expression" dxfId="34" priority="27">
      <formula>IF(CD64&gt;CD65,1,0)</formula>
    </cfRule>
    <cfRule type="expression" dxfId="33" priority="25">
      <formula>IF(CD64&lt;CD65,1,0)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3">
      <formula>IF(CK23&lt;CK24,1,0)</formula>
    </cfRule>
    <cfRule type="expression" dxfId="21" priority="15">
      <formula>IF(CK23&gt;CK24,1,0)</formula>
    </cfRule>
  </conditionalFormatting>
  <conditionalFormatting sqref="CG55">
    <cfRule type="expression" dxfId="20" priority="22">
      <formula>IF(CK55&gt;CK56,1,0)</formula>
    </cfRule>
    <cfRule type="expression" dxfId="19" priority="20">
      <formula>IF(CK55&lt;CK56,1,0)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640625" defaultRowHeight="15" x14ac:dyDescent="0.2"/>
  <cols>
    <col min="1" max="1" width="2.5" style="82" customWidth="1"/>
    <col min="2" max="2" width="9.1640625" style="81"/>
    <col min="3" max="3" width="13.6640625" style="81" customWidth="1"/>
    <col min="4" max="11" width="9.5" style="81" customWidth="1"/>
    <col min="12" max="16384" width="9.16406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369</v>
      </c>
      <c r="C3" s="121" t="str">
        <f>'2026 World Cup'!AR91</f>
        <v>ABDEFGHI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Ivan Mateos (TES)</cp:lastModifiedBy>
  <cp:revision/>
  <dcterms:created xsi:type="dcterms:W3CDTF">2017-12-27T19:32:51Z</dcterms:created>
  <dcterms:modified xsi:type="dcterms:W3CDTF">2026-06-09T20:59:13Z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