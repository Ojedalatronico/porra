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jpeg" ContentType="image/jpeg"/>
  <Override PartName="/xl/media/image28.jpeg" ContentType="image/jpeg"/>
  <Override PartName="/xl/media/image18.png" ContentType="image/png"/>
  <Override PartName="/xl/media/image27.jpeg" ContentType="image/jpeg"/>
  <Override PartName="/xl/media/image25.jpeg" ContentType="image/jpeg"/>
  <Override PartName="/xl/media/image24.jpeg" ContentType="image/jpeg"/>
  <Override PartName="/xl/media/image21.jpeg" ContentType="image/jpeg"/>
  <Override PartName="/xl/media/image20.jpeg" ContentType="image/jpeg"/>
  <Override PartName="/xl/media/image17.png" ContentType="image/png"/>
  <Override PartName="/xl/media/image23.jpeg" ContentType="image/jpeg"/>
  <Override PartName="/xl/media/image10.png" ContentType="image/png"/>
  <Override PartName="/xl/media/image19.png" ContentType="image/png"/>
  <Override PartName="/xl/media/image41.jpeg" ContentType="image/jpeg"/>
  <Override PartName="/xl/media/image26.jpeg" ContentType="image/jpeg"/>
  <Override PartName="/xl/media/image14.png" ContentType="image/png"/>
  <Override PartName="/xl/media/image5.png" ContentType="image/png"/>
  <Override PartName="/xl/media/image22.jpeg" ContentType="image/jpeg"/>
  <Override PartName="/xl/media/image15.png" ContentType="image/png"/>
  <Override PartName="/xl/media/image36.jpeg" ContentType="image/jpeg"/>
  <Override PartName="/xl/media/image6.png" ContentType="image/png"/>
  <Override PartName="/xl/media/image32.jpeg" ContentType="image/jpeg"/>
  <Override PartName="/xl/media/image8.png" ContentType="image/png"/>
  <Override PartName="/xl/media/image39.jpeg" ContentType="image/jpeg"/>
  <Override PartName="/xl/media/image40.jpeg" ContentType="image/jpeg"/>
  <Override PartName="/xl/media/image42.jpeg" ContentType="image/jpeg"/>
  <Override PartName="/xl/media/image33.jpeg" ContentType="image/jpeg"/>
  <Override PartName="/xl/media/image45.jpeg" ContentType="image/jpeg"/>
  <Override PartName="/xl/media/image9.png" ContentType="image/png"/>
  <Override PartName="/xl/media/image34.jpeg" ContentType="image/jpeg"/>
  <Override PartName="/xl/media/image46.jpeg" ContentType="image/jpeg"/>
  <Override PartName="/xl/media/image35.jpeg" ContentType="image/jpeg"/>
  <Override PartName="/xl/media/image38.jpeg" ContentType="image/jpeg"/>
  <Override PartName="/xl/media/image3.png" ContentType="image/png"/>
  <Override PartName="/xl/media/image47.jpeg" ContentType="image/jpeg"/>
  <Override PartName="/xl/media/image48.jpeg" ContentType="image/jpeg"/>
  <Override PartName="/xl/media/image13.png" ContentType="image/png"/>
  <Override PartName="/xl/media/image4.png" ContentType="image/png"/>
  <Override PartName="/xl/media/image37.jpeg" ContentType="image/jpeg"/>
  <Override PartName="/xl/media/image49.jpeg" ContentType="image/jpeg"/>
  <Override PartName="/xl/media/image31.jpeg" ContentType="image/jpeg"/>
  <Override PartName="/xl/media/image12.png" ContentType="image/png"/>
  <Override PartName="/xl/media/image44.jpeg" ContentType="image/jpeg"/>
  <Override PartName="/xl/media/image1.png" ContentType="image/png"/>
  <Override PartName="/xl/media/image11.png" ContentType="image/png"/>
  <Override PartName="/xl/media/image2.png" ContentType="image/png"/>
  <Override PartName="/xl/media/image30.jpeg" ContentType="image/jpeg"/>
  <Override PartName="/xl/media/image43.jpeg" ContentType="image/jpeg"/>
  <Override PartName="/xl/media/image7.png" ContentType="image/png"/>
  <Override PartName="/xl/media/image1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T" sheetId="1" state="hidden" r:id="rId3"/>
    <sheet name="Settings" sheetId="2" state="visible" r:id="rId4"/>
    <sheet name="2026 World Cup" sheetId="3" state="visible" r:id="rId5"/>
    <sheet name="3rd places" sheetId="4" state="visible" r:id="rId6"/>
  </sheets>
  <definedNames>
    <definedName function="false" hidden="false" name="db_fifarank" vbProcedure="false">Settings!$B$19:$C$66</definedName>
    <definedName function="false" hidden="false" name="gmt_delta" vbProcedure="false">Settings!$G$16</definedName>
    <definedName function="false" hidden="false" name="group_round_completed" vbProcedure="false">'2026 World Cup'!$AS$92</definedName>
    <definedName function="false" hidden="false" name="lang" vbProcedure="false">Settings!$G$15</definedName>
    <definedName function="false" hidden="false" name="lang_list" vbProcedure="false">T!$1:$1</definedName>
    <definedName function="false" hidden="false" name="my_team" vbProcedure="false">Settings!$I$15</definedName>
    <definedName function="false" hidden="false" name="T" vbProcedure="false">T!$1:$1048576</definedName>
    <definedName function="false" hidden="false" name="teams" vbProcedure="false">Settings!$I$17:$I$64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<sst xmlns="http://schemas.openxmlformats.org/spreadsheetml/2006/main" count="9785" uniqueCount="3699">
  <si>
    <t xml:space="preserve">English</t>
  </si>
  <si>
    <t xml:space="preserve">Albanian</t>
  </si>
  <si>
    <t xml:space="preserve">Arabic</t>
  </si>
  <si>
    <t xml:space="preserve">Armenian</t>
  </si>
  <si>
    <t xml:space="preserve">Azerbaijan</t>
  </si>
  <si>
    <t xml:space="preserve">Bulgarian</t>
  </si>
  <si>
    <t xml:space="preserve">Català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</si>
  <si>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</si>
  <si>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</si>
  <si>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</si>
  <si>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</si>
  <si>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</si>
  <si>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Dutch</t>
  </si>
  <si>
    <t xml:space="preserve">Faroese</t>
  </si>
  <si>
    <t xml:space="preserve">French</t>
  </si>
  <si>
    <t xml:space="preserve">Georgian</t>
  </si>
  <si>
    <t xml:space="preserve">German</t>
  </si>
  <si>
    <t xml:space="preserve">Greek</t>
  </si>
  <si>
    <t xml:space="preserve">Hebrew</t>
  </si>
  <si>
    <t xml:space="preserve">Hungarian</t>
  </si>
  <si>
    <t xml:space="preserve">Indonesia</t>
  </si>
  <si>
    <t xml:space="preserve">Icelandic</t>
  </si>
  <si>
    <t xml:space="preserve">Italian</t>
  </si>
  <si>
    <t xml:space="preserve">Korean</t>
  </si>
  <si>
    <t xml:space="preserve">Lithuanian</t>
  </si>
  <si>
    <t xml:space="preserve">Macedonian</t>
  </si>
  <si>
    <t xml:space="preserve">Maltese</t>
  </si>
  <si>
    <t xml:space="preserve">Norwegian</t>
  </si>
  <si>
    <t xml:space="preserve">Persian</t>
  </si>
  <si>
    <t xml:space="preserve">Polish</t>
  </si>
  <si>
    <t xml:space="preserve">Portuguese</t>
  </si>
  <si>
    <t xml:space="preserve">Romanian</t>
  </si>
  <si>
    <t xml:space="preserve">Serbian</t>
  </si>
  <si>
    <t xml:space="preserve">Slovak</t>
  </si>
  <si>
    <t xml:space="preserve">Slovenian</t>
  </si>
  <si>
    <t xml:space="preserve">Spanish</t>
  </si>
  <si>
    <t xml:space="preserve">Swedish</t>
  </si>
  <si>
    <t xml:space="preserve">Thai</t>
  </si>
  <si>
    <t xml:space="preserve">Turkish</t>
  </si>
  <si>
    <t xml:space="preserve">Vietnamese</t>
  </si>
  <si>
    <t xml:space="preserve">Ukrainian</t>
  </si>
  <si>
    <t xml:space="preserve">Urdu</t>
  </si>
  <si>
    <t xml:space="preserve">2026 World Cup Final Tournament Schedule</t>
  </si>
  <si>
    <t xml:space="preserve">Kupa Botërore 2026</t>
  </si>
  <si>
    <t xml:space="preserve">جدول مباريات كأس العالم 2026</t>
  </si>
  <si>
    <t xml:space="preserve">Աշխարհի 2026թ. առաջնություն </t>
  </si>
  <si>
    <t xml:space="preserve">2026 - cu il Dünya Çempionatinin Final Mərhələsinin Cədvəli</t>
  </si>
  <si>
    <t xml:space="preserve">График на срещите - Световно първенство 2026</t>
  </si>
  <si>
    <t xml:space="preserve">Calendari de la Fase Final de la Copa del Món de futbol 2026</t>
  </si>
  <si>
    <t xml:space="preserve">巴西2026年世界杯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</si>
  <si>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世界盃賽程</t>
    </r>
  </si>
  <si>
    <t xml:space="preserve">Svjetsko prvenstvo 2026 raspored utakmica</t>
  </si>
  <si>
    <t xml:space="preserve">Mistrovství světa ve fotbale 2026</t>
  </si>
  <si>
    <t xml:space="preserve">2026 Verdensmesterskabs Oversigt</t>
  </si>
  <si>
    <t xml:space="preserve">Wereldkampioenschap 2026 Toernooischema</t>
  </si>
  <si>
    <t xml:space="preserve">2026 Heimsmeistarakappingaryvirlit</t>
  </si>
  <si>
    <t xml:space="preserve">Coupe du Monde de la FIFA 2026 - Calendrier des matchs</t>
  </si>
  <si>
    <t xml:space="preserve">მსოფლიო ჩემპიონატი ფეხბურთში - სამხრეთ აფრიკა 2026</t>
  </si>
  <si>
    <t xml:space="preserve">Spielplan Weltmeisterschafts endrunde 2026</t>
  </si>
  <si>
    <t xml:space="preserve">Πρόγραμμα Τελικών Παγκοσμίου Κυπέλλου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</si>
  <si>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FreeSans"/>
        <family val="2"/>
      </rPr>
      <t xml:space="preserve">גביע העולם טורניר הגמר תזמן</t>
    </r>
  </si>
  <si>
    <t xml:space="preserve">2026 Labdarúgó-világbajnokság döntő sorozata</t>
  </si>
  <si>
    <t xml:space="preserve">Jadwal Turnamen Final Piala Dunia 2026</t>
  </si>
  <si>
    <t xml:space="preserve">HM 2026 lokakeppnin</t>
  </si>
  <si>
    <t xml:space="preserve"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</si>
  <si>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월드컵 최종 토너먼트 일정</t>
    </r>
  </si>
  <si>
    <t xml:space="preserve">2026 Pasaulio Futbolo Čempionato Tvarkaraštis</t>
  </si>
  <si>
    <t xml:space="preserve">Светско првенство 2026 - Распоред на натпревари</t>
  </si>
  <si>
    <t xml:space="preserve">Skeda tat-Tazza tad-Dinja 2026</t>
  </si>
  <si>
    <t xml:space="preserve">Verdensmesterskapet i fotball 2026</t>
  </si>
  <si>
    <t xml:space="preserve">جدول مسابقات فینال جام جهانی 2026</t>
  </si>
  <si>
    <t xml:space="preserve">2026 Mistrzostwa Świata Terminarz Meczów</t>
  </si>
  <si>
    <t xml:space="preserve">Calendário Fase Final Mundial 2026</t>
  </si>
  <si>
    <t xml:space="preserve">Programul Turneului Final FIFA World Cup 2026</t>
  </si>
  <si>
    <t xml:space="preserve">Svetsko prvenstvo u fudbalu 2026 - Raspored utakmica</t>
  </si>
  <si>
    <t xml:space="preserve">Majstrovstvá sveta vo futbale 2026</t>
  </si>
  <si>
    <t xml:space="preserve">Svetovno prvenstvo 2026 razpored tekem</t>
  </si>
  <si>
    <t xml:space="preserve">Copa Mundial de Fútbol - Brasil 2026</t>
  </si>
  <si>
    <t xml:space="preserve">Schema för VM-slutspelet 2026</t>
  </si>
  <si>
    <t xml:space="preserve">ตารางการแข่งขันฟุตบอลโลก 2026</t>
  </si>
  <si>
    <t xml:space="preserve">2026 Dünya Kupası Finalleri Turnuva Fikstürü</t>
  </si>
  <si>
    <t xml:space="preserve">Lịch Thi Đấu Cúp Bóng Đá Thế Giới 2026</t>
  </si>
  <si>
    <t xml:space="preserve">Календар Чемпіонату Світу 2026</t>
  </si>
  <si>
    <t xml:space="preserve">۲۰۱۰ فٹبال عالمی کپ ٹورنمنٹ کا خاکہ</t>
  </si>
  <si>
    <t xml:space="preserve">Group Stage</t>
  </si>
  <si>
    <t xml:space="preserve">Grupet</t>
  </si>
  <si>
    <t xml:space="preserve">الدور الأول</t>
  </si>
  <si>
    <t xml:space="preserve">Խմբային փուլ</t>
  </si>
  <si>
    <t xml:space="preserve">Qrup Mərhələsi</t>
  </si>
  <si>
    <t xml:space="preserve">Групова фаза</t>
  </si>
  <si>
    <t xml:space="preserve">Fase de grups</t>
  </si>
  <si>
    <t xml:space="preserve">小组赛阶段</t>
  </si>
  <si>
    <t xml:space="preserve">分組賽</t>
  </si>
  <si>
    <t xml:space="preserve">Prvi krug</t>
  </si>
  <si>
    <t xml:space="preserve">Základní skupiny</t>
  </si>
  <si>
    <t xml:space="preserve">Gruppespil</t>
  </si>
  <si>
    <t xml:space="preserve">Groepsfase</t>
  </si>
  <si>
    <t xml:space="preserve">Bólkaspæl</t>
  </si>
  <si>
    <t xml:space="preserve">Phase de groupes</t>
  </si>
  <si>
    <t xml:space="preserve">ჯგუფური ეტაპი</t>
  </si>
  <si>
    <t xml:space="preserve">Gruppenphase</t>
  </si>
  <si>
    <t xml:space="preserve">Φάση Ομίλων</t>
  </si>
  <si>
    <t xml:space="preserve">שלב הבתים</t>
  </si>
  <si>
    <t xml:space="preserve">Csoportkörök</t>
  </si>
  <si>
    <t xml:space="preserve">Babak Kualifikasi</t>
  </si>
  <si>
    <t xml:space="preserve">Riðlakeppnin</t>
  </si>
  <si>
    <t xml:space="preserve">Fase a gironi</t>
  </si>
  <si>
    <t xml:space="preserve">조별 리그</t>
  </si>
  <si>
    <t xml:space="preserve">Grupės Etapas</t>
  </si>
  <si>
    <t xml:space="preserve">Фаза по групи</t>
  </si>
  <si>
    <t xml:space="preserve">Fażi tal-Gruppi</t>
  </si>
  <si>
    <t xml:space="preserve">Gruppespill</t>
  </si>
  <si>
    <t xml:space="preserve">مرحله گروهی</t>
  </si>
  <si>
    <t xml:space="preserve">Faza Grupowa</t>
  </si>
  <si>
    <t xml:space="preserve">Fase de grupos</t>
  </si>
  <si>
    <t xml:space="preserve">Faza Grupelor</t>
  </si>
  <si>
    <t xml:space="preserve">Grupno takmičenje</t>
  </si>
  <si>
    <t xml:space="preserve">Skupinová fáza</t>
  </si>
  <si>
    <t xml:space="preserve">Skupinski del</t>
  </si>
  <si>
    <t xml:space="preserve">Gruppspel</t>
  </si>
  <si>
    <t xml:space="preserve">รอบแรก</t>
  </si>
  <si>
    <t xml:space="preserve">Grup Aşaması</t>
  </si>
  <si>
    <t xml:space="preserve">Vòng Bảng</t>
  </si>
  <si>
    <t xml:space="preserve">Груповий етап</t>
  </si>
  <si>
    <t xml:space="preserve">گروپ بندی</t>
  </si>
  <si>
    <t xml:space="preserve">Round of 16</t>
  </si>
  <si>
    <t xml:space="preserve">Rundi I 16</t>
  </si>
  <si>
    <t xml:space="preserve">دور الستة عشر</t>
  </si>
  <si>
    <t xml:space="preserve">1/8 Եզրափակիչ</t>
  </si>
  <si>
    <t xml:space="preserve">16-da bir raund</t>
  </si>
  <si>
    <t xml:space="preserve">1/8 - финали</t>
  </si>
  <si>
    <t xml:space="preserve">Vuitens de final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</si>
  <si>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强赛</t>
    </r>
  </si>
  <si>
    <t xml:space="preserve">十六強</t>
  </si>
  <si>
    <t xml:space="preserve">Drugi krug</t>
  </si>
  <si>
    <t xml:space="preserve">Osmifinále</t>
  </si>
  <si>
    <t xml:space="preserve">Runde af 16</t>
  </si>
  <si>
    <t xml:space="preserve">Achtste finales</t>
  </si>
  <si>
    <t xml:space="preserve">Áttandapartsfinala</t>
  </si>
  <si>
    <t xml:space="preserve">Huitièmes de finale</t>
  </si>
  <si>
    <t xml:space="preserve">მერვედფინალი</t>
  </si>
  <si>
    <t xml:space="preserve">Achtelfinale</t>
  </si>
  <si>
    <t xml:space="preserve">Φάση των 16</t>
  </si>
  <si>
    <t xml:space="preserve">שמינית גמר</t>
  </si>
  <si>
    <t xml:space="preserve">Nyolcaddöntők</t>
  </si>
  <si>
    <t xml:space="preserve">Per Delapan Final</t>
  </si>
  <si>
    <t xml:space="preserve">16 liða úrslit</t>
  </si>
  <si>
    <t xml:space="preserve">Ottavi di finale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</si>
  <si>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</t>
    </r>
  </si>
  <si>
    <t xml:space="preserve">16-tuko Raundas</t>
  </si>
  <si>
    <t xml:space="preserve">1/8 финале</t>
  </si>
  <si>
    <t xml:space="preserve">L-Aħħar Sittax</t>
  </si>
  <si>
    <t xml:space="preserve">8-dels finale</t>
  </si>
  <si>
    <t xml:space="preserve"> یک هشتم نهائی</t>
  </si>
  <si>
    <t xml:space="preserve">1/8 Finału</t>
  </si>
  <si>
    <t xml:space="preserve">Oitavos de Final</t>
  </si>
  <si>
    <t xml:space="preserve">Optimi</t>
  </si>
  <si>
    <t xml:space="preserve">Šesnaestina finala</t>
  </si>
  <si>
    <t xml:space="preserve">Osemfinále</t>
  </si>
  <si>
    <t xml:space="preserve">Osminafinala</t>
  </si>
  <si>
    <t xml:space="preserve">Octavos de final</t>
  </si>
  <si>
    <t xml:space="preserve">Åttondelsfinal</t>
  </si>
  <si>
    <t xml:space="preserve">รอบสอง</t>
  </si>
  <si>
    <t xml:space="preserve">Son 16</t>
  </si>
  <si>
    <t xml:space="preserve">Vòng 1/16</t>
  </si>
  <si>
    <t xml:space="preserve">1/8 фіналу</t>
  </si>
  <si>
    <t xml:space="preserve">سولھواں دور</t>
  </si>
  <si>
    <t xml:space="preserve">Quarterfinals</t>
  </si>
  <si>
    <t xml:space="preserve">Qerekfinalja</t>
  </si>
  <si>
    <t xml:space="preserve">دور الربع نهائي</t>
  </si>
  <si>
    <t xml:space="preserve">1/4 Եզրափակիչ</t>
  </si>
  <si>
    <t xml:space="preserve">Dörddə bir Final</t>
  </si>
  <si>
    <t xml:space="preserve">1/4 - финали</t>
  </si>
  <si>
    <t xml:space="preserve">Quarts de final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</si>
  <si>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强赛</t>
    </r>
  </si>
  <si>
    <t xml:space="preserve">八強</t>
  </si>
  <si>
    <t xml:space="preserve">Četvrtfinale</t>
  </si>
  <si>
    <t xml:space="preserve">Čtvrtfinále</t>
  </si>
  <si>
    <t xml:space="preserve">Kvartfinale</t>
  </si>
  <si>
    <t xml:space="preserve">Kwartfinales</t>
  </si>
  <si>
    <t xml:space="preserve">Fjórðingsfinala</t>
  </si>
  <si>
    <t xml:space="preserve">Quart de Finale</t>
  </si>
  <si>
    <t xml:space="preserve">მეოთხედფინალი</t>
  </si>
  <si>
    <t xml:space="preserve">Viertelfinale</t>
  </si>
  <si>
    <t xml:space="preserve">Προημιτελικοί</t>
  </si>
  <si>
    <t xml:space="preserve">רבע גמר</t>
  </si>
  <si>
    <t xml:space="preserve">Negyeddöntők</t>
  </si>
  <si>
    <t xml:space="preserve">Perempat Final</t>
  </si>
  <si>
    <t xml:space="preserve">8 liða úrslit</t>
  </si>
  <si>
    <t xml:space="preserve">Quarti di finale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</si>
  <si>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강전</t>
    </r>
  </si>
  <si>
    <t xml:space="preserve">Ketvirtfinaliai</t>
  </si>
  <si>
    <t xml:space="preserve">1/4 финале</t>
  </si>
  <si>
    <t xml:space="preserve">Kwarti-Finali</t>
  </si>
  <si>
    <t xml:space="preserve">یک چهارم نهائی</t>
  </si>
  <si>
    <t xml:space="preserve">Ćwierćfinały</t>
  </si>
  <si>
    <t xml:space="preserve">Quartos de Final</t>
  </si>
  <si>
    <t xml:space="preserve">Sferturi de finala</t>
  </si>
  <si>
    <t xml:space="preserve">Štvrťfinále</t>
  </si>
  <si>
    <t xml:space="preserve">Četrtfinale</t>
  </si>
  <si>
    <t xml:space="preserve">Cuartos de Final</t>
  </si>
  <si>
    <t xml:space="preserve">Kvartsfinal</t>
  </si>
  <si>
    <t xml:space="preserve">รอบก่อนรองชนะเลิศ</t>
  </si>
  <si>
    <t xml:space="preserve">Çeyrek Final</t>
  </si>
  <si>
    <t xml:space="preserve">Tứ kết</t>
  </si>
  <si>
    <t xml:space="preserve">Чвертьфінал</t>
  </si>
  <si>
    <t xml:space="preserve">کواٹر فائنل</t>
  </si>
  <si>
    <t xml:space="preserve">Semi-Finals</t>
  </si>
  <si>
    <t xml:space="preserve">Gjysmëfinalja</t>
  </si>
  <si>
    <t xml:space="preserve">دور النصف نهائي</t>
  </si>
  <si>
    <t xml:space="preserve">Կիսաեզրափակիչ</t>
  </si>
  <si>
    <t xml:space="preserve">Yarım Final</t>
  </si>
  <si>
    <t xml:space="preserve">1/2 - финали</t>
  </si>
  <si>
    <t xml:space="preserve">Semifinals</t>
  </si>
  <si>
    <t xml:space="preserve">半决赛</t>
  </si>
  <si>
    <t xml:space="preserve">準決賽</t>
  </si>
  <si>
    <t xml:space="preserve">Polufinale</t>
  </si>
  <si>
    <t xml:space="preserve">Semifinále</t>
  </si>
  <si>
    <t xml:space="preserve">Semifinale</t>
  </si>
  <si>
    <t xml:space="preserve">Halve finales</t>
  </si>
  <si>
    <t xml:space="preserve">Hálvfinala</t>
  </si>
  <si>
    <t xml:space="preserve">Demi-Finale</t>
  </si>
  <si>
    <t xml:space="preserve">ნახევარფინალი</t>
  </si>
  <si>
    <t xml:space="preserve">Halbfinale</t>
  </si>
  <si>
    <t xml:space="preserve">Ημιτελικοί</t>
  </si>
  <si>
    <t xml:space="preserve">חצי גמר</t>
  </si>
  <si>
    <t xml:space="preserve">Elődöntők</t>
  </si>
  <si>
    <t xml:space="preserve">Semi Final</t>
  </si>
  <si>
    <t xml:space="preserve">Undanúrslit</t>
  </si>
  <si>
    <t xml:space="preserve">Semifinali</t>
  </si>
  <si>
    <t xml:space="preserve">준결승전</t>
  </si>
  <si>
    <t xml:space="preserve">Pusfinaliai</t>
  </si>
  <si>
    <t xml:space="preserve">1/2 финале</t>
  </si>
  <si>
    <t xml:space="preserve">Semi-Finali</t>
  </si>
  <si>
    <t xml:space="preserve">نیمه نهائی</t>
  </si>
  <si>
    <t xml:space="preserve">Półfinały</t>
  </si>
  <si>
    <t xml:space="preserve">Semi-final</t>
  </si>
  <si>
    <t xml:space="preserve">Polfinale</t>
  </si>
  <si>
    <t xml:space="preserve">Semifinales</t>
  </si>
  <si>
    <t xml:space="preserve">Semifinal</t>
  </si>
  <si>
    <t xml:space="preserve">รอบรองชนะเลิศ</t>
  </si>
  <si>
    <t xml:space="preserve">Yarı Final</t>
  </si>
  <si>
    <t xml:space="preserve">Bán kết</t>
  </si>
  <si>
    <t xml:space="preserve">Півфінал</t>
  </si>
  <si>
    <t xml:space="preserve">سیمی فائنل</t>
  </si>
  <si>
    <t xml:space="preserve">Third-Place Play-Off</t>
  </si>
  <si>
    <t xml:space="preserve">Takimi për vendin e tretë</t>
  </si>
  <si>
    <t xml:space="preserve">تحديد المركزين الثالث والرابع</t>
  </si>
  <si>
    <t xml:space="preserve">3-րդ տեղի համար եզրափակիչ</t>
  </si>
  <si>
    <t xml:space="preserve">Üçüncü Yer Uğrunda</t>
  </si>
  <si>
    <t xml:space="preserve">Мач за трето място</t>
  </si>
  <si>
    <t xml:space="preserve">3r i 4t lloc</t>
  </si>
  <si>
    <t xml:space="preserve">季军赛</t>
  </si>
  <si>
    <t xml:space="preserve">季軍賽</t>
  </si>
  <si>
    <t xml:space="preserve">Za treće mjesto</t>
  </si>
  <si>
    <t xml:space="preserve">Zápas o 3.místo</t>
  </si>
  <si>
    <t xml:space="preserve">Tredjeplads Kamp</t>
  </si>
  <si>
    <t xml:space="preserve">Derde en vierde plaats</t>
  </si>
  <si>
    <t xml:space="preserve">Dystur um 3. pláss</t>
  </si>
  <si>
    <t xml:space="preserve">Match pour la troisième place</t>
  </si>
  <si>
    <t xml:space="preserve">მესამე ადგილი</t>
  </si>
  <si>
    <t xml:space="preserve">Spiel um den dritten Platz</t>
  </si>
  <si>
    <t xml:space="preserve">Μικρός Τελικός</t>
  </si>
  <si>
    <t xml:space="preserve">מקום 3-4</t>
  </si>
  <si>
    <t xml:space="preserve">Bronzmeccs</t>
  </si>
  <si>
    <t xml:space="preserve">Perebutan Tempat Ketiga</t>
  </si>
  <si>
    <t xml:space="preserve">Leikur um 3.sæti</t>
  </si>
  <si>
    <t xml:space="preserve">Finale 3°- 4° posto</t>
  </si>
  <si>
    <r>
      <rPr>
        <sz val="11"/>
        <color theme="1"/>
        <rFont val="Calibri"/>
        <family val="2"/>
        <charset val="1"/>
      </rPr>
      <t xml:space="preserve">3,4</t>
    </r>
    <r>
      <rPr>
        <sz val="11"/>
        <color theme="1"/>
        <rFont val="Noto Sans CJK SC"/>
        <family val="2"/>
      </rPr>
      <t xml:space="preserve">위전</t>
    </r>
  </si>
  <si>
    <t xml:space="preserve">Rungtynės dėl Trečios Vietos</t>
  </si>
  <si>
    <t xml:space="preserve">Натпревар за трето место</t>
  </si>
  <si>
    <t xml:space="preserve">Final għat-Tielet u r-Raba' Post</t>
  </si>
  <si>
    <t xml:space="preserve">Bronsefinale</t>
  </si>
  <si>
    <t xml:space="preserve">رده بندی</t>
  </si>
  <si>
    <t xml:space="preserve">Mecz o trzecie miejsce</t>
  </si>
  <si>
    <t xml:space="preserve">3º/4º lugar</t>
  </si>
  <si>
    <t xml:space="preserve">Finala mica</t>
  </si>
  <si>
    <t xml:space="preserve">Zápas o 3. miesto </t>
  </si>
  <si>
    <t xml:space="preserve">Za tretje mesto</t>
  </si>
  <si>
    <t xml:space="preserve">Tercer puesto</t>
  </si>
  <si>
    <t xml:space="preserve">Match om tredje pris</t>
  </si>
  <si>
    <t xml:space="preserve">รอบชิงที่ 3</t>
  </si>
  <si>
    <t xml:space="preserve">Üçüncülük Maçı</t>
  </si>
  <si>
    <t xml:space="preserve">Tranh hạng 3</t>
  </si>
  <si>
    <t xml:space="preserve">Матч за третє місце</t>
  </si>
  <si>
    <t xml:space="preserve">تیسرے مقام کے لئے کھیل</t>
  </si>
  <si>
    <t xml:space="preserve">Final</t>
  </si>
  <si>
    <t xml:space="preserve">Finalja</t>
  </si>
  <si>
    <t xml:space="preserve">المباراة النهائية</t>
  </si>
  <si>
    <t xml:space="preserve">Եզրափակիչ</t>
  </si>
  <si>
    <t xml:space="preserve">Финал</t>
  </si>
  <si>
    <t xml:space="preserve">总决赛</t>
  </si>
  <si>
    <t xml:space="preserve">總決賽</t>
  </si>
  <si>
    <t xml:space="preserve">Finale</t>
  </si>
  <si>
    <t xml:space="preserve">Finále</t>
  </si>
  <si>
    <t xml:space="preserve">Finala</t>
  </si>
  <si>
    <t xml:space="preserve">ფინალი</t>
  </si>
  <si>
    <t xml:space="preserve">Τελικός</t>
  </si>
  <si>
    <t xml:space="preserve">גמר</t>
  </si>
  <si>
    <t xml:space="preserve">Döntő</t>
  </si>
  <si>
    <t xml:space="preserve">Úrslit</t>
  </si>
  <si>
    <t xml:space="preserve">결승전</t>
  </si>
  <si>
    <t xml:space="preserve">Finalas</t>
  </si>
  <si>
    <t xml:space="preserve">Финале</t>
  </si>
  <si>
    <t xml:space="preserve">Finali</t>
  </si>
  <si>
    <t xml:space="preserve">فینال</t>
  </si>
  <si>
    <t xml:space="preserve">Finał</t>
  </si>
  <si>
    <t xml:space="preserve">FINALA</t>
  </si>
  <si>
    <t xml:space="preserve">รอบชิงชนะเลิศ</t>
  </si>
  <si>
    <t xml:space="preserve">Chung Kết</t>
  </si>
  <si>
    <t xml:space="preserve">Фінал</t>
  </si>
  <si>
    <t xml:space="preserve">فائنل</t>
  </si>
  <si>
    <t xml:space="preserve">Group</t>
  </si>
  <si>
    <t xml:space="preserve">Grupi</t>
  </si>
  <si>
    <t xml:space="preserve">المجموعة</t>
  </si>
  <si>
    <t xml:space="preserve">Խումբ</t>
  </si>
  <si>
    <t xml:space="preserve">Qrup</t>
  </si>
  <si>
    <t xml:space="preserve">Група</t>
  </si>
  <si>
    <t xml:space="preserve">Grup</t>
  </si>
  <si>
    <t xml:space="preserve">小组</t>
  </si>
  <si>
    <t xml:space="preserve">小組</t>
  </si>
  <si>
    <t xml:space="preserve">Grupa</t>
  </si>
  <si>
    <t xml:space="preserve">Skupina</t>
  </si>
  <si>
    <t xml:space="preserve">Gruppe</t>
  </si>
  <si>
    <t xml:space="preserve">Groep</t>
  </si>
  <si>
    <t xml:space="preserve">Bólkur</t>
  </si>
  <si>
    <t xml:space="preserve">Groupe</t>
  </si>
  <si>
    <t xml:space="preserve">ჯგუფი</t>
  </si>
  <si>
    <t xml:space="preserve">Όμιλος</t>
  </si>
  <si>
    <t xml:space="preserve">בית</t>
  </si>
  <si>
    <t xml:space="preserve">Csoport</t>
  </si>
  <si>
    <t xml:space="preserve">Kelompok</t>
  </si>
  <si>
    <t xml:space="preserve">Riðill</t>
  </si>
  <si>
    <t xml:space="preserve">Gruppo</t>
  </si>
  <si>
    <t xml:space="preserve">그룹</t>
  </si>
  <si>
    <t xml:space="preserve">Grupė</t>
  </si>
  <si>
    <t xml:space="preserve">Grupp</t>
  </si>
  <si>
    <t xml:space="preserve">گروه</t>
  </si>
  <si>
    <t xml:space="preserve">Grupo</t>
  </si>
  <si>
    <t xml:space="preserve">สาย</t>
  </si>
  <si>
    <t xml:space="preserve">Bảng</t>
  </si>
  <si>
    <t xml:space="preserve">PL</t>
  </si>
  <si>
    <t xml:space="preserve">L</t>
  </si>
  <si>
    <t xml:space="preserve">لعب</t>
  </si>
  <si>
    <t xml:space="preserve">Խ</t>
  </si>
  <si>
    <t xml:space="preserve">O</t>
  </si>
  <si>
    <t xml:space="preserve">М</t>
  </si>
  <si>
    <t xml:space="preserve">J</t>
  </si>
  <si>
    <t xml:space="preserve">场次</t>
  </si>
  <si>
    <t xml:space="preserve">賽</t>
  </si>
  <si>
    <t xml:space="preserve">Z</t>
  </si>
  <si>
    <t xml:space="preserve">SP</t>
  </si>
  <si>
    <t xml:space="preserve">WG</t>
  </si>
  <si>
    <t xml:space="preserve">თ</t>
  </si>
  <si>
    <t xml:space="preserve">ΑΓ</t>
  </si>
  <si>
    <t xml:space="preserve">משחקים</t>
  </si>
  <si>
    <t xml:space="preserve">M</t>
  </si>
  <si>
    <t xml:space="preserve">Main</t>
  </si>
  <si>
    <t xml:space="preserve">G</t>
  </si>
  <si>
    <t xml:space="preserve">경기</t>
  </si>
  <si>
    <t xml:space="preserve">Žst</t>
  </si>
  <si>
    <t xml:space="preserve">О</t>
  </si>
  <si>
    <t xml:space="preserve">S</t>
  </si>
  <si>
    <t xml:space="preserve">بازی</t>
  </si>
  <si>
    <t xml:space="preserve">UT</t>
  </si>
  <si>
    <t xml:space="preserve">Sp</t>
  </si>
  <si>
    <t xml:space="preserve">แข่ง</t>
  </si>
  <si>
    <t xml:space="preserve">Trận</t>
  </si>
  <si>
    <t xml:space="preserve">І</t>
  </si>
  <si>
    <t xml:space="preserve">کھیلے گئے مقابلے</t>
  </si>
  <si>
    <t xml:space="preserve">W</t>
  </si>
  <si>
    <t xml:space="preserve">F</t>
  </si>
  <si>
    <t xml:space="preserve">فاز</t>
  </si>
  <si>
    <t xml:space="preserve">Հ</t>
  </si>
  <si>
    <t xml:space="preserve">Q</t>
  </si>
  <si>
    <t xml:space="preserve">П</t>
  </si>
  <si>
    <t xml:space="preserve">胜</t>
  </si>
  <si>
    <t xml:space="preserve">勝</t>
  </si>
  <si>
    <t xml:space="preserve">V</t>
  </si>
  <si>
    <t xml:space="preserve">მოგ</t>
  </si>
  <si>
    <t xml:space="preserve">Ν</t>
  </si>
  <si>
    <t xml:space="preserve">נצחונות</t>
  </si>
  <si>
    <t xml:space="preserve">GY</t>
  </si>
  <si>
    <t xml:space="preserve">Menang</t>
  </si>
  <si>
    <t xml:space="preserve">U</t>
  </si>
  <si>
    <t xml:space="preserve">승</t>
  </si>
  <si>
    <t xml:space="preserve">R</t>
  </si>
  <si>
    <t xml:space="preserve">برد</t>
  </si>
  <si>
    <t xml:space="preserve">P</t>
  </si>
  <si>
    <t xml:space="preserve">ชนะ</t>
  </si>
  <si>
    <t xml:space="preserve">T</t>
  </si>
  <si>
    <t xml:space="preserve">В</t>
  </si>
  <si>
    <t xml:space="preserve">جیت</t>
  </si>
  <si>
    <t xml:space="preserve">DRAW</t>
  </si>
  <si>
    <t xml:space="preserve">BAR</t>
  </si>
  <si>
    <t xml:space="preserve">تعادل</t>
  </si>
  <si>
    <t xml:space="preserve">Ո</t>
  </si>
  <si>
    <t xml:space="preserve">H</t>
  </si>
  <si>
    <t xml:space="preserve">Р</t>
  </si>
  <si>
    <t xml:space="preserve">E</t>
  </si>
  <si>
    <t xml:space="preserve">平</t>
  </si>
  <si>
    <t xml:space="preserve">和</t>
  </si>
  <si>
    <t xml:space="preserve">Uafgjort</t>
  </si>
  <si>
    <t xml:space="preserve">ფრე</t>
  </si>
  <si>
    <t xml:space="preserve">Ι</t>
  </si>
  <si>
    <t xml:space="preserve">תיקו</t>
  </si>
  <si>
    <t xml:space="preserve">D</t>
  </si>
  <si>
    <t xml:space="preserve">Seri</t>
  </si>
  <si>
    <t xml:space="preserve">Jafnt</t>
  </si>
  <si>
    <t xml:space="preserve">무</t>
  </si>
  <si>
    <t xml:space="preserve">Lyg</t>
  </si>
  <si>
    <t xml:space="preserve">Н</t>
  </si>
  <si>
    <t xml:space="preserve">I</t>
  </si>
  <si>
    <t xml:space="preserve">مساوی</t>
  </si>
  <si>
    <t xml:space="preserve">NER.</t>
  </si>
  <si>
    <t xml:space="preserve">เสมอ</t>
  </si>
  <si>
    <t xml:space="preserve">B</t>
  </si>
  <si>
    <t xml:space="preserve">برابر</t>
  </si>
  <si>
    <t xml:space="preserve">خسر</t>
  </si>
  <si>
    <t xml:space="preserve">Պ</t>
  </si>
  <si>
    <t xml:space="preserve">З</t>
  </si>
  <si>
    <t xml:space="preserve">负</t>
  </si>
  <si>
    <t xml:space="preserve">負</t>
  </si>
  <si>
    <t xml:space="preserve">წაგ</t>
  </si>
  <si>
    <t xml:space="preserve">N</t>
  </si>
  <si>
    <t xml:space="preserve">Η </t>
  </si>
  <si>
    <t xml:space="preserve">הפסדים</t>
  </si>
  <si>
    <t xml:space="preserve">Kalah</t>
  </si>
  <si>
    <t xml:space="preserve">패</t>
  </si>
  <si>
    <t xml:space="preserve">И</t>
  </si>
  <si>
    <t xml:space="preserve">باخت</t>
  </si>
  <si>
    <t xml:space="preserve">แพ้</t>
  </si>
  <si>
    <t xml:space="preserve">ہارے گئے مقابلے</t>
  </si>
  <si>
    <t xml:space="preserve">GF - GA</t>
  </si>
  <si>
    <t xml:space="preserve">GSH-GP</t>
  </si>
  <si>
    <t xml:space="preserve">عليه - له</t>
  </si>
  <si>
    <t xml:space="preserve">ԽԳ-ԲԳ</t>
  </si>
  <si>
    <t xml:space="preserve">QV - QB</t>
  </si>
  <si>
    <t xml:space="preserve">Гол. Разл.</t>
  </si>
  <si>
    <t xml:space="preserve">GF - GC</t>
  </si>
  <si>
    <t xml:space="preserve">得失球</t>
  </si>
  <si>
    <t xml:space="preserve">得球 - 失球</t>
  </si>
  <si>
    <t xml:space="preserve">GV - GI</t>
  </si>
  <si>
    <t xml:space="preserve">MF - MI</t>
  </si>
  <si>
    <t xml:space="preserve">DV-DT</t>
  </si>
  <si>
    <t xml:space="preserve">BP - BC</t>
  </si>
  <si>
    <t xml:space="preserve">გგ - მგ</t>
  </si>
  <si>
    <t xml:space="preserve">ET - KT</t>
  </si>
  <si>
    <t xml:space="preserve">Υ-Κ</t>
  </si>
  <si>
    <t xml:space="preserve">יחס שערים</t>
  </si>
  <si>
    <t xml:space="preserve">Gólkül.</t>
  </si>
  <si>
    <t xml:space="preserve">Skor </t>
  </si>
  <si>
    <t xml:space="preserve">S - F</t>
  </si>
  <si>
    <t xml:space="preserve">GF - GS</t>
  </si>
  <si>
    <t xml:space="preserve">골득실</t>
  </si>
  <si>
    <t xml:space="preserve">Įm - Pr</t>
  </si>
  <si>
    <t xml:space="preserve">Разлика</t>
  </si>
  <si>
    <t xml:space="preserve">GF - GK</t>
  </si>
  <si>
    <t xml:space="preserve">Mål</t>
  </si>
  <si>
    <t xml:space="preserve">خورده-زده</t>
  </si>
  <si>
    <t xml:space="preserve">Z - S</t>
  </si>
  <si>
    <t xml:space="preserve">GM - GS</t>
  </si>
  <si>
    <t xml:space="preserve">GM - GP</t>
  </si>
  <si>
    <t xml:space="preserve">GD - GP</t>
  </si>
  <si>
    <t xml:space="preserve">GS-GI</t>
  </si>
  <si>
    <t xml:space="preserve">GM – IM</t>
  </si>
  <si>
    <t xml:space="preserve">ได้ - เสีย</t>
  </si>
  <si>
    <t xml:space="preserve">A - Y</t>
  </si>
  <si>
    <t xml:space="preserve">Hiệu số</t>
  </si>
  <si>
    <t xml:space="preserve">М </t>
  </si>
  <si>
    <t xml:space="preserve">گول کئے- انکے خلاف گول کئے گئے</t>
  </si>
  <si>
    <t xml:space="preserve">PNT</t>
  </si>
  <si>
    <t xml:space="preserve">PIK</t>
  </si>
  <si>
    <t xml:space="preserve">النقاط</t>
  </si>
  <si>
    <t xml:space="preserve">Մ</t>
  </si>
  <si>
    <t xml:space="preserve">Xal</t>
  </si>
  <si>
    <t xml:space="preserve">Т</t>
  </si>
  <si>
    <t xml:space="preserve">Punts</t>
  </si>
  <si>
    <t xml:space="preserve">积分</t>
  </si>
  <si>
    <t xml:space="preserve">分數</t>
  </si>
  <si>
    <t xml:space="preserve">Body</t>
  </si>
  <si>
    <t xml:space="preserve">Stig</t>
  </si>
  <si>
    <t xml:space="preserve">PTS</t>
  </si>
  <si>
    <t xml:space="preserve">ქულა</t>
  </si>
  <si>
    <t xml:space="preserve">PKT</t>
  </si>
  <si>
    <t xml:space="preserve">ΒΘ</t>
  </si>
  <si>
    <t xml:space="preserve">נקודות</t>
  </si>
  <si>
    <t xml:space="preserve">Nilai</t>
  </si>
  <si>
    <t xml:space="preserve">Punti</t>
  </si>
  <si>
    <t xml:space="preserve">승점</t>
  </si>
  <si>
    <t xml:space="preserve">Tšk</t>
  </si>
  <si>
    <t xml:space="preserve">Б</t>
  </si>
  <si>
    <t xml:space="preserve">امتیاز</t>
  </si>
  <si>
    <t xml:space="preserve">Pkt</t>
  </si>
  <si>
    <t xml:space="preserve">BOD</t>
  </si>
  <si>
    <t xml:space="preserve">คะแนน</t>
  </si>
  <si>
    <t xml:space="preserve">Điểm</t>
  </si>
  <si>
    <t xml:space="preserve">نشان</t>
  </si>
  <si>
    <t xml:space="preserve">Sun</t>
  </si>
  <si>
    <t xml:space="preserve">Diel</t>
  </si>
  <si>
    <t xml:space="preserve">الأحد</t>
  </si>
  <si>
    <t xml:space="preserve">Կիր.</t>
  </si>
  <si>
    <t xml:space="preserve">Нед</t>
  </si>
  <si>
    <t xml:space="preserve">Diu</t>
  </si>
  <si>
    <t xml:space="preserve">周日</t>
  </si>
  <si>
    <t xml:space="preserve">Ned</t>
  </si>
  <si>
    <t xml:space="preserve">Ne</t>
  </si>
  <si>
    <t xml:space="preserve">Søn</t>
  </si>
  <si>
    <t xml:space="preserve">Zo</t>
  </si>
  <si>
    <t xml:space="preserve">კვირა</t>
  </si>
  <si>
    <t xml:space="preserve">Κυρ</t>
  </si>
  <si>
    <t xml:space="preserve">ראשון</t>
  </si>
  <si>
    <t xml:space="preserve">Vas</t>
  </si>
  <si>
    <t xml:space="preserve">Min</t>
  </si>
  <si>
    <t xml:space="preserve">Dom</t>
  </si>
  <si>
    <t xml:space="preserve">일</t>
  </si>
  <si>
    <t xml:space="preserve">Sekm</t>
  </si>
  <si>
    <t xml:space="preserve">Ħad</t>
  </si>
  <si>
    <t xml:space="preserve">یکشنبه</t>
  </si>
  <si>
    <t xml:space="preserve">Nd</t>
  </si>
  <si>
    <t xml:space="preserve">Dum</t>
  </si>
  <si>
    <t xml:space="preserve">Sön</t>
  </si>
  <si>
    <t xml:space="preserve">อาทิตย์</t>
  </si>
  <si>
    <t xml:space="preserve">Paz</t>
  </si>
  <si>
    <t xml:space="preserve">CN</t>
  </si>
  <si>
    <t xml:space="preserve">Нд</t>
  </si>
  <si>
    <t xml:space="preserve">اتوار</t>
  </si>
  <si>
    <t xml:space="preserve">Mon</t>
  </si>
  <si>
    <t xml:space="preserve">Hënë</t>
  </si>
  <si>
    <t xml:space="preserve">الاثنين</t>
  </si>
  <si>
    <t xml:space="preserve">Երկ.</t>
  </si>
  <si>
    <t xml:space="preserve">BE</t>
  </si>
  <si>
    <t xml:space="preserve">Пон</t>
  </si>
  <si>
    <t xml:space="preserve">Dil</t>
  </si>
  <si>
    <t xml:space="preserve">周一</t>
  </si>
  <si>
    <t xml:space="preserve">Pon</t>
  </si>
  <si>
    <t xml:space="preserve">Po</t>
  </si>
  <si>
    <t xml:space="preserve">Man</t>
  </si>
  <si>
    <t xml:space="preserve">Ma</t>
  </si>
  <si>
    <t xml:space="preserve">Mán</t>
  </si>
  <si>
    <t xml:space="preserve">ორშ</t>
  </si>
  <si>
    <t xml:space="preserve">Δευ</t>
  </si>
  <si>
    <t xml:space="preserve">שני</t>
  </si>
  <si>
    <t xml:space="preserve">Hét</t>
  </si>
  <si>
    <t xml:space="preserve">Sen</t>
  </si>
  <si>
    <t xml:space="preserve">Lun</t>
  </si>
  <si>
    <t xml:space="preserve">월</t>
  </si>
  <si>
    <t xml:space="preserve">Pirm</t>
  </si>
  <si>
    <t xml:space="preserve">Tne</t>
  </si>
  <si>
    <t xml:space="preserve">دوشنبه</t>
  </si>
  <si>
    <t xml:space="preserve">Pn</t>
  </si>
  <si>
    <t xml:space="preserve">Seg</t>
  </si>
  <si>
    <t xml:space="preserve">Mån</t>
  </si>
  <si>
    <t xml:space="preserve">จันทร์</t>
  </si>
  <si>
    <t xml:space="preserve">Pzt</t>
  </si>
  <si>
    <t xml:space="preserve">T2</t>
  </si>
  <si>
    <t xml:space="preserve">Пн</t>
  </si>
  <si>
    <t xml:space="preserve">پیر</t>
  </si>
  <si>
    <t xml:space="preserve">Tue</t>
  </si>
  <si>
    <t xml:space="preserve">Mar</t>
  </si>
  <si>
    <t xml:space="preserve">الثلاثاء</t>
  </si>
  <si>
    <t xml:space="preserve">Երեք.</t>
  </si>
  <si>
    <t xml:space="preserve">ÇA</t>
  </si>
  <si>
    <t xml:space="preserve">Вт</t>
  </si>
  <si>
    <t xml:space="preserve">Dim</t>
  </si>
  <si>
    <t xml:space="preserve">周二</t>
  </si>
  <si>
    <t xml:space="preserve">Uto</t>
  </si>
  <si>
    <t xml:space="preserve">Út</t>
  </si>
  <si>
    <t xml:space="preserve">Tir</t>
  </si>
  <si>
    <t xml:space="preserve">Di</t>
  </si>
  <si>
    <t xml:space="preserve">Týs</t>
  </si>
  <si>
    <t xml:space="preserve">სამშ</t>
  </si>
  <si>
    <t xml:space="preserve">Τρι</t>
  </si>
  <si>
    <t xml:space="preserve">שלישי</t>
  </si>
  <si>
    <t xml:space="preserve">Ke</t>
  </si>
  <si>
    <t xml:space="preserve">Sel</t>
  </si>
  <si>
    <t xml:space="preserve">Þri</t>
  </si>
  <si>
    <t xml:space="preserve">화</t>
  </si>
  <si>
    <t xml:space="preserve">Antr</t>
  </si>
  <si>
    <t xml:space="preserve">Вто</t>
  </si>
  <si>
    <t xml:space="preserve">Tli</t>
  </si>
  <si>
    <t xml:space="preserve">Tirs</t>
  </si>
  <si>
    <t xml:space="preserve">سه شنبه</t>
  </si>
  <si>
    <t xml:space="preserve">Wt</t>
  </si>
  <si>
    <t xml:space="preserve">Ter</t>
  </si>
  <si>
    <t xml:space="preserve">Ut</t>
  </si>
  <si>
    <t xml:space="preserve">Tor</t>
  </si>
  <si>
    <t xml:space="preserve">Tis</t>
  </si>
  <si>
    <t xml:space="preserve">อังคาร</t>
  </si>
  <si>
    <t xml:space="preserve">Sal</t>
  </si>
  <si>
    <t xml:space="preserve">T3</t>
  </si>
  <si>
    <t xml:space="preserve">منگل</t>
  </si>
  <si>
    <t xml:space="preserve">Wed</t>
  </si>
  <si>
    <t xml:space="preserve">Mër</t>
  </si>
  <si>
    <t xml:space="preserve">الأربعاء</t>
  </si>
  <si>
    <t xml:space="preserve">Չոր.</t>
  </si>
  <si>
    <t xml:space="preserve">Ç</t>
  </si>
  <si>
    <t xml:space="preserve">Сря</t>
  </si>
  <si>
    <t xml:space="preserve">Dix</t>
  </si>
  <si>
    <t xml:space="preserve">周三</t>
  </si>
  <si>
    <t xml:space="preserve">Sri</t>
  </si>
  <si>
    <t xml:space="preserve">St</t>
  </si>
  <si>
    <t xml:space="preserve">Ons</t>
  </si>
  <si>
    <t xml:space="preserve">Wo</t>
  </si>
  <si>
    <t xml:space="preserve">Mik</t>
  </si>
  <si>
    <t xml:space="preserve">ოთხშ</t>
  </si>
  <si>
    <t xml:space="preserve">Τετ</t>
  </si>
  <si>
    <t xml:space="preserve">רביעי</t>
  </si>
  <si>
    <t xml:space="preserve">Sze</t>
  </si>
  <si>
    <t xml:space="preserve">Rab</t>
  </si>
  <si>
    <t xml:space="preserve">Mið</t>
  </si>
  <si>
    <t xml:space="preserve">Mer</t>
  </si>
  <si>
    <t xml:space="preserve">수</t>
  </si>
  <si>
    <t xml:space="preserve">Treč</t>
  </si>
  <si>
    <t xml:space="preserve">Сре</t>
  </si>
  <si>
    <t xml:space="preserve">Erb</t>
  </si>
  <si>
    <t xml:space="preserve">چهارشنبه</t>
  </si>
  <si>
    <t xml:space="preserve">Śr</t>
  </si>
  <si>
    <t xml:space="preserve">Qua</t>
  </si>
  <si>
    <t xml:space="preserve">Mie</t>
  </si>
  <si>
    <t xml:space="preserve">Sre</t>
  </si>
  <si>
    <t xml:space="preserve">พุธ</t>
  </si>
  <si>
    <t xml:space="preserve">Çar</t>
  </si>
  <si>
    <t xml:space="preserve">T4</t>
  </si>
  <si>
    <t xml:space="preserve">Ср</t>
  </si>
  <si>
    <t xml:space="preserve">بدھ</t>
  </si>
  <si>
    <t xml:space="preserve">Thu</t>
  </si>
  <si>
    <t xml:space="preserve">Enjt</t>
  </si>
  <si>
    <t xml:space="preserve">الخميس</t>
  </si>
  <si>
    <t xml:space="preserve">Հինգ.</t>
  </si>
  <si>
    <t xml:space="preserve">CA</t>
  </si>
  <si>
    <t xml:space="preserve">Четв</t>
  </si>
  <si>
    <t xml:space="preserve">Dij</t>
  </si>
  <si>
    <t xml:space="preserve">周四</t>
  </si>
  <si>
    <t xml:space="preserve">Čet</t>
  </si>
  <si>
    <t xml:space="preserve">Čt</t>
  </si>
  <si>
    <t xml:space="preserve">Do</t>
  </si>
  <si>
    <t xml:space="preserve">Hós</t>
  </si>
  <si>
    <t xml:space="preserve">ხუთშ</t>
  </si>
  <si>
    <t xml:space="preserve">Πεμ</t>
  </si>
  <si>
    <t xml:space="preserve">חמישי</t>
  </si>
  <si>
    <t xml:space="preserve">Csü</t>
  </si>
  <si>
    <t xml:space="preserve">Kam</t>
  </si>
  <si>
    <t xml:space="preserve">Fim</t>
  </si>
  <si>
    <t xml:space="preserve">Gio</t>
  </si>
  <si>
    <t xml:space="preserve">목</t>
  </si>
  <si>
    <t xml:space="preserve">Ketv</t>
  </si>
  <si>
    <t xml:space="preserve">Чет</t>
  </si>
  <si>
    <t xml:space="preserve">Ħam</t>
  </si>
  <si>
    <t xml:space="preserve">Tors</t>
  </si>
  <si>
    <t xml:space="preserve">پنجشنبه</t>
  </si>
  <si>
    <t xml:space="preserve">Cz</t>
  </si>
  <si>
    <t xml:space="preserve">Qui</t>
  </si>
  <si>
    <t xml:space="preserve">Joi</t>
  </si>
  <si>
    <t xml:space="preserve">Št</t>
  </si>
  <si>
    <t xml:space="preserve">พฤหัส</t>
  </si>
  <si>
    <t xml:space="preserve">Per</t>
  </si>
  <si>
    <t xml:space="preserve">T5</t>
  </si>
  <si>
    <t xml:space="preserve">Чт</t>
  </si>
  <si>
    <t xml:space="preserve">جمعرات</t>
  </si>
  <si>
    <t xml:space="preserve">Fri</t>
  </si>
  <si>
    <t xml:space="preserve">Pre</t>
  </si>
  <si>
    <t xml:space="preserve">الجمعة</t>
  </si>
  <si>
    <t xml:space="preserve">Ուրբ.</t>
  </si>
  <si>
    <t xml:space="preserve">C</t>
  </si>
  <si>
    <t xml:space="preserve">Пет</t>
  </si>
  <si>
    <t xml:space="preserve">Div</t>
  </si>
  <si>
    <t xml:space="preserve">周五</t>
  </si>
  <si>
    <t xml:space="preserve">Pet</t>
  </si>
  <si>
    <t xml:space="preserve">Pá</t>
  </si>
  <si>
    <t xml:space="preserve">Fre</t>
  </si>
  <si>
    <t xml:space="preserve">Vr</t>
  </si>
  <si>
    <t xml:space="preserve">Frí</t>
  </si>
  <si>
    <t xml:space="preserve">პარ</t>
  </si>
  <si>
    <t xml:space="preserve">Παρ</t>
  </si>
  <si>
    <t xml:space="preserve">שישי</t>
  </si>
  <si>
    <t xml:space="preserve">Pé</t>
  </si>
  <si>
    <t xml:space="preserve">Jum</t>
  </si>
  <si>
    <t xml:space="preserve">Fös</t>
  </si>
  <si>
    <t xml:space="preserve">Ven</t>
  </si>
  <si>
    <t xml:space="preserve">금</t>
  </si>
  <si>
    <t xml:space="preserve">Penk</t>
  </si>
  <si>
    <t xml:space="preserve">Ġim</t>
  </si>
  <si>
    <t xml:space="preserve">جمعه</t>
  </si>
  <si>
    <t xml:space="preserve">Pt</t>
  </si>
  <si>
    <t xml:space="preserve">Sex</t>
  </si>
  <si>
    <t xml:space="preserve">Vin</t>
  </si>
  <si>
    <t xml:space="preserve">Pi</t>
  </si>
  <si>
    <t xml:space="preserve">ศุกร์</t>
  </si>
  <si>
    <t xml:space="preserve">Cum</t>
  </si>
  <si>
    <t xml:space="preserve">T6</t>
  </si>
  <si>
    <t xml:space="preserve">Пт</t>
  </si>
  <si>
    <t xml:space="preserve">جمعہ</t>
  </si>
  <si>
    <t xml:space="preserve">Sat</t>
  </si>
  <si>
    <t xml:space="preserve">Sht</t>
  </si>
  <si>
    <t xml:space="preserve">السبت</t>
  </si>
  <si>
    <t xml:space="preserve">Շաբ.</t>
  </si>
  <si>
    <t xml:space="preserve">Ş</t>
  </si>
  <si>
    <t xml:space="preserve">Съб</t>
  </si>
  <si>
    <t xml:space="preserve">Dis</t>
  </si>
  <si>
    <t xml:space="preserve">周六</t>
  </si>
  <si>
    <t xml:space="preserve">Sub</t>
  </si>
  <si>
    <t xml:space="preserve">So</t>
  </si>
  <si>
    <t xml:space="preserve">Lør</t>
  </si>
  <si>
    <t xml:space="preserve">Za</t>
  </si>
  <si>
    <t xml:space="preserve">Ley</t>
  </si>
  <si>
    <t xml:space="preserve">შაბ</t>
  </si>
  <si>
    <t xml:space="preserve">Σαβ</t>
  </si>
  <si>
    <t xml:space="preserve">שבת</t>
  </si>
  <si>
    <t xml:space="preserve">Szo</t>
  </si>
  <si>
    <t xml:space="preserve">Sab</t>
  </si>
  <si>
    <t xml:space="preserve">Lau</t>
  </si>
  <si>
    <t xml:space="preserve">토</t>
  </si>
  <si>
    <t xml:space="preserve">Šešt</t>
  </si>
  <si>
    <t xml:space="preserve">Саб</t>
  </si>
  <si>
    <t xml:space="preserve">Sib</t>
  </si>
  <si>
    <t xml:space="preserve">شنبه</t>
  </si>
  <si>
    <t xml:space="preserve">Sam</t>
  </si>
  <si>
    <t xml:space="preserve">Sob</t>
  </si>
  <si>
    <t xml:space="preserve">Lör</t>
  </si>
  <si>
    <t xml:space="preserve">เสาร์</t>
  </si>
  <si>
    <t xml:space="preserve">Cmt</t>
  </si>
  <si>
    <t xml:space="preserve">T7</t>
  </si>
  <si>
    <t xml:space="preserve">Сб</t>
  </si>
  <si>
    <t xml:space="preserve">سنیچر</t>
  </si>
  <si>
    <t xml:space="preserve">Jan</t>
  </si>
  <si>
    <t xml:space="preserve">كانون ثاني</t>
  </si>
  <si>
    <t xml:space="preserve">Հունվ.</t>
  </si>
  <si>
    <t xml:space="preserve">Yan</t>
  </si>
  <si>
    <t xml:space="preserve">Януари</t>
  </si>
  <si>
    <t xml:space="preserve">Gen</t>
  </si>
  <si>
    <t xml:space="preserve">一月</t>
  </si>
  <si>
    <t xml:space="preserve">Sij</t>
  </si>
  <si>
    <t xml:space="preserve">Janv</t>
  </si>
  <si>
    <t xml:space="preserve">იან</t>
  </si>
  <si>
    <t xml:space="preserve">Ιαν</t>
  </si>
  <si>
    <t xml:space="preserve">ינואר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</si>
  <si>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월</t>
    </r>
  </si>
  <si>
    <t xml:space="preserve">Saus</t>
  </si>
  <si>
    <t xml:space="preserve">Јан</t>
  </si>
  <si>
    <t xml:space="preserve">زانویه</t>
  </si>
  <si>
    <t xml:space="preserve">Sty</t>
  </si>
  <si>
    <t xml:space="preserve">Ian</t>
  </si>
  <si>
    <t xml:space="preserve">Ene</t>
  </si>
  <si>
    <t xml:space="preserve">jan</t>
  </si>
  <si>
    <t xml:space="preserve">มกราคม</t>
  </si>
  <si>
    <t xml:space="preserve">Oca</t>
  </si>
  <si>
    <t xml:space="preserve">Tháng 1</t>
  </si>
  <si>
    <t xml:space="preserve">Січ</t>
  </si>
  <si>
    <t xml:space="preserve">جنوری</t>
  </si>
  <si>
    <t xml:space="preserve">Feb</t>
  </si>
  <si>
    <t xml:space="preserve">Shk</t>
  </si>
  <si>
    <t xml:space="preserve">شباط</t>
  </si>
  <si>
    <t xml:space="preserve">Փետր.</t>
  </si>
  <si>
    <t xml:space="preserve">Fev</t>
  </si>
  <si>
    <t xml:space="preserve">Февруари</t>
  </si>
  <si>
    <t xml:space="preserve">二月</t>
  </si>
  <si>
    <t xml:space="preserve">Vel</t>
  </si>
  <si>
    <t xml:space="preserve">Févr</t>
  </si>
  <si>
    <t xml:space="preserve">თებ</t>
  </si>
  <si>
    <t xml:space="preserve">Φεβ</t>
  </si>
  <si>
    <t xml:space="preserve">פברואר</t>
  </si>
  <si>
    <t xml:space="preserve">Peb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</si>
  <si>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월</t>
    </r>
  </si>
  <si>
    <t xml:space="preserve">Фев</t>
  </si>
  <si>
    <t xml:space="preserve">Fra</t>
  </si>
  <si>
    <t xml:space="preserve">فوریه</t>
  </si>
  <si>
    <t xml:space="preserve">Lut</t>
  </si>
  <si>
    <t xml:space="preserve">กุมภาพันธ์</t>
  </si>
  <si>
    <t xml:space="preserve">Şub</t>
  </si>
  <si>
    <t xml:space="preserve">Tháng 2</t>
  </si>
  <si>
    <t xml:space="preserve">Лют</t>
  </si>
  <si>
    <t xml:space="preserve">فروری</t>
  </si>
  <si>
    <t xml:space="preserve">آذار</t>
  </si>
  <si>
    <t xml:space="preserve">Մարտ</t>
  </si>
  <si>
    <t xml:space="preserve">Март</t>
  </si>
  <si>
    <t xml:space="preserve">三月</t>
  </si>
  <si>
    <t xml:space="preserve">Ožu</t>
  </si>
  <si>
    <t xml:space="preserve">Mrt</t>
  </si>
  <si>
    <t xml:space="preserve">Mars</t>
  </si>
  <si>
    <t xml:space="preserve">მარ</t>
  </si>
  <si>
    <t xml:space="preserve">Mrz</t>
  </si>
  <si>
    <t xml:space="preserve">Μαρ</t>
  </si>
  <si>
    <t xml:space="preserve">מרץ</t>
  </si>
  <si>
    <t xml:space="preserve">Már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</si>
  <si>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월</t>
    </r>
  </si>
  <si>
    <t xml:space="preserve">Kov</t>
  </si>
  <si>
    <t xml:space="preserve">Мар</t>
  </si>
  <si>
    <t xml:space="preserve">مارس</t>
  </si>
  <si>
    <t xml:space="preserve">mar</t>
  </si>
  <si>
    <t xml:space="preserve">มีนาคม</t>
  </si>
  <si>
    <t xml:space="preserve">Tháng 3</t>
  </si>
  <si>
    <t xml:space="preserve">Бер</t>
  </si>
  <si>
    <t xml:space="preserve">مارچ</t>
  </si>
  <si>
    <t xml:space="preserve">Apr</t>
  </si>
  <si>
    <t xml:space="preserve">Pri</t>
  </si>
  <si>
    <t xml:space="preserve">نيسان</t>
  </si>
  <si>
    <t xml:space="preserve">Ապրիլ</t>
  </si>
  <si>
    <t xml:space="preserve">Април</t>
  </si>
  <si>
    <t xml:space="preserve">Abr</t>
  </si>
  <si>
    <t xml:space="preserve">四月</t>
  </si>
  <si>
    <t xml:space="preserve">Tra</t>
  </si>
  <si>
    <t xml:space="preserve">Avr</t>
  </si>
  <si>
    <t xml:space="preserve">აპრ</t>
  </si>
  <si>
    <t xml:space="preserve">Απρ</t>
  </si>
  <si>
    <t xml:space="preserve">אפריל</t>
  </si>
  <si>
    <t xml:space="preserve">Ápr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</si>
  <si>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월</t>
    </r>
  </si>
  <si>
    <t xml:space="preserve">Bal</t>
  </si>
  <si>
    <t xml:space="preserve">Апр</t>
  </si>
  <si>
    <t xml:space="preserve">آوریل</t>
  </si>
  <si>
    <t xml:space="preserve">Kwi</t>
  </si>
  <si>
    <t xml:space="preserve">apr</t>
  </si>
  <si>
    <t xml:space="preserve">เมษายน</t>
  </si>
  <si>
    <t xml:space="preserve">Nis</t>
  </si>
  <si>
    <t xml:space="preserve">Tháng 4</t>
  </si>
  <si>
    <t xml:space="preserve">Квіт</t>
  </si>
  <si>
    <t xml:space="preserve">اپریل</t>
  </si>
  <si>
    <t xml:space="preserve">May</t>
  </si>
  <si>
    <t xml:space="preserve">Maj</t>
  </si>
  <si>
    <t xml:space="preserve">أياد</t>
  </si>
  <si>
    <t xml:space="preserve">Մայիս</t>
  </si>
  <si>
    <t xml:space="preserve">Май</t>
  </si>
  <si>
    <t xml:space="preserve">Mai</t>
  </si>
  <si>
    <t xml:space="preserve">五月</t>
  </si>
  <si>
    <t xml:space="preserve">Svi</t>
  </si>
  <si>
    <t xml:space="preserve">Mei</t>
  </si>
  <si>
    <t xml:space="preserve">მაი</t>
  </si>
  <si>
    <t xml:space="preserve">Μαϊ</t>
  </si>
  <si>
    <t xml:space="preserve">מאי</t>
  </si>
  <si>
    <t xml:space="preserve">Máj</t>
  </si>
  <si>
    <t xml:space="preserve">Maí</t>
  </si>
  <si>
    <t xml:space="preserve">Mag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</si>
  <si>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월</t>
    </r>
  </si>
  <si>
    <t xml:space="preserve">Geg</t>
  </si>
  <si>
    <t xml:space="preserve">Мај</t>
  </si>
  <si>
    <t xml:space="preserve">Mej</t>
  </si>
  <si>
    <t xml:space="preserve">می</t>
  </si>
  <si>
    <t xml:space="preserve">maj</t>
  </si>
  <si>
    <t xml:space="preserve">พฤษภาคม</t>
  </si>
  <si>
    <t xml:space="preserve">Tháng 5</t>
  </si>
  <si>
    <t xml:space="preserve">Трав</t>
  </si>
  <si>
    <t xml:space="preserve">مئی</t>
  </si>
  <si>
    <t xml:space="preserve">Jun</t>
  </si>
  <si>
    <t xml:space="preserve">Qer</t>
  </si>
  <si>
    <t xml:space="preserve">حزيران</t>
  </si>
  <si>
    <t xml:space="preserve">Հունիս</t>
  </si>
  <si>
    <t xml:space="preserve">İyn</t>
  </si>
  <si>
    <t xml:space="preserve">Юни</t>
  </si>
  <si>
    <t xml:space="preserve">六月</t>
  </si>
  <si>
    <t xml:space="preserve">Lip</t>
  </si>
  <si>
    <t xml:space="preserve">Čer</t>
  </si>
  <si>
    <t xml:space="preserve">Juin</t>
  </si>
  <si>
    <t xml:space="preserve">ივნ</t>
  </si>
  <si>
    <t xml:space="preserve">Ιουν</t>
  </si>
  <si>
    <t xml:space="preserve">יוני</t>
  </si>
  <si>
    <t xml:space="preserve">Jún</t>
  </si>
  <si>
    <t xml:space="preserve">Giu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</si>
  <si>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</t>
    </r>
  </si>
  <si>
    <t xml:space="preserve">Birž</t>
  </si>
  <si>
    <t xml:space="preserve">Јун</t>
  </si>
  <si>
    <t xml:space="preserve">Ġun</t>
  </si>
  <si>
    <t xml:space="preserve">ژوئن</t>
  </si>
  <si>
    <t xml:space="preserve">Cze</t>
  </si>
  <si>
    <t xml:space="preserve">Iun</t>
  </si>
  <si>
    <t xml:space="preserve">jun</t>
  </si>
  <si>
    <t xml:space="preserve">มิถุนายน</t>
  </si>
  <si>
    <t xml:space="preserve">Haz</t>
  </si>
  <si>
    <t xml:space="preserve">Tháng 6</t>
  </si>
  <si>
    <t xml:space="preserve">Черв</t>
  </si>
  <si>
    <t xml:space="preserve">جون</t>
  </si>
  <si>
    <t xml:space="preserve">Jul</t>
  </si>
  <si>
    <t xml:space="preserve">Kor</t>
  </si>
  <si>
    <t xml:space="preserve">تموز</t>
  </si>
  <si>
    <t xml:space="preserve">Հուլիս</t>
  </si>
  <si>
    <t xml:space="preserve">İyl</t>
  </si>
  <si>
    <t xml:space="preserve">Юли</t>
  </si>
  <si>
    <t xml:space="preserve">七月</t>
  </si>
  <si>
    <t xml:space="preserve">Srp</t>
  </si>
  <si>
    <t xml:space="preserve">Čec</t>
  </si>
  <si>
    <t xml:space="preserve">Juil</t>
  </si>
  <si>
    <t xml:space="preserve">ივლ</t>
  </si>
  <si>
    <t xml:space="preserve">Ιουλ</t>
  </si>
  <si>
    <t xml:space="preserve">יולי</t>
  </si>
  <si>
    <t xml:space="preserve">Júl</t>
  </si>
  <si>
    <t xml:space="preserve">Lug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</si>
  <si>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월</t>
    </r>
  </si>
  <si>
    <t xml:space="preserve">Lie</t>
  </si>
  <si>
    <t xml:space="preserve">Јул</t>
  </si>
  <si>
    <t xml:space="preserve">Lul</t>
  </si>
  <si>
    <t xml:space="preserve">ژولای</t>
  </si>
  <si>
    <t xml:space="preserve">Iul</t>
  </si>
  <si>
    <t xml:space="preserve">jul</t>
  </si>
  <si>
    <t xml:space="preserve">กรกฎาคม</t>
  </si>
  <si>
    <t xml:space="preserve">Tem</t>
  </si>
  <si>
    <t xml:space="preserve">Tháng 7</t>
  </si>
  <si>
    <t xml:space="preserve">Лип</t>
  </si>
  <si>
    <t xml:space="preserve">جولائی</t>
  </si>
  <si>
    <t xml:space="preserve">Aug</t>
  </si>
  <si>
    <t xml:space="preserve">Gus</t>
  </si>
  <si>
    <t xml:space="preserve">آب</t>
  </si>
  <si>
    <t xml:space="preserve">Օգոս.</t>
  </si>
  <si>
    <t xml:space="preserve">Avq</t>
  </si>
  <si>
    <t xml:space="preserve">Август</t>
  </si>
  <si>
    <t xml:space="preserve">Ago</t>
  </si>
  <si>
    <t xml:space="preserve">八月</t>
  </si>
  <si>
    <t xml:space="preserve">Kol</t>
  </si>
  <si>
    <t xml:space="preserve">Août</t>
  </si>
  <si>
    <t xml:space="preserve">აგვ</t>
  </si>
  <si>
    <t xml:space="preserve">Αυγ</t>
  </si>
  <si>
    <t xml:space="preserve">אוגוסט</t>
  </si>
  <si>
    <t xml:space="preserve">Agu</t>
  </si>
  <si>
    <t xml:space="preserve">Ágú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</si>
  <si>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</t>
    </r>
  </si>
  <si>
    <t xml:space="preserve">Rugp</t>
  </si>
  <si>
    <t xml:space="preserve">Авг</t>
  </si>
  <si>
    <t xml:space="preserve">Aww</t>
  </si>
  <si>
    <t xml:space="preserve">اگوست</t>
  </si>
  <si>
    <t xml:space="preserve">Się</t>
  </si>
  <si>
    <t xml:space="preserve">Avg</t>
  </si>
  <si>
    <t xml:space="preserve">สิงหาคม</t>
  </si>
  <si>
    <t xml:space="preserve">Ağu</t>
  </si>
  <si>
    <t xml:space="preserve">Tháng 8</t>
  </si>
  <si>
    <t xml:space="preserve">Серп</t>
  </si>
  <si>
    <t xml:space="preserve">اگست</t>
  </si>
  <si>
    <t xml:space="preserve">Sep</t>
  </si>
  <si>
    <t xml:space="preserve">Shta</t>
  </si>
  <si>
    <t xml:space="preserve">أيلول</t>
  </si>
  <si>
    <t xml:space="preserve">Սեպտ.</t>
  </si>
  <si>
    <t xml:space="preserve">Септември</t>
  </si>
  <si>
    <t xml:space="preserve">Set</t>
  </si>
  <si>
    <t xml:space="preserve">九月</t>
  </si>
  <si>
    <t xml:space="preserve">Ruj</t>
  </si>
  <si>
    <t xml:space="preserve">Sept</t>
  </si>
  <si>
    <t xml:space="preserve">სექ</t>
  </si>
  <si>
    <t xml:space="preserve">Σεπ</t>
  </si>
  <si>
    <t xml:space="preserve">ספטמבר</t>
  </si>
  <si>
    <t xml:space="preserve">Szep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</si>
  <si>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</t>
    </r>
  </si>
  <si>
    <t xml:space="preserve">Rugs</t>
  </si>
  <si>
    <t xml:space="preserve">Сеп</t>
  </si>
  <si>
    <t xml:space="preserve">سپتامبر</t>
  </si>
  <si>
    <t xml:space="preserve">Wrz</t>
  </si>
  <si>
    <t xml:space="preserve">sep</t>
  </si>
  <si>
    <t xml:space="preserve">กันยายน</t>
  </si>
  <si>
    <t xml:space="preserve">Eyl</t>
  </si>
  <si>
    <t xml:space="preserve">Tháng 9</t>
  </si>
  <si>
    <t xml:space="preserve">Вер</t>
  </si>
  <si>
    <t xml:space="preserve">ستمبر</t>
  </si>
  <si>
    <t xml:space="preserve">Oct</t>
  </si>
  <si>
    <t xml:space="preserve">Tet</t>
  </si>
  <si>
    <t xml:space="preserve">تشرين أول</t>
  </si>
  <si>
    <t xml:space="preserve">Հոկտ.</t>
  </si>
  <si>
    <t xml:space="preserve">Okt</t>
  </si>
  <si>
    <t xml:space="preserve">Октомври</t>
  </si>
  <si>
    <t xml:space="preserve">十月</t>
  </si>
  <si>
    <t xml:space="preserve">Lis</t>
  </si>
  <si>
    <t xml:space="preserve">ოქტ</t>
  </si>
  <si>
    <t xml:space="preserve">Οκτ</t>
  </si>
  <si>
    <t xml:space="preserve">אוקטובר</t>
  </si>
  <si>
    <t xml:space="preserve">Ott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</si>
  <si>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월</t>
    </r>
  </si>
  <si>
    <t xml:space="preserve">Spa</t>
  </si>
  <si>
    <t xml:space="preserve">Окт</t>
  </si>
  <si>
    <t xml:space="preserve">اکتبر</t>
  </si>
  <si>
    <t xml:space="preserve">Paź</t>
  </si>
  <si>
    <t xml:space="preserve">Out</t>
  </si>
  <si>
    <t xml:space="preserve">okt</t>
  </si>
  <si>
    <t xml:space="preserve">ตุลาคม</t>
  </si>
  <si>
    <t xml:space="preserve">Eki</t>
  </si>
  <si>
    <t xml:space="preserve">Tháng 10</t>
  </si>
  <si>
    <t xml:space="preserve">Жовт</t>
  </si>
  <si>
    <t xml:space="preserve">اکتوبر</t>
  </si>
  <si>
    <t xml:space="preserve">Nov</t>
  </si>
  <si>
    <t xml:space="preserve">Nën</t>
  </si>
  <si>
    <t xml:space="preserve">تشرين ثاني</t>
  </si>
  <si>
    <t xml:space="preserve">Նոյեմ.</t>
  </si>
  <si>
    <t xml:space="preserve">Noy</t>
  </si>
  <si>
    <t xml:space="preserve">Ноември</t>
  </si>
  <si>
    <t xml:space="preserve">十一月</t>
  </si>
  <si>
    <t xml:space="preserve">Stu</t>
  </si>
  <si>
    <t xml:space="preserve">ნოე</t>
  </si>
  <si>
    <t xml:space="preserve">Νοε</t>
  </si>
  <si>
    <t xml:space="preserve">נובמבר</t>
  </si>
  <si>
    <t xml:space="preserve">Nop</t>
  </si>
  <si>
    <t xml:space="preserve">Nóv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</si>
  <si>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월</t>
    </r>
  </si>
  <si>
    <t xml:space="preserve">Lapk</t>
  </si>
  <si>
    <t xml:space="preserve">Ное</t>
  </si>
  <si>
    <t xml:space="preserve">نوامبر</t>
  </si>
  <si>
    <t xml:space="preserve">Noi</t>
  </si>
  <si>
    <t xml:space="preserve">nov</t>
  </si>
  <si>
    <t xml:space="preserve">พฤศจิกายน</t>
  </si>
  <si>
    <t xml:space="preserve">Kas</t>
  </si>
  <si>
    <t xml:space="preserve">Tháng 11</t>
  </si>
  <si>
    <t xml:space="preserve">Лист</t>
  </si>
  <si>
    <t xml:space="preserve">نومبر</t>
  </si>
  <si>
    <t xml:space="preserve">Dec</t>
  </si>
  <si>
    <t xml:space="preserve">Dhj</t>
  </si>
  <si>
    <t xml:space="preserve">كانون أول</t>
  </si>
  <si>
    <t xml:space="preserve">Դեկտ.</t>
  </si>
  <si>
    <t xml:space="preserve">Dek</t>
  </si>
  <si>
    <t xml:space="preserve">Декември</t>
  </si>
  <si>
    <t xml:space="preserve">Des</t>
  </si>
  <si>
    <t xml:space="preserve">十二月</t>
  </si>
  <si>
    <t xml:space="preserve">Pro</t>
  </si>
  <si>
    <t xml:space="preserve">Déc</t>
  </si>
  <si>
    <t xml:space="preserve">დეკ</t>
  </si>
  <si>
    <t xml:space="preserve">Dez</t>
  </si>
  <si>
    <t xml:space="preserve">Δεκ</t>
  </si>
  <si>
    <t xml:space="preserve">דצמבר</t>
  </si>
  <si>
    <t xml:space="preserve">Dic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</si>
  <si>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월</t>
    </r>
  </si>
  <si>
    <t xml:space="preserve">Gruo</t>
  </si>
  <si>
    <t xml:space="preserve">Дек</t>
  </si>
  <si>
    <t xml:space="preserve">Deċ</t>
  </si>
  <si>
    <t xml:space="preserve">دسامبر</t>
  </si>
  <si>
    <t xml:space="preserve">Gru</t>
  </si>
  <si>
    <t xml:space="preserve">dec</t>
  </si>
  <si>
    <t xml:space="preserve">ธันวาคม</t>
  </si>
  <si>
    <t xml:space="preserve">Ara</t>
  </si>
  <si>
    <t xml:space="preserve">Tháng 12</t>
  </si>
  <si>
    <t xml:space="preserve">Груд</t>
  </si>
  <si>
    <t xml:space="preserve">دسمبر</t>
  </si>
  <si>
    <t xml:space="preserve">Team</t>
  </si>
  <si>
    <t xml:space="preserve">Ekipi</t>
  </si>
  <si>
    <t xml:space="preserve">المنتخب</t>
  </si>
  <si>
    <t xml:space="preserve">Հավաքական</t>
  </si>
  <si>
    <t xml:space="preserve">Komanda</t>
  </si>
  <si>
    <t xml:space="preserve">Отбор</t>
  </si>
  <si>
    <t xml:space="preserve">Equip</t>
  </si>
  <si>
    <t xml:space="preserve">球队</t>
  </si>
  <si>
    <t xml:space="preserve">隊伍</t>
  </si>
  <si>
    <t xml:space="preserve">Hold</t>
  </si>
  <si>
    <t xml:space="preserve">Lið</t>
  </si>
  <si>
    <t xml:space="preserve">Équipe</t>
  </si>
  <si>
    <t xml:space="preserve">ნაკრები</t>
  </si>
  <si>
    <t xml:space="preserve">Ομάδα</t>
  </si>
  <si>
    <t xml:space="preserve">קבוצה</t>
  </si>
  <si>
    <t xml:space="preserve">Csapat</t>
  </si>
  <si>
    <t xml:space="preserve">Tim</t>
  </si>
  <si>
    <t xml:space="preserve">Squadra</t>
  </si>
  <si>
    <t xml:space="preserve">팀</t>
  </si>
  <si>
    <t xml:space="preserve">Тим</t>
  </si>
  <si>
    <t xml:space="preserve">Lag</t>
  </si>
  <si>
    <t xml:space="preserve">تیم</t>
  </si>
  <si>
    <t xml:space="preserve">Drużyna</t>
  </si>
  <si>
    <t xml:space="preserve">Equipa</t>
  </si>
  <si>
    <t xml:space="preserve">Echipa</t>
  </si>
  <si>
    <t xml:space="preserve">Reprezentacija</t>
  </si>
  <si>
    <t xml:space="preserve">Mužstvo</t>
  </si>
  <si>
    <t xml:space="preserve">Moštvo</t>
  </si>
  <si>
    <t xml:space="preserve">Equipo</t>
  </si>
  <si>
    <t xml:space="preserve">ทึม</t>
  </si>
  <si>
    <t xml:space="preserve">Takım</t>
  </si>
  <si>
    <t xml:space="preserve">Đội</t>
  </si>
  <si>
    <t xml:space="preserve">Команда</t>
  </si>
  <si>
    <t xml:space="preserve">ٹیم</t>
  </si>
  <si>
    <t xml:space="preserve">Senegal</t>
  </si>
  <si>
    <t xml:space="preserve">السنغال</t>
  </si>
  <si>
    <t xml:space="preserve">Սենեգալ</t>
  </si>
  <si>
    <t xml:space="preserve">Seneqal</t>
  </si>
  <si>
    <t xml:space="preserve">Сенегал</t>
  </si>
  <si>
    <t xml:space="preserve">塞内加尔</t>
  </si>
  <si>
    <t xml:space="preserve">塞內加爾</t>
  </si>
  <si>
    <t xml:space="preserve">Sénégal</t>
  </si>
  <si>
    <t xml:space="preserve">სენეგალი</t>
  </si>
  <si>
    <t xml:space="preserve">Σενεγάλη</t>
  </si>
  <si>
    <t xml:space="preserve">סנגל</t>
  </si>
  <si>
    <t xml:space="preserve">Szenegál</t>
  </si>
  <si>
    <t xml:space="preserve">senegal</t>
  </si>
  <si>
    <t xml:space="preserve">세네갈</t>
  </si>
  <si>
    <t xml:space="preserve">Senegalas</t>
  </si>
  <si>
    <t xml:space="preserve">سنگال</t>
  </si>
  <si>
    <t xml:space="preserve">сенегал</t>
  </si>
  <si>
    <t xml:space="preserve">ประเทศเซเนกัล</t>
  </si>
  <si>
    <t xml:space="preserve">سنیگال</t>
  </si>
  <si>
    <t xml:space="preserve">Qatar</t>
  </si>
  <si>
    <t xml:space="preserve">Katari</t>
  </si>
  <si>
    <t xml:space="preserve">دولة قطر</t>
  </si>
  <si>
    <t xml:space="preserve">Քաթար</t>
  </si>
  <si>
    <t xml:space="preserve">Катар</t>
  </si>
  <si>
    <t xml:space="preserve">卡塔尔</t>
  </si>
  <si>
    <t xml:space="preserve">卡塔爾</t>
  </si>
  <si>
    <t xml:space="preserve">Katar</t>
  </si>
  <si>
    <t xml:space="preserve">ᲙᲐᲢᲐᲠᲘ</t>
  </si>
  <si>
    <t xml:space="preserve">Κατάρ</t>
  </si>
  <si>
    <t xml:space="preserve">קטאר</t>
  </si>
  <si>
    <t xml:space="preserve">카타르</t>
  </si>
  <si>
    <t xml:space="preserve">Kataras</t>
  </si>
  <si>
    <t xml:space="preserve">قطر</t>
  </si>
  <si>
    <t xml:space="preserve">Catar</t>
  </si>
  <si>
    <t xml:space="preserve">กาตาร์</t>
  </si>
  <si>
    <t xml:space="preserve">Ecuador</t>
  </si>
  <si>
    <t xml:space="preserve">Ekuador</t>
  </si>
  <si>
    <t xml:space="preserve">الإكوادور</t>
  </si>
  <si>
    <t xml:space="preserve">Էկվադոր</t>
  </si>
  <si>
    <t xml:space="preserve">Ekvador</t>
  </si>
  <si>
    <t xml:space="preserve">Еквадор</t>
  </si>
  <si>
    <t xml:space="preserve">厄瓜多尔</t>
  </si>
  <si>
    <t xml:space="preserve">厄瓜多爾</t>
  </si>
  <si>
    <t xml:space="preserve">Ekvádor</t>
  </si>
  <si>
    <t xml:space="preserve">Equateur</t>
  </si>
  <si>
    <t xml:space="preserve">ᲔᲙᲕᲐᲓᲝᲠᲘ</t>
  </si>
  <si>
    <t xml:space="preserve">Εκουαδόρ</t>
  </si>
  <si>
    <t xml:space="preserve">אקוודור</t>
  </si>
  <si>
    <t xml:space="preserve">에콰도르</t>
  </si>
  <si>
    <t xml:space="preserve">Ekvadoras</t>
  </si>
  <si>
    <t xml:space="preserve">Ekwador</t>
  </si>
  <si>
    <t xml:space="preserve">اکوادور</t>
  </si>
  <si>
    <t xml:space="preserve">Equador</t>
  </si>
  <si>
    <t xml:space="preserve">เอกวาดอร์</t>
  </si>
  <si>
    <t xml:space="preserve">ایکواڈور</t>
  </si>
  <si>
    <t xml:space="preserve">Netherlands</t>
  </si>
  <si>
    <t xml:space="preserve">Hollandë</t>
  </si>
  <si>
    <t xml:space="preserve">هولندا</t>
  </si>
  <si>
    <t xml:space="preserve">Նիդեռլանդներ</t>
  </si>
  <si>
    <t xml:space="preserve">Hollandiya</t>
  </si>
  <si>
    <t xml:space="preserve">Холандия</t>
  </si>
  <si>
    <t xml:space="preserve">Països Baixos</t>
  </si>
  <si>
    <t xml:space="preserve">荷兰</t>
  </si>
  <si>
    <t xml:space="preserve">荷蘭</t>
  </si>
  <si>
    <t xml:space="preserve">Nizozemska</t>
  </si>
  <si>
    <t xml:space="preserve">Holandsko</t>
  </si>
  <si>
    <t xml:space="preserve">Holland</t>
  </si>
  <si>
    <t xml:space="preserve">Nederland</t>
  </si>
  <si>
    <t xml:space="preserve">Pays-Bas</t>
  </si>
  <si>
    <t xml:space="preserve">ᲜᲘᲓᲔᲠᲚᲐᲜᲓᲔᲑᲘ</t>
  </si>
  <si>
    <t xml:space="preserve">Niederlande</t>
  </si>
  <si>
    <t xml:space="preserve">Ολλανδία</t>
  </si>
  <si>
    <t xml:space="preserve">הולנד</t>
  </si>
  <si>
    <t xml:space="preserve">Hollandia</t>
  </si>
  <si>
    <t xml:space="preserve">Belanda</t>
  </si>
  <si>
    <t xml:space="preserve">Olanda</t>
  </si>
  <si>
    <t xml:space="preserve">네덜란드</t>
  </si>
  <si>
    <t xml:space="preserve">Nyderlandai</t>
  </si>
  <si>
    <t xml:space="preserve">Холандија</t>
  </si>
  <si>
    <t xml:space="preserve">هلند</t>
  </si>
  <si>
    <t xml:space="preserve">Holandia</t>
  </si>
  <si>
    <t xml:space="preserve">Holanda</t>
  </si>
  <si>
    <t xml:space="preserve">Низоземска</t>
  </si>
  <si>
    <t xml:space="preserve">Países Bajos</t>
  </si>
  <si>
    <t xml:space="preserve">Nederländska</t>
  </si>
  <si>
    <t xml:space="preserve">เนเธอร์แลนด์</t>
  </si>
  <si>
    <t xml:space="preserve">Hollanda</t>
  </si>
  <si>
    <t xml:space="preserve">NướC Hà Lan</t>
  </si>
  <si>
    <t xml:space="preserve">Нідерланди</t>
  </si>
  <si>
    <t xml:space="preserve">نیدرلینڈز</t>
  </si>
  <si>
    <t xml:space="preserve">England</t>
  </si>
  <si>
    <t xml:space="preserve">Angli</t>
  </si>
  <si>
    <t xml:space="preserve">انجلترا</t>
  </si>
  <si>
    <t xml:space="preserve">Անգլիա</t>
  </si>
  <si>
    <t xml:space="preserve">İngiltərə</t>
  </si>
  <si>
    <t xml:space="preserve">Англия</t>
  </si>
  <si>
    <t xml:space="preserve">Anglaterra</t>
  </si>
  <si>
    <t xml:space="preserve">英国</t>
  </si>
  <si>
    <t xml:space="preserve">英國</t>
  </si>
  <si>
    <t xml:space="preserve">Engleska</t>
  </si>
  <si>
    <t xml:space="preserve">Anglie</t>
  </si>
  <si>
    <t xml:space="preserve">Engeland</t>
  </si>
  <si>
    <t xml:space="preserve">Angleterre</t>
  </si>
  <si>
    <t xml:space="preserve">ინგლისი</t>
  </si>
  <si>
    <t xml:space="preserve">Αγγλία</t>
  </si>
  <si>
    <t xml:space="preserve">אנגליה</t>
  </si>
  <si>
    <t xml:space="preserve">Anglia</t>
  </si>
  <si>
    <t xml:space="preserve">Inggris</t>
  </si>
  <si>
    <t xml:space="preserve">Inghilterra</t>
  </si>
  <si>
    <t xml:space="preserve">영국</t>
  </si>
  <si>
    <t xml:space="preserve">Anglija</t>
  </si>
  <si>
    <t xml:space="preserve">Англија</t>
  </si>
  <si>
    <t xml:space="preserve">Ingilterra</t>
  </si>
  <si>
    <t xml:space="preserve">انگلستان</t>
  </si>
  <si>
    <t xml:space="preserve">Inglaterra</t>
  </si>
  <si>
    <t xml:space="preserve">Енглеска</t>
  </si>
  <si>
    <t xml:space="preserve">Anglicko</t>
  </si>
  <si>
    <t xml:space="preserve">อังกฤษ</t>
  </si>
  <si>
    <t xml:space="preserve">İngiltere</t>
  </si>
  <si>
    <t xml:space="preserve">Anh</t>
  </si>
  <si>
    <t xml:space="preserve">Англія</t>
  </si>
  <si>
    <t xml:space="preserve">انگلینڈ</t>
  </si>
  <si>
    <t xml:space="preserve">Iran</t>
  </si>
  <si>
    <t xml:space="preserve">ايران</t>
  </si>
  <si>
    <t xml:space="preserve">Իրան</t>
  </si>
  <si>
    <t xml:space="preserve">İran</t>
  </si>
  <si>
    <t xml:space="preserve">Иран</t>
  </si>
  <si>
    <t xml:space="preserve">伊朗</t>
  </si>
  <si>
    <t xml:space="preserve">Írán</t>
  </si>
  <si>
    <t xml:space="preserve">ირანის</t>
  </si>
  <si>
    <t xml:space="preserve">Ιράν</t>
  </si>
  <si>
    <t xml:space="preserve">אירן</t>
  </si>
  <si>
    <t xml:space="preserve">Irán</t>
  </si>
  <si>
    <t xml:space="preserve">Íran</t>
  </si>
  <si>
    <t xml:space="preserve">이란</t>
  </si>
  <si>
    <t xml:space="preserve">Iranas</t>
  </si>
  <si>
    <t xml:space="preserve">ایران</t>
  </si>
  <si>
    <t xml:space="preserve">Irã</t>
  </si>
  <si>
    <t xml:space="preserve">อิหร่าน</t>
  </si>
  <si>
    <t xml:space="preserve">Іран</t>
  </si>
  <si>
    <t xml:space="preserve">United States</t>
  </si>
  <si>
    <t xml:space="preserve">Shtetet E Bashkuara</t>
  </si>
  <si>
    <t xml:space="preserve">الولايات المتحدة</t>
  </si>
  <si>
    <t xml:space="preserve">Միացյալ Նահանգներ</t>
  </si>
  <si>
    <t xml:space="preserve">Amerika BirləŞmiş Ştatları</t>
  </si>
  <si>
    <t xml:space="preserve">Съединени Щати</t>
  </si>
  <si>
    <t xml:space="preserve">Estats Units</t>
  </si>
  <si>
    <t xml:space="preserve">美国</t>
  </si>
  <si>
    <t xml:space="preserve">美國</t>
  </si>
  <si>
    <t xml:space="preserve">Ujedinjene Države</t>
  </si>
  <si>
    <t xml:space="preserve">Spojené Státy</t>
  </si>
  <si>
    <t xml:space="preserve">Forenede Stater</t>
  </si>
  <si>
    <t xml:space="preserve">Verenigde Staten</t>
  </si>
  <si>
    <t xml:space="preserve">États-Unis</t>
  </si>
  <si>
    <t xml:space="preserve">ᲨᲔᲔᲠᲗᲔᲑᲣᲚᲘ ᲨᲢᲐᲢᲔᲑᲘ</t>
  </si>
  <si>
    <t xml:space="preserve">Vereinigte Staaten</t>
  </si>
  <si>
    <t xml:space="preserve">Ηνωμένες Πολιτείες</t>
  </si>
  <si>
    <t xml:space="preserve">ארצות הברית</t>
  </si>
  <si>
    <t xml:space="preserve">Egyesült Államok</t>
  </si>
  <si>
    <t xml:space="preserve">Amerika Serikat</t>
  </si>
  <si>
    <t xml:space="preserve">Bandaríkin</t>
  </si>
  <si>
    <t xml:space="preserve">Stati Uniti</t>
  </si>
  <si>
    <t xml:space="preserve">미국</t>
  </si>
  <si>
    <t xml:space="preserve">Jungtinės Valstijos</t>
  </si>
  <si>
    <t xml:space="preserve">Соединети Држави</t>
  </si>
  <si>
    <t xml:space="preserve">USA</t>
  </si>
  <si>
    <t xml:space="preserve">ایالات متحده</t>
  </si>
  <si>
    <t xml:space="preserve">Stany Zjednoczone</t>
  </si>
  <si>
    <t xml:space="preserve">Estados Unidos</t>
  </si>
  <si>
    <t xml:space="preserve">Statele Unite</t>
  </si>
  <si>
    <t xml:space="preserve">Америка</t>
  </si>
  <si>
    <t xml:space="preserve">Spojené Štáty</t>
  </si>
  <si>
    <t xml:space="preserve">Združene Države</t>
  </si>
  <si>
    <t xml:space="preserve">Förenta Staterna</t>
  </si>
  <si>
    <t xml:space="preserve">สหรัฐ</t>
  </si>
  <si>
    <t xml:space="preserve">Amerika Birleşik Devletleri</t>
  </si>
  <si>
    <t xml:space="preserve">Hoa Kỳ</t>
  </si>
  <si>
    <t xml:space="preserve">Сполучені Штати</t>
  </si>
  <si>
    <t xml:space="preserve">ریاستہائے متحدہ</t>
  </si>
  <si>
    <t xml:space="preserve">Wales</t>
  </si>
  <si>
    <t xml:space="preserve">Uells</t>
  </si>
  <si>
    <t xml:space="preserve">ويلز</t>
  </si>
  <si>
    <t xml:space="preserve">Ուելս</t>
  </si>
  <si>
    <t xml:space="preserve">Uels</t>
  </si>
  <si>
    <t xml:space="preserve">Уелс</t>
  </si>
  <si>
    <t xml:space="preserve">Gal·Les</t>
  </si>
  <si>
    <t xml:space="preserve">威尔士</t>
  </si>
  <si>
    <t xml:space="preserve">威爾士</t>
  </si>
  <si>
    <t xml:space="preserve">Pays De Galles</t>
  </si>
  <si>
    <t xml:space="preserve">ᲣᲔᲚᲡᲘ</t>
  </si>
  <si>
    <t xml:space="preserve">Ουαλία</t>
  </si>
  <si>
    <t xml:space="preserve">וויילס</t>
  </si>
  <si>
    <t xml:space="preserve">Galles</t>
  </si>
  <si>
    <t xml:space="preserve">웨일즈</t>
  </si>
  <si>
    <t xml:space="preserve">Velsas</t>
  </si>
  <si>
    <t xml:space="preserve">Велс</t>
  </si>
  <si>
    <t xml:space="preserve">ولز</t>
  </si>
  <si>
    <t xml:space="preserve">Walia</t>
  </si>
  <si>
    <t xml:space="preserve">Gales</t>
  </si>
  <si>
    <t xml:space="preserve">Țara Galilor</t>
  </si>
  <si>
    <t xml:space="preserve">Веллес</t>
  </si>
  <si>
    <t xml:space="preserve">เวลส์</t>
  </si>
  <si>
    <t xml:space="preserve">Galler</t>
  </si>
  <si>
    <t xml:space="preserve">Xứ Wales</t>
  </si>
  <si>
    <t xml:space="preserve">Уельс</t>
  </si>
  <si>
    <t xml:space="preserve">ویلز</t>
  </si>
  <si>
    <t xml:space="preserve">Argentina</t>
  </si>
  <si>
    <t xml:space="preserve">Argjentinë</t>
  </si>
  <si>
    <t xml:space="preserve">الأرجنتين</t>
  </si>
  <si>
    <t xml:space="preserve">Արգենտինա</t>
  </si>
  <si>
    <t xml:space="preserve">Аржентина</t>
  </si>
  <si>
    <t xml:space="preserve">阿根廷</t>
  </si>
  <si>
    <t xml:space="preserve">Argentinië</t>
  </si>
  <si>
    <t xml:space="preserve">Argentine</t>
  </si>
  <si>
    <t xml:space="preserve">არგენტინის</t>
  </si>
  <si>
    <t xml:space="preserve">Argentinien</t>
  </si>
  <si>
    <t xml:space="preserve">Αργεντινή</t>
  </si>
  <si>
    <t xml:space="preserve">ארגנטינה</t>
  </si>
  <si>
    <t xml:space="preserve">Argentína</t>
  </si>
  <si>
    <t xml:space="preserve">아르헨티나</t>
  </si>
  <si>
    <t xml:space="preserve">Аргентина</t>
  </si>
  <si>
    <t xml:space="preserve">Arġentina</t>
  </si>
  <si>
    <t xml:space="preserve">آرژانتین</t>
  </si>
  <si>
    <t xml:space="preserve">Argentyna</t>
  </si>
  <si>
    <t xml:space="preserve">อาร์เจนตินา</t>
  </si>
  <si>
    <t xml:space="preserve">Arjantin</t>
  </si>
  <si>
    <t xml:space="preserve">ارجنٹینا</t>
  </si>
  <si>
    <t xml:space="preserve">Saudi Arabia</t>
  </si>
  <si>
    <t xml:space="preserve">Arabia Saudite</t>
  </si>
  <si>
    <t xml:space="preserve">المملكة العربية السعودية</t>
  </si>
  <si>
    <t xml:space="preserve">Սաուդյան Արաբիան</t>
  </si>
  <si>
    <t xml:space="preserve">Səudiyyə Ərəbistanı</t>
  </si>
  <si>
    <t xml:space="preserve">Саудитска Арабия</t>
  </si>
  <si>
    <t xml:space="preserve">Aràbia Saudita</t>
  </si>
  <si>
    <t xml:space="preserve">沙特阿拉伯</t>
  </si>
  <si>
    <t xml:space="preserve">Saudijska Arabija</t>
  </si>
  <si>
    <t xml:space="preserve">Saudská arábie</t>
  </si>
  <si>
    <t xml:space="preserve">Saudi Arabien</t>
  </si>
  <si>
    <t xml:space="preserve">Saoedi-Arabië</t>
  </si>
  <si>
    <t xml:space="preserve">Arabie Saoudite</t>
  </si>
  <si>
    <t xml:space="preserve">საუდის არაბეთი</t>
  </si>
  <si>
    <t xml:space="preserve">Σαουδική Αραβία</t>
  </si>
  <si>
    <t xml:space="preserve">ערב הסעודית</t>
  </si>
  <si>
    <t xml:space="preserve">Szaud-Arábia</t>
  </si>
  <si>
    <t xml:space="preserve">Arab Saudi</t>
  </si>
  <si>
    <t xml:space="preserve">Sádí-Arabía</t>
  </si>
  <si>
    <t xml:space="preserve">Arabia Saudita</t>
  </si>
  <si>
    <t xml:space="preserve">사우디 아라비아</t>
  </si>
  <si>
    <t xml:space="preserve">Saudo Arabija</t>
  </si>
  <si>
    <t xml:space="preserve">Саудиска Арабија</t>
  </si>
  <si>
    <t xml:space="preserve">Għarabja Sawdita</t>
  </si>
  <si>
    <t xml:space="preserve">Saudi-Arabia</t>
  </si>
  <si>
    <t xml:space="preserve">عربستان سعودی</t>
  </si>
  <si>
    <t xml:space="preserve">Arabia Saudyjska</t>
  </si>
  <si>
    <t xml:space="preserve">Arábia Saudita</t>
  </si>
  <si>
    <t xml:space="preserve">Arabia Saudită</t>
  </si>
  <si>
    <t xml:space="preserve">Саудијска Арабија</t>
  </si>
  <si>
    <t xml:space="preserve">Saudská Arábia</t>
  </si>
  <si>
    <t xml:space="preserve">Savdska Arabija</t>
  </si>
  <si>
    <t xml:space="preserve">Saudiarabien</t>
  </si>
  <si>
    <t xml:space="preserve">ซาอุดิอาราเบีย</t>
  </si>
  <si>
    <t xml:space="preserve">Suudi Arabistan</t>
  </si>
  <si>
    <t xml:space="preserve">Ả Rập Xê-út</t>
  </si>
  <si>
    <t xml:space="preserve">Саудівська Аравія</t>
  </si>
  <si>
    <t xml:space="preserve">سعودی عرب</t>
  </si>
  <si>
    <t xml:space="preserve">Mexico</t>
  </si>
  <si>
    <t xml:space="preserve">Meksikë</t>
  </si>
  <si>
    <t xml:space="preserve">المكسيك</t>
  </si>
  <si>
    <t xml:space="preserve">Մեքսիկա</t>
  </si>
  <si>
    <t xml:space="preserve">Meksika</t>
  </si>
  <si>
    <t xml:space="preserve">Мексико</t>
  </si>
  <si>
    <t xml:space="preserve">Mèxic</t>
  </si>
  <si>
    <t xml:space="preserve">墨西哥</t>
  </si>
  <si>
    <t xml:space="preserve">Meksiko</t>
  </si>
  <si>
    <t xml:space="preserve">Mexiko</t>
  </si>
  <si>
    <t xml:space="preserve">Mexique</t>
  </si>
  <si>
    <t xml:space="preserve">მექსიკა</t>
  </si>
  <si>
    <t xml:space="preserve">Μεξικό</t>
  </si>
  <si>
    <t xml:space="preserve">מקסיקו</t>
  </si>
  <si>
    <t xml:space="preserve">Mexikó</t>
  </si>
  <si>
    <t xml:space="preserve">Messico</t>
  </si>
  <si>
    <t xml:space="preserve">멕시코</t>
  </si>
  <si>
    <t xml:space="preserve">Messiku</t>
  </si>
  <si>
    <t xml:space="preserve">مکزیک</t>
  </si>
  <si>
    <t xml:space="preserve">Meksyk</t>
  </si>
  <si>
    <t xml:space="preserve">México</t>
  </si>
  <si>
    <t xml:space="preserve">Mexic</t>
  </si>
  <si>
    <t xml:space="preserve">mexico</t>
  </si>
  <si>
    <t xml:space="preserve">ประเทศเม็กซิโก</t>
  </si>
  <si>
    <t xml:space="preserve">Мексика</t>
  </si>
  <si>
    <t xml:space="preserve">میکسیکو</t>
  </si>
  <si>
    <t xml:space="preserve">Poland</t>
  </si>
  <si>
    <t xml:space="preserve">Poloni</t>
  </si>
  <si>
    <t xml:space="preserve">بولندا</t>
  </si>
  <si>
    <t xml:space="preserve">Լեհաստան</t>
  </si>
  <si>
    <t xml:space="preserve">Polşa</t>
  </si>
  <si>
    <t xml:space="preserve">Полша</t>
  </si>
  <si>
    <t xml:space="preserve">Polònia</t>
  </si>
  <si>
    <t xml:space="preserve">波兰</t>
  </si>
  <si>
    <t xml:space="preserve">波蘭</t>
  </si>
  <si>
    <t xml:space="preserve">Poljska</t>
  </si>
  <si>
    <t xml:space="preserve">Polsko</t>
  </si>
  <si>
    <t xml:space="preserve">Polen</t>
  </si>
  <si>
    <t xml:space="preserve">PÓland</t>
  </si>
  <si>
    <t xml:space="preserve">Pologne</t>
  </si>
  <si>
    <t xml:space="preserve">პოლონეთი</t>
  </si>
  <si>
    <t xml:space="preserve">Πολωνία</t>
  </si>
  <si>
    <t xml:space="preserve">פּוֹלִין</t>
  </si>
  <si>
    <t xml:space="preserve">Lengyelország</t>
  </si>
  <si>
    <t xml:space="preserve">Polandia</t>
  </si>
  <si>
    <t xml:space="preserve">Polonia</t>
  </si>
  <si>
    <t xml:space="preserve">폴란드</t>
  </si>
  <si>
    <t xml:space="preserve">Lenkija</t>
  </si>
  <si>
    <t xml:space="preserve">Полска</t>
  </si>
  <si>
    <t xml:space="preserve">Polonja</t>
  </si>
  <si>
    <t xml:space="preserve">لهستان</t>
  </si>
  <si>
    <t xml:space="preserve">Polska</t>
  </si>
  <si>
    <t xml:space="preserve">Polônia</t>
  </si>
  <si>
    <t xml:space="preserve">Пољска</t>
  </si>
  <si>
    <t xml:space="preserve">Poľsko</t>
  </si>
  <si>
    <t xml:space="preserve">polen</t>
  </si>
  <si>
    <t xml:space="preserve">โปแลนด์</t>
  </si>
  <si>
    <t xml:space="preserve">Polonya</t>
  </si>
  <si>
    <t xml:space="preserve">Ba Lan</t>
  </si>
  <si>
    <t xml:space="preserve">Польща</t>
  </si>
  <si>
    <t xml:space="preserve">پولینڈ</t>
  </si>
  <si>
    <t xml:space="preserve">France</t>
  </si>
  <si>
    <t xml:space="preserve">Francë</t>
  </si>
  <si>
    <t xml:space="preserve">فرنسا</t>
  </si>
  <si>
    <t xml:space="preserve">Ֆրանսիա</t>
  </si>
  <si>
    <t xml:space="preserve">Fransa</t>
  </si>
  <si>
    <t xml:space="preserve">Франция</t>
  </si>
  <si>
    <t xml:space="preserve">França</t>
  </si>
  <si>
    <t xml:space="preserve">法国</t>
  </si>
  <si>
    <t xml:space="preserve">法國</t>
  </si>
  <si>
    <t xml:space="preserve">Francuska</t>
  </si>
  <si>
    <t xml:space="preserve">Francie</t>
  </si>
  <si>
    <t xml:space="preserve">Frankrig</t>
  </si>
  <si>
    <t xml:space="preserve">Frankrijk</t>
  </si>
  <si>
    <t xml:space="preserve">Frankaríki</t>
  </si>
  <si>
    <t xml:space="preserve">საფრანგეთი</t>
  </si>
  <si>
    <t xml:space="preserve">Frankreich</t>
  </si>
  <si>
    <t xml:space="preserve">Γαλλία</t>
  </si>
  <si>
    <t xml:space="preserve">צרפת</t>
  </si>
  <si>
    <t xml:space="preserve">Franciaország</t>
  </si>
  <si>
    <t xml:space="preserve">Perancis</t>
  </si>
  <si>
    <t xml:space="preserve">Francia</t>
  </si>
  <si>
    <t xml:space="preserve">프랑스</t>
  </si>
  <si>
    <t xml:space="preserve">Prancūzija</t>
  </si>
  <si>
    <t xml:space="preserve">Франција</t>
  </si>
  <si>
    <t xml:space="preserve">Franza</t>
  </si>
  <si>
    <t xml:space="preserve">Frankrike</t>
  </si>
  <si>
    <t xml:space="preserve">فرانسه</t>
  </si>
  <si>
    <t xml:space="preserve">Francja</t>
  </si>
  <si>
    <t xml:space="preserve">Franța</t>
  </si>
  <si>
    <t xml:space="preserve">Француска</t>
  </si>
  <si>
    <t xml:space="preserve">Francúzsko</t>
  </si>
  <si>
    <t xml:space="preserve">ฝรั่งเศส</t>
  </si>
  <si>
    <t xml:space="preserve">Pháp</t>
  </si>
  <si>
    <t xml:space="preserve">Франція</t>
  </si>
  <si>
    <t xml:space="preserve">فرانس</t>
  </si>
  <si>
    <t xml:space="preserve">Australia</t>
  </si>
  <si>
    <t xml:space="preserve">Australi</t>
  </si>
  <si>
    <t xml:space="preserve">أستراليا</t>
  </si>
  <si>
    <t xml:space="preserve">Ավստրալիա</t>
  </si>
  <si>
    <t xml:space="preserve">Avstraliya</t>
  </si>
  <si>
    <t xml:space="preserve">Австралия</t>
  </si>
  <si>
    <t xml:space="preserve">Austràlia</t>
  </si>
  <si>
    <t xml:space="preserve">澳大利亚</t>
  </si>
  <si>
    <t xml:space="preserve">澳大利亞</t>
  </si>
  <si>
    <t xml:space="preserve">Australija</t>
  </si>
  <si>
    <t xml:space="preserve">Austrálie</t>
  </si>
  <si>
    <t xml:space="preserve">Australien</t>
  </si>
  <si>
    <t xml:space="preserve">Australië</t>
  </si>
  <si>
    <t xml:space="preserve">Australie</t>
  </si>
  <si>
    <t xml:space="preserve">ავსტრალიაში</t>
  </si>
  <si>
    <t xml:space="preserve">Αυστραλία</t>
  </si>
  <si>
    <t xml:space="preserve">אוסטרליה</t>
  </si>
  <si>
    <t xml:space="preserve">Ausztrália</t>
  </si>
  <si>
    <t xml:space="preserve">호주</t>
  </si>
  <si>
    <t xml:space="preserve">Австралија</t>
  </si>
  <si>
    <t xml:space="preserve">Awstralja</t>
  </si>
  <si>
    <t xml:space="preserve">استرالیا</t>
  </si>
  <si>
    <t xml:space="preserve">Austrália</t>
  </si>
  <si>
    <t xml:space="preserve">Аустралија</t>
  </si>
  <si>
    <t xml:space="preserve">Avstralija</t>
  </si>
  <si>
    <t xml:space="preserve">ออสเตรเลีย</t>
  </si>
  <si>
    <t xml:space="preserve">Avustralya</t>
  </si>
  <si>
    <t xml:space="preserve">Úc</t>
  </si>
  <si>
    <t xml:space="preserve">Австралія</t>
  </si>
  <si>
    <t xml:space="preserve">آسٹریلیا</t>
  </si>
  <si>
    <t xml:space="preserve">Denmark</t>
  </si>
  <si>
    <t xml:space="preserve">Danimarkë</t>
  </si>
  <si>
    <t xml:space="preserve">الدنمارك</t>
  </si>
  <si>
    <t xml:space="preserve">Դանիա</t>
  </si>
  <si>
    <t xml:space="preserve">Danimarka</t>
  </si>
  <si>
    <t xml:space="preserve">Дания</t>
  </si>
  <si>
    <t xml:space="preserve">Dinamarca</t>
  </si>
  <si>
    <t xml:space="preserve">丹麦</t>
  </si>
  <si>
    <t xml:space="preserve">丹麥</t>
  </si>
  <si>
    <t xml:space="preserve">Danska</t>
  </si>
  <si>
    <t xml:space="preserve">Dánsko</t>
  </si>
  <si>
    <t xml:space="preserve">Danmark</t>
  </si>
  <si>
    <t xml:space="preserve">Denemarken</t>
  </si>
  <si>
    <t xml:space="preserve">Danemark</t>
  </si>
  <si>
    <t xml:space="preserve">დანია</t>
  </si>
  <si>
    <t xml:space="preserve">Dänemark</t>
  </si>
  <si>
    <t xml:space="preserve">Δανία</t>
  </si>
  <si>
    <t xml:space="preserve">דנמרק</t>
  </si>
  <si>
    <t xml:space="preserve">Dánia</t>
  </si>
  <si>
    <t xml:space="preserve">Danimarca</t>
  </si>
  <si>
    <t xml:space="preserve">덴마크</t>
  </si>
  <si>
    <t xml:space="preserve">Danija</t>
  </si>
  <si>
    <t xml:space="preserve">Данска</t>
  </si>
  <si>
    <t xml:space="preserve">دانمارک</t>
  </si>
  <si>
    <t xml:space="preserve">Dania</t>
  </si>
  <si>
    <t xml:space="preserve">Danemarca</t>
  </si>
  <si>
    <t xml:space="preserve">เดนมาร์ก</t>
  </si>
  <si>
    <t xml:space="preserve">Đan mạch</t>
  </si>
  <si>
    <t xml:space="preserve">Данія</t>
  </si>
  <si>
    <t xml:space="preserve">ڈنمارک</t>
  </si>
  <si>
    <t xml:space="preserve">Tunisia</t>
  </si>
  <si>
    <t xml:space="preserve">Tunizi</t>
  </si>
  <si>
    <t xml:space="preserve">تونس</t>
  </si>
  <si>
    <t xml:space="preserve">Թունիս</t>
  </si>
  <si>
    <t xml:space="preserve">Tunis</t>
  </si>
  <si>
    <t xml:space="preserve">Тунис</t>
  </si>
  <si>
    <t xml:space="preserve">Tunísia</t>
  </si>
  <si>
    <t xml:space="preserve">突尼斯</t>
  </si>
  <si>
    <t xml:space="preserve">Tunisko</t>
  </si>
  <si>
    <t xml:space="preserve">Tunesien</t>
  </si>
  <si>
    <t xml:space="preserve">Tunesië</t>
  </si>
  <si>
    <t xml:space="preserve">Tunesia</t>
  </si>
  <si>
    <t xml:space="preserve">Tunisie</t>
  </si>
  <si>
    <t xml:space="preserve">ტუნისში</t>
  </si>
  <si>
    <t xml:space="preserve">Τυνησία</t>
  </si>
  <si>
    <t xml:space="preserve">תוניסיה</t>
  </si>
  <si>
    <t xml:space="preserve">Tunézia</t>
  </si>
  <si>
    <t xml:space="preserve">Túnis</t>
  </si>
  <si>
    <t xml:space="preserve">튀니지</t>
  </si>
  <si>
    <t xml:space="preserve">Tunisas</t>
  </si>
  <si>
    <t xml:space="preserve">Tuneżija</t>
  </si>
  <si>
    <t xml:space="preserve">Tunezja</t>
  </si>
  <si>
    <t xml:space="preserve">Tunizija</t>
  </si>
  <si>
    <t xml:space="preserve">Túnez</t>
  </si>
  <si>
    <t xml:space="preserve">Tunisien</t>
  </si>
  <si>
    <t xml:space="preserve">ตูนิเซีย</t>
  </si>
  <si>
    <t xml:space="preserve">Tunus</t>
  </si>
  <si>
    <t xml:space="preserve">Туніс</t>
  </si>
  <si>
    <t xml:space="preserve">تیونس</t>
  </si>
  <si>
    <t xml:space="preserve">Spain</t>
  </si>
  <si>
    <t xml:space="preserve">Spanjë</t>
  </si>
  <si>
    <t xml:space="preserve">إسبانيا</t>
  </si>
  <si>
    <t xml:space="preserve">Իսպանիա</t>
  </si>
  <si>
    <t xml:space="preserve">İspaniya</t>
  </si>
  <si>
    <t xml:space="preserve">Испания</t>
  </si>
  <si>
    <t xml:space="preserve">Espanya</t>
  </si>
  <si>
    <t xml:space="preserve">西班牙</t>
  </si>
  <si>
    <t xml:space="preserve">Španjolska</t>
  </si>
  <si>
    <t xml:space="preserve">Španělsko</t>
  </si>
  <si>
    <t xml:space="preserve">Spanien</t>
  </si>
  <si>
    <t xml:space="preserve">Spanje</t>
  </si>
  <si>
    <t xml:space="preserve">Espagne</t>
  </si>
  <si>
    <t xml:space="preserve">ესპანეთში</t>
  </si>
  <si>
    <t xml:space="preserve">Ισπανία</t>
  </si>
  <si>
    <t xml:space="preserve">ספרד</t>
  </si>
  <si>
    <t xml:space="preserve">Spanyolország</t>
  </si>
  <si>
    <t xml:space="preserve">Spanyol</t>
  </si>
  <si>
    <t xml:space="preserve">spain</t>
  </si>
  <si>
    <t xml:space="preserve">Spagna</t>
  </si>
  <si>
    <t xml:space="preserve">스페인</t>
  </si>
  <si>
    <t xml:space="preserve">Ispanija</t>
  </si>
  <si>
    <t xml:space="preserve">Шпанија</t>
  </si>
  <si>
    <t xml:space="preserve">Spanja</t>
  </si>
  <si>
    <t xml:space="preserve">Spania</t>
  </si>
  <si>
    <t xml:space="preserve">کشور اسپانیا</t>
  </si>
  <si>
    <t xml:space="preserve">Hiszpania</t>
  </si>
  <si>
    <t xml:space="preserve">Espanha</t>
  </si>
  <si>
    <t xml:space="preserve">španielsko</t>
  </si>
  <si>
    <t xml:space="preserve">Španija</t>
  </si>
  <si>
    <t xml:space="preserve">España</t>
  </si>
  <si>
    <t xml:space="preserve">สเปน</t>
  </si>
  <si>
    <t xml:space="preserve">İspanya</t>
  </si>
  <si>
    <t xml:space="preserve">Tây ban nha</t>
  </si>
  <si>
    <t xml:space="preserve">Іспанія</t>
  </si>
  <si>
    <t xml:space="preserve">سپین</t>
  </si>
  <si>
    <t xml:space="preserve">Costa Rica</t>
  </si>
  <si>
    <t xml:space="preserve">Kostarikë</t>
  </si>
  <si>
    <t xml:space="preserve">كوستاريكا</t>
  </si>
  <si>
    <t xml:space="preserve">Կոստա - Ռիկա</t>
  </si>
  <si>
    <t xml:space="preserve">哥斯达黎加</t>
  </si>
  <si>
    <t xml:space="preserve">哥斯達黎加</t>
  </si>
  <si>
    <t xml:space="preserve">Kostarika</t>
  </si>
  <si>
    <t xml:space="preserve">Kosta Rika</t>
  </si>
  <si>
    <t xml:space="preserve">კოსტა რიკის</t>
  </si>
  <si>
    <t xml:space="preserve">Κόστα Ρίκα</t>
  </si>
  <si>
    <t xml:space="preserve">קוסטה ריקה</t>
  </si>
  <si>
    <t xml:space="preserve">Costarica</t>
  </si>
  <si>
    <t xml:space="preserve">코스타리카</t>
  </si>
  <si>
    <t xml:space="preserve">Коста Рика</t>
  </si>
  <si>
    <t xml:space="preserve">کاستاریکا</t>
  </si>
  <si>
    <t xml:space="preserve">Kostaryka</t>
  </si>
  <si>
    <t xml:space="preserve">Костарика</t>
  </si>
  <si>
    <t xml:space="preserve">COSTA RICA</t>
  </si>
  <si>
    <t xml:space="preserve">คอสตาริกา</t>
  </si>
  <si>
    <t xml:space="preserve">Коста -Ріка</t>
  </si>
  <si>
    <t xml:space="preserve">کوسٹا ریکا</t>
  </si>
  <si>
    <t xml:space="preserve">Germany</t>
  </si>
  <si>
    <t xml:space="preserve">Gjermani</t>
  </si>
  <si>
    <t xml:space="preserve">ألمانيا</t>
  </si>
  <si>
    <t xml:space="preserve">Գերմանիա</t>
  </si>
  <si>
    <t xml:space="preserve">Almaniya</t>
  </si>
  <si>
    <t xml:space="preserve">Германия</t>
  </si>
  <si>
    <t xml:space="preserve">Alemanya</t>
  </si>
  <si>
    <t xml:space="preserve">德国</t>
  </si>
  <si>
    <t xml:space="preserve">德國</t>
  </si>
  <si>
    <t xml:space="preserve">Njemačka</t>
  </si>
  <si>
    <t xml:space="preserve">Německo</t>
  </si>
  <si>
    <t xml:space="preserve">Tyskland</t>
  </si>
  <si>
    <t xml:space="preserve">Duitsland</t>
  </si>
  <si>
    <t xml:space="preserve">Týskland</t>
  </si>
  <si>
    <t xml:space="preserve">Allemagne</t>
  </si>
  <si>
    <t xml:space="preserve">გერმანია</t>
  </si>
  <si>
    <t xml:space="preserve">Deutschland</t>
  </si>
  <si>
    <t xml:space="preserve">Γερμανία</t>
  </si>
  <si>
    <t xml:space="preserve">גרמניה</t>
  </si>
  <si>
    <t xml:space="preserve">Németország</t>
  </si>
  <si>
    <t xml:space="preserve">Jerman</t>
  </si>
  <si>
    <t xml:space="preserve">Þýskaland</t>
  </si>
  <si>
    <t xml:space="preserve">Germania</t>
  </si>
  <si>
    <t xml:space="preserve">독일</t>
  </si>
  <si>
    <t xml:space="preserve">Vokietija</t>
  </si>
  <si>
    <t xml:space="preserve">Германија</t>
  </si>
  <si>
    <t xml:space="preserve">Ġermanja</t>
  </si>
  <si>
    <t xml:space="preserve">آلمان</t>
  </si>
  <si>
    <t xml:space="preserve">Niemcy</t>
  </si>
  <si>
    <t xml:space="preserve">Alemanha</t>
  </si>
  <si>
    <t xml:space="preserve">Немачка</t>
  </si>
  <si>
    <t xml:space="preserve">Nemecko</t>
  </si>
  <si>
    <t xml:space="preserve">Nemčija</t>
  </si>
  <si>
    <t xml:space="preserve">Alemania</t>
  </si>
  <si>
    <t xml:space="preserve">ประเทศเยอรมัน</t>
  </si>
  <si>
    <t xml:space="preserve">Almanya</t>
  </si>
  <si>
    <t xml:space="preserve">Đức</t>
  </si>
  <si>
    <t xml:space="preserve">Німеччина</t>
  </si>
  <si>
    <t xml:space="preserve">جرمنی</t>
  </si>
  <si>
    <t xml:space="preserve">Japan</t>
  </si>
  <si>
    <t xml:space="preserve">Japonia</t>
  </si>
  <si>
    <t xml:space="preserve">اليابان</t>
  </si>
  <si>
    <t xml:space="preserve">Ճապոնիա</t>
  </si>
  <si>
    <t xml:space="preserve">Yaponiya</t>
  </si>
  <si>
    <t xml:space="preserve">Япония</t>
  </si>
  <si>
    <t xml:space="preserve">Japó</t>
  </si>
  <si>
    <t xml:space="preserve">日本</t>
  </si>
  <si>
    <t xml:space="preserve">Japonsko</t>
  </si>
  <si>
    <t xml:space="preserve">Japon</t>
  </si>
  <si>
    <t xml:space="preserve">იაპონია</t>
  </si>
  <si>
    <t xml:space="preserve">Ιαπωνία</t>
  </si>
  <si>
    <t xml:space="preserve">יפן</t>
  </si>
  <si>
    <t xml:space="preserve">Japán</t>
  </si>
  <si>
    <t xml:space="preserve">Jepang</t>
  </si>
  <si>
    <t xml:space="preserve">Giappone</t>
  </si>
  <si>
    <t xml:space="preserve">일본</t>
  </si>
  <si>
    <t xml:space="preserve">Japonija</t>
  </si>
  <si>
    <t xml:space="preserve">Јапонија</t>
  </si>
  <si>
    <t xml:space="preserve">Ġappun</t>
  </si>
  <si>
    <t xml:space="preserve">ژاپن</t>
  </si>
  <si>
    <t xml:space="preserve">Japão</t>
  </si>
  <si>
    <t xml:space="preserve">Japonska</t>
  </si>
  <si>
    <t xml:space="preserve">Japón</t>
  </si>
  <si>
    <t xml:space="preserve">ญี่ปุ่น</t>
  </si>
  <si>
    <t xml:space="preserve">Japonya</t>
  </si>
  <si>
    <t xml:space="preserve">Nhật Bản</t>
  </si>
  <si>
    <t xml:space="preserve">Японія</t>
  </si>
  <si>
    <t xml:space="preserve">جاپان</t>
  </si>
  <si>
    <t xml:space="preserve">Belgium</t>
  </si>
  <si>
    <t xml:space="preserve">Belgjikë</t>
  </si>
  <si>
    <t xml:space="preserve">بلجيكا</t>
  </si>
  <si>
    <t xml:space="preserve">Բելգիա</t>
  </si>
  <si>
    <t xml:space="preserve">Belçika</t>
  </si>
  <si>
    <t xml:space="preserve">Белгия</t>
  </si>
  <si>
    <t xml:space="preserve">Bèlgica</t>
  </si>
  <si>
    <t xml:space="preserve">比利时</t>
  </si>
  <si>
    <t xml:space="preserve">比利時</t>
  </si>
  <si>
    <t xml:space="preserve">Belgija</t>
  </si>
  <si>
    <t xml:space="preserve">Belgie</t>
  </si>
  <si>
    <t xml:space="preserve">Belgien</t>
  </si>
  <si>
    <t xml:space="preserve">België</t>
  </si>
  <si>
    <t xml:space="preserve">Belgia</t>
  </si>
  <si>
    <t xml:space="preserve">Belgique</t>
  </si>
  <si>
    <t xml:space="preserve">ბელგიის</t>
  </si>
  <si>
    <t xml:space="preserve">Βέλγιο</t>
  </si>
  <si>
    <t xml:space="preserve">בלגיה</t>
  </si>
  <si>
    <t xml:space="preserve">Belgio</t>
  </si>
  <si>
    <t xml:space="preserve">벨기에</t>
  </si>
  <si>
    <t xml:space="preserve">Белгија</t>
  </si>
  <si>
    <t xml:space="preserve">Belġju</t>
  </si>
  <si>
    <t xml:space="preserve">بلژیک</t>
  </si>
  <si>
    <t xml:space="preserve">Bélgica</t>
  </si>
  <si>
    <t xml:space="preserve">belgicko</t>
  </si>
  <si>
    <t xml:space="preserve">เบลเยี่ยม</t>
  </si>
  <si>
    <t xml:space="preserve">Bỉ</t>
  </si>
  <si>
    <t xml:space="preserve">Бельгія</t>
  </si>
  <si>
    <t xml:space="preserve">بیلجئیم</t>
  </si>
  <si>
    <t xml:space="preserve">Canada</t>
  </si>
  <si>
    <t xml:space="preserve">Kanada</t>
  </si>
  <si>
    <t xml:space="preserve">كندا</t>
  </si>
  <si>
    <t xml:space="preserve">Կանադա</t>
  </si>
  <si>
    <t xml:space="preserve">Канада</t>
  </si>
  <si>
    <t xml:space="preserve">Canadà</t>
  </si>
  <si>
    <t xml:space="preserve">加拿大</t>
  </si>
  <si>
    <t xml:space="preserve">ᲙᲐᲜᲐᲓᲐ</t>
  </si>
  <si>
    <t xml:space="preserve">Καναδάς</t>
  </si>
  <si>
    <t xml:space="preserve">קנדה</t>
  </si>
  <si>
    <t xml:space="preserve">캐나다</t>
  </si>
  <si>
    <t xml:space="preserve">کانادا</t>
  </si>
  <si>
    <t xml:space="preserve">Canadá</t>
  </si>
  <si>
    <t xml:space="preserve">แคนาดา</t>
  </si>
  <si>
    <t xml:space="preserve">کینیڈا</t>
  </si>
  <si>
    <t xml:space="preserve">Morocco</t>
  </si>
  <si>
    <t xml:space="preserve">Marok</t>
  </si>
  <si>
    <t xml:space="preserve">المغرب</t>
  </si>
  <si>
    <t xml:space="preserve">սեկ</t>
  </si>
  <si>
    <t xml:space="preserve">Mərakeş</t>
  </si>
  <si>
    <t xml:space="preserve">Мароко</t>
  </si>
  <si>
    <t xml:space="preserve">Marroc</t>
  </si>
  <si>
    <t xml:space="preserve">摩洛哥</t>
  </si>
  <si>
    <t xml:space="preserve">Maroko</t>
  </si>
  <si>
    <t xml:space="preserve">Marokko</t>
  </si>
  <si>
    <t xml:space="preserve">Maroc</t>
  </si>
  <si>
    <t xml:space="preserve">მაროკო</t>
  </si>
  <si>
    <t xml:space="preserve">Μαρόκο</t>
  </si>
  <si>
    <t xml:space="preserve">מָרוֹקוֹ</t>
  </si>
  <si>
    <t xml:space="preserve">Marokkó</t>
  </si>
  <si>
    <t xml:space="preserve">Marocco</t>
  </si>
  <si>
    <t xml:space="preserve">모로코</t>
  </si>
  <si>
    <t xml:space="preserve">Marokas</t>
  </si>
  <si>
    <t xml:space="preserve">Marokk</t>
  </si>
  <si>
    <t xml:space="preserve">مراکش</t>
  </si>
  <si>
    <t xml:space="preserve">Marrocos</t>
  </si>
  <si>
    <t xml:space="preserve">Marruecos</t>
  </si>
  <si>
    <t xml:space="preserve">Marocko</t>
  </si>
  <si>
    <t xml:space="preserve">โมร็อกโก</t>
  </si>
  <si>
    <t xml:space="preserve">Fas</t>
  </si>
  <si>
    <t xml:space="preserve">Марокко</t>
  </si>
  <si>
    <t xml:space="preserve">Croatia</t>
  </si>
  <si>
    <t xml:space="preserve">Kroacia</t>
  </si>
  <si>
    <t xml:space="preserve">كرواتيا</t>
  </si>
  <si>
    <t xml:space="preserve">Խորվաթիա</t>
  </si>
  <si>
    <t xml:space="preserve">Xorvatiya</t>
  </si>
  <si>
    <t xml:space="preserve">Хърватия</t>
  </si>
  <si>
    <t xml:space="preserve">Croàcia</t>
  </si>
  <si>
    <t xml:space="preserve">克罗地亚</t>
  </si>
  <si>
    <t xml:space="preserve">克羅地亞</t>
  </si>
  <si>
    <t xml:space="preserve">Hrvatska</t>
  </si>
  <si>
    <t xml:space="preserve">Chorvatsko</t>
  </si>
  <si>
    <t xml:space="preserve">Kroatien</t>
  </si>
  <si>
    <t xml:space="preserve">Kroatië</t>
  </si>
  <si>
    <t xml:space="preserve">Kroatia</t>
  </si>
  <si>
    <t xml:space="preserve">Croatie</t>
  </si>
  <si>
    <t xml:space="preserve">ხორვატია</t>
  </si>
  <si>
    <t xml:space="preserve">Κροατία</t>
  </si>
  <si>
    <t xml:space="preserve">קרואטיה</t>
  </si>
  <si>
    <t xml:space="preserve">Horvátország</t>
  </si>
  <si>
    <t xml:space="preserve">Kroasia</t>
  </si>
  <si>
    <t xml:space="preserve">Croazia</t>
  </si>
  <si>
    <t xml:space="preserve">크로아티아</t>
  </si>
  <si>
    <t xml:space="preserve">Kroatija</t>
  </si>
  <si>
    <t xml:space="preserve">Хрватска</t>
  </si>
  <si>
    <t xml:space="preserve">Kroazja</t>
  </si>
  <si>
    <t xml:space="preserve">کرواسی</t>
  </si>
  <si>
    <t xml:space="preserve">Chorwacja</t>
  </si>
  <si>
    <t xml:space="preserve">Croácia</t>
  </si>
  <si>
    <t xml:space="preserve">Croația</t>
  </si>
  <si>
    <t xml:space="preserve">Chorvátsko</t>
  </si>
  <si>
    <t xml:space="preserve">Hrvaška</t>
  </si>
  <si>
    <t xml:space="preserve">Croacia</t>
  </si>
  <si>
    <t xml:space="preserve">โครเอเชีย</t>
  </si>
  <si>
    <t xml:space="preserve">Hırvatistan</t>
  </si>
  <si>
    <t xml:space="preserve">Хорватія</t>
  </si>
  <si>
    <t xml:space="preserve">کروشیا</t>
  </si>
  <si>
    <t xml:space="preserve">Brazil</t>
  </si>
  <si>
    <t xml:space="preserve">Brazili</t>
  </si>
  <si>
    <t xml:space="preserve">البرازيل</t>
  </si>
  <si>
    <t xml:space="preserve">Բրազիլիա</t>
  </si>
  <si>
    <t xml:space="preserve">Braziliya</t>
  </si>
  <si>
    <t xml:space="preserve">Бразилия</t>
  </si>
  <si>
    <t xml:space="preserve">Brasil</t>
  </si>
  <si>
    <t xml:space="preserve">巴西</t>
  </si>
  <si>
    <t xml:space="preserve">Brazílie</t>
  </si>
  <si>
    <t xml:space="preserve">Brasilien</t>
  </si>
  <si>
    <t xml:space="preserve">Brazilië</t>
  </si>
  <si>
    <t xml:space="preserve">Brasilia</t>
  </si>
  <si>
    <t xml:space="preserve">Brésil</t>
  </si>
  <si>
    <t xml:space="preserve">ბრაზილია</t>
  </si>
  <si>
    <t xml:space="preserve">Βραζιλία</t>
  </si>
  <si>
    <t xml:space="preserve">ברזיל</t>
  </si>
  <si>
    <t xml:space="preserve">Brazília</t>
  </si>
  <si>
    <t xml:space="preserve">Brasilía</t>
  </si>
  <si>
    <t xml:space="preserve">Brasile</t>
  </si>
  <si>
    <t xml:space="preserve">브라질</t>
  </si>
  <si>
    <t xml:space="preserve">Brazilija</t>
  </si>
  <si>
    <t xml:space="preserve">Бразил</t>
  </si>
  <si>
    <t xml:space="preserve">Brażil</t>
  </si>
  <si>
    <t xml:space="preserve">برزیل</t>
  </si>
  <si>
    <t xml:space="preserve">Brazylia</t>
  </si>
  <si>
    <t xml:space="preserve">Brazilia</t>
  </si>
  <si>
    <t xml:space="preserve">บราซิล</t>
  </si>
  <si>
    <t xml:space="preserve">Brezilya</t>
  </si>
  <si>
    <t xml:space="preserve">B-ra-xin</t>
  </si>
  <si>
    <t xml:space="preserve">Бразилія</t>
  </si>
  <si>
    <t xml:space="preserve">برازیل</t>
  </si>
  <si>
    <t xml:space="preserve">Serbia</t>
  </si>
  <si>
    <t xml:space="preserve">صربيا</t>
  </si>
  <si>
    <t xml:space="preserve">Սերբիա</t>
  </si>
  <si>
    <t xml:space="preserve">Serbiya</t>
  </si>
  <si>
    <t xml:space="preserve">Сърбия</t>
  </si>
  <si>
    <t xml:space="preserve">Sèrbia</t>
  </si>
  <si>
    <t xml:space="preserve">塞尔维亚</t>
  </si>
  <si>
    <t xml:space="preserve">塞爾維亞</t>
  </si>
  <si>
    <t xml:space="preserve">Srbija</t>
  </si>
  <si>
    <t xml:space="preserve">Srbsko</t>
  </si>
  <si>
    <t xml:space="preserve">Serbien</t>
  </si>
  <si>
    <t xml:space="preserve">Servië</t>
  </si>
  <si>
    <t xml:space="preserve">Serbie</t>
  </si>
  <si>
    <t xml:space="preserve">სერბეთი</t>
  </si>
  <si>
    <t xml:space="preserve">Σερβία</t>
  </si>
  <si>
    <t xml:space="preserve">סרביה</t>
  </si>
  <si>
    <t xml:space="preserve">Szerbia</t>
  </si>
  <si>
    <t xml:space="preserve">Serbía</t>
  </si>
  <si>
    <t xml:space="preserve">세르비아</t>
  </si>
  <si>
    <t xml:space="preserve">Serbija</t>
  </si>
  <si>
    <t xml:space="preserve">Србија</t>
  </si>
  <si>
    <t xml:space="preserve">Serbja</t>
  </si>
  <si>
    <t xml:space="preserve">صربستان</t>
  </si>
  <si>
    <t xml:space="preserve">Sérvia</t>
  </si>
  <si>
    <t xml:space="preserve">เซอร์เบีย</t>
  </si>
  <si>
    <t xml:space="preserve">Sırbistan</t>
  </si>
  <si>
    <t xml:space="preserve">Сербія</t>
  </si>
  <si>
    <t xml:space="preserve">سربیا</t>
  </si>
  <si>
    <t xml:space="preserve">Switzerland</t>
  </si>
  <si>
    <t xml:space="preserve">Zvicër</t>
  </si>
  <si>
    <t xml:space="preserve">سويسرا</t>
  </si>
  <si>
    <t xml:space="preserve">Շվեյցարիա</t>
  </si>
  <si>
    <t xml:space="preserve">İsveçrə</t>
  </si>
  <si>
    <t xml:space="preserve">Швейцария</t>
  </si>
  <si>
    <t xml:space="preserve">Suïssa</t>
  </si>
  <si>
    <t xml:space="preserve">瑞士</t>
  </si>
  <si>
    <t xml:space="preserve">Švajcarska</t>
  </si>
  <si>
    <t xml:space="preserve">Švýcarsko</t>
  </si>
  <si>
    <t xml:space="preserve">Schweiz</t>
  </si>
  <si>
    <t xml:space="preserve">Zwitserland</t>
  </si>
  <si>
    <t xml:space="preserve">Sveis</t>
  </si>
  <si>
    <t xml:space="preserve">Suisse</t>
  </si>
  <si>
    <t xml:space="preserve">Ελβετία</t>
  </si>
  <si>
    <t xml:space="preserve">שוויץ</t>
  </si>
  <si>
    <t xml:space="preserve">Svájc</t>
  </si>
  <si>
    <t xml:space="preserve">Swiss</t>
  </si>
  <si>
    <t xml:space="preserve">Sviss</t>
  </si>
  <si>
    <t xml:space="preserve">Svizzera</t>
  </si>
  <si>
    <t xml:space="preserve">스위스</t>
  </si>
  <si>
    <t xml:space="preserve">Šveicarija</t>
  </si>
  <si>
    <t xml:space="preserve">Швајцарија</t>
  </si>
  <si>
    <t xml:space="preserve">Isvizzera</t>
  </si>
  <si>
    <t xml:space="preserve">Sveits</t>
  </si>
  <si>
    <t xml:space="preserve">سویس</t>
  </si>
  <si>
    <t xml:space="preserve">Szwajcaria</t>
  </si>
  <si>
    <t xml:space="preserve">Suíça</t>
  </si>
  <si>
    <t xml:space="preserve">Elveția</t>
  </si>
  <si>
    <t xml:space="preserve">Швајцарска</t>
  </si>
  <si>
    <t xml:space="preserve">švajčiarsko</t>
  </si>
  <si>
    <t xml:space="preserve">Švica</t>
  </si>
  <si>
    <t xml:space="preserve">Suiza</t>
  </si>
  <si>
    <t xml:space="preserve">ประเทศสวิสเซอร์แลนด์</t>
  </si>
  <si>
    <t xml:space="preserve">İsviçre</t>
  </si>
  <si>
    <t xml:space="preserve">Thụy Sĩ</t>
  </si>
  <si>
    <t xml:space="preserve">Швейцарія</t>
  </si>
  <si>
    <t xml:space="preserve">سوئٹزرلینڈ</t>
  </si>
  <si>
    <t xml:space="preserve">Cameroon</t>
  </si>
  <si>
    <t xml:space="preserve">Kamerun</t>
  </si>
  <si>
    <t xml:space="preserve">الكاميرون</t>
  </si>
  <si>
    <t xml:space="preserve">Կակերուհի</t>
  </si>
  <si>
    <t xml:space="preserve">Kameron</t>
  </si>
  <si>
    <t xml:space="preserve">Камерун</t>
  </si>
  <si>
    <t xml:space="preserve">Camerun</t>
  </si>
  <si>
    <t xml:space="preserve">喀麦隆</t>
  </si>
  <si>
    <t xml:space="preserve">喀麥隆</t>
  </si>
  <si>
    <t xml:space="preserve">Kameroen</t>
  </si>
  <si>
    <t xml:space="preserve">Cameroun</t>
  </si>
  <si>
    <t xml:space="preserve">ᲙᲐᲛᲔᲠᲣᲜᲘ</t>
  </si>
  <si>
    <t xml:space="preserve">Καμερούν</t>
  </si>
  <si>
    <t xml:space="preserve">קמרון</t>
  </si>
  <si>
    <t xml:space="preserve">Kamerún</t>
  </si>
  <si>
    <t xml:space="preserve">카메룬</t>
  </si>
  <si>
    <t xml:space="preserve">Kamerūnas</t>
  </si>
  <si>
    <t xml:space="preserve">کامرون</t>
  </si>
  <si>
    <t xml:space="preserve">Camarões</t>
  </si>
  <si>
    <t xml:space="preserve">Camerún</t>
  </si>
  <si>
    <t xml:space="preserve">แคเมอรูน</t>
  </si>
  <si>
    <t xml:space="preserve">کیمرون</t>
  </si>
  <si>
    <t xml:space="preserve">Portugal</t>
  </si>
  <si>
    <t xml:space="preserve">Portugali</t>
  </si>
  <si>
    <t xml:space="preserve">البرتغال</t>
  </si>
  <si>
    <t xml:space="preserve">Պորտուգալիա</t>
  </si>
  <si>
    <t xml:space="preserve">Portuqaliya</t>
  </si>
  <si>
    <t xml:space="preserve">Португалия</t>
  </si>
  <si>
    <t xml:space="preserve">葡萄牙</t>
  </si>
  <si>
    <t xml:space="preserve">Portugalija</t>
  </si>
  <si>
    <t xml:space="preserve">Portugalsko</t>
  </si>
  <si>
    <t xml:space="preserve">პორტუგალიის</t>
  </si>
  <si>
    <t xml:space="preserve">Πορτογαλία</t>
  </si>
  <si>
    <t xml:space="preserve">פורטוגל</t>
  </si>
  <si>
    <t xml:space="preserve">Portugália</t>
  </si>
  <si>
    <t xml:space="preserve">Portogallo</t>
  </si>
  <si>
    <t xml:space="preserve">포르투갈</t>
  </si>
  <si>
    <t xml:space="preserve">Португалија</t>
  </si>
  <si>
    <t xml:space="preserve">Portugall</t>
  </si>
  <si>
    <t xml:space="preserve">پرتغال</t>
  </si>
  <si>
    <t xml:space="preserve">Portugalia</t>
  </si>
  <si>
    <t xml:space="preserve">Portugalska</t>
  </si>
  <si>
    <t xml:space="preserve">โปรตุเกส</t>
  </si>
  <si>
    <t xml:space="preserve">Portekiz</t>
  </si>
  <si>
    <t xml:space="preserve">Bồ Đào Nha</t>
  </si>
  <si>
    <t xml:space="preserve">Португалія</t>
  </si>
  <si>
    <t xml:space="preserve">پرتگال</t>
  </si>
  <si>
    <t xml:space="preserve">Ghana</t>
  </si>
  <si>
    <t xml:space="preserve">Ghanë</t>
  </si>
  <si>
    <t xml:space="preserve">غانا</t>
  </si>
  <si>
    <t xml:space="preserve">Գանա</t>
  </si>
  <si>
    <t xml:space="preserve">Qana</t>
  </si>
  <si>
    <t xml:space="preserve">Гана</t>
  </si>
  <si>
    <t xml:space="preserve">加纳</t>
  </si>
  <si>
    <t xml:space="preserve">加納</t>
  </si>
  <si>
    <t xml:space="preserve">Gana</t>
  </si>
  <si>
    <t xml:space="preserve">ᲒᲐᲜᲐᲜᲐ</t>
  </si>
  <si>
    <t xml:space="preserve">Γκάνα</t>
  </si>
  <si>
    <t xml:space="preserve">גאנה</t>
  </si>
  <si>
    <t xml:space="preserve">Ghána</t>
  </si>
  <si>
    <t xml:space="preserve">가나</t>
  </si>
  <si>
    <t xml:space="preserve">غنا</t>
  </si>
  <si>
    <t xml:space="preserve">ประเทศกานา</t>
  </si>
  <si>
    <t xml:space="preserve">گھانا</t>
  </si>
  <si>
    <t xml:space="preserve">Uruguay</t>
  </si>
  <si>
    <t xml:space="preserve">أوروغواي</t>
  </si>
  <si>
    <t xml:space="preserve">Ուրուգվայ</t>
  </si>
  <si>
    <t xml:space="preserve">Uruqvay</t>
  </si>
  <si>
    <t xml:space="preserve">Уругвай</t>
  </si>
  <si>
    <t xml:space="preserve">Uruguai</t>
  </si>
  <si>
    <t xml:space="preserve">乌拉圭</t>
  </si>
  <si>
    <t xml:space="preserve">烏拉圭</t>
  </si>
  <si>
    <t xml:space="preserve">Urugvaj</t>
  </si>
  <si>
    <t xml:space="preserve">ურუგვაის</t>
  </si>
  <si>
    <t xml:space="preserve">Ουρουγουάη</t>
  </si>
  <si>
    <t xml:space="preserve">אורוגוואי</t>
  </si>
  <si>
    <t xml:space="preserve">우루과이</t>
  </si>
  <si>
    <t xml:space="preserve">Urugvajus</t>
  </si>
  <si>
    <t xml:space="preserve">Уругвај</t>
  </si>
  <si>
    <t xml:space="preserve">Urugwaj</t>
  </si>
  <si>
    <t xml:space="preserve">اروگوئه</t>
  </si>
  <si>
    <t xml:space="preserve">Uruguaj</t>
  </si>
  <si>
    <t xml:space="preserve">ประเทศอุรุกวัย</t>
  </si>
  <si>
    <t xml:space="preserve">یوراگوئے</t>
  </si>
  <si>
    <t xml:space="preserve">Korea Republic</t>
  </si>
  <si>
    <t xml:space="preserve">جمهورية كوريا</t>
  </si>
  <si>
    <t xml:space="preserve">Կորեայի Հանրապետություն</t>
  </si>
  <si>
    <t xml:space="preserve">Koreya Respublikası</t>
  </si>
  <si>
    <t xml:space="preserve">Република Корея</t>
  </si>
  <si>
    <t xml:space="preserve">República de Corea</t>
  </si>
  <si>
    <t xml:space="preserve">韩国</t>
  </si>
  <si>
    <t xml:space="preserve">韓國</t>
  </si>
  <si>
    <t xml:space="preserve">Južna Koreja</t>
  </si>
  <si>
    <t xml:space="preserve">Jižní Korea</t>
  </si>
  <si>
    <t xml:space="preserve">Sydkorea</t>
  </si>
  <si>
    <t xml:space="preserve">Zuid-Korea</t>
  </si>
  <si>
    <t xml:space="preserve">Suðurkorea</t>
  </si>
  <si>
    <t xml:space="preserve">République de Corée</t>
  </si>
  <si>
    <t xml:space="preserve">კორეის რესპუბლიკა</t>
  </si>
  <si>
    <t xml:space="preserve">Korea Republik</t>
  </si>
  <si>
    <t xml:space="preserve">Δημοκρατία της Κορέας</t>
  </si>
  <si>
    <t xml:space="preserve">קוריאה רפובליקה</t>
  </si>
  <si>
    <t xml:space="preserve">Dél-Korea</t>
  </si>
  <si>
    <t xml:space="preserve">Republik Korea</t>
  </si>
  <si>
    <t xml:space="preserve">Kórea</t>
  </si>
  <si>
    <t xml:space="preserve">Corea del Sud</t>
  </si>
  <si>
    <t xml:space="preserve">한국</t>
  </si>
  <si>
    <t xml:space="preserve">Korėjos Respublika</t>
  </si>
  <si>
    <t xml:space="preserve">Јужна Кореја</t>
  </si>
  <si>
    <t xml:space="preserve">Korea Repubblika</t>
  </si>
  <si>
    <t xml:space="preserve">Sør-Korea</t>
  </si>
  <si>
    <t xml:space="preserve">کره جنوبی</t>
  </si>
  <si>
    <t xml:space="preserve">Korea Południowa</t>
  </si>
  <si>
    <t xml:space="preserve">República da Coreia</t>
  </si>
  <si>
    <t xml:space="preserve">Coreea de Sud</t>
  </si>
  <si>
    <t xml:space="preserve">Република Кореја</t>
  </si>
  <si>
    <t xml:space="preserve">Južná Kórea</t>
  </si>
  <si>
    <t xml:space="preserve">เกาหลีใต้</t>
  </si>
  <si>
    <t xml:space="preserve">Kore Cumhuriyeti</t>
  </si>
  <si>
    <t xml:space="preserve">Hàn Quốc</t>
  </si>
  <si>
    <t xml:space="preserve">Південна Корея</t>
  </si>
  <si>
    <t xml:space="preserve">جمہوریہ کوریا</t>
  </si>
  <si>
    <t xml:space="preserve">South Africa</t>
  </si>
  <si>
    <t xml:space="preserve">Afrika e Jugut</t>
  </si>
  <si>
    <t xml:space="preserve">جنوب أفريقيا</t>
  </si>
  <si>
    <t xml:space="preserve">Հարավային Աֆրիկա</t>
  </si>
  <si>
    <t xml:space="preserve">Cənubi Afrika</t>
  </si>
  <si>
    <t xml:space="preserve">Южна Африка</t>
  </si>
  <si>
    <t xml:space="preserve">Sud-àfrica</t>
  </si>
  <si>
    <t xml:space="preserve">南非</t>
  </si>
  <si>
    <t xml:space="preserve">Južna Afrika</t>
  </si>
  <si>
    <t xml:space="preserve">Jižní Afrika</t>
  </si>
  <si>
    <t xml:space="preserve">Sydafrika</t>
  </si>
  <si>
    <t xml:space="preserve">Zuid-Afrika</t>
  </si>
  <si>
    <t xml:space="preserve">Afrique du Sud</t>
  </si>
  <si>
    <t xml:space="preserve">სამხრეთ აფრიკა</t>
  </si>
  <si>
    <t xml:space="preserve">Südafrika</t>
  </si>
  <si>
    <t xml:space="preserve">Νότια Αφρική</t>
  </si>
  <si>
    <t xml:space="preserve">דרום אפריקה</t>
  </si>
  <si>
    <t xml:space="preserve">Dél-Afrika</t>
  </si>
  <si>
    <t xml:space="preserve">Afrika Selatan</t>
  </si>
  <si>
    <t xml:space="preserve">Suður-Afríka</t>
  </si>
  <si>
    <t xml:space="preserve">Sudafrica</t>
  </si>
  <si>
    <t xml:space="preserve">남아프리카공화국</t>
  </si>
  <si>
    <t xml:space="preserve">Pietų Afrika</t>
  </si>
  <si>
    <t xml:space="preserve">Јужна Африка</t>
  </si>
  <si>
    <t xml:space="preserve">l-Afrika t'Isfel</t>
  </si>
  <si>
    <t xml:space="preserve">Sør-Afrika</t>
  </si>
  <si>
    <t xml:space="preserve">آفریقای جنوبی</t>
  </si>
  <si>
    <t xml:space="preserve">Republika Południowej Afryki</t>
  </si>
  <si>
    <t xml:space="preserve">África do Sul</t>
  </si>
  <si>
    <t xml:space="preserve">Africa de Sud</t>
  </si>
  <si>
    <t xml:space="preserve">Južná Afrika</t>
  </si>
  <si>
    <t xml:space="preserve">Sudáfrica</t>
  </si>
  <si>
    <t xml:space="preserve">แอฟริกาใต้</t>
  </si>
  <si>
    <t xml:space="preserve">Güney Afrika</t>
  </si>
  <si>
    <t xml:space="preserve">Nam Phi</t>
  </si>
  <si>
    <t xml:space="preserve">Південна Африка</t>
  </si>
  <si>
    <t xml:space="preserve">جنوبی افریقہ</t>
  </si>
  <si>
    <t xml:space="preserve">Bosnia and Herzegovina</t>
  </si>
  <si>
    <t xml:space="preserve">Bosnjë dhe Hercegovinë</t>
  </si>
  <si>
    <t xml:space="preserve">البوسنة والهرسك</t>
  </si>
  <si>
    <t xml:space="preserve">Բոսնիա և Հերցեգովինա</t>
  </si>
  <si>
    <t xml:space="preserve">Bosniya və Herseqovina</t>
  </si>
  <si>
    <t xml:space="preserve">Босна и Херцеговина</t>
  </si>
  <si>
    <t xml:space="preserve">Bòsnia i Hercegovina</t>
  </si>
  <si>
    <t xml:space="preserve">波斯尼亚和黑塞哥维那</t>
  </si>
  <si>
    <t xml:space="preserve">波士尼亞與赫塞哥維納</t>
  </si>
  <si>
    <t xml:space="preserve">Bosna i Hercegovina</t>
  </si>
  <si>
    <t xml:space="preserve">Bosna a Hercegovina</t>
  </si>
  <si>
    <t xml:space="preserve">Bosnien-Hercegovina</t>
  </si>
  <si>
    <t xml:space="preserve">Bosnië en Herzegovina</t>
  </si>
  <si>
    <t xml:space="preserve">Bosnie-Herzégovine</t>
  </si>
  <si>
    <t xml:space="preserve">ბოსნია და ჰერცეგოვინა</t>
  </si>
  <si>
    <t xml:space="preserve">Bosnien und Herzegowina</t>
  </si>
  <si>
    <t xml:space="preserve">Βοσνία και Ερζεγοβίνη</t>
  </si>
  <si>
    <t xml:space="preserve">בוסניה והרצגובינה</t>
  </si>
  <si>
    <t xml:space="preserve">Bosznia-Hercegovina</t>
  </si>
  <si>
    <t xml:space="preserve">Bosnia dan Herzegovina</t>
  </si>
  <si>
    <t xml:space="preserve">Bosnía og Hersegóvína</t>
  </si>
  <si>
    <t xml:space="preserve">Bosnia ed Erzegovina</t>
  </si>
  <si>
    <t xml:space="preserve">보스니아 헤르체고비나</t>
  </si>
  <si>
    <t xml:space="preserve">Bosnija ir Hercegovina</t>
  </si>
  <si>
    <t xml:space="preserve">il-Bożnija-Ħerzegovina</t>
  </si>
  <si>
    <t xml:space="preserve">Bosnia-Hercegovina</t>
  </si>
  <si>
    <t xml:space="preserve">بوسنی و هرزگوین</t>
  </si>
  <si>
    <t xml:space="preserve">Bośnia i Hercegowina</t>
  </si>
  <si>
    <t xml:space="preserve">Bósnia e Herzegovina</t>
  </si>
  <si>
    <t xml:space="preserve">Bosnia și Herțegovina</t>
  </si>
  <si>
    <t xml:space="preserve">Bosna in Hercegovina</t>
  </si>
  <si>
    <t xml:space="preserve">Bosnia y Herzegovina</t>
  </si>
  <si>
    <t xml:space="preserve">Bosnien och Hercegovina</t>
  </si>
  <si>
    <t xml:space="preserve">บอสเนียและเฮอร์เซโกวีนา</t>
  </si>
  <si>
    <t xml:space="preserve">Bosna Hersek</t>
  </si>
  <si>
    <t xml:space="preserve">Bosnia và Herzegovina</t>
  </si>
  <si>
    <t xml:space="preserve">Боснія і Герцеговина</t>
  </si>
  <si>
    <t xml:space="preserve">بوسنیا اور ہرزیگووینا</t>
  </si>
  <si>
    <t xml:space="preserve">Czech Republic</t>
  </si>
  <si>
    <t xml:space="preserve">Republika Çeke</t>
  </si>
  <si>
    <t xml:space="preserve">الجمهورية التشيكية</t>
  </si>
  <si>
    <t xml:space="preserve">Չեխիայի Հանրապետություն</t>
  </si>
  <si>
    <t xml:space="preserve">Çexiya</t>
  </si>
  <si>
    <t xml:space="preserve">Чехия</t>
  </si>
  <si>
    <t xml:space="preserve">República Txeca</t>
  </si>
  <si>
    <t xml:space="preserve">捷克共和国</t>
  </si>
  <si>
    <t xml:space="preserve">捷克共和國</t>
  </si>
  <si>
    <t xml:space="preserve">Češka</t>
  </si>
  <si>
    <t xml:space="preserve">Česká republika</t>
  </si>
  <si>
    <t xml:space="preserve">Tjekkiet</t>
  </si>
  <si>
    <t xml:space="preserve">Tsjechische Republiek</t>
  </si>
  <si>
    <t xml:space="preserve">République tchèque</t>
  </si>
  <si>
    <t xml:space="preserve">ჩეხეთის რესპუბლიკა</t>
  </si>
  <si>
    <t xml:space="preserve">Tschechische Republik</t>
  </si>
  <si>
    <t xml:space="preserve">Τσεχική Δημοκρατία</t>
  </si>
  <si>
    <t xml:space="preserve">צ'כיה</t>
  </si>
  <si>
    <t xml:space="preserve">Cseh Köztársaság</t>
  </si>
  <si>
    <t xml:space="preserve">Republik Ceko</t>
  </si>
  <si>
    <t xml:space="preserve">Tékkland</t>
  </si>
  <si>
    <t xml:space="preserve">Repubblica Ceca</t>
  </si>
  <si>
    <t xml:space="preserve">체코 공화국</t>
  </si>
  <si>
    <t xml:space="preserve">Čekijos Respublika</t>
  </si>
  <si>
    <t xml:space="preserve">Чешка Република</t>
  </si>
  <si>
    <t xml:space="preserve">Repubblika Ċeka</t>
  </si>
  <si>
    <t xml:space="preserve">Tsjekkia</t>
  </si>
  <si>
    <t xml:space="preserve">جمهوری چک</t>
  </si>
  <si>
    <t xml:space="preserve">Czechy</t>
  </si>
  <si>
    <t xml:space="preserve">República Tcheca</t>
  </si>
  <si>
    <t xml:space="preserve">Republica Cehă</t>
  </si>
  <si>
    <t xml:space="preserve">Češka republika</t>
  </si>
  <si>
    <t xml:space="preserve">República Checa</t>
  </si>
  <si>
    <t xml:space="preserve">Tjeckien</t>
  </si>
  <si>
    <t xml:space="preserve">สาธารณรัฐเช็ก</t>
  </si>
  <si>
    <t xml:space="preserve">Çek Cumhuriyeti</t>
  </si>
  <si>
    <t xml:space="preserve">Cộng hòa Séc</t>
  </si>
  <si>
    <t xml:space="preserve">Чеська Республіка</t>
  </si>
  <si>
    <t xml:space="preserve">جمہوریہ چیک</t>
  </si>
  <si>
    <t xml:space="preserve">Haiti</t>
  </si>
  <si>
    <t xml:space="preserve">هايتي</t>
  </si>
  <si>
    <t xml:space="preserve">Հայիթի</t>
  </si>
  <si>
    <t xml:space="preserve">Хаити</t>
  </si>
  <si>
    <t xml:space="preserve">Haití</t>
  </si>
  <si>
    <t xml:space="preserve">海地</t>
  </si>
  <si>
    <t xml:space="preserve">Haïti</t>
  </si>
  <si>
    <t xml:space="preserve">ჰაიტი</t>
  </si>
  <si>
    <t xml:space="preserve">Αΐτη</t>
  </si>
  <si>
    <t xml:space="preserve">האיטי</t>
  </si>
  <si>
    <t xml:space="preserve">Haítí</t>
  </si>
  <si>
    <t xml:space="preserve">아이티</t>
  </si>
  <si>
    <t xml:space="preserve">Haitis</t>
  </si>
  <si>
    <t xml:space="preserve">Ħaiti</t>
  </si>
  <si>
    <t xml:space="preserve">هائیتی</t>
  </si>
  <si>
    <t xml:space="preserve">เฮติ</t>
  </si>
  <si>
    <t xml:space="preserve">Гаїті</t>
  </si>
  <si>
    <t xml:space="preserve">ہیٹی</t>
  </si>
  <si>
    <t xml:space="preserve">Scotland</t>
  </si>
  <si>
    <t xml:space="preserve">Skoci</t>
  </si>
  <si>
    <t xml:space="preserve">اسكتلندا</t>
  </si>
  <si>
    <t xml:space="preserve">Շոտլանդիա</t>
  </si>
  <si>
    <t xml:space="preserve">Şotlandiya</t>
  </si>
  <si>
    <t xml:space="preserve">Шотландия</t>
  </si>
  <si>
    <t xml:space="preserve">Escòcia</t>
  </si>
  <si>
    <t xml:space="preserve">苏格兰</t>
  </si>
  <si>
    <t xml:space="preserve">蘇格蘭</t>
  </si>
  <si>
    <t xml:space="preserve">Škotska</t>
  </si>
  <si>
    <t xml:space="preserve">Skotsko</t>
  </si>
  <si>
    <t xml:space="preserve">Skotland</t>
  </si>
  <si>
    <t xml:space="preserve">Schotland</t>
  </si>
  <si>
    <t xml:space="preserve">Écosse</t>
  </si>
  <si>
    <t xml:space="preserve">შოტლანდია</t>
  </si>
  <si>
    <t xml:space="preserve">Schottland</t>
  </si>
  <si>
    <t xml:space="preserve">Σκωτία</t>
  </si>
  <si>
    <t xml:space="preserve">סקוטלנד</t>
  </si>
  <si>
    <t xml:space="preserve">Skócia</t>
  </si>
  <si>
    <t xml:space="preserve">Skotlandia</t>
  </si>
  <si>
    <t xml:space="preserve">Scozia</t>
  </si>
  <si>
    <t xml:space="preserve">스코틀랜드</t>
  </si>
  <si>
    <t xml:space="preserve">Škotija</t>
  </si>
  <si>
    <t xml:space="preserve">Шкотска</t>
  </si>
  <si>
    <t xml:space="preserve">l-Iskozja</t>
  </si>
  <si>
    <t xml:space="preserve">Skottland</t>
  </si>
  <si>
    <t xml:space="preserve">اسکاتلند</t>
  </si>
  <si>
    <t xml:space="preserve">Szkocja</t>
  </si>
  <si>
    <t xml:space="preserve">Escócia</t>
  </si>
  <si>
    <t xml:space="preserve">Scoţia</t>
  </si>
  <si>
    <t xml:space="preserve">Škótsko</t>
  </si>
  <si>
    <t xml:space="preserve">Escocia</t>
  </si>
  <si>
    <t xml:space="preserve">สกอตแลนด์</t>
  </si>
  <si>
    <t xml:space="preserve">İskoçya</t>
  </si>
  <si>
    <t xml:space="preserve">Шотландія</t>
  </si>
  <si>
    <t xml:space="preserve">سکاٹ لینڈ</t>
  </si>
  <si>
    <t xml:space="preserve">Paraguay</t>
  </si>
  <si>
    <t xml:space="preserve">Paraguai</t>
  </si>
  <si>
    <t xml:space="preserve">باراغواي</t>
  </si>
  <si>
    <t xml:space="preserve">Պարագվայ</t>
  </si>
  <si>
    <t xml:space="preserve">Paraqvay</t>
  </si>
  <si>
    <t xml:space="preserve">Парагвай</t>
  </si>
  <si>
    <t xml:space="preserve">巴拉圭</t>
  </si>
  <si>
    <t xml:space="preserve">Paragvaj</t>
  </si>
  <si>
    <t xml:space="preserve">პარაგვაი</t>
  </si>
  <si>
    <t xml:space="preserve">Παραγουάη</t>
  </si>
  <si>
    <t xml:space="preserve">פרגוואי</t>
  </si>
  <si>
    <t xml:space="preserve">Paragvæ</t>
  </si>
  <si>
    <t xml:space="preserve">파라과이</t>
  </si>
  <si>
    <t xml:space="preserve">Paragvajus</t>
  </si>
  <si>
    <t xml:space="preserve">Парагвај</t>
  </si>
  <si>
    <t xml:space="preserve">Paragwaj</t>
  </si>
  <si>
    <t xml:space="preserve">پاراگوئه</t>
  </si>
  <si>
    <t xml:space="preserve">Paraguaj</t>
  </si>
  <si>
    <t xml:space="preserve">ปารากวัย</t>
  </si>
  <si>
    <t xml:space="preserve">پیراگوئے</t>
  </si>
  <si>
    <t xml:space="preserve">Turkey</t>
  </si>
  <si>
    <t xml:space="preserve">Turqi</t>
  </si>
  <si>
    <t xml:space="preserve">تركيا</t>
  </si>
  <si>
    <t xml:space="preserve">Թուրքիա</t>
  </si>
  <si>
    <t xml:space="preserve">Türkiyə</t>
  </si>
  <si>
    <t xml:space="preserve">Турция</t>
  </si>
  <si>
    <t xml:space="preserve">Turquia</t>
  </si>
  <si>
    <t xml:space="preserve">土耳其</t>
  </si>
  <si>
    <t xml:space="preserve">Turska</t>
  </si>
  <si>
    <t xml:space="preserve">Turecko</t>
  </si>
  <si>
    <t xml:space="preserve">Tyrkiet</t>
  </si>
  <si>
    <t xml:space="preserve">Turkije</t>
  </si>
  <si>
    <t xml:space="preserve">Turquie</t>
  </si>
  <si>
    <t xml:space="preserve">თურქეთი</t>
  </si>
  <si>
    <t xml:space="preserve">Türkei</t>
  </si>
  <si>
    <t xml:space="preserve">Τουρκία</t>
  </si>
  <si>
    <t xml:space="preserve">טורקיה</t>
  </si>
  <si>
    <t xml:space="preserve">Törökország</t>
  </si>
  <si>
    <t xml:space="preserve">Turki</t>
  </si>
  <si>
    <t xml:space="preserve">Tyrkland</t>
  </si>
  <si>
    <t xml:space="preserve">Turchia</t>
  </si>
  <si>
    <t xml:space="preserve">터키</t>
  </si>
  <si>
    <t xml:space="preserve">Turkija</t>
  </si>
  <si>
    <t xml:space="preserve">Турција</t>
  </si>
  <si>
    <t xml:space="preserve">Tyrkia</t>
  </si>
  <si>
    <t xml:space="preserve">ترکیه</t>
  </si>
  <si>
    <t xml:space="preserve">Turcja</t>
  </si>
  <si>
    <t xml:space="preserve">Turcia</t>
  </si>
  <si>
    <t xml:space="preserve">Турска</t>
  </si>
  <si>
    <t xml:space="preserve">Turčija</t>
  </si>
  <si>
    <t xml:space="preserve">Turquía</t>
  </si>
  <si>
    <t xml:space="preserve">Turkiet</t>
  </si>
  <si>
    <t xml:space="preserve">ตุรกี</t>
  </si>
  <si>
    <t xml:space="preserve">Türkiye</t>
  </si>
  <si>
    <t xml:space="preserve">Thổ Nhĩ Kỳ</t>
  </si>
  <si>
    <t xml:space="preserve">Туреччина</t>
  </si>
  <si>
    <t xml:space="preserve">ترکی</t>
  </si>
  <si>
    <t xml:space="preserve">Curaçao</t>
  </si>
  <si>
    <t xml:space="preserve">Kurasao</t>
  </si>
  <si>
    <t xml:space="preserve">كوراساو</t>
  </si>
  <si>
    <t xml:space="preserve">Կյուրասաո</t>
  </si>
  <si>
    <t xml:space="preserve">Kürəsao</t>
  </si>
  <si>
    <t xml:space="preserve">Кюрасао</t>
  </si>
  <si>
    <t xml:space="preserve">库拉索</t>
  </si>
  <si>
    <t xml:space="preserve">庫拉索</t>
  </si>
  <si>
    <t xml:space="preserve">Curacao</t>
  </si>
  <si>
    <t xml:space="preserve">კიურასაო</t>
  </si>
  <si>
    <t xml:space="preserve">Κουράσω</t>
  </si>
  <si>
    <t xml:space="preserve">קוראסאו</t>
  </si>
  <si>
    <t xml:space="preserve">퀴라소</t>
  </si>
  <si>
    <t xml:space="preserve">Kiurasao</t>
  </si>
  <si>
    <t xml:space="preserve">Курасао</t>
  </si>
  <si>
    <t xml:space="preserve">کوراسائو</t>
  </si>
  <si>
    <t xml:space="preserve">Curazao</t>
  </si>
  <si>
    <t xml:space="preserve">คูราเซา</t>
  </si>
  <si>
    <t xml:space="preserve">Ivory Coast</t>
  </si>
  <si>
    <t xml:space="preserve">Bregu i Fildishtë</t>
  </si>
  <si>
    <t xml:space="preserve">ساحل العاج</t>
  </si>
  <si>
    <t xml:space="preserve">Կոտ դ'Իվուար</t>
  </si>
  <si>
    <t xml:space="preserve">Fil Dişi Sahili</t>
  </si>
  <si>
    <t xml:space="preserve">Кот д'Ивоар</t>
  </si>
  <si>
    <t xml:space="preserve">Costa d'Ivori</t>
  </si>
  <si>
    <t xml:space="preserve">科特迪瓦</t>
  </si>
  <si>
    <t xml:space="preserve">Obala Bjelokosti</t>
  </si>
  <si>
    <t xml:space="preserve">Pobřeží slonoviny</t>
  </si>
  <si>
    <t xml:space="preserve">Elfenbenskysten</t>
  </si>
  <si>
    <t xml:space="preserve">Ivoorkust</t>
  </si>
  <si>
    <t xml:space="preserve">Côte d'Ivoire</t>
  </si>
  <si>
    <t xml:space="preserve">კოტ-დ’ივუარი</t>
  </si>
  <si>
    <t xml:space="preserve">Elfenbeinküste</t>
  </si>
  <si>
    <t xml:space="preserve">Ακτή Ελεφαντοστού</t>
  </si>
  <si>
    <t xml:space="preserve">חוף השנהב</t>
  </si>
  <si>
    <t xml:space="preserve">Elefántcsontpart</t>
  </si>
  <si>
    <t xml:space="preserve">Pantai Gading</t>
  </si>
  <si>
    <t xml:space="preserve">Fílabeinsströndin</t>
  </si>
  <si>
    <t xml:space="preserve">Costa d'Avorio</t>
  </si>
  <si>
    <t xml:space="preserve">상아 해안</t>
  </si>
  <si>
    <t xml:space="preserve">Dramblio Kaulo Krantas</t>
  </si>
  <si>
    <t xml:space="preserve">Брегот на Слоновата Коска</t>
  </si>
  <si>
    <t xml:space="preserve">Kosta tal-Avorju</t>
  </si>
  <si>
    <t xml:space="preserve">ساحل عاج</t>
  </si>
  <si>
    <t xml:space="preserve">Wybrzeże Kości Słoniowej</t>
  </si>
  <si>
    <t xml:space="preserve">Costa do Marfim</t>
  </si>
  <si>
    <t xml:space="preserve">Coasta de Fildeș</t>
  </si>
  <si>
    <t xml:space="preserve">Обала Слоноваче</t>
  </si>
  <si>
    <t xml:space="preserve">Pobrežie Slonoviny</t>
  </si>
  <si>
    <t xml:space="preserve">Slonokoščena obala</t>
  </si>
  <si>
    <t xml:space="preserve">Costa de Marfil</t>
  </si>
  <si>
    <t xml:space="preserve">Elfenbenskusten</t>
  </si>
  <si>
    <t xml:space="preserve">ไอวอรี่โคสต์</t>
  </si>
  <si>
    <t xml:space="preserve">Fildişi Sahili</t>
  </si>
  <si>
    <t xml:space="preserve">Bờ Biển Ngà</t>
  </si>
  <si>
    <t xml:space="preserve">Кот-д'Івуар</t>
  </si>
  <si>
    <t xml:space="preserve">آئیوری کوسٹ</t>
  </si>
  <si>
    <t xml:space="preserve">Sweden</t>
  </si>
  <si>
    <t xml:space="preserve">Suedi</t>
  </si>
  <si>
    <t xml:space="preserve">السويد</t>
  </si>
  <si>
    <t xml:space="preserve">Շվեդիա</t>
  </si>
  <si>
    <t xml:space="preserve">İsveç</t>
  </si>
  <si>
    <t xml:space="preserve">Швеция</t>
  </si>
  <si>
    <t xml:space="preserve">Suècia</t>
  </si>
  <si>
    <t xml:space="preserve">瑞典</t>
  </si>
  <si>
    <t xml:space="preserve">Švedska</t>
  </si>
  <si>
    <t xml:space="preserve">Švédsko</t>
  </si>
  <si>
    <t xml:space="preserve">Sverige</t>
  </si>
  <si>
    <t xml:space="preserve">Zweden</t>
  </si>
  <si>
    <t xml:space="preserve">Suède</t>
  </si>
  <si>
    <t xml:space="preserve">შვედეთი</t>
  </si>
  <si>
    <t xml:space="preserve">Schweden</t>
  </si>
  <si>
    <t xml:space="preserve">Σουηδία</t>
  </si>
  <si>
    <t xml:space="preserve">שבדיה</t>
  </si>
  <si>
    <t xml:space="preserve">Svédország</t>
  </si>
  <si>
    <t xml:space="preserve">Swedia</t>
  </si>
  <si>
    <t xml:space="preserve">Svíþjóð</t>
  </si>
  <si>
    <t xml:space="preserve">Svezia</t>
  </si>
  <si>
    <t xml:space="preserve">스웨덴</t>
  </si>
  <si>
    <t xml:space="preserve">Švedija</t>
  </si>
  <si>
    <t xml:space="preserve">Шведска</t>
  </si>
  <si>
    <t xml:space="preserve">l-Iżvezja</t>
  </si>
  <si>
    <t xml:space="preserve">سوئد</t>
  </si>
  <si>
    <t xml:space="preserve">Szwecja</t>
  </si>
  <si>
    <t xml:space="preserve">Suécia</t>
  </si>
  <si>
    <t xml:space="preserve">Suedia</t>
  </si>
  <si>
    <t xml:space="preserve">Suecia</t>
  </si>
  <si>
    <t xml:space="preserve">สวีเดน</t>
  </si>
  <si>
    <t xml:space="preserve">Thụy Điển</t>
  </si>
  <si>
    <t xml:space="preserve">Швеція</t>
  </si>
  <si>
    <t xml:space="preserve">سویڈن</t>
  </si>
  <si>
    <t xml:space="preserve">Egypt</t>
  </si>
  <si>
    <t xml:space="preserve">Egjipti</t>
  </si>
  <si>
    <t xml:space="preserve">مصر</t>
  </si>
  <si>
    <t xml:space="preserve">Եգիպտոս</t>
  </si>
  <si>
    <t xml:space="preserve">Misir</t>
  </si>
  <si>
    <t xml:space="preserve">Египет</t>
  </si>
  <si>
    <t xml:space="preserve">Egipte</t>
  </si>
  <si>
    <t xml:space="preserve">埃及</t>
  </si>
  <si>
    <t xml:space="preserve">Egipat</t>
  </si>
  <si>
    <t xml:space="preserve">Egypten</t>
  </si>
  <si>
    <t xml:space="preserve">Egypte</t>
  </si>
  <si>
    <t xml:space="preserve">ეგვიპტე</t>
  </si>
  <si>
    <t xml:space="preserve">Ägypten</t>
  </si>
  <si>
    <t xml:space="preserve">Αίγυπτος</t>
  </si>
  <si>
    <t xml:space="preserve">מִצְרַיִם</t>
  </si>
  <si>
    <t xml:space="preserve">Egyiptom</t>
  </si>
  <si>
    <t xml:space="preserve">Mesir</t>
  </si>
  <si>
    <t xml:space="preserve">Egyptaland</t>
  </si>
  <si>
    <t xml:space="preserve">Egitto</t>
  </si>
  <si>
    <t xml:space="preserve">이집트</t>
  </si>
  <si>
    <t xml:space="preserve">Egiptas</t>
  </si>
  <si>
    <t xml:space="preserve">l-Eġittu</t>
  </si>
  <si>
    <t xml:space="preserve">Egipt</t>
  </si>
  <si>
    <t xml:space="preserve">Egito</t>
  </si>
  <si>
    <t xml:space="preserve">Египат</t>
  </si>
  <si>
    <t xml:space="preserve">Egipto</t>
  </si>
  <si>
    <t xml:space="preserve">อียิปต์</t>
  </si>
  <si>
    <t xml:space="preserve">Mısır</t>
  </si>
  <si>
    <t xml:space="preserve">Ai Cập</t>
  </si>
  <si>
    <t xml:space="preserve">Єгипет</t>
  </si>
  <si>
    <t xml:space="preserve">New Zealand</t>
  </si>
  <si>
    <t xml:space="preserve">Zelanda e Re</t>
  </si>
  <si>
    <t xml:space="preserve">نيوزيلندا</t>
  </si>
  <si>
    <t xml:space="preserve">Նոր Զելանդիա</t>
  </si>
  <si>
    <t xml:space="preserve">Yeni Zelandiya</t>
  </si>
  <si>
    <t xml:space="preserve">Нова Зеландия</t>
  </si>
  <si>
    <t xml:space="preserve">Nova Zelanda</t>
  </si>
  <si>
    <t xml:space="preserve">新西兰</t>
  </si>
  <si>
    <t xml:space="preserve">紐西蘭</t>
  </si>
  <si>
    <t xml:space="preserve">Novi Zeland</t>
  </si>
  <si>
    <t xml:space="preserve">Nový Zéland</t>
  </si>
  <si>
    <t xml:space="preserve">Nieuw-Zeeland</t>
  </si>
  <si>
    <t xml:space="preserve">Nouvelle-Zélande</t>
  </si>
  <si>
    <t xml:space="preserve">ახალი ზელანდია</t>
  </si>
  <si>
    <t xml:space="preserve">Neuseeland</t>
  </si>
  <si>
    <t xml:space="preserve">Νέα Ζηλανδία</t>
  </si>
  <si>
    <t xml:space="preserve">ניו זילנד</t>
  </si>
  <si>
    <t xml:space="preserve">Új-Zéland</t>
  </si>
  <si>
    <t xml:space="preserve">Selandia Baru</t>
  </si>
  <si>
    <t xml:space="preserve">Nýja-Sjáland</t>
  </si>
  <si>
    <t xml:space="preserve">Nuova Zelanda</t>
  </si>
  <si>
    <t xml:space="preserve">뉴질랜드</t>
  </si>
  <si>
    <t xml:space="preserve">Naujoji Zelandija</t>
  </si>
  <si>
    <t xml:space="preserve">Нов Зеланд</t>
  </si>
  <si>
    <t xml:space="preserve">نیوزیلند</t>
  </si>
  <si>
    <t xml:space="preserve">Nowa Zelandia</t>
  </si>
  <si>
    <t xml:space="preserve">Nova Zelândia</t>
  </si>
  <si>
    <t xml:space="preserve">Noua Zeelandă</t>
  </si>
  <si>
    <t xml:space="preserve">Нови Зеланд</t>
  </si>
  <si>
    <t xml:space="preserve">Nova Zelandija</t>
  </si>
  <si>
    <t xml:space="preserve">Nueva Zelanda</t>
  </si>
  <si>
    <t xml:space="preserve">Nya Zeeland</t>
  </si>
  <si>
    <t xml:space="preserve">นิวซีแลนด์</t>
  </si>
  <si>
    <t xml:space="preserve">Yeni Zelanda</t>
  </si>
  <si>
    <t xml:space="preserve">Нова Зеландія</t>
  </si>
  <si>
    <t xml:space="preserve">نیوزی لینڈ</t>
  </si>
  <si>
    <t xml:space="preserve">Cape Verde</t>
  </si>
  <si>
    <t xml:space="preserve">Kepi ​​i Gjelbër</t>
  </si>
  <si>
    <t xml:space="preserve">الرأس الأخضر</t>
  </si>
  <si>
    <t xml:space="preserve">Կաբո Վերդե</t>
  </si>
  <si>
    <t xml:space="preserve">Kabo-Verde</t>
  </si>
  <si>
    <t xml:space="preserve">Кабо Верде</t>
  </si>
  <si>
    <t xml:space="preserve">Cap Verd</t>
  </si>
  <si>
    <t xml:space="preserve">佛得角</t>
  </si>
  <si>
    <t xml:space="preserve">維德角</t>
  </si>
  <si>
    <t xml:space="preserve">Zelenortski Otoci</t>
  </si>
  <si>
    <t xml:space="preserve">Kapverdy</t>
  </si>
  <si>
    <t xml:space="preserve">Kap Verde</t>
  </si>
  <si>
    <t xml:space="preserve">Kaapverdië</t>
  </si>
  <si>
    <t xml:space="preserve">Cap-Vert</t>
  </si>
  <si>
    <t xml:space="preserve">კაბო-ვერდე</t>
  </si>
  <si>
    <t xml:space="preserve">Πράσινο Ακρωτήριο</t>
  </si>
  <si>
    <t xml:space="preserve">כף ורדה</t>
  </si>
  <si>
    <t xml:space="preserve">Zöld-foki Köztársaság</t>
  </si>
  <si>
    <t xml:space="preserve">Tanjung Verde</t>
  </si>
  <si>
    <t xml:space="preserve">Grænhöfðaeyjar</t>
  </si>
  <si>
    <t xml:space="preserve">Capo Verde</t>
  </si>
  <si>
    <t xml:space="preserve">카보베르데</t>
  </si>
  <si>
    <t xml:space="preserve">Žaliasis Kyšulys</t>
  </si>
  <si>
    <t xml:space="preserve">Зелен ’Рт</t>
  </si>
  <si>
    <t xml:space="preserve">Kapp Verde</t>
  </si>
  <si>
    <t xml:space="preserve">کیپ ورد</t>
  </si>
  <si>
    <t xml:space="preserve">Republika Zielonego Przylądka</t>
  </si>
  <si>
    <t xml:space="preserve">Cabo Verde</t>
  </si>
  <si>
    <t xml:space="preserve">Capul Verde</t>
  </si>
  <si>
    <t xml:space="preserve">Зеленортска Острва</t>
  </si>
  <si>
    <t xml:space="preserve">Zelenortski otoki</t>
  </si>
  <si>
    <t xml:space="preserve">เคปเวอร์เด</t>
  </si>
  <si>
    <t xml:space="preserve">Yeşil Burun Adaları</t>
  </si>
  <si>
    <t xml:space="preserve">Кабо-Верде</t>
  </si>
  <si>
    <t xml:space="preserve">کیپ وردے</t>
  </si>
  <si>
    <t xml:space="preserve">Iraq</t>
  </si>
  <si>
    <t xml:space="preserve">Iraku</t>
  </si>
  <si>
    <t xml:space="preserve">العراق</t>
  </si>
  <si>
    <t xml:space="preserve">Իրաք</t>
  </si>
  <si>
    <t xml:space="preserve">İraq</t>
  </si>
  <si>
    <t xml:space="preserve">Ирак</t>
  </si>
  <si>
    <t xml:space="preserve">伊拉克</t>
  </si>
  <si>
    <t xml:space="preserve">Irak</t>
  </si>
  <si>
    <t xml:space="preserve">Irák</t>
  </si>
  <si>
    <t xml:space="preserve">ერაყი</t>
  </si>
  <si>
    <t xml:space="preserve">Ιράκ</t>
  </si>
  <si>
    <t xml:space="preserve">עִירַאק</t>
  </si>
  <si>
    <t xml:space="preserve">Írak</t>
  </si>
  <si>
    <t xml:space="preserve">이라크</t>
  </si>
  <si>
    <t xml:space="preserve">Irakas</t>
  </si>
  <si>
    <t xml:space="preserve">l-Iraq</t>
  </si>
  <si>
    <t xml:space="preserve">عراق</t>
  </si>
  <si>
    <t xml:space="preserve">Iraque</t>
  </si>
  <si>
    <t xml:space="preserve">อิรัก</t>
  </si>
  <si>
    <t xml:space="preserve">Ірак</t>
  </si>
  <si>
    <t xml:space="preserve">Norway</t>
  </si>
  <si>
    <t xml:space="preserve">Norvegji</t>
  </si>
  <si>
    <t xml:space="preserve">النرويج</t>
  </si>
  <si>
    <t xml:space="preserve">Նորվեգիա</t>
  </si>
  <si>
    <t xml:space="preserve">Norveç</t>
  </si>
  <si>
    <t xml:space="preserve">Норвегия</t>
  </si>
  <si>
    <t xml:space="preserve">Noruega</t>
  </si>
  <si>
    <t xml:space="preserve">挪威</t>
  </si>
  <si>
    <t xml:space="preserve">Norveška</t>
  </si>
  <si>
    <t xml:space="preserve">Norsko</t>
  </si>
  <si>
    <t xml:space="preserve">Norge</t>
  </si>
  <si>
    <t xml:space="preserve">Noorwegen</t>
  </si>
  <si>
    <t xml:space="preserve">Norvège</t>
  </si>
  <si>
    <t xml:space="preserve">ნორვეგია</t>
  </si>
  <si>
    <t xml:space="preserve">Norwegen</t>
  </si>
  <si>
    <t xml:space="preserve">Νορβηγία</t>
  </si>
  <si>
    <t xml:space="preserve">נורבגיה</t>
  </si>
  <si>
    <t xml:space="preserve">Norvégia</t>
  </si>
  <si>
    <t xml:space="preserve">Norwegia</t>
  </si>
  <si>
    <t xml:space="preserve">Noregur</t>
  </si>
  <si>
    <t xml:space="preserve">Norvegia</t>
  </si>
  <si>
    <t xml:space="preserve">노르웨이</t>
  </si>
  <si>
    <t xml:space="preserve">Norvegija</t>
  </si>
  <si>
    <t xml:space="preserve">Норвешка</t>
  </si>
  <si>
    <t xml:space="preserve">in-Norveġja</t>
  </si>
  <si>
    <t xml:space="preserve">نروژ</t>
  </si>
  <si>
    <t xml:space="preserve">Nórsko</t>
  </si>
  <si>
    <t xml:space="preserve">นอร์เวย์</t>
  </si>
  <si>
    <t xml:space="preserve">Na Uy</t>
  </si>
  <si>
    <t xml:space="preserve">Норвегія</t>
  </si>
  <si>
    <t xml:space="preserve">ناروے</t>
  </si>
  <si>
    <t xml:space="preserve">Algeria</t>
  </si>
  <si>
    <t xml:space="preserve">Algjeri</t>
  </si>
  <si>
    <t xml:space="preserve">الجزائر</t>
  </si>
  <si>
    <t xml:space="preserve">Ալժիր</t>
  </si>
  <si>
    <t xml:space="preserve">Əlcəzair</t>
  </si>
  <si>
    <t xml:space="preserve">Алжир</t>
  </si>
  <si>
    <t xml:space="preserve">Algèria</t>
  </si>
  <si>
    <t xml:space="preserve">阿尔及利亚</t>
  </si>
  <si>
    <t xml:space="preserve">阿爾及利亞</t>
  </si>
  <si>
    <t xml:space="preserve">Alžir</t>
  </si>
  <si>
    <t xml:space="preserve">Alžírsko</t>
  </si>
  <si>
    <t xml:space="preserve">Algeriet</t>
  </si>
  <si>
    <t xml:space="preserve">Algerije</t>
  </si>
  <si>
    <t xml:space="preserve">Algérie</t>
  </si>
  <si>
    <t xml:space="preserve">ალჟირი</t>
  </si>
  <si>
    <t xml:space="preserve">Algerien</t>
  </si>
  <si>
    <t xml:space="preserve">Αλγερία</t>
  </si>
  <si>
    <t xml:space="preserve">אלג'יריה</t>
  </si>
  <si>
    <t xml:space="preserve">Algéria</t>
  </si>
  <si>
    <t xml:space="preserve">Aljazair</t>
  </si>
  <si>
    <t xml:space="preserve">Alsír</t>
  </si>
  <si>
    <t xml:space="preserve">알제리</t>
  </si>
  <si>
    <t xml:space="preserve">Alžyras</t>
  </si>
  <si>
    <t xml:space="preserve">Alġerija</t>
  </si>
  <si>
    <t xml:space="preserve">Algerie</t>
  </si>
  <si>
    <t xml:space="preserve">الجزایر</t>
  </si>
  <si>
    <t xml:space="preserve">Algieria</t>
  </si>
  <si>
    <t xml:space="preserve">Argélia</t>
  </si>
  <si>
    <t xml:space="preserve">Alžirija</t>
  </si>
  <si>
    <t xml:space="preserve">Argelia</t>
  </si>
  <si>
    <t xml:space="preserve">แอลจีเรีย</t>
  </si>
  <si>
    <t xml:space="preserve">Cezayir</t>
  </si>
  <si>
    <t xml:space="preserve">Austria</t>
  </si>
  <si>
    <t xml:space="preserve">Austri</t>
  </si>
  <si>
    <t xml:space="preserve">النمسا</t>
  </si>
  <si>
    <t xml:space="preserve">Ավստրիա</t>
  </si>
  <si>
    <t xml:space="preserve">Avstriya</t>
  </si>
  <si>
    <t xml:space="preserve">Австрия</t>
  </si>
  <si>
    <t xml:space="preserve">Àustria</t>
  </si>
  <si>
    <t xml:space="preserve">奥地利</t>
  </si>
  <si>
    <t xml:space="preserve">奧地利</t>
  </si>
  <si>
    <t xml:space="preserve">Austrija</t>
  </si>
  <si>
    <t xml:space="preserve">Rakousko</t>
  </si>
  <si>
    <t xml:space="preserve">Østrig</t>
  </si>
  <si>
    <t xml:space="preserve">Oostenrijk</t>
  </si>
  <si>
    <t xml:space="preserve">Autriche</t>
  </si>
  <si>
    <t xml:space="preserve">ავსტრია</t>
  </si>
  <si>
    <t xml:space="preserve">Österreich</t>
  </si>
  <si>
    <t xml:space="preserve">Αυστρία</t>
  </si>
  <si>
    <t xml:space="preserve">אוֹסְטְרֵיָה</t>
  </si>
  <si>
    <t xml:space="preserve">Ausztria</t>
  </si>
  <si>
    <t xml:space="preserve">Austurríki</t>
  </si>
  <si>
    <t xml:space="preserve">오스트리아</t>
  </si>
  <si>
    <t xml:space="preserve">Австрија</t>
  </si>
  <si>
    <t xml:space="preserve">l-Awstrija</t>
  </si>
  <si>
    <t xml:space="preserve">Østerrike</t>
  </si>
  <si>
    <t xml:space="preserve">اتریش</t>
  </si>
  <si>
    <t xml:space="preserve">Áustria</t>
  </si>
  <si>
    <t xml:space="preserve">Аустрија</t>
  </si>
  <si>
    <t xml:space="preserve">Rakúsko</t>
  </si>
  <si>
    <t xml:space="preserve">Avstrija</t>
  </si>
  <si>
    <t xml:space="preserve">Österrike</t>
  </si>
  <si>
    <t xml:space="preserve">ออสเตรีย</t>
  </si>
  <si>
    <t xml:space="preserve">Avusturya</t>
  </si>
  <si>
    <t xml:space="preserve">Áo</t>
  </si>
  <si>
    <t xml:space="preserve">Австрія</t>
  </si>
  <si>
    <t xml:space="preserve">آسٹریا</t>
  </si>
  <si>
    <t xml:space="preserve">Jordan</t>
  </si>
  <si>
    <t xml:space="preserve">Jordania</t>
  </si>
  <si>
    <t xml:space="preserve">الأردن</t>
  </si>
  <si>
    <t xml:space="preserve">Հորդանան</t>
  </si>
  <si>
    <t xml:space="preserve">İordaniya</t>
  </si>
  <si>
    <t xml:space="preserve">Йордания</t>
  </si>
  <si>
    <t xml:space="preserve">Jordània</t>
  </si>
  <si>
    <t xml:space="preserve">约旦</t>
  </si>
  <si>
    <t xml:space="preserve">約旦</t>
  </si>
  <si>
    <t xml:space="preserve">Jordán</t>
  </si>
  <si>
    <t xml:space="preserve">Jordanië</t>
  </si>
  <si>
    <t xml:space="preserve">Jordanie</t>
  </si>
  <si>
    <t xml:space="preserve">იორდანია</t>
  </si>
  <si>
    <t xml:space="preserve">Jordanien</t>
  </si>
  <si>
    <t xml:space="preserve">Ιορδανία</t>
  </si>
  <si>
    <t xml:space="preserve">יַרדֵן</t>
  </si>
  <si>
    <t xml:space="preserve">Jordánia</t>
  </si>
  <si>
    <t xml:space="preserve">Yordania</t>
  </si>
  <si>
    <t xml:space="preserve">Jórdanía</t>
  </si>
  <si>
    <t xml:space="preserve">Giordania</t>
  </si>
  <si>
    <t xml:space="preserve">요르단</t>
  </si>
  <si>
    <t xml:space="preserve">Jordanija</t>
  </si>
  <si>
    <t xml:space="preserve">Јордан</t>
  </si>
  <si>
    <t xml:space="preserve">Ġordan</t>
  </si>
  <si>
    <t xml:space="preserve">اردن</t>
  </si>
  <si>
    <t xml:space="preserve">Jordânia</t>
  </si>
  <si>
    <t xml:space="preserve">Iordania</t>
  </si>
  <si>
    <t xml:space="preserve">Jordánsko</t>
  </si>
  <si>
    <t xml:space="preserve">จอร์แดน</t>
  </si>
  <si>
    <t xml:space="preserve">Ürdün</t>
  </si>
  <si>
    <t xml:space="preserve">Йорданія</t>
  </si>
  <si>
    <t xml:space="preserve">DR Congo</t>
  </si>
  <si>
    <t xml:space="preserve">RD Kongos</t>
  </si>
  <si>
    <t xml:space="preserve"> الكونغو</t>
  </si>
  <si>
    <t xml:space="preserve">Կոնգոյի</t>
  </si>
  <si>
    <t xml:space="preserve">Konqo DR</t>
  </si>
  <si>
    <t xml:space="preserve">ДР Конго</t>
  </si>
  <si>
    <t xml:space="preserve">RD Congo</t>
  </si>
  <si>
    <t xml:space="preserve">刚果民主共和国</t>
  </si>
  <si>
    <t xml:space="preserve">剛果民主共和國</t>
  </si>
  <si>
    <t xml:space="preserve">DR Kongo</t>
  </si>
  <si>
    <t xml:space="preserve">კონგოს</t>
  </si>
  <si>
    <t xml:space="preserve">ΛΔ Κονγκό</t>
  </si>
  <si>
    <t xml:space="preserve">דמוקרטית קונגו</t>
  </si>
  <si>
    <t xml:space="preserve">Kongói</t>
  </si>
  <si>
    <t xml:space="preserve">RD Kongo</t>
  </si>
  <si>
    <t xml:space="preserve">Lýðveldið Kongó</t>
  </si>
  <si>
    <t xml:space="preserve">콩고민주공화국</t>
  </si>
  <si>
    <t xml:space="preserve">Kongo DR</t>
  </si>
  <si>
    <t xml:space="preserve">Repubblika tal-Kongo</t>
  </si>
  <si>
    <t xml:space="preserve">جمهوری دموکراتیک کنگو</t>
  </si>
  <si>
    <t xml:space="preserve">DR Konga</t>
  </si>
  <si>
    <t xml:space="preserve">สาธารณรัฐประชาธิปไตยคองโก</t>
  </si>
  <si>
    <t xml:space="preserve">Kongo</t>
  </si>
  <si>
    <t xml:space="preserve">CHDC Congo</t>
  </si>
  <si>
    <t xml:space="preserve">ڈی آر کانگو</t>
  </si>
  <si>
    <t xml:space="preserve">Uzbekistan</t>
  </si>
  <si>
    <t xml:space="preserve">Uzbekistani</t>
  </si>
  <si>
    <t xml:space="preserve">أوزبكستان</t>
  </si>
  <si>
    <t xml:space="preserve">Ուզբեկստան</t>
  </si>
  <si>
    <t xml:space="preserve">Özbəkistan</t>
  </si>
  <si>
    <t xml:space="preserve">Узбекистан</t>
  </si>
  <si>
    <t xml:space="preserve">乌兹别克斯坦</t>
  </si>
  <si>
    <t xml:space="preserve">烏茲別克</t>
  </si>
  <si>
    <t xml:space="preserve">Uzbekistán</t>
  </si>
  <si>
    <t xml:space="preserve">Usbekistan</t>
  </si>
  <si>
    <t xml:space="preserve">Oezbekistan</t>
  </si>
  <si>
    <t xml:space="preserve">Ouzbékistan</t>
  </si>
  <si>
    <t xml:space="preserve">უზბეკეთი</t>
  </si>
  <si>
    <t xml:space="preserve">Ουζμπεκιστάν</t>
  </si>
  <si>
    <t xml:space="preserve">אוזבקיסטן</t>
  </si>
  <si>
    <t xml:space="preserve">Üzbegisztán</t>
  </si>
  <si>
    <t xml:space="preserve">Úsbekistan</t>
  </si>
  <si>
    <t xml:space="preserve">우즈베키스탄</t>
  </si>
  <si>
    <t xml:space="preserve">Uzbekistanas</t>
  </si>
  <si>
    <t xml:space="preserve">l-Użbekistan</t>
  </si>
  <si>
    <t xml:space="preserve">ازبکستان</t>
  </si>
  <si>
    <t xml:space="preserve">Uzbequistão</t>
  </si>
  <si>
    <t xml:space="preserve">อุซเบกิสถาน</t>
  </si>
  <si>
    <t xml:space="preserve">Özbekistan</t>
  </si>
  <si>
    <t xml:space="preserve">Colombia</t>
  </si>
  <si>
    <t xml:space="preserve">Kolumbia</t>
  </si>
  <si>
    <t xml:space="preserve">كولومبيا</t>
  </si>
  <si>
    <t xml:space="preserve">Կոլումբիա</t>
  </si>
  <si>
    <t xml:space="preserve">Kolumbiya</t>
  </si>
  <si>
    <t xml:space="preserve">Колумбия</t>
  </si>
  <si>
    <t xml:space="preserve">Colòmbia</t>
  </si>
  <si>
    <t xml:space="preserve">哥伦比亚</t>
  </si>
  <si>
    <t xml:space="preserve">哥倫比亞</t>
  </si>
  <si>
    <t xml:space="preserve">Kolumbija</t>
  </si>
  <si>
    <t xml:space="preserve">Kolumbie</t>
  </si>
  <si>
    <t xml:space="preserve">Colombie</t>
  </si>
  <si>
    <t xml:space="preserve">კოლუმბია</t>
  </si>
  <si>
    <t xml:space="preserve">Kolumbien</t>
  </si>
  <si>
    <t xml:space="preserve">Κολομβία</t>
  </si>
  <si>
    <t xml:space="preserve">קולומביה</t>
  </si>
  <si>
    <t xml:space="preserve">Kólumbía</t>
  </si>
  <si>
    <t xml:space="preserve">콜롬비아</t>
  </si>
  <si>
    <t xml:space="preserve">Колумбија</t>
  </si>
  <si>
    <t xml:space="preserve">Kolombja</t>
  </si>
  <si>
    <t xml:space="preserve">کلمبیا</t>
  </si>
  <si>
    <t xml:space="preserve">Colômbia</t>
  </si>
  <si>
    <t xml:space="preserve">Columbia</t>
  </si>
  <si>
    <t xml:space="preserve">โคลอมเบีย</t>
  </si>
  <si>
    <t xml:space="preserve">Kolombiya</t>
  </si>
  <si>
    <t xml:space="preserve">Колумбія</t>
  </si>
  <si>
    <t xml:space="preserve">کولمبیا</t>
  </si>
  <si>
    <t xml:space="preserve">Panama</t>
  </si>
  <si>
    <t xml:space="preserve">بنما</t>
  </si>
  <si>
    <t xml:space="preserve">Պանամա</t>
  </si>
  <si>
    <t xml:space="preserve">Панама</t>
  </si>
  <si>
    <t xml:space="preserve">Panamà</t>
  </si>
  <si>
    <t xml:space="preserve">巴拿马</t>
  </si>
  <si>
    <t xml:space="preserve">巴拿馬</t>
  </si>
  <si>
    <t xml:space="preserve">პანამა</t>
  </si>
  <si>
    <t xml:space="preserve">Παναμάς</t>
  </si>
  <si>
    <t xml:space="preserve">פנמה</t>
  </si>
  <si>
    <t xml:space="preserve">파나마</t>
  </si>
  <si>
    <t xml:space="preserve">il-Panama</t>
  </si>
  <si>
    <t xml:space="preserve">پاناما</t>
  </si>
  <si>
    <t xml:space="preserve">Panamá</t>
  </si>
  <si>
    <t xml:space="preserve">ปานามา</t>
  </si>
  <si>
    <t xml:space="preserve">پانامہ</t>
  </si>
  <si>
    <t xml:space="preserve">1A</t>
  </si>
  <si>
    <t xml:space="preserve"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</si>
  <si>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</si>
  <si>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اول گروه A</t>
  </si>
  <si>
    <t xml:space="preserve">ที่ 1 สาย A</t>
  </si>
  <si>
    <t xml:space="preserve">۱الف</t>
  </si>
  <si>
    <t xml:space="preserve">2A</t>
  </si>
  <si>
    <t xml:space="preserve"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</si>
  <si>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</si>
  <si>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 A</t>
  </si>
  <si>
    <t xml:space="preserve">ที่ 2 สาย A</t>
  </si>
  <si>
    <t xml:space="preserve">۲الف</t>
  </si>
  <si>
    <t xml:space="preserve">1B</t>
  </si>
  <si>
    <t xml:space="preserve"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</si>
  <si>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</si>
  <si>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اول گروه B</t>
  </si>
  <si>
    <t xml:space="preserve">ที่ 1 สาย B</t>
  </si>
  <si>
    <t xml:space="preserve">۱ب</t>
  </si>
  <si>
    <t xml:space="preserve">2B</t>
  </si>
  <si>
    <t xml:space="preserve"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</si>
  <si>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</si>
  <si>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گروهB</t>
  </si>
  <si>
    <t xml:space="preserve">ที่ 2 สาย B</t>
  </si>
  <si>
    <t xml:space="preserve">۲ب</t>
  </si>
  <si>
    <t xml:space="preserve">1C</t>
  </si>
  <si>
    <t xml:space="preserve">C1</t>
  </si>
  <si>
    <t xml:space="preserve"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</si>
  <si>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</si>
  <si>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1Ċ</t>
  </si>
  <si>
    <t xml:space="preserve">اول گروه C</t>
  </si>
  <si>
    <t xml:space="preserve">ที่ 1 สาย C</t>
  </si>
  <si>
    <t xml:space="preserve">۱ج</t>
  </si>
  <si>
    <t xml:space="preserve">2C</t>
  </si>
  <si>
    <t xml:space="preserve">C2</t>
  </si>
  <si>
    <t xml:space="preserve"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</si>
  <si>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</si>
  <si>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2Ċ</t>
  </si>
  <si>
    <t xml:space="preserve">دوم گروه C</t>
  </si>
  <si>
    <t xml:space="preserve">ที่ 2 สาย C</t>
  </si>
  <si>
    <t xml:space="preserve">۲ج</t>
  </si>
  <si>
    <t xml:space="preserve">1D</t>
  </si>
  <si>
    <t xml:space="preserve">D1</t>
  </si>
  <si>
    <t xml:space="preserve"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</si>
  <si>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</si>
  <si>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اول گروه D</t>
  </si>
  <si>
    <t xml:space="preserve">ที่ 1 สาย D</t>
  </si>
  <si>
    <t xml:space="preserve">۱د</t>
  </si>
  <si>
    <t xml:space="preserve">2D</t>
  </si>
  <si>
    <t xml:space="preserve">D2</t>
  </si>
  <si>
    <t xml:space="preserve"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</si>
  <si>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</si>
  <si>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 D</t>
  </si>
  <si>
    <t xml:space="preserve">ที่ 2 สาย D</t>
  </si>
  <si>
    <t xml:space="preserve">۲د</t>
  </si>
  <si>
    <t xml:space="preserve">1E</t>
  </si>
  <si>
    <t xml:space="preserve">E1</t>
  </si>
  <si>
    <t xml:space="preserve"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</si>
  <si>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</si>
  <si>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اول گروه E</t>
  </si>
  <si>
    <t xml:space="preserve">ที่ 1 สาย E</t>
  </si>
  <si>
    <t xml:space="preserve">۱ھ</t>
  </si>
  <si>
    <t xml:space="preserve">2E</t>
  </si>
  <si>
    <t xml:space="preserve">E2</t>
  </si>
  <si>
    <t xml:space="preserve"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</si>
  <si>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</si>
  <si>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 E</t>
  </si>
  <si>
    <t xml:space="preserve">ที่ 2 สาย E</t>
  </si>
  <si>
    <t xml:space="preserve">۲ھ</t>
  </si>
  <si>
    <t xml:space="preserve">1F</t>
  </si>
  <si>
    <t xml:space="preserve">F1</t>
  </si>
  <si>
    <t xml:space="preserve"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</si>
  <si>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</si>
  <si>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اول گروه F</t>
  </si>
  <si>
    <t xml:space="preserve">ที่ 1 สาย F</t>
  </si>
  <si>
    <t xml:space="preserve">۱و</t>
  </si>
  <si>
    <t xml:space="preserve">2F</t>
  </si>
  <si>
    <t xml:space="preserve">F2</t>
  </si>
  <si>
    <t xml:space="preserve"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</si>
  <si>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</si>
  <si>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 F</t>
  </si>
  <si>
    <t xml:space="preserve">ที่ 2 สาย F</t>
  </si>
  <si>
    <t xml:space="preserve">۲و</t>
  </si>
  <si>
    <t xml:space="preserve">1G</t>
  </si>
  <si>
    <t xml:space="preserve">G1</t>
  </si>
  <si>
    <t xml:space="preserve"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</si>
  <si>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</si>
  <si>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1Ġ</t>
  </si>
  <si>
    <t xml:space="preserve">اول گروه G</t>
  </si>
  <si>
    <t xml:space="preserve">ที่ 1 สาย G</t>
  </si>
  <si>
    <t xml:space="preserve">۱ز</t>
  </si>
  <si>
    <t xml:space="preserve">2G</t>
  </si>
  <si>
    <t xml:space="preserve">G2</t>
  </si>
  <si>
    <t xml:space="preserve"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</si>
  <si>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</si>
  <si>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2Ġ</t>
  </si>
  <si>
    <t xml:space="preserve">دوم گروه G</t>
  </si>
  <si>
    <t xml:space="preserve">ที่ 2 สาย G</t>
  </si>
  <si>
    <t xml:space="preserve">۲ز</t>
  </si>
  <si>
    <t xml:space="preserve">1H</t>
  </si>
  <si>
    <t xml:space="preserve"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</si>
  <si>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위</t>
    </r>
  </si>
  <si>
    <t xml:space="preserve">1Ħ</t>
  </si>
  <si>
    <t xml:space="preserve">اول گروه H</t>
  </si>
  <si>
    <t xml:space="preserve">ที่ 1 สาย H</t>
  </si>
  <si>
    <t xml:space="preserve">۱ح</t>
  </si>
  <si>
    <t xml:space="preserve">2H</t>
  </si>
  <si>
    <t xml:space="preserve"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</si>
  <si>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위</t>
    </r>
  </si>
  <si>
    <t xml:space="preserve">دوم گروه H</t>
  </si>
  <si>
    <t xml:space="preserve">ที่ 2 สาย H</t>
  </si>
  <si>
    <t xml:space="preserve">۲ح</t>
  </si>
  <si>
    <t xml:space="preserve">W49</t>
  </si>
  <si>
    <t xml:space="preserve">F49</t>
  </si>
  <si>
    <t xml:space="preserve">Q49</t>
  </si>
  <si>
    <t xml:space="preserve">G49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</si>
  <si>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Noto Sans CJK SC"/>
        <family val="2"/>
      </rPr>
      <t xml:space="preserve">胜者</t>
    </r>
  </si>
  <si>
    <t xml:space="preserve">V49</t>
  </si>
  <si>
    <t xml:space="preserve">მ49</t>
  </si>
  <si>
    <t xml:space="preserve">Ν49</t>
  </si>
  <si>
    <t xml:space="preserve">GY49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</si>
  <si>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승자</t>
    </r>
  </si>
  <si>
    <t xml:space="preserve">L49</t>
  </si>
  <si>
    <t xml:space="preserve">П49</t>
  </si>
  <si>
    <t xml:space="preserve">R49</t>
  </si>
  <si>
    <t xml:space="preserve">برنده بازی 49</t>
  </si>
  <si>
    <t xml:space="preserve">C49</t>
  </si>
  <si>
    <t xml:space="preserve">P49</t>
  </si>
  <si>
    <t xml:space="preserve">ผู้ชนะนัดที่ 49</t>
  </si>
  <si>
    <t xml:space="preserve">T49</t>
  </si>
  <si>
    <t xml:space="preserve">Переможець 49</t>
  </si>
  <si>
    <t xml:space="preserve">۴۹ جیت</t>
  </si>
  <si>
    <t xml:space="preserve">W50</t>
  </si>
  <si>
    <t xml:space="preserve">F50</t>
  </si>
  <si>
    <t xml:space="preserve">Q50</t>
  </si>
  <si>
    <t xml:space="preserve">G50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</si>
  <si>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胜者</t>
    </r>
  </si>
  <si>
    <t xml:space="preserve">V50</t>
  </si>
  <si>
    <t xml:space="preserve">მ50</t>
  </si>
  <si>
    <t xml:space="preserve">Ν50</t>
  </si>
  <si>
    <t xml:space="preserve">GY50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</si>
  <si>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승자</t>
    </r>
  </si>
  <si>
    <t xml:space="preserve">L50</t>
  </si>
  <si>
    <t xml:space="preserve">П50</t>
  </si>
  <si>
    <t xml:space="preserve">R50</t>
  </si>
  <si>
    <t xml:space="preserve">برنده بازی 50</t>
  </si>
  <si>
    <t xml:space="preserve">C50</t>
  </si>
  <si>
    <t xml:space="preserve">P50</t>
  </si>
  <si>
    <t xml:space="preserve">ผู้ชนะนัดที่ 50</t>
  </si>
  <si>
    <t xml:space="preserve">T50</t>
  </si>
  <si>
    <t xml:space="preserve">Переможець 50</t>
  </si>
  <si>
    <t xml:space="preserve">۵۰ جیت</t>
  </si>
  <si>
    <t xml:space="preserve">W51</t>
  </si>
  <si>
    <t xml:space="preserve">F51</t>
  </si>
  <si>
    <t xml:space="preserve">Q51</t>
  </si>
  <si>
    <t xml:space="preserve">G51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</si>
  <si>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Noto Sans CJK SC"/>
        <family val="2"/>
      </rPr>
      <t xml:space="preserve">胜者</t>
    </r>
  </si>
  <si>
    <t xml:space="preserve">V51</t>
  </si>
  <si>
    <t xml:space="preserve">მ51</t>
  </si>
  <si>
    <t xml:space="preserve">Ν51</t>
  </si>
  <si>
    <t xml:space="preserve">GY51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</si>
  <si>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승자</t>
    </r>
  </si>
  <si>
    <t xml:space="preserve">L51</t>
  </si>
  <si>
    <t xml:space="preserve">П51</t>
  </si>
  <si>
    <t xml:space="preserve">R51</t>
  </si>
  <si>
    <t xml:space="preserve">برنده بازی 51</t>
  </si>
  <si>
    <t xml:space="preserve">C51</t>
  </si>
  <si>
    <t xml:space="preserve">P51</t>
  </si>
  <si>
    <t xml:space="preserve">ผู้ชนะนัดที่ 51</t>
  </si>
  <si>
    <t xml:space="preserve">T51</t>
  </si>
  <si>
    <t xml:space="preserve">Переможець 51</t>
  </si>
  <si>
    <t xml:space="preserve">۵۱ جیت</t>
  </si>
  <si>
    <t xml:space="preserve">W52</t>
  </si>
  <si>
    <t xml:space="preserve">F52</t>
  </si>
  <si>
    <t xml:space="preserve">Q52</t>
  </si>
  <si>
    <t xml:space="preserve">G52</t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</si>
  <si>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胜者</t>
    </r>
  </si>
  <si>
    <t xml:space="preserve">V52</t>
  </si>
  <si>
    <t xml:space="preserve">მ52</t>
  </si>
  <si>
    <t xml:space="preserve">Ν52</t>
  </si>
  <si>
    <t xml:space="preserve">GY52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</si>
  <si>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승자</t>
    </r>
  </si>
  <si>
    <t xml:space="preserve">L52</t>
  </si>
  <si>
    <t xml:space="preserve">П52</t>
  </si>
  <si>
    <t xml:space="preserve">R52</t>
  </si>
  <si>
    <t xml:space="preserve">برنده بازی 52</t>
  </si>
  <si>
    <t xml:space="preserve">C52</t>
  </si>
  <si>
    <t xml:space="preserve">P52</t>
  </si>
  <si>
    <t xml:space="preserve">ผู้ชนะนัดที่ 52</t>
  </si>
  <si>
    <t xml:space="preserve">T52</t>
  </si>
  <si>
    <t xml:space="preserve">Переможець 52</t>
  </si>
  <si>
    <t xml:space="preserve">۵۲ جیت</t>
  </si>
  <si>
    <t xml:space="preserve">W53</t>
  </si>
  <si>
    <t xml:space="preserve">F53</t>
  </si>
  <si>
    <t xml:space="preserve">Q53</t>
  </si>
  <si>
    <t xml:space="preserve">G53</t>
  </si>
  <si>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胜者</t>
    </r>
  </si>
  <si>
    <t xml:space="preserve">V53</t>
  </si>
  <si>
    <t xml:space="preserve">მ53</t>
  </si>
  <si>
    <t xml:space="preserve">Ν53</t>
  </si>
  <si>
    <t xml:space="preserve">GY53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</si>
  <si>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승자</t>
    </r>
  </si>
  <si>
    <t xml:space="preserve">L53</t>
  </si>
  <si>
    <t xml:space="preserve">П53</t>
  </si>
  <si>
    <t xml:space="preserve">R53</t>
  </si>
  <si>
    <t xml:space="preserve">برنده بازی 53</t>
  </si>
  <si>
    <t xml:space="preserve">C53</t>
  </si>
  <si>
    <t xml:space="preserve">P53</t>
  </si>
  <si>
    <t xml:space="preserve">ผู้ชนะนัดที่ 53</t>
  </si>
  <si>
    <t xml:space="preserve">T53</t>
  </si>
  <si>
    <t xml:space="preserve">Переможець 53</t>
  </si>
  <si>
    <t xml:space="preserve">۵۳ جیت</t>
  </si>
  <si>
    <t xml:space="preserve">W54</t>
  </si>
  <si>
    <t xml:space="preserve">F54</t>
  </si>
  <si>
    <t xml:space="preserve">Q54</t>
  </si>
  <si>
    <t xml:space="preserve">G54</t>
  </si>
  <si>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胜者</t>
    </r>
  </si>
  <si>
    <t xml:space="preserve">V54</t>
  </si>
  <si>
    <t xml:space="preserve">მ54</t>
  </si>
  <si>
    <t xml:space="preserve">Ν54</t>
  </si>
  <si>
    <t xml:space="preserve">GY54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</si>
  <si>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승자</t>
    </r>
  </si>
  <si>
    <t xml:space="preserve">L54</t>
  </si>
  <si>
    <t xml:space="preserve">П54</t>
  </si>
  <si>
    <t xml:space="preserve">R54</t>
  </si>
  <si>
    <t xml:space="preserve">برنده بازی 54</t>
  </si>
  <si>
    <t xml:space="preserve">C54</t>
  </si>
  <si>
    <t xml:space="preserve">P54</t>
  </si>
  <si>
    <t xml:space="preserve">ผู้ชนะนัดที่ 54</t>
  </si>
  <si>
    <t xml:space="preserve">T54</t>
  </si>
  <si>
    <t xml:space="preserve">Переможець 54</t>
  </si>
  <si>
    <t xml:space="preserve">۵۴ جیت</t>
  </si>
  <si>
    <t xml:space="preserve">W55</t>
  </si>
  <si>
    <t xml:space="preserve">F55</t>
  </si>
  <si>
    <t xml:space="preserve">Q55</t>
  </si>
  <si>
    <t xml:space="preserve">G55</t>
  </si>
  <si>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胜者</t>
    </r>
  </si>
  <si>
    <t xml:space="preserve">V55</t>
  </si>
  <si>
    <t xml:space="preserve">მ55</t>
  </si>
  <si>
    <t xml:space="preserve">Ν55</t>
  </si>
  <si>
    <t xml:space="preserve">GY55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</si>
  <si>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승자</t>
    </r>
  </si>
  <si>
    <t xml:space="preserve">L55</t>
  </si>
  <si>
    <t xml:space="preserve">П55</t>
  </si>
  <si>
    <t xml:space="preserve">R55</t>
  </si>
  <si>
    <t xml:space="preserve">برنده بازی 55</t>
  </si>
  <si>
    <t xml:space="preserve">C55</t>
  </si>
  <si>
    <t xml:space="preserve">P55</t>
  </si>
  <si>
    <t xml:space="preserve">ผู้ชนะนัดที่ 55</t>
  </si>
  <si>
    <t xml:space="preserve">T55</t>
  </si>
  <si>
    <t xml:space="preserve">Переможець 55</t>
  </si>
  <si>
    <t xml:space="preserve">۵۵ جیت</t>
  </si>
  <si>
    <t xml:space="preserve">W56</t>
  </si>
  <si>
    <t xml:space="preserve">F56</t>
  </si>
  <si>
    <t xml:space="preserve">Q56</t>
  </si>
  <si>
    <t xml:space="preserve">G56</t>
  </si>
  <si>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胜者</t>
    </r>
  </si>
  <si>
    <t xml:space="preserve">V56</t>
  </si>
  <si>
    <t xml:space="preserve">მ56</t>
  </si>
  <si>
    <t xml:space="preserve">Ν56</t>
  </si>
  <si>
    <t xml:space="preserve">GY56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</si>
  <si>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승자</t>
    </r>
  </si>
  <si>
    <t xml:space="preserve">L56</t>
  </si>
  <si>
    <t xml:space="preserve">П56</t>
  </si>
  <si>
    <t xml:space="preserve">R56</t>
  </si>
  <si>
    <t xml:space="preserve">برنده بازی 56</t>
  </si>
  <si>
    <t xml:space="preserve">C56</t>
  </si>
  <si>
    <t xml:space="preserve">P56</t>
  </si>
  <si>
    <t xml:space="preserve">ผู้ชนะนัดที่ 56</t>
  </si>
  <si>
    <t xml:space="preserve">T56</t>
  </si>
  <si>
    <t xml:space="preserve">Переможець 56</t>
  </si>
  <si>
    <t xml:space="preserve">۵۶ جیت</t>
  </si>
  <si>
    <t xml:space="preserve">W57</t>
  </si>
  <si>
    <t xml:space="preserve">F57</t>
  </si>
  <si>
    <t xml:space="preserve">Q57</t>
  </si>
  <si>
    <t xml:space="preserve">G57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</si>
  <si>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Noto Sans CJK SC"/>
        <family val="2"/>
      </rPr>
      <t xml:space="preserve">胜者</t>
    </r>
  </si>
  <si>
    <t xml:space="preserve">V57</t>
  </si>
  <si>
    <t xml:space="preserve">მ57</t>
  </si>
  <si>
    <t xml:space="preserve">Ν57</t>
  </si>
  <si>
    <t xml:space="preserve">GY57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</si>
  <si>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승자</t>
    </r>
  </si>
  <si>
    <t xml:space="preserve">L57</t>
  </si>
  <si>
    <t xml:space="preserve">П57</t>
  </si>
  <si>
    <t xml:space="preserve">R57</t>
  </si>
  <si>
    <t xml:space="preserve">برنده بازی 57</t>
  </si>
  <si>
    <t xml:space="preserve">C57</t>
  </si>
  <si>
    <t xml:space="preserve">P57</t>
  </si>
  <si>
    <t xml:space="preserve">ผู้ชนะนัดที่ 57</t>
  </si>
  <si>
    <t xml:space="preserve">T57</t>
  </si>
  <si>
    <t xml:space="preserve">Переможець 57</t>
  </si>
  <si>
    <t xml:space="preserve">۵۷ جیت</t>
  </si>
  <si>
    <t xml:space="preserve">W58</t>
  </si>
  <si>
    <t xml:space="preserve">F58</t>
  </si>
  <si>
    <t xml:space="preserve">Q58</t>
  </si>
  <si>
    <t xml:space="preserve">G58</t>
  </si>
  <si>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Noto Sans CJK SC"/>
        <family val="2"/>
      </rPr>
      <t xml:space="preserve">胜者</t>
    </r>
  </si>
  <si>
    <t xml:space="preserve">V58</t>
  </si>
  <si>
    <t xml:space="preserve">მ58</t>
  </si>
  <si>
    <t xml:space="preserve">Ν58</t>
  </si>
  <si>
    <t xml:space="preserve">GY58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</si>
  <si>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승자</t>
    </r>
  </si>
  <si>
    <t xml:space="preserve">L58</t>
  </si>
  <si>
    <t xml:space="preserve">П58</t>
  </si>
  <si>
    <t xml:space="preserve">R58</t>
  </si>
  <si>
    <t xml:space="preserve">برنده بازی 58</t>
  </si>
  <si>
    <t xml:space="preserve">C58</t>
  </si>
  <si>
    <t xml:space="preserve">P58</t>
  </si>
  <si>
    <t xml:space="preserve">ผู้ชนะนัดที่ 58</t>
  </si>
  <si>
    <t xml:space="preserve">T58</t>
  </si>
  <si>
    <t xml:space="preserve">Переможець 58</t>
  </si>
  <si>
    <t xml:space="preserve">۵۸ جیت</t>
  </si>
  <si>
    <t xml:space="preserve">W59</t>
  </si>
  <si>
    <t xml:space="preserve">F59</t>
  </si>
  <si>
    <t xml:space="preserve">Q59</t>
  </si>
  <si>
    <t xml:space="preserve">G59</t>
  </si>
  <si>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Noto Sans CJK SC"/>
        <family val="2"/>
      </rPr>
      <t xml:space="preserve">胜者</t>
    </r>
  </si>
  <si>
    <t xml:space="preserve">V59</t>
  </si>
  <si>
    <t xml:space="preserve">მ59</t>
  </si>
  <si>
    <t xml:space="preserve">Ν59</t>
  </si>
  <si>
    <t xml:space="preserve">GY59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</si>
  <si>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승자</t>
    </r>
  </si>
  <si>
    <t xml:space="preserve">L59</t>
  </si>
  <si>
    <t xml:space="preserve">П59</t>
  </si>
  <si>
    <t xml:space="preserve">R59</t>
  </si>
  <si>
    <t xml:space="preserve">برنده بازی 59</t>
  </si>
  <si>
    <t xml:space="preserve">C59</t>
  </si>
  <si>
    <t xml:space="preserve">P59</t>
  </si>
  <si>
    <t xml:space="preserve">ผู้ชนะนัดที่ 59</t>
  </si>
  <si>
    <t xml:space="preserve">T59</t>
  </si>
  <si>
    <t xml:space="preserve">Переможець 59</t>
  </si>
  <si>
    <t xml:space="preserve">۵۹ جیت</t>
  </si>
  <si>
    <t xml:space="preserve">W60</t>
  </si>
  <si>
    <t xml:space="preserve">F60</t>
  </si>
  <si>
    <t xml:space="preserve">Q60</t>
  </si>
  <si>
    <t xml:space="preserve">G60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</si>
  <si>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胜者</t>
    </r>
  </si>
  <si>
    <t xml:space="preserve">V60</t>
  </si>
  <si>
    <t xml:space="preserve">მ60</t>
  </si>
  <si>
    <t xml:space="preserve">Ν60</t>
  </si>
  <si>
    <t xml:space="preserve">GY60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</si>
  <si>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승자</t>
    </r>
  </si>
  <si>
    <t xml:space="preserve">L60</t>
  </si>
  <si>
    <t xml:space="preserve">П60</t>
  </si>
  <si>
    <t xml:space="preserve">R60</t>
  </si>
  <si>
    <t xml:space="preserve">برنده بازی 60</t>
  </si>
  <si>
    <t xml:space="preserve">C60</t>
  </si>
  <si>
    <t xml:space="preserve">P60</t>
  </si>
  <si>
    <t xml:space="preserve">ผู้ชนะนัดที่ 60</t>
  </si>
  <si>
    <t xml:space="preserve">T60</t>
  </si>
  <si>
    <t xml:space="preserve">Переможець 60</t>
  </si>
  <si>
    <t xml:space="preserve">۶۰ جیت</t>
  </si>
  <si>
    <t xml:space="preserve">W61</t>
  </si>
  <si>
    <t xml:space="preserve">F61</t>
  </si>
  <si>
    <t xml:space="preserve">Q61</t>
  </si>
  <si>
    <t xml:space="preserve">G61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</si>
  <si>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Noto Sans CJK SC"/>
        <family val="2"/>
      </rPr>
      <t xml:space="preserve">胜者</t>
    </r>
  </si>
  <si>
    <t xml:space="preserve">V61</t>
  </si>
  <si>
    <t xml:space="preserve">მ61</t>
  </si>
  <si>
    <t xml:space="preserve">Ν61</t>
  </si>
  <si>
    <t xml:space="preserve">GY61</t>
  </si>
  <si>
    <t xml:space="preserve">준결승 경기1 승자</t>
  </si>
  <si>
    <t xml:space="preserve">L61</t>
  </si>
  <si>
    <t xml:space="preserve">П61</t>
  </si>
  <si>
    <t xml:space="preserve">R61</t>
  </si>
  <si>
    <t xml:space="preserve">برنده بازی 61</t>
  </si>
  <si>
    <t xml:space="preserve">C61</t>
  </si>
  <si>
    <t xml:space="preserve">P61</t>
  </si>
  <si>
    <t xml:space="preserve">ผู้ชนะนัดที่ 61</t>
  </si>
  <si>
    <t xml:space="preserve">T61</t>
  </si>
  <si>
    <t xml:space="preserve">Переможець 61</t>
  </si>
  <si>
    <t xml:space="preserve">۶۱ جیت</t>
  </si>
  <si>
    <t xml:space="preserve">W62</t>
  </si>
  <si>
    <t xml:space="preserve">F62</t>
  </si>
  <si>
    <t xml:space="preserve">Q62</t>
  </si>
  <si>
    <t xml:space="preserve">G62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</si>
  <si>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胜者</t>
    </r>
  </si>
  <si>
    <t xml:space="preserve">V62</t>
  </si>
  <si>
    <t xml:space="preserve">მ62</t>
  </si>
  <si>
    <t xml:space="preserve">Ν62</t>
  </si>
  <si>
    <t xml:space="preserve">GY62</t>
  </si>
  <si>
    <t xml:space="preserve">준결승 경기2 승자</t>
  </si>
  <si>
    <t xml:space="preserve">L62</t>
  </si>
  <si>
    <t xml:space="preserve">П62</t>
  </si>
  <si>
    <t xml:space="preserve">R62</t>
  </si>
  <si>
    <t xml:space="preserve">برنده بازی 62</t>
  </si>
  <si>
    <t xml:space="preserve">C62</t>
  </si>
  <si>
    <t xml:space="preserve">P62</t>
  </si>
  <si>
    <t xml:space="preserve">ผู้ชนะนัดที่ 62</t>
  </si>
  <si>
    <t xml:space="preserve">T62</t>
  </si>
  <si>
    <t xml:space="preserve">Переможець 62</t>
  </si>
  <si>
    <t xml:space="preserve">۶۲ جیت</t>
  </si>
  <si>
    <t xml:space="preserve">H61</t>
  </si>
  <si>
    <t xml:space="preserve">M61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</si>
  <si>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Noto Sans CJK SC"/>
        <family val="2"/>
      </rPr>
      <t xml:space="preserve">负者</t>
    </r>
  </si>
  <si>
    <t xml:space="preserve">წ61</t>
  </si>
  <si>
    <t xml:space="preserve">Η61</t>
  </si>
  <si>
    <t xml:space="preserve">준결승 경기1 패자</t>
  </si>
  <si>
    <t xml:space="preserve">И61</t>
  </si>
  <si>
    <t xml:space="preserve">بازنده بازی 61</t>
  </si>
  <si>
    <t xml:space="preserve">I61</t>
  </si>
  <si>
    <t xml:space="preserve">ผู้แพ้นัดที่ 61</t>
  </si>
  <si>
    <t xml:space="preserve">B61</t>
  </si>
  <si>
    <t xml:space="preserve">Переможений 61</t>
  </si>
  <si>
    <t xml:space="preserve">۶۱ ہار</t>
  </si>
  <si>
    <t xml:space="preserve">H62</t>
  </si>
  <si>
    <t xml:space="preserve">M62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</si>
  <si>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负者</t>
    </r>
  </si>
  <si>
    <t xml:space="preserve">წ62</t>
  </si>
  <si>
    <t xml:space="preserve">Η62</t>
  </si>
  <si>
    <t xml:space="preserve">준결승 경기2 패자</t>
  </si>
  <si>
    <t xml:space="preserve">И62</t>
  </si>
  <si>
    <t xml:space="preserve">بازنده بازی 62</t>
  </si>
  <si>
    <t xml:space="preserve">I62</t>
  </si>
  <si>
    <t xml:space="preserve">ผู้แพ้นัดที่ 62</t>
  </si>
  <si>
    <t xml:space="preserve">B62</t>
  </si>
  <si>
    <t xml:space="preserve">Переможений 62</t>
  </si>
  <si>
    <t xml:space="preserve">۶۲ ہار</t>
  </si>
  <si>
    <t xml:space="preserve">World Champion 2026</t>
  </si>
  <si>
    <t xml:space="preserve">Kampioni </t>
  </si>
  <si>
    <t xml:space="preserve">بطل العالم 2026</t>
  </si>
  <si>
    <t xml:space="preserve">Աշխարհի 2026թ. Հաղթող</t>
  </si>
  <si>
    <t xml:space="preserve">Dünya Çempionu 2026</t>
  </si>
  <si>
    <t xml:space="preserve">Световен шампион 2026</t>
  </si>
  <si>
    <t xml:space="preserve">Campió del Món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</si>
  <si>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世界杯冠军</t>
    </r>
  </si>
  <si>
    <t xml:space="preserve">Svjetski prvak 2026</t>
  </si>
  <si>
    <t xml:space="preserve">Mistr světa 2026</t>
  </si>
  <si>
    <t xml:space="preserve">Verdensmester 2026</t>
  </si>
  <si>
    <t xml:space="preserve">Wereldkampioen 2026</t>
  </si>
  <si>
    <t xml:space="preserve">Heimsmeistari 2026</t>
  </si>
  <si>
    <t xml:space="preserve">Champion du Monde 2026</t>
  </si>
  <si>
    <t xml:space="preserve">მსოფლიოს ჩემპიონი 2026</t>
  </si>
  <si>
    <t xml:space="preserve">Weltmeister 2026</t>
  </si>
  <si>
    <t xml:space="preserve">Πρωταθλητής 2026</t>
  </si>
  <si>
    <t xml:space="preserve">גביע העולם 2026</t>
  </si>
  <si>
    <t xml:space="preserve">A labdarúgó-VB győztes csapata:</t>
  </si>
  <si>
    <t xml:space="preserve">Juara Piala Dunia 2026</t>
  </si>
  <si>
    <t xml:space="preserve">Heimsmeistarar 2026</t>
  </si>
  <si>
    <t xml:space="preserve">Coppa del Mondo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</si>
  <si>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우승국가</t>
    </r>
  </si>
  <si>
    <t xml:space="preserve">Pasaulio Čempionas 2026</t>
  </si>
  <si>
    <t xml:space="preserve">Светски шампион 2026</t>
  </si>
  <si>
    <t xml:space="preserve">Rebbieħ tat-Tazza tad-Dinja 2026</t>
  </si>
  <si>
    <t xml:space="preserve">Vinner 2026</t>
  </si>
  <si>
    <t xml:space="preserve">قهرمان جام جهانی 2026</t>
  </si>
  <si>
    <t xml:space="preserve">Mistrz Świata 2026</t>
  </si>
  <si>
    <t xml:space="preserve">Vencedor do Campeonato do Mundo 2026</t>
  </si>
  <si>
    <t xml:space="preserve">Campioana Mondiala 2026</t>
  </si>
  <si>
    <t xml:space="preserve">Svjetski šampion 2026</t>
  </si>
  <si>
    <t xml:space="preserve">Majster sveta 2026</t>
  </si>
  <si>
    <t xml:space="preserve">Svetovno prvak 2026</t>
  </si>
  <si>
    <t xml:space="preserve">Campeón 2026</t>
  </si>
  <si>
    <t xml:space="preserve">Världsmästare 2026</t>
  </si>
  <si>
    <t xml:space="preserve">แชมป์โลกปี 2026</t>
  </si>
  <si>
    <t xml:space="preserve">2026 Dünya Şampiyonu</t>
  </si>
  <si>
    <t xml:space="preserve">Vòng Chung Kết 2026</t>
  </si>
  <si>
    <t xml:space="preserve">Чемпіон Світу 2026</t>
  </si>
  <si>
    <t xml:space="preserve">ورلڈ چیمپینس</t>
  </si>
  <si>
    <t xml:space="preserve">en</t>
  </si>
  <si>
    <t xml:space="preserve">sq</t>
  </si>
  <si>
    <t xml:space="preserve">ar</t>
  </si>
  <si>
    <t xml:space="preserve">hy</t>
  </si>
  <si>
    <t xml:space="preserve">az</t>
  </si>
  <si>
    <t xml:space="preserve">bg</t>
  </si>
  <si>
    <t xml:space="preserve">ca</t>
  </si>
  <si>
    <t xml:space="preserve">zh-CN</t>
  </si>
  <si>
    <t xml:space="preserve">zh-TW</t>
  </si>
  <si>
    <t xml:space="preserve">hr</t>
  </si>
  <si>
    <t xml:space="preserve">cs</t>
  </si>
  <si>
    <t xml:space="preserve">da</t>
  </si>
  <si>
    <t xml:space="preserve">nl</t>
  </si>
  <si>
    <t xml:space="preserve">fr</t>
  </si>
  <si>
    <t xml:space="preserve">ka</t>
  </si>
  <si>
    <t xml:space="preserve">de</t>
  </si>
  <si>
    <t xml:space="preserve">el</t>
  </si>
  <si>
    <t xml:space="preserve">iw</t>
  </si>
  <si>
    <t xml:space="preserve">hu</t>
  </si>
  <si>
    <t xml:space="preserve">id</t>
  </si>
  <si>
    <t xml:space="preserve">is</t>
  </si>
  <si>
    <t xml:space="preserve">it</t>
  </si>
  <si>
    <t xml:space="preserve">ko</t>
  </si>
  <si>
    <t xml:space="preserve">lt</t>
  </si>
  <si>
    <t xml:space="preserve">mk</t>
  </si>
  <si>
    <t xml:space="preserve">mt</t>
  </si>
  <si>
    <t xml:space="preserve">no</t>
  </si>
  <si>
    <t xml:space="preserve">fa</t>
  </si>
  <si>
    <t xml:space="preserve">pl</t>
  </si>
  <si>
    <t xml:space="preserve">pt</t>
  </si>
  <si>
    <t xml:space="preserve">ro</t>
  </si>
  <si>
    <t xml:space="preserve">sr</t>
  </si>
  <si>
    <t xml:space="preserve">sk</t>
  </si>
  <si>
    <t xml:space="preserve">sl</t>
  </si>
  <si>
    <t xml:space="preserve">es</t>
  </si>
  <si>
    <t xml:space="preserve">sv</t>
  </si>
  <si>
    <t xml:space="preserve">th</t>
  </si>
  <si>
    <t xml:space="preserve">tr</t>
  </si>
  <si>
    <t xml:space="preserve">vi</t>
  </si>
  <si>
    <t xml:space="preserve">uk</t>
  </si>
  <si>
    <t xml:space="preserve">ur</t>
  </si>
  <si>
    <t xml:space="preserve">Settings</t>
  </si>
  <si>
    <t xml:space="preserve">Group Round Sorting</t>
  </si>
  <si>
    <t xml:space="preserve">Language</t>
  </si>
  <si>
    <t xml:space="preserve">Step #1</t>
  </si>
  <si>
    <t xml:space="preserve">Points</t>
  </si>
  <si>
    <t xml:space="preserve">Summer Time</t>
  </si>
  <si>
    <t xml:space="preserve">Yes</t>
  </si>
  <si>
    <t xml:space="preserve">Step #2</t>
  </si>
  <si>
    <t xml:space="preserve">Concerned teams (Pnt, GF-GA, GF)</t>
  </si>
  <si>
    <t xml:space="preserve">Step #3</t>
  </si>
  <si>
    <t xml:space="preserve">Goal Difference</t>
  </si>
  <si>
    <t xml:space="preserve">GTM-Time</t>
  </si>
  <si>
    <t xml:space="preserve">GMT + 1:00</t>
  </si>
  <si>
    <t xml:space="preserve">Step #4</t>
  </si>
  <si>
    <t xml:space="preserve">Goals Scored</t>
  </si>
  <si>
    <t xml:space="preserve">Step #5</t>
  </si>
  <si>
    <t xml:space="preserve">FIFA Rank</t>
  </si>
  <si>
    <t xml:space="preserve">Minutes</t>
  </si>
  <si>
    <t xml:space="preserve">+0 min</t>
  </si>
  <si>
    <t xml:space="preserve">Favorite Team</t>
  </si>
  <si>
    <t xml:space="preserve">Group Matches</t>
  </si>
  <si>
    <t xml:space="preserve">No</t>
  </si>
  <si>
    <t xml:space="preserve">Language ID</t>
  </si>
  <si>
    <t xml:space="preserve">GMT Delta</t>
  </si>
  <si>
    <t xml:space="preserve">GMT - 11:00</t>
  </si>
  <si>
    <t xml:space="preserve">GMT - 10:00</t>
  </si>
  <si>
    <t xml:space="preserve">GMT - 9:00</t>
  </si>
  <si>
    <t xml:space="preserve">GMT - 8:00</t>
  </si>
  <si>
    <t xml:space="preserve">GMT - 7:00</t>
  </si>
  <si>
    <t xml:space="preserve">GMT - 6:00</t>
  </si>
  <si>
    <t xml:space="preserve">GMT - 5:00</t>
  </si>
  <si>
    <t xml:space="preserve">GMT - 4:00</t>
  </si>
  <si>
    <t xml:space="preserve">GMT - 3:00</t>
  </si>
  <si>
    <t xml:space="preserve">GMT - 2:00</t>
  </si>
  <si>
    <t xml:space="preserve">GMT - 1:00</t>
  </si>
  <si>
    <t xml:space="preserve">GMT</t>
  </si>
  <si>
    <t xml:space="preserve">GMT + 2:00</t>
  </si>
  <si>
    <t xml:space="preserve">GMT + 3:00</t>
  </si>
  <si>
    <t xml:space="preserve">GMT + 4:00</t>
  </si>
  <si>
    <t xml:space="preserve">GMT + 5:00</t>
  </si>
  <si>
    <t xml:space="preserve">GMT + 6:00</t>
  </si>
  <si>
    <t xml:space="preserve">GMT + 7:00</t>
  </si>
  <si>
    <t xml:space="preserve">GMT + 8:00</t>
  </si>
  <si>
    <t xml:space="preserve">GMT + 9:00</t>
  </si>
  <si>
    <t xml:space="preserve">GMT + 10:00</t>
  </si>
  <si>
    <t xml:space="preserve">GMT + 11:00</t>
  </si>
  <si>
    <t xml:space="preserve">GMT + 12:00</t>
  </si>
  <si>
    <t xml:space="preserve">GMT + 13:00</t>
  </si>
  <si>
    <t xml:space="preserve">+15 min</t>
  </si>
  <si>
    <t xml:space="preserve">+30 min</t>
  </si>
  <si>
    <t xml:space="preserve">+45 min</t>
  </si>
  <si>
    <t xml:space="preserve">itype</t>
  </si>
  <si>
    <t xml:space="preserve">Home Page: www.excely.com</t>
  </si>
  <si>
    <t xml:space="preserve">Date + Time + GMT</t>
  </si>
  <si>
    <t xml:space="preserve">GF</t>
  </si>
  <si>
    <t xml:space="preserve">GA</t>
  </si>
  <si>
    <t xml:space="preserve">Place</t>
  </si>
  <si>
    <t xml:space="preserve">F-A</t>
  </si>
  <si>
    <t xml:space="preserve">F-A (norm)</t>
  </si>
  <si>
    <t xml:space="preserve">Pnt</t>
  </si>
  <si>
    <t xml:space="preserve">R1</t>
  </si>
  <si>
    <t xml:space="preserve">R2</t>
  </si>
  <si>
    <t xml:space="preserve">FIFA</t>
  </si>
  <si>
    <t xml:space="preserve">Rank</t>
  </si>
  <si>
    <t xml:space="preserve">R (norm)</t>
  </si>
  <si>
    <t xml:space="preserve">Round of 32</t>
  </si>
  <si>
    <t xml:space="preserve">3A</t>
  </si>
  <si>
    <t xml:space="preserve">3B</t>
  </si>
  <si>
    <t xml:space="preserve">3C</t>
  </si>
  <si>
    <t xml:space="preserve">World Cup 2026
Interactive Schedule Online
www.wallchart.io</t>
  </si>
  <si>
    <t xml:space="preserve">3D</t>
  </si>
  <si>
    <t xml:space="preserve">3E</t>
  </si>
  <si>
    <t xml:space="preserve">3F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</si>
  <si>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</si>
  <si>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</si>
  <si>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</si>
  <si>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</si>
  <si>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</si>
  <si>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</si>
  <si>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Best 3rds</t>
  </si>
  <si>
    <t xml:space="preserve">No.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</si>
  <si>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</si>
  <si>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</si>
  <si>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</si>
  <si>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</si>
  <si>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</si>
  <si>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</si>
  <si>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</si>
  <si>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</si>
  <si>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EFGHIJKL</t>
  </si>
  <si>
    <t xml:space="preserve">DFGHIJKL</t>
  </si>
  <si>
    <t xml:space="preserve">DEGHIJKL</t>
  </si>
  <si>
    <t xml:space="preserve">DEFHIJKL</t>
  </si>
  <si>
    <t xml:space="preserve">DEFGIJKL</t>
  </si>
  <si>
    <t xml:space="preserve">DEFGHJKL</t>
  </si>
  <si>
    <t xml:space="preserve">DEFGHIKL</t>
  </si>
  <si>
    <t xml:space="preserve">DEFGHIJL</t>
  </si>
  <si>
    <t xml:space="preserve">DEFGHIJK</t>
  </si>
  <si>
    <t xml:space="preserve">CFGHIJKL</t>
  </si>
  <si>
    <t xml:space="preserve">CEGHIJKL</t>
  </si>
  <si>
    <t xml:space="preserve">CEFHIJKL</t>
  </si>
  <si>
    <t xml:space="preserve">CEFGIJKL</t>
  </si>
  <si>
    <t xml:space="preserve">CEFGHJKL</t>
  </si>
  <si>
    <t xml:space="preserve">CEFGHIKL</t>
  </si>
  <si>
    <t xml:space="preserve">CEFGHIJL</t>
  </si>
  <si>
    <t xml:space="preserve">CEFGHIJK</t>
  </si>
  <si>
    <t xml:space="preserve">CDGHIJKL</t>
  </si>
  <si>
    <t xml:space="preserve">CDFHIJKL</t>
  </si>
  <si>
    <t xml:space="preserve">CDFGIJKL</t>
  </si>
  <si>
    <t xml:space="preserve">CDFGHJKL</t>
  </si>
  <si>
    <t xml:space="preserve">CDFGHIKL</t>
  </si>
  <si>
    <t xml:space="preserve">CDFGHIJL</t>
  </si>
  <si>
    <t xml:space="preserve">CDFGHIJK</t>
  </si>
  <si>
    <t xml:space="preserve">CDEHIJKL</t>
  </si>
  <si>
    <t xml:space="preserve">CDEGIJKL</t>
  </si>
  <si>
    <t xml:space="preserve">CDEGHJKL</t>
  </si>
  <si>
    <t xml:space="preserve">CDEGHIKL</t>
  </si>
  <si>
    <t xml:space="preserve">CDEGHIJL</t>
  </si>
  <si>
    <t xml:space="preserve">CDEGHIJK</t>
  </si>
  <si>
    <t xml:space="preserve">CDEFIJKL</t>
  </si>
  <si>
    <t xml:space="preserve">CDEFHJKL</t>
  </si>
  <si>
    <t xml:space="preserve">CDEFHIKL</t>
  </si>
  <si>
    <t xml:space="preserve">CDEFHIJL</t>
  </si>
  <si>
    <t xml:space="preserve">CDEFHIJK</t>
  </si>
  <si>
    <t xml:space="preserve">CDEFGJKL</t>
  </si>
  <si>
    <t xml:space="preserve">CDEFGIKL</t>
  </si>
  <si>
    <t xml:space="preserve">CDEFGIJL</t>
  </si>
  <si>
    <t xml:space="preserve">CDEFGIJK</t>
  </si>
  <si>
    <t xml:space="preserve">CDEFGHKL</t>
  </si>
  <si>
    <t xml:space="preserve">CDEFGHJL</t>
  </si>
  <si>
    <t xml:space="preserve">CDEFGHJK</t>
  </si>
  <si>
    <t xml:space="preserve">CDEFGHIL</t>
  </si>
  <si>
    <t xml:space="preserve">CDEFGHIK</t>
  </si>
  <si>
    <t xml:space="preserve">CDEFGHIJ</t>
  </si>
  <si>
    <t xml:space="preserve">BFGHIJKL</t>
  </si>
  <si>
    <t xml:space="preserve">BEGHIJKL</t>
  </si>
  <si>
    <t xml:space="preserve">BEFHIJKL</t>
  </si>
  <si>
    <t xml:space="preserve">BEFGIJKL</t>
  </si>
  <si>
    <t xml:space="preserve">BEFGHJKL</t>
  </si>
  <si>
    <t xml:space="preserve">BEFGHIKL</t>
  </si>
  <si>
    <t xml:space="preserve">BEFGHIJL</t>
  </si>
  <si>
    <t xml:space="preserve">BEFGHIJK</t>
  </si>
  <si>
    <t xml:space="preserve">BDGHIJKL</t>
  </si>
  <si>
    <t xml:space="preserve">BDFHIJKL</t>
  </si>
  <si>
    <t xml:space="preserve">BDFGIJKL</t>
  </si>
  <si>
    <t xml:space="preserve">BDFGHJKL</t>
  </si>
  <si>
    <t xml:space="preserve">BDFGHIKL</t>
  </si>
  <si>
    <t xml:space="preserve">BDFGHIJL</t>
  </si>
  <si>
    <t xml:space="preserve">BDFGHIJK</t>
  </si>
  <si>
    <t xml:space="preserve">BDEHIJKL</t>
  </si>
  <si>
    <t xml:space="preserve">BDEGIJKL</t>
  </si>
  <si>
    <t xml:space="preserve">BDEGHJKL</t>
  </si>
  <si>
    <t xml:space="preserve">BDEGHIKL</t>
  </si>
  <si>
    <t xml:space="preserve">BDEGHIJL</t>
  </si>
  <si>
    <t xml:space="preserve">BDEGHIJK</t>
  </si>
  <si>
    <t xml:space="preserve">BDEFIJKL</t>
  </si>
  <si>
    <t xml:space="preserve">BDEFHJKL</t>
  </si>
  <si>
    <t xml:space="preserve">BDEFHIKL</t>
  </si>
  <si>
    <t xml:space="preserve">BDEFHIJL</t>
  </si>
  <si>
    <t xml:space="preserve">BDEFHIJK</t>
  </si>
  <si>
    <t xml:space="preserve">BDEFGJKL</t>
  </si>
  <si>
    <t xml:space="preserve">BDEFGIKL</t>
  </si>
  <si>
    <t xml:space="preserve">BDEFGIJL</t>
  </si>
  <si>
    <t xml:space="preserve">BDEFGIJK</t>
  </si>
  <si>
    <t xml:space="preserve">BDEFGHKL</t>
  </si>
  <si>
    <t xml:space="preserve">BDEFGHJL</t>
  </si>
  <si>
    <t xml:space="preserve">BDEFGHJK</t>
  </si>
  <si>
    <t xml:space="preserve">BDEFGHIL</t>
  </si>
  <si>
    <t xml:space="preserve">BDEFGHIK</t>
  </si>
  <si>
    <t xml:space="preserve">BDEFGHIJ</t>
  </si>
  <si>
    <t xml:space="preserve">BCGHIJKL</t>
  </si>
  <si>
    <t xml:space="preserve">BCFHIJKL</t>
  </si>
  <si>
    <t xml:space="preserve">BCFGIJKL</t>
  </si>
  <si>
    <t xml:space="preserve">BCFGHJKL</t>
  </si>
  <si>
    <t xml:space="preserve">BCFGHIKL</t>
  </si>
  <si>
    <t xml:space="preserve">BCFGHIJL</t>
  </si>
  <si>
    <t xml:space="preserve">BCFGHIJK</t>
  </si>
  <si>
    <t xml:space="preserve">BCEHIJKL</t>
  </si>
  <si>
    <t xml:space="preserve">BCEGIJKL</t>
  </si>
  <si>
    <t xml:space="preserve">BCEGHJKL</t>
  </si>
  <si>
    <t xml:space="preserve">BCEGHIKL</t>
  </si>
  <si>
    <t xml:space="preserve">BCEGHIJL</t>
  </si>
  <si>
    <t xml:space="preserve">BCEGHIJK</t>
  </si>
  <si>
    <t xml:space="preserve">BCEFIJKL</t>
  </si>
  <si>
    <t xml:space="preserve">BCEFHJKL</t>
  </si>
  <si>
    <t xml:space="preserve">BCEFHIKL</t>
  </si>
  <si>
    <t xml:space="preserve">BCEFHIJL</t>
  </si>
  <si>
    <t xml:space="preserve">BCEFHIJK</t>
  </si>
  <si>
    <t xml:space="preserve">BCEFGJKL</t>
  </si>
  <si>
    <t xml:space="preserve">BCEFGIKL</t>
  </si>
  <si>
    <t xml:space="preserve">BCEFGIJL</t>
  </si>
  <si>
    <t xml:space="preserve">BCEFGIJK</t>
  </si>
  <si>
    <t xml:space="preserve">BCEFGHKL</t>
  </si>
  <si>
    <t xml:space="preserve">BCEFGHJL</t>
  </si>
  <si>
    <t xml:space="preserve">BCEFGHJK</t>
  </si>
  <si>
    <t xml:space="preserve">BCEFGHIL</t>
  </si>
  <si>
    <t xml:space="preserve">BCEFGHIK</t>
  </si>
  <si>
    <t xml:space="preserve">BCEFGHIJ</t>
  </si>
  <si>
    <t xml:space="preserve">BCDHIJKL</t>
  </si>
  <si>
    <t xml:space="preserve">BCDGIJKL</t>
  </si>
  <si>
    <t xml:space="preserve">BCDGHJKL</t>
  </si>
  <si>
    <t xml:space="preserve">BCDGHIKL</t>
  </si>
  <si>
    <t xml:space="preserve">BCDGHIJL</t>
  </si>
  <si>
    <t xml:space="preserve">BCDGHIJK</t>
  </si>
  <si>
    <t xml:space="preserve">BCDFIJKL</t>
  </si>
  <si>
    <t xml:space="preserve">BCDFHJKL</t>
  </si>
  <si>
    <t xml:space="preserve">BCDFHIKL</t>
  </si>
  <si>
    <t xml:space="preserve">BCDFHIJL</t>
  </si>
  <si>
    <t xml:space="preserve">BCDFHIJK</t>
  </si>
  <si>
    <t xml:space="preserve">BCDFGJKL</t>
  </si>
  <si>
    <t xml:space="preserve">BCDFGIKL</t>
  </si>
  <si>
    <t xml:space="preserve">BCDFGIJL</t>
  </si>
  <si>
    <t xml:space="preserve">BCDFGIJK</t>
  </si>
  <si>
    <t xml:space="preserve">BCDFGHKL</t>
  </si>
  <si>
    <t xml:space="preserve">BCDFGHJL</t>
  </si>
  <si>
    <t xml:space="preserve">BCDFGHJK</t>
  </si>
  <si>
    <t xml:space="preserve">BCDFGHIL</t>
  </si>
  <si>
    <t xml:space="preserve">BCDFGHIK</t>
  </si>
  <si>
    <t xml:space="preserve">BCDFGHIJ</t>
  </si>
  <si>
    <t xml:space="preserve">BCDEIJKL</t>
  </si>
  <si>
    <t xml:space="preserve">BCDEHJKL</t>
  </si>
  <si>
    <t xml:space="preserve">BCDEHIKL</t>
  </si>
  <si>
    <t xml:space="preserve">BCDEHIJL</t>
  </si>
  <si>
    <t xml:space="preserve">BCDEHIJK</t>
  </si>
  <si>
    <t xml:space="preserve">BCDEGJKL</t>
  </si>
  <si>
    <t xml:space="preserve">BCDEGIKL</t>
  </si>
  <si>
    <t xml:space="preserve">BCDEGIJL</t>
  </si>
  <si>
    <t xml:space="preserve">BCDEGIJK</t>
  </si>
  <si>
    <t xml:space="preserve">BCDEGHKL</t>
  </si>
  <si>
    <t xml:space="preserve">BCDEGHJL</t>
  </si>
  <si>
    <t xml:space="preserve">BCDEGHJK</t>
  </si>
  <si>
    <t xml:space="preserve">BCDEGHIL</t>
  </si>
  <si>
    <t xml:space="preserve">BCDEGHIK</t>
  </si>
  <si>
    <t xml:space="preserve">BCDEGHIJ</t>
  </si>
  <si>
    <t xml:space="preserve">BCDEFJKL</t>
  </si>
  <si>
    <t xml:space="preserve">BCDEFIKL</t>
  </si>
  <si>
    <t xml:space="preserve">BCDEFIJL</t>
  </si>
  <si>
    <t xml:space="preserve">BCDEFIJK</t>
  </si>
  <si>
    <t xml:space="preserve">BCDEFHKL</t>
  </si>
  <si>
    <t xml:space="preserve">BCDEFHJL</t>
  </si>
  <si>
    <t xml:space="preserve">BCDEFHJK</t>
  </si>
  <si>
    <t xml:space="preserve">BCDEFHIL</t>
  </si>
  <si>
    <t xml:space="preserve">BCDEFHIK</t>
  </si>
  <si>
    <t xml:space="preserve">BCDEFHIJ</t>
  </si>
  <si>
    <t xml:space="preserve">BCDEFGKL</t>
  </si>
  <si>
    <t xml:space="preserve">BCDEFGJL</t>
  </si>
  <si>
    <t xml:space="preserve">BCDEFGJK</t>
  </si>
  <si>
    <t xml:space="preserve">BCDEFGIL</t>
  </si>
  <si>
    <t xml:space="preserve">BCDEFGIK</t>
  </si>
  <si>
    <t xml:space="preserve">BCDEFGIJ</t>
  </si>
  <si>
    <t xml:space="preserve">BCDEFGHL</t>
  </si>
  <si>
    <t xml:space="preserve">BCDEFGHK</t>
  </si>
  <si>
    <t xml:space="preserve">BCDEFGHJ</t>
  </si>
  <si>
    <t xml:space="preserve">BCDEFGHI</t>
  </si>
  <si>
    <t xml:space="preserve">AFGHIJKL</t>
  </si>
  <si>
    <t xml:space="preserve">AEGHIJKL</t>
  </si>
  <si>
    <t xml:space="preserve">AEFHIJKL</t>
  </si>
  <si>
    <t xml:space="preserve">AEFGIJKL</t>
  </si>
  <si>
    <t xml:space="preserve">AEFGHJKL</t>
  </si>
  <si>
    <t xml:space="preserve">AEFGHIKL</t>
  </si>
  <si>
    <t xml:space="preserve">AEFGHIJL</t>
  </si>
  <si>
    <t xml:space="preserve">AEFGHIJK</t>
  </si>
  <si>
    <t xml:space="preserve">ADGHIJKL</t>
  </si>
  <si>
    <t xml:space="preserve">ADFHIJKL</t>
  </si>
  <si>
    <t xml:space="preserve">ADFGIJKL</t>
  </si>
  <si>
    <t xml:space="preserve">ADFGHJKL</t>
  </si>
  <si>
    <t xml:space="preserve">ADFGHIKL</t>
  </si>
  <si>
    <t xml:space="preserve">ADFGHIJL</t>
  </si>
  <si>
    <t xml:space="preserve">ADFGHIJK</t>
  </si>
  <si>
    <t xml:space="preserve">ADEHIJKL</t>
  </si>
  <si>
    <t xml:space="preserve">ADEGIJKL</t>
  </si>
  <si>
    <t xml:space="preserve">ADEGHJKL</t>
  </si>
  <si>
    <t xml:space="preserve">ADEGHIKL</t>
  </si>
  <si>
    <t xml:space="preserve">ADEGHIJL</t>
  </si>
  <si>
    <t xml:space="preserve">ADEGHIJK</t>
  </si>
  <si>
    <t xml:space="preserve">ADEFIJKL</t>
  </si>
  <si>
    <t xml:space="preserve">ADEFHJKL</t>
  </si>
  <si>
    <t xml:space="preserve">ADEFHIKL</t>
  </si>
  <si>
    <t xml:space="preserve">ADEFHIJL</t>
  </si>
  <si>
    <t xml:space="preserve">ADEFHIJK</t>
  </si>
  <si>
    <t xml:space="preserve">ADEFGJKL</t>
  </si>
  <si>
    <t xml:space="preserve">ADEFGIKL</t>
  </si>
  <si>
    <t xml:space="preserve">ADEFGIJL</t>
  </si>
  <si>
    <t xml:space="preserve">ADEFGIJK</t>
  </si>
  <si>
    <t xml:space="preserve">ADEFGHKL</t>
  </si>
  <si>
    <t xml:space="preserve">ADEFGHJL</t>
  </si>
  <si>
    <t xml:space="preserve">ADEFGHJK</t>
  </si>
  <si>
    <t xml:space="preserve">ADEFGHIL</t>
  </si>
  <si>
    <t xml:space="preserve">ADEFGHIK</t>
  </si>
  <si>
    <t xml:space="preserve">ADEFGHIJ</t>
  </si>
  <si>
    <t xml:space="preserve">ACGHIJKL</t>
  </si>
  <si>
    <t xml:space="preserve">ACFHIJKL</t>
  </si>
  <si>
    <t xml:space="preserve">ACFGIJKL</t>
  </si>
  <si>
    <t xml:space="preserve">ACFGHJKL</t>
  </si>
  <si>
    <t xml:space="preserve">ACFGHIKL</t>
  </si>
  <si>
    <t xml:space="preserve">ACFGHIJL</t>
  </si>
  <si>
    <t xml:space="preserve">ACFGHIJK</t>
  </si>
  <si>
    <t xml:space="preserve">ACEHIJKL</t>
  </si>
  <si>
    <t xml:space="preserve">ACEGIJKL</t>
  </si>
  <si>
    <t xml:space="preserve">ACEGHJKL</t>
  </si>
  <si>
    <t xml:space="preserve">ACEGHIKL</t>
  </si>
  <si>
    <t xml:space="preserve">ACEGHIJL</t>
  </si>
  <si>
    <t xml:space="preserve">ACEGHIJK</t>
  </si>
  <si>
    <t xml:space="preserve">ACEFIJKL</t>
  </si>
  <si>
    <t xml:space="preserve">ACEFHJKL</t>
  </si>
  <si>
    <t xml:space="preserve">ACEFHIKL</t>
  </si>
  <si>
    <t xml:space="preserve">ACEFHIJL</t>
  </si>
  <si>
    <t xml:space="preserve">ACEFHIJK</t>
  </si>
  <si>
    <t xml:space="preserve">ACEFGJKL</t>
  </si>
  <si>
    <t xml:space="preserve">ACEFGIKL</t>
  </si>
  <si>
    <t xml:space="preserve">ACEFGIJL</t>
  </si>
  <si>
    <t xml:space="preserve">ACEFGIJK</t>
  </si>
  <si>
    <t xml:space="preserve">ACEFGHKL</t>
  </si>
  <si>
    <t xml:space="preserve">ACEFGHJL</t>
  </si>
  <si>
    <t xml:space="preserve">ACEFGHJK</t>
  </si>
  <si>
    <t xml:space="preserve">ACEFGHIL</t>
  </si>
  <si>
    <t xml:space="preserve">ACEFGHIK</t>
  </si>
  <si>
    <t xml:space="preserve">ACEFGHIJ</t>
  </si>
  <si>
    <t xml:space="preserve">ACDHIJKL</t>
  </si>
  <si>
    <t xml:space="preserve">ACDGIJKL</t>
  </si>
  <si>
    <t xml:space="preserve">ACDGHJKL</t>
  </si>
  <si>
    <t xml:space="preserve">ACDGHIKL</t>
  </si>
  <si>
    <t xml:space="preserve">ACDGHIJL</t>
  </si>
  <si>
    <t xml:space="preserve">ACDGHIJK</t>
  </si>
  <si>
    <t xml:space="preserve">ACDFIJKL</t>
  </si>
  <si>
    <t xml:space="preserve">ACDFHJKL</t>
  </si>
  <si>
    <t xml:space="preserve">ACDFHIKL</t>
  </si>
  <si>
    <t xml:space="preserve">ACDFHIJL</t>
  </si>
  <si>
    <t xml:space="preserve">ACDFHIJK</t>
  </si>
  <si>
    <t xml:space="preserve">ACDFGJKL</t>
  </si>
  <si>
    <t xml:space="preserve">ACDFGIKL</t>
  </si>
  <si>
    <t xml:space="preserve">ACDFGIJL</t>
  </si>
  <si>
    <t xml:space="preserve">ACDFGIJK</t>
  </si>
  <si>
    <t xml:space="preserve">ACDFGHKL</t>
  </si>
  <si>
    <t xml:space="preserve">ACDFGHJL</t>
  </si>
  <si>
    <t xml:space="preserve">ACDFGHJK</t>
  </si>
  <si>
    <t xml:space="preserve">ACDFGHIL</t>
  </si>
  <si>
    <t xml:space="preserve">ACDFGHIK</t>
  </si>
  <si>
    <t xml:space="preserve">ACDFGHIJ</t>
  </si>
  <si>
    <t xml:space="preserve">ACDEIJKL</t>
  </si>
  <si>
    <t xml:space="preserve">ACDEHJKL</t>
  </si>
  <si>
    <t xml:space="preserve">ACDEHIKL</t>
  </si>
  <si>
    <t xml:space="preserve">ACDEHIJL</t>
  </si>
  <si>
    <t xml:space="preserve">ACDEHIJK</t>
  </si>
  <si>
    <t xml:space="preserve">ACDEGJKL</t>
  </si>
  <si>
    <t xml:space="preserve">ACDEGIKL</t>
  </si>
  <si>
    <t xml:space="preserve">ACDEGIJL</t>
  </si>
  <si>
    <t xml:space="preserve">ACDEGIJK</t>
  </si>
  <si>
    <t xml:space="preserve">ACDEGHKL</t>
  </si>
  <si>
    <t xml:space="preserve">ACDEGHJL</t>
  </si>
  <si>
    <t xml:space="preserve">ACDEGHJK</t>
  </si>
  <si>
    <t xml:space="preserve">ACDEGHIL</t>
  </si>
  <si>
    <t xml:space="preserve">ACDEGHIK</t>
  </si>
  <si>
    <t xml:space="preserve">ACDEGHIJ</t>
  </si>
  <si>
    <t xml:space="preserve">ACDEFJKL</t>
  </si>
  <si>
    <t xml:space="preserve">ACDEFIKL</t>
  </si>
  <si>
    <t xml:space="preserve">ACDEFIJL</t>
  </si>
  <si>
    <t xml:space="preserve">ACDEFIJK</t>
  </si>
  <si>
    <t xml:space="preserve">ACDEFHKL</t>
  </si>
  <si>
    <t xml:space="preserve">ACDEFHJL</t>
  </si>
  <si>
    <t xml:space="preserve">ACDEFHJK</t>
  </si>
  <si>
    <t xml:space="preserve">ACDEFHIL</t>
  </si>
  <si>
    <t xml:space="preserve">ACDEFHIK</t>
  </si>
  <si>
    <t xml:space="preserve">ACDEFHIJ</t>
  </si>
  <si>
    <t xml:space="preserve">ACDEFGKL</t>
  </si>
  <si>
    <t xml:space="preserve">ACDEFGJL</t>
  </si>
  <si>
    <t xml:space="preserve">ACDEFGJK</t>
  </si>
  <si>
    <t xml:space="preserve">ACDEFGIL</t>
  </si>
  <si>
    <t xml:space="preserve">ACDEFGIK</t>
  </si>
  <si>
    <t xml:space="preserve">ACDEFGIJ</t>
  </si>
  <si>
    <t xml:space="preserve">ACDEFGHL</t>
  </si>
  <si>
    <t xml:space="preserve">ACDEFGHK</t>
  </si>
  <si>
    <t xml:space="preserve">ACDEFGHJ</t>
  </si>
  <si>
    <t xml:space="preserve">ACDEFGHI</t>
  </si>
  <si>
    <t xml:space="preserve">ABGHIJKL</t>
  </si>
  <si>
    <t xml:space="preserve">ABFHIJKL</t>
  </si>
  <si>
    <t xml:space="preserve">ABFGIJKL</t>
  </si>
  <si>
    <t xml:space="preserve">ABFGHJKL</t>
  </si>
  <si>
    <t xml:space="preserve">ABFGHIKL</t>
  </si>
  <si>
    <t xml:space="preserve">ABFGHIJL</t>
  </si>
  <si>
    <t xml:space="preserve">ABFGHIJK</t>
  </si>
  <si>
    <t xml:space="preserve">ABEHIJKL</t>
  </si>
  <si>
    <t xml:space="preserve">ABEGIJKL</t>
  </si>
  <si>
    <t xml:space="preserve">ABEGHJKL</t>
  </si>
  <si>
    <t xml:space="preserve">ABEGHIKL</t>
  </si>
  <si>
    <t xml:space="preserve">ABEGHIJL</t>
  </si>
  <si>
    <t xml:space="preserve">ABEGHIJK</t>
  </si>
  <si>
    <t xml:space="preserve">ABEFIJKL</t>
  </si>
  <si>
    <t xml:space="preserve">ABEFHJKL</t>
  </si>
  <si>
    <t xml:space="preserve">ABEFHIKL</t>
  </si>
  <si>
    <t xml:space="preserve">ABEFHIJL</t>
  </si>
  <si>
    <t xml:space="preserve">ABEFHIJK</t>
  </si>
  <si>
    <t xml:space="preserve">ABEFGJKL</t>
  </si>
  <si>
    <t xml:space="preserve">ABEFGIKL</t>
  </si>
  <si>
    <t xml:space="preserve">ABEFGIJL</t>
  </si>
  <si>
    <t xml:space="preserve">ABEFGIJK</t>
  </si>
  <si>
    <t xml:space="preserve">ABEFGHKL</t>
  </si>
  <si>
    <t xml:space="preserve">ABEFGHJL</t>
  </si>
  <si>
    <t xml:space="preserve">ABEFGHJK</t>
  </si>
  <si>
    <t xml:space="preserve">ABEFGHIL</t>
  </si>
  <si>
    <t xml:space="preserve">ABEFGHIK</t>
  </si>
  <si>
    <t xml:space="preserve">ABEFGHIJ</t>
  </si>
  <si>
    <t xml:space="preserve">ABDHIJKL</t>
  </si>
  <si>
    <t xml:space="preserve">ABDGIJKL</t>
  </si>
  <si>
    <t xml:space="preserve">ABDGHJKL</t>
  </si>
  <si>
    <t xml:space="preserve">ABDGHIKL</t>
  </si>
  <si>
    <t xml:space="preserve">ABDGHIJL</t>
  </si>
  <si>
    <t xml:space="preserve">ABDGHIJK</t>
  </si>
  <si>
    <t xml:space="preserve">ABDFIJKL</t>
  </si>
  <si>
    <t xml:space="preserve">ABDFHJKL</t>
  </si>
  <si>
    <t xml:space="preserve">ABDFHIKL</t>
  </si>
  <si>
    <t xml:space="preserve">ABDFHIJL</t>
  </si>
  <si>
    <t xml:space="preserve">ABDFHIJK</t>
  </si>
  <si>
    <t xml:space="preserve">ABDFGJKL</t>
  </si>
  <si>
    <t xml:space="preserve">ABDFGIKL</t>
  </si>
  <si>
    <t xml:space="preserve">ABDFGIJL</t>
  </si>
  <si>
    <t xml:space="preserve">ABDFGIJK</t>
  </si>
  <si>
    <t xml:space="preserve">ABDFGHKL</t>
  </si>
  <si>
    <t xml:space="preserve">ABDFGHJL</t>
  </si>
  <si>
    <t xml:space="preserve">ABDFGHJK</t>
  </si>
  <si>
    <t xml:space="preserve">ABDFGHIL</t>
  </si>
  <si>
    <t xml:space="preserve">ABDFGHIK</t>
  </si>
  <si>
    <t xml:space="preserve">ABDFGHIJ</t>
  </si>
  <si>
    <t xml:space="preserve">ABDEIJKL</t>
  </si>
  <si>
    <t xml:space="preserve">ABDEHJKL</t>
  </si>
  <si>
    <t xml:space="preserve">ABDEHIKL</t>
  </si>
  <si>
    <t xml:space="preserve">ABDEHIJL</t>
  </si>
  <si>
    <t xml:space="preserve">ABDEHIJK</t>
  </si>
  <si>
    <t xml:space="preserve">ABDEGJKL</t>
  </si>
  <si>
    <t xml:space="preserve">ABDEGIKL</t>
  </si>
  <si>
    <t xml:space="preserve">ABDEGIJL</t>
  </si>
  <si>
    <t xml:space="preserve">ABDEGIJK</t>
  </si>
  <si>
    <t xml:space="preserve">ABDEGHKL</t>
  </si>
  <si>
    <t xml:space="preserve">ABDEGHJL</t>
  </si>
  <si>
    <t xml:space="preserve">ABDEGHJK</t>
  </si>
  <si>
    <t xml:space="preserve">ABDEGHIL</t>
  </si>
  <si>
    <t xml:space="preserve">ABDEGHIK</t>
  </si>
  <si>
    <t xml:space="preserve">ABDEGHIJ</t>
  </si>
  <si>
    <t xml:space="preserve">ABDEFJKL</t>
  </si>
  <si>
    <t xml:space="preserve">ABDEFIKL</t>
  </si>
  <si>
    <t xml:space="preserve">ABDEFIJL</t>
  </si>
  <si>
    <t xml:space="preserve">ABDEFIJK</t>
  </si>
  <si>
    <t xml:space="preserve">ABDEFHKL</t>
  </si>
  <si>
    <t xml:space="preserve">ABDEFHJL</t>
  </si>
  <si>
    <t xml:space="preserve">ABDEFHJK</t>
  </si>
  <si>
    <t xml:space="preserve">ABDEFHIL</t>
  </si>
  <si>
    <t xml:space="preserve">ABDEFHIK</t>
  </si>
  <si>
    <t xml:space="preserve">ABDEFHIJ</t>
  </si>
  <si>
    <t xml:space="preserve">ABDEFGKL</t>
  </si>
  <si>
    <t xml:space="preserve">ABDEFGJL</t>
  </si>
  <si>
    <t xml:space="preserve">ABDEFGJK</t>
  </si>
  <si>
    <t xml:space="preserve">ABDEFGIL</t>
  </si>
  <si>
    <t xml:space="preserve">ABDEFGIK</t>
  </si>
  <si>
    <t xml:space="preserve">ABDEFGIJ</t>
  </si>
  <si>
    <t xml:space="preserve">ABDEFGHL</t>
  </si>
  <si>
    <t xml:space="preserve">ABDEFGHK</t>
  </si>
  <si>
    <t xml:space="preserve">ABDEFGHJ</t>
  </si>
  <si>
    <t xml:space="preserve">ABDEFGHI</t>
  </si>
  <si>
    <t xml:space="preserve">ABCHIJKL</t>
  </si>
  <si>
    <t xml:space="preserve">ABCGIJKL</t>
  </si>
  <si>
    <t xml:space="preserve">ABCGHJKL</t>
  </si>
  <si>
    <t xml:space="preserve">ABCGHIKL</t>
  </si>
  <si>
    <t xml:space="preserve">ABCGHIJL</t>
  </si>
  <si>
    <t xml:space="preserve">ABCGHIJK</t>
  </si>
  <si>
    <t xml:space="preserve">ABCFIJKL</t>
  </si>
  <si>
    <t xml:space="preserve">ABCFHJKL</t>
  </si>
  <si>
    <t xml:space="preserve">ABCFHIKL</t>
  </si>
  <si>
    <t xml:space="preserve">ABCFHIJL</t>
  </si>
  <si>
    <t xml:space="preserve">ABCFHIJK</t>
  </si>
  <si>
    <t xml:space="preserve">ABCFGJKL</t>
  </si>
  <si>
    <t xml:space="preserve">ABCFGIKL</t>
  </si>
  <si>
    <t xml:space="preserve">ABCFGIJL</t>
  </si>
  <si>
    <t xml:space="preserve">ABCFGIJK</t>
  </si>
  <si>
    <t xml:space="preserve">ABCFGHKL</t>
  </si>
  <si>
    <t xml:space="preserve">ABCFGHJL</t>
  </si>
  <si>
    <t xml:space="preserve">ABCFGHJK</t>
  </si>
  <si>
    <t xml:space="preserve">ABCFGHIL</t>
  </si>
  <si>
    <t xml:space="preserve">ABCFGHIK</t>
  </si>
  <si>
    <t xml:space="preserve">ABCFGHIJ</t>
  </si>
  <si>
    <t xml:space="preserve">ABCEIJKL</t>
  </si>
  <si>
    <t xml:space="preserve">ABCEHJKL</t>
  </si>
  <si>
    <t xml:space="preserve">ABCEHIKL</t>
  </si>
  <si>
    <t xml:space="preserve">ABCEHIJL</t>
  </si>
  <si>
    <t xml:space="preserve">ABCEHIJK</t>
  </si>
  <si>
    <t xml:space="preserve">ABCEGJKL</t>
  </si>
  <si>
    <t xml:space="preserve">ABCEGIKL</t>
  </si>
  <si>
    <t xml:space="preserve">ABCEGIJL</t>
  </si>
  <si>
    <t xml:space="preserve">ABCEGIJK</t>
  </si>
  <si>
    <t xml:space="preserve">ABCEGHKL</t>
  </si>
  <si>
    <t xml:space="preserve">ABCEGHJL</t>
  </si>
  <si>
    <t xml:space="preserve">ABCEGHJK</t>
  </si>
  <si>
    <t xml:space="preserve">ABCEGHIL</t>
  </si>
  <si>
    <t xml:space="preserve">ABCEGHIK</t>
  </si>
  <si>
    <t xml:space="preserve">ABCEGHIJ</t>
  </si>
  <si>
    <t xml:space="preserve">ABCEFJKL</t>
  </si>
  <si>
    <t xml:space="preserve">ABCEFIKL</t>
  </si>
  <si>
    <t xml:space="preserve">ABCEFIJL</t>
  </si>
  <si>
    <t xml:space="preserve">ABCEFIJK</t>
  </si>
  <si>
    <t xml:space="preserve">ABCEFHKL</t>
  </si>
  <si>
    <t xml:space="preserve">ABCEFHJL</t>
  </si>
  <si>
    <t xml:space="preserve">ABCEFHJK</t>
  </si>
  <si>
    <t xml:space="preserve">ABCEFHIL</t>
  </si>
  <si>
    <t xml:space="preserve">ABCEFHIK</t>
  </si>
  <si>
    <t xml:space="preserve">ABCEFHIJ</t>
  </si>
  <si>
    <t xml:space="preserve">ABCEFGKL</t>
  </si>
  <si>
    <t xml:space="preserve">ABCEFGJL</t>
  </si>
  <si>
    <t xml:space="preserve">ABCEFGJK</t>
  </si>
  <si>
    <t xml:space="preserve">ABCEFGIL</t>
  </si>
  <si>
    <t xml:space="preserve">ABCEFGIK</t>
  </si>
  <si>
    <t xml:space="preserve">ABCEFGIJ</t>
  </si>
  <si>
    <t xml:space="preserve">ABCEFGHL</t>
  </si>
  <si>
    <t xml:space="preserve">ABCEFGHK</t>
  </si>
  <si>
    <t xml:space="preserve">ABCEFGHJ</t>
  </si>
  <si>
    <t xml:space="preserve">ABCEFGHI</t>
  </si>
  <si>
    <t xml:space="preserve">ABCDIJKL</t>
  </si>
  <si>
    <t xml:space="preserve">ABCDHJKL</t>
  </si>
  <si>
    <t xml:space="preserve">ABCDHIKL</t>
  </si>
  <si>
    <t xml:space="preserve">ABCDHIJL</t>
  </si>
  <si>
    <t xml:space="preserve">ABCDHIJK</t>
  </si>
  <si>
    <t xml:space="preserve">ABCDGJKL</t>
  </si>
  <si>
    <t xml:space="preserve">ABCDGIKL</t>
  </si>
  <si>
    <t xml:space="preserve">ABCDGIJL</t>
  </si>
  <si>
    <t xml:space="preserve">ABCDGIJK</t>
  </si>
  <si>
    <t xml:space="preserve">ABCDGHKL</t>
  </si>
  <si>
    <t xml:space="preserve">ABCDGHJL</t>
  </si>
  <si>
    <t xml:space="preserve">ABCDGHJK</t>
  </si>
  <si>
    <t xml:space="preserve">ABCDGHIL</t>
  </si>
  <si>
    <t xml:space="preserve">ABCDGHIK</t>
  </si>
  <si>
    <t xml:space="preserve">ABCDGHIJ</t>
  </si>
  <si>
    <t xml:space="preserve">ABCDFJKL</t>
  </si>
  <si>
    <t xml:space="preserve">ABCDFIKL</t>
  </si>
  <si>
    <t xml:space="preserve">ABCDFIJL</t>
  </si>
  <si>
    <t xml:space="preserve">ABCDFIJK</t>
  </si>
  <si>
    <t xml:space="preserve">ABCDFHKL</t>
  </si>
  <si>
    <t xml:space="preserve">ABCDFHJL</t>
  </si>
  <si>
    <t xml:space="preserve">ABCDFHJK</t>
  </si>
  <si>
    <t xml:space="preserve">ABCDFHIL</t>
  </si>
  <si>
    <t xml:space="preserve">ABCDFHIK</t>
  </si>
  <si>
    <t xml:space="preserve">ABCDFHIJ</t>
  </si>
  <si>
    <t xml:space="preserve">ABCDFGKL</t>
  </si>
  <si>
    <t xml:space="preserve">ABCDFGJL</t>
  </si>
  <si>
    <t xml:space="preserve">ABCDFGJK</t>
  </si>
  <si>
    <t xml:space="preserve">ABCDFGIL</t>
  </si>
  <si>
    <t xml:space="preserve">ABCDFGIK</t>
  </si>
  <si>
    <t xml:space="preserve">ABCDFGIJ</t>
  </si>
  <si>
    <t xml:space="preserve">ABCDFGHL</t>
  </si>
  <si>
    <t xml:space="preserve">ABCDFGHK</t>
  </si>
  <si>
    <t xml:space="preserve">ABCDFGHJ</t>
  </si>
  <si>
    <t xml:space="preserve">ABCDFGHI</t>
  </si>
  <si>
    <t xml:space="preserve">ABCDEJKL</t>
  </si>
  <si>
    <t xml:space="preserve">ABCDEIKL</t>
  </si>
  <si>
    <t xml:space="preserve">ABCDEIJL</t>
  </si>
  <si>
    <t xml:space="preserve">ABCDEIJK</t>
  </si>
  <si>
    <t xml:space="preserve">ABCDEHKL</t>
  </si>
  <si>
    <t xml:space="preserve">ABCDEHJL</t>
  </si>
  <si>
    <t xml:space="preserve">ABCDEHJK</t>
  </si>
  <si>
    <t xml:space="preserve">ABCDEHIL</t>
  </si>
  <si>
    <t xml:space="preserve">ABCDEHIK</t>
  </si>
  <si>
    <t xml:space="preserve">ABCDEHIJ</t>
  </si>
  <si>
    <t xml:space="preserve">ABCDEGKL</t>
  </si>
  <si>
    <t xml:space="preserve">ABCDEGJL</t>
  </si>
  <si>
    <t xml:space="preserve">ABCDEGJK</t>
  </si>
  <si>
    <t xml:space="preserve">ABCDEGIL</t>
  </si>
  <si>
    <t xml:space="preserve">ABCDEGIK</t>
  </si>
  <si>
    <t xml:space="preserve">ABCDEGIJ</t>
  </si>
  <si>
    <t xml:space="preserve">ABCDEGHL</t>
  </si>
  <si>
    <t xml:space="preserve">ABCDEGHK</t>
  </si>
  <si>
    <t xml:space="preserve">ABCDEGHJ</t>
  </si>
  <si>
    <t xml:space="preserve">ABCDEGHI</t>
  </si>
  <si>
    <t xml:space="preserve">ABCDEFKL</t>
  </si>
  <si>
    <t xml:space="preserve">ABCDEFJL</t>
  </si>
  <si>
    <t xml:space="preserve">ABCDEFJK</t>
  </si>
  <si>
    <t xml:space="preserve">ABCDEFIL</t>
  </si>
  <si>
    <t xml:space="preserve">ABCDEFIK</t>
  </si>
  <si>
    <t xml:space="preserve">ABCDEFIJ</t>
  </si>
  <si>
    <t xml:space="preserve">ABCDEFHL</t>
  </si>
  <si>
    <t xml:space="preserve">ABCDEFHK</t>
  </si>
  <si>
    <t xml:space="preserve">ABCDEFHJ</t>
  </si>
  <si>
    <t xml:space="preserve">ABCDEFHI</t>
  </si>
  <si>
    <t xml:space="preserve">ABCDEFGL</t>
  </si>
  <si>
    <t xml:space="preserve">ABCDEFGK</t>
  </si>
  <si>
    <t xml:space="preserve">ABCDEFGJ</t>
  </si>
  <si>
    <t xml:space="preserve">ABCDEFGI</t>
  </si>
  <si>
    <t xml:space="preserve">ABCDEFGH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</si>
</sst>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;;;"/>
    <numFmt numFmtId="166" formatCode="#,##0"/>
    <numFmt numFmtId="167" formatCode="h:mm;@"/>
    <numFmt numFmtId="168" formatCode="General"/>
    <numFmt numFmtId="169" formatCode="m/d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FreeSans"/>
      <family val="2"/>
    </font>
    <font>
      <sz val="10"/>
      <name val="Calibri"/>
      <family val="2"/>
      <charset val="204"/>
    </font>
    <font>
      <b val="true"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 val="single"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CCFFFF"/>
      </patternFill>
    </fill>
    <fill>
      <patternFill patternType="solid">
        <fgColor rgb="FFFFFF99"/>
        <bgColor rgb="FFFFEB9C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medium"/>
      <bottom/>
      <diagonal/>
    </border>
    <border diagonalUp="false" diagonalDown="false">
      <left style="thin">
        <color rgb="FFB2B2B2"/>
      </left>
      <right style="thin">
        <color rgb="FFB2B2B2"/>
      </right>
      <top/>
      <bottom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theme="3" tint="0.3999"/>
      </left>
      <right style="thin">
        <color theme="3" tint="0.3998"/>
      </right>
      <top style="thin">
        <color theme="3" tint="0.3999"/>
      </top>
      <bottom style="thin">
        <color theme="3" tint="0.39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rgb="FF3366FF"/>
      </left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/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hair">
        <color rgb="FF3366FF"/>
      </bottom>
      <diagonal/>
    </border>
    <border diagonalUp="false" diagonalDown="false">
      <left/>
      <right/>
      <top style="hair">
        <color rgb="FF3366FF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thin">
        <color rgb="FF3366FF"/>
      </bottom>
      <diagonal/>
    </border>
    <border diagonalUp="false" diagonalDown="false">
      <left/>
      <right/>
      <top style="thin">
        <color rgb="FF3366FF"/>
      </top>
      <bottom/>
      <diagonal/>
    </border>
    <border diagonalUp="false" diagonalDown="false">
      <left/>
      <right style="thin">
        <color rgb="FF3366FF"/>
      </right>
      <top style="thin">
        <color rgb="FF3366FF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 diagonalUp="false" diagonalDown="false">
      <left/>
      <right/>
      <top/>
      <bottom style="thin">
        <color rgb="FF3366FF"/>
      </bottom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 style="thin">
        <color theme="3" tint="0.3999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/>
      <bottom/>
      <diagonal/>
    </border>
    <border diagonalUp="false" diagonalDown="false">
      <left style="thin">
        <color theme="3" tint="0.3999"/>
      </left>
      <right/>
      <top style="thin">
        <color theme="3" tint="0.3999"/>
      </top>
      <bottom/>
      <diagonal/>
    </border>
    <border diagonalUp="false" diagonalDown="false">
      <left/>
      <right style="thin">
        <color theme="3" tint="0.3999"/>
      </right>
      <top/>
      <bottom style="thin">
        <color theme="3" tint="0.3999"/>
      </bottom>
      <diagonal/>
    </border>
    <border diagonalUp="false" diagonalDown="false">
      <left style="thin">
        <color theme="3" tint="0.3999"/>
      </left>
      <right/>
      <top/>
      <bottom/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3366FF"/>
      </left>
      <right/>
      <top style="thin">
        <color rgb="FF3366FF"/>
      </top>
      <bottom/>
      <diagonal/>
    </border>
    <border diagonalUp="false" diagonalDown="false"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1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8" fillId="2" borderId="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4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8" fillId="3" borderId="6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8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1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2" fillId="2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2" borderId="1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8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9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6" fontId="8" fillId="3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3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8" fillId="3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5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5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6" fillId="0" borderId="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7" fillId="0" borderId="0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18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5" fillId="5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8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2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8" fillId="5" borderId="2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0" fillId="5" borderId="2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2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5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8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27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0" fillId="5" borderId="2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8" fillId="5" borderId="2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0" fillId="5" borderId="2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30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31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8" fillId="3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33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8" fontId="20" fillId="6" borderId="34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0" fillId="6" borderId="3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0" fillId="6" borderId="3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7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8" fontId="0" fillId="0" borderId="3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0" fillId="0" borderId="3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9" fontId="8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41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8" fontId="0" fillId="0" borderId="4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0" fillId="0" borderId="4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4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45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8" fillId="3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8" fillId="3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5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5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8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0" fillId="0" borderId="5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5" fontId="10" fillId="5" borderId="5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10" fillId="5" borderId="5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10" fillId="5" borderId="5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10" fillId="5" borderId="5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1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true"/>
    </xf>
    <xf numFmtId="164" fontId="21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0" fillId="6" borderId="6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5" fontId="1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15" fillId="5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4" fillId="8" borderId="61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8" fontId="24" fillId="8" borderId="62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4" fillId="8" borderId="6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4" fillId="8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8" fontId="24" fillId="8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4" fillId="8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5" fillId="7" borderId="2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9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8" fontId="24" fillId="9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4" fillId="9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4" fillId="9" borderId="67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8" fontId="24" fillId="9" borderId="68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8" fontId="24" fillId="9" borderId="6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8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8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b val="1"/>
        <color rgb="FF3366FF"/>
      </font>
    </dxf>
    <dxf>
      <font>
        <b val="1"/>
        <color rgb="FFFF0000"/>
      </font>
    </dxf>
    <dxf>
      <font>
        <b val="1"/>
      </font>
    </dxf>
    <dxf>
      <font>
        <b val="1"/>
        <color rgb="FF000000"/>
      </font>
      <fill>
        <patternFill>
          <bgColor theme="8" tint="0.7999"/>
        </patternFill>
      </fill>
    </dxf>
    <dxf>
      <font>
        <color rgb="FF000000"/>
      </font>
      <fill>
        <patternFill>
          <bgColor theme="8" tint="0.7999"/>
        </patternFill>
      </fill>
    </dxf>
    <dxf>
      <font>
        <color rgb="FF000000"/>
      </font>
      <fill>
        <patternFill>
          <bgColor rgb="FFFFFF99"/>
        </patternFill>
      </fill>
    </dxf>
    <dxf>
      <fill>
        <patternFill>
          <bgColor theme="7" tint="0.5999"/>
        </patternFill>
      </fill>
    </dxf>
    <dxf>
      <font>
        <b val="1"/>
        <color rgb="FF0000FF"/>
      </font>
    </dxf>
    <dxf>
      <font>
        <b val="1"/>
        <color rgb="FF0000FF"/>
      </font>
      <fill>
        <patternFill>
          <bgColor theme="7" tint="0.5999"/>
        </patternFill>
      </fill>
    </dxf>
    <dxf>
      <font>
        <b val="1"/>
        <color rgb="FFFF0000"/>
      </font>
      <fill>
        <patternFill>
          <bgColor theme="7" tint="0.5999"/>
        </patternFill>
      </fill>
    </dxf>
    <dxf>
      <font>
        <i val="1"/>
        <color rgb="FF008080"/>
      </font>
    </dxf>
    <dxf>
      <font>
        <i val="1"/>
        <color rgb="FF008080"/>
      </font>
      <fill>
        <patternFill>
          <bgColor theme="7" tint="0.5999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.png"/><Relationship Id="rId19" Type="http://schemas.openxmlformats.org/officeDocument/2006/relationships/image" Target="../media/image2.png"/><Relationship Id="rId20" Type="http://schemas.openxmlformats.org/officeDocument/2006/relationships/image" Target="../media/image3.png"/><Relationship Id="rId21" Type="http://schemas.openxmlformats.org/officeDocument/2006/relationships/image" Target="../media/image4.png"/><Relationship Id="rId22" Type="http://schemas.openxmlformats.org/officeDocument/2006/relationships/image" Target="../media/image5.png"/><Relationship Id="rId23" Type="http://schemas.openxmlformats.org/officeDocument/2006/relationships/image" Target="../media/image6.png"/><Relationship Id="rId24" Type="http://schemas.openxmlformats.org/officeDocument/2006/relationships/image" Target="../media/image7.png"/><Relationship Id="rId25" Type="http://schemas.openxmlformats.org/officeDocument/2006/relationships/image" Target="../media/image8.png"/><Relationship Id="rId26" Type="http://schemas.openxmlformats.org/officeDocument/2006/relationships/image" Target="../media/image9.png"/><Relationship Id="rId27" Type="http://schemas.openxmlformats.org/officeDocument/2006/relationships/image" Target="../media/image10.png"/><Relationship Id="rId28" Type="http://schemas.openxmlformats.org/officeDocument/2006/relationships/image" Target="../media/image11.png"/><Relationship Id="rId29" Type="http://schemas.openxmlformats.org/officeDocument/2006/relationships/image" Target="../media/image12.png"/><Relationship Id="rId30" Type="http://schemas.openxmlformats.org/officeDocument/2006/relationships/image" Target="../media/image13.png"/><Relationship Id="rId31" Type="http://schemas.openxmlformats.org/officeDocument/2006/relationships/image" Target="../media/image14.png"/><Relationship Id="rId32" Type="http://schemas.openxmlformats.org/officeDocument/2006/relationships/image" Target="../media/image15.png"/><Relationship Id="rId33" Type="http://schemas.openxmlformats.org/officeDocument/2006/relationships/image" Target="../media/image16.png"/><Relationship Id="rId34" Type="http://schemas.openxmlformats.org/officeDocument/2006/relationships/image" Target="../media/image17.png"/><Relationship Id="rId35" Type="http://schemas.openxmlformats.org/officeDocument/2006/relationships/image" Target="../media/image1.png"/><Relationship Id="rId36" Type="http://schemas.openxmlformats.org/officeDocument/2006/relationships/image" Target="../media/image2.png"/><Relationship Id="rId37" Type="http://schemas.openxmlformats.org/officeDocument/2006/relationships/image" Target="../media/image3.png"/><Relationship Id="rId38" Type="http://schemas.openxmlformats.org/officeDocument/2006/relationships/image" Target="../media/image4.png"/><Relationship Id="rId39" Type="http://schemas.openxmlformats.org/officeDocument/2006/relationships/image" Target="../media/image5.png"/><Relationship Id="rId40" Type="http://schemas.openxmlformats.org/officeDocument/2006/relationships/image" Target="../media/image6.png"/><Relationship Id="rId41" Type="http://schemas.openxmlformats.org/officeDocument/2006/relationships/image" Target="../media/image7.png"/><Relationship Id="rId42" Type="http://schemas.openxmlformats.org/officeDocument/2006/relationships/image" Target="../media/image8.png"/><Relationship Id="rId43" Type="http://schemas.openxmlformats.org/officeDocument/2006/relationships/image" Target="../media/image9.png"/><Relationship Id="rId44" Type="http://schemas.openxmlformats.org/officeDocument/2006/relationships/image" Target="../media/image10.png"/><Relationship Id="rId45" Type="http://schemas.openxmlformats.org/officeDocument/2006/relationships/image" Target="../media/image11.png"/><Relationship Id="rId46" Type="http://schemas.openxmlformats.org/officeDocument/2006/relationships/image" Target="../media/image12.png"/><Relationship Id="rId47" Type="http://schemas.openxmlformats.org/officeDocument/2006/relationships/image" Target="../media/image13.png"/><Relationship Id="rId48" Type="http://schemas.openxmlformats.org/officeDocument/2006/relationships/image" Target="../media/image16.png"/><Relationship Id="rId49" Type="http://schemas.openxmlformats.org/officeDocument/2006/relationships/image" Target="../media/image18.png"/><Relationship Id="rId50" Type="http://schemas.openxmlformats.org/officeDocument/2006/relationships/image" Target="../media/image18.png"/><Relationship Id="rId51" Type="http://schemas.openxmlformats.org/officeDocument/2006/relationships/image" Target="../media/image18.png"/><Relationship Id="rId52" Type="http://schemas.openxmlformats.org/officeDocument/2006/relationships/image" Target="../media/image19.png"/><Relationship Id="rId53" Type="http://schemas.openxmlformats.org/officeDocument/2006/relationships/image" Target="../media/image19.png"/><Relationship Id="rId54" Type="http://schemas.openxmlformats.org/officeDocument/2006/relationships/image" Target="../media/image19.png"/><Relationship Id="rId55" Type="http://schemas.openxmlformats.org/officeDocument/2006/relationships/image" Target="../media/image20.jpeg"/><Relationship Id="rId56" Type="http://schemas.openxmlformats.org/officeDocument/2006/relationships/image" Target="../media/image21.jpeg"/><Relationship Id="rId57" Type="http://schemas.openxmlformats.org/officeDocument/2006/relationships/image" Target="../media/image20.jpeg"/><Relationship Id="rId58" Type="http://schemas.openxmlformats.org/officeDocument/2006/relationships/image" Target="../media/image20.jpeg"/><Relationship Id="rId59" Type="http://schemas.openxmlformats.org/officeDocument/2006/relationships/image" Target="../media/image21.jpeg"/><Relationship Id="rId60" Type="http://schemas.openxmlformats.org/officeDocument/2006/relationships/image" Target="../media/image21.jpeg"/><Relationship Id="rId61" Type="http://schemas.openxmlformats.org/officeDocument/2006/relationships/image" Target="../media/image22.jpeg"/><Relationship Id="rId62" Type="http://schemas.openxmlformats.org/officeDocument/2006/relationships/image" Target="../media/image22.jpeg"/><Relationship Id="rId63" Type="http://schemas.openxmlformats.org/officeDocument/2006/relationships/image" Target="../media/image22.jpeg"/><Relationship Id="rId64" Type="http://schemas.openxmlformats.org/officeDocument/2006/relationships/image" Target="../media/image23.jpeg"/><Relationship Id="rId65" Type="http://schemas.openxmlformats.org/officeDocument/2006/relationships/image" Target="../media/image23.jpeg"/><Relationship Id="rId66" Type="http://schemas.openxmlformats.org/officeDocument/2006/relationships/image" Target="../media/image23.jpeg"/><Relationship Id="rId67" Type="http://schemas.openxmlformats.org/officeDocument/2006/relationships/image" Target="../media/image24.jpeg"/><Relationship Id="rId68" Type="http://schemas.openxmlformats.org/officeDocument/2006/relationships/image" Target="../media/image24.jpeg"/><Relationship Id="rId69" Type="http://schemas.openxmlformats.org/officeDocument/2006/relationships/image" Target="../media/image24.jpeg"/><Relationship Id="rId70" Type="http://schemas.openxmlformats.org/officeDocument/2006/relationships/image" Target="../media/image25.jpeg"/><Relationship Id="rId71" Type="http://schemas.openxmlformats.org/officeDocument/2006/relationships/image" Target="../media/image25.jpeg"/><Relationship Id="rId72" Type="http://schemas.openxmlformats.org/officeDocument/2006/relationships/image" Target="../media/image25.jpeg"/><Relationship Id="rId73" Type="http://schemas.openxmlformats.org/officeDocument/2006/relationships/image" Target="../media/image26.jpeg"/><Relationship Id="rId74" Type="http://schemas.openxmlformats.org/officeDocument/2006/relationships/image" Target="../media/image26.jpeg"/><Relationship Id="rId75" Type="http://schemas.openxmlformats.org/officeDocument/2006/relationships/image" Target="../media/image26.jpeg"/><Relationship Id="rId76" Type="http://schemas.openxmlformats.org/officeDocument/2006/relationships/image" Target="../media/image27.jpeg"/><Relationship Id="rId77" Type="http://schemas.openxmlformats.org/officeDocument/2006/relationships/image" Target="../media/image27.jpeg"/><Relationship Id="rId78" Type="http://schemas.openxmlformats.org/officeDocument/2006/relationships/image" Target="../media/image27.jpeg"/><Relationship Id="rId79" Type="http://schemas.openxmlformats.org/officeDocument/2006/relationships/image" Target="../media/image28.jpeg"/><Relationship Id="rId80" Type="http://schemas.openxmlformats.org/officeDocument/2006/relationships/image" Target="../media/image28.jpeg"/><Relationship Id="rId81" Type="http://schemas.openxmlformats.org/officeDocument/2006/relationships/image" Target="../media/image28.jpeg"/><Relationship Id="rId82" Type="http://schemas.openxmlformats.org/officeDocument/2006/relationships/image" Target="../media/image17.png"/><Relationship Id="rId83" Type="http://schemas.openxmlformats.org/officeDocument/2006/relationships/image" Target="../media/image14.png"/><Relationship Id="rId84" Type="http://schemas.openxmlformats.org/officeDocument/2006/relationships/image" Target="../media/image29.jpeg"/><Relationship Id="rId85" Type="http://schemas.openxmlformats.org/officeDocument/2006/relationships/image" Target="../media/image29.jpeg"/><Relationship Id="rId86" Type="http://schemas.openxmlformats.org/officeDocument/2006/relationships/image" Target="../media/image29.jpeg"/><Relationship Id="rId87" Type="http://schemas.openxmlformats.org/officeDocument/2006/relationships/image" Target="../media/image30.jpeg"/><Relationship Id="rId88" Type="http://schemas.openxmlformats.org/officeDocument/2006/relationships/image" Target="../media/image30.jpeg"/><Relationship Id="rId89" Type="http://schemas.openxmlformats.org/officeDocument/2006/relationships/image" Target="../media/image30.jpeg"/><Relationship Id="rId90" Type="http://schemas.openxmlformats.org/officeDocument/2006/relationships/image" Target="../media/image31.jpeg"/><Relationship Id="rId91" Type="http://schemas.openxmlformats.org/officeDocument/2006/relationships/image" Target="../media/image31.jpeg"/><Relationship Id="rId92" Type="http://schemas.openxmlformats.org/officeDocument/2006/relationships/image" Target="../media/image31.jpeg"/><Relationship Id="rId93" Type="http://schemas.openxmlformats.org/officeDocument/2006/relationships/image" Target="../media/image32.jpeg"/><Relationship Id="rId94" Type="http://schemas.openxmlformats.org/officeDocument/2006/relationships/image" Target="../media/image32.jpeg"/><Relationship Id="rId95" Type="http://schemas.openxmlformats.org/officeDocument/2006/relationships/image" Target="../media/image32.jpeg"/><Relationship Id="rId96" Type="http://schemas.openxmlformats.org/officeDocument/2006/relationships/image" Target="../media/image33.jpeg"/><Relationship Id="rId97" Type="http://schemas.openxmlformats.org/officeDocument/2006/relationships/image" Target="../media/image33.jpeg"/><Relationship Id="rId98" Type="http://schemas.openxmlformats.org/officeDocument/2006/relationships/image" Target="../media/image33.jpeg"/><Relationship Id="rId99" Type="http://schemas.openxmlformats.org/officeDocument/2006/relationships/image" Target="../media/image34.jpeg"/><Relationship Id="rId100" Type="http://schemas.openxmlformats.org/officeDocument/2006/relationships/image" Target="../media/image35.jpeg"/><Relationship Id="rId101" Type="http://schemas.openxmlformats.org/officeDocument/2006/relationships/image" Target="../media/image35.jpeg"/><Relationship Id="rId102" Type="http://schemas.openxmlformats.org/officeDocument/2006/relationships/image" Target="../media/image35.jpeg"/><Relationship Id="rId103" Type="http://schemas.openxmlformats.org/officeDocument/2006/relationships/image" Target="../media/image36.jpeg"/><Relationship Id="rId104" Type="http://schemas.openxmlformats.org/officeDocument/2006/relationships/image" Target="../media/image36.jpeg"/><Relationship Id="rId105" Type="http://schemas.openxmlformats.org/officeDocument/2006/relationships/image" Target="../media/image36.jpeg"/><Relationship Id="rId106" Type="http://schemas.openxmlformats.org/officeDocument/2006/relationships/image" Target="../media/image37.jpeg"/><Relationship Id="rId107" Type="http://schemas.openxmlformats.org/officeDocument/2006/relationships/image" Target="../media/image37.jpeg"/><Relationship Id="rId108" Type="http://schemas.openxmlformats.org/officeDocument/2006/relationships/image" Target="../media/image37.jpeg"/><Relationship Id="rId109" Type="http://schemas.openxmlformats.org/officeDocument/2006/relationships/image" Target="../media/image38.jpeg"/><Relationship Id="rId110" Type="http://schemas.openxmlformats.org/officeDocument/2006/relationships/image" Target="../media/image38.jpeg"/><Relationship Id="rId111" Type="http://schemas.openxmlformats.org/officeDocument/2006/relationships/image" Target="../media/image38.jpeg"/><Relationship Id="rId112" Type="http://schemas.openxmlformats.org/officeDocument/2006/relationships/image" Target="../media/image39.jpeg"/><Relationship Id="rId113" Type="http://schemas.openxmlformats.org/officeDocument/2006/relationships/image" Target="../media/image39.jpeg"/><Relationship Id="rId114" Type="http://schemas.openxmlformats.org/officeDocument/2006/relationships/image" Target="../media/image39.jpeg"/><Relationship Id="rId115" Type="http://schemas.openxmlformats.org/officeDocument/2006/relationships/image" Target="../media/image40.jpeg"/><Relationship Id="rId116" Type="http://schemas.openxmlformats.org/officeDocument/2006/relationships/image" Target="../media/image40.jpeg"/><Relationship Id="rId117" Type="http://schemas.openxmlformats.org/officeDocument/2006/relationships/image" Target="../media/image40.jpeg"/><Relationship Id="rId118" Type="http://schemas.openxmlformats.org/officeDocument/2006/relationships/image" Target="../media/image41.jpeg"/><Relationship Id="rId119" Type="http://schemas.openxmlformats.org/officeDocument/2006/relationships/image" Target="../media/image41.jpeg"/><Relationship Id="rId120" Type="http://schemas.openxmlformats.org/officeDocument/2006/relationships/image" Target="../media/image41.jpeg"/><Relationship Id="rId121" Type="http://schemas.openxmlformats.org/officeDocument/2006/relationships/image" Target="../media/image42.jpeg"/><Relationship Id="rId122" Type="http://schemas.openxmlformats.org/officeDocument/2006/relationships/image" Target="../media/image42.jpeg"/><Relationship Id="rId123" Type="http://schemas.openxmlformats.org/officeDocument/2006/relationships/image" Target="../media/image42.jpeg"/><Relationship Id="rId124" Type="http://schemas.openxmlformats.org/officeDocument/2006/relationships/image" Target="../media/image43.jpeg"/><Relationship Id="rId125" Type="http://schemas.openxmlformats.org/officeDocument/2006/relationships/image" Target="../media/image43.jpeg"/><Relationship Id="rId126" Type="http://schemas.openxmlformats.org/officeDocument/2006/relationships/image" Target="../media/image43.jpeg"/><Relationship Id="rId127" Type="http://schemas.openxmlformats.org/officeDocument/2006/relationships/image" Target="../media/image44.jpeg"/><Relationship Id="rId128" Type="http://schemas.openxmlformats.org/officeDocument/2006/relationships/image" Target="../media/image44.jpeg"/><Relationship Id="rId129" Type="http://schemas.openxmlformats.org/officeDocument/2006/relationships/image" Target="../media/image44.jpeg"/><Relationship Id="rId130" Type="http://schemas.openxmlformats.org/officeDocument/2006/relationships/image" Target="../media/image45.jpeg"/><Relationship Id="rId131" Type="http://schemas.openxmlformats.org/officeDocument/2006/relationships/image" Target="../media/image45.jpeg"/><Relationship Id="rId132" Type="http://schemas.openxmlformats.org/officeDocument/2006/relationships/image" Target="../media/image45.jpeg"/><Relationship Id="rId133" Type="http://schemas.openxmlformats.org/officeDocument/2006/relationships/image" Target="../media/image46.jpeg"/><Relationship Id="rId134" Type="http://schemas.openxmlformats.org/officeDocument/2006/relationships/image" Target="../media/image46.jpeg"/><Relationship Id="rId135" Type="http://schemas.openxmlformats.org/officeDocument/2006/relationships/image" Target="../media/image46.jpeg"/><Relationship Id="rId136" Type="http://schemas.openxmlformats.org/officeDocument/2006/relationships/image" Target="../media/image47.jpeg"/><Relationship Id="rId137" Type="http://schemas.openxmlformats.org/officeDocument/2006/relationships/image" Target="../media/image47.jpeg"/><Relationship Id="rId138" Type="http://schemas.openxmlformats.org/officeDocument/2006/relationships/image" Target="../media/image47.jpeg"/><Relationship Id="rId139" Type="http://schemas.openxmlformats.org/officeDocument/2006/relationships/image" Target="../media/image48.jpeg"/><Relationship Id="rId140" Type="http://schemas.openxmlformats.org/officeDocument/2006/relationships/image" Target="../media/image48.jpeg"/><Relationship Id="rId141" Type="http://schemas.openxmlformats.org/officeDocument/2006/relationships/image" Target="../media/image48.jpeg"/><Relationship Id="rId142" Type="http://schemas.openxmlformats.org/officeDocument/2006/relationships/image" Target="../media/image49.jpeg"/><Relationship Id="rId143" Type="http://schemas.openxmlformats.org/officeDocument/2006/relationships/image" Target="../media/image49.jpeg"/><Relationship Id="rId144" Type="http://schemas.openxmlformats.org/officeDocument/2006/relationships/image" Target="../media/image49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1266840</xdr:colOff>
      <xdr:row>13</xdr:row>
      <xdr:rowOff>21960</xdr:rowOff>
    </xdr:from>
    <xdr:to>
      <xdr:col>4</xdr:col>
      <xdr:colOff>1473120</xdr:colOff>
      <xdr:row>13</xdr:row>
      <xdr:rowOff>171000</xdr:rowOff>
    </xdr:to>
    <xdr:pic>
      <xdr:nvPicPr>
        <xdr:cNvPr id="0" name="Graphic 39" descr=""/>
        <xdr:cNvPicPr/>
      </xdr:nvPicPr>
      <xdr:blipFill>
        <a:blip r:embed="rId1"/>
        <a:stretch/>
      </xdr:blipFill>
      <xdr:spPr>
        <a:xfrm>
          <a:off x="3498120" y="24984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1261080</xdr:colOff>
      <xdr:row>49</xdr:row>
      <xdr:rowOff>164880</xdr:rowOff>
    </xdr:from>
    <xdr:to>
      <xdr:col>4</xdr:col>
      <xdr:colOff>1467360</xdr:colOff>
      <xdr:row>50</xdr:row>
      <xdr:rowOff>124560</xdr:rowOff>
    </xdr:to>
    <xdr:pic>
      <xdr:nvPicPr>
        <xdr:cNvPr id="1" name="Graphic 71" descr=""/>
        <xdr:cNvPicPr/>
      </xdr:nvPicPr>
      <xdr:blipFill>
        <a:blip r:embed="rId2"/>
        <a:stretch/>
      </xdr:blipFill>
      <xdr:spPr>
        <a:xfrm>
          <a:off x="3492360" y="9194760"/>
          <a:ext cx="20628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21240</xdr:rowOff>
    </xdr:from>
    <xdr:to>
      <xdr:col>4</xdr:col>
      <xdr:colOff>1477440</xdr:colOff>
      <xdr:row>9</xdr:row>
      <xdr:rowOff>170280</xdr:rowOff>
    </xdr:to>
    <xdr:pic>
      <xdr:nvPicPr>
        <xdr:cNvPr id="2" name="Graphic 79" descr=""/>
        <xdr:cNvPicPr/>
      </xdr:nvPicPr>
      <xdr:blipFill>
        <a:blip r:embed="rId3"/>
        <a:stretch/>
      </xdr:blipFill>
      <xdr:spPr>
        <a:xfrm>
          <a:off x="3502440" y="17643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21240</xdr:rowOff>
    </xdr:from>
    <xdr:to>
      <xdr:col>4</xdr:col>
      <xdr:colOff>1477080</xdr:colOff>
      <xdr:row>24</xdr:row>
      <xdr:rowOff>170280</xdr:rowOff>
    </xdr:to>
    <xdr:pic>
      <xdr:nvPicPr>
        <xdr:cNvPr id="3" name="Graphic 115" descr=""/>
        <xdr:cNvPicPr/>
      </xdr:nvPicPr>
      <xdr:blipFill>
        <a:blip r:embed="rId4"/>
        <a:stretch/>
      </xdr:blipFill>
      <xdr:spPr>
        <a:xfrm>
          <a:off x="3502080" y="44884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21240</xdr:rowOff>
    </xdr:from>
    <xdr:to>
      <xdr:col>4</xdr:col>
      <xdr:colOff>1477440</xdr:colOff>
      <xdr:row>18</xdr:row>
      <xdr:rowOff>170280</xdr:rowOff>
    </xdr:to>
    <xdr:pic>
      <xdr:nvPicPr>
        <xdr:cNvPr id="4" name="Graphic 116" descr=""/>
        <xdr:cNvPicPr/>
      </xdr:nvPicPr>
      <xdr:blipFill>
        <a:blip r:embed="rId5"/>
        <a:stretch/>
      </xdr:blipFill>
      <xdr:spPr>
        <a:xfrm>
          <a:off x="3502440" y="34027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23760</xdr:rowOff>
    </xdr:from>
    <xdr:to>
      <xdr:col>4</xdr:col>
      <xdr:colOff>1477800</xdr:colOff>
      <xdr:row>22</xdr:row>
      <xdr:rowOff>172800</xdr:rowOff>
    </xdr:to>
    <xdr:pic>
      <xdr:nvPicPr>
        <xdr:cNvPr id="5" name="Graphic 121" descr=""/>
        <xdr:cNvPicPr/>
      </xdr:nvPicPr>
      <xdr:blipFill>
        <a:blip r:embed="rId6"/>
        <a:stretch/>
      </xdr:blipFill>
      <xdr:spPr>
        <a:xfrm>
          <a:off x="3502800" y="41292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14040</xdr:rowOff>
    </xdr:from>
    <xdr:to>
      <xdr:col>7</xdr:col>
      <xdr:colOff>227160</xdr:colOff>
      <xdr:row>36</xdr:row>
      <xdr:rowOff>163080</xdr:rowOff>
    </xdr:to>
    <xdr:pic>
      <xdr:nvPicPr>
        <xdr:cNvPr id="6" name="Graphic 122" descr=""/>
        <xdr:cNvPicPr/>
      </xdr:nvPicPr>
      <xdr:blipFill>
        <a:blip r:embed="rId7"/>
        <a:stretch/>
      </xdr:blipFill>
      <xdr:spPr>
        <a:xfrm>
          <a:off x="4453200" y="66718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23760</xdr:rowOff>
    </xdr:from>
    <xdr:to>
      <xdr:col>7</xdr:col>
      <xdr:colOff>229680</xdr:colOff>
      <xdr:row>35</xdr:row>
      <xdr:rowOff>172800</xdr:rowOff>
    </xdr:to>
    <xdr:pic>
      <xdr:nvPicPr>
        <xdr:cNvPr id="7" name="Graphic 123" descr=""/>
        <xdr:cNvPicPr/>
      </xdr:nvPicPr>
      <xdr:blipFill>
        <a:blip r:embed="rId8"/>
        <a:stretch/>
      </xdr:blipFill>
      <xdr:spPr>
        <a:xfrm>
          <a:off x="4455720" y="65008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23760</xdr:rowOff>
    </xdr:from>
    <xdr:to>
      <xdr:col>7</xdr:col>
      <xdr:colOff>227160</xdr:colOff>
      <xdr:row>27</xdr:row>
      <xdr:rowOff>172800</xdr:rowOff>
    </xdr:to>
    <xdr:pic>
      <xdr:nvPicPr>
        <xdr:cNvPr id="8" name="Graphic 124" descr=""/>
        <xdr:cNvPicPr/>
      </xdr:nvPicPr>
      <xdr:blipFill>
        <a:blip r:embed="rId9"/>
        <a:stretch/>
      </xdr:blipFill>
      <xdr:spPr>
        <a:xfrm>
          <a:off x="4453200" y="50338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14400</xdr:rowOff>
    </xdr:from>
    <xdr:to>
      <xdr:col>4</xdr:col>
      <xdr:colOff>1477080</xdr:colOff>
      <xdr:row>15</xdr:row>
      <xdr:rowOff>163440</xdr:rowOff>
    </xdr:to>
    <xdr:pic>
      <xdr:nvPicPr>
        <xdr:cNvPr id="9" name="Graphic 125" descr=""/>
        <xdr:cNvPicPr/>
      </xdr:nvPicPr>
      <xdr:blipFill>
        <a:blip r:embed="rId10"/>
        <a:stretch/>
      </xdr:blipFill>
      <xdr:spPr>
        <a:xfrm>
          <a:off x="3502080" y="28530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4680</xdr:rowOff>
    </xdr:from>
    <xdr:to>
      <xdr:col>7</xdr:col>
      <xdr:colOff>227160</xdr:colOff>
      <xdr:row>16</xdr:row>
      <xdr:rowOff>153720</xdr:rowOff>
    </xdr:to>
    <xdr:pic>
      <xdr:nvPicPr>
        <xdr:cNvPr id="10" name="Graphic 126" descr=""/>
        <xdr:cNvPicPr/>
      </xdr:nvPicPr>
      <xdr:blipFill>
        <a:blip r:embed="rId11"/>
        <a:stretch/>
      </xdr:blipFill>
      <xdr:spPr>
        <a:xfrm>
          <a:off x="4453200" y="30240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14400</xdr:rowOff>
    </xdr:from>
    <xdr:to>
      <xdr:col>4</xdr:col>
      <xdr:colOff>1477080</xdr:colOff>
      <xdr:row>19</xdr:row>
      <xdr:rowOff>163440</xdr:rowOff>
    </xdr:to>
    <xdr:pic>
      <xdr:nvPicPr>
        <xdr:cNvPr id="11" name="Graphic 127" descr=""/>
        <xdr:cNvPicPr/>
      </xdr:nvPicPr>
      <xdr:blipFill>
        <a:blip r:embed="rId12"/>
        <a:stretch/>
      </xdr:blipFill>
      <xdr:spPr>
        <a:xfrm>
          <a:off x="3502080" y="35766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14400</xdr:rowOff>
    </xdr:from>
    <xdr:to>
      <xdr:col>4</xdr:col>
      <xdr:colOff>1477080</xdr:colOff>
      <xdr:row>21</xdr:row>
      <xdr:rowOff>163440</xdr:rowOff>
    </xdr:to>
    <xdr:pic>
      <xdr:nvPicPr>
        <xdr:cNvPr id="12" name="Graphic 129" descr=""/>
        <xdr:cNvPicPr/>
      </xdr:nvPicPr>
      <xdr:blipFill>
        <a:blip r:embed="rId13"/>
        <a:stretch/>
      </xdr:blipFill>
      <xdr:spPr>
        <a:xfrm>
          <a:off x="3502080" y="39387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14760</xdr:rowOff>
    </xdr:from>
    <xdr:to>
      <xdr:col>7</xdr:col>
      <xdr:colOff>186120</xdr:colOff>
      <xdr:row>13</xdr:row>
      <xdr:rowOff>163800</xdr:rowOff>
    </xdr:to>
    <xdr:pic>
      <xdr:nvPicPr>
        <xdr:cNvPr id="13" name="Graphic 131" descr=""/>
        <xdr:cNvPicPr/>
      </xdr:nvPicPr>
      <xdr:blipFill>
        <a:blip r:embed="rId14"/>
        <a:stretch/>
      </xdr:blipFill>
      <xdr:spPr>
        <a:xfrm>
          <a:off x="4469400" y="2491200"/>
          <a:ext cx="14904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14760</xdr:rowOff>
    </xdr:from>
    <xdr:to>
      <xdr:col>4</xdr:col>
      <xdr:colOff>1477080</xdr:colOff>
      <xdr:row>42</xdr:row>
      <xdr:rowOff>163800</xdr:rowOff>
    </xdr:to>
    <xdr:pic>
      <xdr:nvPicPr>
        <xdr:cNvPr id="14" name="Graphic 133" descr=""/>
        <xdr:cNvPicPr/>
      </xdr:nvPicPr>
      <xdr:blipFill>
        <a:blip r:embed="rId15"/>
        <a:stretch/>
      </xdr:blipFill>
      <xdr:spPr>
        <a:xfrm>
          <a:off x="3502080" y="77587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74</xdr:row>
      <xdr:rowOff>137520</xdr:rowOff>
    </xdr:from>
    <xdr:to>
      <xdr:col>7</xdr:col>
      <xdr:colOff>229320</xdr:colOff>
      <xdr:row>75</xdr:row>
      <xdr:rowOff>97200</xdr:rowOff>
    </xdr:to>
    <xdr:pic>
      <xdr:nvPicPr>
        <xdr:cNvPr id="15" name="Graphic 135" descr=""/>
        <xdr:cNvPicPr/>
      </xdr:nvPicPr>
      <xdr:blipFill>
        <a:blip r:embed="rId16"/>
        <a:stretch/>
      </xdr:blipFill>
      <xdr:spPr>
        <a:xfrm>
          <a:off x="4455360" y="1369152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15120</xdr:rowOff>
    </xdr:from>
    <xdr:to>
      <xdr:col>4</xdr:col>
      <xdr:colOff>1477080</xdr:colOff>
      <xdr:row>12</xdr:row>
      <xdr:rowOff>164160</xdr:rowOff>
    </xdr:to>
    <xdr:pic>
      <xdr:nvPicPr>
        <xdr:cNvPr id="16" name="Graphic 137" descr=""/>
        <xdr:cNvPicPr/>
      </xdr:nvPicPr>
      <xdr:blipFill>
        <a:blip r:embed="rId17"/>
        <a:stretch/>
      </xdr:blipFill>
      <xdr:spPr>
        <a:xfrm>
          <a:off x="3502080" y="23104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19800</xdr:rowOff>
    </xdr:from>
    <xdr:to>
      <xdr:col>7</xdr:col>
      <xdr:colOff>214200</xdr:colOff>
      <xdr:row>32</xdr:row>
      <xdr:rowOff>168840</xdr:rowOff>
    </xdr:to>
    <xdr:pic>
      <xdr:nvPicPr>
        <xdr:cNvPr id="17" name="Graphic 143" descr=""/>
        <xdr:cNvPicPr/>
      </xdr:nvPicPr>
      <xdr:blipFill>
        <a:blip r:embed="rId18"/>
        <a:stretch/>
      </xdr:blipFill>
      <xdr:spPr>
        <a:xfrm>
          <a:off x="4440240" y="595404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14400</xdr:rowOff>
    </xdr:from>
    <xdr:to>
      <xdr:col>4</xdr:col>
      <xdr:colOff>1461960</xdr:colOff>
      <xdr:row>27</xdr:row>
      <xdr:rowOff>163440</xdr:rowOff>
    </xdr:to>
    <xdr:pic>
      <xdr:nvPicPr>
        <xdr:cNvPr id="18" name="Graphic 145" descr=""/>
        <xdr:cNvPicPr/>
      </xdr:nvPicPr>
      <xdr:blipFill>
        <a:blip r:embed="rId19"/>
        <a:stretch/>
      </xdr:blipFill>
      <xdr:spPr>
        <a:xfrm>
          <a:off x="3488040" y="5024520"/>
          <a:ext cx="20520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23400</xdr:rowOff>
    </xdr:from>
    <xdr:to>
      <xdr:col>4</xdr:col>
      <xdr:colOff>1472040</xdr:colOff>
      <xdr:row>36</xdr:row>
      <xdr:rowOff>172440</xdr:rowOff>
    </xdr:to>
    <xdr:pic>
      <xdr:nvPicPr>
        <xdr:cNvPr id="19" name="Graphic 146" descr=""/>
        <xdr:cNvPicPr/>
      </xdr:nvPicPr>
      <xdr:blipFill>
        <a:blip r:embed="rId20"/>
        <a:stretch/>
      </xdr:blipFill>
      <xdr:spPr>
        <a:xfrm>
          <a:off x="3497040" y="668124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47</xdr:row>
      <xdr:rowOff>180000</xdr:rowOff>
    </xdr:from>
    <xdr:to>
      <xdr:col>4</xdr:col>
      <xdr:colOff>1474200</xdr:colOff>
      <xdr:row>48</xdr:row>
      <xdr:rowOff>147960</xdr:rowOff>
    </xdr:to>
    <xdr:pic>
      <xdr:nvPicPr>
        <xdr:cNvPr id="20" name="Graphic 147" descr=""/>
        <xdr:cNvPicPr/>
      </xdr:nvPicPr>
      <xdr:blipFill>
        <a:blip r:embed="rId21"/>
        <a:stretch/>
      </xdr:blipFill>
      <xdr:spPr>
        <a:xfrm>
          <a:off x="3499200" y="88477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18000</xdr:rowOff>
    </xdr:from>
    <xdr:to>
      <xdr:col>7</xdr:col>
      <xdr:colOff>224280</xdr:colOff>
      <xdr:row>43</xdr:row>
      <xdr:rowOff>167040</xdr:rowOff>
    </xdr:to>
    <xdr:pic>
      <xdr:nvPicPr>
        <xdr:cNvPr id="21" name="Graphic 148" descr=""/>
        <xdr:cNvPicPr/>
      </xdr:nvPicPr>
      <xdr:blipFill>
        <a:blip r:embed="rId22"/>
        <a:stretch/>
      </xdr:blipFill>
      <xdr:spPr>
        <a:xfrm>
          <a:off x="4450320" y="79426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2520</xdr:rowOff>
    </xdr:from>
    <xdr:to>
      <xdr:col>4</xdr:col>
      <xdr:colOff>1468800</xdr:colOff>
      <xdr:row>47</xdr:row>
      <xdr:rowOff>151560</xdr:rowOff>
    </xdr:to>
    <xdr:pic>
      <xdr:nvPicPr>
        <xdr:cNvPr id="22" name="Graphic 153" descr=""/>
        <xdr:cNvPicPr/>
      </xdr:nvPicPr>
      <xdr:blipFill>
        <a:blip r:embed="rId23"/>
        <a:stretch/>
      </xdr:blipFill>
      <xdr:spPr>
        <a:xfrm>
          <a:off x="3493800" y="867024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19080</xdr:rowOff>
    </xdr:from>
    <xdr:to>
      <xdr:col>4</xdr:col>
      <xdr:colOff>1479240</xdr:colOff>
      <xdr:row>11</xdr:row>
      <xdr:rowOff>168120</xdr:rowOff>
    </xdr:to>
    <xdr:pic>
      <xdr:nvPicPr>
        <xdr:cNvPr id="23" name="Graphic 154" descr=""/>
        <xdr:cNvPicPr/>
      </xdr:nvPicPr>
      <xdr:blipFill>
        <a:blip r:embed="rId24"/>
        <a:stretch/>
      </xdr:blipFill>
      <xdr:spPr>
        <a:xfrm>
          <a:off x="3504240" y="21337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9360</xdr:rowOff>
    </xdr:from>
    <xdr:to>
      <xdr:col>7</xdr:col>
      <xdr:colOff>224280</xdr:colOff>
      <xdr:row>12</xdr:row>
      <xdr:rowOff>158400</xdr:rowOff>
    </xdr:to>
    <xdr:pic>
      <xdr:nvPicPr>
        <xdr:cNvPr id="24" name="Graphic 155" descr=""/>
        <xdr:cNvPicPr/>
      </xdr:nvPicPr>
      <xdr:blipFill>
        <a:blip r:embed="rId25"/>
        <a:stretch/>
      </xdr:blipFill>
      <xdr:spPr>
        <a:xfrm>
          <a:off x="4450320" y="23047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1262520</xdr:colOff>
      <xdr:row>71</xdr:row>
      <xdr:rowOff>169200</xdr:rowOff>
    </xdr:from>
    <xdr:to>
      <xdr:col>4</xdr:col>
      <xdr:colOff>1468800</xdr:colOff>
      <xdr:row>72</xdr:row>
      <xdr:rowOff>128880</xdr:rowOff>
    </xdr:to>
    <xdr:pic>
      <xdr:nvPicPr>
        <xdr:cNvPr id="25" name="Graphic 156" descr=""/>
        <xdr:cNvPicPr/>
      </xdr:nvPicPr>
      <xdr:blipFill>
        <a:blip r:embed="rId26"/>
        <a:stretch/>
      </xdr:blipFill>
      <xdr:spPr>
        <a:xfrm>
          <a:off x="3493800" y="1318032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16560</xdr:rowOff>
    </xdr:from>
    <xdr:to>
      <xdr:col>4</xdr:col>
      <xdr:colOff>1474200</xdr:colOff>
      <xdr:row>38</xdr:row>
      <xdr:rowOff>165600</xdr:rowOff>
    </xdr:to>
    <xdr:pic>
      <xdr:nvPicPr>
        <xdr:cNvPr id="26" name="Graphic 157" descr=""/>
        <xdr:cNvPicPr/>
      </xdr:nvPicPr>
      <xdr:blipFill>
        <a:blip r:embed="rId27"/>
        <a:stretch/>
      </xdr:blipFill>
      <xdr:spPr>
        <a:xfrm>
          <a:off x="3499200" y="70365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9720</xdr:rowOff>
    </xdr:from>
    <xdr:to>
      <xdr:col>7</xdr:col>
      <xdr:colOff>221040</xdr:colOff>
      <xdr:row>41</xdr:row>
      <xdr:rowOff>158760</xdr:rowOff>
    </xdr:to>
    <xdr:pic>
      <xdr:nvPicPr>
        <xdr:cNvPr id="27" name="Graphic 158" descr=""/>
        <xdr:cNvPicPr/>
      </xdr:nvPicPr>
      <xdr:blipFill>
        <a:blip r:embed="rId28"/>
        <a:stretch/>
      </xdr:blipFill>
      <xdr:spPr>
        <a:xfrm>
          <a:off x="4447080" y="75726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21600</xdr:rowOff>
    </xdr:from>
    <xdr:to>
      <xdr:col>4</xdr:col>
      <xdr:colOff>1468080</xdr:colOff>
      <xdr:row>43</xdr:row>
      <xdr:rowOff>170640</xdr:rowOff>
    </xdr:to>
    <xdr:pic>
      <xdr:nvPicPr>
        <xdr:cNvPr id="28" name="Graphic 159" descr=""/>
        <xdr:cNvPicPr/>
      </xdr:nvPicPr>
      <xdr:blipFill>
        <a:blip r:embed="rId29"/>
        <a:stretch/>
      </xdr:blipFill>
      <xdr:spPr>
        <a:xfrm>
          <a:off x="3493080" y="79462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21600</xdr:rowOff>
    </xdr:from>
    <xdr:to>
      <xdr:col>4</xdr:col>
      <xdr:colOff>1459080</xdr:colOff>
      <xdr:row>44</xdr:row>
      <xdr:rowOff>170640</xdr:rowOff>
    </xdr:to>
    <xdr:pic>
      <xdr:nvPicPr>
        <xdr:cNvPr id="29" name="Graphic 161" descr=""/>
        <xdr:cNvPicPr/>
      </xdr:nvPicPr>
      <xdr:blipFill>
        <a:blip r:embed="rId30"/>
        <a:stretch/>
      </xdr:blipFill>
      <xdr:spPr>
        <a:xfrm>
          <a:off x="3484080" y="81370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21960</xdr:rowOff>
    </xdr:from>
    <xdr:to>
      <xdr:col>4</xdr:col>
      <xdr:colOff>1451520</xdr:colOff>
      <xdr:row>31</xdr:row>
      <xdr:rowOff>171000</xdr:rowOff>
    </xdr:to>
    <xdr:pic>
      <xdr:nvPicPr>
        <xdr:cNvPr id="30" name="Graphic 163" descr=""/>
        <xdr:cNvPicPr/>
      </xdr:nvPicPr>
      <xdr:blipFill>
        <a:blip r:embed="rId31"/>
        <a:stretch/>
      </xdr:blipFill>
      <xdr:spPr>
        <a:xfrm>
          <a:off x="3533760" y="5765400"/>
          <a:ext cx="14904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1263240</xdr:colOff>
      <xdr:row>70</xdr:row>
      <xdr:rowOff>5400</xdr:rowOff>
    </xdr:from>
    <xdr:to>
      <xdr:col>4</xdr:col>
      <xdr:colOff>1469520</xdr:colOff>
      <xdr:row>70</xdr:row>
      <xdr:rowOff>145800</xdr:rowOff>
    </xdr:to>
    <xdr:pic>
      <xdr:nvPicPr>
        <xdr:cNvPr id="31" name="Graphic 165" descr=""/>
        <xdr:cNvPicPr/>
      </xdr:nvPicPr>
      <xdr:blipFill>
        <a:blip r:embed="rId32"/>
        <a:stretch/>
      </xdr:blipFill>
      <xdr:spPr>
        <a:xfrm>
          <a:off x="3494520" y="12835440"/>
          <a:ext cx="20628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22320</xdr:rowOff>
    </xdr:from>
    <xdr:to>
      <xdr:col>4</xdr:col>
      <xdr:colOff>1459080</xdr:colOff>
      <xdr:row>28</xdr:row>
      <xdr:rowOff>171360</xdr:rowOff>
    </xdr:to>
    <xdr:pic>
      <xdr:nvPicPr>
        <xdr:cNvPr id="32" name="Graphic 167" descr=""/>
        <xdr:cNvPicPr/>
      </xdr:nvPicPr>
      <xdr:blipFill>
        <a:blip r:embed="rId33"/>
        <a:stretch/>
      </xdr:blipFill>
      <xdr:spPr>
        <a:xfrm>
          <a:off x="3484080" y="52135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20160</xdr:rowOff>
    </xdr:from>
    <xdr:to>
      <xdr:col>4</xdr:col>
      <xdr:colOff>1479240</xdr:colOff>
      <xdr:row>34</xdr:row>
      <xdr:rowOff>169200</xdr:rowOff>
    </xdr:to>
    <xdr:pic>
      <xdr:nvPicPr>
        <xdr:cNvPr id="33" name="Graphic 169" descr=""/>
        <xdr:cNvPicPr/>
      </xdr:nvPicPr>
      <xdr:blipFill>
        <a:blip r:embed="rId34"/>
        <a:stretch/>
      </xdr:blipFill>
      <xdr:spPr>
        <a:xfrm>
          <a:off x="3504240" y="63162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14400</xdr:colOff>
      <xdr:row>56</xdr:row>
      <xdr:rowOff>108720</xdr:rowOff>
    </xdr:from>
    <xdr:to>
      <xdr:col>7</xdr:col>
      <xdr:colOff>220680</xdr:colOff>
      <xdr:row>57</xdr:row>
      <xdr:rowOff>68760</xdr:rowOff>
    </xdr:to>
    <xdr:pic>
      <xdr:nvPicPr>
        <xdr:cNvPr id="34" name="Graphic 173" descr=""/>
        <xdr:cNvPicPr/>
      </xdr:nvPicPr>
      <xdr:blipFill>
        <a:blip r:embed="rId35"/>
        <a:stretch/>
      </xdr:blipFill>
      <xdr:spPr>
        <a:xfrm>
          <a:off x="4446720" y="10405080"/>
          <a:ext cx="20628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23760</xdr:colOff>
      <xdr:row>70</xdr:row>
      <xdr:rowOff>163800</xdr:rowOff>
    </xdr:from>
    <xdr:to>
      <xdr:col>7</xdr:col>
      <xdr:colOff>230040</xdr:colOff>
      <xdr:row>71</xdr:row>
      <xdr:rowOff>123840</xdr:rowOff>
    </xdr:to>
    <xdr:pic>
      <xdr:nvPicPr>
        <xdr:cNvPr id="35" name="Graphic 175" descr=""/>
        <xdr:cNvPicPr/>
      </xdr:nvPicPr>
      <xdr:blipFill>
        <a:blip r:embed="rId36"/>
        <a:stretch/>
      </xdr:blipFill>
      <xdr:spPr>
        <a:xfrm>
          <a:off x="4456080" y="12993840"/>
          <a:ext cx="20628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20880</xdr:colOff>
      <xdr:row>63</xdr:row>
      <xdr:rowOff>42840</xdr:rowOff>
    </xdr:from>
    <xdr:to>
      <xdr:col>7</xdr:col>
      <xdr:colOff>227160</xdr:colOff>
      <xdr:row>64</xdr:row>
      <xdr:rowOff>2520</xdr:rowOff>
    </xdr:to>
    <xdr:pic>
      <xdr:nvPicPr>
        <xdr:cNvPr id="36" name="Graphic 177" descr=""/>
        <xdr:cNvPicPr/>
      </xdr:nvPicPr>
      <xdr:blipFill>
        <a:blip r:embed="rId37"/>
        <a:stretch/>
      </xdr:blipFill>
      <xdr:spPr>
        <a:xfrm>
          <a:off x="4453200" y="1160604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73</xdr:row>
      <xdr:rowOff>146880</xdr:rowOff>
    </xdr:from>
    <xdr:to>
      <xdr:col>7</xdr:col>
      <xdr:colOff>228240</xdr:colOff>
      <xdr:row>74</xdr:row>
      <xdr:rowOff>106920</xdr:rowOff>
    </xdr:to>
    <xdr:pic>
      <xdr:nvPicPr>
        <xdr:cNvPr id="37" name="Graphic 179" descr=""/>
        <xdr:cNvPicPr/>
      </xdr:nvPicPr>
      <xdr:blipFill>
        <a:blip r:embed="rId38"/>
        <a:stretch/>
      </xdr:blipFill>
      <xdr:spPr>
        <a:xfrm>
          <a:off x="4454280" y="1352016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23040</xdr:colOff>
      <xdr:row>69</xdr:row>
      <xdr:rowOff>3240</xdr:rowOff>
    </xdr:from>
    <xdr:to>
      <xdr:col>7</xdr:col>
      <xdr:colOff>229320</xdr:colOff>
      <xdr:row>69</xdr:row>
      <xdr:rowOff>152280</xdr:rowOff>
    </xdr:to>
    <xdr:pic>
      <xdr:nvPicPr>
        <xdr:cNvPr id="38" name="Graphic 180" descr=""/>
        <xdr:cNvPicPr/>
      </xdr:nvPicPr>
      <xdr:blipFill>
        <a:blip r:embed="rId39"/>
        <a:stretch/>
      </xdr:blipFill>
      <xdr:spPr>
        <a:xfrm>
          <a:off x="4455360" y="126525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21960</xdr:colOff>
      <xdr:row>65</xdr:row>
      <xdr:rowOff>28800</xdr:rowOff>
    </xdr:from>
    <xdr:to>
      <xdr:col>7</xdr:col>
      <xdr:colOff>228240</xdr:colOff>
      <xdr:row>65</xdr:row>
      <xdr:rowOff>177840</xdr:rowOff>
    </xdr:to>
    <xdr:pic>
      <xdr:nvPicPr>
        <xdr:cNvPr id="39" name="Graphic 185" descr=""/>
        <xdr:cNvPicPr/>
      </xdr:nvPicPr>
      <xdr:blipFill>
        <a:blip r:embed="rId40"/>
        <a:stretch/>
      </xdr:blipFill>
      <xdr:spPr>
        <a:xfrm>
          <a:off x="4454280" y="119541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64</xdr:row>
      <xdr:rowOff>46440</xdr:rowOff>
    </xdr:from>
    <xdr:to>
      <xdr:col>7</xdr:col>
      <xdr:colOff>229680</xdr:colOff>
      <xdr:row>65</xdr:row>
      <xdr:rowOff>6480</xdr:rowOff>
    </xdr:to>
    <xdr:pic>
      <xdr:nvPicPr>
        <xdr:cNvPr id="40" name="Graphic 186" descr=""/>
        <xdr:cNvPicPr/>
      </xdr:nvPicPr>
      <xdr:blipFill>
        <a:blip r:embed="rId41"/>
        <a:stretch/>
      </xdr:blipFill>
      <xdr:spPr>
        <a:xfrm>
          <a:off x="4455720" y="11790720"/>
          <a:ext cx="20628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1267200</xdr:colOff>
      <xdr:row>54</xdr:row>
      <xdr:rowOff>126720</xdr:rowOff>
    </xdr:from>
    <xdr:to>
      <xdr:col>4</xdr:col>
      <xdr:colOff>1473480</xdr:colOff>
      <xdr:row>55</xdr:row>
      <xdr:rowOff>86400</xdr:rowOff>
    </xdr:to>
    <xdr:pic>
      <xdr:nvPicPr>
        <xdr:cNvPr id="41" name="Graphic 187" descr=""/>
        <xdr:cNvPicPr/>
      </xdr:nvPicPr>
      <xdr:blipFill>
        <a:blip r:embed="rId42"/>
        <a:stretch/>
      </xdr:blipFill>
      <xdr:spPr>
        <a:xfrm>
          <a:off x="3498480" y="1006128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23400</xdr:colOff>
      <xdr:row>50</xdr:row>
      <xdr:rowOff>160200</xdr:rowOff>
    </xdr:from>
    <xdr:to>
      <xdr:col>7</xdr:col>
      <xdr:colOff>229680</xdr:colOff>
      <xdr:row>51</xdr:row>
      <xdr:rowOff>119880</xdr:rowOff>
    </xdr:to>
    <xdr:pic>
      <xdr:nvPicPr>
        <xdr:cNvPr id="42" name="Graphic 188" descr=""/>
        <xdr:cNvPicPr/>
      </xdr:nvPicPr>
      <xdr:blipFill>
        <a:blip r:embed="rId43"/>
        <a:stretch/>
      </xdr:blipFill>
      <xdr:spPr>
        <a:xfrm>
          <a:off x="4455720" y="937080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60</xdr:row>
      <xdr:rowOff>75240</xdr:rowOff>
    </xdr:from>
    <xdr:to>
      <xdr:col>7</xdr:col>
      <xdr:colOff>225720</xdr:colOff>
      <xdr:row>61</xdr:row>
      <xdr:rowOff>34920</xdr:rowOff>
    </xdr:to>
    <xdr:pic>
      <xdr:nvPicPr>
        <xdr:cNvPr id="43" name="Graphic 189" descr=""/>
        <xdr:cNvPicPr/>
      </xdr:nvPicPr>
      <xdr:blipFill>
        <a:blip r:embed="rId44"/>
        <a:stretch/>
      </xdr:blipFill>
      <xdr:spPr>
        <a:xfrm>
          <a:off x="4451760" y="1109556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1280160</xdr:colOff>
      <xdr:row>61</xdr:row>
      <xdr:rowOff>59040</xdr:rowOff>
    </xdr:from>
    <xdr:to>
      <xdr:col>4</xdr:col>
      <xdr:colOff>1486440</xdr:colOff>
      <xdr:row>62</xdr:row>
      <xdr:rowOff>18720</xdr:rowOff>
    </xdr:to>
    <xdr:pic>
      <xdr:nvPicPr>
        <xdr:cNvPr id="44" name="Graphic 190" descr=""/>
        <xdr:cNvPicPr/>
      </xdr:nvPicPr>
      <xdr:blipFill>
        <a:blip r:embed="rId45"/>
        <a:stretch/>
      </xdr:blipFill>
      <xdr:spPr>
        <a:xfrm>
          <a:off x="3511440" y="1126044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70</xdr:row>
      <xdr:rowOff>2520</xdr:rowOff>
    </xdr:from>
    <xdr:to>
      <xdr:col>7</xdr:col>
      <xdr:colOff>225720</xdr:colOff>
      <xdr:row>70</xdr:row>
      <xdr:rowOff>142920</xdr:rowOff>
    </xdr:to>
    <xdr:pic>
      <xdr:nvPicPr>
        <xdr:cNvPr id="45" name="Graphic 191" descr=""/>
        <xdr:cNvPicPr/>
      </xdr:nvPicPr>
      <xdr:blipFill>
        <a:blip r:embed="rId46"/>
        <a:stretch/>
      </xdr:blipFill>
      <xdr:spPr>
        <a:xfrm>
          <a:off x="4451760" y="12832560"/>
          <a:ext cx="20628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19440</xdr:colOff>
      <xdr:row>68</xdr:row>
      <xdr:rowOff>11880</xdr:rowOff>
    </xdr:from>
    <xdr:to>
      <xdr:col>7</xdr:col>
      <xdr:colOff>225720</xdr:colOff>
      <xdr:row>68</xdr:row>
      <xdr:rowOff>160920</xdr:rowOff>
    </xdr:to>
    <xdr:pic>
      <xdr:nvPicPr>
        <xdr:cNvPr id="46" name="Graphic 193" descr=""/>
        <xdr:cNvPicPr/>
      </xdr:nvPicPr>
      <xdr:blipFill>
        <a:blip r:embed="rId47"/>
        <a:stretch/>
      </xdr:blipFill>
      <xdr:spPr>
        <a:xfrm>
          <a:off x="4451760" y="124801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1254960</xdr:colOff>
      <xdr:row>51</xdr:row>
      <xdr:rowOff>152640</xdr:rowOff>
    </xdr:from>
    <xdr:to>
      <xdr:col>4</xdr:col>
      <xdr:colOff>1461240</xdr:colOff>
      <xdr:row>52</xdr:row>
      <xdr:rowOff>112680</xdr:rowOff>
    </xdr:to>
    <xdr:pic>
      <xdr:nvPicPr>
        <xdr:cNvPr id="47" name="Graphic 198" descr=""/>
        <xdr:cNvPicPr/>
      </xdr:nvPicPr>
      <xdr:blipFill>
        <a:blip r:embed="rId48"/>
        <a:stretch/>
      </xdr:blipFill>
      <xdr:spPr>
        <a:xfrm>
          <a:off x="3486240" y="9544320"/>
          <a:ext cx="20628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19080</xdr:rowOff>
    </xdr:from>
    <xdr:to>
      <xdr:col>7</xdr:col>
      <xdr:colOff>215640</xdr:colOff>
      <xdr:row>15</xdr:row>
      <xdr:rowOff>158760</xdr:rowOff>
    </xdr:to>
    <xdr:pic>
      <xdr:nvPicPr>
        <xdr:cNvPr id="48" name="Picture 2" descr=""/>
        <xdr:cNvPicPr/>
      </xdr:nvPicPr>
      <xdr:blipFill>
        <a:blip r:embed="rId49"/>
        <a:stretch/>
      </xdr:blipFill>
      <xdr:spPr>
        <a:xfrm>
          <a:off x="4460760" y="285768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19080</xdr:rowOff>
    </xdr:from>
    <xdr:to>
      <xdr:col>7</xdr:col>
      <xdr:colOff>206280</xdr:colOff>
      <xdr:row>39</xdr:row>
      <xdr:rowOff>158760</xdr:rowOff>
    </xdr:to>
    <xdr:pic>
      <xdr:nvPicPr>
        <xdr:cNvPr id="49" name="Picture 3" descr=""/>
        <xdr:cNvPicPr/>
      </xdr:nvPicPr>
      <xdr:blipFill>
        <a:blip r:embed="rId50"/>
        <a:stretch/>
      </xdr:blipFill>
      <xdr:spPr>
        <a:xfrm>
          <a:off x="4451400" y="722016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84240</xdr:rowOff>
    </xdr:from>
    <xdr:to>
      <xdr:col>4</xdr:col>
      <xdr:colOff>1463400</xdr:colOff>
      <xdr:row>60</xdr:row>
      <xdr:rowOff>34920</xdr:rowOff>
    </xdr:to>
    <xdr:pic>
      <xdr:nvPicPr>
        <xdr:cNvPr id="50" name="Picture 4" descr=""/>
        <xdr:cNvPicPr/>
      </xdr:nvPicPr>
      <xdr:blipFill>
        <a:blip r:embed="rId51"/>
        <a:stretch/>
      </xdr:blipFill>
      <xdr:spPr>
        <a:xfrm>
          <a:off x="3507480" y="1092384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19080</xdr:rowOff>
    </xdr:from>
    <xdr:to>
      <xdr:col>7</xdr:col>
      <xdr:colOff>215640</xdr:colOff>
      <xdr:row>6</xdr:row>
      <xdr:rowOff>158760</xdr:rowOff>
    </xdr:to>
    <xdr:pic>
      <xdr:nvPicPr>
        <xdr:cNvPr id="51" name="Picture 12" descr=""/>
        <xdr:cNvPicPr/>
      </xdr:nvPicPr>
      <xdr:blipFill>
        <a:blip r:embed="rId52"/>
        <a:stretch/>
      </xdr:blipFill>
      <xdr:spPr>
        <a:xfrm>
          <a:off x="4460760" y="12096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19080</xdr:rowOff>
    </xdr:from>
    <xdr:to>
      <xdr:col>7</xdr:col>
      <xdr:colOff>206280</xdr:colOff>
      <xdr:row>30</xdr:row>
      <xdr:rowOff>158760</xdr:rowOff>
    </xdr:to>
    <xdr:pic>
      <xdr:nvPicPr>
        <xdr:cNvPr id="52" name="Picture 13" descr=""/>
        <xdr:cNvPicPr/>
      </xdr:nvPicPr>
      <xdr:blipFill>
        <a:blip r:embed="rId53"/>
        <a:stretch/>
      </xdr:blipFill>
      <xdr:spPr>
        <a:xfrm>
          <a:off x="4451400" y="557208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92880</xdr:rowOff>
    </xdr:from>
    <xdr:to>
      <xdr:col>4</xdr:col>
      <xdr:colOff>1463400</xdr:colOff>
      <xdr:row>59</xdr:row>
      <xdr:rowOff>43200</xdr:rowOff>
    </xdr:to>
    <xdr:pic>
      <xdr:nvPicPr>
        <xdr:cNvPr id="53" name="Picture 14" descr=""/>
        <xdr:cNvPicPr/>
      </xdr:nvPicPr>
      <xdr:blipFill>
        <a:blip r:embed="rId54"/>
        <a:stretch/>
      </xdr:blipFill>
      <xdr:spPr>
        <a:xfrm>
          <a:off x="3507480" y="1075140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28440</xdr:rowOff>
    </xdr:from>
    <xdr:to>
      <xdr:col>4</xdr:col>
      <xdr:colOff>1463760</xdr:colOff>
      <xdr:row>7</xdr:row>
      <xdr:rowOff>158400</xdr:rowOff>
    </xdr:to>
    <xdr:pic>
      <xdr:nvPicPr>
        <xdr:cNvPr id="54" name="Picture 16" descr=""/>
        <xdr:cNvPicPr/>
      </xdr:nvPicPr>
      <xdr:blipFill>
        <a:blip r:embed="rId55"/>
        <a:stretch/>
      </xdr:blipFill>
      <xdr:spPr>
        <a:xfrm>
          <a:off x="3517200" y="1409400"/>
          <a:ext cx="177840" cy="12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19080</xdr:rowOff>
    </xdr:from>
    <xdr:to>
      <xdr:col>4</xdr:col>
      <xdr:colOff>1463400</xdr:colOff>
      <xdr:row>6</xdr:row>
      <xdr:rowOff>149040</xdr:rowOff>
    </xdr:to>
    <xdr:pic>
      <xdr:nvPicPr>
        <xdr:cNvPr id="55" name="Picture 17" descr=""/>
        <xdr:cNvPicPr/>
      </xdr:nvPicPr>
      <xdr:blipFill>
        <a:blip r:embed="rId56"/>
        <a:stretch/>
      </xdr:blipFill>
      <xdr:spPr>
        <a:xfrm>
          <a:off x="3507480" y="1209600"/>
          <a:ext cx="187200" cy="12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19080</xdr:rowOff>
    </xdr:from>
    <xdr:to>
      <xdr:col>7</xdr:col>
      <xdr:colOff>196920</xdr:colOff>
      <xdr:row>33</xdr:row>
      <xdr:rowOff>149040</xdr:rowOff>
    </xdr:to>
    <xdr:pic>
      <xdr:nvPicPr>
        <xdr:cNvPr id="56" name="Picture 18" descr=""/>
        <xdr:cNvPicPr/>
      </xdr:nvPicPr>
      <xdr:blipFill>
        <a:blip r:embed="rId57"/>
        <a:stretch/>
      </xdr:blipFill>
      <xdr:spPr>
        <a:xfrm>
          <a:off x="4451400" y="6134040"/>
          <a:ext cx="177840" cy="12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92880</xdr:rowOff>
    </xdr:from>
    <xdr:to>
      <xdr:col>7</xdr:col>
      <xdr:colOff>206280</xdr:colOff>
      <xdr:row>59</xdr:row>
      <xdr:rowOff>33480</xdr:rowOff>
    </xdr:to>
    <xdr:pic>
      <xdr:nvPicPr>
        <xdr:cNvPr id="57" name="Picture 19" descr=""/>
        <xdr:cNvPicPr/>
      </xdr:nvPicPr>
      <xdr:blipFill>
        <a:blip r:embed="rId58"/>
        <a:stretch/>
      </xdr:blipFill>
      <xdr:spPr>
        <a:xfrm>
          <a:off x="4460760" y="10751400"/>
          <a:ext cx="177840" cy="12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19080</xdr:rowOff>
    </xdr:from>
    <xdr:to>
      <xdr:col>4</xdr:col>
      <xdr:colOff>1463400</xdr:colOff>
      <xdr:row>33</xdr:row>
      <xdr:rowOff>149040</xdr:rowOff>
    </xdr:to>
    <xdr:pic>
      <xdr:nvPicPr>
        <xdr:cNvPr id="58" name="Picture 20" descr=""/>
        <xdr:cNvPicPr/>
      </xdr:nvPicPr>
      <xdr:blipFill>
        <a:blip r:embed="rId59"/>
        <a:stretch/>
      </xdr:blipFill>
      <xdr:spPr>
        <a:xfrm>
          <a:off x="3507480" y="6134040"/>
          <a:ext cx="187200" cy="12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57</xdr:row>
      <xdr:rowOff>101160</xdr:rowOff>
    </xdr:from>
    <xdr:to>
      <xdr:col>7</xdr:col>
      <xdr:colOff>215640</xdr:colOff>
      <xdr:row>58</xdr:row>
      <xdr:rowOff>41760</xdr:rowOff>
    </xdr:to>
    <xdr:pic>
      <xdr:nvPicPr>
        <xdr:cNvPr id="59" name="Picture 21" descr=""/>
        <xdr:cNvPicPr/>
      </xdr:nvPicPr>
      <xdr:blipFill>
        <a:blip r:embed="rId60"/>
        <a:stretch/>
      </xdr:blipFill>
      <xdr:spPr>
        <a:xfrm>
          <a:off x="4460760" y="10578600"/>
          <a:ext cx="187200" cy="12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9360</xdr:rowOff>
    </xdr:from>
    <xdr:to>
      <xdr:col>7</xdr:col>
      <xdr:colOff>225360</xdr:colOff>
      <xdr:row>7</xdr:row>
      <xdr:rowOff>158400</xdr:rowOff>
    </xdr:to>
    <xdr:pic>
      <xdr:nvPicPr>
        <xdr:cNvPr id="60" name="Picture 22" descr=""/>
        <xdr:cNvPicPr/>
      </xdr:nvPicPr>
      <xdr:blipFill>
        <a:blip r:embed="rId61"/>
        <a:stretch/>
      </xdr:blipFill>
      <xdr:spPr>
        <a:xfrm>
          <a:off x="4451400" y="13903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19080</xdr:rowOff>
    </xdr:from>
    <xdr:to>
      <xdr:col>4</xdr:col>
      <xdr:colOff>1473120</xdr:colOff>
      <xdr:row>30</xdr:row>
      <xdr:rowOff>168120</xdr:rowOff>
    </xdr:to>
    <xdr:pic>
      <xdr:nvPicPr>
        <xdr:cNvPr id="61" name="Picture 23" descr=""/>
        <xdr:cNvPicPr/>
      </xdr:nvPicPr>
      <xdr:blipFill>
        <a:blip r:embed="rId62"/>
        <a:stretch/>
      </xdr:blipFill>
      <xdr:spPr>
        <a:xfrm>
          <a:off x="3498120" y="55720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91440</xdr:rowOff>
    </xdr:from>
    <xdr:to>
      <xdr:col>4</xdr:col>
      <xdr:colOff>1463400</xdr:colOff>
      <xdr:row>58</xdr:row>
      <xdr:rowOff>41760</xdr:rowOff>
    </xdr:to>
    <xdr:pic>
      <xdr:nvPicPr>
        <xdr:cNvPr id="62" name="Picture 24" descr=""/>
        <xdr:cNvPicPr/>
      </xdr:nvPicPr>
      <xdr:blipFill>
        <a:blip r:embed="rId63"/>
        <a:stretch/>
      </xdr:blipFill>
      <xdr:spPr>
        <a:xfrm>
          <a:off x="3507480" y="1056888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19080</xdr:rowOff>
    </xdr:from>
    <xdr:to>
      <xdr:col>4</xdr:col>
      <xdr:colOff>1473120</xdr:colOff>
      <xdr:row>8</xdr:row>
      <xdr:rowOff>158760</xdr:rowOff>
    </xdr:to>
    <xdr:pic>
      <xdr:nvPicPr>
        <xdr:cNvPr id="63" name="Picture 25" descr=""/>
        <xdr:cNvPicPr/>
      </xdr:nvPicPr>
      <xdr:blipFill>
        <a:blip r:embed="rId64"/>
        <a:stretch/>
      </xdr:blipFill>
      <xdr:spPr>
        <a:xfrm>
          <a:off x="3517200" y="158112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19080</xdr:rowOff>
    </xdr:from>
    <xdr:to>
      <xdr:col>4</xdr:col>
      <xdr:colOff>1473120</xdr:colOff>
      <xdr:row>32</xdr:row>
      <xdr:rowOff>158760</xdr:rowOff>
    </xdr:to>
    <xdr:pic>
      <xdr:nvPicPr>
        <xdr:cNvPr id="64" name="Picture 26" descr=""/>
        <xdr:cNvPicPr/>
      </xdr:nvPicPr>
      <xdr:blipFill>
        <a:blip r:embed="rId65"/>
        <a:stretch/>
      </xdr:blipFill>
      <xdr:spPr>
        <a:xfrm>
          <a:off x="3517200" y="595332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117360</xdr:rowOff>
    </xdr:from>
    <xdr:to>
      <xdr:col>7</xdr:col>
      <xdr:colOff>215640</xdr:colOff>
      <xdr:row>56</xdr:row>
      <xdr:rowOff>67680</xdr:rowOff>
    </xdr:to>
    <xdr:pic>
      <xdr:nvPicPr>
        <xdr:cNvPr id="65" name="Picture 27" descr=""/>
        <xdr:cNvPicPr/>
      </xdr:nvPicPr>
      <xdr:blipFill>
        <a:blip r:embed="rId66"/>
        <a:stretch/>
      </xdr:blipFill>
      <xdr:spPr>
        <a:xfrm>
          <a:off x="4460760" y="10233000"/>
          <a:ext cx="187200" cy="1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19080</xdr:rowOff>
    </xdr:from>
    <xdr:to>
      <xdr:col>7</xdr:col>
      <xdr:colOff>225360</xdr:colOff>
      <xdr:row>8</xdr:row>
      <xdr:rowOff>158760</xdr:rowOff>
    </xdr:to>
    <xdr:pic>
      <xdr:nvPicPr>
        <xdr:cNvPr id="66" name="Picture 28" descr=""/>
        <xdr:cNvPicPr/>
      </xdr:nvPicPr>
      <xdr:blipFill>
        <a:blip r:embed="rId67"/>
        <a:stretch/>
      </xdr:blipFill>
      <xdr:spPr>
        <a:xfrm>
          <a:off x="4460760" y="158112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19080</xdr:rowOff>
    </xdr:from>
    <xdr:to>
      <xdr:col>7</xdr:col>
      <xdr:colOff>216000</xdr:colOff>
      <xdr:row>31</xdr:row>
      <xdr:rowOff>158760</xdr:rowOff>
    </xdr:to>
    <xdr:pic>
      <xdr:nvPicPr>
        <xdr:cNvPr id="67" name="Picture 29" descr=""/>
        <xdr:cNvPicPr/>
      </xdr:nvPicPr>
      <xdr:blipFill>
        <a:blip r:embed="rId68"/>
        <a:stretch/>
      </xdr:blipFill>
      <xdr:spPr>
        <a:xfrm>
          <a:off x="4451400" y="576252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56</xdr:row>
      <xdr:rowOff>109080</xdr:rowOff>
    </xdr:from>
    <xdr:to>
      <xdr:col>4</xdr:col>
      <xdr:colOff>1473120</xdr:colOff>
      <xdr:row>57</xdr:row>
      <xdr:rowOff>59760</xdr:rowOff>
    </xdr:to>
    <xdr:pic>
      <xdr:nvPicPr>
        <xdr:cNvPr id="68" name="Picture 30" descr=""/>
        <xdr:cNvPicPr/>
      </xdr:nvPicPr>
      <xdr:blipFill>
        <a:blip r:embed="rId69"/>
        <a:stretch/>
      </xdr:blipFill>
      <xdr:spPr>
        <a:xfrm>
          <a:off x="3507480" y="10405440"/>
          <a:ext cx="19692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19080</xdr:rowOff>
    </xdr:from>
    <xdr:to>
      <xdr:col>7</xdr:col>
      <xdr:colOff>215640</xdr:colOff>
      <xdr:row>9</xdr:row>
      <xdr:rowOff>158760</xdr:rowOff>
    </xdr:to>
    <xdr:pic>
      <xdr:nvPicPr>
        <xdr:cNvPr id="69" name="Picture 32" descr=""/>
        <xdr:cNvPicPr/>
      </xdr:nvPicPr>
      <xdr:blipFill>
        <a:blip r:embed="rId70"/>
        <a:stretch/>
      </xdr:blipFill>
      <xdr:spPr>
        <a:xfrm>
          <a:off x="4460760" y="17622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19080</xdr:rowOff>
    </xdr:from>
    <xdr:to>
      <xdr:col>7</xdr:col>
      <xdr:colOff>206280</xdr:colOff>
      <xdr:row>37</xdr:row>
      <xdr:rowOff>158760</xdr:rowOff>
    </xdr:to>
    <xdr:pic>
      <xdr:nvPicPr>
        <xdr:cNvPr id="70" name="Picture 33" descr=""/>
        <xdr:cNvPicPr/>
      </xdr:nvPicPr>
      <xdr:blipFill>
        <a:blip r:embed="rId71"/>
        <a:stretch/>
      </xdr:blipFill>
      <xdr:spPr>
        <a:xfrm>
          <a:off x="4451400" y="68580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43200</xdr:rowOff>
    </xdr:from>
    <xdr:to>
      <xdr:col>4</xdr:col>
      <xdr:colOff>1473120</xdr:colOff>
      <xdr:row>65</xdr:row>
      <xdr:rowOff>1800</xdr:rowOff>
    </xdr:to>
    <xdr:pic>
      <xdr:nvPicPr>
        <xdr:cNvPr id="71" name="Picture 34" descr=""/>
        <xdr:cNvPicPr/>
      </xdr:nvPicPr>
      <xdr:blipFill>
        <a:blip r:embed="rId72"/>
        <a:stretch/>
      </xdr:blipFill>
      <xdr:spPr>
        <a:xfrm>
          <a:off x="3517200" y="1178748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9360</xdr:rowOff>
    </xdr:from>
    <xdr:to>
      <xdr:col>4</xdr:col>
      <xdr:colOff>1473120</xdr:colOff>
      <xdr:row>10</xdr:row>
      <xdr:rowOff>158400</xdr:rowOff>
    </xdr:to>
    <xdr:pic>
      <xdr:nvPicPr>
        <xdr:cNvPr id="72" name="Picture 36" descr=""/>
        <xdr:cNvPicPr/>
      </xdr:nvPicPr>
      <xdr:blipFill>
        <a:blip r:embed="rId73"/>
        <a:stretch/>
      </xdr:blipFill>
      <xdr:spPr>
        <a:xfrm>
          <a:off x="3507480" y="193356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19080</xdr:rowOff>
    </xdr:from>
    <xdr:to>
      <xdr:col>7</xdr:col>
      <xdr:colOff>216000</xdr:colOff>
      <xdr:row>34</xdr:row>
      <xdr:rowOff>168120</xdr:rowOff>
    </xdr:to>
    <xdr:pic>
      <xdr:nvPicPr>
        <xdr:cNvPr id="73" name="Picture 37" descr=""/>
        <xdr:cNvPicPr/>
      </xdr:nvPicPr>
      <xdr:blipFill>
        <a:blip r:embed="rId74"/>
        <a:stretch/>
      </xdr:blipFill>
      <xdr:spPr>
        <a:xfrm>
          <a:off x="4451400" y="631512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54</xdr:row>
      <xdr:rowOff>126000</xdr:rowOff>
    </xdr:from>
    <xdr:to>
      <xdr:col>7</xdr:col>
      <xdr:colOff>225360</xdr:colOff>
      <xdr:row>55</xdr:row>
      <xdr:rowOff>85680</xdr:rowOff>
    </xdr:to>
    <xdr:pic>
      <xdr:nvPicPr>
        <xdr:cNvPr id="74" name="Picture 38" descr=""/>
        <xdr:cNvPicPr/>
      </xdr:nvPicPr>
      <xdr:blipFill>
        <a:blip r:embed="rId75"/>
        <a:stretch/>
      </xdr:blipFill>
      <xdr:spPr>
        <a:xfrm>
          <a:off x="4460760" y="10060560"/>
          <a:ext cx="19692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19080</xdr:rowOff>
    </xdr:from>
    <xdr:to>
      <xdr:col>7</xdr:col>
      <xdr:colOff>225360</xdr:colOff>
      <xdr:row>10</xdr:row>
      <xdr:rowOff>158760</xdr:rowOff>
    </xdr:to>
    <xdr:pic>
      <xdr:nvPicPr>
        <xdr:cNvPr id="75" name="Picture 40" descr=""/>
        <xdr:cNvPicPr/>
      </xdr:nvPicPr>
      <xdr:blipFill>
        <a:blip r:embed="rId76"/>
        <a:stretch/>
      </xdr:blipFill>
      <xdr:spPr>
        <a:xfrm>
          <a:off x="4460760" y="194328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19080</xdr:rowOff>
    </xdr:from>
    <xdr:to>
      <xdr:col>4</xdr:col>
      <xdr:colOff>1473120</xdr:colOff>
      <xdr:row>35</xdr:row>
      <xdr:rowOff>158760</xdr:rowOff>
    </xdr:to>
    <xdr:pic>
      <xdr:nvPicPr>
        <xdr:cNvPr id="76" name="Picture 41" descr=""/>
        <xdr:cNvPicPr/>
      </xdr:nvPicPr>
      <xdr:blipFill>
        <a:blip r:embed="rId77"/>
        <a:stretch/>
      </xdr:blipFill>
      <xdr:spPr>
        <a:xfrm>
          <a:off x="3507480" y="649620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53</xdr:row>
      <xdr:rowOff>133920</xdr:rowOff>
    </xdr:from>
    <xdr:to>
      <xdr:col>4</xdr:col>
      <xdr:colOff>1473120</xdr:colOff>
      <xdr:row>54</xdr:row>
      <xdr:rowOff>84600</xdr:rowOff>
    </xdr:to>
    <xdr:pic>
      <xdr:nvPicPr>
        <xdr:cNvPr id="77" name="Picture 42" descr=""/>
        <xdr:cNvPicPr/>
      </xdr:nvPicPr>
      <xdr:blipFill>
        <a:blip r:embed="rId78"/>
        <a:stretch/>
      </xdr:blipFill>
      <xdr:spPr>
        <a:xfrm>
          <a:off x="3507480" y="9887400"/>
          <a:ext cx="19692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19080</xdr:rowOff>
    </xdr:from>
    <xdr:to>
      <xdr:col>7</xdr:col>
      <xdr:colOff>215640</xdr:colOff>
      <xdr:row>11</xdr:row>
      <xdr:rowOff>158760</xdr:rowOff>
    </xdr:to>
    <xdr:pic>
      <xdr:nvPicPr>
        <xdr:cNvPr id="78" name="Picture 44" descr=""/>
        <xdr:cNvPicPr/>
      </xdr:nvPicPr>
      <xdr:blipFill>
        <a:blip r:embed="rId79"/>
        <a:stretch/>
      </xdr:blipFill>
      <xdr:spPr>
        <a:xfrm>
          <a:off x="4460760" y="213372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19080</xdr:rowOff>
    </xdr:from>
    <xdr:to>
      <xdr:col>4</xdr:col>
      <xdr:colOff>1463400</xdr:colOff>
      <xdr:row>37</xdr:row>
      <xdr:rowOff>158760</xdr:rowOff>
    </xdr:to>
    <xdr:pic>
      <xdr:nvPicPr>
        <xdr:cNvPr id="79" name="Picture 45" descr=""/>
        <xdr:cNvPicPr/>
      </xdr:nvPicPr>
      <xdr:blipFill>
        <a:blip r:embed="rId80"/>
        <a:stretch/>
      </xdr:blipFill>
      <xdr:spPr>
        <a:xfrm>
          <a:off x="3507480" y="68580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1285920</xdr:colOff>
      <xdr:row>63</xdr:row>
      <xdr:rowOff>51480</xdr:rowOff>
    </xdr:from>
    <xdr:to>
      <xdr:col>4</xdr:col>
      <xdr:colOff>1473120</xdr:colOff>
      <xdr:row>64</xdr:row>
      <xdr:rowOff>1800</xdr:rowOff>
    </xdr:to>
    <xdr:pic>
      <xdr:nvPicPr>
        <xdr:cNvPr id="80" name="Picture 46" descr=""/>
        <xdr:cNvPicPr/>
      </xdr:nvPicPr>
      <xdr:blipFill>
        <a:blip r:embed="rId81"/>
        <a:stretch/>
      </xdr:blipFill>
      <xdr:spPr>
        <a:xfrm>
          <a:off x="3517200" y="1161468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133920</xdr:rowOff>
    </xdr:from>
    <xdr:to>
      <xdr:col>7</xdr:col>
      <xdr:colOff>225360</xdr:colOff>
      <xdr:row>54</xdr:row>
      <xdr:rowOff>93960</xdr:rowOff>
    </xdr:to>
    <xdr:pic>
      <xdr:nvPicPr>
        <xdr:cNvPr id="81" name="Picture 47" descr=""/>
        <xdr:cNvPicPr/>
      </xdr:nvPicPr>
      <xdr:blipFill>
        <a:blip r:embed="rId82"/>
        <a:stretch/>
      </xdr:blipFill>
      <xdr:spPr>
        <a:xfrm>
          <a:off x="4451400" y="9887400"/>
          <a:ext cx="20628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1305000</xdr:colOff>
      <xdr:row>55</xdr:row>
      <xdr:rowOff>117360</xdr:rowOff>
    </xdr:from>
    <xdr:to>
      <xdr:col>4</xdr:col>
      <xdr:colOff>1454040</xdr:colOff>
      <xdr:row>56</xdr:row>
      <xdr:rowOff>77040</xdr:rowOff>
    </xdr:to>
    <xdr:pic>
      <xdr:nvPicPr>
        <xdr:cNvPr id="82" name="Picture 49" descr=""/>
        <xdr:cNvPicPr/>
      </xdr:nvPicPr>
      <xdr:blipFill>
        <a:blip r:embed="rId83"/>
        <a:stretch/>
      </xdr:blipFill>
      <xdr:spPr>
        <a:xfrm>
          <a:off x="3536280" y="10233000"/>
          <a:ext cx="14904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9360</xdr:rowOff>
    </xdr:from>
    <xdr:to>
      <xdr:col>4</xdr:col>
      <xdr:colOff>1473120</xdr:colOff>
      <xdr:row>14</xdr:row>
      <xdr:rowOff>158400</xdr:rowOff>
    </xdr:to>
    <xdr:pic>
      <xdr:nvPicPr>
        <xdr:cNvPr id="83" name="Picture 50" descr=""/>
        <xdr:cNvPicPr/>
      </xdr:nvPicPr>
      <xdr:blipFill>
        <a:blip r:embed="rId84"/>
        <a:stretch/>
      </xdr:blipFill>
      <xdr:spPr>
        <a:xfrm>
          <a:off x="3498120" y="26668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19080</xdr:rowOff>
    </xdr:from>
    <xdr:to>
      <xdr:col>7</xdr:col>
      <xdr:colOff>225360</xdr:colOff>
      <xdr:row>38</xdr:row>
      <xdr:rowOff>168120</xdr:rowOff>
    </xdr:to>
    <xdr:pic>
      <xdr:nvPicPr>
        <xdr:cNvPr id="84" name="Picture 51" descr=""/>
        <xdr:cNvPicPr/>
      </xdr:nvPicPr>
      <xdr:blipFill>
        <a:blip r:embed="rId85"/>
        <a:stretch/>
      </xdr:blipFill>
      <xdr:spPr>
        <a:xfrm>
          <a:off x="4451400" y="70390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59</xdr:row>
      <xdr:rowOff>84240</xdr:rowOff>
    </xdr:from>
    <xdr:to>
      <xdr:col>7</xdr:col>
      <xdr:colOff>225360</xdr:colOff>
      <xdr:row>60</xdr:row>
      <xdr:rowOff>44280</xdr:rowOff>
    </xdr:to>
    <xdr:pic>
      <xdr:nvPicPr>
        <xdr:cNvPr id="85" name="Picture 52" descr=""/>
        <xdr:cNvPicPr/>
      </xdr:nvPicPr>
      <xdr:blipFill>
        <a:blip r:embed="rId86"/>
        <a:stretch/>
      </xdr:blipFill>
      <xdr:spPr>
        <a:xfrm>
          <a:off x="4451400" y="1092384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9360</xdr:rowOff>
    </xdr:from>
    <xdr:to>
      <xdr:col>7</xdr:col>
      <xdr:colOff>216000</xdr:colOff>
      <xdr:row>14</xdr:row>
      <xdr:rowOff>158400</xdr:rowOff>
    </xdr:to>
    <xdr:pic>
      <xdr:nvPicPr>
        <xdr:cNvPr id="86" name="Picture 54" descr=""/>
        <xdr:cNvPicPr/>
      </xdr:nvPicPr>
      <xdr:blipFill>
        <a:blip r:embed="rId87"/>
        <a:stretch/>
      </xdr:blipFill>
      <xdr:spPr>
        <a:xfrm>
          <a:off x="4451400" y="266688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19080</xdr:rowOff>
    </xdr:from>
    <xdr:to>
      <xdr:col>4</xdr:col>
      <xdr:colOff>1473120</xdr:colOff>
      <xdr:row>39</xdr:row>
      <xdr:rowOff>168120</xdr:rowOff>
    </xdr:to>
    <xdr:pic>
      <xdr:nvPicPr>
        <xdr:cNvPr id="87" name="Picture 55" descr=""/>
        <xdr:cNvPicPr/>
      </xdr:nvPicPr>
      <xdr:blipFill>
        <a:blip r:embed="rId88"/>
        <a:stretch/>
      </xdr:blipFill>
      <xdr:spPr>
        <a:xfrm>
          <a:off x="3507480" y="722016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76320</xdr:rowOff>
    </xdr:from>
    <xdr:to>
      <xdr:col>4</xdr:col>
      <xdr:colOff>1473120</xdr:colOff>
      <xdr:row>61</xdr:row>
      <xdr:rowOff>36000</xdr:rowOff>
    </xdr:to>
    <xdr:pic>
      <xdr:nvPicPr>
        <xdr:cNvPr id="88" name="Picture 56" descr=""/>
        <xdr:cNvPicPr/>
      </xdr:nvPicPr>
      <xdr:blipFill>
        <a:blip r:embed="rId89"/>
        <a:stretch/>
      </xdr:blipFill>
      <xdr:spPr>
        <a:xfrm>
          <a:off x="3507480" y="11096640"/>
          <a:ext cx="19692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19080</xdr:rowOff>
    </xdr:from>
    <xdr:to>
      <xdr:col>4</xdr:col>
      <xdr:colOff>1473120</xdr:colOff>
      <xdr:row>16</xdr:row>
      <xdr:rowOff>168120</xdr:rowOff>
    </xdr:to>
    <xdr:pic>
      <xdr:nvPicPr>
        <xdr:cNvPr id="89" name="Picture 57" descr=""/>
        <xdr:cNvPicPr/>
      </xdr:nvPicPr>
      <xdr:blipFill>
        <a:blip r:embed="rId90"/>
        <a:stretch/>
      </xdr:blipFill>
      <xdr:spPr>
        <a:xfrm>
          <a:off x="3498120" y="303840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19080</xdr:rowOff>
    </xdr:from>
    <xdr:to>
      <xdr:col>4</xdr:col>
      <xdr:colOff>1473120</xdr:colOff>
      <xdr:row>40</xdr:row>
      <xdr:rowOff>168120</xdr:rowOff>
    </xdr:to>
    <xdr:pic>
      <xdr:nvPicPr>
        <xdr:cNvPr id="90" name="Picture 58" descr=""/>
        <xdr:cNvPicPr/>
      </xdr:nvPicPr>
      <xdr:blipFill>
        <a:blip r:embed="rId91"/>
        <a:stretch/>
      </xdr:blipFill>
      <xdr:spPr>
        <a:xfrm>
          <a:off x="3498120" y="74008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59400</xdr:rowOff>
    </xdr:from>
    <xdr:to>
      <xdr:col>7</xdr:col>
      <xdr:colOff>225360</xdr:colOff>
      <xdr:row>63</xdr:row>
      <xdr:rowOff>19440</xdr:rowOff>
    </xdr:to>
    <xdr:pic>
      <xdr:nvPicPr>
        <xdr:cNvPr id="91" name="Picture 59" descr=""/>
        <xdr:cNvPicPr/>
      </xdr:nvPicPr>
      <xdr:blipFill>
        <a:blip r:embed="rId92"/>
        <a:stretch/>
      </xdr:blipFill>
      <xdr:spPr>
        <a:xfrm>
          <a:off x="4451400" y="1144188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19080</xdr:rowOff>
    </xdr:from>
    <xdr:to>
      <xdr:col>4</xdr:col>
      <xdr:colOff>1473120</xdr:colOff>
      <xdr:row>17</xdr:row>
      <xdr:rowOff>168120</xdr:rowOff>
    </xdr:to>
    <xdr:pic>
      <xdr:nvPicPr>
        <xdr:cNvPr id="92" name="Picture 60" descr=""/>
        <xdr:cNvPicPr/>
      </xdr:nvPicPr>
      <xdr:blipFill>
        <a:blip r:embed="rId93"/>
        <a:stretch/>
      </xdr:blipFill>
      <xdr:spPr>
        <a:xfrm>
          <a:off x="3498120" y="32194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9360</xdr:rowOff>
    </xdr:from>
    <xdr:to>
      <xdr:col>7</xdr:col>
      <xdr:colOff>225360</xdr:colOff>
      <xdr:row>40</xdr:row>
      <xdr:rowOff>158400</xdr:rowOff>
    </xdr:to>
    <xdr:pic>
      <xdr:nvPicPr>
        <xdr:cNvPr id="93" name="Picture 61" descr=""/>
        <xdr:cNvPicPr/>
      </xdr:nvPicPr>
      <xdr:blipFill>
        <a:blip r:embed="rId94"/>
        <a:stretch/>
      </xdr:blipFill>
      <xdr:spPr>
        <a:xfrm>
          <a:off x="4451400" y="73911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61</xdr:row>
      <xdr:rowOff>58320</xdr:rowOff>
    </xdr:from>
    <xdr:to>
      <xdr:col>7</xdr:col>
      <xdr:colOff>225360</xdr:colOff>
      <xdr:row>62</xdr:row>
      <xdr:rowOff>18000</xdr:rowOff>
    </xdr:to>
    <xdr:pic>
      <xdr:nvPicPr>
        <xdr:cNvPr id="94" name="Picture 62" descr=""/>
        <xdr:cNvPicPr/>
      </xdr:nvPicPr>
      <xdr:blipFill>
        <a:blip r:embed="rId95"/>
        <a:stretch/>
      </xdr:blipFill>
      <xdr:spPr>
        <a:xfrm>
          <a:off x="4451400" y="1125972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19080</xdr:rowOff>
    </xdr:from>
    <xdr:to>
      <xdr:col>7</xdr:col>
      <xdr:colOff>225360</xdr:colOff>
      <xdr:row>17</xdr:row>
      <xdr:rowOff>168120</xdr:rowOff>
    </xdr:to>
    <xdr:pic>
      <xdr:nvPicPr>
        <xdr:cNvPr id="95" name="Picture 63" descr=""/>
        <xdr:cNvPicPr/>
      </xdr:nvPicPr>
      <xdr:blipFill>
        <a:blip r:embed="rId96"/>
        <a:stretch/>
      </xdr:blipFill>
      <xdr:spPr>
        <a:xfrm>
          <a:off x="4451400" y="321948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19080</xdr:rowOff>
    </xdr:from>
    <xdr:to>
      <xdr:col>4</xdr:col>
      <xdr:colOff>1473120</xdr:colOff>
      <xdr:row>41</xdr:row>
      <xdr:rowOff>168120</xdr:rowOff>
    </xdr:to>
    <xdr:pic>
      <xdr:nvPicPr>
        <xdr:cNvPr id="96" name="Picture 64" descr=""/>
        <xdr:cNvPicPr/>
      </xdr:nvPicPr>
      <xdr:blipFill>
        <a:blip r:embed="rId97"/>
        <a:stretch/>
      </xdr:blipFill>
      <xdr:spPr>
        <a:xfrm>
          <a:off x="3498120" y="75819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62</xdr:row>
      <xdr:rowOff>59400</xdr:rowOff>
    </xdr:from>
    <xdr:to>
      <xdr:col>4</xdr:col>
      <xdr:colOff>1473120</xdr:colOff>
      <xdr:row>63</xdr:row>
      <xdr:rowOff>19440</xdr:rowOff>
    </xdr:to>
    <xdr:pic>
      <xdr:nvPicPr>
        <xdr:cNvPr id="97" name="Picture 65" descr=""/>
        <xdr:cNvPicPr/>
      </xdr:nvPicPr>
      <xdr:blipFill>
        <a:blip r:embed="rId98"/>
        <a:stretch/>
      </xdr:blipFill>
      <xdr:spPr>
        <a:xfrm>
          <a:off x="3498120" y="1144188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19080</xdr:rowOff>
    </xdr:from>
    <xdr:to>
      <xdr:col>7</xdr:col>
      <xdr:colOff>216000</xdr:colOff>
      <xdr:row>18</xdr:row>
      <xdr:rowOff>158760</xdr:rowOff>
    </xdr:to>
    <xdr:pic>
      <xdr:nvPicPr>
        <xdr:cNvPr id="98" name="Picture 66" descr=""/>
        <xdr:cNvPicPr/>
      </xdr:nvPicPr>
      <xdr:blipFill>
        <a:blip r:embed="rId99"/>
        <a:stretch/>
      </xdr:blipFill>
      <xdr:spPr>
        <a:xfrm>
          <a:off x="4451400" y="340056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19080</xdr:rowOff>
    </xdr:from>
    <xdr:to>
      <xdr:col>7</xdr:col>
      <xdr:colOff>216000</xdr:colOff>
      <xdr:row>19</xdr:row>
      <xdr:rowOff>158760</xdr:rowOff>
    </xdr:to>
    <xdr:pic>
      <xdr:nvPicPr>
        <xdr:cNvPr id="99" name="Picture 67" descr=""/>
        <xdr:cNvPicPr/>
      </xdr:nvPicPr>
      <xdr:blipFill>
        <a:blip r:embed="rId100"/>
        <a:stretch/>
      </xdr:blipFill>
      <xdr:spPr>
        <a:xfrm>
          <a:off x="4451400" y="358128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19080</xdr:rowOff>
    </xdr:from>
    <xdr:to>
      <xdr:col>7</xdr:col>
      <xdr:colOff>216000</xdr:colOff>
      <xdr:row>42</xdr:row>
      <xdr:rowOff>158760</xdr:rowOff>
    </xdr:to>
    <xdr:pic>
      <xdr:nvPicPr>
        <xdr:cNvPr id="100" name="Picture 68" descr=""/>
        <xdr:cNvPicPr/>
      </xdr:nvPicPr>
      <xdr:blipFill>
        <a:blip r:embed="rId101"/>
        <a:stretch/>
      </xdr:blipFill>
      <xdr:spPr>
        <a:xfrm>
          <a:off x="4451400" y="776304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1800</xdr:rowOff>
    </xdr:from>
    <xdr:to>
      <xdr:col>4</xdr:col>
      <xdr:colOff>1473120</xdr:colOff>
      <xdr:row>69</xdr:row>
      <xdr:rowOff>141480</xdr:rowOff>
    </xdr:to>
    <xdr:pic>
      <xdr:nvPicPr>
        <xdr:cNvPr id="101" name="Picture 69" descr=""/>
        <xdr:cNvPicPr/>
      </xdr:nvPicPr>
      <xdr:blipFill>
        <a:blip r:embed="rId102"/>
        <a:stretch/>
      </xdr:blipFill>
      <xdr:spPr>
        <a:xfrm>
          <a:off x="3507480" y="1265112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19080</xdr:rowOff>
    </xdr:from>
    <xdr:to>
      <xdr:col>4</xdr:col>
      <xdr:colOff>1473120</xdr:colOff>
      <xdr:row>20</xdr:row>
      <xdr:rowOff>158760</xdr:rowOff>
    </xdr:to>
    <xdr:pic>
      <xdr:nvPicPr>
        <xdr:cNvPr id="102" name="Picture 70" descr=""/>
        <xdr:cNvPicPr/>
      </xdr:nvPicPr>
      <xdr:blipFill>
        <a:blip r:embed="rId103"/>
        <a:stretch/>
      </xdr:blipFill>
      <xdr:spPr>
        <a:xfrm>
          <a:off x="3507480" y="376236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19080</xdr:rowOff>
    </xdr:from>
    <xdr:to>
      <xdr:col>7</xdr:col>
      <xdr:colOff>216000</xdr:colOff>
      <xdr:row>44</xdr:row>
      <xdr:rowOff>158760</xdr:rowOff>
    </xdr:to>
    <xdr:pic>
      <xdr:nvPicPr>
        <xdr:cNvPr id="103" name="Picture 72" descr=""/>
        <xdr:cNvPicPr/>
      </xdr:nvPicPr>
      <xdr:blipFill>
        <a:blip r:embed="rId104"/>
        <a:stretch/>
      </xdr:blipFill>
      <xdr:spPr>
        <a:xfrm>
          <a:off x="4451400" y="813456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18360</xdr:rowOff>
    </xdr:from>
    <xdr:to>
      <xdr:col>7</xdr:col>
      <xdr:colOff>216000</xdr:colOff>
      <xdr:row>67</xdr:row>
      <xdr:rowOff>158040</xdr:rowOff>
    </xdr:to>
    <xdr:pic>
      <xdr:nvPicPr>
        <xdr:cNvPr id="104" name="Picture 73" descr=""/>
        <xdr:cNvPicPr/>
      </xdr:nvPicPr>
      <xdr:blipFill>
        <a:blip r:embed="rId105"/>
        <a:stretch/>
      </xdr:blipFill>
      <xdr:spPr>
        <a:xfrm>
          <a:off x="4451400" y="1230552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19080</xdr:rowOff>
    </xdr:from>
    <xdr:to>
      <xdr:col>4</xdr:col>
      <xdr:colOff>1473120</xdr:colOff>
      <xdr:row>23</xdr:row>
      <xdr:rowOff>158760</xdr:rowOff>
    </xdr:to>
    <xdr:pic>
      <xdr:nvPicPr>
        <xdr:cNvPr id="105" name="Picture 74" descr=""/>
        <xdr:cNvPicPr/>
      </xdr:nvPicPr>
      <xdr:blipFill>
        <a:blip r:embed="rId106"/>
        <a:stretch/>
      </xdr:blipFill>
      <xdr:spPr>
        <a:xfrm>
          <a:off x="3507480" y="430524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2520</xdr:rowOff>
    </xdr:from>
    <xdr:to>
      <xdr:col>7</xdr:col>
      <xdr:colOff>216000</xdr:colOff>
      <xdr:row>47</xdr:row>
      <xdr:rowOff>142200</xdr:rowOff>
    </xdr:to>
    <xdr:pic>
      <xdr:nvPicPr>
        <xdr:cNvPr id="106" name="Picture 76" descr=""/>
        <xdr:cNvPicPr/>
      </xdr:nvPicPr>
      <xdr:blipFill>
        <a:blip r:embed="rId107"/>
        <a:stretch/>
      </xdr:blipFill>
      <xdr:spPr>
        <a:xfrm>
          <a:off x="4451400" y="867024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66</xdr:row>
      <xdr:rowOff>26640</xdr:rowOff>
    </xdr:from>
    <xdr:to>
      <xdr:col>7</xdr:col>
      <xdr:colOff>216000</xdr:colOff>
      <xdr:row>66</xdr:row>
      <xdr:rowOff>166320</xdr:rowOff>
    </xdr:to>
    <xdr:pic>
      <xdr:nvPicPr>
        <xdr:cNvPr id="107" name="Picture 77" descr=""/>
        <xdr:cNvPicPr/>
      </xdr:nvPicPr>
      <xdr:blipFill>
        <a:blip r:embed="rId108"/>
        <a:stretch/>
      </xdr:blipFill>
      <xdr:spPr>
        <a:xfrm>
          <a:off x="4451400" y="1213308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19080</xdr:rowOff>
    </xdr:from>
    <xdr:to>
      <xdr:col>4</xdr:col>
      <xdr:colOff>1463760</xdr:colOff>
      <xdr:row>45</xdr:row>
      <xdr:rowOff>158760</xdr:rowOff>
    </xdr:to>
    <xdr:pic>
      <xdr:nvPicPr>
        <xdr:cNvPr id="108" name="Picture 78" descr=""/>
        <xdr:cNvPicPr/>
      </xdr:nvPicPr>
      <xdr:blipFill>
        <a:blip r:embed="rId109"/>
        <a:stretch/>
      </xdr:blipFill>
      <xdr:spPr>
        <a:xfrm>
          <a:off x="3498120" y="832500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10440</xdr:rowOff>
    </xdr:from>
    <xdr:to>
      <xdr:col>4</xdr:col>
      <xdr:colOff>1473120</xdr:colOff>
      <xdr:row>68</xdr:row>
      <xdr:rowOff>150120</xdr:rowOff>
    </xdr:to>
    <xdr:pic>
      <xdr:nvPicPr>
        <xdr:cNvPr id="109" name="Picture 80" descr=""/>
        <xdr:cNvPicPr/>
      </xdr:nvPicPr>
      <xdr:blipFill>
        <a:blip r:embed="rId110"/>
        <a:stretch/>
      </xdr:blipFill>
      <xdr:spPr>
        <a:xfrm>
          <a:off x="3507480" y="1247868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19080</xdr:rowOff>
    </xdr:from>
    <xdr:to>
      <xdr:col>7</xdr:col>
      <xdr:colOff>216000</xdr:colOff>
      <xdr:row>20</xdr:row>
      <xdr:rowOff>158760</xdr:rowOff>
    </xdr:to>
    <xdr:pic>
      <xdr:nvPicPr>
        <xdr:cNvPr id="110" name="Picture 81" descr=""/>
        <xdr:cNvPicPr/>
      </xdr:nvPicPr>
      <xdr:blipFill>
        <a:blip r:embed="rId111"/>
        <a:stretch/>
      </xdr:blipFill>
      <xdr:spPr>
        <a:xfrm>
          <a:off x="4451400" y="376236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19080</xdr:rowOff>
    </xdr:from>
    <xdr:to>
      <xdr:col>7</xdr:col>
      <xdr:colOff>216000</xdr:colOff>
      <xdr:row>21</xdr:row>
      <xdr:rowOff>168120</xdr:rowOff>
    </xdr:to>
    <xdr:pic>
      <xdr:nvPicPr>
        <xdr:cNvPr id="111" name="Picture 82" descr=""/>
        <xdr:cNvPicPr/>
      </xdr:nvPicPr>
      <xdr:blipFill>
        <a:blip r:embed="rId112"/>
        <a:stretch/>
      </xdr:blipFill>
      <xdr:spPr>
        <a:xfrm>
          <a:off x="4451400" y="394344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19080</xdr:rowOff>
    </xdr:from>
    <xdr:to>
      <xdr:col>7</xdr:col>
      <xdr:colOff>216000</xdr:colOff>
      <xdr:row>45</xdr:row>
      <xdr:rowOff>168120</xdr:rowOff>
    </xdr:to>
    <xdr:pic>
      <xdr:nvPicPr>
        <xdr:cNvPr id="112" name="Picture 84" descr=""/>
        <xdr:cNvPicPr/>
      </xdr:nvPicPr>
      <xdr:blipFill>
        <a:blip r:embed="rId113"/>
        <a:stretch/>
      </xdr:blipFill>
      <xdr:spPr>
        <a:xfrm>
          <a:off x="4451400" y="832500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18360</xdr:rowOff>
    </xdr:from>
    <xdr:to>
      <xdr:col>4</xdr:col>
      <xdr:colOff>1473120</xdr:colOff>
      <xdr:row>67</xdr:row>
      <xdr:rowOff>167400</xdr:rowOff>
    </xdr:to>
    <xdr:pic>
      <xdr:nvPicPr>
        <xdr:cNvPr id="113" name="Picture 85" descr=""/>
        <xdr:cNvPicPr/>
      </xdr:nvPicPr>
      <xdr:blipFill>
        <a:blip r:embed="rId114"/>
        <a:stretch/>
      </xdr:blipFill>
      <xdr:spPr>
        <a:xfrm>
          <a:off x="3507480" y="1230552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19080</xdr:rowOff>
    </xdr:from>
    <xdr:to>
      <xdr:col>7</xdr:col>
      <xdr:colOff>216000</xdr:colOff>
      <xdr:row>22</xdr:row>
      <xdr:rowOff>158760</xdr:rowOff>
    </xdr:to>
    <xdr:pic>
      <xdr:nvPicPr>
        <xdr:cNvPr id="114" name="Picture 86" descr=""/>
        <xdr:cNvPicPr/>
      </xdr:nvPicPr>
      <xdr:blipFill>
        <a:blip r:embed="rId115"/>
        <a:stretch/>
      </xdr:blipFill>
      <xdr:spPr>
        <a:xfrm>
          <a:off x="4451400" y="412452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10800</xdr:rowOff>
    </xdr:from>
    <xdr:to>
      <xdr:col>7</xdr:col>
      <xdr:colOff>216000</xdr:colOff>
      <xdr:row>46</xdr:row>
      <xdr:rowOff>150480</xdr:rowOff>
    </xdr:to>
    <xdr:pic>
      <xdr:nvPicPr>
        <xdr:cNvPr id="115" name="Picture 87" descr=""/>
        <xdr:cNvPicPr/>
      </xdr:nvPicPr>
      <xdr:blipFill>
        <a:blip r:embed="rId116"/>
        <a:stretch/>
      </xdr:blipFill>
      <xdr:spPr>
        <a:xfrm>
          <a:off x="4451400" y="849744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26640</xdr:rowOff>
    </xdr:from>
    <xdr:to>
      <xdr:col>4</xdr:col>
      <xdr:colOff>1473120</xdr:colOff>
      <xdr:row>66</xdr:row>
      <xdr:rowOff>166320</xdr:rowOff>
    </xdr:to>
    <xdr:pic>
      <xdr:nvPicPr>
        <xdr:cNvPr id="116" name="Picture 88" descr=""/>
        <xdr:cNvPicPr/>
      </xdr:nvPicPr>
      <xdr:blipFill>
        <a:blip r:embed="rId117"/>
        <a:stretch/>
      </xdr:blipFill>
      <xdr:spPr>
        <a:xfrm>
          <a:off x="3507480" y="12133080"/>
          <a:ext cx="19692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65</xdr:row>
      <xdr:rowOff>35280</xdr:rowOff>
    </xdr:from>
    <xdr:to>
      <xdr:col>4</xdr:col>
      <xdr:colOff>1473120</xdr:colOff>
      <xdr:row>66</xdr:row>
      <xdr:rowOff>3240</xdr:rowOff>
    </xdr:to>
    <xdr:pic>
      <xdr:nvPicPr>
        <xdr:cNvPr id="117" name="Picture 89" descr=""/>
        <xdr:cNvPicPr/>
      </xdr:nvPicPr>
      <xdr:blipFill>
        <a:blip r:embed="rId118"/>
        <a:stretch/>
      </xdr:blipFill>
      <xdr:spPr>
        <a:xfrm>
          <a:off x="3507480" y="1196064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1080</xdr:rowOff>
    </xdr:from>
    <xdr:to>
      <xdr:col>4</xdr:col>
      <xdr:colOff>1473120</xdr:colOff>
      <xdr:row>46</xdr:row>
      <xdr:rowOff>150120</xdr:rowOff>
    </xdr:to>
    <xdr:pic>
      <xdr:nvPicPr>
        <xdr:cNvPr id="118" name="Picture 90" descr=""/>
        <xdr:cNvPicPr/>
      </xdr:nvPicPr>
      <xdr:blipFill>
        <a:blip r:embed="rId119"/>
        <a:stretch/>
      </xdr:blipFill>
      <xdr:spPr>
        <a:xfrm>
          <a:off x="3507480" y="848772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19080</xdr:rowOff>
    </xdr:from>
    <xdr:to>
      <xdr:col>7</xdr:col>
      <xdr:colOff>216000</xdr:colOff>
      <xdr:row>23</xdr:row>
      <xdr:rowOff>168120</xdr:rowOff>
    </xdr:to>
    <xdr:pic>
      <xdr:nvPicPr>
        <xdr:cNvPr id="119" name="Picture 91" descr=""/>
        <xdr:cNvPicPr/>
      </xdr:nvPicPr>
      <xdr:blipFill>
        <a:blip r:embed="rId120"/>
        <a:stretch/>
      </xdr:blipFill>
      <xdr:spPr>
        <a:xfrm>
          <a:off x="4451400" y="430524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19080</xdr:rowOff>
    </xdr:from>
    <xdr:to>
      <xdr:col>7</xdr:col>
      <xdr:colOff>206280</xdr:colOff>
      <xdr:row>24</xdr:row>
      <xdr:rowOff>149040</xdr:rowOff>
    </xdr:to>
    <xdr:pic>
      <xdr:nvPicPr>
        <xdr:cNvPr id="120" name="Picture 92" descr=""/>
        <xdr:cNvPicPr/>
      </xdr:nvPicPr>
      <xdr:blipFill>
        <a:blip r:embed="rId121"/>
        <a:stretch/>
      </xdr:blipFill>
      <xdr:spPr>
        <a:xfrm>
          <a:off x="4451400" y="4486320"/>
          <a:ext cx="187200" cy="12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175320</xdr:rowOff>
    </xdr:from>
    <xdr:to>
      <xdr:col>7</xdr:col>
      <xdr:colOff>206280</xdr:colOff>
      <xdr:row>49</xdr:row>
      <xdr:rowOff>116280</xdr:rowOff>
    </xdr:to>
    <xdr:pic>
      <xdr:nvPicPr>
        <xdr:cNvPr id="121" name="Picture 93" descr=""/>
        <xdr:cNvPicPr/>
      </xdr:nvPicPr>
      <xdr:blipFill>
        <a:blip r:embed="rId122"/>
        <a:stretch/>
      </xdr:blipFill>
      <xdr:spPr>
        <a:xfrm>
          <a:off x="4451400" y="9024120"/>
          <a:ext cx="187200" cy="1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167400</xdr:rowOff>
    </xdr:from>
    <xdr:to>
      <xdr:col>4</xdr:col>
      <xdr:colOff>1463400</xdr:colOff>
      <xdr:row>73</xdr:row>
      <xdr:rowOff>108000</xdr:rowOff>
    </xdr:to>
    <xdr:pic>
      <xdr:nvPicPr>
        <xdr:cNvPr id="122" name="Picture 94" descr=""/>
        <xdr:cNvPicPr/>
      </xdr:nvPicPr>
      <xdr:blipFill>
        <a:blip r:embed="rId123"/>
        <a:stretch/>
      </xdr:blipFill>
      <xdr:spPr>
        <a:xfrm>
          <a:off x="3507480" y="13359600"/>
          <a:ext cx="187200" cy="12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19080</xdr:rowOff>
    </xdr:from>
    <xdr:to>
      <xdr:col>4</xdr:col>
      <xdr:colOff>1463400</xdr:colOff>
      <xdr:row>25</xdr:row>
      <xdr:rowOff>158760</xdr:rowOff>
    </xdr:to>
    <xdr:pic>
      <xdr:nvPicPr>
        <xdr:cNvPr id="123" name="Picture 95" descr=""/>
        <xdr:cNvPicPr/>
      </xdr:nvPicPr>
      <xdr:blipFill>
        <a:blip r:embed="rId124"/>
        <a:stretch/>
      </xdr:blipFill>
      <xdr:spPr>
        <a:xfrm>
          <a:off x="3507480" y="46674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2520</xdr:rowOff>
    </xdr:from>
    <xdr:to>
      <xdr:col>7</xdr:col>
      <xdr:colOff>206280</xdr:colOff>
      <xdr:row>48</xdr:row>
      <xdr:rowOff>133920</xdr:rowOff>
    </xdr:to>
    <xdr:pic>
      <xdr:nvPicPr>
        <xdr:cNvPr id="124" name="Picture 96" descr=""/>
        <xdr:cNvPicPr/>
      </xdr:nvPicPr>
      <xdr:blipFill>
        <a:blip r:embed="rId125"/>
        <a:stretch/>
      </xdr:blipFill>
      <xdr:spPr>
        <a:xfrm>
          <a:off x="4451400" y="885132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72</xdr:row>
      <xdr:rowOff>158040</xdr:rowOff>
    </xdr:from>
    <xdr:to>
      <xdr:col>7</xdr:col>
      <xdr:colOff>206280</xdr:colOff>
      <xdr:row>73</xdr:row>
      <xdr:rowOff>108360</xdr:rowOff>
    </xdr:to>
    <xdr:pic>
      <xdr:nvPicPr>
        <xdr:cNvPr id="125" name="Picture 97" descr=""/>
        <xdr:cNvPicPr/>
      </xdr:nvPicPr>
      <xdr:blipFill>
        <a:blip r:embed="rId126"/>
        <a:stretch/>
      </xdr:blipFill>
      <xdr:spPr>
        <a:xfrm>
          <a:off x="4451400" y="1335024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9360</xdr:rowOff>
    </xdr:from>
    <xdr:to>
      <xdr:col>7</xdr:col>
      <xdr:colOff>216000</xdr:colOff>
      <xdr:row>25</xdr:row>
      <xdr:rowOff>158400</xdr:rowOff>
    </xdr:to>
    <xdr:pic>
      <xdr:nvPicPr>
        <xdr:cNvPr id="126" name="Picture 98" descr=""/>
        <xdr:cNvPicPr/>
      </xdr:nvPicPr>
      <xdr:blipFill>
        <a:blip r:embed="rId127"/>
        <a:stretch/>
      </xdr:blipFill>
      <xdr:spPr>
        <a:xfrm>
          <a:off x="4451400" y="465768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73</xdr:row>
      <xdr:rowOff>149760</xdr:rowOff>
    </xdr:from>
    <xdr:to>
      <xdr:col>4</xdr:col>
      <xdr:colOff>1463760</xdr:colOff>
      <xdr:row>74</xdr:row>
      <xdr:rowOff>109800</xdr:rowOff>
    </xdr:to>
    <xdr:pic>
      <xdr:nvPicPr>
        <xdr:cNvPr id="127" name="Picture 99" descr=""/>
        <xdr:cNvPicPr/>
      </xdr:nvPicPr>
      <xdr:blipFill>
        <a:blip r:embed="rId128"/>
        <a:stretch/>
      </xdr:blipFill>
      <xdr:spPr>
        <a:xfrm>
          <a:off x="3498120" y="13523040"/>
          <a:ext cx="19692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48</xdr:row>
      <xdr:rowOff>175320</xdr:rowOff>
    </xdr:from>
    <xdr:to>
      <xdr:col>4</xdr:col>
      <xdr:colOff>1463760</xdr:colOff>
      <xdr:row>49</xdr:row>
      <xdr:rowOff>135360</xdr:rowOff>
    </xdr:to>
    <xdr:pic>
      <xdr:nvPicPr>
        <xdr:cNvPr id="128" name="Picture 100" descr=""/>
        <xdr:cNvPicPr/>
      </xdr:nvPicPr>
      <xdr:blipFill>
        <a:blip r:embed="rId129"/>
        <a:stretch/>
      </xdr:blipFill>
      <xdr:spPr>
        <a:xfrm>
          <a:off x="3498120" y="9024120"/>
          <a:ext cx="19692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9360</xdr:rowOff>
    </xdr:from>
    <xdr:to>
      <xdr:col>7</xdr:col>
      <xdr:colOff>206280</xdr:colOff>
      <xdr:row>26</xdr:row>
      <xdr:rowOff>149040</xdr:rowOff>
    </xdr:to>
    <xdr:pic>
      <xdr:nvPicPr>
        <xdr:cNvPr id="129" name="Picture 101" descr=""/>
        <xdr:cNvPicPr/>
      </xdr:nvPicPr>
      <xdr:blipFill>
        <a:blip r:embed="rId130"/>
        <a:stretch/>
      </xdr:blipFill>
      <xdr:spPr>
        <a:xfrm>
          <a:off x="4451400" y="483840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50</xdr:row>
      <xdr:rowOff>158760</xdr:rowOff>
    </xdr:from>
    <xdr:to>
      <xdr:col>4</xdr:col>
      <xdr:colOff>1463400</xdr:colOff>
      <xdr:row>51</xdr:row>
      <xdr:rowOff>109080</xdr:rowOff>
    </xdr:to>
    <xdr:pic>
      <xdr:nvPicPr>
        <xdr:cNvPr id="130" name="Picture 102" descr=""/>
        <xdr:cNvPicPr/>
      </xdr:nvPicPr>
      <xdr:blipFill>
        <a:blip r:embed="rId131"/>
        <a:stretch/>
      </xdr:blipFill>
      <xdr:spPr>
        <a:xfrm>
          <a:off x="3507480" y="9369360"/>
          <a:ext cx="187200" cy="13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174600</xdr:rowOff>
    </xdr:from>
    <xdr:to>
      <xdr:col>4</xdr:col>
      <xdr:colOff>1463400</xdr:colOff>
      <xdr:row>71</xdr:row>
      <xdr:rowOff>125280</xdr:rowOff>
    </xdr:to>
    <xdr:pic>
      <xdr:nvPicPr>
        <xdr:cNvPr id="131" name="Picture 103" descr=""/>
        <xdr:cNvPicPr/>
      </xdr:nvPicPr>
      <xdr:blipFill>
        <a:blip r:embed="rId132"/>
        <a:stretch/>
      </xdr:blipFill>
      <xdr:spPr>
        <a:xfrm>
          <a:off x="3507480" y="13004640"/>
          <a:ext cx="18720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19080</xdr:rowOff>
    </xdr:from>
    <xdr:to>
      <xdr:col>4</xdr:col>
      <xdr:colOff>1473120</xdr:colOff>
      <xdr:row>26</xdr:row>
      <xdr:rowOff>168120</xdr:rowOff>
    </xdr:to>
    <xdr:pic>
      <xdr:nvPicPr>
        <xdr:cNvPr id="132" name="Picture 104" descr=""/>
        <xdr:cNvPicPr/>
      </xdr:nvPicPr>
      <xdr:blipFill>
        <a:blip r:embed="rId133"/>
        <a:stretch/>
      </xdr:blipFill>
      <xdr:spPr>
        <a:xfrm>
          <a:off x="3498120" y="484812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167040</xdr:rowOff>
    </xdr:from>
    <xdr:to>
      <xdr:col>7</xdr:col>
      <xdr:colOff>225360</xdr:colOff>
      <xdr:row>50</xdr:row>
      <xdr:rowOff>126720</xdr:rowOff>
    </xdr:to>
    <xdr:pic>
      <xdr:nvPicPr>
        <xdr:cNvPr id="133" name="Picture 105" descr=""/>
        <xdr:cNvPicPr/>
      </xdr:nvPicPr>
      <xdr:blipFill>
        <a:blip r:embed="rId134"/>
        <a:stretch/>
      </xdr:blipFill>
      <xdr:spPr>
        <a:xfrm>
          <a:off x="4451400" y="9196920"/>
          <a:ext cx="20628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71</xdr:row>
      <xdr:rowOff>166680</xdr:rowOff>
    </xdr:from>
    <xdr:to>
      <xdr:col>7</xdr:col>
      <xdr:colOff>225360</xdr:colOff>
      <xdr:row>72</xdr:row>
      <xdr:rowOff>126360</xdr:rowOff>
    </xdr:to>
    <xdr:pic>
      <xdr:nvPicPr>
        <xdr:cNvPr id="134" name="Picture 106" descr=""/>
        <xdr:cNvPicPr/>
      </xdr:nvPicPr>
      <xdr:blipFill>
        <a:blip r:embed="rId135"/>
        <a:stretch/>
      </xdr:blipFill>
      <xdr:spPr>
        <a:xfrm>
          <a:off x="4451400" y="1317780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19080</xdr:rowOff>
    </xdr:from>
    <xdr:to>
      <xdr:col>7</xdr:col>
      <xdr:colOff>206280</xdr:colOff>
      <xdr:row>28</xdr:row>
      <xdr:rowOff>158760</xdr:rowOff>
    </xdr:to>
    <xdr:pic>
      <xdr:nvPicPr>
        <xdr:cNvPr id="135" name="Picture 107" descr=""/>
        <xdr:cNvPicPr/>
      </xdr:nvPicPr>
      <xdr:blipFill>
        <a:blip r:embed="rId136"/>
        <a:stretch/>
      </xdr:blipFill>
      <xdr:spPr>
        <a:xfrm>
          <a:off x="4451400" y="5210280"/>
          <a:ext cx="187200" cy="139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142200</xdr:rowOff>
    </xdr:from>
    <xdr:to>
      <xdr:col>7</xdr:col>
      <xdr:colOff>206280</xdr:colOff>
      <xdr:row>53</xdr:row>
      <xdr:rowOff>92520</xdr:rowOff>
    </xdr:to>
    <xdr:pic>
      <xdr:nvPicPr>
        <xdr:cNvPr id="136" name="Picture 108" descr=""/>
        <xdr:cNvPicPr/>
      </xdr:nvPicPr>
      <xdr:blipFill>
        <a:blip r:embed="rId137"/>
        <a:stretch/>
      </xdr:blipFill>
      <xdr:spPr>
        <a:xfrm>
          <a:off x="4451400" y="9714960"/>
          <a:ext cx="187200" cy="131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75</xdr:row>
      <xdr:rowOff>133200</xdr:rowOff>
    </xdr:from>
    <xdr:to>
      <xdr:col>4</xdr:col>
      <xdr:colOff>1463400</xdr:colOff>
      <xdr:row>76</xdr:row>
      <xdr:rowOff>83880</xdr:rowOff>
    </xdr:to>
    <xdr:pic>
      <xdr:nvPicPr>
        <xdr:cNvPr id="137" name="Picture 109" descr=""/>
        <xdr:cNvPicPr/>
      </xdr:nvPicPr>
      <xdr:blipFill>
        <a:blip r:embed="rId138"/>
        <a:stretch/>
      </xdr:blipFill>
      <xdr:spPr>
        <a:xfrm>
          <a:off x="3507480" y="13868280"/>
          <a:ext cx="187200" cy="13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19080</xdr:rowOff>
    </xdr:from>
    <xdr:to>
      <xdr:col>7</xdr:col>
      <xdr:colOff>225360</xdr:colOff>
      <xdr:row>29</xdr:row>
      <xdr:rowOff>168120</xdr:rowOff>
    </xdr:to>
    <xdr:pic>
      <xdr:nvPicPr>
        <xdr:cNvPr id="138" name="Picture 111" descr=""/>
        <xdr:cNvPicPr/>
      </xdr:nvPicPr>
      <xdr:blipFill>
        <a:blip r:embed="rId139"/>
        <a:stretch/>
      </xdr:blipFill>
      <xdr:spPr>
        <a:xfrm>
          <a:off x="4451400" y="5391360"/>
          <a:ext cx="20628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74</xdr:row>
      <xdr:rowOff>141840</xdr:rowOff>
    </xdr:from>
    <xdr:to>
      <xdr:col>4</xdr:col>
      <xdr:colOff>1463760</xdr:colOff>
      <xdr:row>75</xdr:row>
      <xdr:rowOff>101520</xdr:rowOff>
    </xdr:to>
    <xdr:pic>
      <xdr:nvPicPr>
        <xdr:cNvPr id="139" name="Picture 112" descr=""/>
        <xdr:cNvPicPr/>
      </xdr:nvPicPr>
      <xdr:blipFill>
        <a:blip r:embed="rId140"/>
        <a:stretch/>
      </xdr:blipFill>
      <xdr:spPr>
        <a:xfrm>
          <a:off x="3488760" y="13695840"/>
          <a:ext cx="206280" cy="14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1257480</xdr:colOff>
      <xdr:row>52</xdr:row>
      <xdr:rowOff>142200</xdr:rowOff>
    </xdr:from>
    <xdr:to>
      <xdr:col>4</xdr:col>
      <xdr:colOff>1463760</xdr:colOff>
      <xdr:row>53</xdr:row>
      <xdr:rowOff>101880</xdr:rowOff>
    </xdr:to>
    <xdr:pic>
      <xdr:nvPicPr>
        <xdr:cNvPr id="140" name="Picture 113" descr=""/>
        <xdr:cNvPicPr/>
      </xdr:nvPicPr>
      <xdr:blipFill>
        <a:blip r:embed="rId141"/>
        <a:stretch/>
      </xdr:blipFill>
      <xdr:spPr>
        <a:xfrm>
          <a:off x="3488760" y="9714960"/>
          <a:ext cx="206280" cy="140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19080</xdr:rowOff>
    </xdr:from>
    <xdr:to>
      <xdr:col>4</xdr:col>
      <xdr:colOff>1473120</xdr:colOff>
      <xdr:row>29</xdr:row>
      <xdr:rowOff>168120</xdr:rowOff>
    </xdr:to>
    <xdr:pic>
      <xdr:nvPicPr>
        <xdr:cNvPr id="141" name="Picture 114" descr=""/>
        <xdr:cNvPicPr/>
      </xdr:nvPicPr>
      <xdr:blipFill>
        <a:blip r:embed="rId142"/>
        <a:stretch/>
      </xdr:blipFill>
      <xdr:spPr>
        <a:xfrm>
          <a:off x="3507480" y="5391360"/>
          <a:ext cx="196920" cy="1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51</xdr:row>
      <xdr:rowOff>150480</xdr:rowOff>
    </xdr:from>
    <xdr:to>
      <xdr:col>7</xdr:col>
      <xdr:colOff>216000</xdr:colOff>
      <xdr:row>52</xdr:row>
      <xdr:rowOff>110520</xdr:rowOff>
    </xdr:to>
    <xdr:pic>
      <xdr:nvPicPr>
        <xdr:cNvPr id="142" name="Picture 195" descr=""/>
        <xdr:cNvPicPr/>
      </xdr:nvPicPr>
      <xdr:blipFill>
        <a:blip r:embed="rId143"/>
        <a:stretch/>
      </xdr:blipFill>
      <xdr:spPr>
        <a:xfrm>
          <a:off x="4451400" y="9542160"/>
          <a:ext cx="196920" cy="14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75</xdr:row>
      <xdr:rowOff>133200</xdr:rowOff>
    </xdr:from>
    <xdr:to>
      <xdr:col>7</xdr:col>
      <xdr:colOff>216000</xdr:colOff>
      <xdr:row>76</xdr:row>
      <xdr:rowOff>93240</xdr:rowOff>
    </xdr:to>
    <xdr:pic>
      <xdr:nvPicPr>
        <xdr:cNvPr id="143" name="Picture 196" descr=""/>
        <xdr:cNvPicPr/>
      </xdr:nvPicPr>
      <xdr:blipFill>
        <a:blip r:embed="rId144"/>
        <a:stretch/>
      </xdr:blipFill>
      <xdr:spPr>
        <a:xfrm>
          <a:off x="4451400" y="13868280"/>
          <a:ext cx="196920" cy="141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excely.com/football/2026-fifa-world-cup-schedule.html" TargetMode="External"/><Relationship Id="rId2" Type="http://schemas.openxmlformats.org/officeDocument/2006/relationships/hyperlink" Target="http://www.wallchart.io/football/world-cup-2026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36" activePane="bottomRight" state="frozen"/>
      <selection pane="topLeft" activeCell="A1" activeCellId="0" sqref="A1"/>
      <selection pane="topRight" activeCell="B1" activeCellId="0" sqref="B1"/>
      <selection pane="bottomLeft" activeCell="A136" activeCellId="0" sqref="A136"/>
      <selection pane="bottomRight" activeCell="A2" activeCellId="0" sqref="A2"/>
    </sheetView>
  </sheetViews>
  <sheetFormatPr defaultColWidth="14.00390625" defaultRowHeight="14.25" zeroHeight="false" outlineLevelRow="0" outlineLevelCol="0"/>
  <cols>
    <col collapsed="false" customWidth="true" hidden="false" outlineLevel="0" max="1" min="1" style="1" width="24.11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6.5" hidden="false" customHeight="true" outlineLevel="0" collapsed="false">
      <c r="A2" s="1" t="s">
        <v>42</v>
      </c>
      <c r="B2" s="1" t="s">
        <v>43</v>
      </c>
      <c r="C2" s="2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3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  <c r="AC2" s="2" t="s">
        <v>70</v>
      </c>
      <c r="AD2" s="1" t="s">
        <v>71</v>
      </c>
      <c r="AE2" s="1" t="s">
        <v>72</v>
      </c>
      <c r="AF2" s="1" t="s">
        <v>73</v>
      </c>
      <c r="AG2" s="1" t="s">
        <v>74</v>
      </c>
      <c r="AH2" s="1" t="s">
        <v>75</v>
      </c>
      <c r="AI2" s="1" t="s">
        <v>76</v>
      </c>
      <c r="AJ2" s="1" t="s">
        <v>77</v>
      </c>
      <c r="AK2" s="1" t="s">
        <v>78</v>
      </c>
      <c r="AL2" s="2" t="s">
        <v>79</v>
      </c>
      <c r="AM2" s="1" t="s">
        <v>80</v>
      </c>
      <c r="AN2" s="1" t="s">
        <v>81</v>
      </c>
      <c r="AO2" s="4" t="s">
        <v>82</v>
      </c>
      <c r="AP2" s="2" t="s">
        <v>83</v>
      </c>
    </row>
    <row r="3" customFormat="false" ht="14.25" hidden="false" customHeight="true" outlineLevel="0" collapsed="false">
      <c r="A3" s="1" t="s">
        <v>84</v>
      </c>
      <c r="B3" s="1" t="s">
        <v>85</v>
      </c>
      <c r="C3" s="2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3" t="s">
        <v>91</v>
      </c>
      <c r="I3" s="3" t="s">
        <v>92</v>
      </c>
      <c r="J3" s="1" t="s">
        <v>93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2" t="s">
        <v>102</v>
      </c>
      <c r="T3" s="1" t="s">
        <v>103</v>
      </c>
      <c r="U3" s="1" t="s">
        <v>104</v>
      </c>
      <c r="V3" s="1" t="s">
        <v>105</v>
      </c>
      <c r="W3" s="1" t="s">
        <v>106</v>
      </c>
      <c r="X3" s="3" t="s">
        <v>107</v>
      </c>
      <c r="Y3" s="1" t="s">
        <v>108</v>
      </c>
      <c r="Z3" s="1" t="s">
        <v>109</v>
      </c>
      <c r="AA3" s="1" t="s">
        <v>110</v>
      </c>
      <c r="AB3" s="1" t="s">
        <v>111</v>
      </c>
      <c r="AC3" s="2" t="s">
        <v>112</v>
      </c>
      <c r="AD3" s="1" t="s">
        <v>113</v>
      </c>
      <c r="AE3" s="1" t="s">
        <v>114</v>
      </c>
      <c r="AF3" s="1" t="s">
        <v>115</v>
      </c>
      <c r="AG3" s="1" t="s">
        <v>116</v>
      </c>
      <c r="AH3" s="1" t="s">
        <v>117</v>
      </c>
      <c r="AI3" s="1" t="s">
        <v>118</v>
      </c>
      <c r="AJ3" s="1" t="s">
        <v>114</v>
      </c>
      <c r="AK3" s="1" t="s">
        <v>119</v>
      </c>
      <c r="AL3" s="2" t="s">
        <v>120</v>
      </c>
      <c r="AM3" s="1" t="s">
        <v>121</v>
      </c>
      <c r="AN3" s="1" t="s">
        <v>122</v>
      </c>
      <c r="AO3" s="1" t="s">
        <v>123</v>
      </c>
      <c r="AP3" s="2" t="s">
        <v>124</v>
      </c>
    </row>
    <row r="4" customFormat="false" ht="16.5" hidden="false" customHeight="true" outlineLevel="0" collapsed="false">
      <c r="A4" s="1" t="s">
        <v>125</v>
      </c>
      <c r="B4" s="1" t="s">
        <v>126</v>
      </c>
      <c r="C4" s="2" t="s">
        <v>127</v>
      </c>
      <c r="D4" s="1" t="s">
        <v>128</v>
      </c>
      <c r="E4" s="1" t="s">
        <v>129</v>
      </c>
      <c r="F4" s="1" t="s">
        <v>130</v>
      </c>
      <c r="G4" s="1" t="s">
        <v>131</v>
      </c>
      <c r="H4" s="1" t="s">
        <v>132</v>
      </c>
      <c r="I4" s="3" t="s">
        <v>133</v>
      </c>
      <c r="J4" s="1" t="s">
        <v>134</v>
      </c>
      <c r="K4" s="1" t="s">
        <v>135</v>
      </c>
      <c r="L4" s="1" t="s">
        <v>136</v>
      </c>
      <c r="M4" s="1" t="s">
        <v>137</v>
      </c>
      <c r="N4" s="1" t="s">
        <v>138</v>
      </c>
      <c r="O4" s="1" t="s">
        <v>139</v>
      </c>
      <c r="P4" s="1" t="s">
        <v>140</v>
      </c>
      <c r="Q4" s="1" t="s">
        <v>141</v>
      </c>
      <c r="R4" s="1" t="s">
        <v>142</v>
      </c>
      <c r="S4" s="2" t="s">
        <v>143</v>
      </c>
      <c r="T4" s="1" t="s">
        <v>144</v>
      </c>
      <c r="U4" s="1" t="s">
        <v>145</v>
      </c>
      <c r="V4" s="1" t="s">
        <v>146</v>
      </c>
      <c r="W4" s="1" t="s">
        <v>147</v>
      </c>
      <c r="X4" s="1" t="s">
        <v>148</v>
      </c>
      <c r="Y4" s="1" t="s">
        <v>149</v>
      </c>
      <c r="Z4" s="1" t="s">
        <v>150</v>
      </c>
      <c r="AA4" s="1" t="s">
        <v>151</v>
      </c>
      <c r="AB4" s="1" t="s">
        <v>152</v>
      </c>
      <c r="AC4" s="2" t="s">
        <v>153</v>
      </c>
      <c r="AD4" s="1" t="s">
        <v>154</v>
      </c>
      <c r="AE4" s="1" t="s">
        <v>155</v>
      </c>
      <c r="AF4" s="1" t="s">
        <v>156</v>
      </c>
      <c r="AG4" s="1" t="s">
        <v>157</v>
      </c>
      <c r="AH4" s="1" t="s">
        <v>158</v>
      </c>
      <c r="AI4" s="1" t="s">
        <v>159</v>
      </c>
      <c r="AJ4" s="1" t="s">
        <v>160</v>
      </c>
      <c r="AK4" s="1" t="s">
        <v>161</v>
      </c>
      <c r="AL4" s="2" t="s">
        <v>162</v>
      </c>
      <c r="AM4" s="1" t="s">
        <v>163</v>
      </c>
      <c r="AN4" s="1" t="s">
        <v>164</v>
      </c>
      <c r="AO4" s="1" t="s">
        <v>165</v>
      </c>
      <c r="AP4" s="2" t="s">
        <v>166</v>
      </c>
    </row>
    <row r="5" customFormat="false" ht="16.5" hidden="false" customHeight="true" outlineLevel="0" collapsed="false">
      <c r="A5" s="1" t="s">
        <v>167</v>
      </c>
      <c r="B5" s="1" t="s">
        <v>168</v>
      </c>
      <c r="C5" s="2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3" t="s">
        <v>175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181</v>
      </c>
      <c r="P5" s="1" t="s">
        <v>182</v>
      </c>
      <c r="Q5" s="1" t="s">
        <v>183</v>
      </c>
      <c r="R5" s="1" t="s">
        <v>184</v>
      </c>
      <c r="S5" s="2" t="s">
        <v>185</v>
      </c>
      <c r="T5" s="1" t="s">
        <v>186</v>
      </c>
      <c r="U5" s="1" t="s">
        <v>187</v>
      </c>
      <c r="V5" s="1" t="s">
        <v>188</v>
      </c>
      <c r="W5" s="1" t="s">
        <v>189</v>
      </c>
      <c r="X5" s="1" t="s">
        <v>190</v>
      </c>
      <c r="Y5" s="1" t="s">
        <v>191</v>
      </c>
      <c r="Z5" s="1" t="s">
        <v>192</v>
      </c>
      <c r="AA5" s="1" t="s">
        <v>193</v>
      </c>
      <c r="AB5" s="1" t="s">
        <v>178</v>
      </c>
      <c r="AC5" s="2" t="s">
        <v>194</v>
      </c>
      <c r="AD5" s="1" t="s">
        <v>195</v>
      </c>
      <c r="AE5" s="1" t="s">
        <v>196</v>
      </c>
      <c r="AF5" s="1" t="s">
        <v>197</v>
      </c>
      <c r="AG5" s="1" t="s">
        <v>176</v>
      </c>
      <c r="AH5" s="1" t="s">
        <v>198</v>
      </c>
      <c r="AI5" s="1" t="s">
        <v>199</v>
      </c>
      <c r="AJ5" s="1" t="s">
        <v>200</v>
      </c>
      <c r="AK5" s="1" t="s">
        <v>201</v>
      </c>
      <c r="AL5" s="2" t="s">
        <v>202</v>
      </c>
      <c r="AM5" s="1" t="s">
        <v>203</v>
      </c>
      <c r="AN5" s="1" t="s">
        <v>204</v>
      </c>
      <c r="AO5" s="1" t="s">
        <v>205</v>
      </c>
      <c r="AP5" s="2" t="s">
        <v>206</v>
      </c>
    </row>
    <row r="6" customFormat="false" ht="14.25" hidden="false" customHeight="true" outlineLevel="0" collapsed="false">
      <c r="A6" s="1" t="s">
        <v>207</v>
      </c>
      <c r="B6" s="1" t="s">
        <v>208</v>
      </c>
      <c r="C6" s="2" t="s">
        <v>209</v>
      </c>
      <c r="D6" s="1" t="s">
        <v>210</v>
      </c>
      <c r="E6" s="1" t="s">
        <v>211</v>
      </c>
      <c r="F6" s="1" t="s">
        <v>212</v>
      </c>
      <c r="G6" s="1" t="s">
        <v>213</v>
      </c>
      <c r="H6" s="3" t="s">
        <v>214</v>
      </c>
      <c r="I6" s="3" t="s">
        <v>215</v>
      </c>
      <c r="J6" s="1" t="s">
        <v>216</v>
      </c>
      <c r="K6" s="1" t="s">
        <v>217</v>
      </c>
      <c r="L6" s="1" t="s">
        <v>218</v>
      </c>
      <c r="M6" s="1" t="s">
        <v>219</v>
      </c>
      <c r="N6" s="1" t="s">
        <v>220</v>
      </c>
      <c r="O6" s="1" t="s">
        <v>221</v>
      </c>
      <c r="P6" s="1" t="s">
        <v>222</v>
      </c>
      <c r="Q6" s="1" t="s">
        <v>223</v>
      </c>
      <c r="R6" s="1" t="s">
        <v>224</v>
      </c>
      <c r="S6" s="2" t="s">
        <v>225</v>
      </c>
      <c r="T6" s="1" t="s">
        <v>226</v>
      </c>
      <c r="U6" s="1" t="s">
        <v>227</v>
      </c>
      <c r="V6" s="1" t="s">
        <v>228</v>
      </c>
      <c r="W6" s="1" t="s">
        <v>229</v>
      </c>
      <c r="X6" s="3" t="s">
        <v>230</v>
      </c>
      <c r="Y6" s="1" t="s">
        <v>231</v>
      </c>
      <c r="Z6" s="1" t="s">
        <v>232</v>
      </c>
      <c r="AA6" s="1" t="s">
        <v>233</v>
      </c>
      <c r="AB6" s="1" t="s">
        <v>218</v>
      </c>
      <c r="AC6" s="2" t="s">
        <v>234</v>
      </c>
      <c r="AD6" s="1" t="s">
        <v>235</v>
      </c>
      <c r="AE6" s="1" t="s">
        <v>236</v>
      </c>
      <c r="AF6" s="1" t="s">
        <v>218</v>
      </c>
      <c r="AG6" s="1" t="s">
        <v>216</v>
      </c>
      <c r="AH6" s="1" t="s">
        <v>217</v>
      </c>
      <c r="AI6" s="1" t="s">
        <v>237</v>
      </c>
      <c r="AJ6" s="1" t="s">
        <v>238</v>
      </c>
      <c r="AK6" s="1" t="s">
        <v>239</v>
      </c>
      <c r="AL6" s="2" t="s">
        <v>240</v>
      </c>
      <c r="AM6" s="1" t="s">
        <v>241</v>
      </c>
      <c r="AN6" s="1" t="s">
        <v>242</v>
      </c>
      <c r="AO6" s="1" t="s">
        <v>243</v>
      </c>
      <c r="AP6" s="2" t="s">
        <v>244</v>
      </c>
    </row>
    <row r="7" customFormat="false" ht="16.5" hidden="false" customHeight="true" outlineLevel="0" collapsed="false">
      <c r="A7" s="1" t="s">
        <v>245</v>
      </c>
      <c r="B7" s="1" t="s">
        <v>246</v>
      </c>
      <c r="C7" s="2" t="s">
        <v>247</v>
      </c>
      <c r="D7" s="1" t="s">
        <v>248</v>
      </c>
      <c r="E7" s="1" t="s">
        <v>249</v>
      </c>
      <c r="F7" s="1" t="s">
        <v>250</v>
      </c>
      <c r="G7" s="1" t="s">
        <v>251</v>
      </c>
      <c r="H7" s="3" t="s">
        <v>252</v>
      </c>
      <c r="I7" s="3" t="s">
        <v>253</v>
      </c>
      <c r="J7" s="1" t="s">
        <v>254</v>
      </c>
      <c r="K7" s="1" t="s">
        <v>255</v>
      </c>
      <c r="L7" s="1" t="s">
        <v>256</v>
      </c>
      <c r="M7" s="1" t="s">
        <v>257</v>
      </c>
      <c r="N7" s="1" t="s">
        <v>258</v>
      </c>
      <c r="O7" s="1" t="s">
        <v>259</v>
      </c>
      <c r="P7" s="1" t="s">
        <v>260</v>
      </c>
      <c r="Q7" s="1" t="s">
        <v>261</v>
      </c>
      <c r="R7" s="1" t="s">
        <v>262</v>
      </c>
      <c r="S7" s="2" t="s">
        <v>263</v>
      </c>
      <c r="T7" s="1" t="s">
        <v>264</v>
      </c>
      <c r="U7" s="1" t="s">
        <v>265</v>
      </c>
      <c r="V7" s="1" t="s">
        <v>266</v>
      </c>
      <c r="W7" s="1" t="s">
        <v>267</v>
      </c>
      <c r="X7" s="1" t="s">
        <v>268</v>
      </c>
      <c r="Y7" s="1" t="s">
        <v>269</v>
      </c>
      <c r="Z7" s="1" t="s">
        <v>270</v>
      </c>
      <c r="AA7" s="1" t="s">
        <v>271</v>
      </c>
      <c r="AB7" s="1" t="s">
        <v>272</v>
      </c>
      <c r="AC7" s="2" t="s">
        <v>273</v>
      </c>
      <c r="AD7" s="1" t="s">
        <v>274</v>
      </c>
      <c r="AE7" s="1" t="s">
        <v>275</v>
      </c>
      <c r="AF7" s="1" t="s">
        <v>276</v>
      </c>
      <c r="AG7" s="1" t="s">
        <v>254</v>
      </c>
      <c r="AH7" s="1" t="s">
        <v>277</v>
      </c>
      <c r="AI7" s="1" t="s">
        <v>278</v>
      </c>
      <c r="AJ7" s="1" t="s">
        <v>279</v>
      </c>
      <c r="AK7" s="1" t="s">
        <v>280</v>
      </c>
      <c r="AL7" s="2" t="s">
        <v>281</v>
      </c>
      <c r="AM7" s="1" t="s">
        <v>282</v>
      </c>
      <c r="AN7" s="1" t="s">
        <v>283</v>
      </c>
      <c r="AO7" s="1" t="s">
        <v>284</v>
      </c>
      <c r="AP7" s="2" t="s">
        <v>285</v>
      </c>
    </row>
    <row r="8" customFormat="false" ht="14.25" hidden="false" customHeight="true" outlineLevel="0" collapsed="false">
      <c r="A8" s="1" t="s">
        <v>286</v>
      </c>
      <c r="B8" s="1" t="s">
        <v>287</v>
      </c>
      <c r="C8" s="2" t="s">
        <v>288</v>
      </c>
      <c r="D8" s="1" t="s">
        <v>289</v>
      </c>
      <c r="E8" s="1" t="s">
        <v>286</v>
      </c>
      <c r="F8" s="1" t="s">
        <v>290</v>
      </c>
      <c r="G8" s="1" t="s">
        <v>286</v>
      </c>
      <c r="H8" s="3" t="s">
        <v>291</v>
      </c>
      <c r="I8" s="3" t="s">
        <v>292</v>
      </c>
      <c r="J8" s="1" t="s">
        <v>293</v>
      </c>
      <c r="K8" s="1" t="s">
        <v>294</v>
      </c>
      <c r="L8" s="1" t="s">
        <v>293</v>
      </c>
      <c r="M8" s="1" t="s">
        <v>293</v>
      </c>
      <c r="N8" s="1" t="s">
        <v>295</v>
      </c>
      <c r="O8" s="1" t="s">
        <v>293</v>
      </c>
      <c r="P8" s="1" t="s">
        <v>296</v>
      </c>
      <c r="Q8" s="1" t="s">
        <v>293</v>
      </c>
      <c r="R8" s="1" t="s">
        <v>297</v>
      </c>
      <c r="S8" s="2" t="s">
        <v>298</v>
      </c>
      <c r="T8" s="1" t="s">
        <v>299</v>
      </c>
      <c r="U8" s="1" t="s">
        <v>286</v>
      </c>
      <c r="V8" s="1" t="s">
        <v>300</v>
      </c>
      <c r="W8" s="1" t="s">
        <v>293</v>
      </c>
      <c r="X8" s="3" t="s">
        <v>301</v>
      </c>
      <c r="Y8" s="1" t="s">
        <v>302</v>
      </c>
      <c r="Z8" s="1" t="s">
        <v>303</v>
      </c>
      <c r="AA8" s="1" t="s">
        <v>304</v>
      </c>
      <c r="AB8" s="1" t="s">
        <v>293</v>
      </c>
      <c r="AC8" s="2" t="s">
        <v>305</v>
      </c>
      <c r="AD8" s="1" t="s">
        <v>306</v>
      </c>
      <c r="AE8" s="1" t="s">
        <v>286</v>
      </c>
      <c r="AF8" s="1" t="s">
        <v>307</v>
      </c>
      <c r="AG8" s="1" t="s">
        <v>293</v>
      </c>
      <c r="AH8" s="1" t="s">
        <v>294</v>
      </c>
      <c r="AI8" s="1" t="s">
        <v>293</v>
      </c>
      <c r="AJ8" s="1" t="s">
        <v>286</v>
      </c>
      <c r="AK8" s="1" t="s">
        <v>286</v>
      </c>
      <c r="AL8" s="2" t="s">
        <v>308</v>
      </c>
      <c r="AM8" s="1" t="s">
        <v>286</v>
      </c>
      <c r="AN8" s="1" t="s">
        <v>309</v>
      </c>
      <c r="AO8" s="1" t="s">
        <v>310</v>
      </c>
      <c r="AP8" s="2" t="s">
        <v>311</v>
      </c>
    </row>
    <row r="9" customFormat="false" ht="14.25" hidden="false" customHeight="true" outlineLevel="0" collapsed="false">
      <c r="A9" s="1" t="s">
        <v>312</v>
      </c>
      <c r="B9" s="1" t="s">
        <v>313</v>
      </c>
      <c r="C9" s="2" t="s">
        <v>314</v>
      </c>
      <c r="D9" s="1" t="s">
        <v>315</v>
      </c>
      <c r="E9" s="1" t="s">
        <v>316</v>
      </c>
      <c r="F9" s="1" t="s">
        <v>317</v>
      </c>
      <c r="G9" s="1" t="s">
        <v>318</v>
      </c>
      <c r="H9" s="3" t="s">
        <v>319</v>
      </c>
      <c r="I9" s="3" t="s">
        <v>320</v>
      </c>
      <c r="J9" s="1" t="s">
        <v>321</v>
      </c>
      <c r="K9" s="1" t="s">
        <v>322</v>
      </c>
      <c r="L9" s="1" t="s">
        <v>323</v>
      </c>
      <c r="M9" s="1" t="s">
        <v>324</v>
      </c>
      <c r="N9" s="1" t="s">
        <v>325</v>
      </c>
      <c r="O9" s="1" t="s">
        <v>326</v>
      </c>
      <c r="P9" s="1" t="s">
        <v>327</v>
      </c>
      <c r="Q9" s="1" t="s">
        <v>323</v>
      </c>
      <c r="R9" s="1" t="s">
        <v>328</v>
      </c>
      <c r="S9" s="2" t="s">
        <v>329</v>
      </c>
      <c r="T9" s="1" t="s">
        <v>330</v>
      </c>
      <c r="U9" s="1" t="s">
        <v>331</v>
      </c>
      <c r="V9" s="1" t="s">
        <v>332</v>
      </c>
      <c r="W9" s="1" t="s">
        <v>333</v>
      </c>
      <c r="X9" s="3" t="s">
        <v>334</v>
      </c>
      <c r="Y9" s="1" t="s">
        <v>335</v>
      </c>
      <c r="Z9" s="1" t="s">
        <v>317</v>
      </c>
      <c r="AA9" s="1" t="s">
        <v>336</v>
      </c>
      <c r="AB9" s="1" t="s">
        <v>323</v>
      </c>
      <c r="AC9" s="2" t="s">
        <v>337</v>
      </c>
      <c r="AD9" s="1" t="s">
        <v>321</v>
      </c>
      <c r="AE9" s="1" t="s">
        <v>338</v>
      </c>
      <c r="AF9" s="1" t="s">
        <v>321</v>
      </c>
      <c r="AG9" s="1" t="s">
        <v>321</v>
      </c>
      <c r="AH9" s="1" t="s">
        <v>322</v>
      </c>
      <c r="AI9" s="1" t="s">
        <v>322</v>
      </c>
      <c r="AJ9" s="1" t="s">
        <v>338</v>
      </c>
      <c r="AK9" s="1" t="s">
        <v>336</v>
      </c>
      <c r="AL9" s="2" t="s">
        <v>339</v>
      </c>
      <c r="AM9" s="1" t="s">
        <v>318</v>
      </c>
      <c r="AN9" s="1" t="s">
        <v>340</v>
      </c>
      <c r="AO9" s="1" t="s">
        <v>317</v>
      </c>
      <c r="AP9" s="2" t="s">
        <v>124</v>
      </c>
    </row>
    <row r="10" customFormat="false" ht="14.25" hidden="false" customHeight="true" outlineLevel="0" collapsed="false">
      <c r="A10" s="1" t="s">
        <v>341</v>
      </c>
      <c r="B10" s="1" t="s">
        <v>342</v>
      </c>
      <c r="C10" s="2" t="s">
        <v>343</v>
      </c>
      <c r="D10" s="1" t="s">
        <v>344</v>
      </c>
      <c r="E10" s="1" t="s">
        <v>345</v>
      </c>
      <c r="F10" s="1" t="s">
        <v>346</v>
      </c>
      <c r="G10" s="1" t="s">
        <v>347</v>
      </c>
      <c r="H10" s="3" t="s">
        <v>348</v>
      </c>
      <c r="I10" s="3" t="s">
        <v>349</v>
      </c>
      <c r="J10" s="1" t="s">
        <v>341</v>
      </c>
      <c r="K10" s="1" t="s">
        <v>350</v>
      </c>
      <c r="L10" s="1" t="s">
        <v>351</v>
      </c>
      <c r="M10" s="1" t="s">
        <v>352</v>
      </c>
      <c r="N10" s="1" t="s">
        <v>351</v>
      </c>
      <c r="O10" s="1" t="s">
        <v>347</v>
      </c>
      <c r="P10" s="1" t="s">
        <v>353</v>
      </c>
      <c r="Q10" s="1" t="s">
        <v>351</v>
      </c>
      <c r="R10" s="1" t="s">
        <v>354</v>
      </c>
      <c r="S10" s="2" t="s">
        <v>355</v>
      </c>
      <c r="T10" s="1" t="s">
        <v>356</v>
      </c>
      <c r="U10" s="1" t="s">
        <v>357</v>
      </c>
      <c r="V10" s="1" t="s">
        <v>342</v>
      </c>
      <c r="W10" s="1" t="s">
        <v>358</v>
      </c>
      <c r="X10" s="3" t="s">
        <v>359</v>
      </c>
      <c r="Y10" s="1" t="s">
        <v>360</v>
      </c>
      <c r="Z10" s="1" t="s">
        <v>361</v>
      </c>
      <c r="AA10" s="1" t="s">
        <v>342</v>
      </c>
      <c r="AB10" s="1" t="s">
        <v>362</v>
      </c>
      <c r="AC10" s="2" t="s">
        <v>363</v>
      </c>
      <c r="AD10" s="1" t="s">
        <v>356</v>
      </c>
      <c r="AE10" s="1" t="s">
        <v>347</v>
      </c>
      <c r="AF10" s="1" t="s">
        <v>347</v>
      </c>
      <c r="AG10" s="1" t="s">
        <v>364</v>
      </c>
      <c r="AH10" s="1" t="s">
        <v>350</v>
      </c>
      <c r="AI10" s="1" t="s">
        <v>341</v>
      </c>
      <c r="AJ10" s="1" t="s">
        <v>347</v>
      </c>
      <c r="AK10" s="1" t="s">
        <v>365</v>
      </c>
      <c r="AL10" s="2" t="s">
        <v>366</v>
      </c>
      <c r="AM10" s="1" t="s">
        <v>345</v>
      </c>
      <c r="AN10" s="1" t="s">
        <v>367</v>
      </c>
      <c r="AO10" s="1" t="s">
        <v>368</v>
      </c>
      <c r="AP10" s="2" t="s">
        <v>369</v>
      </c>
    </row>
    <row r="11" customFormat="false" ht="14.25" hidden="false" customHeight="true" outlineLevel="0" collapsed="false">
      <c r="A11" s="1" t="s">
        <v>370</v>
      </c>
      <c r="B11" s="1" t="s">
        <v>371</v>
      </c>
      <c r="C11" s="2" t="s">
        <v>372</v>
      </c>
      <c r="D11" s="1" t="s">
        <v>373</v>
      </c>
      <c r="E11" s="1" t="s">
        <v>374</v>
      </c>
      <c r="F11" s="1" t="s">
        <v>375</v>
      </c>
      <c r="G11" s="1" t="s">
        <v>358</v>
      </c>
      <c r="H11" s="3" t="s">
        <v>376</v>
      </c>
      <c r="I11" s="3" t="s">
        <v>377</v>
      </c>
      <c r="J11" s="1" t="s">
        <v>370</v>
      </c>
      <c r="K11" s="1" t="s">
        <v>378</v>
      </c>
      <c r="L11" s="1" t="s">
        <v>378</v>
      </c>
      <c r="M11" s="1" t="s">
        <v>370</v>
      </c>
      <c r="N11" s="1" t="s">
        <v>378</v>
      </c>
      <c r="O11" s="1" t="s">
        <v>378</v>
      </c>
      <c r="P11" s="1" t="s">
        <v>379</v>
      </c>
      <c r="Q11" s="1" t="s">
        <v>362</v>
      </c>
      <c r="R11" s="1" t="s">
        <v>380</v>
      </c>
      <c r="S11" s="2" t="s">
        <v>381</v>
      </c>
      <c r="T11" s="1" t="s">
        <v>382</v>
      </c>
      <c r="U11" s="1" t="s">
        <v>383</v>
      </c>
      <c r="V11" s="1" t="s">
        <v>384</v>
      </c>
      <c r="W11" s="1" t="s">
        <v>378</v>
      </c>
      <c r="X11" s="3" t="s">
        <v>385</v>
      </c>
      <c r="Y11" s="1" t="s">
        <v>342</v>
      </c>
      <c r="Z11" s="1" t="s">
        <v>375</v>
      </c>
      <c r="AA11" s="1" t="s">
        <v>386</v>
      </c>
      <c r="AB11" s="1" t="s">
        <v>378</v>
      </c>
      <c r="AC11" s="2" t="s">
        <v>387</v>
      </c>
      <c r="AD11" s="1" t="s">
        <v>350</v>
      </c>
      <c r="AE11" s="1" t="s">
        <v>378</v>
      </c>
      <c r="AF11" s="1" t="s">
        <v>378</v>
      </c>
      <c r="AG11" s="1" t="s">
        <v>388</v>
      </c>
      <c r="AH11" s="1" t="s">
        <v>378</v>
      </c>
      <c r="AI11" s="1" t="s">
        <v>370</v>
      </c>
      <c r="AJ11" s="1" t="s">
        <v>358</v>
      </c>
      <c r="AK11" s="1" t="s">
        <v>378</v>
      </c>
      <c r="AL11" s="2" t="s">
        <v>389</v>
      </c>
      <c r="AM11" s="1" t="s">
        <v>358</v>
      </c>
      <c r="AN11" s="1" t="s">
        <v>390</v>
      </c>
      <c r="AO11" s="1" t="s">
        <v>391</v>
      </c>
      <c r="AP11" s="2" t="s">
        <v>392</v>
      </c>
    </row>
    <row r="12" customFormat="false" ht="14.25" hidden="false" customHeight="true" outlineLevel="0" collapsed="false">
      <c r="A12" s="1" t="s">
        <v>393</v>
      </c>
      <c r="B12" s="1" t="s">
        <v>394</v>
      </c>
      <c r="C12" s="2" t="s">
        <v>395</v>
      </c>
      <c r="D12" s="1" t="s">
        <v>396</v>
      </c>
      <c r="E12" s="1" t="s">
        <v>397</v>
      </c>
      <c r="F12" s="1" t="s">
        <v>398</v>
      </c>
      <c r="G12" s="1" t="s">
        <v>399</v>
      </c>
      <c r="H12" s="3" t="s">
        <v>400</v>
      </c>
      <c r="I12" s="3" t="s">
        <v>401</v>
      </c>
      <c r="J12" s="1" t="s">
        <v>393</v>
      </c>
      <c r="K12" s="1" t="s">
        <v>386</v>
      </c>
      <c r="L12" s="1" t="s">
        <v>402</v>
      </c>
      <c r="M12" s="1" t="s">
        <v>358</v>
      </c>
      <c r="N12" s="1" t="s">
        <v>347</v>
      </c>
      <c r="O12" s="1" t="s">
        <v>393</v>
      </c>
      <c r="P12" s="1" t="s">
        <v>403</v>
      </c>
      <c r="Q12" s="1" t="s">
        <v>393</v>
      </c>
      <c r="R12" s="1" t="s">
        <v>404</v>
      </c>
      <c r="S12" s="2" t="s">
        <v>405</v>
      </c>
      <c r="T12" s="1" t="s">
        <v>406</v>
      </c>
      <c r="U12" s="1" t="s">
        <v>407</v>
      </c>
      <c r="V12" s="1" t="s">
        <v>408</v>
      </c>
      <c r="W12" s="1" t="s">
        <v>388</v>
      </c>
      <c r="X12" s="3" t="s">
        <v>409</v>
      </c>
      <c r="Y12" s="1" t="s">
        <v>410</v>
      </c>
      <c r="Z12" s="1" t="s">
        <v>411</v>
      </c>
      <c r="AA12" s="1" t="s">
        <v>412</v>
      </c>
      <c r="AB12" s="1" t="s">
        <v>390</v>
      </c>
      <c r="AC12" s="2" t="s">
        <v>413</v>
      </c>
      <c r="AD12" s="1" t="s">
        <v>386</v>
      </c>
      <c r="AE12" s="1" t="s">
        <v>399</v>
      </c>
      <c r="AF12" s="1" t="s">
        <v>399</v>
      </c>
      <c r="AG12" s="1" t="s">
        <v>414</v>
      </c>
      <c r="AH12" s="1" t="s">
        <v>386</v>
      </c>
      <c r="AI12" s="1" t="s">
        <v>393</v>
      </c>
      <c r="AJ12" s="1" t="s">
        <v>393</v>
      </c>
      <c r="AK12" s="1" t="s">
        <v>345</v>
      </c>
      <c r="AL12" s="2" t="s">
        <v>415</v>
      </c>
      <c r="AM12" s="1" t="s">
        <v>416</v>
      </c>
      <c r="AN12" s="1" t="s">
        <v>397</v>
      </c>
      <c r="AO12" s="1" t="s">
        <v>411</v>
      </c>
      <c r="AP12" s="2" t="s">
        <v>417</v>
      </c>
    </row>
    <row r="13" customFormat="false" ht="14.25" hidden="false" customHeight="true" outlineLevel="0" collapsed="false">
      <c r="A13" s="1" t="s">
        <v>342</v>
      </c>
      <c r="B13" s="1" t="s">
        <v>397</v>
      </c>
      <c r="C13" s="2" t="s">
        <v>418</v>
      </c>
      <c r="D13" s="1" t="s">
        <v>419</v>
      </c>
      <c r="E13" s="1" t="s">
        <v>356</v>
      </c>
      <c r="F13" s="1" t="s">
        <v>420</v>
      </c>
      <c r="G13" s="1" t="s">
        <v>388</v>
      </c>
      <c r="H13" s="3" t="s">
        <v>421</v>
      </c>
      <c r="I13" s="3" t="s">
        <v>422</v>
      </c>
      <c r="J13" s="1" t="s">
        <v>342</v>
      </c>
      <c r="K13" s="1" t="s">
        <v>388</v>
      </c>
      <c r="L13" s="1" t="s">
        <v>390</v>
      </c>
      <c r="M13" s="1" t="s">
        <v>378</v>
      </c>
      <c r="N13" s="1" t="s">
        <v>390</v>
      </c>
      <c r="O13" s="1" t="s">
        <v>406</v>
      </c>
      <c r="P13" s="1" t="s">
        <v>423</v>
      </c>
      <c r="Q13" s="1" t="s">
        <v>424</v>
      </c>
      <c r="R13" s="1" t="s">
        <v>425</v>
      </c>
      <c r="S13" s="2" t="s">
        <v>426</v>
      </c>
      <c r="T13" s="1" t="s">
        <v>378</v>
      </c>
      <c r="U13" s="1" t="s">
        <v>427</v>
      </c>
      <c r="V13" s="1" t="s">
        <v>390</v>
      </c>
      <c r="W13" s="1" t="s">
        <v>362</v>
      </c>
      <c r="X13" s="3" t="s">
        <v>428</v>
      </c>
      <c r="Y13" s="1" t="s">
        <v>388</v>
      </c>
      <c r="Z13" s="1" t="s">
        <v>429</v>
      </c>
      <c r="AA13" s="1" t="s">
        <v>390</v>
      </c>
      <c r="AB13" s="1" t="s">
        <v>384</v>
      </c>
      <c r="AC13" s="2" t="s">
        <v>430</v>
      </c>
      <c r="AD13" s="1" t="s">
        <v>388</v>
      </c>
      <c r="AE13" s="1" t="s">
        <v>406</v>
      </c>
      <c r="AF13" s="1" t="s">
        <v>412</v>
      </c>
      <c r="AG13" s="1" t="s">
        <v>412</v>
      </c>
      <c r="AH13" s="1" t="s">
        <v>388</v>
      </c>
      <c r="AI13" s="1" t="s">
        <v>342</v>
      </c>
      <c r="AJ13" s="1" t="s">
        <v>388</v>
      </c>
      <c r="AK13" s="1" t="s">
        <v>371</v>
      </c>
      <c r="AL13" s="2" t="s">
        <v>431</v>
      </c>
      <c r="AM13" s="1" t="s">
        <v>356</v>
      </c>
      <c r="AN13" s="1" t="s">
        <v>416</v>
      </c>
      <c r="AO13" s="1" t="s">
        <v>375</v>
      </c>
      <c r="AP13" s="2" t="s">
        <v>432</v>
      </c>
    </row>
    <row r="14" customFormat="false" ht="16.5" hidden="false" customHeight="true" outlineLevel="0" collapsed="false">
      <c r="A14" s="1" t="s">
        <v>433</v>
      </c>
      <c r="B14" s="1" t="s">
        <v>434</v>
      </c>
      <c r="C14" s="2" t="s">
        <v>435</v>
      </c>
      <c r="D14" s="1" t="s">
        <v>436</v>
      </c>
      <c r="E14" s="1" t="s">
        <v>437</v>
      </c>
      <c r="F14" s="1" t="s">
        <v>438</v>
      </c>
      <c r="G14" s="1" t="s">
        <v>439</v>
      </c>
      <c r="H14" s="3" t="s">
        <v>440</v>
      </c>
      <c r="I14" s="3" t="s">
        <v>441</v>
      </c>
      <c r="J14" s="1" t="s">
        <v>433</v>
      </c>
      <c r="K14" s="1" t="s">
        <v>442</v>
      </c>
      <c r="L14" s="1" t="s">
        <v>443</v>
      </c>
      <c r="M14" s="1" t="s">
        <v>444</v>
      </c>
      <c r="N14" s="1" t="s">
        <v>443</v>
      </c>
      <c r="O14" s="1" t="s">
        <v>445</v>
      </c>
      <c r="P14" s="1" t="s">
        <v>446</v>
      </c>
      <c r="Q14" s="1" t="s">
        <v>447</v>
      </c>
      <c r="R14" s="1" t="s">
        <v>448</v>
      </c>
      <c r="S14" s="2" t="s">
        <v>449</v>
      </c>
      <c r="T14" s="1" t="s">
        <v>450</v>
      </c>
      <c r="U14" s="1" t="s">
        <v>451</v>
      </c>
      <c r="V14" s="1" t="s">
        <v>452</v>
      </c>
      <c r="W14" s="1" t="s">
        <v>453</v>
      </c>
      <c r="X14" s="3" t="s">
        <v>454</v>
      </c>
      <c r="Y14" s="1" t="s">
        <v>455</v>
      </c>
      <c r="Z14" s="1" t="s">
        <v>456</v>
      </c>
      <c r="AA14" s="1" t="s">
        <v>457</v>
      </c>
      <c r="AB14" s="1" t="s">
        <v>458</v>
      </c>
      <c r="AC14" s="2" t="s">
        <v>459</v>
      </c>
      <c r="AD14" s="1" t="s">
        <v>460</v>
      </c>
      <c r="AE14" s="1" t="s">
        <v>461</v>
      </c>
      <c r="AF14" s="1" t="s">
        <v>462</v>
      </c>
      <c r="AG14" s="1" t="s">
        <v>463</v>
      </c>
      <c r="AH14" s="1" t="s">
        <v>464</v>
      </c>
      <c r="AI14" s="1" t="s">
        <v>433</v>
      </c>
      <c r="AJ14" s="1" t="s">
        <v>439</v>
      </c>
      <c r="AK14" s="1" t="s">
        <v>465</v>
      </c>
      <c r="AL14" s="2" t="s">
        <v>466</v>
      </c>
      <c r="AM14" s="1" t="s">
        <v>467</v>
      </c>
      <c r="AN14" s="1" t="s">
        <v>468</v>
      </c>
      <c r="AO14" s="1" t="s">
        <v>469</v>
      </c>
      <c r="AP14" s="2" t="s">
        <v>470</v>
      </c>
    </row>
    <row r="15" customFormat="false" ht="14.25" hidden="false" customHeight="true" outlineLevel="0" collapsed="false">
      <c r="A15" s="1" t="s">
        <v>471</v>
      </c>
      <c r="B15" s="1" t="s">
        <v>472</v>
      </c>
      <c r="C15" s="2" t="s">
        <v>473</v>
      </c>
      <c r="D15" s="1" t="s">
        <v>474</v>
      </c>
      <c r="E15" s="1" t="s">
        <v>475</v>
      </c>
      <c r="F15" s="1" t="s">
        <v>476</v>
      </c>
      <c r="G15" s="1" t="s">
        <v>477</v>
      </c>
      <c r="H15" s="3" t="s">
        <v>478</v>
      </c>
      <c r="I15" s="3" t="s">
        <v>479</v>
      </c>
      <c r="J15" s="1" t="s">
        <v>471</v>
      </c>
      <c r="K15" s="1" t="s">
        <v>480</v>
      </c>
      <c r="L15" s="1" t="s">
        <v>471</v>
      </c>
      <c r="M15" s="1" t="s">
        <v>471</v>
      </c>
      <c r="N15" s="1" t="s">
        <v>481</v>
      </c>
      <c r="O15" s="1" t="s">
        <v>482</v>
      </c>
      <c r="P15" s="1" t="s">
        <v>483</v>
      </c>
      <c r="Q15" s="1" t="s">
        <v>484</v>
      </c>
      <c r="R15" s="1" t="s">
        <v>485</v>
      </c>
      <c r="S15" s="2" t="s">
        <v>486</v>
      </c>
      <c r="T15" s="1" t="s">
        <v>471</v>
      </c>
      <c r="U15" s="1" t="s">
        <v>487</v>
      </c>
      <c r="V15" s="1" t="s">
        <v>481</v>
      </c>
      <c r="W15" s="1" t="s">
        <v>488</v>
      </c>
      <c r="X15" s="3" t="s">
        <v>489</v>
      </c>
      <c r="Y15" s="1" t="s">
        <v>490</v>
      </c>
      <c r="Z15" s="1" t="s">
        <v>491</v>
      </c>
      <c r="AA15" s="1" t="s">
        <v>388</v>
      </c>
      <c r="AB15" s="1" t="s">
        <v>388</v>
      </c>
      <c r="AC15" s="2" t="s">
        <v>492</v>
      </c>
      <c r="AD15" s="1" t="s">
        <v>493</v>
      </c>
      <c r="AE15" s="1" t="s">
        <v>388</v>
      </c>
      <c r="AF15" s="1" t="s">
        <v>388</v>
      </c>
      <c r="AG15" s="1" t="s">
        <v>494</v>
      </c>
      <c r="AH15" s="1" t="s">
        <v>480</v>
      </c>
      <c r="AI15" s="1" t="s">
        <v>471</v>
      </c>
      <c r="AJ15" s="1" t="s">
        <v>482</v>
      </c>
      <c r="AK15" s="1" t="s">
        <v>388</v>
      </c>
      <c r="AL15" s="2" t="s">
        <v>495</v>
      </c>
      <c r="AM15" s="1" t="s">
        <v>388</v>
      </c>
      <c r="AN15" s="1" t="s">
        <v>496</v>
      </c>
      <c r="AO15" s="1" t="s">
        <v>361</v>
      </c>
      <c r="AP15" s="2" t="s">
        <v>497</v>
      </c>
    </row>
    <row r="18" customFormat="false" ht="14.25" hidden="false" customHeight="true" outlineLevel="0" collapsed="false">
      <c r="A18" s="1" t="s">
        <v>498</v>
      </c>
      <c r="B18" s="1" t="s">
        <v>499</v>
      </c>
      <c r="C18" s="2" t="s">
        <v>500</v>
      </c>
      <c r="D18" s="1" t="s">
        <v>501</v>
      </c>
      <c r="E18" s="1" t="s">
        <v>416</v>
      </c>
      <c r="F18" s="1" t="s">
        <v>502</v>
      </c>
      <c r="G18" s="1" t="s">
        <v>503</v>
      </c>
      <c r="H18" s="3" t="s">
        <v>504</v>
      </c>
      <c r="I18" s="1" t="s">
        <v>498</v>
      </c>
      <c r="J18" s="1" t="s">
        <v>505</v>
      </c>
      <c r="K18" s="1" t="s">
        <v>506</v>
      </c>
      <c r="L18" s="1" t="s">
        <v>507</v>
      </c>
      <c r="M18" s="1" t="s">
        <v>508</v>
      </c>
      <c r="N18" s="1" t="s">
        <v>498</v>
      </c>
      <c r="O18" s="1" t="s">
        <v>498</v>
      </c>
      <c r="P18" s="1" t="s">
        <v>509</v>
      </c>
      <c r="Q18" s="1" t="s">
        <v>498</v>
      </c>
      <c r="R18" s="1" t="s">
        <v>510</v>
      </c>
      <c r="S18" s="2" t="s">
        <v>511</v>
      </c>
      <c r="T18" s="1" t="s">
        <v>512</v>
      </c>
      <c r="U18" s="1" t="s">
        <v>513</v>
      </c>
      <c r="V18" s="1" t="s">
        <v>498</v>
      </c>
      <c r="W18" s="1" t="s">
        <v>514</v>
      </c>
      <c r="X18" s="3" t="s">
        <v>515</v>
      </c>
      <c r="Y18" s="1" t="s">
        <v>516</v>
      </c>
      <c r="Z18" s="1" t="s">
        <v>502</v>
      </c>
      <c r="AA18" s="1" t="s">
        <v>517</v>
      </c>
      <c r="AB18" s="1" t="s">
        <v>507</v>
      </c>
      <c r="AC18" s="2" t="s">
        <v>518</v>
      </c>
      <c r="AD18" s="1" t="s">
        <v>519</v>
      </c>
      <c r="AE18" s="1" t="s">
        <v>514</v>
      </c>
      <c r="AF18" s="1" t="s">
        <v>520</v>
      </c>
      <c r="AG18" s="1" t="s">
        <v>505</v>
      </c>
      <c r="AH18" s="1" t="s">
        <v>506</v>
      </c>
      <c r="AI18" s="1" t="s">
        <v>505</v>
      </c>
      <c r="AJ18" s="1" t="s">
        <v>498</v>
      </c>
      <c r="AK18" s="1" t="s">
        <v>521</v>
      </c>
      <c r="AL18" s="2" t="s">
        <v>522</v>
      </c>
      <c r="AM18" s="1" t="s">
        <v>523</v>
      </c>
      <c r="AN18" s="1" t="s">
        <v>524</v>
      </c>
      <c r="AO18" s="1" t="s">
        <v>525</v>
      </c>
      <c r="AP18" s="2" t="s">
        <v>526</v>
      </c>
    </row>
    <row r="19" customFormat="false" ht="14.25" hidden="false" customHeight="true" outlineLevel="0" collapsed="false">
      <c r="A19" s="1" t="s">
        <v>527</v>
      </c>
      <c r="B19" s="1" t="s">
        <v>528</v>
      </c>
      <c r="C19" s="2" t="s">
        <v>529</v>
      </c>
      <c r="D19" s="1" t="s">
        <v>530</v>
      </c>
      <c r="E19" s="1" t="s">
        <v>531</v>
      </c>
      <c r="F19" s="1" t="s">
        <v>532</v>
      </c>
      <c r="G19" s="1" t="s">
        <v>533</v>
      </c>
      <c r="H19" s="3" t="s">
        <v>534</v>
      </c>
      <c r="I19" s="1" t="s">
        <v>527</v>
      </c>
      <c r="J19" s="1" t="s">
        <v>535</v>
      </c>
      <c r="K19" s="1" t="s">
        <v>536</v>
      </c>
      <c r="L19" s="1" t="s">
        <v>537</v>
      </c>
      <c r="M19" s="1" t="s">
        <v>538</v>
      </c>
      <c r="N19" s="1" t="s">
        <v>539</v>
      </c>
      <c r="O19" s="1" t="s">
        <v>527</v>
      </c>
      <c r="P19" s="1" t="s">
        <v>540</v>
      </c>
      <c r="Q19" s="1" t="s">
        <v>527</v>
      </c>
      <c r="R19" s="1" t="s">
        <v>541</v>
      </c>
      <c r="S19" s="2" t="s">
        <v>542</v>
      </c>
      <c r="T19" s="1" t="s">
        <v>543</v>
      </c>
      <c r="U19" s="1" t="s">
        <v>544</v>
      </c>
      <c r="V19" s="1" t="s">
        <v>539</v>
      </c>
      <c r="W19" s="1" t="s">
        <v>545</v>
      </c>
      <c r="X19" s="3" t="s">
        <v>546</v>
      </c>
      <c r="Y19" s="1" t="s">
        <v>547</v>
      </c>
      <c r="Z19" s="1" t="s">
        <v>532</v>
      </c>
      <c r="AA19" s="1" t="s">
        <v>548</v>
      </c>
      <c r="AB19" s="1" t="s">
        <v>537</v>
      </c>
      <c r="AC19" s="2" t="s">
        <v>549</v>
      </c>
      <c r="AD19" s="1" t="s">
        <v>550</v>
      </c>
      <c r="AE19" s="1" t="s">
        <v>551</v>
      </c>
      <c r="AF19" s="1" t="s">
        <v>545</v>
      </c>
      <c r="AG19" s="1" t="s">
        <v>535</v>
      </c>
      <c r="AH19" s="1" t="s">
        <v>536</v>
      </c>
      <c r="AI19" s="1" t="s">
        <v>535</v>
      </c>
      <c r="AJ19" s="1" t="s">
        <v>527</v>
      </c>
      <c r="AK19" s="1" t="s">
        <v>552</v>
      </c>
      <c r="AL19" s="2" t="s">
        <v>553</v>
      </c>
      <c r="AM19" s="1" t="s">
        <v>554</v>
      </c>
      <c r="AN19" s="1" t="s">
        <v>555</v>
      </c>
      <c r="AO19" s="1" t="s">
        <v>556</v>
      </c>
      <c r="AP19" s="2" t="s">
        <v>557</v>
      </c>
    </row>
    <row r="20" customFormat="false" ht="14.25" hidden="false" customHeight="true" outlineLevel="0" collapsed="false">
      <c r="A20" s="1" t="s">
        <v>558</v>
      </c>
      <c r="B20" s="1" t="s">
        <v>559</v>
      </c>
      <c r="C20" s="2" t="s">
        <v>560</v>
      </c>
      <c r="D20" s="1" t="s">
        <v>561</v>
      </c>
      <c r="E20" s="1" t="s">
        <v>562</v>
      </c>
      <c r="F20" s="1" t="s">
        <v>563</v>
      </c>
      <c r="G20" s="1" t="s">
        <v>564</v>
      </c>
      <c r="H20" s="3" t="s">
        <v>565</v>
      </c>
      <c r="I20" s="1" t="s">
        <v>558</v>
      </c>
      <c r="J20" s="1" t="s">
        <v>566</v>
      </c>
      <c r="K20" s="1" t="s">
        <v>567</v>
      </c>
      <c r="L20" s="1" t="s">
        <v>568</v>
      </c>
      <c r="M20" s="1" t="s">
        <v>569</v>
      </c>
      <c r="N20" s="1" t="s">
        <v>570</v>
      </c>
      <c r="O20" s="1" t="s">
        <v>558</v>
      </c>
      <c r="P20" s="1" t="s">
        <v>571</v>
      </c>
      <c r="Q20" s="1" t="s">
        <v>558</v>
      </c>
      <c r="R20" s="1" t="s">
        <v>572</v>
      </c>
      <c r="S20" s="2" t="s">
        <v>573</v>
      </c>
      <c r="T20" s="1" t="s">
        <v>574</v>
      </c>
      <c r="U20" s="1" t="s">
        <v>575</v>
      </c>
      <c r="V20" s="1" t="s">
        <v>576</v>
      </c>
      <c r="W20" s="1" t="s">
        <v>559</v>
      </c>
      <c r="X20" s="3" t="s">
        <v>577</v>
      </c>
      <c r="Y20" s="1" t="s">
        <v>578</v>
      </c>
      <c r="Z20" s="1" t="s">
        <v>579</v>
      </c>
      <c r="AA20" s="1" t="s">
        <v>580</v>
      </c>
      <c r="AB20" s="1" t="s">
        <v>581</v>
      </c>
      <c r="AC20" s="2" t="s">
        <v>582</v>
      </c>
      <c r="AD20" s="1" t="s">
        <v>583</v>
      </c>
      <c r="AE20" s="1" t="s">
        <v>584</v>
      </c>
      <c r="AF20" s="1" t="s">
        <v>559</v>
      </c>
      <c r="AG20" s="1" t="s">
        <v>566</v>
      </c>
      <c r="AH20" s="1" t="s">
        <v>585</v>
      </c>
      <c r="AI20" s="1" t="s">
        <v>586</v>
      </c>
      <c r="AJ20" s="1" t="s">
        <v>558</v>
      </c>
      <c r="AK20" s="1" t="s">
        <v>587</v>
      </c>
      <c r="AL20" s="2" t="s">
        <v>588</v>
      </c>
      <c r="AM20" s="1" t="s">
        <v>589</v>
      </c>
      <c r="AN20" s="1" t="s">
        <v>590</v>
      </c>
      <c r="AO20" s="1" t="s">
        <v>563</v>
      </c>
      <c r="AP20" s="2" t="s">
        <v>591</v>
      </c>
    </row>
    <row r="21" customFormat="false" ht="14.25" hidden="false" customHeight="true" outlineLevel="0" collapsed="false">
      <c r="A21" s="1" t="s">
        <v>592</v>
      </c>
      <c r="B21" s="1" t="s">
        <v>593</v>
      </c>
      <c r="C21" s="2" t="s">
        <v>594</v>
      </c>
      <c r="D21" s="1" t="s">
        <v>595</v>
      </c>
      <c r="E21" s="1" t="s">
        <v>596</v>
      </c>
      <c r="F21" s="1" t="s">
        <v>597</v>
      </c>
      <c r="G21" s="1" t="s">
        <v>598</v>
      </c>
      <c r="H21" s="3" t="s">
        <v>599</v>
      </c>
      <c r="I21" s="1" t="s">
        <v>592</v>
      </c>
      <c r="J21" s="1" t="s">
        <v>600</v>
      </c>
      <c r="K21" s="1" t="s">
        <v>601</v>
      </c>
      <c r="L21" s="1" t="s">
        <v>602</v>
      </c>
      <c r="M21" s="1" t="s">
        <v>603</v>
      </c>
      <c r="N21" s="1" t="s">
        <v>604</v>
      </c>
      <c r="O21" s="1" t="s">
        <v>592</v>
      </c>
      <c r="P21" s="1" t="s">
        <v>605</v>
      </c>
      <c r="Q21" s="1" t="s">
        <v>592</v>
      </c>
      <c r="R21" s="1" t="s">
        <v>606</v>
      </c>
      <c r="S21" s="2" t="s">
        <v>607</v>
      </c>
      <c r="T21" s="1" t="s">
        <v>608</v>
      </c>
      <c r="U21" s="1" t="s">
        <v>609</v>
      </c>
      <c r="V21" s="1" t="s">
        <v>610</v>
      </c>
      <c r="W21" s="1" t="s">
        <v>611</v>
      </c>
      <c r="X21" s="3" t="s">
        <v>612</v>
      </c>
      <c r="Y21" s="1" t="s">
        <v>613</v>
      </c>
      <c r="Z21" s="1" t="s">
        <v>614</v>
      </c>
      <c r="AA21" s="1" t="s">
        <v>615</v>
      </c>
      <c r="AB21" s="1" t="s">
        <v>602</v>
      </c>
      <c r="AC21" s="2" t="s">
        <v>616</v>
      </c>
      <c r="AD21" s="1" t="s">
        <v>617</v>
      </c>
      <c r="AE21" s="1" t="s">
        <v>618</v>
      </c>
      <c r="AF21" s="1" t="s">
        <v>619</v>
      </c>
      <c r="AG21" s="1" t="s">
        <v>620</v>
      </c>
      <c r="AH21" s="1" t="s">
        <v>601</v>
      </c>
      <c r="AI21" s="1" t="s">
        <v>620</v>
      </c>
      <c r="AJ21" s="1" t="s">
        <v>592</v>
      </c>
      <c r="AK21" s="1" t="s">
        <v>602</v>
      </c>
      <c r="AL21" s="2" t="s">
        <v>621</v>
      </c>
      <c r="AM21" s="1" t="s">
        <v>622</v>
      </c>
      <c r="AN21" s="1" t="s">
        <v>623</v>
      </c>
      <c r="AO21" s="1" t="s">
        <v>624</v>
      </c>
      <c r="AP21" s="2" t="s">
        <v>625</v>
      </c>
    </row>
    <row r="22" customFormat="false" ht="14.25" hidden="false" customHeight="true" outlineLevel="0" collapsed="false">
      <c r="A22" s="1" t="s">
        <v>626</v>
      </c>
      <c r="B22" s="1" t="s">
        <v>627</v>
      </c>
      <c r="C22" s="2" t="s">
        <v>628</v>
      </c>
      <c r="D22" s="1" t="s">
        <v>629</v>
      </c>
      <c r="E22" s="1" t="s">
        <v>630</v>
      </c>
      <c r="F22" s="1" t="s">
        <v>631</v>
      </c>
      <c r="G22" s="1" t="s">
        <v>632</v>
      </c>
      <c r="H22" s="3" t="s">
        <v>633</v>
      </c>
      <c r="I22" s="1" t="s">
        <v>626</v>
      </c>
      <c r="J22" s="1" t="s">
        <v>634</v>
      </c>
      <c r="K22" s="1" t="s">
        <v>635</v>
      </c>
      <c r="L22" s="1" t="s">
        <v>586</v>
      </c>
      <c r="M22" s="1" t="s">
        <v>636</v>
      </c>
      <c r="N22" s="1" t="s">
        <v>637</v>
      </c>
      <c r="O22" s="1" t="s">
        <v>626</v>
      </c>
      <c r="P22" s="1" t="s">
        <v>638</v>
      </c>
      <c r="Q22" s="1" t="s">
        <v>626</v>
      </c>
      <c r="R22" s="1" t="s">
        <v>639</v>
      </c>
      <c r="S22" s="2" t="s">
        <v>640</v>
      </c>
      <c r="T22" s="1" t="s">
        <v>641</v>
      </c>
      <c r="U22" s="1" t="s">
        <v>642</v>
      </c>
      <c r="V22" s="1" t="s">
        <v>643</v>
      </c>
      <c r="W22" s="1" t="s">
        <v>644</v>
      </c>
      <c r="X22" s="3" t="s">
        <v>645</v>
      </c>
      <c r="Y22" s="1" t="s">
        <v>646</v>
      </c>
      <c r="Z22" s="1" t="s">
        <v>647</v>
      </c>
      <c r="AA22" s="1" t="s">
        <v>648</v>
      </c>
      <c r="AB22" s="1" t="s">
        <v>649</v>
      </c>
      <c r="AC22" s="2" t="s">
        <v>650</v>
      </c>
      <c r="AD22" s="1" t="s">
        <v>651</v>
      </c>
      <c r="AE22" s="1" t="s">
        <v>652</v>
      </c>
      <c r="AF22" s="1" t="s">
        <v>653</v>
      </c>
      <c r="AG22" s="1" t="s">
        <v>634</v>
      </c>
      <c r="AH22" s="1" t="s">
        <v>654</v>
      </c>
      <c r="AI22" s="1" t="s">
        <v>634</v>
      </c>
      <c r="AJ22" s="1" t="s">
        <v>626</v>
      </c>
      <c r="AK22" s="1" t="s">
        <v>586</v>
      </c>
      <c r="AL22" s="2" t="s">
        <v>655</v>
      </c>
      <c r="AM22" s="1" t="s">
        <v>656</v>
      </c>
      <c r="AN22" s="1" t="s">
        <v>657</v>
      </c>
      <c r="AO22" s="1" t="s">
        <v>658</v>
      </c>
      <c r="AP22" s="2" t="s">
        <v>659</v>
      </c>
    </row>
    <row r="23" customFormat="false" ht="14.25" hidden="false" customHeight="true" outlineLevel="0" collapsed="false">
      <c r="A23" s="1" t="s">
        <v>660</v>
      </c>
      <c r="B23" s="1" t="s">
        <v>661</v>
      </c>
      <c r="C23" s="2" t="s">
        <v>662</v>
      </c>
      <c r="D23" s="1" t="s">
        <v>663</v>
      </c>
      <c r="E23" s="1" t="s">
        <v>664</v>
      </c>
      <c r="F23" s="1" t="s">
        <v>665</v>
      </c>
      <c r="G23" s="1" t="s">
        <v>666</v>
      </c>
      <c r="H23" s="3" t="s">
        <v>667</v>
      </c>
      <c r="I23" s="1" t="s">
        <v>660</v>
      </c>
      <c r="J23" s="1" t="s">
        <v>668</v>
      </c>
      <c r="K23" s="1" t="s">
        <v>669</v>
      </c>
      <c r="L23" s="1" t="s">
        <v>670</v>
      </c>
      <c r="M23" s="1" t="s">
        <v>671</v>
      </c>
      <c r="N23" s="1" t="s">
        <v>672</v>
      </c>
      <c r="O23" s="1" t="s">
        <v>660</v>
      </c>
      <c r="P23" s="1" t="s">
        <v>673</v>
      </c>
      <c r="Q23" s="1" t="s">
        <v>660</v>
      </c>
      <c r="R23" s="1" t="s">
        <v>674</v>
      </c>
      <c r="S23" s="2" t="s">
        <v>675</v>
      </c>
      <c r="T23" s="1" t="s">
        <v>676</v>
      </c>
      <c r="U23" s="1" t="s">
        <v>677</v>
      </c>
      <c r="V23" s="1" t="s">
        <v>678</v>
      </c>
      <c r="W23" s="1" t="s">
        <v>679</v>
      </c>
      <c r="X23" s="3" t="s">
        <v>680</v>
      </c>
      <c r="Y23" s="1" t="s">
        <v>681</v>
      </c>
      <c r="Z23" s="1" t="s">
        <v>665</v>
      </c>
      <c r="AA23" s="1" t="s">
        <v>682</v>
      </c>
      <c r="AB23" s="1" t="s">
        <v>670</v>
      </c>
      <c r="AC23" s="2" t="s">
        <v>683</v>
      </c>
      <c r="AD23" s="1" t="s">
        <v>684</v>
      </c>
      <c r="AE23" s="1" t="s">
        <v>685</v>
      </c>
      <c r="AF23" s="1" t="s">
        <v>686</v>
      </c>
      <c r="AG23" s="1" t="s">
        <v>668</v>
      </c>
      <c r="AH23" s="1" t="s">
        <v>687</v>
      </c>
      <c r="AI23" s="1" t="s">
        <v>668</v>
      </c>
      <c r="AJ23" s="1" t="s">
        <v>660</v>
      </c>
      <c r="AK23" s="1" t="s">
        <v>670</v>
      </c>
      <c r="AL23" s="2" t="s">
        <v>688</v>
      </c>
      <c r="AM23" s="1" t="s">
        <v>689</v>
      </c>
      <c r="AN23" s="1" t="s">
        <v>690</v>
      </c>
      <c r="AO23" s="1" t="s">
        <v>691</v>
      </c>
      <c r="AP23" s="2" t="s">
        <v>692</v>
      </c>
    </row>
    <row r="24" customFormat="false" ht="14.25" hidden="false" customHeight="true" outlineLevel="0" collapsed="false">
      <c r="A24" s="1" t="s">
        <v>693</v>
      </c>
      <c r="B24" s="1" t="s">
        <v>694</v>
      </c>
      <c r="C24" s="2" t="s">
        <v>695</v>
      </c>
      <c r="D24" s="1" t="s">
        <v>696</v>
      </c>
      <c r="E24" s="1" t="s">
        <v>697</v>
      </c>
      <c r="F24" s="1" t="s">
        <v>698</v>
      </c>
      <c r="G24" s="1" t="s">
        <v>699</v>
      </c>
      <c r="H24" s="3" t="s">
        <v>700</v>
      </c>
      <c r="I24" s="1" t="s">
        <v>693</v>
      </c>
      <c r="J24" s="1" t="s">
        <v>701</v>
      </c>
      <c r="K24" s="1" t="s">
        <v>702</v>
      </c>
      <c r="L24" s="1" t="s">
        <v>703</v>
      </c>
      <c r="M24" s="1" t="s">
        <v>704</v>
      </c>
      <c r="N24" s="1" t="s">
        <v>705</v>
      </c>
      <c r="O24" s="1" t="s">
        <v>693</v>
      </c>
      <c r="P24" s="1" t="s">
        <v>706</v>
      </c>
      <c r="Q24" s="1" t="s">
        <v>693</v>
      </c>
      <c r="R24" s="1" t="s">
        <v>707</v>
      </c>
      <c r="S24" s="2" t="s">
        <v>708</v>
      </c>
      <c r="T24" s="1" t="s">
        <v>709</v>
      </c>
      <c r="U24" s="1" t="s">
        <v>710</v>
      </c>
      <c r="V24" s="1" t="s">
        <v>711</v>
      </c>
      <c r="W24" s="1" t="s">
        <v>710</v>
      </c>
      <c r="X24" s="3" t="s">
        <v>712</v>
      </c>
      <c r="Y24" s="1" t="s">
        <v>713</v>
      </c>
      <c r="Z24" s="1" t="s">
        <v>714</v>
      </c>
      <c r="AA24" s="1" t="s">
        <v>715</v>
      </c>
      <c r="AB24" s="1" t="s">
        <v>703</v>
      </c>
      <c r="AC24" s="2" t="s">
        <v>716</v>
      </c>
      <c r="AD24" s="1" t="s">
        <v>702</v>
      </c>
      <c r="AE24" s="1" t="s">
        <v>710</v>
      </c>
      <c r="AF24" s="1" t="s">
        <v>717</v>
      </c>
      <c r="AG24" s="1" t="s">
        <v>701</v>
      </c>
      <c r="AH24" s="1" t="s">
        <v>702</v>
      </c>
      <c r="AI24" s="1" t="s">
        <v>718</v>
      </c>
      <c r="AJ24" s="1" t="s">
        <v>693</v>
      </c>
      <c r="AK24" s="1" t="s">
        <v>719</v>
      </c>
      <c r="AL24" s="2" t="s">
        <v>720</v>
      </c>
      <c r="AM24" s="1" t="s">
        <v>721</v>
      </c>
      <c r="AN24" s="1" t="s">
        <v>722</v>
      </c>
      <c r="AO24" s="1" t="s">
        <v>723</v>
      </c>
      <c r="AP24" s="2" t="s">
        <v>724</v>
      </c>
    </row>
    <row r="25" customFormat="false" ht="16.5" hidden="false" customHeight="true" outlineLevel="0" collapsed="false">
      <c r="A25" s="1" t="s">
        <v>725</v>
      </c>
      <c r="B25" s="1" t="s">
        <v>725</v>
      </c>
      <c r="C25" s="2" t="s">
        <v>726</v>
      </c>
      <c r="D25" s="1" t="s">
        <v>727</v>
      </c>
      <c r="E25" s="1" t="s">
        <v>728</v>
      </c>
      <c r="F25" s="1" t="s">
        <v>729</v>
      </c>
      <c r="G25" s="1" t="s">
        <v>730</v>
      </c>
      <c r="H25" s="3" t="s">
        <v>731</v>
      </c>
      <c r="I25" s="1" t="s">
        <v>725</v>
      </c>
      <c r="J25" s="1" t="s">
        <v>732</v>
      </c>
      <c r="K25" s="1" t="s">
        <v>725</v>
      </c>
      <c r="L25" s="1" t="s">
        <v>725</v>
      </c>
      <c r="M25" s="1" t="s">
        <v>725</v>
      </c>
      <c r="N25" s="1" t="s">
        <v>725</v>
      </c>
      <c r="O25" s="1" t="s">
        <v>733</v>
      </c>
      <c r="P25" s="1" t="s">
        <v>734</v>
      </c>
      <c r="Q25" s="1" t="s">
        <v>725</v>
      </c>
      <c r="R25" s="1" t="s">
        <v>735</v>
      </c>
      <c r="S25" s="2" t="s">
        <v>736</v>
      </c>
      <c r="T25" s="1" t="s">
        <v>725</v>
      </c>
      <c r="U25" s="1" t="s">
        <v>725</v>
      </c>
      <c r="V25" s="1" t="s">
        <v>725</v>
      </c>
      <c r="W25" s="1" t="s">
        <v>730</v>
      </c>
      <c r="X25" s="1" t="s">
        <v>737</v>
      </c>
      <c r="Y25" s="1" t="s">
        <v>738</v>
      </c>
      <c r="Z25" s="1" t="s">
        <v>739</v>
      </c>
      <c r="AA25" s="1" t="s">
        <v>725</v>
      </c>
      <c r="AB25" s="1" t="s">
        <v>725</v>
      </c>
      <c r="AC25" s="2" t="s">
        <v>740</v>
      </c>
      <c r="AD25" s="1" t="s">
        <v>741</v>
      </c>
      <c r="AE25" s="1" t="s">
        <v>725</v>
      </c>
      <c r="AF25" s="1" t="s">
        <v>742</v>
      </c>
      <c r="AG25" s="1" t="s">
        <v>725</v>
      </c>
      <c r="AH25" s="1" t="s">
        <v>725</v>
      </c>
      <c r="AI25" s="1" t="s">
        <v>725</v>
      </c>
      <c r="AJ25" s="1" t="s">
        <v>743</v>
      </c>
      <c r="AK25" s="1" t="s">
        <v>744</v>
      </c>
      <c r="AL25" s="2" t="s">
        <v>745</v>
      </c>
      <c r="AM25" s="1" t="s">
        <v>746</v>
      </c>
      <c r="AN25" s="1" t="s">
        <v>747</v>
      </c>
      <c r="AO25" s="1" t="s">
        <v>748</v>
      </c>
      <c r="AP25" s="2" t="s">
        <v>749</v>
      </c>
    </row>
    <row r="26" customFormat="false" ht="16.5" hidden="false" customHeight="true" outlineLevel="0" collapsed="false">
      <c r="A26" s="1" t="s">
        <v>750</v>
      </c>
      <c r="B26" s="1" t="s">
        <v>751</v>
      </c>
      <c r="C26" s="2" t="s">
        <v>752</v>
      </c>
      <c r="D26" s="1" t="s">
        <v>753</v>
      </c>
      <c r="E26" s="1" t="s">
        <v>754</v>
      </c>
      <c r="F26" s="1" t="s">
        <v>755</v>
      </c>
      <c r="G26" s="1" t="s">
        <v>750</v>
      </c>
      <c r="H26" s="3" t="s">
        <v>756</v>
      </c>
      <c r="I26" s="1" t="s">
        <v>750</v>
      </c>
      <c r="J26" s="1" t="s">
        <v>757</v>
      </c>
      <c r="K26" s="1" t="s">
        <v>750</v>
      </c>
      <c r="L26" s="1" t="s">
        <v>750</v>
      </c>
      <c r="M26" s="1" t="s">
        <v>750</v>
      </c>
      <c r="N26" s="1" t="s">
        <v>750</v>
      </c>
      <c r="O26" s="1" t="s">
        <v>758</v>
      </c>
      <c r="P26" s="1" t="s">
        <v>759</v>
      </c>
      <c r="Q26" s="1" t="s">
        <v>750</v>
      </c>
      <c r="R26" s="1" t="s">
        <v>760</v>
      </c>
      <c r="S26" s="2" t="s">
        <v>761</v>
      </c>
      <c r="T26" s="1" t="s">
        <v>750</v>
      </c>
      <c r="U26" s="1" t="s">
        <v>762</v>
      </c>
      <c r="V26" s="1" t="s">
        <v>750</v>
      </c>
      <c r="W26" s="1" t="s">
        <v>750</v>
      </c>
      <c r="X26" s="1" t="s">
        <v>763</v>
      </c>
      <c r="Y26" s="1" t="s">
        <v>512</v>
      </c>
      <c r="Z26" s="1" t="s">
        <v>764</v>
      </c>
      <c r="AA26" s="1" t="s">
        <v>765</v>
      </c>
      <c r="AB26" s="1" t="s">
        <v>750</v>
      </c>
      <c r="AC26" s="2" t="s">
        <v>766</v>
      </c>
      <c r="AD26" s="1" t="s">
        <v>767</v>
      </c>
      <c r="AE26" s="1" t="s">
        <v>754</v>
      </c>
      <c r="AF26" s="1" t="s">
        <v>750</v>
      </c>
      <c r="AG26" s="1" t="s">
        <v>750</v>
      </c>
      <c r="AH26" s="1" t="s">
        <v>750</v>
      </c>
      <c r="AI26" s="1" t="s">
        <v>750</v>
      </c>
      <c r="AJ26" s="1" t="s">
        <v>750</v>
      </c>
      <c r="AK26" s="1" t="s">
        <v>750</v>
      </c>
      <c r="AL26" s="2" t="s">
        <v>768</v>
      </c>
      <c r="AM26" s="1" t="s">
        <v>769</v>
      </c>
      <c r="AN26" s="1" t="s">
        <v>770</v>
      </c>
      <c r="AO26" s="1" t="s">
        <v>771</v>
      </c>
      <c r="AP26" s="2" t="s">
        <v>772</v>
      </c>
    </row>
    <row r="27" customFormat="false" ht="16.5" hidden="false" customHeight="true" outlineLevel="0" collapsed="false">
      <c r="A27" s="1" t="s">
        <v>559</v>
      </c>
      <c r="B27" s="1" t="s">
        <v>559</v>
      </c>
      <c r="C27" s="2" t="s">
        <v>773</v>
      </c>
      <c r="D27" s="1" t="s">
        <v>774</v>
      </c>
      <c r="E27" s="1" t="s">
        <v>559</v>
      </c>
      <c r="F27" s="1" t="s">
        <v>775</v>
      </c>
      <c r="G27" s="1" t="s">
        <v>559</v>
      </c>
      <c r="H27" s="3" t="s">
        <v>776</v>
      </c>
      <c r="I27" s="1" t="s">
        <v>559</v>
      </c>
      <c r="J27" s="1" t="s">
        <v>777</v>
      </c>
      <c r="K27" s="1" t="s">
        <v>559</v>
      </c>
      <c r="L27" s="1" t="s">
        <v>559</v>
      </c>
      <c r="M27" s="1" t="s">
        <v>778</v>
      </c>
      <c r="N27" s="1" t="s">
        <v>559</v>
      </c>
      <c r="O27" s="1" t="s">
        <v>779</v>
      </c>
      <c r="P27" s="1" t="s">
        <v>780</v>
      </c>
      <c r="Q27" s="1" t="s">
        <v>781</v>
      </c>
      <c r="R27" s="1" t="s">
        <v>782</v>
      </c>
      <c r="S27" s="2" t="s">
        <v>783</v>
      </c>
      <c r="T27" s="1" t="s">
        <v>784</v>
      </c>
      <c r="U27" s="1" t="s">
        <v>559</v>
      </c>
      <c r="V27" s="1" t="s">
        <v>559</v>
      </c>
      <c r="W27" s="1" t="s">
        <v>559</v>
      </c>
      <c r="X27" s="1" t="s">
        <v>785</v>
      </c>
      <c r="Y27" s="1" t="s">
        <v>786</v>
      </c>
      <c r="Z27" s="1" t="s">
        <v>787</v>
      </c>
      <c r="AA27" s="1" t="s">
        <v>559</v>
      </c>
      <c r="AB27" s="1" t="s">
        <v>559</v>
      </c>
      <c r="AC27" s="2" t="s">
        <v>788</v>
      </c>
      <c r="AD27" s="1" t="s">
        <v>559</v>
      </c>
      <c r="AE27" s="1" t="s">
        <v>559</v>
      </c>
      <c r="AF27" s="1" t="s">
        <v>559</v>
      </c>
      <c r="AG27" s="1" t="s">
        <v>559</v>
      </c>
      <c r="AH27" s="1" t="s">
        <v>559</v>
      </c>
      <c r="AI27" s="1" t="s">
        <v>559</v>
      </c>
      <c r="AJ27" s="1" t="s">
        <v>559</v>
      </c>
      <c r="AK27" s="1" t="s">
        <v>789</v>
      </c>
      <c r="AL27" s="2" t="s">
        <v>790</v>
      </c>
      <c r="AM27" s="1" t="s">
        <v>559</v>
      </c>
      <c r="AN27" s="1" t="s">
        <v>791</v>
      </c>
      <c r="AO27" s="1" t="s">
        <v>792</v>
      </c>
      <c r="AP27" s="2" t="s">
        <v>793</v>
      </c>
    </row>
    <row r="28" customFormat="false" ht="16.5" hidden="false" customHeight="true" outlineLevel="0" collapsed="false">
      <c r="A28" s="1" t="s">
        <v>794</v>
      </c>
      <c r="B28" s="1" t="s">
        <v>795</v>
      </c>
      <c r="C28" s="2" t="s">
        <v>796</v>
      </c>
      <c r="D28" s="1" t="s">
        <v>797</v>
      </c>
      <c r="E28" s="1" t="s">
        <v>794</v>
      </c>
      <c r="F28" s="1" t="s">
        <v>798</v>
      </c>
      <c r="G28" s="1" t="s">
        <v>799</v>
      </c>
      <c r="H28" s="3" t="s">
        <v>800</v>
      </c>
      <c r="I28" s="1" t="s">
        <v>794</v>
      </c>
      <c r="J28" s="1" t="s">
        <v>801</v>
      </c>
      <c r="K28" s="1" t="s">
        <v>794</v>
      </c>
      <c r="L28" s="1" t="s">
        <v>794</v>
      </c>
      <c r="M28" s="1" t="s">
        <v>794</v>
      </c>
      <c r="N28" s="1" t="s">
        <v>794</v>
      </c>
      <c r="O28" s="1" t="s">
        <v>802</v>
      </c>
      <c r="P28" s="1" t="s">
        <v>803</v>
      </c>
      <c r="Q28" s="1" t="s">
        <v>794</v>
      </c>
      <c r="R28" s="1" t="s">
        <v>804</v>
      </c>
      <c r="S28" s="2" t="s">
        <v>805</v>
      </c>
      <c r="T28" s="1" t="s">
        <v>806</v>
      </c>
      <c r="U28" s="1" t="s">
        <v>794</v>
      </c>
      <c r="V28" s="1" t="s">
        <v>794</v>
      </c>
      <c r="W28" s="1" t="s">
        <v>794</v>
      </c>
      <c r="X28" s="1" t="s">
        <v>807</v>
      </c>
      <c r="Y28" s="1" t="s">
        <v>808</v>
      </c>
      <c r="Z28" s="1" t="s">
        <v>809</v>
      </c>
      <c r="AA28" s="1" t="s">
        <v>794</v>
      </c>
      <c r="AB28" s="1" t="s">
        <v>794</v>
      </c>
      <c r="AC28" s="2" t="s">
        <v>810</v>
      </c>
      <c r="AD28" s="1" t="s">
        <v>811</v>
      </c>
      <c r="AE28" s="1" t="s">
        <v>799</v>
      </c>
      <c r="AF28" s="1" t="s">
        <v>794</v>
      </c>
      <c r="AG28" s="1" t="s">
        <v>794</v>
      </c>
      <c r="AH28" s="1" t="s">
        <v>794</v>
      </c>
      <c r="AI28" s="1" t="s">
        <v>794</v>
      </c>
      <c r="AJ28" s="1" t="s">
        <v>799</v>
      </c>
      <c r="AK28" s="1" t="s">
        <v>812</v>
      </c>
      <c r="AL28" s="2" t="s">
        <v>813</v>
      </c>
      <c r="AM28" s="1" t="s">
        <v>814</v>
      </c>
      <c r="AN28" s="1" t="s">
        <v>815</v>
      </c>
      <c r="AO28" s="1" t="s">
        <v>816</v>
      </c>
      <c r="AP28" s="2" t="s">
        <v>817</v>
      </c>
    </row>
    <row r="29" customFormat="false" ht="16.5" hidden="false" customHeight="true" outlineLevel="0" collapsed="false">
      <c r="A29" s="1" t="s">
        <v>818</v>
      </c>
      <c r="B29" s="1" t="s">
        <v>819</v>
      </c>
      <c r="C29" s="2" t="s">
        <v>820</v>
      </c>
      <c r="D29" s="1" t="s">
        <v>821</v>
      </c>
      <c r="E29" s="1" t="s">
        <v>818</v>
      </c>
      <c r="F29" s="1" t="s">
        <v>822</v>
      </c>
      <c r="G29" s="1" t="s">
        <v>823</v>
      </c>
      <c r="H29" s="3" t="s">
        <v>824</v>
      </c>
      <c r="I29" s="1" t="s">
        <v>818</v>
      </c>
      <c r="J29" s="1" t="s">
        <v>825</v>
      </c>
      <c r="K29" s="1" t="s">
        <v>818</v>
      </c>
      <c r="L29" s="1" t="s">
        <v>819</v>
      </c>
      <c r="M29" s="1" t="s">
        <v>826</v>
      </c>
      <c r="N29" s="1" t="s">
        <v>823</v>
      </c>
      <c r="O29" s="1" t="s">
        <v>823</v>
      </c>
      <c r="P29" s="1" t="s">
        <v>827</v>
      </c>
      <c r="Q29" s="1" t="s">
        <v>823</v>
      </c>
      <c r="R29" s="1" t="s">
        <v>828</v>
      </c>
      <c r="S29" s="2" t="s">
        <v>829</v>
      </c>
      <c r="T29" s="1" t="s">
        <v>830</v>
      </c>
      <c r="U29" s="1" t="s">
        <v>826</v>
      </c>
      <c r="V29" s="1" t="s">
        <v>831</v>
      </c>
      <c r="W29" s="1" t="s">
        <v>832</v>
      </c>
      <c r="X29" s="1" t="s">
        <v>833</v>
      </c>
      <c r="Y29" s="1" t="s">
        <v>834</v>
      </c>
      <c r="Z29" s="1" t="s">
        <v>835</v>
      </c>
      <c r="AA29" s="1" t="s">
        <v>836</v>
      </c>
      <c r="AB29" s="1" t="s">
        <v>823</v>
      </c>
      <c r="AC29" s="2" t="s">
        <v>837</v>
      </c>
      <c r="AD29" s="1" t="s">
        <v>819</v>
      </c>
      <c r="AE29" s="1" t="s">
        <v>823</v>
      </c>
      <c r="AF29" s="1" t="s">
        <v>823</v>
      </c>
      <c r="AG29" s="1" t="s">
        <v>819</v>
      </c>
      <c r="AH29" s="1" t="s">
        <v>830</v>
      </c>
      <c r="AI29" s="1" t="s">
        <v>819</v>
      </c>
      <c r="AJ29" s="1" t="s">
        <v>818</v>
      </c>
      <c r="AK29" s="1" t="s">
        <v>838</v>
      </c>
      <c r="AL29" s="2" t="s">
        <v>839</v>
      </c>
      <c r="AM29" s="1" t="s">
        <v>818</v>
      </c>
      <c r="AN29" s="1" t="s">
        <v>840</v>
      </c>
      <c r="AO29" s="1" t="s">
        <v>841</v>
      </c>
      <c r="AP29" s="2" t="s">
        <v>842</v>
      </c>
    </row>
    <row r="30" customFormat="false" ht="16.5" hidden="false" customHeight="true" outlineLevel="0" collapsed="false">
      <c r="A30" s="1" t="s">
        <v>843</v>
      </c>
      <c r="B30" s="1" t="s">
        <v>844</v>
      </c>
      <c r="C30" s="2" t="s">
        <v>845</v>
      </c>
      <c r="D30" s="1" t="s">
        <v>846</v>
      </c>
      <c r="E30" s="1" t="s">
        <v>847</v>
      </c>
      <c r="F30" s="1" t="s">
        <v>848</v>
      </c>
      <c r="G30" s="1" t="s">
        <v>843</v>
      </c>
      <c r="H30" s="3" t="s">
        <v>849</v>
      </c>
      <c r="I30" s="1" t="s">
        <v>843</v>
      </c>
      <c r="J30" s="1" t="s">
        <v>850</v>
      </c>
      <c r="K30" s="1" t="s">
        <v>851</v>
      </c>
      <c r="L30" s="1" t="s">
        <v>843</v>
      </c>
      <c r="M30" s="1" t="s">
        <v>843</v>
      </c>
      <c r="N30" s="1" t="s">
        <v>843</v>
      </c>
      <c r="O30" s="1" t="s">
        <v>852</v>
      </c>
      <c r="P30" s="1" t="s">
        <v>853</v>
      </c>
      <c r="Q30" s="1" t="s">
        <v>843</v>
      </c>
      <c r="R30" s="1" t="s">
        <v>854</v>
      </c>
      <c r="S30" s="2" t="s">
        <v>855</v>
      </c>
      <c r="T30" s="1" t="s">
        <v>856</v>
      </c>
      <c r="U30" s="1" t="s">
        <v>843</v>
      </c>
      <c r="V30" s="1" t="s">
        <v>856</v>
      </c>
      <c r="W30" s="1" t="s">
        <v>857</v>
      </c>
      <c r="X30" s="1" t="s">
        <v>858</v>
      </c>
      <c r="Y30" s="1" t="s">
        <v>859</v>
      </c>
      <c r="Z30" s="1" t="s">
        <v>860</v>
      </c>
      <c r="AA30" s="1" t="s">
        <v>861</v>
      </c>
      <c r="AB30" s="1" t="s">
        <v>843</v>
      </c>
      <c r="AC30" s="2" t="s">
        <v>862</v>
      </c>
      <c r="AD30" s="1" t="s">
        <v>863</v>
      </c>
      <c r="AE30" s="1" t="s">
        <v>843</v>
      </c>
      <c r="AF30" s="1" t="s">
        <v>864</v>
      </c>
      <c r="AG30" s="1" t="s">
        <v>843</v>
      </c>
      <c r="AH30" s="1" t="s">
        <v>856</v>
      </c>
      <c r="AI30" s="1" t="s">
        <v>843</v>
      </c>
      <c r="AJ30" s="1" t="s">
        <v>843</v>
      </c>
      <c r="AK30" s="1" t="s">
        <v>865</v>
      </c>
      <c r="AL30" s="2" t="s">
        <v>866</v>
      </c>
      <c r="AM30" s="1" t="s">
        <v>867</v>
      </c>
      <c r="AN30" s="1" t="s">
        <v>868</v>
      </c>
      <c r="AO30" s="1" t="s">
        <v>869</v>
      </c>
      <c r="AP30" s="2" t="s">
        <v>870</v>
      </c>
    </row>
    <row r="31" customFormat="false" ht="16.5" hidden="false" customHeight="true" outlineLevel="0" collapsed="false">
      <c r="A31" s="1" t="s">
        <v>871</v>
      </c>
      <c r="B31" s="1" t="s">
        <v>872</v>
      </c>
      <c r="C31" s="2" t="s">
        <v>873</v>
      </c>
      <c r="D31" s="1" t="s">
        <v>874</v>
      </c>
      <c r="E31" s="1" t="s">
        <v>875</v>
      </c>
      <c r="F31" s="1" t="s">
        <v>876</v>
      </c>
      <c r="G31" s="1" t="s">
        <v>871</v>
      </c>
      <c r="H31" s="3" t="s">
        <v>877</v>
      </c>
      <c r="I31" s="1" t="s">
        <v>871</v>
      </c>
      <c r="J31" s="1" t="s">
        <v>878</v>
      </c>
      <c r="K31" s="1" t="s">
        <v>879</v>
      </c>
      <c r="L31" s="1" t="s">
        <v>871</v>
      </c>
      <c r="M31" s="1" t="s">
        <v>871</v>
      </c>
      <c r="N31" s="1" t="s">
        <v>871</v>
      </c>
      <c r="O31" s="1" t="s">
        <v>880</v>
      </c>
      <c r="P31" s="1" t="s">
        <v>881</v>
      </c>
      <c r="Q31" s="1" t="s">
        <v>871</v>
      </c>
      <c r="R31" s="1" t="s">
        <v>882</v>
      </c>
      <c r="S31" s="2" t="s">
        <v>883</v>
      </c>
      <c r="T31" s="1" t="s">
        <v>884</v>
      </c>
      <c r="U31" s="1" t="s">
        <v>871</v>
      </c>
      <c r="V31" s="1" t="s">
        <v>884</v>
      </c>
      <c r="W31" s="1" t="s">
        <v>885</v>
      </c>
      <c r="X31" s="1" t="s">
        <v>886</v>
      </c>
      <c r="Y31" s="1" t="s">
        <v>887</v>
      </c>
      <c r="Z31" s="1" t="s">
        <v>888</v>
      </c>
      <c r="AA31" s="1" t="s">
        <v>889</v>
      </c>
      <c r="AB31" s="1" t="s">
        <v>871</v>
      </c>
      <c r="AC31" s="2" t="s">
        <v>890</v>
      </c>
      <c r="AD31" s="1" t="s">
        <v>850</v>
      </c>
      <c r="AE31" s="1" t="s">
        <v>871</v>
      </c>
      <c r="AF31" s="1" t="s">
        <v>891</v>
      </c>
      <c r="AG31" s="1" t="s">
        <v>871</v>
      </c>
      <c r="AH31" s="1" t="s">
        <v>884</v>
      </c>
      <c r="AI31" s="1" t="s">
        <v>871</v>
      </c>
      <c r="AJ31" s="1" t="s">
        <v>871</v>
      </c>
      <c r="AK31" s="1" t="s">
        <v>892</v>
      </c>
      <c r="AL31" s="2" t="s">
        <v>893</v>
      </c>
      <c r="AM31" s="1" t="s">
        <v>894</v>
      </c>
      <c r="AN31" s="1" t="s">
        <v>895</v>
      </c>
      <c r="AO31" s="1" t="s">
        <v>896</v>
      </c>
      <c r="AP31" s="2" t="s">
        <v>897</v>
      </c>
    </row>
    <row r="32" customFormat="false" ht="16.5" hidden="false" customHeight="true" outlineLevel="0" collapsed="false">
      <c r="A32" s="1" t="s">
        <v>898</v>
      </c>
      <c r="B32" s="1" t="s">
        <v>899</v>
      </c>
      <c r="C32" s="2" t="s">
        <v>900</v>
      </c>
      <c r="D32" s="1" t="s">
        <v>901</v>
      </c>
      <c r="E32" s="1" t="s">
        <v>902</v>
      </c>
      <c r="F32" s="1" t="s">
        <v>903</v>
      </c>
      <c r="G32" s="1" t="s">
        <v>904</v>
      </c>
      <c r="H32" s="3" t="s">
        <v>905</v>
      </c>
      <c r="I32" s="1" t="s">
        <v>898</v>
      </c>
      <c r="J32" s="1" t="s">
        <v>906</v>
      </c>
      <c r="K32" s="1" t="s">
        <v>898</v>
      </c>
      <c r="L32" s="1" t="s">
        <v>898</v>
      </c>
      <c r="M32" s="1" t="s">
        <v>898</v>
      </c>
      <c r="N32" s="1" t="s">
        <v>898</v>
      </c>
      <c r="O32" s="1" t="s">
        <v>907</v>
      </c>
      <c r="P32" s="1" t="s">
        <v>908</v>
      </c>
      <c r="Q32" s="1" t="s">
        <v>898</v>
      </c>
      <c r="R32" s="1" t="s">
        <v>909</v>
      </c>
      <c r="S32" s="2" t="s">
        <v>910</v>
      </c>
      <c r="T32" s="1" t="s">
        <v>898</v>
      </c>
      <c r="U32" s="1" t="s">
        <v>911</v>
      </c>
      <c r="V32" s="1" t="s">
        <v>912</v>
      </c>
      <c r="W32" s="1" t="s">
        <v>904</v>
      </c>
      <c r="X32" s="1" t="s">
        <v>913</v>
      </c>
      <c r="Y32" s="1" t="s">
        <v>914</v>
      </c>
      <c r="Z32" s="1" t="s">
        <v>915</v>
      </c>
      <c r="AA32" s="1" t="s">
        <v>916</v>
      </c>
      <c r="AB32" s="1" t="s">
        <v>898</v>
      </c>
      <c r="AC32" s="2" t="s">
        <v>917</v>
      </c>
      <c r="AD32" s="1" t="s">
        <v>918</v>
      </c>
      <c r="AE32" s="1" t="s">
        <v>904</v>
      </c>
      <c r="AF32" s="1" t="s">
        <v>898</v>
      </c>
      <c r="AG32" s="1" t="s">
        <v>919</v>
      </c>
      <c r="AH32" s="1" t="s">
        <v>898</v>
      </c>
      <c r="AI32" s="1" t="s">
        <v>919</v>
      </c>
      <c r="AJ32" s="1" t="s">
        <v>904</v>
      </c>
      <c r="AK32" s="1" t="s">
        <v>898</v>
      </c>
      <c r="AL32" s="2" t="s">
        <v>920</v>
      </c>
      <c r="AM32" s="1" t="s">
        <v>921</v>
      </c>
      <c r="AN32" s="1" t="s">
        <v>922</v>
      </c>
      <c r="AO32" s="1" t="s">
        <v>923</v>
      </c>
      <c r="AP32" s="2" t="s">
        <v>924</v>
      </c>
    </row>
    <row r="33" customFormat="false" ht="16.5" hidden="false" customHeight="true" outlineLevel="0" collapsed="false">
      <c r="A33" s="1" t="s">
        <v>925</v>
      </c>
      <c r="B33" s="1" t="s">
        <v>926</v>
      </c>
      <c r="C33" s="2" t="s">
        <v>927</v>
      </c>
      <c r="D33" s="1" t="s">
        <v>928</v>
      </c>
      <c r="E33" s="1" t="s">
        <v>544</v>
      </c>
      <c r="F33" s="1" t="s">
        <v>929</v>
      </c>
      <c r="G33" s="1" t="s">
        <v>930</v>
      </c>
      <c r="H33" s="3" t="s">
        <v>931</v>
      </c>
      <c r="I33" s="1" t="s">
        <v>925</v>
      </c>
      <c r="J33" s="1" t="s">
        <v>932</v>
      </c>
      <c r="K33" s="1" t="s">
        <v>925</v>
      </c>
      <c r="L33" s="1" t="s">
        <v>925</v>
      </c>
      <c r="M33" s="1" t="s">
        <v>925</v>
      </c>
      <c r="N33" s="1" t="s">
        <v>925</v>
      </c>
      <c r="O33" s="1" t="s">
        <v>933</v>
      </c>
      <c r="P33" s="1" t="s">
        <v>934</v>
      </c>
      <c r="Q33" s="1" t="s">
        <v>925</v>
      </c>
      <c r="R33" s="1" t="s">
        <v>935</v>
      </c>
      <c r="S33" s="2" t="s">
        <v>936</v>
      </c>
      <c r="T33" s="1" t="s">
        <v>937</v>
      </c>
      <c r="U33" s="1" t="s">
        <v>925</v>
      </c>
      <c r="V33" s="1" t="s">
        <v>925</v>
      </c>
      <c r="W33" s="1" t="s">
        <v>930</v>
      </c>
      <c r="X33" s="1" t="s">
        <v>938</v>
      </c>
      <c r="Y33" s="1" t="s">
        <v>939</v>
      </c>
      <c r="Z33" s="1" t="s">
        <v>940</v>
      </c>
      <c r="AA33" s="1" t="s">
        <v>930</v>
      </c>
      <c r="AB33" s="1" t="s">
        <v>925</v>
      </c>
      <c r="AC33" s="2" t="s">
        <v>941</v>
      </c>
      <c r="AD33" s="1" t="s">
        <v>942</v>
      </c>
      <c r="AE33" s="1" t="s">
        <v>930</v>
      </c>
      <c r="AF33" s="1" t="s">
        <v>925</v>
      </c>
      <c r="AG33" s="1" t="s">
        <v>925</v>
      </c>
      <c r="AH33" s="1" t="s">
        <v>925</v>
      </c>
      <c r="AI33" s="1" t="s">
        <v>925</v>
      </c>
      <c r="AJ33" s="1" t="s">
        <v>925</v>
      </c>
      <c r="AK33" s="1" t="s">
        <v>943</v>
      </c>
      <c r="AL33" s="2" t="s">
        <v>944</v>
      </c>
      <c r="AM33" s="1" t="s">
        <v>945</v>
      </c>
      <c r="AN33" s="1" t="s">
        <v>946</v>
      </c>
      <c r="AO33" s="1" t="s">
        <v>947</v>
      </c>
      <c r="AP33" s="2" t="s">
        <v>948</v>
      </c>
    </row>
    <row r="34" customFormat="false" ht="16.5" hidden="false" customHeight="true" outlineLevel="0" collapsed="false">
      <c r="A34" s="1" t="s">
        <v>949</v>
      </c>
      <c r="B34" s="1" t="s">
        <v>950</v>
      </c>
      <c r="C34" s="2" t="s">
        <v>951</v>
      </c>
      <c r="D34" s="1" t="s">
        <v>952</v>
      </c>
      <c r="E34" s="1" t="s">
        <v>953</v>
      </c>
      <c r="F34" s="1" t="s">
        <v>954</v>
      </c>
      <c r="G34" s="1" t="s">
        <v>949</v>
      </c>
      <c r="H34" s="3" t="s">
        <v>955</v>
      </c>
      <c r="I34" s="1" t="s">
        <v>949</v>
      </c>
      <c r="J34" s="1" t="s">
        <v>956</v>
      </c>
      <c r="K34" s="1" t="s">
        <v>949</v>
      </c>
      <c r="L34" s="1" t="s">
        <v>953</v>
      </c>
      <c r="M34" s="1" t="s">
        <v>953</v>
      </c>
      <c r="N34" s="1" t="s">
        <v>953</v>
      </c>
      <c r="O34" s="1" t="s">
        <v>949</v>
      </c>
      <c r="P34" s="1" t="s">
        <v>957</v>
      </c>
      <c r="Q34" s="1" t="s">
        <v>953</v>
      </c>
      <c r="R34" s="1" t="s">
        <v>958</v>
      </c>
      <c r="S34" s="2" t="s">
        <v>959</v>
      </c>
      <c r="T34" s="1" t="s">
        <v>953</v>
      </c>
      <c r="U34" s="1" t="s">
        <v>953</v>
      </c>
      <c r="V34" s="1" t="s">
        <v>953</v>
      </c>
      <c r="W34" s="1" t="s">
        <v>960</v>
      </c>
      <c r="X34" s="1" t="s">
        <v>961</v>
      </c>
      <c r="Y34" s="1" t="s">
        <v>962</v>
      </c>
      <c r="Z34" s="1" t="s">
        <v>963</v>
      </c>
      <c r="AA34" s="1" t="s">
        <v>960</v>
      </c>
      <c r="AB34" s="1" t="s">
        <v>953</v>
      </c>
      <c r="AC34" s="2" t="s">
        <v>964</v>
      </c>
      <c r="AD34" s="1" t="s">
        <v>965</v>
      </c>
      <c r="AE34" s="1" t="s">
        <v>966</v>
      </c>
      <c r="AF34" s="1" t="s">
        <v>949</v>
      </c>
      <c r="AG34" s="1" t="s">
        <v>953</v>
      </c>
      <c r="AH34" s="1" t="s">
        <v>953</v>
      </c>
      <c r="AI34" s="1" t="s">
        <v>949</v>
      </c>
      <c r="AJ34" s="1" t="s">
        <v>949</v>
      </c>
      <c r="AK34" s="1" t="s">
        <v>967</v>
      </c>
      <c r="AL34" s="2" t="s">
        <v>968</v>
      </c>
      <c r="AM34" s="1" t="s">
        <v>969</v>
      </c>
      <c r="AN34" s="1" t="s">
        <v>970</v>
      </c>
      <c r="AO34" s="1" t="s">
        <v>971</v>
      </c>
      <c r="AP34" s="2" t="s">
        <v>972</v>
      </c>
    </row>
    <row r="35" customFormat="false" ht="16.5" hidden="false" customHeight="true" outlineLevel="0" collapsed="false">
      <c r="A35" s="1" t="s">
        <v>973</v>
      </c>
      <c r="B35" s="1" t="s">
        <v>974</v>
      </c>
      <c r="C35" s="2" t="s">
        <v>975</v>
      </c>
      <c r="D35" s="1" t="s">
        <v>976</v>
      </c>
      <c r="E35" s="1" t="s">
        <v>977</v>
      </c>
      <c r="F35" s="1" t="s">
        <v>978</v>
      </c>
      <c r="G35" s="1" t="s">
        <v>973</v>
      </c>
      <c r="H35" s="3" t="s">
        <v>979</v>
      </c>
      <c r="I35" s="1" t="s">
        <v>973</v>
      </c>
      <c r="J35" s="1" t="s">
        <v>980</v>
      </c>
      <c r="K35" s="1" t="s">
        <v>973</v>
      </c>
      <c r="L35" s="1" t="s">
        <v>973</v>
      </c>
      <c r="M35" s="1" t="s">
        <v>973</v>
      </c>
      <c r="N35" s="1" t="s">
        <v>973</v>
      </c>
      <c r="O35" s="1" t="s">
        <v>973</v>
      </c>
      <c r="P35" s="1" t="s">
        <v>981</v>
      </c>
      <c r="Q35" s="1" t="s">
        <v>973</v>
      </c>
      <c r="R35" s="1" t="s">
        <v>982</v>
      </c>
      <c r="S35" s="2" t="s">
        <v>983</v>
      </c>
      <c r="T35" s="1" t="s">
        <v>973</v>
      </c>
      <c r="U35" s="1" t="s">
        <v>984</v>
      </c>
      <c r="V35" s="1" t="s">
        <v>985</v>
      </c>
      <c r="W35" s="1" t="s">
        <v>973</v>
      </c>
      <c r="X35" s="1" t="s">
        <v>986</v>
      </c>
      <c r="Y35" s="1" t="s">
        <v>987</v>
      </c>
      <c r="Z35" s="1" t="s">
        <v>988</v>
      </c>
      <c r="AA35" s="1" t="s">
        <v>973</v>
      </c>
      <c r="AB35" s="1" t="s">
        <v>973</v>
      </c>
      <c r="AC35" s="2" t="s">
        <v>989</v>
      </c>
      <c r="AD35" s="1" t="s">
        <v>956</v>
      </c>
      <c r="AE35" s="1" t="s">
        <v>973</v>
      </c>
      <c r="AF35" s="1" t="s">
        <v>990</v>
      </c>
      <c r="AG35" s="1" t="s">
        <v>973</v>
      </c>
      <c r="AH35" s="1" t="s">
        <v>973</v>
      </c>
      <c r="AI35" s="1" t="s">
        <v>973</v>
      </c>
      <c r="AJ35" s="1" t="s">
        <v>973</v>
      </c>
      <c r="AK35" s="1" t="s">
        <v>991</v>
      </c>
      <c r="AL35" s="2" t="s">
        <v>992</v>
      </c>
      <c r="AM35" s="1" t="s">
        <v>993</v>
      </c>
      <c r="AN35" s="1" t="s">
        <v>994</v>
      </c>
      <c r="AO35" s="1" t="s">
        <v>995</v>
      </c>
      <c r="AP35" s="2" t="s">
        <v>996</v>
      </c>
    </row>
    <row r="36" customFormat="false" ht="16.5" hidden="false" customHeight="true" outlineLevel="0" collapsed="false">
      <c r="A36" s="1" t="s">
        <v>997</v>
      </c>
      <c r="B36" s="1" t="s">
        <v>998</v>
      </c>
      <c r="C36" s="2" t="s">
        <v>999</v>
      </c>
      <c r="D36" s="1" t="s">
        <v>1000</v>
      </c>
      <c r="E36" s="1" t="s">
        <v>1001</v>
      </c>
      <c r="F36" s="1" t="s">
        <v>1002</v>
      </c>
      <c r="G36" s="1" t="s">
        <v>1003</v>
      </c>
      <c r="H36" s="3" t="s">
        <v>1004</v>
      </c>
      <c r="I36" s="1" t="s">
        <v>997</v>
      </c>
      <c r="J36" s="1" t="s">
        <v>1005</v>
      </c>
      <c r="K36" s="1" t="s">
        <v>997</v>
      </c>
      <c r="L36" s="1" t="s">
        <v>997</v>
      </c>
      <c r="M36" s="1" t="s">
        <v>997</v>
      </c>
      <c r="N36" s="1" t="s">
        <v>1003</v>
      </c>
      <c r="O36" s="1" t="s">
        <v>1006</v>
      </c>
      <c r="P36" s="1" t="s">
        <v>1007</v>
      </c>
      <c r="Q36" s="1" t="s">
        <v>1008</v>
      </c>
      <c r="R36" s="1" t="s">
        <v>1009</v>
      </c>
      <c r="S36" s="2" t="s">
        <v>1010</v>
      </c>
      <c r="T36" s="1" t="s">
        <v>997</v>
      </c>
      <c r="U36" s="1" t="s">
        <v>1003</v>
      </c>
      <c r="V36" s="1" t="s">
        <v>1003</v>
      </c>
      <c r="W36" s="1" t="s">
        <v>1011</v>
      </c>
      <c r="X36" s="1" t="s">
        <v>1012</v>
      </c>
      <c r="Y36" s="1" t="s">
        <v>1013</v>
      </c>
      <c r="Z36" s="1" t="s">
        <v>1014</v>
      </c>
      <c r="AA36" s="1" t="s">
        <v>1015</v>
      </c>
      <c r="AB36" s="1" t="s">
        <v>1003</v>
      </c>
      <c r="AC36" s="2" t="s">
        <v>1016</v>
      </c>
      <c r="AD36" s="1" t="s">
        <v>1017</v>
      </c>
      <c r="AE36" s="1" t="s">
        <v>1008</v>
      </c>
      <c r="AF36" s="1" t="s">
        <v>997</v>
      </c>
      <c r="AG36" s="1" t="s">
        <v>997</v>
      </c>
      <c r="AH36" s="1" t="s">
        <v>997</v>
      </c>
      <c r="AI36" s="1" t="s">
        <v>997</v>
      </c>
      <c r="AJ36" s="1" t="s">
        <v>1011</v>
      </c>
      <c r="AK36" s="1" t="s">
        <v>1018</v>
      </c>
      <c r="AL36" s="2" t="s">
        <v>1019</v>
      </c>
      <c r="AM36" s="1" t="s">
        <v>1020</v>
      </c>
      <c r="AN36" s="1" t="s">
        <v>1021</v>
      </c>
      <c r="AO36" s="1" t="s">
        <v>1022</v>
      </c>
      <c r="AP36" s="2" t="s">
        <v>1023</v>
      </c>
    </row>
    <row r="37" customFormat="false" ht="14.25" hidden="false" customHeight="true" outlineLevel="0" collapsed="false">
      <c r="A37" s="1" t="s">
        <v>1024</v>
      </c>
      <c r="B37" s="1" t="s">
        <v>1025</v>
      </c>
      <c r="C37" s="2" t="s">
        <v>1026</v>
      </c>
      <c r="D37" s="1" t="s">
        <v>1027</v>
      </c>
      <c r="E37" s="1" t="s">
        <v>1028</v>
      </c>
      <c r="F37" s="1" t="s">
        <v>1029</v>
      </c>
      <c r="G37" s="1" t="s">
        <v>1030</v>
      </c>
      <c r="H37" s="3" t="s">
        <v>1031</v>
      </c>
      <c r="I37" s="3" t="s">
        <v>1032</v>
      </c>
      <c r="J37" s="1" t="s">
        <v>1024</v>
      </c>
      <c r="K37" s="1" t="s">
        <v>1024</v>
      </c>
      <c r="L37" s="1" t="s">
        <v>1033</v>
      </c>
      <c r="M37" s="1" t="s">
        <v>1024</v>
      </c>
      <c r="N37" s="1" t="s">
        <v>1034</v>
      </c>
      <c r="O37" s="1" t="s">
        <v>1035</v>
      </c>
      <c r="P37" s="1" t="s">
        <v>1036</v>
      </c>
      <c r="Q37" s="1" t="s">
        <v>1024</v>
      </c>
      <c r="R37" s="1" t="s">
        <v>1037</v>
      </c>
      <c r="S37" s="2" t="s">
        <v>1038</v>
      </c>
      <c r="T37" s="1" t="s">
        <v>1039</v>
      </c>
      <c r="U37" s="1" t="s">
        <v>1040</v>
      </c>
      <c r="V37" s="1" t="s">
        <v>1034</v>
      </c>
      <c r="W37" s="1" t="s">
        <v>1041</v>
      </c>
      <c r="X37" s="3" t="s">
        <v>1042</v>
      </c>
      <c r="Y37" s="1" t="s">
        <v>1028</v>
      </c>
      <c r="Z37" s="1" t="s">
        <v>1043</v>
      </c>
      <c r="AA37" s="1" t="s">
        <v>1040</v>
      </c>
      <c r="AB37" s="1" t="s">
        <v>1044</v>
      </c>
      <c r="AC37" s="2" t="s">
        <v>1045</v>
      </c>
      <c r="AD37" s="1" t="s">
        <v>1046</v>
      </c>
      <c r="AE37" s="1" t="s">
        <v>1047</v>
      </c>
      <c r="AF37" s="1" t="s">
        <v>1048</v>
      </c>
      <c r="AG37" s="1" t="s">
        <v>1049</v>
      </c>
      <c r="AH37" s="1" t="s">
        <v>1050</v>
      </c>
      <c r="AI37" s="1" t="s">
        <v>1051</v>
      </c>
      <c r="AJ37" s="1" t="s">
        <v>1052</v>
      </c>
      <c r="AK37" s="1" t="s">
        <v>1044</v>
      </c>
      <c r="AL37" s="2" t="s">
        <v>1053</v>
      </c>
      <c r="AM37" s="1" t="s">
        <v>1054</v>
      </c>
      <c r="AN37" s="1" t="s">
        <v>1055</v>
      </c>
      <c r="AO37" s="1" t="s">
        <v>1056</v>
      </c>
      <c r="AP37" s="2" t="s">
        <v>1057</v>
      </c>
    </row>
    <row r="38" customFormat="false" ht="14.25" hidden="false" customHeight="true" outlineLevel="0" collapsed="false">
      <c r="A38" s="1" t="s">
        <v>1058</v>
      </c>
      <c r="B38" s="1" t="s">
        <v>1058</v>
      </c>
      <c r="C38" s="2" t="s">
        <v>1059</v>
      </c>
      <c r="D38" s="1" t="s">
        <v>1060</v>
      </c>
      <c r="E38" s="1" t="s">
        <v>1061</v>
      </c>
      <c r="F38" s="1" t="s">
        <v>1062</v>
      </c>
      <c r="G38" s="1" t="s">
        <v>1058</v>
      </c>
      <c r="H38" s="3" t="s">
        <v>1063</v>
      </c>
      <c r="I38" s="3" t="s">
        <v>1064</v>
      </c>
      <c r="J38" s="1" t="s">
        <v>1058</v>
      </c>
      <c r="K38" s="1" t="s">
        <v>1058</v>
      </c>
      <c r="L38" s="1" t="s">
        <v>1058</v>
      </c>
      <c r="M38" s="1" t="s">
        <v>1058</v>
      </c>
      <c r="N38" s="1" t="s">
        <v>1058</v>
      </c>
      <c r="O38" s="1" t="s">
        <v>1065</v>
      </c>
      <c r="P38" s="1" t="s">
        <v>1066</v>
      </c>
      <c r="Q38" s="1" t="s">
        <v>1058</v>
      </c>
      <c r="R38" s="1" t="s">
        <v>1067</v>
      </c>
      <c r="S38" s="2" t="s">
        <v>1068</v>
      </c>
      <c r="T38" s="1" t="s">
        <v>1069</v>
      </c>
      <c r="U38" s="1" t="s">
        <v>1070</v>
      </c>
      <c r="V38" s="1" t="s">
        <v>1058</v>
      </c>
      <c r="W38" s="1" t="s">
        <v>1058</v>
      </c>
      <c r="X38" s="3" t="s">
        <v>1071</v>
      </c>
      <c r="Y38" s="1" t="s">
        <v>1072</v>
      </c>
      <c r="Z38" s="1" t="s">
        <v>1062</v>
      </c>
      <c r="AA38" s="1" t="s">
        <v>1070</v>
      </c>
      <c r="AB38" s="1" t="s">
        <v>1058</v>
      </c>
      <c r="AC38" s="2" t="s">
        <v>1073</v>
      </c>
      <c r="AD38" s="1" t="s">
        <v>1058</v>
      </c>
      <c r="AE38" s="1" t="s">
        <v>1058</v>
      </c>
      <c r="AF38" s="1" t="s">
        <v>1058</v>
      </c>
      <c r="AG38" s="1" t="s">
        <v>1074</v>
      </c>
      <c r="AH38" s="1" t="s">
        <v>1058</v>
      </c>
      <c r="AI38" s="1" t="s">
        <v>1058</v>
      </c>
      <c r="AJ38" s="1" t="s">
        <v>1058</v>
      </c>
      <c r="AK38" s="1" t="s">
        <v>1058</v>
      </c>
      <c r="AL38" s="2" t="s">
        <v>1075</v>
      </c>
      <c r="AM38" s="1" t="s">
        <v>1058</v>
      </c>
      <c r="AN38" s="1" t="s">
        <v>1058</v>
      </c>
      <c r="AO38" s="1" t="s">
        <v>1062</v>
      </c>
      <c r="AP38" s="2" t="s">
        <v>1076</v>
      </c>
    </row>
    <row r="39" customFormat="false" ht="14.25" hidden="false" customHeight="true" outlineLevel="0" collapsed="false">
      <c r="A39" s="1" t="s">
        <v>1077</v>
      </c>
      <c r="B39" s="1" t="s">
        <v>1078</v>
      </c>
      <c r="C39" s="2" t="s">
        <v>1079</v>
      </c>
      <c r="D39" s="1" t="s">
        <v>1080</v>
      </c>
      <c r="E39" s="1" t="s">
        <v>1077</v>
      </c>
      <c r="F39" s="1" t="s">
        <v>1081</v>
      </c>
      <c r="G39" s="1" t="s">
        <v>1077</v>
      </c>
      <c r="H39" s="3" t="s">
        <v>1082</v>
      </c>
      <c r="I39" s="3" t="s">
        <v>1083</v>
      </c>
      <c r="J39" s="1" t="s">
        <v>1084</v>
      </c>
      <c r="K39" s="1" t="s">
        <v>1084</v>
      </c>
      <c r="L39" s="1" t="s">
        <v>1077</v>
      </c>
      <c r="M39" s="1" t="s">
        <v>1077</v>
      </c>
      <c r="N39" s="1" t="s">
        <v>1077</v>
      </c>
      <c r="O39" s="1" t="s">
        <v>1077</v>
      </c>
      <c r="P39" s="1" t="s">
        <v>1085</v>
      </c>
      <c r="Q39" s="1" t="s">
        <v>1084</v>
      </c>
      <c r="R39" s="1" t="s">
        <v>1086</v>
      </c>
      <c r="S39" s="2" t="s">
        <v>1087</v>
      </c>
      <c r="T39" s="1" t="s">
        <v>1084</v>
      </c>
      <c r="U39" s="1" t="s">
        <v>1077</v>
      </c>
      <c r="V39" s="1" t="s">
        <v>1084</v>
      </c>
      <c r="W39" s="1" t="s">
        <v>1077</v>
      </c>
      <c r="X39" s="3" t="s">
        <v>1088</v>
      </c>
      <c r="Y39" s="1" t="s">
        <v>1089</v>
      </c>
      <c r="Z39" s="1" t="s">
        <v>1081</v>
      </c>
      <c r="AA39" s="1" t="s">
        <v>1077</v>
      </c>
      <c r="AB39" s="1" t="s">
        <v>1077</v>
      </c>
      <c r="AC39" s="2" t="s">
        <v>1090</v>
      </c>
      <c r="AD39" s="1" t="s">
        <v>1084</v>
      </c>
      <c r="AE39" s="1" t="s">
        <v>1091</v>
      </c>
      <c r="AF39" s="1" t="s">
        <v>1077</v>
      </c>
      <c r="AG39" s="1" t="s">
        <v>1081</v>
      </c>
      <c r="AH39" s="1" t="s">
        <v>1084</v>
      </c>
      <c r="AI39" s="1" t="s">
        <v>1084</v>
      </c>
      <c r="AJ39" s="1" t="s">
        <v>1084</v>
      </c>
      <c r="AK39" s="1" t="s">
        <v>1077</v>
      </c>
      <c r="AL39" s="2" t="s">
        <v>1092</v>
      </c>
      <c r="AM39" s="1" t="s">
        <v>1084</v>
      </c>
      <c r="AN39" s="1" t="s">
        <v>1077</v>
      </c>
      <c r="AO39" s="1" t="s">
        <v>1081</v>
      </c>
      <c r="AP39" s="2" t="s">
        <v>1090</v>
      </c>
    </row>
    <row r="40" customFormat="false" ht="14.25" hidden="false" customHeight="true" outlineLevel="0" collapsed="false">
      <c r="A40" s="1" t="s">
        <v>1093</v>
      </c>
      <c r="B40" s="1" t="s">
        <v>1094</v>
      </c>
      <c r="C40" s="2" t="s">
        <v>1095</v>
      </c>
      <c r="D40" s="1" t="s">
        <v>1096</v>
      </c>
      <c r="E40" s="1" t="s">
        <v>1097</v>
      </c>
      <c r="F40" s="1" t="s">
        <v>1098</v>
      </c>
      <c r="G40" s="1" t="s">
        <v>1093</v>
      </c>
      <c r="H40" s="3" t="s">
        <v>1099</v>
      </c>
      <c r="I40" s="3" t="s">
        <v>1100</v>
      </c>
      <c r="J40" s="1" t="s">
        <v>1097</v>
      </c>
      <c r="K40" s="1" t="s">
        <v>1101</v>
      </c>
      <c r="L40" s="1" t="s">
        <v>1093</v>
      </c>
      <c r="M40" s="1" t="s">
        <v>1093</v>
      </c>
      <c r="N40" s="1" t="s">
        <v>1102</v>
      </c>
      <c r="O40" s="1" t="s">
        <v>1102</v>
      </c>
      <c r="P40" s="1" t="s">
        <v>1103</v>
      </c>
      <c r="Q40" s="1" t="s">
        <v>1093</v>
      </c>
      <c r="R40" s="1" t="s">
        <v>1104</v>
      </c>
      <c r="S40" s="2" t="s">
        <v>1105</v>
      </c>
      <c r="T40" s="1" t="s">
        <v>1093</v>
      </c>
      <c r="U40" s="1" t="s">
        <v>1094</v>
      </c>
      <c r="V40" s="1" t="s">
        <v>1097</v>
      </c>
      <c r="W40" s="1" t="s">
        <v>1093</v>
      </c>
      <c r="X40" s="3" t="s">
        <v>1106</v>
      </c>
      <c r="Y40" s="1" t="s">
        <v>1107</v>
      </c>
      <c r="Z40" s="1" t="s">
        <v>1098</v>
      </c>
      <c r="AA40" s="1" t="s">
        <v>1108</v>
      </c>
      <c r="AB40" s="1" t="s">
        <v>1093</v>
      </c>
      <c r="AC40" s="2" t="s">
        <v>1109</v>
      </c>
      <c r="AD40" s="1" t="s">
        <v>1108</v>
      </c>
      <c r="AE40" s="1" t="s">
        <v>1110</v>
      </c>
      <c r="AF40" s="1" t="s">
        <v>1093</v>
      </c>
      <c r="AG40" s="1" t="s">
        <v>1098</v>
      </c>
      <c r="AH40" s="1" t="s">
        <v>1101</v>
      </c>
      <c r="AI40" s="1" t="s">
        <v>1097</v>
      </c>
      <c r="AJ40" s="1" t="s">
        <v>1093</v>
      </c>
      <c r="AK40" s="1" t="s">
        <v>1093</v>
      </c>
      <c r="AL40" s="2" t="s">
        <v>1111</v>
      </c>
      <c r="AM40" s="1" t="s">
        <v>1097</v>
      </c>
      <c r="AN40" s="1" t="s">
        <v>1093</v>
      </c>
      <c r="AO40" s="1" t="s">
        <v>1098</v>
      </c>
      <c r="AP40" s="2" t="s">
        <v>1112</v>
      </c>
    </row>
    <row r="41" customFormat="false" ht="14.25" hidden="false" customHeight="true" outlineLevel="0" collapsed="false">
      <c r="A41" s="1" t="s">
        <v>1113</v>
      </c>
      <c r="B41" s="1" t="s">
        <v>1114</v>
      </c>
      <c r="C41" s="2" t="s">
        <v>1115</v>
      </c>
      <c r="D41" s="1" t="s">
        <v>1116</v>
      </c>
      <c r="E41" s="1" t="s">
        <v>1117</v>
      </c>
      <c r="F41" s="1" t="s">
        <v>1118</v>
      </c>
      <c r="G41" s="1" t="s">
        <v>1119</v>
      </c>
      <c r="H41" s="3" t="s">
        <v>1120</v>
      </c>
      <c r="I41" s="3" t="s">
        <v>1121</v>
      </c>
      <c r="J41" s="1" t="s">
        <v>1122</v>
      </c>
      <c r="K41" s="1" t="s">
        <v>1123</v>
      </c>
      <c r="L41" s="1" t="s">
        <v>1124</v>
      </c>
      <c r="M41" s="1" t="s">
        <v>1125</v>
      </c>
      <c r="N41" s="1" t="s">
        <v>1126</v>
      </c>
      <c r="O41" s="1" t="s">
        <v>1126</v>
      </c>
      <c r="P41" s="1" t="s">
        <v>1127</v>
      </c>
      <c r="Q41" s="1" t="s">
        <v>1128</v>
      </c>
      <c r="R41" s="1" t="s">
        <v>1129</v>
      </c>
      <c r="S41" s="2" t="s">
        <v>1130</v>
      </c>
      <c r="T41" s="1" t="s">
        <v>1131</v>
      </c>
      <c r="U41" s="1" t="s">
        <v>1132</v>
      </c>
      <c r="V41" s="1" t="s">
        <v>1124</v>
      </c>
      <c r="W41" s="1" t="s">
        <v>1133</v>
      </c>
      <c r="X41" s="3" t="s">
        <v>1134</v>
      </c>
      <c r="Y41" s="1" t="s">
        <v>1135</v>
      </c>
      <c r="Z41" s="1" t="s">
        <v>1136</v>
      </c>
      <c r="AA41" s="1" t="s">
        <v>1133</v>
      </c>
      <c r="AB41" s="1" t="s">
        <v>1125</v>
      </c>
      <c r="AC41" s="2" t="s">
        <v>1137</v>
      </c>
      <c r="AD41" s="1" t="s">
        <v>1138</v>
      </c>
      <c r="AE41" s="1" t="s">
        <v>1139</v>
      </c>
      <c r="AF41" s="1" t="s">
        <v>1133</v>
      </c>
      <c r="AG41" s="1" t="s">
        <v>1140</v>
      </c>
      <c r="AH41" s="1" t="s">
        <v>1123</v>
      </c>
      <c r="AI41" s="1" t="s">
        <v>1122</v>
      </c>
      <c r="AJ41" s="1" t="s">
        <v>1141</v>
      </c>
      <c r="AK41" s="1" t="s">
        <v>1142</v>
      </c>
      <c r="AL41" s="2" t="s">
        <v>1143</v>
      </c>
      <c r="AM41" s="1" t="s">
        <v>1144</v>
      </c>
      <c r="AN41" s="1" t="s">
        <v>1145</v>
      </c>
      <c r="AO41" s="1" t="s">
        <v>1146</v>
      </c>
      <c r="AP41" s="2" t="s">
        <v>1147</v>
      </c>
    </row>
    <row r="42" customFormat="false" ht="14.25" hidden="false" customHeight="true" outlineLevel="0" collapsed="false">
      <c r="A42" s="1" t="s">
        <v>1148</v>
      </c>
      <c r="B42" s="1" t="s">
        <v>1149</v>
      </c>
      <c r="C42" s="2" t="s">
        <v>1150</v>
      </c>
      <c r="D42" s="1" t="s">
        <v>1151</v>
      </c>
      <c r="E42" s="1" t="s">
        <v>1152</v>
      </c>
      <c r="F42" s="1" t="s">
        <v>1153</v>
      </c>
      <c r="G42" s="1" t="s">
        <v>1154</v>
      </c>
      <c r="H42" s="3" t="s">
        <v>1155</v>
      </c>
      <c r="I42" s="3" t="s">
        <v>1156</v>
      </c>
      <c r="J42" s="1" t="s">
        <v>1157</v>
      </c>
      <c r="K42" s="1" t="s">
        <v>1158</v>
      </c>
      <c r="L42" s="1" t="s">
        <v>1148</v>
      </c>
      <c r="M42" s="1" t="s">
        <v>1159</v>
      </c>
      <c r="N42" s="1" t="s">
        <v>1148</v>
      </c>
      <c r="O42" s="1" t="s">
        <v>1160</v>
      </c>
      <c r="P42" s="1" t="s">
        <v>1161</v>
      </c>
      <c r="Q42" s="1" t="s">
        <v>1148</v>
      </c>
      <c r="R42" s="1" t="s">
        <v>1162</v>
      </c>
      <c r="S42" s="2" t="s">
        <v>1163</v>
      </c>
      <c r="T42" s="1" t="s">
        <v>1164</v>
      </c>
      <c r="U42" s="1" t="s">
        <v>1165</v>
      </c>
      <c r="V42" s="1" t="s">
        <v>1148</v>
      </c>
      <c r="W42" s="1" t="s">
        <v>1166</v>
      </c>
      <c r="X42" s="3" t="s">
        <v>1167</v>
      </c>
      <c r="Y42" s="1" t="s">
        <v>1168</v>
      </c>
      <c r="Z42" s="1" t="s">
        <v>1169</v>
      </c>
      <c r="AA42" s="1" t="s">
        <v>1170</v>
      </c>
      <c r="AB42" s="1" t="s">
        <v>1148</v>
      </c>
      <c r="AC42" s="2" t="s">
        <v>1171</v>
      </c>
      <c r="AD42" s="1" t="s">
        <v>1164</v>
      </c>
      <c r="AE42" s="1" t="s">
        <v>1172</v>
      </c>
      <c r="AF42" s="1" t="s">
        <v>1164</v>
      </c>
      <c r="AG42" s="1" t="s">
        <v>1173</v>
      </c>
      <c r="AH42" s="1" t="s">
        <v>1174</v>
      </c>
      <c r="AI42" s="1" t="s">
        <v>1168</v>
      </c>
      <c r="AJ42" s="1" t="s">
        <v>1172</v>
      </c>
      <c r="AK42" s="1" t="s">
        <v>1148</v>
      </c>
      <c r="AL42" s="2" t="s">
        <v>1175</v>
      </c>
      <c r="AM42" s="1" t="s">
        <v>1176</v>
      </c>
      <c r="AN42" s="1" t="s">
        <v>1177</v>
      </c>
      <c r="AO42" s="1" t="s">
        <v>1178</v>
      </c>
      <c r="AP42" s="2" t="s">
        <v>1179</v>
      </c>
    </row>
    <row r="43" customFormat="false" ht="14.25" hidden="false" customHeight="true" outlineLevel="0" collapsed="false">
      <c r="A43" s="1" t="s">
        <v>1180</v>
      </c>
      <c r="B43" s="1" t="s">
        <v>1180</v>
      </c>
      <c r="C43" s="2" t="s">
        <v>1181</v>
      </c>
      <c r="D43" s="1" t="s">
        <v>1182</v>
      </c>
      <c r="E43" s="1" t="s">
        <v>1183</v>
      </c>
      <c r="F43" s="1" t="s">
        <v>1184</v>
      </c>
      <c r="G43" s="1" t="s">
        <v>1180</v>
      </c>
      <c r="H43" s="3" t="s">
        <v>1185</v>
      </c>
      <c r="I43" s="3" t="s">
        <v>1185</v>
      </c>
      <c r="J43" s="1" t="s">
        <v>1180</v>
      </c>
      <c r="K43" s="1" t="s">
        <v>1186</v>
      </c>
      <c r="L43" s="1" t="s">
        <v>1180</v>
      </c>
      <c r="M43" s="1" t="s">
        <v>1180</v>
      </c>
      <c r="N43" s="1" t="s">
        <v>1180</v>
      </c>
      <c r="O43" s="1" t="s">
        <v>1180</v>
      </c>
      <c r="P43" s="1" t="s">
        <v>1187</v>
      </c>
      <c r="Q43" s="1" t="s">
        <v>1180</v>
      </c>
      <c r="R43" s="1" t="s">
        <v>1188</v>
      </c>
      <c r="S43" s="2" t="s">
        <v>1189</v>
      </c>
      <c r="T43" s="1" t="s">
        <v>1190</v>
      </c>
      <c r="U43" s="1" t="s">
        <v>1180</v>
      </c>
      <c r="V43" s="1" t="s">
        <v>1191</v>
      </c>
      <c r="W43" s="1" t="s">
        <v>1180</v>
      </c>
      <c r="X43" s="3" t="s">
        <v>1192</v>
      </c>
      <c r="Y43" s="1" t="s">
        <v>1193</v>
      </c>
      <c r="Z43" s="1" t="s">
        <v>1184</v>
      </c>
      <c r="AA43" s="1" t="s">
        <v>1180</v>
      </c>
      <c r="AB43" s="1" t="s">
        <v>1180</v>
      </c>
      <c r="AC43" s="2" t="s">
        <v>1194</v>
      </c>
      <c r="AD43" s="1" t="s">
        <v>1180</v>
      </c>
      <c r="AE43" s="1" t="s">
        <v>1195</v>
      </c>
      <c r="AF43" s="1" t="s">
        <v>1180</v>
      </c>
      <c r="AG43" s="1" t="s">
        <v>1184</v>
      </c>
      <c r="AH43" s="1" t="s">
        <v>1190</v>
      </c>
      <c r="AI43" s="1" t="s">
        <v>1180</v>
      </c>
      <c r="AJ43" s="1" t="s">
        <v>1190</v>
      </c>
      <c r="AK43" s="1" t="s">
        <v>1180</v>
      </c>
      <c r="AL43" s="2" t="s">
        <v>1196</v>
      </c>
      <c r="AM43" s="1" t="s">
        <v>1183</v>
      </c>
      <c r="AN43" s="1" t="s">
        <v>1180</v>
      </c>
      <c r="AO43" s="1" t="s">
        <v>1197</v>
      </c>
      <c r="AP43" s="2" t="s">
        <v>1194</v>
      </c>
    </row>
    <row r="44" customFormat="false" ht="14.25" hidden="false" customHeight="true" outlineLevel="0" collapsed="false">
      <c r="A44" s="1" t="s">
        <v>1198</v>
      </c>
      <c r="B44" s="1" t="s">
        <v>1199</v>
      </c>
      <c r="C44" s="2" t="s">
        <v>1200</v>
      </c>
      <c r="D44" s="1" t="s">
        <v>1201</v>
      </c>
      <c r="E44" s="1" t="s">
        <v>1202</v>
      </c>
      <c r="F44" s="1" t="s">
        <v>1203</v>
      </c>
      <c r="G44" s="1" t="s">
        <v>1204</v>
      </c>
      <c r="H44" s="3" t="s">
        <v>1205</v>
      </c>
      <c r="I44" s="3" t="s">
        <v>1206</v>
      </c>
      <c r="J44" s="1" t="s">
        <v>1207</v>
      </c>
      <c r="K44" s="1" t="s">
        <v>1208</v>
      </c>
      <c r="L44" s="1" t="s">
        <v>1209</v>
      </c>
      <c r="M44" s="1" t="s">
        <v>1210</v>
      </c>
      <c r="N44" s="1" t="s">
        <v>1211</v>
      </c>
      <c r="O44" s="1" t="s">
        <v>1211</v>
      </c>
      <c r="P44" s="1" t="s">
        <v>1212</v>
      </c>
      <c r="Q44" s="1" t="s">
        <v>1213</v>
      </c>
      <c r="R44" s="1" t="s">
        <v>1214</v>
      </c>
      <c r="S44" s="2" t="s">
        <v>1215</v>
      </c>
      <c r="T44" s="1" t="s">
        <v>1216</v>
      </c>
      <c r="U44" s="1" t="s">
        <v>1217</v>
      </c>
      <c r="V44" s="1" t="s">
        <v>1218</v>
      </c>
      <c r="W44" s="1" t="s">
        <v>1219</v>
      </c>
      <c r="X44" s="3" t="s">
        <v>1220</v>
      </c>
      <c r="Y44" s="1" t="s">
        <v>1221</v>
      </c>
      <c r="Z44" s="1" t="s">
        <v>1222</v>
      </c>
      <c r="AA44" s="1" t="s">
        <v>1219</v>
      </c>
      <c r="AB44" s="1" t="s">
        <v>1223</v>
      </c>
      <c r="AC44" s="2" t="s">
        <v>1224</v>
      </c>
      <c r="AD44" s="1" t="s">
        <v>1225</v>
      </c>
      <c r="AE44" s="1" t="s">
        <v>1226</v>
      </c>
      <c r="AF44" s="1" t="s">
        <v>1227</v>
      </c>
      <c r="AG44" s="1" t="s">
        <v>1228</v>
      </c>
      <c r="AH44" s="1" t="s">
        <v>1229</v>
      </c>
      <c r="AI44" s="1" t="s">
        <v>1230</v>
      </c>
      <c r="AJ44" s="1" t="s">
        <v>1226</v>
      </c>
      <c r="AK44" s="1" t="s">
        <v>1231</v>
      </c>
      <c r="AL44" s="2" t="s">
        <v>1232</v>
      </c>
      <c r="AM44" s="1" t="s">
        <v>1233</v>
      </c>
      <c r="AN44" s="1" t="s">
        <v>1234</v>
      </c>
      <c r="AO44" s="1" t="s">
        <v>1235</v>
      </c>
      <c r="AP44" s="2" t="s">
        <v>1236</v>
      </c>
    </row>
    <row r="45" customFormat="false" ht="14.25" hidden="false" customHeight="true" outlineLevel="0" collapsed="false">
      <c r="A45" s="1" t="s">
        <v>1237</v>
      </c>
      <c r="B45" s="1" t="s">
        <v>1238</v>
      </c>
      <c r="C45" s="2" t="s">
        <v>1239</v>
      </c>
      <c r="D45" s="1" t="s">
        <v>1240</v>
      </c>
      <c r="E45" s="1" t="s">
        <v>1241</v>
      </c>
      <c r="F45" s="1" t="s">
        <v>1242</v>
      </c>
      <c r="G45" s="1" t="s">
        <v>1243</v>
      </c>
      <c r="H45" s="3" t="s">
        <v>1244</v>
      </c>
      <c r="I45" s="3" t="s">
        <v>1245</v>
      </c>
      <c r="J45" s="1" t="s">
        <v>1237</v>
      </c>
      <c r="K45" s="1" t="s">
        <v>1237</v>
      </c>
      <c r="L45" s="1" t="s">
        <v>1237</v>
      </c>
      <c r="M45" s="1" t="s">
        <v>1237</v>
      </c>
      <c r="N45" s="1" t="s">
        <v>1246</v>
      </c>
      <c r="O45" s="1" t="s">
        <v>1246</v>
      </c>
      <c r="P45" s="1" t="s">
        <v>1247</v>
      </c>
      <c r="Q45" s="1" t="s">
        <v>1237</v>
      </c>
      <c r="R45" s="1" t="s">
        <v>1248</v>
      </c>
      <c r="S45" s="2" t="s">
        <v>1249</v>
      </c>
      <c r="T45" s="1" t="s">
        <v>1237</v>
      </c>
      <c r="U45" s="1" t="s">
        <v>1237</v>
      </c>
      <c r="V45" s="1" t="s">
        <v>1237</v>
      </c>
      <c r="W45" s="1" t="s">
        <v>1250</v>
      </c>
      <c r="X45" s="3" t="s">
        <v>1251</v>
      </c>
      <c r="Y45" s="1" t="s">
        <v>1252</v>
      </c>
      <c r="Z45" s="1" t="s">
        <v>1253</v>
      </c>
      <c r="AA45" s="1" t="s">
        <v>1237</v>
      </c>
      <c r="AB45" s="1" t="s">
        <v>1237</v>
      </c>
      <c r="AC45" s="2" t="s">
        <v>1254</v>
      </c>
      <c r="AD45" s="1" t="s">
        <v>1255</v>
      </c>
      <c r="AE45" s="1" t="s">
        <v>1256</v>
      </c>
      <c r="AF45" s="1" t="s">
        <v>1257</v>
      </c>
      <c r="AG45" s="1" t="s">
        <v>1258</v>
      </c>
      <c r="AH45" s="1" t="s">
        <v>1237</v>
      </c>
      <c r="AI45" s="1" t="s">
        <v>1237</v>
      </c>
      <c r="AJ45" s="1" t="s">
        <v>1256</v>
      </c>
      <c r="AK45" s="1" t="s">
        <v>1237</v>
      </c>
      <c r="AL45" s="2" t="s">
        <v>1259</v>
      </c>
      <c r="AM45" s="1" t="s">
        <v>1260</v>
      </c>
      <c r="AN45" s="1" t="s">
        <v>1261</v>
      </c>
      <c r="AO45" s="1" t="s">
        <v>1262</v>
      </c>
      <c r="AP45" s="2" t="s">
        <v>1263</v>
      </c>
    </row>
    <row r="46" customFormat="false" ht="14.25" hidden="false" customHeight="true" outlineLevel="0" collapsed="false">
      <c r="A46" s="1" t="s">
        <v>1264</v>
      </c>
      <c r="B46" s="1" t="s">
        <v>1265</v>
      </c>
      <c r="C46" s="2" t="s">
        <v>1266</v>
      </c>
      <c r="D46" s="1" t="s">
        <v>1267</v>
      </c>
      <c r="E46" s="1" t="s">
        <v>1264</v>
      </c>
      <c r="F46" s="1" t="s">
        <v>1268</v>
      </c>
      <c r="G46" s="1" t="s">
        <v>1264</v>
      </c>
      <c r="H46" s="3" t="s">
        <v>1269</v>
      </c>
      <c r="I46" s="3" t="s">
        <v>1269</v>
      </c>
      <c r="J46" s="1" t="s">
        <v>1264</v>
      </c>
      <c r="K46" s="1" t="s">
        <v>1264</v>
      </c>
      <c r="L46" s="1" t="s">
        <v>1264</v>
      </c>
      <c r="M46" s="1" t="s">
        <v>1270</v>
      </c>
      <c r="N46" s="1" t="s">
        <v>1264</v>
      </c>
      <c r="O46" s="1" t="s">
        <v>1271</v>
      </c>
      <c r="P46" s="1" t="s">
        <v>1272</v>
      </c>
      <c r="Q46" s="1" t="s">
        <v>1273</v>
      </c>
      <c r="R46" s="1" t="s">
        <v>1274</v>
      </c>
      <c r="S46" s="2" t="s">
        <v>1275</v>
      </c>
      <c r="T46" s="1" t="s">
        <v>1276</v>
      </c>
      <c r="U46" s="1" t="s">
        <v>1264</v>
      </c>
      <c r="V46" s="1" t="s">
        <v>1264</v>
      </c>
      <c r="W46" s="1" t="s">
        <v>1264</v>
      </c>
      <c r="X46" s="3" t="s">
        <v>1277</v>
      </c>
      <c r="Y46" s="1" t="s">
        <v>1264</v>
      </c>
      <c r="Z46" s="1" t="s">
        <v>1278</v>
      </c>
      <c r="AA46" s="1" t="s">
        <v>1279</v>
      </c>
      <c r="AB46" s="1" t="s">
        <v>1264</v>
      </c>
      <c r="AC46" s="2" t="s">
        <v>1280</v>
      </c>
      <c r="AD46" s="1" t="s">
        <v>1281</v>
      </c>
      <c r="AE46" s="1" t="s">
        <v>1264</v>
      </c>
      <c r="AF46" s="1" t="s">
        <v>1264</v>
      </c>
      <c r="AG46" s="1" t="s">
        <v>1278</v>
      </c>
      <c r="AH46" s="1" t="s">
        <v>1276</v>
      </c>
      <c r="AI46" s="1" t="s">
        <v>1264</v>
      </c>
      <c r="AJ46" s="1" t="s">
        <v>1264</v>
      </c>
      <c r="AK46" s="1" t="s">
        <v>1264</v>
      </c>
      <c r="AL46" s="2" t="s">
        <v>1282</v>
      </c>
      <c r="AM46" s="1" t="s">
        <v>1283</v>
      </c>
      <c r="AN46" s="1" t="s">
        <v>1264</v>
      </c>
      <c r="AO46" s="1" t="s">
        <v>1278</v>
      </c>
      <c r="AP46" s="2" t="s">
        <v>1284</v>
      </c>
    </row>
    <row r="47" customFormat="false" ht="14.25" hidden="false" customHeight="true" outlineLevel="0" collapsed="false">
      <c r="A47" s="1" t="s">
        <v>1285</v>
      </c>
      <c r="B47" s="1" t="s">
        <v>1286</v>
      </c>
      <c r="C47" s="2" t="s">
        <v>1287</v>
      </c>
      <c r="D47" s="1" t="s">
        <v>1288</v>
      </c>
      <c r="E47" s="1" t="s">
        <v>1289</v>
      </c>
      <c r="F47" s="1" t="s">
        <v>1290</v>
      </c>
      <c r="G47" s="1" t="s">
        <v>1291</v>
      </c>
      <c r="H47" s="3" t="s">
        <v>1292</v>
      </c>
      <c r="I47" s="3" t="s">
        <v>1292</v>
      </c>
      <c r="J47" s="1" t="s">
        <v>1293</v>
      </c>
      <c r="K47" s="1" t="s">
        <v>1294</v>
      </c>
      <c r="L47" s="1" t="s">
        <v>1295</v>
      </c>
      <c r="M47" s="1" t="s">
        <v>1296</v>
      </c>
      <c r="N47" s="1" t="s">
        <v>1285</v>
      </c>
      <c r="O47" s="1" t="s">
        <v>1297</v>
      </c>
      <c r="P47" s="1" t="s">
        <v>1298</v>
      </c>
      <c r="Q47" s="1" t="s">
        <v>1295</v>
      </c>
      <c r="R47" s="1" t="s">
        <v>1299</v>
      </c>
      <c r="S47" s="2" t="s">
        <v>1300</v>
      </c>
      <c r="T47" s="1" t="s">
        <v>1301</v>
      </c>
      <c r="U47" s="1" t="s">
        <v>1302</v>
      </c>
      <c r="V47" s="1" t="s">
        <v>1303</v>
      </c>
      <c r="W47" s="1" t="s">
        <v>1304</v>
      </c>
      <c r="X47" s="3" t="s">
        <v>1305</v>
      </c>
      <c r="Y47" s="1" t="s">
        <v>1306</v>
      </c>
      <c r="Z47" s="1" t="s">
        <v>1307</v>
      </c>
      <c r="AA47" s="1" t="s">
        <v>1308</v>
      </c>
      <c r="AB47" s="1" t="s">
        <v>1309</v>
      </c>
      <c r="AC47" s="2" t="s">
        <v>1310</v>
      </c>
      <c r="AD47" s="1" t="s">
        <v>1311</v>
      </c>
      <c r="AE47" s="1" t="s">
        <v>1312</v>
      </c>
      <c r="AF47" s="1" t="s">
        <v>1313</v>
      </c>
      <c r="AG47" s="1" t="s">
        <v>1314</v>
      </c>
      <c r="AH47" s="1" t="s">
        <v>1315</v>
      </c>
      <c r="AI47" s="1" t="s">
        <v>1316</v>
      </c>
      <c r="AJ47" s="1" t="s">
        <v>1304</v>
      </c>
      <c r="AK47" s="1" t="s">
        <v>1317</v>
      </c>
      <c r="AL47" s="2" t="s">
        <v>1318</v>
      </c>
      <c r="AM47" s="1" t="s">
        <v>1319</v>
      </c>
      <c r="AN47" s="1" t="s">
        <v>1320</v>
      </c>
      <c r="AO47" s="1" t="s">
        <v>1321</v>
      </c>
      <c r="AP47" s="2" t="s">
        <v>1322</v>
      </c>
    </row>
    <row r="48" customFormat="false" ht="14.25" hidden="false" customHeight="true" outlineLevel="0" collapsed="false">
      <c r="A48" s="1" t="s">
        <v>1323</v>
      </c>
      <c r="B48" s="1" t="s">
        <v>1324</v>
      </c>
      <c r="C48" s="2" t="s">
        <v>1325</v>
      </c>
      <c r="D48" s="1" t="s">
        <v>1326</v>
      </c>
      <c r="E48" s="1" t="s">
        <v>1327</v>
      </c>
      <c r="F48" s="1" t="s">
        <v>1328</v>
      </c>
      <c r="G48" s="1" t="s">
        <v>1329</v>
      </c>
      <c r="H48" s="3" t="s">
        <v>1330</v>
      </c>
      <c r="I48" s="3" t="s">
        <v>1330</v>
      </c>
      <c r="J48" s="1" t="s">
        <v>1331</v>
      </c>
      <c r="K48" s="1" t="s">
        <v>1332</v>
      </c>
      <c r="L48" s="1" t="s">
        <v>1323</v>
      </c>
      <c r="M48" s="1" t="s">
        <v>1323</v>
      </c>
      <c r="N48" s="1" t="s">
        <v>1331</v>
      </c>
      <c r="O48" s="1" t="s">
        <v>1333</v>
      </c>
      <c r="P48" s="1" t="s">
        <v>1334</v>
      </c>
      <c r="Q48" s="1" t="s">
        <v>1332</v>
      </c>
      <c r="R48" s="1" t="s">
        <v>1335</v>
      </c>
      <c r="S48" s="2" t="s">
        <v>1336</v>
      </c>
      <c r="T48" s="1" t="s">
        <v>1337</v>
      </c>
      <c r="U48" s="1" t="s">
        <v>1331</v>
      </c>
      <c r="V48" s="1" t="s">
        <v>1323</v>
      </c>
      <c r="W48" s="1" t="s">
        <v>1338</v>
      </c>
      <c r="X48" s="3" t="s">
        <v>1339</v>
      </c>
      <c r="Y48" s="1" t="s">
        <v>1327</v>
      </c>
      <c r="Z48" s="1" t="s">
        <v>1328</v>
      </c>
      <c r="AA48" s="1" t="s">
        <v>1340</v>
      </c>
      <c r="AB48" s="1" t="s">
        <v>1323</v>
      </c>
      <c r="AC48" s="2" t="s">
        <v>1341</v>
      </c>
      <c r="AD48" s="1" t="s">
        <v>1342</v>
      </c>
      <c r="AE48" s="1" t="s">
        <v>1343</v>
      </c>
      <c r="AF48" s="1" t="s">
        <v>1344</v>
      </c>
      <c r="AG48" s="1" t="s">
        <v>1328</v>
      </c>
      <c r="AH48" s="1" t="s">
        <v>1332</v>
      </c>
      <c r="AI48" s="1" t="s">
        <v>1345</v>
      </c>
      <c r="AJ48" s="1" t="s">
        <v>1343</v>
      </c>
      <c r="AK48" s="1" t="s">
        <v>1332</v>
      </c>
      <c r="AL48" s="2" t="s">
        <v>1346</v>
      </c>
      <c r="AM48" s="1" t="s">
        <v>1327</v>
      </c>
      <c r="AN48" s="1" t="s">
        <v>1323</v>
      </c>
      <c r="AO48" s="1" t="s">
        <v>1347</v>
      </c>
      <c r="AP48" s="2" t="s">
        <v>1348</v>
      </c>
    </row>
    <row r="49" customFormat="false" ht="14.25" hidden="false" customHeight="true" outlineLevel="0" collapsed="false">
      <c r="A49" s="1" t="s">
        <v>1349</v>
      </c>
      <c r="B49" s="1" t="s">
        <v>1350</v>
      </c>
      <c r="C49" s="2" t="s">
        <v>1351</v>
      </c>
      <c r="D49" s="1" t="s">
        <v>1352</v>
      </c>
      <c r="E49" s="1" t="s">
        <v>1353</v>
      </c>
      <c r="F49" s="1" t="s">
        <v>1354</v>
      </c>
      <c r="G49" s="1" t="s">
        <v>1355</v>
      </c>
      <c r="H49" s="3" t="s">
        <v>1356</v>
      </c>
      <c r="I49" s="3" t="s">
        <v>1357</v>
      </c>
      <c r="J49" s="1" t="s">
        <v>1358</v>
      </c>
      <c r="K49" s="1" t="s">
        <v>1359</v>
      </c>
      <c r="L49" s="1" t="s">
        <v>1360</v>
      </c>
      <c r="M49" s="1" t="s">
        <v>1360</v>
      </c>
      <c r="N49" s="1" t="s">
        <v>1361</v>
      </c>
      <c r="O49" s="1" t="s">
        <v>1362</v>
      </c>
      <c r="P49" s="1" t="s">
        <v>1363</v>
      </c>
      <c r="Q49" s="1" t="s">
        <v>1360</v>
      </c>
      <c r="R49" s="1" t="s">
        <v>1364</v>
      </c>
      <c r="S49" s="2" t="s">
        <v>1365</v>
      </c>
      <c r="T49" s="1" t="s">
        <v>1366</v>
      </c>
      <c r="U49" s="1" t="s">
        <v>1367</v>
      </c>
      <c r="V49" s="1" t="s">
        <v>1349</v>
      </c>
      <c r="W49" s="1" t="s">
        <v>1368</v>
      </c>
      <c r="X49" s="3" t="s">
        <v>1369</v>
      </c>
      <c r="Y49" s="1" t="s">
        <v>1370</v>
      </c>
      <c r="Z49" s="1" t="s">
        <v>1371</v>
      </c>
      <c r="AA49" s="1" t="s">
        <v>1372</v>
      </c>
      <c r="AB49" s="1" t="s">
        <v>1360</v>
      </c>
      <c r="AC49" s="2" t="s">
        <v>1373</v>
      </c>
      <c r="AD49" s="1" t="s">
        <v>1374</v>
      </c>
      <c r="AE49" s="1" t="s">
        <v>1375</v>
      </c>
      <c r="AF49" s="1" t="s">
        <v>1368</v>
      </c>
      <c r="AG49" s="1" t="s">
        <v>1376</v>
      </c>
      <c r="AH49" s="1" t="s">
        <v>1377</v>
      </c>
      <c r="AI49" s="1" t="s">
        <v>1358</v>
      </c>
      <c r="AJ49" s="1" t="s">
        <v>1368</v>
      </c>
      <c r="AK49" s="1" t="s">
        <v>1378</v>
      </c>
      <c r="AL49" s="2" t="s">
        <v>1379</v>
      </c>
      <c r="AM49" s="1" t="s">
        <v>1380</v>
      </c>
      <c r="AN49" s="1" t="s">
        <v>1381</v>
      </c>
      <c r="AO49" s="1" t="s">
        <v>1382</v>
      </c>
      <c r="AP49" s="2" t="s">
        <v>1383</v>
      </c>
    </row>
    <row r="50" customFormat="false" ht="14.25" hidden="false" customHeight="true" outlineLevel="0" collapsed="false">
      <c r="A50" s="1" t="s">
        <v>1384</v>
      </c>
      <c r="B50" s="1" t="s">
        <v>1385</v>
      </c>
      <c r="C50" s="2" t="s">
        <v>1386</v>
      </c>
      <c r="D50" s="1" t="s">
        <v>1387</v>
      </c>
      <c r="E50" s="1" t="s">
        <v>1388</v>
      </c>
      <c r="F50" s="1" t="s">
        <v>1389</v>
      </c>
      <c r="G50" s="1" t="s">
        <v>1390</v>
      </c>
      <c r="H50" s="3" t="s">
        <v>1391</v>
      </c>
      <c r="I50" s="3" t="s">
        <v>1392</v>
      </c>
      <c r="J50" s="1" t="s">
        <v>1393</v>
      </c>
      <c r="K50" s="1" t="s">
        <v>1394</v>
      </c>
      <c r="L50" s="1" t="s">
        <v>1395</v>
      </c>
      <c r="M50" s="1" t="s">
        <v>1396</v>
      </c>
      <c r="N50" s="1" t="s">
        <v>1397</v>
      </c>
      <c r="O50" s="1" t="s">
        <v>1384</v>
      </c>
      <c r="P50" s="1" t="s">
        <v>1398</v>
      </c>
      <c r="Q50" s="1" t="s">
        <v>1399</v>
      </c>
      <c r="R50" s="1" t="s">
        <v>1400</v>
      </c>
      <c r="S50" s="2" t="s">
        <v>1401</v>
      </c>
      <c r="T50" s="1" t="s">
        <v>1402</v>
      </c>
      <c r="U50" s="1" t="s">
        <v>1403</v>
      </c>
      <c r="V50" s="1" t="s">
        <v>1384</v>
      </c>
      <c r="W50" s="1" t="s">
        <v>1404</v>
      </c>
      <c r="X50" s="3" t="s">
        <v>1405</v>
      </c>
      <c r="Y50" s="1" t="s">
        <v>1406</v>
      </c>
      <c r="Z50" s="1" t="s">
        <v>1407</v>
      </c>
      <c r="AA50" s="1" t="s">
        <v>1408</v>
      </c>
      <c r="AB50" s="1" t="s">
        <v>1409</v>
      </c>
      <c r="AC50" s="2" t="s">
        <v>1410</v>
      </c>
      <c r="AD50" s="1" t="s">
        <v>1411</v>
      </c>
      <c r="AE50" s="1" t="s">
        <v>1390</v>
      </c>
      <c r="AF50" s="1" t="s">
        <v>1412</v>
      </c>
      <c r="AG50" s="1" t="s">
        <v>1413</v>
      </c>
      <c r="AH50" s="1" t="s">
        <v>1414</v>
      </c>
      <c r="AI50" s="1" t="s">
        <v>1384</v>
      </c>
      <c r="AJ50" s="1" t="s">
        <v>1404</v>
      </c>
      <c r="AK50" s="1" t="s">
        <v>1409</v>
      </c>
      <c r="AL50" s="2" t="s">
        <v>1415</v>
      </c>
      <c r="AM50" s="1" t="s">
        <v>1388</v>
      </c>
      <c r="AN50" s="1" t="s">
        <v>1416</v>
      </c>
      <c r="AO50" s="1" t="s">
        <v>1417</v>
      </c>
      <c r="AP50" s="2" t="s">
        <v>1418</v>
      </c>
    </row>
    <row r="51" customFormat="false" ht="14.25" hidden="false" customHeight="true" outlineLevel="0" collapsed="false">
      <c r="A51" s="1" t="s">
        <v>1419</v>
      </c>
      <c r="B51" s="1" t="s">
        <v>1420</v>
      </c>
      <c r="C51" s="2" t="s">
        <v>1421</v>
      </c>
      <c r="D51" s="1" t="s">
        <v>1422</v>
      </c>
      <c r="E51" s="1" t="s">
        <v>1423</v>
      </c>
      <c r="F51" s="1" t="s">
        <v>1424</v>
      </c>
      <c r="G51" s="1" t="s">
        <v>1425</v>
      </c>
      <c r="H51" s="3" t="s">
        <v>1426</v>
      </c>
      <c r="I51" s="3" t="s">
        <v>1427</v>
      </c>
      <c r="J51" s="1" t="s">
        <v>1428</v>
      </c>
      <c r="K51" s="1" t="s">
        <v>1429</v>
      </c>
      <c r="L51" s="1" t="s">
        <v>1430</v>
      </c>
      <c r="M51" s="1" t="s">
        <v>1431</v>
      </c>
      <c r="N51" s="1" t="s">
        <v>1419</v>
      </c>
      <c r="O51" s="1" t="s">
        <v>1432</v>
      </c>
      <c r="P51" s="1" t="s">
        <v>1433</v>
      </c>
      <c r="Q51" s="1" t="s">
        <v>1430</v>
      </c>
      <c r="R51" s="1" t="s">
        <v>1434</v>
      </c>
      <c r="S51" s="2" t="s">
        <v>1435</v>
      </c>
      <c r="T51" s="1" t="s">
        <v>1436</v>
      </c>
      <c r="U51" s="1" t="s">
        <v>1419</v>
      </c>
      <c r="V51" s="1" t="s">
        <v>1419</v>
      </c>
      <c r="W51" s="1" t="s">
        <v>1419</v>
      </c>
      <c r="X51" s="3" t="s">
        <v>1437</v>
      </c>
      <c r="Y51" s="1" t="s">
        <v>1428</v>
      </c>
      <c r="Z51" s="1" t="s">
        <v>1438</v>
      </c>
      <c r="AA51" s="1" t="s">
        <v>1439</v>
      </c>
      <c r="AB51" s="1" t="s">
        <v>1419</v>
      </c>
      <c r="AC51" s="2" t="s">
        <v>1440</v>
      </c>
      <c r="AD51" s="1" t="s">
        <v>1419</v>
      </c>
      <c r="AE51" s="1" t="s">
        <v>1441</v>
      </c>
      <c r="AF51" s="1" t="s">
        <v>1419</v>
      </c>
      <c r="AG51" s="1" t="s">
        <v>1442</v>
      </c>
      <c r="AH51" s="1" t="s">
        <v>1441</v>
      </c>
      <c r="AI51" s="1" t="s">
        <v>1443</v>
      </c>
      <c r="AJ51" s="1" t="s">
        <v>1419</v>
      </c>
      <c r="AK51" s="1" t="s">
        <v>1430</v>
      </c>
      <c r="AL51" s="2" t="s">
        <v>1444</v>
      </c>
      <c r="AM51" s="1" t="s">
        <v>1445</v>
      </c>
      <c r="AN51" s="1" t="s">
        <v>1446</v>
      </c>
      <c r="AO51" s="1" t="s">
        <v>1447</v>
      </c>
      <c r="AP51" s="2" t="s">
        <v>1448</v>
      </c>
    </row>
    <row r="52" customFormat="false" ht="14.25" hidden="false" customHeight="true" outlineLevel="0" collapsed="false">
      <c r="A52" s="1" t="s">
        <v>1449</v>
      </c>
      <c r="B52" s="1" t="s">
        <v>1450</v>
      </c>
      <c r="C52" s="2" t="s">
        <v>1451</v>
      </c>
      <c r="D52" s="1" t="s">
        <v>1452</v>
      </c>
      <c r="E52" s="1" t="s">
        <v>1453</v>
      </c>
      <c r="F52" s="1" t="s">
        <v>1454</v>
      </c>
      <c r="G52" s="1" t="s">
        <v>1455</v>
      </c>
      <c r="H52" s="3" t="s">
        <v>1456</v>
      </c>
      <c r="I52" s="3" t="s">
        <v>1457</v>
      </c>
      <c r="J52" s="1" t="s">
        <v>1458</v>
      </c>
      <c r="K52" s="1" t="s">
        <v>1459</v>
      </c>
      <c r="L52" s="1" t="s">
        <v>1460</v>
      </c>
      <c r="M52" s="1" t="s">
        <v>1461</v>
      </c>
      <c r="N52" s="1" t="s">
        <v>1460</v>
      </c>
      <c r="O52" s="1" t="s">
        <v>1462</v>
      </c>
      <c r="P52" s="1" t="s">
        <v>1463</v>
      </c>
      <c r="Q52" s="1" t="s">
        <v>1464</v>
      </c>
      <c r="R52" s="1" t="s">
        <v>1465</v>
      </c>
      <c r="S52" s="2" t="s">
        <v>1466</v>
      </c>
      <c r="T52" s="1" t="s">
        <v>1467</v>
      </c>
      <c r="U52" s="1" t="s">
        <v>1449</v>
      </c>
      <c r="V52" s="1" t="s">
        <v>1449</v>
      </c>
      <c r="W52" s="1" t="s">
        <v>1468</v>
      </c>
      <c r="X52" s="3" t="s">
        <v>1469</v>
      </c>
      <c r="Y52" s="1" t="s">
        <v>1470</v>
      </c>
      <c r="Z52" s="1" t="s">
        <v>1471</v>
      </c>
      <c r="AA52" s="1" t="s">
        <v>1453</v>
      </c>
      <c r="AB52" s="1" t="s">
        <v>1460</v>
      </c>
      <c r="AC52" s="2" t="s">
        <v>1472</v>
      </c>
      <c r="AD52" s="1" t="s">
        <v>1473</v>
      </c>
      <c r="AE52" s="1" t="s">
        <v>1455</v>
      </c>
      <c r="AF52" s="1" t="s">
        <v>1474</v>
      </c>
      <c r="AG52" s="1" t="s">
        <v>1471</v>
      </c>
      <c r="AH52" s="1" t="s">
        <v>1459</v>
      </c>
      <c r="AI52" s="1" t="s">
        <v>1458</v>
      </c>
      <c r="AJ52" s="1" t="s">
        <v>1455</v>
      </c>
      <c r="AK52" s="1" t="s">
        <v>1460</v>
      </c>
      <c r="AL52" s="2" t="s">
        <v>1475</v>
      </c>
      <c r="AM52" s="1" t="s">
        <v>1453</v>
      </c>
      <c r="AN52" s="1" t="s">
        <v>1476</v>
      </c>
      <c r="AO52" s="1" t="s">
        <v>1477</v>
      </c>
      <c r="AP52" s="2" t="s">
        <v>1478</v>
      </c>
    </row>
    <row r="53" customFormat="false" ht="14.25" hidden="false" customHeight="true" outlineLevel="0" collapsed="false">
      <c r="A53" s="1" t="s">
        <v>1479</v>
      </c>
      <c r="B53" s="1" t="s">
        <v>1480</v>
      </c>
      <c r="C53" s="2" t="s">
        <v>1481</v>
      </c>
      <c r="D53" s="1" t="s">
        <v>1482</v>
      </c>
      <c r="E53" s="1" t="s">
        <v>1483</v>
      </c>
      <c r="F53" s="1" t="s">
        <v>1484</v>
      </c>
      <c r="G53" s="1" t="s">
        <v>1485</v>
      </c>
      <c r="H53" s="3" t="s">
        <v>1486</v>
      </c>
      <c r="I53" s="3" t="s">
        <v>1486</v>
      </c>
      <c r="J53" s="1" t="s">
        <v>1483</v>
      </c>
      <c r="K53" s="1" t="s">
        <v>1487</v>
      </c>
      <c r="L53" s="1" t="s">
        <v>1488</v>
      </c>
      <c r="M53" s="1" t="s">
        <v>1489</v>
      </c>
      <c r="N53" s="1" t="s">
        <v>1490</v>
      </c>
      <c r="O53" s="1" t="s">
        <v>1491</v>
      </c>
      <c r="P53" s="1" t="s">
        <v>1492</v>
      </c>
      <c r="Q53" s="1" t="s">
        <v>1488</v>
      </c>
      <c r="R53" s="1" t="s">
        <v>1493</v>
      </c>
      <c r="S53" s="2" t="s">
        <v>1494</v>
      </c>
      <c r="T53" s="1" t="s">
        <v>1495</v>
      </c>
      <c r="U53" s="1" t="s">
        <v>1479</v>
      </c>
      <c r="V53" s="1" t="s">
        <v>1496</v>
      </c>
      <c r="W53" s="1" t="s">
        <v>1479</v>
      </c>
      <c r="X53" s="3" t="s">
        <v>1497</v>
      </c>
      <c r="Y53" s="1" t="s">
        <v>1498</v>
      </c>
      <c r="Z53" s="1" t="s">
        <v>1484</v>
      </c>
      <c r="AA53" s="1" t="s">
        <v>1499</v>
      </c>
      <c r="AB53" s="1" t="s">
        <v>1479</v>
      </c>
      <c r="AC53" s="2" t="s">
        <v>1481</v>
      </c>
      <c r="AD53" s="1" t="s">
        <v>1500</v>
      </c>
      <c r="AE53" s="1" t="s">
        <v>1485</v>
      </c>
      <c r="AF53" s="1" t="s">
        <v>1479</v>
      </c>
      <c r="AG53" s="1" t="s">
        <v>1484</v>
      </c>
      <c r="AH53" s="1" t="s">
        <v>1487</v>
      </c>
      <c r="AI53" s="1" t="s">
        <v>1501</v>
      </c>
      <c r="AJ53" s="1" t="s">
        <v>1502</v>
      </c>
      <c r="AK53" s="1" t="s">
        <v>1503</v>
      </c>
      <c r="AL53" s="2" t="s">
        <v>1504</v>
      </c>
      <c r="AM53" s="1" t="s">
        <v>1505</v>
      </c>
      <c r="AN53" s="1" t="s">
        <v>1479</v>
      </c>
      <c r="AO53" s="1" t="s">
        <v>1506</v>
      </c>
      <c r="AP53" s="2" t="s">
        <v>1507</v>
      </c>
    </row>
    <row r="54" customFormat="false" ht="14.25" hidden="false" customHeight="true" outlineLevel="0" collapsed="false">
      <c r="A54" s="1" t="s">
        <v>1508</v>
      </c>
      <c r="B54" s="1" t="s">
        <v>1509</v>
      </c>
      <c r="C54" s="2" t="s">
        <v>1510</v>
      </c>
      <c r="D54" s="1" t="s">
        <v>1511</v>
      </c>
      <c r="E54" s="1" t="s">
        <v>1512</v>
      </c>
      <c r="F54" s="1" t="s">
        <v>1513</v>
      </c>
      <c r="G54" s="1" t="s">
        <v>1514</v>
      </c>
      <c r="H54" s="3" t="s">
        <v>1515</v>
      </c>
      <c r="I54" s="3" t="s">
        <v>1515</v>
      </c>
      <c r="J54" s="1" t="s">
        <v>1516</v>
      </c>
      <c r="K54" s="1" t="s">
        <v>1517</v>
      </c>
      <c r="L54" s="1" t="s">
        <v>1518</v>
      </c>
      <c r="M54" s="1" t="s">
        <v>1519</v>
      </c>
      <c r="N54" s="1" t="s">
        <v>1518</v>
      </c>
      <c r="O54" s="1" t="s">
        <v>1520</v>
      </c>
      <c r="P54" s="1" t="s">
        <v>1521</v>
      </c>
      <c r="Q54" s="1" t="s">
        <v>1518</v>
      </c>
      <c r="R54" s="1" t="s">
        <v>1522</v>
      </c>
      <c r="S54" s="2" t="s">
        <v>1523</v>
      </c>
      <c r="T54" s="1" t="s">
        <v>1524</v>
      </c>
      <c r="U54" s="1" t="s">
        <v>1525</v>
      </c>
      <c r="V54" s="1" t="s">
        <v>1526</v>
      </c>
      <c r="W54" s="1" t="s">
        <v>1527</v>
      </c>
      <c r="X54" s="3" t="s">
        <v>1528</v>
      </c>
      <c r="Y54" s="1" t="s">
        <v>1529</v>
      </c>
      <c r="Z54" s="1" t="s">
        <v>1530</v>
      </c>
      <c r="AA54" s="1" t="s">
        <v>1531</v>
      </c>
      <c r="AB54" s="1" t="s">
        <v>1532</v>
      </c>
      <c r="AC54" s="2" t="s">
        <v>1533</v>
      </c>
      <c r="AD54" s="1" t="s">
        <v>1534</v>
      </c>
      <c r="AE54" s="1" t="s">
        <v>1535</v>
      </c>
      <c r="AF54" s="1" t="s">
        <v>1532</v>
      </c>
      <c r="AG54" s="1" t="s">
        <v>1530</v>
      </c>
      <c r="AH54" s="1" t="s">
        <v>1536</v>
      </c>
      <c r="AI54" s="1" t="s">
        <v>1537</v>
      </c>
      <c r="AJ54" s="1" t="s">
        <v>1538</v>
      </c>
      <c r="AK54" s="1" t="s">
        <v>1518</v>
      </c>
      <c r="AL54" s="2" t="s">
        <v>1539</v>
      </c>
      <c r="AM54" s="1" t="s">
        <v>1540</v>
      </c>
      <c r="AN54" s="1" t="s">
        <v>1541</v>
      </c>
      <c r="AO54" s="1" t="s">
        <v>1542</v>
      </c>
      <c r="AP54" s="2" t="s">
        <v>1543</v>
      </c>
    </row>
    <row r="55" customFormat="false" ht="14.25" hidden="false" customHeight="true" outlineLevel="0" collapsed="false">
      <c r="A55" s="1" t="s">
        <v>1544</v>
      </c>
      <c r="B55" s="1" t="s">
        <v>1545</v>
      </c>
      <c r="C55" s="2" t="s">
        <v>1546</v>
      </c>
      <c r="D55" s="1" t="s">
        <v>1547</v>
      </c>
      <c r="E55" s="1" t="s">
        <v>1544</v>
      </c>
      <c r="F55" s="1" t="s">
        <v>1544</v>
      </c>
      <c r="G55" s="1" t="s">
        <v>1544</v>
      </c>
      <c r="H55" s="3" t="s">
        <v>1548</v>
      </c>
      <c r="I55" s="3" t="s">
        <v>1549</v>
      </c>
      <c r="J55" s="1" t="s">
        <v>1550</v>
      </c>
      <c r="K55" s="1" t="s">
        <v>1550</v>
      </c>
      <c r="L55" s="1" t="s">
        <v>1544</v>
      </c>
      <c r="M55" s="1" t="s">
        <v>1544</v>
      </c>
      <c r="N55" s="1" t="s">
        <v>1551</v>
      </c>
      <c r="O55" s="1" t="s">
        <v>1544</v>
      </c>
      <c r="P55" s="1" t="s">
        <v>1552</v>
      </c>
      <c r="Q55" s="1" t="s">
        <v>1544</v>
      </c>
      <c r="R55" s="1" t="s">
        <v>1553</v>
      </c>
      <c r="S55" s="2" t="s">
        <v>1554</v>
      </c>
      <c r="T55" s="1" t="s">
        <v>1544</v>
      </c>
      <c r="U55" s="1" t="s">
        <v>1551</v>
      </c>
      <c r="V55" s="1" t="s">
        <v>1544</v>
      </c>
      <c r="W55" s="1" t="s">
        <v>1555</v>
      </c>
      <c r="X55" s="3" t="s">
        <v>1556</v>
      </c>
      <c r="Y55" s="1" t="s">
        <v>1551</v>
      </c>
      <c r="Z55" s="1" t="s">
        <v>1557</v>
      </c>
      <c r="AA55" s="1" t="s">
        <v>1544</v>
      </c>
      <c r="AB55" s="1" t="s">
        <v>1544</v>
      </c>
      <c r="AC55" s="2" t="s">
        <v>1558</v>
      </c>
      <c r="AD55" s="1" t="s">
        <v>1559</v>
      </c>
      <c r="AE55" s="1" t="s">
        <v>1544</v>
      </c>
      <c r="AF55" s="1" t="s">
        <v>1544</v>
      </c>
      <c r="AG55" s="1" t="s">
        <v>1560</v>
      </c>
      <c r="AH55" s="1" t="s">
        <v>1550</v>
      </c>
      <c r="AI55" s="1" t="s">
        <v>1544</v>
      </c>
      <c r="AJ55" s="1" t="s">
        <v>1544</v>
      </c>
      <c r="AK55" s="1" t="s">
        <v>1561</v>
      </c>
      <c r="AL55" s="2" t="s">
        <v>1562</v>
      </c>
      <c r="AM55" s="1" t="s">
        <v>1550</v>
      </c>
      <c r="AN55" s="1" t="s">
        <v>1544</v>
      </c>
      <c r="AO55" s="1" t="s">
        <v>1563</v>
      </c>
      <c r="AP55" s="2" t="s">
        <v>1564</v>
      </c>
    </row>
    <row r="56" customFormat="false" ht="14.25" hidden="false" customHeight="true" outlineLevel="0" collapsed="false">
      <c r="A56" s="1" t="s">
        <v>1565</v>
      </c>
      <c r="B56" s="1" t="s">
        <v>1566</v>
      </c>
      <c r="C56" s="2" t="s">
        <v>1567</v>
      </c>
      <c r="D56" s="1" t="s">
        <v>1568</v>
      </c>
      <c r="E56" s="1" t="s">
        <v>1569</v>
      </c>
      <c r="F56" s="1" t="s">
        <v>1570</v>
      </c>
      <c r="G56" s="1" t="s">
        <v>1571</v>
      </c>
      <c r="H56" s="3" t="s">
        <v>1572</v>
      </c>
      <c r="I56" s="3" t="s">
        <v>1573</v>
      </c>
      <c r="J56" s="1" t="s">
        <v>1574</v>
      </c>
      <c r="K56" s="1" t="s">
        <v>1575</v>
      </c>
      <c r="L56" s="1" t="s">
        <v>1576</v>
      </c>
      <c r="M56" s="1" t="s">
        <v>1577</v>
      </c>
      <c r="N56" s="1" t="s">
        <v>1578</v>
      </c>
      <c r="O56" s="1" t="s">
        <v>1579</v>
      </c>
      <c r="P56" s="1" t="s">
        <v>1580</v>
      </c>
      <c r="Q56" s="1" t="s">
        <v>1581</v>
      </c>
      <c r="R56" s="1" t="s">
        <v>1582</v>
      </c>
      <c r="S56" s="2" t="s">
        <v>1583</v>
      </c>
      <c r="T56" s="1" t="s">
        <v>1584</v>
      </c>
      <c r="U56" s="1" t="s">
        <v>1585</v>
      </c>
      <c r="V56" s="1" t="s">
        <v>1586</v>
      </c>
      <c r="W56" s="1" t="s">
        <v>1587</v>
      </c>
      <c r="X56" s="3" t="s">
        <v>1588</v>
      </c>
      <c r="Y56" s="1" t="s">
        <v>1589</v>
      </c>
      <c r="Z56" s="1" t="s">
        <v>1590</v>
      </c>
      <c r="AA56" s="1" t="s">
        <v>1591</v>
      </c>
      <c r="AB56" s="1" t="s">
        <v>1576</v>
      </c>
      <c r="AC56" s="2" t="s">
        <v>1592</v>
      </c>
      <c r="AD56" s="1" t="s">
        <v>1593</v>
      </c>
      <c r="AE56" s="1" t="s">
        <v>1594</v>
      </c>
      <c r="AF56" s="1" t="s">
        <v>1587</v>
      </c>
      <c r="AG56" s="1" t="s">
        <v>1595</v>
      </c>
      <c r="AH56" s="1" t="s">
        <v>1596</v>
      </c>
      <c r="AI56" s="1" t="s">
        <v>1597</v>
      </c>
      <c r="AJ56" s="1" t="s">
        <v>1598</v>
      </c>
      <c r="AK56" s="1" t="s">
        <v>1576</v>
      </c>
      <c r="AL56" s="2" t="s">
        <v>1599</v>
      </c>
      <c r="AM56" s="1" t="s">
        <v>1600</v>
      </c>
      <c r="AN56" s="1" t="s">
        <v>1601</v>
      </c>
      <c r="AO56" s="1" t="s">
        <v>1602</v>
      </c>
      <c r="AP56" s="2" t="s">
        <v>1603</v>
      </c>
    </row>
    <row r="57" customFormat="false" ht="14.25" hidden="false" customHeight="true" outlineLevel="0" collapsed="false">
      <c r="A57" s="1" t="s">
        <v>1604</v>
      </c>
      <c r="B57" s="1" t="s">
        <v>1605</v>
      </c>
      <c r="C57" s="2" t="s">
        <v>1606</v>
      </c>
      <c r="D57" s="1" t="s">
        <v>1607</v>
      </c>
      <c r="E57" s="1" t="s">
        <v>1608</v>
      </c>
      <c r="F57" s="1" t="s">
        <v>1609</v>
      </c>
      <c r="G57" s="1" t="s">
        <v>1610</v>
      </c>
      <c r="H57" s="3" t="s">
        <v>1611</v>
      </c>
      <c r="I57" s="3" t="s">
        <v>1611</v>
      </c>
      <c r="J57" s="1" t="s">
        <v>1604</v>
      </c>
      <c r="K57" s="1" t="s">
        <v>1612</v>
      </c>
      <c r="L57" s="1" t="s">
        <v>1604</v>
      </c>
      <c r="M57" s="1" t="s">
        <v>1604</v>
      </c>
      <c r="N57" s="1" t="s">
        <v>1604</v>
      </c>
      <c r="O57" s="1" t="s">
        <v>1613</v>
      </c>
      <c r="P57" s="1" t="s">
        <v>1614</v>
      </c>
      <c r="Q57" s="1" t="s">
        <v>1604</v>
      </c>
      <c r="R57" s="1" t="s">
        <v>1615</v>
      </c>
      <c r="S57" s="2" t="s">
        <v>1616</v>
      </c>
      <c r="T57" s="1" t="s">
        <v>1617</v>
      </c>
      <c r="U57" s="1" t="s">
        <v>1618</v>
      </c>
      <c r="V57" s="1" t="s">
        <v>1604</v>
      </c>
      <c r="W57" s="1" t="s">
        <v>1619</v>
      </c>
      <c r="X57" s="3" t="s">
        <v>1620</v>
      </c>
      <c r="Y57" s="1" t="s">
        <v>1621</v>
      </c>
      <c r="Z57" s="1" t="s">
        <v>1622</v>
      </c>
      <c r="AA57" s="1" t="s">
        <v>1623</v>
      </c>
      <c r="AB57" s="1" t="s">
        <v>1604</v>
      </c>
      <c r="AC57" s="2" t="s">
        <v>1624</v>
      </c>
      <c r="AD57" s="1" t="s">
        <v>1605</v>
      </c>
      <c r="AE57" s="1" t="s">
        <v>1625</v>
      </c>
      <c r="AF57" s="1" t="s">
        <v>1605</v>
      </c>
      <c r="AG57" s="1" t="s">
        <v>1604</v>
      </c>
      <c r="AH57" s="1" t="s">
        <v>1612</v>
      </c>
      <c r="AI57" s="1" t="s">
        <v>1626</v>
      </c>
      <c r="AJ57" s="1" t="s">
        <v>1627</v>
      </c>
      <c r="AK57" s="1" t="s">
        <v>1604</v>
      </c>
      <c r="AL57" s="2" t="s">
        <v>1628</v>
      </c>
      <c r="AM57" s="1" t="s">
        <v>1629</v>
      </c>
      <c r="AN57" s="1" t="s">
        <v>1630</v>
      </c>
      <c r="AO57" s="1" t="s">
        <v>1631</v>
      </c>
      <c r="AP57" s="2" t="s">
        <v>1632</v>
      </c>
    </row>
    <row r="58" customFormat="false" ht="14.25" hidden="false" customHeight="true" outlineLevel="0" collapsed="false">
      <c r="A58" s="1" t="s">
        <v>1633</v>
      </c>
      <c r="B58" s="1" t="s">
        <v>1634</v>
      </c>
      <c r="C58" s="2" t="s">
        <v>1635</v>
      </c>
      <c r="D58" s="1" t="s">
        <v>1636</v>
      </c>
      <c r="E58" s="1" t="s">
        <v>1637</v>
      </c>
      <c r="F58" s="1" t="s">
        <v>1638</v>
      </c>
      <c r="G58" s="1" t="s">
        <v>1639</v>
      </c>
      <c r="H58" s="3" t="s">
        <v>1640</v>
      </c>
      <c r="I58" s="3" t="s">
        <v>1641</v>
      </c>
      <c r="J58" s="1" t="s">
        <v>1642</v>
      </c>
      <c r="K58" s="1" t="s">
        <v>1643</v>
      </c>
      <c r="L58" s="1" t="s">
        <v>1644</v>
      </c>
      <c r="M58" s="1" t="s">
        <v>1645</v>
      </c>
      <c r="N58" s="1" t="s">
        <v>1646</v>
      </c>
      <c r="O58" s="1" t="s">
        <v>1647</v>
      </c>
      <c r="P58" s="1" t="s">
        <v>1648</v>
      </c>
      <c r="Q58" s="1" t="s">
        <v>1644</v>
      </c>
      <c r="R58" s="1" t="s">
        <v>1649</v>
      </c>
      <c r="S58" s="2" t="s">
        <v>1650</v>
      </c>
      <c r="T58" s="1" t="s">
        <v>1633</v>
      </c>
      <c r="U58" s="1" t="s">
        <v>1646</v>
      </c>
      <c r="V58" s="1" t="s">
        <v>1633</v>
      </c>
      <c r="W58" s="1" t="s">
        <v>1651</v>
      </c>
      <c r="X58" s="3" t="s">
        <v>1652</v>
      </c>
      <c r="Y58" s="1" t="s">
        <v>1642</v>
      </c>
      <c r="Z58" s="1" t="s">
        <v>1653</v>
      </c>
      <c r="AA58" s="1" t="s">
        <v>1654</v>
      </c>
      <c r="AB58" s="1" t="s">
        <v>1646</v>
      </c>
      <c r="AC58" s="2" t="s">
        <v>1655</v>
      </c>
      <c r="AD58" s="1" t="s">
        <v>1646</v>
      </c>
      <c r="AE58" s="1" t="s">
        <v>1656</v>
      </c>
      <c r="AF58" s="1" t="s">
        <v>1646</v>
      </c>
      <c r="AG58" s="1" t="s">
        <v>1653</v>
      </c>
      <c r="AH58" s="1" t="s">
        <v>1657</v>
      </c>
      <c r="AI58" s="1" t="s">
        <v>1642</v>
      </c>
      <c r="AJ58" s="1" t="s">
        <v>1656</v>
      </c>
      <c r="AK58" s="1" t="s">
        <v>1644</v>
      </c>
      <c r="AL58" s="2" t="s">
        <v>1658</v>
      </c>
      <c r="AM58" s="1" t="s">
        <v>1637</v>
      </c>
      <c r="AN58" s="1" t="s">
        <v>1659</v>
      </c>
      <c r="AO58" s="1" t="s">
        <v>1660</v>
      </c>
      <c r="AP58" s="2" t="s">
        <v>1661</v>
      </c>
    </row>
    <row r="59" customFormat="false" ht="14.25" hidden="false" customHeight="true" outlineLevel="0" collapsed="false">
      <c r="A59" s="1" t="s">
        <v>1662</v>
      </c>
      <c r="B59" s="1" t="s">
        <v>1663</v>
      </c>
      <c r="C59" s="2" t="s">
        <v>1664</v>
      </c>
      <c r="D59" s="1" t="s">
        <v>1665</v>
      </c>
      <c r="E59" s="1" t="s">
        <v>1663</v>
      </c>
      <c r="F59" s="1" t="s">
        <v>1666</v>
      </c>
      <c r="G59" s="1" t="s">
        <v>1667</v>
      </c>
      <c r="H59" s="3" t="s">
        <v>1668</v>
      </c>
      <c r="I59" s="3" t="s">
        <v>1668</v>
      </c>
      <c r="J59" s="1" t="s">
        <v>1663</v>
      </c>
      <c r="K59" s="1" t="s">
        <v>1663</v>
      </c>
      <c r="L59" s="1" t="s">
        <v>1662</v>
      </c>
      <c r="M59" s="1" t="s">
        <v>1662</v>
      </c>
      <c r="N59" s="1" t="s">
        <v>1662</v>
      </c>
      <c r="O59" s="1" t="s">
        <v>1662</v>
      </c>
      <c r="P59" s="1" t="s">
        <v>1669</v>
      </c>
      <c r="Q59" s="1" t="s">
        <v>1663</v>
      </c>
      <c r="R59" s="1" t="s">
        <v>1670</v>
      </c>
      <c r="S59" s="2" t="s">
        <v>1671</v>
      </c>
      <c r="T59" s="1" t="s">
        <v>1663</v>
      </c>
      <c r="U59" s="1" t="s">
        <v>1663</v>
      </c>
      <c r="V59" s="1" t="s">
        <v>1663</v>
      </c>
      <c r="W59" s="1" t="s">
        <v>1662</v>
      </c>
      <c r="X59" s="3" t="s">
        <v>1672</v>
      </c>
      <c r="Y59" s="1" t="s">
        <v>1663</v>
      </c>
      <c r="Z59" s="1" t="s">
        <v>1666</v>
      </c>
      <c r="AA59" s="1" t="s">
        <v>1663</v>
      </c>
      <c r="AB59" s="1" t="s">
        <v>1662</v>
      </c>
      <c r="AC59" s="2" t="s">
        <v>1673</v>
      </c>
      <c r="AD59" s="1" t="s">
        <v>1663</v>
      </c>
      <c r="AE59" s="1" t="s">
        <v>1674</v>
      </c>
      <c r="AF59" s="1" t="s">
        <v>1662</v>
      </c>
      <c r="AG59" s="1" t="s">
        <v>1666</v>
      </c>
      <c r="AH59" s="1" t="s">
        <v>1663</v>
      </c>
      <c r="AI59" s="1" t="s">
        <v>1663</v>
      </c>
      <c r="AJ59" s="1" t="s">
        <v>1674</v>
      </c>
      <c r="AK59" s="1" t="s">
        <v>1662</v>
      </c>
      <c r="AL59" s="2" t="s">
        <v>1675</v>
      </c>
      <c r="AM59" s="1" t="s">
        <v>1663</v>
      </c>
      <c r="AN59" s="1" t="s">
        <v>1662</v>
      </c>
      <c r="AO59" s="1" t="s">
        <v>1666</v>
      </c>
      <c r="AP59" s="2" t="s">
        <v>1676</v>
      </c>
    </row>
    <row r="60" customFormat="false" ht="14.25" hidden="false" customHeight="true" outlineLevel="0" collapsed="false">
      <c r="A60" s="1" t="s">
        <v>1677</v>
      </c>
      <c r="B60" s="1" t="s">
        <v>1678</v>
      </c>
      <c r="C60" s="2" t="s">
        <v>1679</v>
      </c>
      <c r="D60" s="1" t="s">
        <v>1680</v>
      </c>
      <c r="E60" s="1" t="s">
        <v>1681</v>
      </c>
      <c r="F60" s="1" t="s">
        <v>1682</v>
      </c>
      <c r="G60" s="1" t="s">
        <v>1683</v>
      </c>
      <c r="H60" s="3" t="s">
        <v>1684</v>
      </c>
      <c r="I60" s="3" t="s">
        <v>1684</v>
      </c>
      <c r="J60" s="1" t="s">
        <v>1685</v>
      </c>
      <c r="K60" s="1" t="s">
        <v>1685</v>
      </c>
      <c r="L60" s="1" t="s">
        <v>1686</v>
      </c>
      <c r="M60" s="1" t="s">
        <v>1686</v>
      </c>
      <c r="N60" s="1" t="s">
        <v>1686</v>
      </c>
      <c r="O60" s="1" t="s">
        <v>1687</v>
      </c>
      <c r="P60" s="1" t="s">
        <v>1688</v>
      </c>
      <c r="Q60" s="1" t="s">
        <v>1686</v>
      </c>
      <c r="R60" s="1" t="s">
        <v>1689</v>
      </c>
      <c r="S60" s="2" t="s">
        <v>1690</v>
      </c>
      <c r="T60" s="1" t="s">
        <v>1691</v>
      </c>
      <c r="U60" s="1" t="s">
        <v>1685</v>
      </c>
      <c r="V60" s="1" t="s">
        <v>1691</v>
      </c>
      <c r="W60" s="1" t="s">
        <v>1692</v>
      </c>
      <c r="X60" s="3" t="s">
        <v>1693</v>
      </c>
      <c r="Y60" s="1" t="s">
        <v>1694</v>
      </c>
      <c r="Z60" s="1" t="s">
        <v>1682</v>
      </c>
      <c r="AA60" s="1" t="s">
        <v>1695</v>
      </c>
      <c r="AB60" s="1" t="s">
        <v>1686</v>
      </c>
      <c r="AC60" s="2" t="s">
        <v>1696</v>
      </c>
      <c r="AD60" s="1" t="s">
        <v>1685</v>
      </c>
      <c r="AE60" s="1" t="s">
        <v>1697</v>
      </c>
      <c r="AF60" s="1" t="s">
        <v>1687</v>
      </c>
      <c r="AG60" s="1" t="s">
        <v>1682</v>
      </c>
      <c r="AH60" s="1" t="s">
        <v>1685</v>
      </c>
      <c r="AI60" s="1" t="s">
        <v>1685</v>
      </c>
      <c r="AJ60" s="1" t="s">
        <v>1698</v>
      </c>
      <c r="AK60" s="1" t="s">
        <v>1699</v>
      </c>
      <c r="AL60" s="2" t="s">
        <v>1700</v>
      </c>
      <c r="AM60" s="1" t="s">
        <v>1701</v>
      </c>
      <c r="AN60" s="1" t="s">
        <v>1677</v>
      </c>
      <c r="AO60" s="1" t="s">
        <v>1702</v>
      </c>
      <c r="AP60" s="2" t="s">
        <v>1696</v>
      </c>
    </row>
    <row r="61" customFormat="false" ht="14.25" hidden="false" customHeight="true" outlineLevel="0" collapsed="false">
      <c r="A61" s="1" t="s">
        <v>1703</v>
      </c>
      <c r="B61" s="1" t="s">
        <v>1704</v>
      </c>
      <c r="C61" s="2" t="s">
        <v>1705</v>
      </c>
      <c r="D61" s="1" t="s">
        <v>1706</v>
      </c>
      <c r="E61" s="1" t="s">
        <v>1707</v>
      </c>
      <c r="F61" s="1" t="s">
        <v>1708</v>
      </c>
      <c r="G61" s="1" t="s">
        <v>1709</v>
      </c>
      <c r="H61" s="3" t="s">
        <v>1710</v>
      </c>
      <c r="I61" s="3" t="s">
        <v>1711</v>
      </c>
      <c r="J61" s="1" t="s">
        <v>1712</v>
      </c>
      <c r="K61" s="1" t="s">
        <v>1713</v>
      </c>
      <c r="L61" s="1" t="s">
        <v>1714</v>
      </c>
      <c r="M61" s="1" t="s">
        <v>1715</v>
      </c>
      <c r="N61" s="1" t="s">
        <v>1716</v>
      </c>
      <c r="O61" s="1" t="s">
        <v>1717</v>
      </c>
      <c r="P61" s="1" t="s">
        <v>1718</v>
      </c>
      <c r="Q61" s="1" t="s">
        <v>1714</v>
      </c>
      <c r="R61" s="1" t="s">
        <v>1719</v>
      </c>
      <c r="S61" s="2" t="s">
        <v>1720</v>
      </c>
      <c r="T61" s="1" t="s">
        <v>1721</v>
      </c>
      <c r="U61" s="1" t="s">
        <v>1722</v>
      </c>
      <c r="V61" s="1" t="s">
        <v>1703</v>
      </c>
      <c r="W61" s="1" t="s">
        <v>1723</v>
      </c>
      <c r="X61" s="3" t="s">
        <v>1724</v>
      </c>
      <c r="Y61" s="1" t="s">
        <v>1725</v>
      </c>
      <c r="Z61" s="1" t="s">
        <v>1726</v>
      </c>
      <c r="AA61" s="1" t="s">
        <v>1727</v>
      </c>
      <c r="AB61" s="1" t="s">
        <v>1716</v>
      </c>
      <c r="AC61" s="2" t="s">
        <v>1728</v>
      </c>
      <c r="AD61" s="1" t="s">
        <v>1729</v>
      </c>
      <c r="AE61" s="1" t="s">
        <v>1730</v>
      </c>
      <c r="AF61" s="1" t="s">
        <v>1731</v>
      </c>
      <c r="AG61" s="1" t="s">
        <v>1726</v>
      </c>
      <c r="AH61" s="1" t="s">
        <v>1732</v>
      </c>
      <c r="AI61" s="1" t="s">
        <v>1733</v>
      </c>
      <c r="AJ61" s="1" t="s">
        <v>1734</v>
      </c>
      <c r="AK61" s="1" t="s">
        <v>1714</v>
      </c>
      <c r="AL61" s="2" t="s">
        <v>1735</v>
      </c>
      <c r="AM61" s="1" t="s">
        <v>1736</v>
      </c>
      <c r="AN61" s="1" t="s">
        <v>1703</v>
      </c>
      <c r="AO61" s="1" t="s">
        <v>1737</v>
      </c>
      <c r="AP61" s="2" t="s">
        <v>1738</v>
      </c>
    </row>
    <row r="62" customFormat="false" ht="14.25" hidden="false" customHeight="true" outlineLevel="0" collapsed="false">
      <c r="A62" s="1" t="s">
        <v>1739</v>
      </c>
      <c r="B62" s="1" t="s">
        <v>1740</v>
      </c>
      <c r="C62" s="2" t="s">
        <v>1741</v>
      </c>
      <c r="D62" s="1" t="s">
        <v>1742</v>
      </c>
      <c r="E62" s="1" t="s">
        <v>1743</v>
      </c>
      <c r="F62" s="1" t="s">
        <v>1744</v>
      </c>
      <c r="G62" s="1" t="s">
        <v>1745</v>
      </c>
      <c r="H62" s="3" t="s">
        <v>1746</v>
      </c>
      <c r="I62" s="3" t="s">
        <v>1746</v>
      </c>
      <c r="J62" s="1" t="s">
        <v>1739</v>
      </c>
      <c r="K62" s="1" t="s">
        <v>1747</v>
      </c>
      <c r="L62" s="1" t="s">
        <v>1748</v>
      </c>
      <c r="M62" s="1" t="s">
        <v>1749</v>
      </c>
      <c r="N62" s="1" t="s">
        <v>1750</v>
      </c>
      <c r="O62" s="1" t="s">
        <v>1751</v>
      </c>
      <c r="P62" s="1" t="s">
        <v>1752</v>
      </c>
      <c r="Q62" s="1" t="s">
        <v>1748</v>
      </c>
      <c r="R62" s="1" t="s">
        <v>1753</v>
      </c>
      <c r="S62" s="2" t="s">
        <v>1754</v>
      </c>
      <c r="T62" s="1" t="s">
        <v>1755</v>
      </c>
      <c r="U62" s="1" t="s">
        <v>1739</v>
      </c>
      <c r="V62" s="1" t="s">
        <v>1756</v>
      </c>
      <c r="W62" s="1" t="s">
        <v>1757</v>
      </c>
      <c r="X62" s="3" t="s">
        <v>1758</v>
      </c>
      <c r="Y62" s="1" t="s">
        <v>1759</v>
      </c>
      <c r="Z62" s="1" t="s">
        <v>1760</v>
      </c>
      <c r="AA62" s="1" t="s">
        <v>1761</v>
      </c>
      <c r="AB62" s="1" t="s">
        <v>1745</v>
      </c>
      <c r="AC62" s="2" t="s">
        <v>1762</v>
      </c>
      <c r="AD62" s="1" t="s">
        <v>1763</v>
      </c>
      <c r="AE62" s="1" t="s">
        <v>1745</v>
      </c>
      <c r="AF62" s="1" t="s">
        <v>1764</v>
      </c>
      <c r="AG62" s="1" t="s">
        <v>1739</v>
      </c>
      <c r="AH62" s="1" t="s">
        <v>1755</v>
      </c>
      <c r="AI62" s="1" t="s">
        <v>1759</v>
      </c>
      <c r="AJ62" s="1" t="s">
        <v>1745</v>
      </c>
      <c r="AK62" s="1" t="s">
        <v>1748</v>
      </c>
      <c r="AL62" s="2" t="s">
        <v>1765</v>
      </c>
      <c r="AM62" s="1" t="s">
        <v>1766</v>
      </c>
      <c r="AN62" s="1" t="s">
        <v>1767</v>
      </c>
      <c r="AO62" s="1" t="s">
        <v>1768</v>
      </c>
      <c r="AP62" s="2" t="s">
        <v>1769</v>
      </c>
    </row>
    <row r="63" customFormat="false" ht="14.25" hidden="false" customHeight="true" outlineLevel="0" collapsed="false">
      <c r="A63" s="1" t="s">
        <v>1770</v>
      </c>
      <c r="B63" s="1" t="s">
        <v>1770</v>
      </c>
      <c r="C63" s="2" t="s">
        <v>1771</v>
      </c>
      <c r="D63" s="1" t="s">
        <v>1772</v>
      </c>
      <c r="E63" s="1" t="s">
        <v>1773</v>
      </c>
      <c r="F63" s="1" t="s">
        <v>1774</v>
      </c>
      <c r="G63" s="1" t="s">
        <v>1775</v>
      </c>
      <c r="H63" s="3" t="s">
        <v>1776</v>
      </c>
      <c r="I63" s="3" t="s">
        <v>1777</v>
      </c>
      <c r="J63" s="1" t="s">
        <v>1778</v>
      </c>
      <c r="K63" s="1" t="s">
        <v>1779</v>
      </c>
      <c r="L63" s="1" t="s">
        <v>1780</v>
      </c>
      <c r="M63" s="1" t="s">
        <v>1781</v>
      </c>
      <c r="N63" s="1" t="s">
        <v>1770</v>
      </c>
      <c r="O63" s="1" t="s">
        <v>1782</v>
      </c>
      <c r="P63" s="1" t="s">
        <v>1783</v>
      </c>
      <c r="Q63" s="1" t="s">
        <v>1780</v>
      </c>
      <c r="R63" s="1" t="s">
        <v>1784</v>
      </c>
      <c r="S63" s="2" t="s">
        <v>1785</v>
      </c>
      <c r="T63" s="1" t="s">
        <v>1786</v>
      </c>
      <c r="U63" s="1" t="s">
        <v>1770</v>
      </c>
      <c r="V63" s="1" t="s">
        <v>1787</v>
      </c>
      <c r="W63" s="1" t="s">
        <v>1770</v>
      </c>
      <c r="X63" s="3" t="s">
        <v>1788</v>
      </c>
      <c r="Y63" s="1" t="s">
        <v>1789</v>
      </c>
      <c r="Z63" s="1" t="s">
        <v>1790</v>
      </c>
      <c r="AA63" s="1" t="s">
        <v>1791</v>
      </c>
      <c r="AB63" s="1" t="s">
        <v>1770</v>
      </c>
      <c r="AC63" s="2" t="s">
        <v>1792</v>
      </c>
      <c r="AD63" s="1" t="s">
        <v>1770</v>
      </c>
      <c r="AE63" s="1" t="s">
        <v>1793</v>
      </c>
      <c r="AF63" s="1" t="s">
        <v>1770</v>
      </c>
      <c r="AG63" s="1" t="s">
        <v>1790</v>
      </c>
      <c r="AH63" s="1" t="s">
        <v>1779</v>
      </c>
      <c r="AI63" s="1" t="s">
        <v>1778</v>
      </c>
      <c r="AJ63" s="1" t="s">
        <v>1770</v>
      </c>
      <c r="AK63" s="1" t="s">
        <v>1780</v>
      </c>
      <c r="AL63" s="2" t="s">
        <v>1794</v>
      </c>
      <c r="AM63" s="1" t="s">
        <v>1795</v>
      </c>
      <c r="AN63" s="1" t="s">
        <v>1770</v>
      </c>
      <c r="AO63" s="1" t="s">
        <v>1796</v>
      </c>
      <c r="AP63" s="2" t="s">
        <v>1797</v>
      </c>
    </row>
    <row r="64" customFormat="false" ht="14.25" hidden="false" customHeight="true" outlineLevel="0" collapsed="false">
      <c r="A64" s="1" t="s">
        <v>1798</v>
      </c>
      <c r="B64" s="1" t="s">
        <v>1799</v>
      </c>
      <c r="C64" s="2" t="s">
        <v>1800</v>
      </c>
      <c r="D64" s="1" t="s">
        <v>1801</v>
      </c>
      <c r="E64" s="1" t="s">
        <v>1802</v>
      </c>
      <c r="F64" s="1" t="s">
        <v>1803</v>
      </c>
      <c r="G64" s="1" t="s">
        <v>1804</v>
      </c>
      <c r="H64" s="3" t="s">
        <v>1805</v>
      </c>
      <c r="I64" s="3" t="s">
        <v>1805</v>
      </c>
      <c r="J64" s="1" t="s">
        <v>1806</v>
      </c>
      <c r="K64" s="1" t="s">
        <v>1807</v>
      </c>
      <c r="L64" s="1" t="s">
        <v>1808</v>
      </c>
      <c r="M64" s="1" t="s">
        <v>1809</v>
      </c>
      <c r="N64" s="1" t="s">
        <v>1810</v>
      </c>
      <c r="O64" s="1" t="s">
        <v>1811</v>
      </c>
      <c r="P64" s="1" t="s">
        <v>1798</v>
      </c>
      <c r="Q64" s="1" t="s">
        <v>1808</v>
      </c>
      <c r="R64" s="1" t="s">
        <v>1812</v>
      </c>
      <c r="S64" s="2" t="s">
        <v>1813</v>
      </c>
      <c r="T64" s="1" t="s">
        <v>1814</v>
      </c>
      <c r="U64" s="1" t="s">
        <v>1815</v>
      </c>
      <c r="V64" s="1" t="s">
        <v>1816</v>
      </c>
      <c r="W64" s="1" t="s">
        <v>1817</v>
      </c>
      <c r="X64" s="3" t="s">
        <v>1818</v>
      </c>
      <c r="Y64" s="1" t="s">
        <v>1819</v>
      </c>
      <c r="Z64" s="1" t="s">
        <v>1820</v>
      </c>
      <c r="AA64" s="1" t="s">
        <v>1821</v>
      </c>
      <c r="AB64" s="1" t="s">
        <v>1822</v>
      </c>
      <c r="AC64" s="2" t="s">
        <v>1823</v>
      </c>
      <c r="AD64" s="1" t="s">
        <v>1824</v>
      </c>
      <c r="AE64" s="1" t="s">
        <v>1825</v>
      </c>
      <c r="AF64" s="1" t="s">
        <v>1826</v>
      </c>
      <c r="AG64" s="1" t="s">
        <v>1827</v>
      </c>
      <c r="AH64" s="1" t="s">
        <v>1828</v>
      </c>
      <c r="AI64" s="1" t="s">
        <v>1829</v>
      </c>
      <c r="AJ64" s="1" t="s">
        <v>1830</v>
      </c>
      <c r="AK64" s="1" t="s">
        <v>1808</v>
      </c>
      <c r="AL64" s="2" t="s">
        <v>1831</v>
      </c>
      <c r="AM64" s="1" t="s">
        <v>1832</v>
      </c>
      <c r="AN64" s="1" t="s">
        <v>1833</v>
      </c>
      <c r="AO64" s="1" t="s">
        <v>1834</v>
      </c>
      <c r="AP64" s="2" t="s">
        <v>1835</v>
      </c>
    </row>
    <row r="65" customFormat="false" ht="14.25" hidden="false" customHeight="true" outlineLevel="0" collapsed="false">
      <c r="A65" s="1" t="s">
        <v>1836</v>
      </c>
      <c r="B65" s="1" t="s">
        <v>1837</v>
      </c>
      <c r="C65" s="2" t="s">
        <v>1838</v>
      </c>
      <c r="D65" s="1" t="s">
        <v>1839</v>
      </c>
      <c r="E65" s="1" t="s">
        <v>1840</v>
      </c>
      <c r="F65" s="1" t="s">
        <v>1841</v>
      </c>
      <c r="G65" s="1" t="s">
        <v>1842</v>
      </c>
      <c r="H65" s="3" t="s">
        <v>1843</v>
      </c>
      <c r="I65" s="3" t="s">
        <v>1844</v>
      </c>
      <c r="J65" s="1" t="s">
        <v>1837</v>
      </c>
      <c r="K65" s="1" t="s">
        <v>1837</v>
      </c>
      <c r="L65" s="1" t="s">
        <v>1837</v>
      </c>
      <c r="M65" s="1" t="s">
        <v>1845</v>
      </c>
      <c r="N65" s="1" t="s">
        <v>1846</v>
      </c>
      <c r="O65" s="1" t="s">
        <v>1846</v>
      </c>
      <c r="P65" s="1" t="s">
        <v>1847</v>
      </c>
      <c r="Q65" s="1" t="s">
        <v>1837</v>
      </c>
      <c r="R65" s="1" t="s">
        <v>1848</v>
      </c>
      <c r="S65" s="2" t="s">
        <v>1849</v>
      </c>
      <c r="T65" s="1" t="s">
        <v>1837</v>
      </c>
      <c r="U65" s="1" t="s">
        <v>1837</v>
      </c>
      <c r="V65" s="1" t="s">
        <v>1850</v>
      </c>
      <c r="W65" s="1" t="s">
        <v>1842</v>
      </c>
      <c r="X65" s="3" t="s">
        <v>1851</v>
      </c>
      <c r="Y65" s="1" t="s">
        <v>1852</v>
      </c>
      <c r="Z65" s="1" t="s">
        <v>1841</v>
      </c>
      <c r="AA65" s="1" t="s">
        <v>1837</v>
      </c>
      <c r="AB65" s="1" t="s">
        <v>1837</v>
      </c>
      <c r="AC65" s="2" t="s">
        <v>1853</v>
      </c>
      <c r="AD65" s="1" t="s">
        <v>1837</v>
      </c>
      <c r="AE65" s="1" t="s">
        <v>1854</v>
      </c>
      <c r="AF65" s="1" t="s">
        <v>1842</v>
      </c>
      <c r="AG65" s="1" t="s">
        <v>1841</v>
      </c>
      <c r="AH65" s="1" t="s">
        <v>1837</v>
      </c>
      <c r="AI65" s="1" t="s">
        <v>1837</v>
      </c>
      <c r="AJ65" s="1" t="s">
        <v>1855</v>
      </c>
      <c r="AK65" s="1" t="s">
        <v>1837</v>
      </c>
      <c r="AL65" s="2" t="s">
        <v>1856</v>
      </c>
      <c r="AM65" s="1" t="s">
        <v>1837</v>
      </c>
      <c r="AN65" s="1" t="s">
        <v>1836</v>
      </c>
      <c r="AO65" s="1" t="s">
        <v>1841</v>
      </c>
      <c r="AP65" s="2" t="s">
        <v>1857</v>
      </c>
    </row>
    <row r="66" customFormat="false" ht="14.25" hidden="false" customHeight="true" outlineLevel="0" collapsed="false">
      <c r="A66" s="1" t="s">
        <v>1858</v>
      </c>
      <c r="B66" s="1" t="s">
        <v>1859</v>
      </c>
      <c r="C66" s="2" t="s">
        <v>1860</v>
      </c>
      <c r="D66" s="1" t="s">
        <v>1861</v>
      </c>
      <c r="E66" s="1" t="s">
        <v>1862</v>
      </c>
      <c r="F66" s="1" t="s">
        <v>1863</v>
      </c>
      <c r="G66" s="1" t="s">
        <v>1858</v>
      </c>
      <c r="H66" s="3" t="s">
        <v>1864</v>
      </c>
      <c r="I66" s="3" t="s">
        <v>1864</v>
      </c>
      <c r="J66" s="1" t="s">
        <v>1865</v>
      </c>
      <c r="K66" s="1" t="s">
        <v>1866</v>
      </c>
      <c r="L66" s="1" t="s">
        <v>1858</v>
      </c>
      <c r="M66" s="1" t="s">
        <v>1858</v>
      </c>
      <c r="N66" s="1" t="s">
        <v>1858</v>
      </c>
      <c r="O66" s="1" t="s">
        <v>1858</v>
      </c>
      <c r="P66" s="1" t="s">
        <v>1867</v>
      </c>
      <c r="Q66" s="1" t="s">
        <v>1858</v>
      </c>
      <c r="R66" s="1" t="s">
        <v>1868</v>
      </c>
      <c r="S66" s="2" t="s">
        <v>1869</v>
      </c>
      <c r="T66" s="1" t="s">
        <v>1870</v>
      </c>
      <c r="U66" s="1" t="s">
        <v>1858</v>
      </c>
      <c r="V66" s="1" t="s">
        <v>1858</v>
      </c>
      <c r="W66" s="1" t="s">
        <v>1871</v>
      </c>
      <c r="X66" s="3" t="s">
        <v>1872</v>
      </c>
      <c r="Y66" s="1" t="s">
        <v>1865</v>
      </c>
      <c r="Z66" s="1" t="s">
        <v>1873</v>
      </c>
      <c r="AA66" s="1" t="s">
        <v>1874</v>
      </c>
      <c r="AB66" s="1" t="s">
        <v>1858</v>
      </c>
      <c r="AC66" s="2" t="s">
        <v>1875</v>
      </c>
      <c r="AD66" s="1" t="s">
        <v>1876</v>
      </c>
      <c r="AE66" s="1" t="s">
        <v>1858</v>
      </c>
      <c r="AF66" s="1" t="s">
        <v>1876</v>
      </c>
      <c r="AG66" s="1" t="s">
        <v>1873</v>
      </c>
      <c r="AH66" s="1" t="s">
        <v>1866</v>
      </c>
      <c r="AI66" s="1" t="s">
        <v>1877</v>
      </c>
      <c r="AJ66" s="1" t="s">
        <v>1858</v>
      </c>
      <c r="AK66" s="1" t="s">
        <v>1858</v>
      </c>
      <c r="AL66" s="2" t="s">
        <v>1878</v>
      </c>
      <c r="AM66" s="1" t="s">
        <v>1879</v>
      </c>
      <c r="AN66" s="1" t="s">
        <v>1880</v>
      </c>
      <c r="AO66" s="1" t="s">
        <v>1881</v>
      </c>
      <c r="AP66" s="2" t="s">
        <v>1882</v>
      </c>
    </row>
    <row r="67" customFormat="false" ht="14.25" hidden="false" customHeight="true" outlineLevel="0" collapsed="false">
      <c r="A67" s="1" t="s">
        <v>1883</v>
      </c>
      <c r="B67" s="1" t="s">
        <v>1884</v>
      </c>
      <c r="C67" s="2" t="s">
        <v>1885</v>
      </c>
      <c r="D67" s="1" t="s">
        <v>1886</v>
      </c>
      <c r="E67" s="1" t="s">
        <v>1887</v>
      </c>
      <c r="F67" s="1" t="s">
        <v>1888</v>
      </c>
      <c r="G67" s="1" t="s">
        <v>1883</v>
      </c>
      <c r="H67" s="3" t="s">
        <v>1889</v>
      </c>
      <c r="I67" s="3" t="s">
        <v>1890</v>
      </c>
      <c r="J67" s="1" t="s">
        <v>1891</v>
      </c>
      <c r="K67" s="1" t="s">
        <v>1883</v>
      </c>
      <c r="L67" s="1" t="s">
        <v>1883</v>
      </c>
      <c r="M67" s="1" t="s">
        <v>1883</v>
      </c>
      <c r="N67" s="1" t="s">
        <v>1883</v>
      </c>
      <c r="O67" s="1" t="s">
        <v>1883</v>
      </c>
      <c r="P67" s="1" t="s">
        <v>1892</v>
      </c>
      <c r="Q67" s="1" t="s">
        <v>1883</v>
      </c>
      <c r="R67" s="1" t="s">
        <v>1893</v>
      </c>
      <c r="S67" s="2" t="s">
        <v>1894</v>
      </c>
      <c r="T67" s="1" t="s">
        <v>1895</v>
      </c>
      <c r="U67" s="1" t="s">
        <v>1883</v>
      </c>
      <c r="V67" s="1" t="s">
        <v>1891</v>
      </c>
      <c r="W67" s="1" t="s">
        <v>1883</v>
      </c>
      <c r="X67" s="3" t="s">
        <v>1896</v>
      </c>
      <c r="Y67" s="1" t="s">
        <v>1891</v>
      </c>
      <c r="Z67" s="1" t="s">
        <v>1888</v>
      </c>
      <c r="AA67" s="1" t="s">
        <v>1883</v>
      </c>
      <c r="AB67" s="1" t="s">
        <v>1883</v>
      </c>
      <c r="AC67" s="2" t="s">
        <v>1897</v>
      </c>
      <c r="AD67" s="1" t="s">
        <v>1883</v>
      </c>
      <c r="AE67" s="1" t="s">
        <v>1891</v>
      </c>
      <c r="AF67" s="1" t="s">
        <v>1883</v>
      </c>
      <c r="AG67" s="1" t="s">
        <v>1888</v>
      </c>
      <c r="AH67" s="1" t="s">
        <v>1883</v>
      </c>
      <c r="AI67" s="1" t="s">
        <v>1891</v>
      </c>
      <c r="AJ67" s="1" t="s">
        <v>1883</v>
      </c>
      <c r="AK67" s="1" t="s">
        <v>1883</v>
      </c>
      <c r="AL67" s="2" t="s">
        <v>1898</v>
      </c>
      <c r="AM67" s="1" t="s">
        <v>1891</v>
      </c>
      <c r="AN67" s="1" t="s">
        <v>1883</v>
      </c>
      <c r="AO67" s="1" t="s">
        <v>1888</v>
      </c>
      <c r="AP67" s="2" t="s">
        <v>1899</v>
      </c>
    </row>
    <row r="68" customFormat="false" ht="14.25" hidden="false" customHeight="true" outlineLevel="0" collapsed="false">
      <c r="A68" s="1" t="s">
        <v>1900</v>
      </c>
      <c r="B68" s="1" t="s">
        <v>1900</v>
      </c>
      <c r="C68" s="2" t="s">
        <v>1901</v>
      </c>
      <c r="D68" s="1" t="s">
        <v>1902</v>
      </c>
      <c r="E68" s="1" t="s">
        <v>1903</v>
      </c>
      <c r="F68" s="1" t="s">
        <v>1904</v>
      </c>
      <c r="G68" s="1" t="s">
        <v>1905</v>
      </c>
      <c r="H68" s="3" t="s">
        <v>1906</v>
      </c>
      <c r="I68" s="3" t="s">
        <v>1907</v>
      </c>
      <c r="J68" s="1" t="s">
        <v>1908</v>
      </c>
      <c r="K68" s="1" t="s">
        <v>1900</v>
      </c>
      <c r="L68" s="1" t="s">
        <v>1900</v>
      </c>
      <c r="M68" s="1" t="s">
        <v>1900</v>
      </c>
      <c r="N68" s="1" t="s">
        <v>1900</v>
      </c>
      <c r="O68" s="1" t="s">
        <v>1900</v>
      </c>
      <c r="P68" s="1" t="s">
        <v>1909</v>
      </c>
      <c r="Q68" s="1" t="s">
        <v>1900</v>
      </c>
      <c r="R68" s="1" t="s">
        <v>1910</v>
      </c>
      <c r="S68" s="2" t="s">
        <v>1911</v>
      </c>
      <c r="T68" s="1" t="s">
        <v>1900</v>
      </c>
      <c r="U68" s="1" t="s">
        <v>1900</v>
      </c>
      <c r="V68" s="1" t="s">
        <v>1900</v>
      </c>
      <c r="W68" s="1" t="s">
        <v>1900</v>
      </c>
      <c r="X68" s="3" t="s">
        <v>1912</v>
      </c>
      <c r="Y68" s="1" t="s">
        <v>1913</v>
      </c>
      <c r="Z68" s="1" t="s">
        <v>1914</v>
      </c>
      <c r="AA68" s="1" t="s">
        <v>1915</v>
      </c>
      <c r="AB68" s="1" t="s">
        <v>1900</v>
      </c>
      <c r="AC68" s="2" t="s">
        <v>1916</v>
      </c>
      <c r="AD68" s="1" t="s">
        <v>1915</v>
      </c>
      <c r="AE68" s="1" t="s">
        <v>1905</v>
      </c>
      <c r="AF68" s="1" t="s">
        <v>1900</v>
      </c>
      <c r="AG68" s="1" t="s">
        <v>1914</v>
      </c>
      <c r="AH68" s="1" t="s">
        <v>1917</v>
      </c>
      <c r="AI68" s="1" t="s">
        <v>1908</v>
      </c>
      <c r="AJ68" s="1" t="s">
        <v>1900</v>
      </c>
      <c r="AK68" s="1" t="s">
        <v>1900</v>
      </c>
      <c r="AL68" s="2" t="s">
        <v>1918</v>
      </c>
      <c r="AM68" s="1" t="s">
        <v>1900</v>
      </c>
      <c r="AN68" s="1" t="s">
        <v>1900</v>
      </c>
      <c r="AO68" s="1" t="s">
        <v>1904</v>
      </c>
      <c r="AP68" s="2" t="s">
        <v>1919</v>
      </c>
    </row>
    <row r="69" customFormat="false" ht="14.25" hidden="false" customHeight="true" outlineLevel="0" collapsed="false">
      <c r="A69" s="1" t="s">
        <v>1920</v>
      </c>
      <c r="B69" s="1" t="s">
        <v>1920</v>
      </c>
      <c r="C69" s="2" t="s">
        <v>1921</v>
      </c>
      <c r="D69" s="1" t="s">
        <v>1922</v>
      </c>
      <c r="E69" s="1" t="s">
        <v>1923</v>
      </c>
      <c r="F69" s="1" t="s">
        <v>1924</v>
      </c>
      <c r="G69" s="1" t="s">
        <v>1925</v>
      </c>
      <c r="H69" s="3" t="s">
        <v>1926</v>
      </c>
      <c r="I69" s="3" t="s">
        <v>1927</v>
      </c>
      <c r="J69" s="1" t="s">
        <v>1928</v>
      </c>
      <c r="K69" s="1" t="s">
        <v>1929</v>
      </c>
      <c r="L69" s="1" t="s">
        <v>1930</v>
      </c>
      <c r="M69" s="1" t="s">
        <v>1931</v>
      </c>
      <c r="N69" s="1" t="s">
        <v>1932</v>
      </c>
      <c r="O69" s="1" t="s">
        <v>1933</v>
      </c>
      <c r="P69" s="1" t="s">
        <v>1934</v>
      </c>
      <c r="Q69" s="1" t="s">
        <v>1935</v>
      </c>
      <c r="R69" s="1" t="s">
        <v>1936</v>
      </c>
      <c r="S69" s="2" t="s">
        <v>1937</v>
      </c>
      <c r="T69" s="1" t="s">
        <v>1938</v>
      </c>
      <c r="U69" s="1" t="s">
        <v>1939</v>
      </c>
      <c r="V69" s="1" t="s">
        <v>1940</v>
      </c>
      <c r="W69" s="1" t="s">
        <v>1941</v>
      </c>
      <c r="X69" s="3" t="s">
        <v>1942</v>
      </c>
      <c r="Y69" s="1" t="s">
        <v>1943</v>
      </c>
      <c r="Z69" s="1" t="s">
        <v>1944</v>
      </c>
      <c r="AA69" s="1" t="s">
        <v>1945</v>
      </c>
      <c r="AB69" s="1" t="s">
        <v>1946</v>
      </c>
      <c r="AC69" s="2" t="s">
        <v>1947</v>
      </c>
      <c r="AD69" s="1" t="s">
        <v>1948</v>
      </c>
      <c r="AE69" s="1" t="s">
        <v>1949</v>
      </c>
      <c r="AF69" s="1" t="s">
        <v>1950</v>
      </c>
      <c r="AG69" s="1" t="s">
        <v>1951</v>
      </c>
      <c r="AH69" s="1" t="s">
        <v>1952</v>
      </c>
      <c r="AI69" s="1" t="s">
        <v>1928</v>
      </c>
      <c r="AJ69" s="1" t="s">
        <v>1925</v>
      </c>
      <c r="AK69" s="1" t="s">
        <v>1930</v>
      </c>
      <c r="AL69" s="2" t="s">
        <v>1953</v>
      </c>
      <c r="AM69" s="1" t="s">
        <v>1954</v>
      </c>
      <c r="AN69" s="1" t="s">
        <v>1955</v>
      </c>
      <c r="AO69" s="1" t="s">
        <v>1956</v>
      </c>
      <c r="AP69" s="2" t="s">
        <v>1957</v>
      </c>
    </row>
    <row r="70" customFormat="false" ht="14.25" hidden="false" customHeight="true" outlineLevel="0" collapsed="false">
      <c r="A70" s="1" t="s">
        <v>1958</v>
      </c>
      <c r="B70" s="1" t="s">
        <v>1959</v>
      </c>
      <c r="C70" s="2" t="s">
        <v>1960</v>
      </c>
      <c r="D70" s="1" t="s">
        <v>1961</v>
      </c>
      <c r="E70" s="1" t="s">
        <v>1962</v>
      </c>
      <c r="F70" s="1" t="s">
        <v>1963</v>
      </c>
      <c r="G70" s="1" t="s">
        <v>1964</v>
      </c>
      <c r="H70" s="3" t="s">
        <v>1965</v>
      </c>
      <c r="I70" s="3" t="s">
        <v>1965</v>
      </c>
      <c r="J70" s="1" t="s">
        <v>1966</v>
      </c>
      <c r="K70" s="1" t="s">
        <v>1967</v>
      </c>
      <c r="L70" s="1" t="s">
        <v>1968</v>
      </c>
      <c r="M70" s="1" t="s">
        <v>1969</v>
      </c>
      <c r="N70" s="1" t="s">
        <v>1970</v>
      </c>
      <c r="O70" s="1" t="s">
        <v>1970</v>
      </c>
      <c r="P70" s="1" t="s">
        <v>1971</v>
      </c>
      <c r="Q70" s="1" t="s">
        <v>1972</v>
      </c>
      <c r="R70" s="1" t="s">
        <v>1973</v>
      </c>
      <c r="S70" s="2" t="s">
        <v>1974</v>
      </c>
      <c r="T70" s="1" t="s">
        <v>1975</v>
      </c>
      <c r="U70" s="1" t="s">
        <v>1976</v>
      </c>
      <c r="V70" s="1" t="s">
        <v>1977</v>
      </c>
      <c r="W70" s="1" t="s">
        <v>1978</v>
      </c>
      <c r="X70" s="3" t="s">
        <v>1979</v>
      </c>
      <c r="Y70" s="1" t="s">
        <v>1980</v>
      </c>
      <c r="Z70" s="1" t="s">
        <v>1981</v>
      </c>
      <c r="AA70" s="1" t="s">
        <v>1982</v>
      </c>
      <c r="AB70" s="1" t="s">
        <v>1983</v>
      </c>
      <c r="AC70" s="2" t="s">
        <v>1984</v>
      </c>
      <c r="AD70" s="1" t="s">
        <v>1985</v>
      </c>
      <c r="AE70" s="1" t="s">
        <v>1986</v>
      </c>
      <c r="AF70" s="1" t="s">
        <v>1987</v>
      </c>
      <c r="AG70" s="1" t="s">
        <v>1981</v>
      </c>
      <c r="AH70" s="1" t="s">
        <v>1988</v>
      </c>
      <c r="AI70" s="1" t="s">
        <v>1966</v>
      </c>
      <c r="AJ70" s="1" t="s">
        <v>1989</v>
      </c>
      <c r="AK70" s="1" t="s">
        <v>1968</v>
      </c>
      <c r="AL70" s="2" t="s">
        <v>1990</v>
      </c>
      <c r="AM70" s="1" t="s">
        <v>1991</v>
      </c>
      <c r="AN70" s="1" t="s">
        <v>1992</v>
      </c>
      <c r="AO70" s="1" t="s">
        <v>1993</v>
      </c>
      <c r="AP70" s="2" t="s">
        <v>1994</v>
      </c>
    </row>
    <row r="71" customFormat="false" ht="14.25" hidden="false" customHeight="true" outlineLevel="0" collapsed="false">
      <c r="A71" s="1" t="s">
        <v>1995</v>
      </c>
      <c r="B71" s="1" t="s">
        <v>1996</v>
      </c>
      <c r="C71" s="2" t="s">
        <v>1997</v>
      </c>
      <c r="D71" s="1" t="s">
        <v>1998</v>
      </c>
      <c r="E71" s="1" t="s">
        <v>1999</v>
      </c>
      <c r="F71" s="1" t="s">
        <v>2000</v>
      </c>
      <c r="G71" s="1" t="s">
        <v>2001</v>
      </c>
      <c r="H71" s="3" t="s">
        <v>2002</v>
      </c>
      <c r="I71" s="3" t="s">
        <v>2003</v>
      </c>
      <c r="J71" s="1" t="s">
        <v>2004</v>
      </c>
      <c r="K71" s="1" t="s">
        <v>2005</v>
      </c>
      <c r="L71" s="1" t="s">
        <v>2006</v>
      </c>
      <c r="M71" s="1" t="s">
        <v>2007</v>
      </c>
      <c r="N71" s="1" t="s">
        <v>2008</v>
      </c>
      <c r="O71" s="1" t="s">
        <v>2008</v>
      </c>
      <c r="P71" s="1" t="s">
        <v>2009</v>
      </c>
      <c r="Q71" s="1" t="s">
        <v>2010</v>
      </c>
      <c r="R71" s="1" t="s">
        <v>2011</v>
      </c>
      <c r="S71" s="2" t="s">
        <v>2012</v>
      </c>
      <c r="T71" s="1" t="s">
        <v>2013</v>
      </c>
      <c r="U71" s="1" t="s">
        <v>2014</v>
      </c>
      <c r="V71" s="1" t="s">
        <v>2015</v>
      </c>
      <c r="W71" s="1" t="s">
        <v>2016</v>
      </c>
      <c r="X71" s="3" t="s">
        <v>2017</v>
      </c>
      <c r="Y71" s="1" t="s">
        <v>2018</v>
      </c>
      <c r="Z71" s="1" t="s">
        <v>2000</v>
      </c>
      <c r="AA71" s="1" t="s">
        <v>2019</v>
      </c>
      <c r="AB71" s="1" t="s">
        <v>2020</v>
      </c>
      <c r="AC71" s="2" t="s">
        <v>2021</v>
      </c>
      <c r="AD71" s="1" t="s">
        <v>2022</v>
      </c>
      <c r="AE71" s="1" t="s">
        <v>2023</v>
      </c>
      <c r="AF71" s="1" t="s">
        <v>2024</v>
      </c>
      <c r="AG71" s="1" t="s">
        <v>2000</v>
      </c>
      <c r="AH71" s="1" t="s">
        <v>2005</v>
      </c>
      <c r="AI71" s="1" t="s">
        <v>2025</v>
      </c>
      <c r="AJ71" s="1" t="s">
        <v>2026</v>
      </c>
      <c r="AK71" s="1" t="s">
        <v>2027</v>
      </c>
      <c r="AL71" s="2" t="s">
        <v>2028</v>
      </c>
      <c r="AM71" s="1" t="s">
        <v>2029</v>
      </c>
      <c r="AN71" s="1" t="s">
        <v>2030</v>
      </c>
      <c r="AO71" s="1" t="s">
        <v>2031</v>
      </c>
      <c r="AP71" s="2" t="s">
        <v>2032</v>
      </c>
    </row>
    <row r="72" customFormat="false" ht="14.25" hidden="false" customHeight="true" outlineLevel="0" collapsed="false">
      <c r="A72" s="1" t="s">
        <v>2033</v>
      </c>
      <c r="B72" s="1" t="s">
        <v>2034</v>
      </c>
      <c r="C72" s="2" t="s">
        <v>2035</v>
      </c>
      <c r="D72" s="1" t="s">
        <v>2036</v>
      </c>
      <c r="E72" s="1" t="s">
        <v>2037</v>
      </c>
      <c r="F72" s="1" t="s">
        <v>2038</v>
      </c>
      <c r="G72" s="1" t="s">
        <v>2039</v>
      </c>
      <c r="H72" s="3" t="s">
        <v>2040</v>
      </c>
      <c r="I72" s="3" t="s">
        <v>2041</v>
      </c>
      <c r="J72" s="1" t="s">
        <v>2042</v>
      </c>
      <c r="K72" s="1" t="s">
        <v>2043</v>
      </c>
      <c r="L72" s="1" t="s">
        <v>2044</v>
      </c>
      <c r="M72" s="1" t="s">
        <v>2045</v>
      </c>
      <c r="N72" s="1" t="s">
        <v>2046</v>
      </c>
      <c r="O72" s="1" t="s">
        <v>2046</v>
      </c>
      <c r="P72" s="1" t="s">
        <v>2047</v>
      </c>
      <c r="Q72" s="1" t="s">
        <v>2048</v>
      </c>
      <c r="R72" s="1" t="s">
        <v>2049</v>
      </c>
      <c r="S72" s="2" t="s">
        <v>2050</v>
      </c>
      <c r="T72" s="1" t="s">
        <v>2051</v>
      </c>
      <c r="U72" s="1" t="s">
        <v>2052</v>
      </c>
      <c r="V72" s="1" t="s">
        <v>2053</v>
      </c>
      <c r="W72" s="1" t="s">
        <v>2054</v>
      </c>
      <c r="X72" s="3" t="s">
        <v>2055</v>
      </c>
      <c r="Y72" s="1" t="s">
        <v>2056</v>
      </c>
      <c r="Z72" s="1" t="s">
        <v>2057</v>
      </c>
      <c r="AA72" s="1" t="s">
        <v>2058</v>
      </c>
      <c r="AB72" s="1" t="s">
        <v>2059</v>
      </c>
      <c r="AC72" s="2" t="s">
        <v>2060</v>
      </c>
      <c r="AD72" s="1" t="s">
        <v>2061</v>
      </c>
      <c r="AE72" s="1" t="s">
        <v>2062</v>
      </c>
      <c r="AF72" s="1" t="s">
        <v>2063</v>
      </c>
      <c r="AG72" s="1" t="s">
        <v>2057</v>
      </c>
      <c r="AH72" s="1" t="s">
        <v>2043</v>
      </c>
      <c r="AI72" s="1" t="s">
        <v>2064</v>
      </c>
      <c r="AJ72" s="1" t="s">
        <v>2065</v>
      </c>
      <c r="AK72" s="1" t="s">
        <v>2066</v>
      </c>
      <c r="AL72" s="2" t="s">
        <v>2067</v>
      </c>
      <c r="AM72" s="1" t="s">
        <v>2068</v>
      </c>
      <c r="AN72" s="1" t="s">
        <v>2069</v>
      </c>
      <c r="AO72" s="1" t="s">
        <v>2070</v>
      </c>
      <c r="AP72" s="2" t="s">
        <v>2071</v>
      </c>
    </row>
    <row r="73" customFormat="false" ht="14.25" hidden="false" customHeight="true" outlineLevel="0" collapsed="false">
      <c r="A73" s="1" t="s">
        <v>2072</v>
      </c>
      <c r="B73" s="1" t="s">
        <v>2072</v>
      </c>
      <c r="C73" s="2" t="s">
        <v>2073</v>
      </c>
      <c r="D73" s="1" t="s">
        <v>2074</v>
      </c>
      <c r="E73" s="1" t="s">
        <v>2072</v>
      </c>
      <c r="F73" s="1" t="s">
        <v>2075</v>
      </c>
      <c r="G73" s="1" t="s">
        <v>2076</v>
      </c>
      <c r="H73" s="3" t="s">
        <v>2077</v>
      </c>
      <c r="I73" s="3" t="s">
        <v>2077</v>
      </c>
      <c r="J73" s="1" t="s">
        <v>2072</v>
      </c>
      <c r="K73" s="1" t="s">
        <v>2072</v>
      </c>
      <c r="L73" s="1" t="s">
        <v>2072</v>
      </c>
      <c r="M73" s="1" t="s">
        <v>2078</v>
      </c>
      <c r="N73" s="1" t="s">
        <v>2078</v>
      </c>
      <c r="O73" s="1" t="s">
        <v>2078</v>
      </c>
      <c r="P73" s="1" t="s">
        <v>2079</v>
      </c>
      <c r="Q73" s="1" t="s">
        <v>2072</v>
      </c>
      <c r="R73" s="1" t="s">
        <v>2080</v>
      </c>
      <c r="S73" s="2" t="s">
        <v>2081</v>
      </c>
      <c r="T73" s="1" t="s">
        <v>2072</v>
      </c>
      <c r="U73" s="1" t="s">
        <v>2072</v>
      </c>
      <c r="V73" s="1" t="s">
        <v>2082</v>
      </c>
      <c r="W73" s="1" t="s">
        <v>2072</v>
      </c>
      <c r="X73" s="3" t="s">
        <v>2083</v>
      </c>
      <c r="Y73" s="1" t="s">
        <v>2084</v>
      </c>
      <c r="Z73" s="1" t="s">
        <v>2075</v>
      </c>
      <c r="AA73" s="1" t="s">
        <v>2085</v>
      </c>
      <c r="AB73" s="1" t="s">
        <v>2072</v>
      </c>
      <c r="AC73" s="2" t="s">
        <v>2086</v>
      </c>
      <c r="AD73" s="1" t="s">
        <v>2072</v>
      </c>
      <c r="AE73" s="1" t="s">
        <v>2072</v>
      </c>
      <c r="AF73" s="1" t="s">
        <v>2072</v>
      </c>
      <c r="AG73" s="1" t="s">
        <v>2075</v>
      </c>
      <c r="AH73" s="1" t="s">
        <v>2072</v>
      </c>
      <c r="AI73" s="1" t="s">
        <v>2072</v>
      </c>
      <c r="AJ73" s="1" t="s">
        <v>2076</v>
      </c>
      <c r="AK73" s="1" t="s">
        <v>2072</v>
      </c>
      <c r="AL73" s="2" t="s">
        <v>2087</v>
      </c>
      <c r="AM73" s="1" t="s">
        <v>2072</v>
      </c>
      <c r="AN73" s="1" t="s">
        <v>2072</v>
      </c>
      <c r="AO73" s="1" t="s">
        <v>2088</v>
      </c>
      <c r="AP73" s="2" t="s">
        <v>2089</v>
      </c>
    </row>
    <row r="74" customFormat="false" ht="14.25" hidden="false" customHeight="true" outlineLevel="0" collapsed="false">
      <c r="A74" s="1" t="s">
        <v>2090</v>
      </c>
      <c r="B74" s="1" t="s">
        <v>2091</v>
      </c>
      <c r="C74" s="2" t="s">
        <v>2092</v>
      </c>
      <c r="D74" s="1" t="s">
        <v>2093</v>
      </c>
      <c r="E74" s="1" t="s">
        <v>2094</v>
      </c>
      <c r="F74" s="1" t="s">
        <v>2095</v>
      </c>
      <c r="G74" s="1" t="s">
        <v>2096</v>
      </c>
      <c r="H74" s="3" t="s">
        <v>2097</v>
      </c>
      <c r="I74" s="3" t="s">
        <v>2098</v>
      </c>
      <c r="J74" s="1" t="s">
        <v>2099</v>
      </c>
      <c r="K74" s="1" t="s">
        <v>2100</v>
      </c>
      <c r="L74" s="1" t="s">
        <v>2101</v>
      </c>
      <c r="M74" s="1" t="s">
        <v>2102</v>
      </c>
      <c r="N74" s="1" t="s">
        <v>2103</v>
      </c>
      <c r="O74" s="1" t="s">
        <v>2103</v>
      </c>
      <c r="P74" s="1" t="s">
        <v>2104</v>
      </c>
      <c r="Q74" s="1" t="s">
        <v>2105</v>
      </c>
      <c r="R74" s="1" t="s">
        <v>2106</v>
      </c>
      <c r="S74" s="2" t="s">
        <v>2107</v>
      </c>
      <c r="T74" s="1" t="s">
        <v>2108</v>
      </c>
      <c r="U74" s="1" t="s">
        <v>2109</v>
      </c>
      <c r="V74" s="1" t="s">
        <v>2101</v>
      </c>
      <c r="W74" s="1" t="s">
        <v>2110</v>
      </c>
      <c r="X74" s="3" t="s">
        <v>2111</v>
      </c>
      <c r="Y74" s="1" t="s">
        <v>2112</v>
      </c>
      <c r="Z74" s="1" t="s">
        <v>2113</v>
      </c>
      <c r="AA74" s="1" t="s">
        <v>2114</v>
      </c>
      <c r="AB74" s="1" t="s">
        <v>2115</v>
      </c>
      <c r="AC74" s="2" t="s">
        <v>2116</v>
      </c>
      <c r="AD74" s="1" t="s">
        <v>2117</v>
      </c>
      <c r="AE74" s="1" t="s">
        <v>2118</v>
      </c>
      <c r="AF74" s="1" t="s">
        <v>2119</v>
      </c>
      <c r="AG74" s="1" t="s">
        <v>2113</v>
      </c>
      <c r="AH74" s="1" t="s">
        <v>2120</v>
      </c>
      <c r="AI74" s="1" t="s">
        <v>2099</v>
      </c>
      <c r="AJ74" s="1" t="s">
        <v>2121</v>
      </c>
      <c r="AK74" s="1" t="s">
        <v>2115</v>
      </c>
      <c r="AL74" s="2" t="s">
        <v>2122</v>
      </c>
      <c r="AM74" s="1" t="s">
        <v>2123</v>
      </c>
      <c r="AN74" s="1" t="s">
        <v>2090</v>
      </c>
      <c r="AO74" s="1" t="s">
        <v>2124</v>
      </c>
      <c r="AP74" s="2" t="s">
        <v>2125</v>
      </c>
    </row>
    <row r="75" customFormat="false" ht="14.25" hidden="false" customHeight="true" outlineLevel="0" collapsed="false">
      <c r="A75" s="1" t="s">
        <v>2126</v>
      </c>
      <c r="B75" s="1" t="s">
        <v>2127</v>
      </c>
      <c r="C75" s="2" t="s">
        <v>2128</v>
      </c>
      <c r="D75" s="1" t="s">
        <v>2129</v>
      </c>
      <c r="E75" s="1" t="s">
        <v>2130</v>
      </c>
      <c r="F75" s="1" t="s">
        <v>2131</v>
      </c>
      <c r="G75" s="1" t="s">
        <v>2127</v>
      </c>
      <c r="H75" s="3" t="s">
        <v>2132</v>
      </c>
      <c r="I75" s="3" t="s">
        <v>2132</v>
      </c>
      <c r="J75" s="1" t="s">
        <v>2133</v>
      </c>
      <c r="K75" s="1" t="s">
        <v>2126</v>
      </c>
      <c r="L75" s="1" t="s">
        <v>2126</v>
      </c>
      <c r="M75" s="1" t="s">
        <v>2126</v>
      </c>
      <c r="N75" s="1" t="s">
        <v>2126</v>
      </c>
      <c r="O75" s="1" t="s">
        <v>2126</v>
      </c>
      <c r="P75" s="1" t="s">
        <v>2134</v>
      </c>
      <c r="Q75" s="1" t="s">
        <v>2126</v>
      </c>
      <c r="R75" s="1" t="s">
        <v>2135</v>
      </c>
      <c r="S75" s="2" t="s">
        <v>2136</v>
      </c>
      <c r="T75" s="1" t="s">
        <v>2126</v>
      </c>
      <c r="U75" s="1" t="s">
        <v>2126</v>
      </c>
      <c r="V75" s="1" t="s">
        <v>2137</v>
      </c>
      <c r="W75" s="1" t="s">
        <v>2126</v>
      </c>
      <c r="X75" s="3" t="s">
        <v>2138</v>
      </c>
      <c r="Y75" s="1" t="s">
        <v>2139</v>
      </c>
      <c r="Z75" s="1" t="s">
        <v>2140</v>
      </c>
      <c r="AA75" s="1" t="s">
        <v>2141</v>
      </c>
      <c r="AB75" s="1" t="s">
        <v>2126</v>
      </c>
      <c r="AC75" s="2" t="s">
        <v>2142</v>
      </c>
      <c r="AD75" s="1" t="s">
        <v>2141</v>
      </c>
      <c r="AE75" s="1" t="s">
        <v>2127</v>
      </c>
      <c r="AF75" s="1" t="s">
        <v>2126</v>
      </c>
      <c r="AG75" s="1" t="s">
        <v>2140</v>
      </c>
      <c r="AH75" s="1" t="s">
        <v>2143</v>
      </c>
      <c r="AI75" s="1" t="s">
        <v>2133</v>
      </c>
      <c r="AJ75" s="1" t="s">
        <v>2126</v>
      </c>
      <c r="AK75" s="1" t="s">
        <v>2126</v>
      </c>
      <c r="AL75" s="2" t="s">
        <v>2144</v>
      </c>
      <c r="AM75" s="1" t="s">
        <v>2126</v>
      </c>
      <c r="AN75" s="1" t="s">
        <v>2126</v>
      </c>
      <c r="AO75" s="1" t="s">
        <v>2131</v>
      </c>
      <c r="AP75" s="2" t="s">
        <v>2145</v>
      </c>
    </row>
    <row r="76" customFormat="false" ht="14.25" hidden="false" customHeight="true" outlineLevel="0" collapsed="false">
      <c r="A76" s="1" t="s">
        <v>2146</v>
      </c>
      <c r="B76" s="1" t="s">
        <v>2147</v>
      </c>
      <c r="C76" s="2" t="s">
        <v>2148</v>
      </c>
      <c r="D76" s="1" t="s">
        <v>2149</v>
      </c>
      <c r="E76" s="1" t="s">
        <v>2150</v>
      </c>
      <c r="F76" s="1" t="s">
        <v>2151</v>
      </c>
      <c r="G76" s="1" t="s">
        <v>2152</v>
      </c>
      <c r="H76" s="3" t="s">
        <v>2153</v>
      </c>
      <c r="I76" s="3" t="s">
        <v>2153</v>
      </c>
      <c r="J76" s="1" t="s">
        <v>2154</v>
      </c>
      <c r="K76" s="1" t="s">
        <v>2155</v>
      </c>
      <c r="L76" s="1" t="s">
        <v>2156</v>
      </c>
      <c r="M76" s="1" t="s">
        <v>2157</v>
      </c>
      <c r="N76" s="1" t="s">
        <v>2158</v>
      </c>
      <c r="O76" s="1" t="s">
        <v>2158</v>
      </c>
      <c r="P76" s="1" t="s">
        <v>2159</v>
      </c>
      <c r="Q76" s="1" t="s">
        <v>2160</v>
      </c>
      <c r="R76" s="1" t="s">
        <v>2161</v>
      </c>
      <c r="S76" s="2" t="s">
        <v>2162</v>
      </c>
      <c r="T76" s="1" t="s">
        <v>2163</v>
      </c>
      <c r="U76" s="1" t="s">
        <v>2164</v>
      </c>
      <c r="V76" s="1" t="s">
        <v>2165</v>
      </c>
      <c r="W76" s="1" t="s">
        <v>2166</v>
      </c>
      <c r="X76" s="3" t="s">
        <v>2167</v>
      </c>
      <c r="Y76" s="1" t="s">
        <v>2168</v>
      </c>
      <c r="Z76" s="1" t="s">
        <v>2169</v>
      </c>
      <c r="AA76" s="1" t="s">
        <v>2168</v>
      </c>
      <c r="AB76" s="1" t="s">
        <v>2170</v>
      </c>
      <c r="AC76" s="2" t="s">
        <v>2171</v>
      </c>
      <c r="AD76" s="1" t="s">
        <v>2172</v>
      </c>
      <c r="AE76" s="1" t="s">
        <v>2152</v>
      </c>
      <c r="AF76" s="1" t="s">
        <v>2173</v>
      </c>
      <c r="AG76" s="1" t="s">
        <v>2174</v>
      </c>
      <c r="AH76" s="1" t="s">
        <v>2155</v>
      </c>
      <c r="AI76" s="1" t="s">
        <v>2175</v>
      </c>
      <c r="AJ76" s="1" t="s">
        <v>2176</v>
      </c>
      <c r="AK76" s="1" t="s">
        <v>2177</v>
      </c>
      <c r="AL76" s="2" t="s">
        <v>2178</v>
      </c>
      <c r="AM76" s="1" t="s">
        <v>2179</v>
      </c>
      <c r="AN76" s="1" t="s">
        <v>2180</v>
      </c>
      <c r="AO76" s="1" t="s">
        <v>2181</v>
      </c>
      <c r="AP76" s="2" t="s">
        <v>2182</v>
      </c>
    </row>
    <row r="77" customFormat="false" ht="14.25" hidden="false" customHeight="true" outlineLevel="0" collapsed="false">
      <c r="A77" s="1" t="s">
        <v>2183</v>
      </c>
      <c r="B77" s="1" t="s">
        <v>2184</v>
      </c>
      <c r="C77" s="2" t="s">
        <v>2185</v>
      </c>
      <c r="D77" s="1" t="s">
        <v>2186</v>
      </c>
      <c r="E77" s="1" t="s">
        <v>2187</v>
      </c>
      <c r="F77" s="1" t="s">
        <v>2188</v>
      </c>
      <c r="G77" s="1" t="s">
        <v>2183</v>
      </c>
      <c r="H77" s="3" t="s">
        <v>2189</v>
      </c>
      <c r="I77" s="3" t="s">
        <v>2190</v>
      </c>
      <c r="J77" s="1" t="s">
        <v>2183</v>
      </c>
      <c r="K77" s="1" t="s">
        <v>2183</v>
      </c>
      <c r="L77" s="1" t="s">
        <v>2183</v>
      </c>
      <c r="M77" s="1" t="s">
        <v>2191</v>
      </c>
      <c r="N77" s="1" t="s">
        <v>2183</v>
      </c>
      <c r="O77" s="1" t="s">
        <v>2183</v>
      </c>
      <c r="P77" s="1" t="s">
        <v>2192</v>
      </c>
      <c r="Q77" s="1" t="s">
        <v>2183</v>
      </c>
      <c r="R77" s="1" t="s">
        <v>2193</v>
      </c>
      <c r="S77" s="2" t="s">
        <v>2194</v>
      </c>
      <c r="T77" s="1" t="s">
        <v>2183</v>
      </c>
      <c r="U77" s="1" t="s">
        <v>2183</v>
      </c>
      <c r="V77" s="1" t="s">
        <v>2183</v>
      </c>
      <c r="W77" s="1" t="s">
        <v>2183</v>
      </c>
      <c r="X77" s="3" t="s">
        <v>2195</v>
      </c>
      <c r="Y77" s="1" t="s">
        <v>2196</v>
      </c>
      <c r="Z77" s="1" t="s">
        <v>2197</v>
      </c>
      <c r="AA77" s="1" t="s">
        <v>2183</v>
      </c>
      <c r="AB77" s="1" t="s">
        <v>2183</v>
      </c>
      <c r="AC77" s="2" t="s">
        <v>2198</v>
      </c>
      <c r="AD77" s="1" t="s">
        <v>2183</v>
      </c>
      <c r="AE77" s="1" t="s">
        <v>2183</v>
      </c>
      <c r="AF77" s="1" t="s">
        <v>2183</v>
      </c>
      <c r="AG77" s="1" t="s">
        <v>2197</v>
      </c>
      <c r="AH77" s="1" t="s">
        <v>2183</v>
      </c>
      <c r="AI77" s="1" t="s">
        <v>2183</v>
      </c>
      <c r="AJ77" s="1" t="s">
        <v>2199</v>
      </c>
      <c r="AK77" s="1" t="s">
        <v>2183</v>
      </c>
      <c r="AL77" s="2" t="s">
        <v>2200</v>
      </c>
      <c r="AM77" s="1" t="s">
        <v>2183</v>
      </c>
      <c r="AN77" s="1" t="s">
        <v>2183</v>
      </c>
      <c r="AO77" s="1" t="s">
        <v>2188</v>
      </c>
      <c r="AP77" s="1" t="s">
        <v>2183</v>
      </c>
    </row>
    <row r="78" customFormat="false" ht="14.25" hidden="false" customHeight="true" outlineLevel="0" collapsed="false">
      <c r="A78" s="1" t="s">
        <v>2201</v>
      </c>
      <c r="B78" s="1" t="s">
        <v>2202</v>
      </c>
      <c r="C78" s="2" t="s">
        <v>2203</v>
      </c>
      <c r="D78" s="1" t="s">
        <v>2204</v>
      </c>
      <c r="E78" s="1" t="s">
        <v>2205</v>
      </c>
      <c r="F78" s="1" t="s">
        <v>2206</v>
      </c>
      <c r="G78" s="1" t="s">
        <v>2207</v>
      </c>
      <c r="H78" s="3" t="s">
        <v>2208</v>
      </c>
      <c r="I78" s="3" t="s">
        <v>2208</v>
      </c>
      <c r="J78" s="1" t="s">
        <v>2209</v>
      </c>
      <c r="K78" s="1" t="s">
        <v>2210</v>
      </c>
      <c r="L78" s="1" t="s">
        <v>2211</v>
      </c>
      <c r="M78" s="1" t="s">
        <v>2212</v>
      </c>
      <c r="N78" s="1" t="s">
        <v>2213</v>
      </c>
      <c r="O78" s="1" t="s">
        <v>2213</v>
      </c>
      <c r="P78" s="1" t="s">
        <v>2214</v>
      </c>
      <c r="Q78" s="1" t="s">
        <v>2215</v>
      </c>
      <c r="R78" s="1" t="s">
        <v>2216</v>
      </c>
      <c r="S78" s="2" t="s">
        <v>2217</v>
      </c>
      <c r="T78" s="1" t="s">
        <v>2218</v>
      </c>
      <c r="U78" s="1" t="s">
        <v>2219</v>
      </c>
      <c r="V78" s="1" t="s">
        <v>2220</v>
      </c>
      <c r="W78" s="1" t="s">
        <v>2221</v>
      </c>
      <c r="X78" s="3" t="s">
        <v>2222</v>
      </c>
      <c r="Y78" s="1" t="s">
        <v>2223</v>
      </c>
      <c r="Z78" s="1" t="s">
        <v>2224</v>
      </c>
      <c r="AA78" s="1" t="s">
        <v>2225</v>
      </c>
      <c r="AB78" s="1" t="s">
        <v>2211</v>
      </c>
      <c r="AC78" s="2" t="s">
        <v>2226</v>
      </c>
      <c r="AD78" s="1" t="s">
        <v>2227</v>
      </c>
      <c r="AE78" s="1" t="s">
        <v>2228</v>
      </c>
      <c r="AF78" s="1" t="s">
        <v>2229</v>
      </c>
      <c r="AG78" s="1" t="s">
        <v>2230</v>
      </c>
      <c r="AH78" s="1" t="s">
        <v>2231</v>
      </c>
      <c r="AI78" s="1" t="s">
        <v>2232</v>
      </c>
      <c r="AJ78" s="1" t="s">
        <v>2233</v>
      </c>
      <c r="AK78" s="1" t="s">
        <v>2234</v>
      </c>
      <c r="AL78" s="2" t="s">
        <v>2235</v>
      </c>
      <c r="AM78" s="1" t="s">
        <v>2236</v>
      </c>
      <c r="AN78" s="1" t="s">
        <v>2237</v>
      </c>
      <c r="AO78" s="1" t="s">
        <v>2238</v>
      </c>
      <c r="AP78" s="2" t="s">
        <v>2239</v>
      </c>
    </row>
    <row r="79" customFormat="false" ht="14.25" hidden="false" customHeight="true" outlineLevel="0" collapsed="false">
      <c r="A79" s="1" t="s">
        <v>2240</v>
      </c>
      <c r="B79" s="1" t="s">
        <v>2241</v>
      </c>
      <c r="C79" s="2" t="s">
        <v>2242</v>
      </c>
      <c r="D79" s="1" t="s">
        <v>2243</v>
      </c>
      <c r="E79" s="1" t="s">
        <v>2244</v>
      </c>
      <c r="F79" s="1" t="s">
        <v>2245</v>
      </c>
      <c r="G79" s="1" t="s">
        <v>2246</v>
      </c>
      <c r="H79" s="3" t="s">
        <v>2247</v>
      </c>
      <c r="I79" s="3" t="s">
        <v>2247</v>
      </c>
      <c r="J79" s="1" t="s">
        <v>2248</v>
      </c>
      <c r="K79" s="1" t="s">
        <v>2249</v>
      </c>
      <c r="L79" s="1" t="s">
        <v>2250</v>
      </c>
      <c r="M79" s="1" t="s">
        <v>2251</v>
      </c>
      <c r="N79" s="1" t="s">
        <v>2252</v>
      </c>
      <c r="O79" s="1" t="s">
        <v>2252</v>
      </c>
      <c r="P79" s="1" t="s">
        <v>2253</v>
      </c>
      <c r="Q79" s="1" t="s">
        <v>2254</v>
      </c>
      <c r="R79" s="1" t="s">
        <v>2255</v>
      </c>
      <c r="S79" s="2" t="s">
        <v>2256</v>
      </c>
      <c r="T79" s="1" t="s">
        <v>2257</v>
      </c>
      <c r="U79" s="1" t="s">
        <v>2258</v>
      </c>
      <c r="V79" s="1" t="s">
        <v>2259</v>
      </c>
      <c r="W79" s="1" t="s">
        <v>2260</v>
      </c>
      <c r="X79" s="3" t="s">
        <v>2261</v>
      </c>
      <c r="Y79" s="1" t="s">
        <v>2262</v>
      </c>
      <c r="Z79" s="1" t="s">
        <v>2263</v>
      </c>
      <c r="AA79" s="1" t="s">
        <v>2264</v>
      </c>
      <c r="AB79" s="1" t="s">
        <v>2250</v>
      </c>
      <c r="AC79" s="2" t="s">
        <v>2265</v>
      </c>
      <c r="AD79" s="1" t="s">
        <v>2266</v>
      </c>
      <c r="AE79" s="1" t="s">
        <v>2267</v>
      </c>
      <c r="AF79" s="1" t="s">
        <v>2268</v>
      </c>
      <c r="AG79" s="1" t="s">
        <v>2263</v>
      </c>
      <c r="AH79" s="1" t="s">
        <v>2249</v>
      </c>
      <c r="AI79" s="1" t="s">
        <v>2248</v>
      </c>
      <c r="AJ79" s="1" t="s">
        <v>2269</v>
      </c>
      <c r="AK79" s="1" t="s">
        <v>2250</v>
      </c>
      <c r="AL79" s="2" t="s">
        <v>2270</v>
      </c>
      <c r="AM79" s="1" t="s">
        <v>2244</v>
      </c>
      <c r="AN79" s="1" t="s">
        <v>2271</v>
      </c>
      <c r="AO79" s="1" t="s">
        <v>2272</v>
      </c>
      <c r="AP79" s="2" t="s">
        <v>2273</v>
      </c>
    </row>
    <row r="80" customFormat="false" ht="14.25" hidden="false" customHeight="true" outlineLevel="0" collapsed="false">
      <c r="A80" s="1" t="s">
        <v>2274</v>
      </c>
      <c r="B80" s="1" t="s">
        <v>2275</v>
      </c>
      <c r="C80" s="2" t="s">
        <v>2276</v>
      </c>
      <c r="D80" s="1" t="s">
        <v>2277</v>
      </c>
      <c r="E80" s="1" t="s">
        <v>2278</v>
      </c>
      <c r="F80" s="1" t="s">
        <v>2279</v>
      </c>
      <c r="G80" s="1" t="s">
        <v>2280</v>
      </c>
      <c r="H80" s="3" t="s">
        <v>2281</v>
      </c>
      <c r="I80" s="3" t="s">
        <v>2281</v>
      </c>
      <c r="J80" s="1" t="s">
        <v>2282</v>
      </c>
      <c r="K80" s="1" t="s">
        <v>2274</v>
      </c>
      <c r="L80" s="1" t="s">
        <v>2283</v>
      </c>
      <c r="M80" s="1" t="s">
        <v>2284</v>
      </c>
      <c r="N80" s="1" t="s">
        <v>2284</v>
      </c>
      <c r="O80" s="1" t="s">
        <v>2284</v>
      </c>
      <c r="P80" s="1" t="s">
        <v>2285</v>
      </c>
      <c r="Q80" s="1" t="s">
        <v>2286</v>
      </c>
      <c r="R80" s="1" t="s">
        <v>2287</v>
      </c>
      <c r="S80" s="2" t="s">
        <v>2288</v>
      </c>
      <c r="T80" s="1" t="s">
        <v>2289</v>
      </c>
      <c r="U80" s="1" t="s">
        <v>2290</v>
      </c>
      <c r="V80" s="1" t="s">
        <v>2291</v>
      </c>
      <c r="W80" s="1" t="s">
        <v>2292</v>
      </c>
      <c r="X80" s="3" t="s">
        <v>2293</v>
      </c>
      <c r="Y80" s="1" t="s">
        <v>2294</v>
      </c>
      <c r="Z80" s="1" t="s">
        <v>2279</v>
      </c>
      <c r="AA80" s="1" t="s">
        <v>2295</v>
      </c>
      <c r="AB80" s="1" t="s">
        <v>2274</v>
      </c>
      <c r="AC80" s="2" t="s">
        <v>2276</v>
      </c>
      <c r="AD80" s="1" t="s">
        <v>2296</v>
      </c>
      <c r="AE80" s="1" t="s">
        <v>2297</v>
      </c>
      <c r="AF80" s="1" t="s">
        <v>2296</v>
      </c>
      <c r="AG80" s="1" t="s">
        <v>2298</v>
      </c>
      <c r="AH80" s="1" t="s">
        <v>2274</v>
      </c>
      <c r="AI80" s="1" t="s">
        <v>2296</v>
      </c>
      <c r="AJ80" s="1" t="s">
        <v>2299</v>
      </c>
      <c r="AK80" s="1" t="s">
        <v>2283</v>
      </c>
      <c r="AL80" s="2" t="s">
        <v>2300</v>
      </c>
      <c r="AM80" s="1" t="s">
        <v>2301</v>
      </c>
      <c r="AN80" s="1" t="s">
        <v>2302</v>
      </c>
      <c r="AO80" s="1" t="s">
        <v>2303</v>
      </c>
      <c r="AP80" s="2" t="s">
        <v>2276</v>
      </c>
    </row>
    <row r="81" customFormat="false" ht="14.25" hidden="false" customHeight="true" outlineLevel="0" collapsed="false">
      <c r="A81" s="1" t="s">
        <v>2304</v>
      </c>
      <c r="B81" s="1" t="s">
        <v>2305</v>
      </c>
      <c r="C81" s="2" t="s">
        <v>2306</v>
      </c>
      <c r="D81" s="1" t="s">
        <v>2307</v>
      </c>
      <c r="E81" s="1" t="s">
        <v>2308</v>
      </c>
      <c r="F81" s="1" t="s">
        <v>2309</v>
      </c>
      <c r="G81" s="1" t="s">
        <v>2310</v>
      </c>
      <c r="H81" s="3" t="s">
        <v>2311</v>
      </c>
      <c r="I81" s="3" t="s">
        <v>2312</v>
      </c>
      <c r="J81" s="1" t="s">
        <v>2313</v>
      </c>
      <c r="K81" s="1" t="s">
        <v>2314</v>
      </c>
      <c r="L81" s="1" t="s">
        <v>2304</v>
      </c>
      <c r="M81" s="1" t="s">
        <v>2315</v>
      </c>
      <c r="N81" s="1" t="s">
        <v>2316</v>
      </c>
      <c r="O81" s="1" t="s">
        <v>2316</v>
      </c>
      <c r="P81" s="1" t="s">
        <v>2317</v>
      </c>
      <c r="Q81" s="1" t="s">
        <v>2318</v>
      </c>
      <c r="R81" s="1" t="s">
        <v>2319</v>
      </c>
      <c r="S81" s="2" t="s">
        <v>2320</v>
      </c>
      <c r="T81" s="1" t="s">
        <v>2321</v>
      </c>
      <c r="U81" s="1" t="s">
        <v>2322</v>
      </c>
      <c r="V81" s="1" t="s">
        <v>2323</v>
      </c>
      <c r="W81" s="1" t="s">
        <v>2324</v>
      </c>
      <c r="X81" s="3" t="s">
        <v>2325</v>
      </c>
      <c r="Y81" s="1" t="s">
        <v>2326</v>
      </c>
      <c r="Z81" s="1" t="s">
        <v>2327</v>
      </c>
      <c r="AA81" s="1" t="s">
        <v>2304</v>
      </c>
      <c r="AB81" s="1" t="s">
        <v>2304</v>
      </c>
      <c r="AC81" s="2" t="s">
        <v>2328</v>
      </c>
      <c r="AD81" s="1" t="s">
        <v>2329</v>
      </c>
      <c r="AE81" s="1" t="s">
        <v>2330</v>
      </c>
      <c r="AF81" s="1" t="s">
        <v>2331</v>
      </c>
      <c r="AG81" s="1" t="s">
        <v>2332</v>
      </c>
      <c r="AH81" s="1" t="s">
        <v>2314</v>
      </c>
      <c r="AI81" s="1" t="s">
        <v>2333</v>
      </c>
      <c r="AJ81" s="1" t="s">
        <v>2334</v>
      </c>
      <c r="AK81" s="1" t="s">
        <v>2335</v>
      </c>
      <c r="AL81" s="2" t="s">
        <v>2336</v>
      </c>
      <c r="AM81" s="1" t="s">
        <v>2337</v>
      </c>
      <c r="AN81" s="1" t="s">
        <v>2304</v>
      </c>
      <c r="AO81" s="1" t="s">
        <v>2338</v>
      </c>
      <c r="AP81" s="2" t="s">
        <v>2339</v>
      </c>
    </row>
    <row r="82" customFormat="false" ht="14.25" hidden="false" customHeight="true" outlineLevel="0" collapsed="false">
      <c r="A82" s="1" t="s">
        <v>2340</v>
      </c>
      <c r="B82" s="1" t="s">
        <v>2341</v>
      </c>
      <c r="C82" s="2" t="s">
        <v>2342</v>
      </c>
      <c r="D82" s="1" t="s">
        <v>2343</v>
      </c>
      <c r="E82" s="1" t="s">
        <v>2344</v>
      </c>
      <c r="F82" s="1" t="s">
        <v>2345</v>
      </c>
      <c r="G82" s="1" t="s">
        <v>2346</v>
      </c>
      <c r="H82" s="3" t="s">
        <v>2347</v>
      </c>
      <c r="I82" s="3" t="s">
        <v>2348</v>
      </c>
      <c r="J82" s="1" t="s">
        <v>2349</v>
      </c>
      <c r="K82" s="1" t="s">
        <v>2350</v>
      </c>
      <c r="L82" s="1" t="s">
        <v>2351</v>
      </c>
      <c r="M82" s="1" t="s">
        <v>2352</v>
      </c>
      <c r="N82" s="1" t="s">
        <v>2353</v>
      </c>
      <c r="O82" s="1" t="s">
        <v>2353</v>
      </c>
      <c r="P82" s="1" t="s">
        <v>2354</v>
      </c>
      <c r="Q82" s="1" t="s">
        <v>2351</v>
      </c>
      <c r="R82" s="1" t="s">
        <v>2355</v>
      </c>
      <c r="S82" s="2" t="s">
        <v>2356</v>
      </c>
      <c r="T82" s="1" t="s">
        <v>2357</v>
      </c>
      <c r="U82" s="1" t="s">
        <v>2358</v>
      </c>
      <c r="V82" s="1" t="s">
        <v>2359</v>
      </c>
      <c r="W82" s="1" t="s">
        <v>2360</v>
      </c>
      <c r="X82" s="3" t="s">
        <v>2361</v>
      </c>
      <c r="Y82" s="1" t="s">
        <v>2362</v>
      </c>
      <c r="Z82" s="1" t="s">
        <v>2363</v>
      </c>
      <c r="AA82" s="1" t="s">
        <v>2351</v>
      </c>
      <c r="AB82" s="1" t="s">
        <v>2364</v>
      </c>
      <c r="AC82" s="2" t="s">
        <v>2365</v>
      </c>
      <c r="AD82" s="1" t="s">
        <v>2366</v>
      </c>
      <c r="AE82" s="1" t="s">
        <v>2367</v>
      </c>
      <c r="AF82" s="1" t="s">
        <v>2368</v>
      </c>
      <c r="AG82" s="1" t="s">
        <v>2369</v>
      </c>
      <c r="AH82" s="1" t="s">
        <v>2350</v>
      </c>
      <c r="AI82" s="1" t="s">
        <v>2370</v>
      </c>
      <c r="AJ82" s="1" t="s">
        <v>2367</v>
      </c>
      <c r="AK82" s="1" t="s">
        <v>2351</v>
      </c>
      <c r="AL82" s="2" t="s">
        <v>2371</v>
      </c>
      <c r="AM82" s="1" t="s">
        <v>2372</v>
      </c>
      <c r="AN82" s="1" t="s">
        <v>2340</v>
      </c>
      <c r="AO82" s="1" t="s">
        <v>2373</v>
      </c>
      <c r="AP82" s="2" t="s">
        <v>2374</v>
      </c>
    </row>
    <row r="83" customFormat="false" ht="14.25" hidden="false" customHeight="true" outlineLevel="0" collapsed="false">
      <c r="A83" s="1" t="s">
        <v>2375</v>
      </c>
      <c r="B83" s="1" t="s">
        <v>2376</v>
      </c>
      <c r="C83" s="2" t="s">
        <v>2377</v>
      </c>
      <c r="D83" s="1" t="s">
        <v>2378</v>
      </c>
      <c r="E83" s="1" t="s">
        <v>2379</v>
      </c>
      <c r="F83" s="1" t="s">
        <v>2380</v>
      </c>
      <c r="G83" s="1" t="s">
        <v>2375</v>
      </c>
      <c r="H83" s="3" t="s">
        <v>2381</v>
      </c>
      <c r="I83" s="3" t="s">
        <v>2381</v>
      </c>
      <c r="J83" s="1" t="s">
        <v>2382</v>
      </c>
      <c r="K83" s="1" t="s">
        <v>2383</v>
      </c>
      <c r="L83" s="1" t="s">
        <v>2382</v>
      </c>
      <c r="M83" s="1" t="s">
        <v>2382</v>
      </c>
      <c r="N83" s="1" t="s">
        <v>2382</v>
      </c>
      <c r="O83" s="1" t="s">
        <v>2382</v>
      </c>
      <c r="P83" s="1" t="s">
        <v>2384</v>
      </c>
      <c r="Q83" s="1" t="s">
        <v>2382</v>
      </c>
      <c r="R83" s="1" t="s">
        <v>2385</v>
      </c>
      <c r="S83" s="2" t="s">
        <v>2386</v>
      </c>
      <c r="T83" s="1" t="s">
        <v>2382</v>
      </c>
      <c r="U83" s="1" t="s">
        <v>2382</v>
      </c>
      <c r="V83" s="1" t="s">
        <v>2387</v>
      </c>
      <c r="W83" s="1" t="s">
        <v>2375</v>
      </c>
      <c r="X83" s="3" t="s">
        <v>2388</v>
      </c>
      <c r="Y83" s="1" t="s">
        <v>2389</v>
      </c>
      <c r="Z83" s="1" t="s">
        <v>2380</v>
      </c>
      <c r="AA83" s="1" t="s">
        <v>2390</v>
      </c>
      <c r="AB83" s="1" t="s">
        <v>2382</v>
      </c>
      <c r="AC83" s="2" t="s">
        <v>2391</v>
      </c>
      <c r="AD83" s="1" t="s">
        <v>2382</v>
      </c>
      <c r="AE83" s="1" t="s">
        <v>2392</v>
      </c>
      <c r="AF83" s="1" t="s">
        <v>2382</v>
      </c>
      <c r="AG83" s="1" t="s">
        <v>2380</v>
      </c>
      <c r="AH83" s="1" t="s">
        <v>2382</v>
      </c>
      <c r="AI83" s="1" t="s">
        <v>2382</v>
      </c>
      <c r="AJ83" s="1" t="s">
        <v>2382</v>
      </c>
      <c r="AK83" s="1" t="s">
        <v>2382</v>
      </c>
      <c r="AL83" s="2" t="s">
        <v>2393</v>
      </c>
      <c r="AM83" s="1" t="s">
        <v>2382</v>
      </c>
      <c r="AN83" s="1" t="s">
        <v>2375</v>
      </c>
      <c r="AO83" s="1" t="s">
        <v>2394</v>
      </c>
      <c r="AP83" s="2" t="s">
        <v>2391</v>
      </c>
    </row>
    <row r="84" customFormat="false" ht="14.25" hidden="false" customHeight="true" outlineLevel="0" collapsed="false">
      <c r="A84" s="1" t="s">
        <v>2395</v>
      </c>
      <c r="B84" s="1" t="s">
        <v>2396</v>
      </c>
      <c r="C84" s="2" t="s">
        <v>2397</v>
      </c>
      <c r="D84" s="1" t="s">
        <v>2398</v>
      </c>
      <c r="E84" s="1" t="s">
        <v>2399</v>
      </c>
      <c r="F84" s="1" t="s">
        <v>2400</v>
      </c>
      <c r="G84" s="1" t="s">
        <v>2401</v>
      </c>
      <c r="H84" s="3" t="s">
        <v>2402</v>
      </c>
      <c r="I84" s="3" t="s">
        <v>2402</v>
      </c>
      <c r="J84" s="1" t="s">
        <v>2403</v>
      </c>
      <c r="K84" s="1" t="s">
        <v>2404</v>
      </c>
      <c r="L84" s="1" t="s">
        <v>2405</v>
      </c>
      <c r="M84" s="1" t="s">
        <v>2406</v>
      </c>
      <c r="N84" s="1" t="s">
        <v>2407</v>
      </c>
      <c r="O84" s="1" t="s">
        <v>2407</v>
      </c>
      <c r="P84" s="1" t="s">
        <v>2408</v>
      </c>
      <c r="Q84" s="1" t="s">
        <v>2409</v>
      </c>
      <c r="R84" s="1" t="s">
        <v>2410</v>
      </c>
      <c r="S84" s="2" t="s">
        <v>2411</v>
      </c>
      <c r="T84" s="1" t="s">
        <v>2412</v>
      </c>
      <c r="U84" s="1" t="s">
        <v>2413</v>
      </c>
      <c r="V84" s="1" t="s">
        <v>2414</v>
      </c>
      <c r="W84" s="1" t="s">
        <v>2415</v>
      </c>
      <c r="X84" s="3" t="s">
        <v>2416</v>
      </c>
      <c r="Y84" s="1" t="s">
        <v>2417</v>
      </c>
      <c r="Z84" s="1" t="s">
        <v>2418</v>
      </c>
      <c r="AA84" s="1" t="s">
        <v>2419</v>
      </c>
      <c r="AB84" s="1" t="s">
        <v>2405</v>
      </c>
      <c r="AC84" s="2" t="s">
        <v>2420</v>
      </c>
      <c r="AD84" s="1" t="s">
        <v>2413</v>
      </c>
      <c r="AE84" s="1" t="s">
        <v>2401</v>
      </c>
      <c r="AF84" s="1" t="s">
        <v>2415</v>
      </c>
      <c r="AG84" s="1" t="s">
        <v>2418</v>
      </c>
      <c r="AH84" s="1" t="s">
        <v>2421</v>
      </c>
      <c r="AI84" s="1" t="s">
        <v>2403</v>
      </c>
      <c r="AJ84" s="1" t="s">
        <v>2401</v>
      </c>
      <c r="AK84" s="1" t="s">
        <v>2405</v>
      </c>
      <c r="AL84" s="2" t="s">
        <v>2422</v>
      </c>
      <c r="AM84" s="1" t="s">
        <v>2399</v>
      </c>
      <c r="AN84" s="1" t="s">
        <v>2423</v>
      </c>
      <c r="AO84" s="1" t="s">
        <v>2424</v>
      </c>
      <c r="AP84" s="2" t="s">
        <v>2425</v>
      </c>
    </row>
    <row r="85" customFormat="false" ht="14.25" hidden="false" customHeight="true" outlineLevel="0" collapsed="false">
      <c r="A85" s="1" t="s">
        <v>2426</v>
      </c>
      <c r="B85" s="1" t="s">
        <v>2427</v>
      </c>
      <c r="C85" s="2" t="s">
        <v>2428</v>
      </c>
      <c r="D85" s="1" t="s">
        <v>2429</v>
      </c>
      <c r="E85" s="1" t="s">
        <v>2430</v>
      </c>
      <c r="F85" s="1" t="s">
        <v>2431</v>
      </c>
      <c r="G85" s="1" t="s">
        <v>2432</v>
      </c>
      <c r="H85" s="3" t="s">
        <v>2433</v>
      </c>
      <c r="I85" s="3" t="s">
        <v>2434</v>
      </c>
      <c r="J85" s="1" t="s">
        <v>2435</v>
      </c>
      <c r="K85" s="1" t="s">
        <v>2436</v>
      </c>
      <c r="L85" s="1" t="s">
        <v>2437</v>
      </c>
      <c r="M85" s="1" t="s">
        <v>2438</v>
      </c>
      <c r="N85" s="1" t="s">
        <v>2439</v>
      </c>
      <c r="O85" s="1" t="s">
        <v>2439</v>
      </c>
      <c r="P85" s="1" t="s">
        <v>2440</v>
      </c>
      <c r="Q85" s="1" t="s">
        <v>2441</v>
      </c>
      <c r="R85" s="1" t="s">
        <v>2442</v>
      </c>
      <c r="S85" s="2" t="s">
        <v>2443</v>
      </c>
      <c r="T85" s="1" t="s">
        <v>2444</v>
      </c>
      <c r="U85" s="1" t="s">
        <v>2445</v>
      </c>
      <c r="V85" s="1" t="s">
        <v>2446</v>
      </c>
      <c r="W85" s="1" t="s">
        <v>2426</v>
      </c>
      <c r="X85" s="3" t="s">
        <v>2447</v>
      </c>
      <c r="Y85" s="1" t="s">
        <v>2448</v>
      </c>
      <c r="Z85" s="1" t="s">
        <v>2431</v>
      </c>
      <c r="AA85" s="1" t="s">
        <v>2449</v>
      </c>
      <c r="AB85" s="1" t="s">
        <v>2450</v>
      </c>
      <c r="AC85" s="2" t="s">
        <v>2451</v>
      </c>
      <c r="AD85" s="1" t="s">
        <v>2452</v>
      </c>
      <c r="AE85" s="1" t="s">
        <v>2453</v>
      </c>
      <c r="AF85" s="1" t="s">
        <v>2426</v>
      </c>
      <c r="AG85" s="1" t="s">
        <v>2431</v>
      </c>
      <c r="AH85" s="1" t="s">
        <v>2436</v>
      </c>
      <c r="AI85" s="1" t="s">
        <v>2454</v>
      </c>
      <c r="AJ85" s="1" t="s">
        <v>2455</v>
      </c>
      <c r="AK85" s="1" t="s">
        <v>2437</v>
      </c>
      <c r="AL85" s="2" t="s">
        <v>2456</v>
      </c>
      <c r="AM85" s="1" t="s">
        <v>2457</v>
      </c>
      <c r="AN85" s="1" t="s">
        <v>2426</v>
      </c>
      <c r="AO85" s="1" t="s">
        <v>2431</v>
      </c>
      <c r="AP85" s="2" t="s">
        <v>2428</v>
      </c>
    </row>
    <row r="86" customFormat="false" ht="14.25" hidden="false" customHeight="true" outlineLevel="0" collapsed="false">
      <c r="A86" s="1" t="s">
        <v>2458</v>
      </c>
      <c r="B86" s="1" t="s">
        <v>2459</v>
      </c>
      <c r="C86" s="2" t="s">
        <v>2460</v>
      </c>
      <c r="D86" s="1" t="s">
        <v>2461</v>
      </c>
      <c r="E86" s="1" t="s">
        <v>2462</v>
      </c>
      <c r="F86" s="1" t="s">
        <v>2463</v>
      </c>
      <c r="G86" s="1" t="s">
        <v>2464</v>
      </c>
      <c r="H86" s="3" t="s">
        <v>2465</v>
      </c>
      <c r="I86" s="3" t="s">
        <v>2466</v>
      </c>
      <c r="J86" s="1" t="s">
        <v>2467</v>
      </c>
      <c r="K86" s="1" t="s">
        <v>2468</v>
      </c>
      <c r="L86" s="1" t="s">
        <v>2469</v>
      </c>
      <c r="M86" s="1" t="s">
        <v>2470</v>
      </c>
      <c r="N86" s="1" t="s">
        <v>2471</v>
      </c>
      <c r="O86" s="1" t="s">
        <v>2471</v>
      </c>
      <c r="P86" s="1" t="s">
        <v>2472</v>
      </c>
      <c r="Q86" s="1" t="s">
        <v>2473</v>
      </c>
      <c r="R86" s="1" t="s">
        <v>2474</v>
      </c>
      <c r="S86" s="2" t="s">
        <v>2475</v>
      </c>
      <c r="T86" s="1" t="s">
        <v>2476</v>
      </c>
      <c r="U86" s="1" t="s">
        <v>2458</v>
      </c>
      <c r="V86" s="1" t="s">
        <v>2477</v>
      </c>
      <c r="W86" s="1" t="s">
        <v>2458</v>
      </c>
      <c r="X86" s="3" t="s">
        <v>2478</v>
      </c>
      <c r="Y86" s="1" t="s">
        <v>2467</v>
      </c>
      <c r="Z86" s="1" t="s">
        <v>2479</v>
      </c>
      <c r="AA86" s="1" t="s">
        <v>2480</v>
      </c>
      <c r="AB86" s="1" t="s">
        <v>2481</v>
      </c>
      <c r="AC86" s="2" t="s">
        <v>2482</v>
      </c>
      <c r="AD86" s="1" t="s">
        <v>2458</v>
      </c>
      <c r="AE86" s="1" t="s">
        <v>2483</v>
      </c>
      <c r="AF86" s="1" t="s">
        <v>2458</v>
      </c>
      <c r="AG86" s="1" t="s">
        <v>2484</v>
      </c>
      <c r="AH86" s="1" t="s">
        <v>2485</v>
      </c>
      <c r="AI86" s="1" t="s">
        <v>2486</v>
      </c>
      <c r="AJ86" s="1" t="s">
        <v>2458</v>
      </c>
      <c r="AK86" s="1" t="s">
        <v>2487</v>
      </c>
      <c r="AL86" s="2" t="s">
        <v>2488</v>
      </c>
      <c r="AM86" s="1" t="s">
        <v>2489</v>
      </c>
      <c r="AN86" s="1" t="s">
        <v>2490</v>
      </c>
      <c r="AO86" s="1" t="s">
        <v>2491</v>
      </c>
      <c r="AP86" s="2" t="s">
        <v>2492</v>
      </c>
    </row>
    <row r="87" customFormat="false" ht="14.25" hidden="false" customHeight="true" outlineLevel="0" collapsed="false">
      <c r="A87" s="1" t="s">
        <v>2493</v>
      </c>
      <c r="B87" s="1" t="s">
        <v>2494</v>
      </c>
      <c r="C87" s="2" t="s">
        <v>2495</v>
      </c>
      <c r="D87" s="1" t="s">
        <v>2496</v>
      </c>
      <c r="E87" s="1" t="s">
        <v>2497</v>
      </c>
      <c r="F87" s="1" t="s">
        <v>2498</v>
      </c>
      <c r="G87" s="1" t="s">
        <v>2499</v>
      </c>
      <c r="H87" s="3" t="s">
        <v>2500</v>
      </c>
      <c r="I87" s="3" t="s">
        <v>2501</v>
      </c>
      <c r="J87" s="1" t="s">
        <v>2493</v>
      </c>
      <c r="K87" s="1" t="s">
        <v>2502</v>
      </c>
      <c r="L87" s="1" t="s">
        <v>2493</v>
      </c>
      <c r="M87" s="1" t="s">
        <v>2503</v>
      </c>
      <c r="N87" s="1" t="s">
        <v>2504</v>
      </c>
      <c r="O87" s="1" t="s">
        <v>2504</v>
      </c>
      <c r="P87" s="1" t="s">
        <v>2505</v>
      </c>
      <c r="Q87" s="1" t="s">
        <v>2506</v>
      </c>
      <c r="R87" s="1" t="s">
        <v>2507</v>
      </c>
      <c r="S87" s="2" t="s">
        <v>2508</v>
      </c>
      <c r="T87" s="1" t="s">
        <v>2509</v>
      </c>
      <c r="U87" s="1" t="s">
        <v>2510</v>
      </c>
      <c r="V87" s="1" t="s">
        <v>2511</v>
      </c>
      <c r="W87" s="1" t="s">
        <v>2512</v>
      </c>
      <c r="X87" s="3" t="s">
        <v>2513</v>
      </c>
      <c r="Y87" s="1" t="s">
        <v>2514</v>
      </c>
      <c r="Z87" s="1" t="s">
        <v>2515</v>
      </c>
      <c r="AA87" s="1" t="s">
        <v>2516</v>
      </c>
      <c r="AB87" s="1" t="s">
        <v>2493</v>
      </c>
      <c r="AC87" s="2" t="s">
        <v>2517</v>
      </c>
      <c r="AD87" s="1" t="s">
        <v>2494</v>
      </c>
      <c r="AE87" s="1" t="s">
        <v>2518</v>
      </c>
      <c r="AF87" s="1" t="s">
        <v>2519</v>
      </c>
      <c r="AG87" s="1" t="s">
        <v>2515</v>
      </c>
      <c r="AH87" s="1" t="s">
        <v>2520</v>
      </c>
      <c r="AI87" s="1" t="s">
        <v>2514</v>
      </c>
      <c r="AJ87" s="1" t="s">
        <v>2502</v>
      </c>
      <c r="AK87" s="1" t="s">
        <v>2506</v>
      </c>
      <c r="AL87" s="2" t="s">
        <v>2521</v>
      </c>
      <c r="AM87" s="1" t="s">
        <v>2522</v>
      </c>
      <c r="AN87" s="1" t="s">
        <v>2493</v>
      </c>
      <c r="AO87" s="1" t="s">
        <v>2523</v>
      </c>
      <c r="AP87" s="2" t="s">
        <v>2517</v>
      </c>
    </row>
    <row r="88" customFormat="false" ht="14.25" hidden="false" customHeight="true" outlineLevel="0" collapsed="false">
      <c r="A88" s="1" t="s">
        <v>2524</v>
      </c>
      <c r="B88" s="1" t="s">
        <v>2525</v>
      </c>
      <c r="C88" s="2" t="s">
        <v>2526</v>
      </c>
      <c r="D88" s="1" t="s">
        <v>2527</v>
      </c>
      <c r="E88" s="1" t="s">
        <v>2528</v>
      </c>
      <c r="F88" s="1" t="s">
        <v>2529</v>
      </c>
      <c r="G88" s="1" t="s">
        <v>2530</v>
      </c>
      <c r="H88" s="3" t="s">
        <v>2531</v>
      </c>
      <c r="I88" s="3" t="s">
        <v>2532</v>
      </c>
      <c r="J88" s="1" t="s">
        <v>2533</v>
      </c>
      <c r="K88" s="1" t="s">
        <v>2533</v>
      </c>
      <c r="L88" s="1" t="s">
        <v>2524</v>
      </c>
      <c r="M88" s="1" t="s">
        <v>2524</v>
      </c>
      <c r="N88" s="1" t="s">
        <v>2530</v>
      </c>
      <c r="O88" s="1" t="s">
        <v>2530</v>
      </c>
      <c r="P88" s="1" t="s">
        <v>2534</v>
      </c>
      <c r="Q88" s="1" t="s">
        <v>2533</v>
      </c>
      <c r="R88" s="1" t="s">
        <v>2535</v>
      </c>
      <c r="S88" s="2" t="s">
        <v>2536</v>
      </c>
      <c r="T88" s="1" t="s">
        <v>2537</v>
      </c>
      <c r="U88" s="1" t="s">
        <v>2538</v>
      </c>
      <c r="V88" s="1" t="s">
        <v>2539</v>
      </c>
      <c r="W88" s="1" t="s">
        <v>2530</v>
      </c>
      <c r="X88" s="3" t="s">
        <v>2540</v>
      </c>
      <c r="Y88" s="1" t="s">
        <v>2541</v>
      </c>
      <c r="Z88" s="1" t="s">
        <v>2529</v>
      </c>
      <c r="AA88" s="1" t="s">
        <v>2542</v>
      </c>
      <c r="AB88" s="1" t="s">
        <v>2533</v>
      </c>
      <c r="AC88" s="2" t="s">
        <v>2543</v>
      </c>
      <c r="AD88" s="1" t="s">
        <v>2544</v>
      </c>
      <c r="AE88" s="1" t="s">
        <v>2530</v>
      </c>
      <c r="AF88" s="1" t="s">
        <v>2530</v>
      </c>
      <c r="AG88" s="1" t="s">
        <v>2529</v>
      </c>
      <c r="AH88" s="1" t="s">
        <v>2533</v>
      </c>
      <c r="AI88" s="1" t="s">
        <v>2533</v>
      </c>
      <c r="AJ88" s="1" t="s">
        <v>2530</v>
      </c>
      <c r="AK88" s="1" t="s">
        <v>2533</v>
      </c>
      <c r="AL88" s="2" t="s">
        <v>2545</v>
      </c>
      <c r="AM88" s="1" t="s">
        <v>2546</v>
      </c>
      <c r="AN88" s="1" t="s">
        <v>2547</v>
      </c>
      <c r="AO88" s="1" t="s">
        <v>2529</v>
      </c>
      <c r="AP88" s="2" t="s">
        <v>2548</v>
      </c>
    </row>
    <row r="89" customFormat="false" ht="14.25" hidden="false" customHeight="true" outlineLevel="0" collapsed="false">
      <c r="A89" s="1" t="s">
        <v>2549</v>
      </c>
      <c r="B89" s="1" t="s">
        <v>2550</v>
      </c>
      <c r="C89" s="2" t="s">
        <v>2551</v>
      </c>
      <c r="D89" s="1" t="s">
        <v>2552</v>
      </c>
      <c r="E89" s="1" t="s">
        <v>2553</v>
      </c>
      <c r="F89" s="1" t="s">
        <v>2554</v>
      </c>
      <c r="G89" s="1" t="s">
        <v>2549</v>
      </c>
      <c r="H89" s="3" t="s">
        <v>2555</v>
      </c>
      <c r="I89" s="3" t="s">
        <v>2556</v>
      </c>
      <c r="J89" s="1" t="s">
        <v>2549</v>
      </c>
      <c r="K89" s="1" t="s">
        <v>2557</v>
      </c>
      <c r="L89" s="1" t="s">
        <v>2558</v>
      </c>
      <c r="M89" s="1" t="s">
        <v>2559</v>
      </c>
      <c r="N89" s="1" t="s">
        <v>2560</v>
      </c>
      <c r="O89" s="1" t="s">
        <v>2560</v>
      </c>
      <c r="P89" s="1" t="s">
        <v>2561</v>
      </c>
      <c r="Q89" s="1" t="s">
        <v>2558</v>
      </c>
      <c r="R89" s="1" t="s">
        <v>2562</v>
      </c>
      <c r="S89" s="2" t="s">
        <v>2563</v>
      </c>
      <c r="T89" s="1" t="s">
        <v>2564</v>
      </c>
      <c r="U89" s="1" t="s">
        <v>2549</v>
      </c>
      <c r="V89" s="1" t="s">
        <v>2565</v>
      </c>
      <c r="W89" s="1" t="s">
        <v>2549</v>
      </c>
      <c r="X89" s="3" t="s">
        <v>2566</v>
      </c>
      <c r="Y89" s="1" t="s">
        <v>2567</v>
      </c>
      <c r="Z89" s="1" t="s">
        <v>2554</v>
      </c>
      <c r="AA89" s="1" t="s">
        <v>2568</v>
      </c>
      <c r="AB89" s="1" t="s">
        <v>2558</v>
      </c>
      <c r="AC89" s="2" t="s">
        <v>2569</v>
      </c>
      <c r="AD89" s="1" t="s">
        <v>2549</v>
      </c>
      <c r="AE89" s="1" t="s">
        <v>2570</v>
      </c>
      <c r="AF89" s="1" t="s">
        <v>2549</v>
      </c>
      <c r="AG89" s="1" t="s">
        <v>2554</v>
      </c>
      <c r="AH89" s="1" t="s">
        <v>2549</v>
      </c>
      <c r="AI89" s="1" t="s">
        <v>2549</v>
      </c>
      <c r="AJ89" s="1" t="s">
        <v>2557</v>
      </c>
      <c r="AK89" s="1" t="s">
        <v>2549</v>
      </c>
      <c r="AL89" s="2" t="s">
        <v>2571</v>
      </c>
      <c r="AM89" s="1" t="s">
        <v>2572</v>
      </c>
      <c r="AN89" s="1" t="s">
        <v>2549</v>
      </c>
      <c r="AO89" s="1" t="s">
        <v>2554</v>
      </c>
      <c r="AP89" s="2" t="s">
        <v>2569</v>
      </c>
    </row>
    <row r="90" customFormat="false" ht="14.25" hidden="false" customHeight="true" outlineLevel="0" collapsed="false">
      <c r="A90" s="1" t="s">
        <v>2573</v>
      </c>
      <c r="B90" s="1" t="s">
        <v>2574</v>
      </c>
      <c r="C90" s="2" t="s">
        <v>2575</v>
      </c>
      <c r="D90" s="1" t="s">
        <v>2576</v>
      </c>
      <c r="E90" s="1" t="s">
        <v>2577</v>
      </c>
      <c r="F90" s="1" t="s">
        <v>2578</v>
      </c>
      <c r="G90" s="1" t="s">
        <v>2579</v>
      </c>
      <c r="H90" s="3" t="s">
        <v>2580</v>
      </c>
      <c r="I90" s="3" t="s">
        <v>2581</v>
      </c>
      <c r="J90" s="1" t="s">
        <v>2582</v>
      </c>
      <c r="K90" s="1" t="s">
        <v>2583</v>
      </c>
      <c r="L90" s="1" t="s">
        <v>2573</v>
      </c>
      <c r="M90" s="1" t="s">
        <v>2573</v>
      </c>
      <c r="N90" s="1" t="s">
        <v>2584</v>
      </c>
      <c r="O90" s="1" t="s">
        <v>2584</v>
      </c>
      <c r="P90" s="1" t="s">
        <v>2585</v>
      </c>
      <c r="Q90" s="1" t="s">
        <v>2586</v>
      </c>
      <c r="R90" s="1" t="s">
        <v>2587</v>
      </c>
      <c r="S90" s="2" t="s">
        <v>2588</v>
      </c>
      <c r="T90" s="1" t="s">
        <v>2573</v>
      </c>
      <c r="U90" s="1" t="s">
        <v>2574</v>
      </c>
      <c r="V90" s="1" t="s">
        <v>2589</v>
      </c>
      <c r="W90" s="1" t="s">
        <v>2573</v>
      </c>
      <c r="X90" s="3" t="s">
        <v>2590</v>
      </c>
      <c r="Y90" s="1" t="s">
        <v>2582</v>
      </c>
      <c r="Z90" s="1" t="s">
        <v>2591</v>
      </c>
      <c r="AA90" s="1" t="s">
        <v>2592</v>
      </c>
      <c r="AB90" s="1" t="s">
        <v>2573</v>
      </c>
      <c r="AC90" s="2" t="s">
        <v>2593</v>
      </c>
      <c r="AD90" s="1" t="s">
        <v>2574</v>
      </c>
      <c r="AE90" s="1" t="s">
        <v>2594</v>
      </c>
      <c r="AF90" s="1" t="s">
        <v>2595</v>
      </c>
      <c r="AG90" s="1" t="s">
        <v>2591</v>
      </c>
      <c r="AH90" s="1" t="s">
        <v>2574</v>
      </c>
      <c r="AI90" s="1" t="s">
        <v>2582</v>
      </c>
      <c r="AJ90" s="1" t="s">
        <v>2573</v>
      </c>
      <c r="AK90" s="1" t="s">
        <v>2573</v>
      </c>
      <c r="AL90" s="2" t="s">
        <v>2596</v>
      </c>
      <c r="AM90" s="1" t="s">
        <v>2597</v>
      </c>
      <c r="AN90" s="1" t="s">
        <v>2573</v>
      </c>
      <c r="AO90" s="1" t="s">
        <v>2598</v>
      </c>
      <c r="AP90" s="2" t="s">
        <v>2599</v>
      </c>
    </row>
    <row r="91" customFormat="false" ht="14.25" hidden="false" customHeight="true" outlineLevel="0" collapsed="false">
      <c r="A91" s="1" t="s">
        <v>2600</v>
      </c>
      <c r="B91" s="1" t="s">
        <v>2600</v>
      </c>
      <c r="C91" s="2" t="s">
        <v>2601</v>
      </c>
      <c r="D91" s="1" t="s">
        <v>2602</v>
      </c>
      <c r="E91" s="1" t="s">
        <v>2600</v>
      </c>
      <c r="F91" s="1" t="s">
        <v>2603</v>
      </c>
      <c r="G91" s="1" t="s">
        <v>2604</v>
      </c>
      <c r="H91" s="3" t="s">
        <v>2605</v>
      </c>
      <c r="I91" s="3" t="s">
        <v>2606</v>
      </c>
      <c r="J91" s="1" t="s">
        <v>2600</v>
      </c>
      <c r="K91" s="1" t="s">
        <v>2600</v>
      </c>
      <c r="L91" s="1" t="s">
        <v>2600</v>
      </c>
      <c r="M91" s="1" t="s">
        <v>2600</v>
      </c>
      <c r="N91" s="1" t="s">
        <v>2600</v>
      </c>
      <c r="O91" s="1" t="s">
        <v>2600</v>
      </c>
      <c r="P91" s="1" t="s">
        <v>2607</v>
      </c>
      <c r="Q91" s="1" t="s">
        <v>2600</v>
      </c>
      <c r="R91" s="1" t="s">
        <v>2608</v>
      </c>
      <c r="S91" s="2" t="s">
        <v>2609</v>
      </c>
      <c r="T91" s="1" t="s">
        <v>2600</v>
      </c>
      <c r="U91" s="1" t="s">
        <v>2600</v>
      </c>
      <c r="V91" s="1" t="s">
        <v>2600</v>
      </c>
      <c r="W91" s="1" t="s">
        <v>2600</v>
      </c>
      <c r="X91" s="3" t="s">
        <v>2610</v>
      </c>
      <c r="Y91" s="1" t="s">
        <v>2600</v>
      </c>
      <c r="Z91" s="1" t="s">
        <v>2603</v>
      </c>
      <c r="AA91" s="1" t="s">
        <v>2611</v>
      </c>
      <c r="AB91" s="1" t="s">
        <v>2600</v>
      </c>
      <c r="AC91" s="2" t="s">
        <v>2612</v>
      </c>
      <c r="AD91" s="1" t="s">
        <v>2600</v>
      </c>
      <c r="AE91" s="1" t="s">
        <v>2613</v>
      </c>
      <c r="AF91" s="1" t="s">
        <v>2600</v>
      </c>
      <c r="AG91" s="1" t="s">
        <v>2603</v>
      </c>
      <c r="AH91" s="1" t="s">
        <v>2600</v>
      </c>
      <c r="AI91" s="1" t="s">
        <v>2600</v>
      </c>
      <c r="AJ91" s="1" t="s">
        <v>2613</v>
      </c>
      <c r="AK91" s="1" t="s">
        <v>2600</v>
      </c>
      <c r="AL91" s="2" t="s">
        <v>2614</v>
      </c>
      <c r="AM91" s="1" t="s">
        <v>2600</v>
      </c>
      <c r="AN91" s="1" t="s">
        <v>2600</v>
      </c>
      <c r="AO91" s="1" t="s">
        <v>2603</v>
      </c>
      <c r="AP91" s="2" t="s">
        <v>2615</v>
      </c>
    </row>
    <row r="112" customFormat="false" ht="16.5" hidden="false" customHeight="true" outlineLevel="0" collapsed="false">
      <c r="A112" s="1" t="s">
        <v>2616</v>
      </c>
      <c r="B112" s="1" t="s">
        <v>2616</v>
      </c>
      <c r="C112" s="1" t="s">
        <v>2616</v>
      </c>
      <c r="D112" s="1" t="s">
        <v>2616</v>
      </c>
      <c r="E112" s="1" t="s">
        <v>2616</v>
      </c>
      <c r="F112" s="1" t="s">
        <v>2616</v>
      </c>
      <c r="G112" s="1" t="s">
        <v>2616</v>
      </c>
      <c r="H112" s="1" t="s">
        <v>2616</v>
      </c>
      <c r="I112" s="1" t="s">
        <v>2616</v>
      </c>
      <c r="J112" s="1" t="s">
        <v>2616</v>
      </c>
      <c r="K112" s="1" t="s">
        <v>2616</v>
      </c>
      <c r="L112" s="1" t="s">
        <v>2616</v>
      </c>
      <c r="M112" s="1" t="s">
        <v>2617</v>
      </c>
      <c r="N112" s="1" t="s">
        <v>2616</v>
      </c>
      <c r="O112" s="1" t="s">
        <v>2616</v>
      </c>
      <c r="P112" s="1" t="s">
        <v>2616</v>
      </c>
      <c r="Q112" s="1" t="s">
        <v>2616</v>
      </c>
      <c r="R112" s="1" t="s">
        <v>2616</v>
      </c>
      <c r="S112" s="1" t="s">
        <v>2616</v>
      </c>
      <c r="T112" s="1" t="s">
        <v>2616</v>
      </c>
      <c r="U112" s="1" t="s">
        <v>2616</v>
      </c>
      <c r="V112" s="1" t="s">
        <v>2616</v>
      </c>
      <c r="W112" s="1" t="s">
        <v>2616</v>
      </c>
      <c r="X112" s="1" t="s">
        <v>2618</v>
      </c>
      <c r="Y112" s="1" t="s">
        <v>2616</v>
      </c>
      <c r="Z112" s="1" t="s">
        <v>2616</v>
      </c>
      <c r="AA112" s="1" t="s">
        <v>2616</v>
      </c>
      <c r="AB112" s="1" t="s">
        <v>2616</v>
      </c>
      <c r="AC112" s="2" t="s">
        <v>2619</v>
      </c>
      <c r="AD112" s="1" t="s">
        <v>2616</v>
      </c>
      <c r="AE112" s="1" t="s">
        <v>2616</v>
      </c>
      <c r="AF112" s="1" t="s">
        <v>2616</v>
      </c>
      <c r="AG112" s="1" t="s">
        <v>2616</v>
      </c>
      <c r="AH112" s="1" t="s">
        <v>2616</v>
      </c>
      <c r="AI112" s="1" t="s">
        <v>2616</v>
      </c>
      <c r="AJ112" s="1" t="s">
        <v>2616</v>
      </c>
      <c r="AK112" s="1" t="s">
        <v>2616</v>
      </c>
      <c r="AL112" s="2" t="s">
        <v>2620</v>
      </c>
      <c r="AM112" s="1" t="s">
        <v>2617</v>
      </c>
      <c r="AN112" s="1" t="s">
        <v>2616</v>
      </c>
      <c r="AO112" s="1" t="s">
        <v>2616</v>
      </c>
      <c r="AP112" s="2" t="s">
        <v>2621</v>
      </c>
    </row>
    <row r="113" customFormat="false" ht="16.5" hidden="false" customHeight="true" outlineLevel="0" collapsed="false">
      <c r="A113" s="1" t="s">
        <v>2622</v>
      </c>
      <c r="B113" s="1" t="s">
        <v>2622</v>
      </c>
      <c r="C113" s="1" t="s">
        <v>2622</v>
      </c>
      <c r="D113" s="1" t="s">
        <v>2622</v>
      </c>
      <c r="E113" s="1" t="s">
        <v>2622</v>
      </c>
      <c r="F113" s="1" t="s">
        <v>2622</v>
      </c>
      <c r="G113" s="1" t="s">
        <v>2622</v>
      </c>
      <c r="H113" s="1" t="s">
        <v>2622</v>
      </c>
      <c r="I113" s="1" t="s">
        <v>2622</v>
      </c>
      <c r="J113" s="1" t="s">
        <v>2622</v>
      </c>
      <c r="K113" s="1" t="s">
        <v>2622</v>
      </c>
      <c r="L113" s="1" t="s">
        <v>2622</v>
      </c>
      <c r="M113" s="1" t="s">
        <v>2623</v>
      </c>
      <c r="N113" s="1" t="s">
        <v>2622</v>
      </c>
      <c r="O113" s="1" t="s">
        <v>2622</v>
      </c>
      <c r="P113" s="1" t="s">
        <v>2622</v>
      </c>
      <c r="Q113" s="1" t="s">
        <v>2622</v>
      </c>
      <c r="R113" s="1" t="s">
        <v>2622</v>
      </c>
      <c r="S113" s="1" t="s">
        <v>2622</v>
      </c>
      <c r="T113" s="1" t="s">
        <v>2622</v>
      </c>
      <c r="U113" s="1" t="s">
        <v>2622</v>
      </c>
      <c r="V113" s="1" t="s">
        <v>2622</v>
      </c>
      <c r="W113" s="1" t="s">
        <v>2622</v>
      </c>
      <c r="X113" s="1" t="s">
        <v>2624</v>
      </c>
      <c r="Y113" s="1" t="s">
        <v>2622</v>
      </c>
      <c r="Z113" s="1" t="s">
        <v>2622</v>
      </c>
      <c r="AA113" s="1" t="s">
        <v>2622</v>
      </c>
      <c r="AB113" s="1" t="s">
        <v>2622</v>
      </c>
      <c r="AC113" s="2" t="s">
        <v>2625</v>
      </c>
      <c r="AD113" s="1" t="s">
        <v>2622</v>
      </c>
      <c r="AE113" s="1" t="s">
        <v>2622</v>
      </c>
      <c r="AF113" s="1" t="s">
        <v>2622</v>
      </c>
      <c r="AG113" s="1" t="s">
        <v>2622</v>
      </c>
      <c r="AH113" s="1" t="s">
        <v>2622</v>
      </c>
      <c r="AI113" s="1" t="s">
        <v>2622</v>
      </c>
      <c r="AJ113" s="1" t="s">
        <v>2622</v>
      </c>
      <c r="AK113" s="1" t="s">
        <v>2622</v>
      </c>
      <c r="AL113" s="2" t="s">
        <v>2626</v>
      </c>
      <c r="AM113" s="1" t="s">
        <v>2623</v>
      </c>
      <c r="AN113" s="1" t="s">
        <v>2622</v>
      </c>
      <c r="AO113" s="1" t="s">
        <v>2622</v>
      </c>
      <c r="AP113" s="2" t="s">
        <v>2627</v>
      </c>
    </row>
    <row r="114" customFormat="false" ht="16.5" hidden="false" customHeight="true" outlineLevel="0" collapsed="false">
      <c r="A114" s="1" t="s">
        <v>2628</v>
      </c>
      <c r="B114" s="1" t="s">
        <v>2628</v>
      </c>
      <c r="C114" s="1" t="s">
        <v>2628</v>
      </c>
      <c r="D114" s="1" t="s">
        <v>2628</v>
      </c>
      <c r="E114" s="1" t="s">
        <v>2628</v>
      </c>
      <c r="F114" s="1" t="s">
        <v>2628</v>
      </c>
      <c r="G114" s="1" t="s">
        <v>2628</v>
      </c>
      <c r="H114" s="1" t="s">
        <v>2628</v>
      </c>
      <c r="I114" s="1" t="s">
        <v>2628</v>
      </c>
      <c r="J114" s="1" t="s">
        <v>2628</v>
      </c>
      <c r="K114" s="1" t="s">
        <v>2628</v>
      </c>
      <c r="L114" s="1" t="s">
        <v>2628</v>
      </c>
      <c r="M114" s="1" t="s">
        <v>2629</v>
      </c>
      <c r="N114" s="1" t="s">
        <v>2628</v>
      </c>
      <c r="O114" s="1" t="s">
        <v>2628</v>
      </c>
      <c r="P114" s="1" t="s">
        <v>2628</v>
      </c>
      <c r="Q114" s="1" t="s">
        <v>2628</v>
      </c>
      <c r="R114" s="1" t="s">
        <v>2628</v>
      </c>
      <c r="S114" s="1" t="s">
        <v>2628</v>
      </c>
      <c r="T114" s="1" t="s">
        <v>2628</v>
      </c>
      <c r="U114" s="1" t="s">
        <v>2628</v>
      </c>
      <c r="V114" s="1" t="s">
        <v>2628</v>
      </c>
      <c r="W114" s="1" t="s">
        <v>2628</v>
      </c>
      <c r="X114" s="1" t="s">
        <v>2630</v>
      </c>
      <c r="Y114" s="1" t="s">
        <v>2628</v>
      </c>
      <c r="Z114" s="1" t="s">
        <v>2628</v>
      </c>
      <c r="AA114" s="1" t="s">
        <v>2628</v>
      </c>
      <c r="AB114" s="1" t="s">
        <v>2628</v>
      </c>
      <c r="AC114" s="2" t="s">
        <v>2631</v>
      </c>
      <c r="AD114" s="1" t="s">
        <v>2628</v>
      </c>
      <c r="AE114" s="1" t="s">
        <v>2628</v>
      </c>
      <c r="AF114" s="1" t="s">
        <v>2628</v>
      </c>
      <c r="AG114" s="1" t="s">
        <v>2628</v>
      </c>
      <c r="AH114" s="1" t="s">
        <v>2628</v>
      </c>
      <c r="AI114" s="1" t="s">
        <v>2628</v>
      </c>
      <c r="AJ114" s="1" t="s">
        <v>2628</v>
      </c>
      <c r="AK114" s="1" t="s">
        <v>2628</v>
      </c>
      <c r="AL114" s="2" t="s">
        <v>2632</v>
      </c>
      <c r="AM114" s="1" t="s">
        <v>2629</v>
      </c>
      <c r="AN114" s="1" t="s">
        <v>2628</v>
      </c>
      <c r="AO114" s="1" t="s">
        <v>2628</v>
      </c>
      <c r="AP114" s="2" t="s">
        <v>2633</v>
      </c>
    </row>
    <row r="115" customFormat="false" ht="16.5" hidden="false" customHeight="true" outlineLevel="0" collapsed="false">
      <c r="A115" s="1" t="s">
        <v>2634</v>
      </c>
      <c r="B115" s="1" t="s">
        <v>2634</v>
      </c>
      <c r="C115" s="1" t="s">
        <v>2634</v>
      </c>
      <c r="D115" s="1" t="s">
        <v>2634</v>
      </c>
      <c r="E115" s="1" t="s">
        <v>2634</v>
      </c>
      <c r="F115" s="1" t="s">
        <v>2634</v>
      </c>
      <c r="G115" s="1" t="s">
        <v>2634</v>
      </c>
      <c r="H115" s="1" t="s">
        <v>2634</v>
      </c>
      <c r="I115" s="1" t="s">
        <v>2634</v>
      </c>
      <c r="J115" s="1" t="s">
        <v>2634</v>
      </c>
      <c r="K115" s="1" t="s">
        <v>2634</v>
      </c>
      <c r="L115" s="1" t="s">
        <v>2634</v>
      </c>
      <c r="M115" s="1" t="s">
        <v>2635</v>
      </c>
      <c r="N115" s="1" t="s">
        <v>2634</v>
      </c>
      <c r="O115" s="1" t="s">
        <v>2634</v>
      </c>
      <c r="P115" s="1" t="s">
        <v>2634</v>
      </c>
      <c r="Q115" s="1" t="s">
        <v>2634</v>
      </c>
      <c r="R115" s="1" t="s">
        <v>2634</v>
      </c>
      <c r="S115" s="1" t="s">
        <v>2634</v>
      </c>
      <c r="T115" s="1" t="s">
        <v>2634</v>
      </c>
      <c r="U115" s="1" t="s">
        <v>2634</v>
      </c>
      <c r="V115" s="1" t="s">
        <v>2634</v>
      </c>
      <c r="W115" s="1" t="s">
        <v>2634</v>
      </c>
      <c r="X115" s="1" t="s">
        <v>2636</v>
      </c>
      <c r="Y115" s="1" t="s">
        <v>2634</v>
      </c>
      <c r="Z115" s="1" t="s">
        <v>2634</v>
      </c>
      <c r="AA115" s="1" t="s">
        <v>2634</v>
      </c>
      <c r="AB115" s="1" t="s">
        <v>2634</v>
      </c>
      <c r="AC115" s="2" t="s">
        <v>2637</v>
      </c>
      <c r="AD115" s="1" t="s">
        <v>2634</v>
      </c>
      <c r="AE115" s="1" t="s">
        <v>2634</v>
      </c>
      <c r="AF115" s="1" t="s">
        <v>2634</v>
      </c>
      <c r="AG115" s="1" t="s">
        <v>2634</v>
      </c>
      <c r="AH115" s="1" t="s">
        <v>2634</v>
      </c>
      <c r="AI115" s="1" t="s">
        <v>2634</v>
      </c>
      <c r="AJ115" s="1" t="s">
        <v>2634</v>
      </c>
      <c r="AK115" s="1" t="s">
        <v>2634</v>
      </c>
      <c r="AL115" s="2" t="s">
        <v>2638</v>
      </c>
      <c r="AM115" s="1" t="s">
        <v>2635</v>
      </c>
      <c r="AN115" s="1" t="s">
        <v>2634</v>
      </c>
      <c r="AO115" s="1" t="s">
        <v>2634</v>
      </c>
      <c r="AP115" s="2" t="s">
        <v>2639</v>
      </c>
    </row>
    <row r="116" customFormat="false" ht="16.5" hidden="false" customHeight="true" outlineLevel="0" collapsed="false">
      <c r="A116" s="1" t="s">
        <v>2640</v>
      </c>
      <c r="B116" s="1" t="s">
        <v>2640</v>
      </c>
      <c r="C116" s="1" t="s">
        <v>2640</v>
      </c>
      <c r="D116" s="1" t="s">
        <v>2640</v>
      </c>
      <c r="E116" s="1" t="s">
        <v>2640</v>
      </c>
      <c r="F116" s="1" t="s">
        <v>2640</v>
      </c>
      <c r="G116" s="1" t="s">
        <v>2640</v>
      </c>
      <c r="H116" s="1" t="s">
        <v>2640</v>
      </c>
      <c r="I116" s="1" t="s">
        <v>2640</v>
      </c>
      <c r="J116" s="1" t="s">
        <v>2640</v>
      </c>
      <c r="K116" s="1" t="s">
        <v>2640</v>
      </c>
      <c r="L116" s="1" t="s">
        <v>2640</v>
      </c>
      <c r="M116" s="1" t="s">
        <v>2641</v>
      </c>
      <c r="N116" s="1" t="s">
        <v>2640</v>
      </c>
      <c r="O116" s="1" t="s">
        <v>2640</v>
      </c>
      <c r="P116" s="1" t="s">
        <v>2640</v>
      </c>
      <c r="Q116" s="1" t="s">
        <v>2640</v>
      </c>
      <c r="R116" s="1" t="s">
        <v>2642</v>
      </c>
      <c r="S116" s="1" t="s">
        <v>2640</v>
      </c>
      <c r="T116" s="1" t="s">
        <v>2640</v>
      </c>
      <c r="U116" s="1" t="s">
        <v>2640</v>
      </c>
      <c r="V116" s="1" t="s">
        <v>2640</v>
      </c>
      <c r="W116" s="1" t="s">
        <v>2640</v>
      </c>
      <c r="X116" s="1" t="s">
        <v>2643</v>
      </c>
      <c r="Y116" s="1" t="s">
        <v>2640</v>
      </c>
      <c r="Z116" s="1" t="s">
        <v>2640</v>
      </c>
      <c r="AA116" s="1" t="s">
        <v>2644</v>
      </c>
      <c r="AB116" s="1" t="s">
        <v>2640</v>
      </c>
      <c r="AC116" s="2" t="s">
        <v>2645</v>
      </c>
      <c r="AD116" s="1" t="s">
        <v>2640</v>
      </c>
      <c r="AE116" s="1" t="s">
        <v>2640</v>
      </c>
      <c r="AF116" s="1" t="s">
        <v>2640</v>
      </c>
      <c r="AG116" s="1" t="s">
        <v>2640</v>
      </c>
      <c r="AH116" s="1" t="s">
        <v>2640</v>
      </c>
      <c r="AI116" s="1" t="s">
        <v>2640</v>
      </c>
      <c r="AJ116" s="1" t="s">
        <v>2640</v>
      </c>
      <c r="AK116" s="1" t="s">
        <v>2640</v>
      </c>
      <c r="AL116" s="2" t="s">
        <v>2646</v>
      </c>
      <c r="AM116" s="1" t="s">
        <v>2641</v>
      </c>
      <c r="AN116" s="1" t="s">
        <v>2640</v>
      </c>
      <c r="AO116" s="1" t="s">
        <v>2640</v>
      </c>
      <c r="AP116" s="2" t="s">
        <v>2647</v>
      </c>
    </row>
    <row r="117" customFormat="false" ht="16.5" hidden="false" customHeight="true" outlineLevel="0" collapsed="false">
      <c r="A117" s="1" t="s">
        <v>2648</v>
      </c>
      <c r="B117" s="1" t="s">
        <v>2648</v>
      </c>
      <c r="C117" s="1" t="s">
        <v>2648</v>
      </c>
      <c r="D117" s="1" t="s">
        <v>2648</v>
      </c>
      <c r="E117" s="1" t="s">
        <v>2648</v>
      </c>
      <c r="F117" s="1" t="s">
        <v>2648</v>
      </c>
      <c r="G117" s="1" t="s">
        <v>2648</v>
      </c>
      <c r="H117" s="1" t="s">
        <v>2648</v>
      </c>
      <c r="I117" s="1" t="s">
        <v>2648</v>
      </c>
      <c r="J117" s="1" t="s">
        <v>2648</v>
      </c>
      <c r="K117" s="1" t="s">
        <v>2648</v>
      </c>
      <c r="L117" s="1" t="s">
        <v>2648</v>
      </c>
      <c r="M117" s="1" t="s">
        <v>2649</v>
      </c>
      <c r="N117" s="1" t="s">
        <v>2648</v>
      </c>
      <c r="O117" s="1" t="s">
        <v>2648</v>
      </c>
      <c r="P117" s="1" t="s">
        <v>2648</v>
      </c>
      <c r="Q117" s="1" t="s">
        <v>2648</v>
      </c>
      <c r="R117" s="1" t="s">
        <v>2650</v>
      </c>
      <c r="S117" s="1" t="s">
        <v>2648</v>
      </c>
      <c r="T117" s="1" t="s">
        <v>2648</v>
      </c>
      <c r="U117" s="1" t="s">
        <v>2648</v>
      </c>
      <c r="V117" s="1" t="s">
        <v>2648</v>
      </c>
      <c r="W117" s="1" t="s">
        <v>2648</v>
      </c>
      <c r="X117" s="1" t="s">
        <v>2651</v>
      </c>
      <c r="Y117" s="1" t="s">
        <v>2648</v>
      </c>
      <c r="Z117" s="1" t="s">
        <v>2648</v>
      </c>
      <c r="AA117" s="1" t="s">
        <v>2652</v>
      </c>
      <c r="AB117" s="1" t="s">
        <v>2648</v>
      </c>
      <c r="AC117" s="2" t="s">
        <v>2653</v>
      </c>
      <c r="AD117" s="1" t="s">
        <v>2648</v>
      </c>
      <c r="AE117" s="1" t="s">
        <v>2648</v>
      </c>
      <c r="AF117" s="1" t="s">
        <v>2648</v>
      </c>
      <c r="AG117" s="1" t="s">
        <v>2648</v>
      </c>
      <c r="AH117" s="1" t="s">
        <v>2648</v>
      </c>
      <c r="AI117" s="1" t="s">
        <v>2648</v>
      </c>
      <c r="AJ117" s="1" t="s">
        <v>2648</v>
      </c>
      <c r="AK117" s="1" t="s">
        <v>2648</v>
      </c>
      <c r="AL117" s="2" t="s">
        <v>2654</v>
      </c>
      <c r="AM117" s="1" t="s">
        <v>2649</v>
      </c>
      <c r="AN117" s="1" t="s">
        <v>2648</v>
      </c>
      <c r="AO117" s="1" t="s">
        <v>2648</v>
      </c>
      <c r="AP117" s="2" t="s">
        <v>2655</v>
      </c>
    </row>
    <row r="118" customFormat="false" ht="16.5" hidden="false" customHeight="true" outlineLevel="0" collapsed="false">
      <c r="A118" s="1" t="s">
        <v>2656</v>
      </c>
      <c r="B118" s="1" t="s">
        <v>2656</v>
      </c>
      <c r="C118" s="1" t="s">
        <v>2656</v>
      </c>
      <c r="D118" s="1" t="s">
        <v>2656</v>
      </c>
      <c r="E118" s="1" t="s">
        <v>2656</v>
      </c>
      <c r="F118" s="1" t="s">
        <v>2656</v>
      </c>
      <c r="G118" s="1" t="s">
        <v>2656</v>
      </c>
      <c r="H118" s="1" t="s">
        <v>2656</v>
      </c>
      <c r="I118" s="1" t="s">
        <v>2656</v>
      </c>
      <c r="J118" s="1" t="s">
        <v>2656</v>
      </c>
      <c r="K118" s="1" t="s">
        <v>2656</v>
      </c>
      <c r="L118" s="1" t="s">
        <v>2656</v>
      </c>
      <c r="M118" s="1" t="s">
        <v>2657</v>
      </c>
      <c r="N118" s="1" t="s">
        <v>2656</v>
      </c>
      <c r="O118" s="1" t="s">
        <v>2656</v>
      </c>
      <c r="P118" s="1" t="s">
        <v>2656</v>
      </c>
      <c r="Q118" s="1" t="s">
        <v>2656</v>
      </c>
      <c r="R118" s="1" t="s">
        <v>2658</v>
      </c>
      <c r="S118" s="1" t="s">
        <v>2656</v>
      </c>
      <c r="T118" s="1" t="s">
        <v>2656</v>
      </c>
      <c r="U118" s="1" t="s">
        <v>2656</v>
      </c>
      <c r="V118" s="1" t="s">
        <v>2656</v>
      </c>
      <c r="W118" s="1" t="s">
        <v>2656</v>
      </c>
      <c r="X118" s="1" t="s">
        <v>2659</v>
      </c>
      <c r="Y118" s="1" t="s">
        <v>2656</v>
      </c>
      <c r="Z118" s="1" t="s">
        <v>2656</v>
      </c>
      <c r="AA118" s="1" t="s">
        <v>2656</v>
      </c>
      <c r="AB118" s="1" t="s">
        <v>2656</v>
      </c>
      <c r="AC118" s="2" t="s">
        <v>2660</v>
      </c>
      <c r="AD118" s="1" t="s">
        <v>2656</v>
      </c>
      <c r="AE118" s="1" t="s">
        <v>2656</v>
      </c>
      <c r="AF118" s="1" t="s">
        <v>2656</v>
      </c>
      <c r="AG118" s="1" t="s">
        <v>2656</v>
      </c>
      <c r="AH118" s="1" t="s">
        <v>2656</v>
      </c>
      <c r="AI118" s="1" t="s">
        <v>2656</v>
      </c>
      <c r="AJ118" s="1" t="s">
        <v>2656</v>
      </c>
      <c r="AK118" s="1" t="s">
        <v>2656</v>
      </c>
      <c r="AL118" s="2" t="s">
        <v>2661</v>
      </c>
      <c r="AM118" s="1" t="s">
        <v>2657</v>
      </c>
      <c r="AN118" s="1" t="s">
        <v>2656</v>
      </c>
      <c r="AO118" s="1" t="s">
        <v>2656</v>
      </c>
      <c r="AP118" s="2" t="s">
        <v>2662</v>
      </c>
    </row>
    <row r="119" customFormat="false" ht="16.5" hidden="false" customHeight="true" outlineLevel="0" collapsed="false">
      <c r="A119" s="1" t="s">
        <v>2663</v>
      </c>
      <c r="B119" s="1" t="s">
        <v>2663</v>
      </c>
      <c r="C119" s="1" t="s">
        <v>2663</v>
      </c>
      <c r="D119" s="1" t="s">
        <v>2663</v>
      </c>
      <c r="E119" s="1" t="s">
        <v>2663</v>
      </c>
      <c r="F119" s="1" t="s">
        <v>2663</v>
      </c>
      <c r="G119" s="1" t="s">
        <v>2663</v>
      </c>
      <c r="H119" s="1" t="s">
        <v>2663</v>
      </c>
      <c r="I119" s="1" t="s">
        <v>2663</v>
      </c>
      <c r="J119" s="1" t="s">
        <v>2663</v>
      </c>
      <c r="K119" s="1" t="s">
        <v>2663</v>
      </c>
      <c r="L119" s="1" t="s">
        <v>2663</v>
      </c>
      <c r="M119" s="1" t="s">
        <v>2664</v>
      </c>
      <c r="N119" s="1" t="s">
        <v>2663</v>
      </c>
      <c r="O119" s="1" t="s">
        <v>2663</v>
      </c>
      <c r="P119" s="1" t="s">
        <v>2663</v>
      </c>
      <c r="Q119" s="1" t="s">
        <v>2663</v>
      </c>
      <c r="R119" s="1" t="s">
        <v>2665</v>
      </c>
      <c r="S119" s="1" t="s">
        <v>2663</v>
      </c>
      <c r="T119" s="1" t="s">
        <v>2663</v>
      </c>
      <c r="U119" s="1" t="s">
        <v>2663</v>
      </c>
      <c r="V119" s="1" t="s">
        <v>2663</v>
      </c>
      <c r="W119" s="1" t="s">
        <v>2663</v>
      </c>
      <c r="X119" s="1" t="s">
        <v>2666</v>
      </c>
      <c r="Y119" s="1" t="s">
        <v>2663</v>
      </c>
      <c r="Z119" s="1" t="s">
        <v>2663</v>
      </c>
      <c r="AA119" s="1" t="s">
        <v>2663</v>
      </c>
      <c r="AB119" s="1" t="s">
        <v>2663</v>
      </c>
      <c r="AC119" s="2" t="s">
        <v>2667</v>
      </c>
      <c r="AD119" s="1" t="s">
        <v>2663</v>
      </c>
      <c r="AE119" s="1" t="s">
        <v>2663</v>
      </c>
      <c r="AF119" s="1" t="s">
        <v>2663</v>
      </c>
      <c r="AG119" s="1" t="s">
        <v>2663</v>
      </c>
      <c r="AH119" s="1" t="s">
        <v>2663</v>
      </c>
      <c r="AI119" s="1" t="s">
        <v>2663</v>
      </c>
      <c r="AJ119" s="1" t="s">
        <v>2663</v>
      </c>
      <c r="AK119" s="1" t="s">
        <v>2663</v>
      </c>
      <c r="AL119" s="2" t="s">
        <v>2668</v>
      </c>
      <c r="AM119" s="1" t="s">
        <v>2664</v>
      </c>
      <c r="AN119" s="1" t="s">
        <v>2663</v>
      </c>
      <c r="AO119" s="1" t="s">
        <v>2663</v>
      </c>
      <c r="AP119" s="2" t="s">
        <v>2669</v>
      </c>
    </row>
    <row r="120" customFormat="false" ht="16.5" hidden="false" customHeight="true" outlineLevel="0" collapsed="false">
      <c r="A120" s="1" t="s">
        <v>2670</v>
      </c>
      <c r="B120" s="1" t="s">
        <v>2670</v>
      </c>
      <c r="C120" s="1" t="s">
        <v>2670</v>
      </c>
      <c r="D120" s="1" t="s">
        <v>2670</v>
      </c>
      <c r="E120" s="1" t="s">
        <v>2670</v>
      </c>
      <c r="F120" s="1" t="s">
        <v>2670</v>
      </c>
      <c r="G120" s="1" t="s">
        <v>2670</v>
      </c>
      <c r="H120" s="1" t="s">
        <v>2670</v>
      </c>
      <c r="I120" s="1" t="s">
        <v>2670</v>
      </c>
      <c r="J120" s="1" t="s">
        <v>2670</v>
      </c>
      <c r="K120" s="1" t="s">
        <v>2670</v>
      </c>
      <c r="L120" s="1" t="s">
        <v>2670</v>
      </c>
      <c r="M120" s="1" t="s">
        <v>2671</v>
      </c>
      <c r="N120" s="1" t="s">
        <v>2670</v>
      </c>
      <c r="O120" s="1" t="s">
        <v>2670</v>
      </c>
      <c r="P120" s="1" t="s">
        <v>2670</v>
      </c>
      <c r="Q120" s="1" t="s">
        <v>2670</v>
      </c>
      <c r="R120" s="1" t="s">
        <v>2672</v>
      </c>
      <c r="S120" s="1" t="s">
        <v>2670</v>
      </c>
      <c r="T120" s="1" t="s">
        <v>2670</v>
      </c>
      <c r="U120" s="1" t="s">
        <v>2670</v>
      </c>
      <c r="V120" s="1" t="s">
        <v>2670</v>
      </c>
      <c r="W120" s="1" t="s">
        <v>2670</v>
      </c>
      <c r="X120" s="1" t="s">
        <v>2673</v>
      </c>
      <c r="Y120" s="1" t="s">
        <v>2670</v>
      </c>
      <c r="Z120" s="1" t="s">
        <v>2670</v>
      </c>
      <c r="AA120" s="1" t="s">
        <v>2670</v>
      </c>
      <c r="AB120" s="1" t="s">
        <v>2670</v>
      </c>
      <c r="AC120" s="2" t="s">
        <v>2674</v>
      </c>
      <c r="AD120" s="1" t="s">
        <v>2670</v>
      </c>
      <c r="AE120" s="1" t="s">
        <v>2670</v>
      </c>
      <c r="AF120" s="1" t="s">
        <v>2670</v>
      </c>
      <c r="AG120" s="1" t="s">
        <v>2670</v>
      </c>
      <c r="AH120" s="1" t="s">
        <v>2670</v>
      </c>
      <c r="AI120" s="1" t="s">
        <v>2670</v>
      </c>
      <c r="AJ120" s="1" t="s">
        <v>2670</v>
      </c>
      <c r="AK120" s="1" t="s">
        <v>2670</v>
      </c>
      <c r="AL120" s="2" t="s">
        <v>2675</v>
      </c>
      <c r="AM120" s="1" t="s">
        <v>2671</v>
      </c>
      <c r="AN120" s="1" t="s">
        <v>2670</v>
      </c>
      <c r="AO120" s="1" t="s">
        <v>2670</v>
      </c>
      <c r="AP120" s="2" t="s">
        <v>2676</v>
      </c>
    </row>
    <row r="121" customFormat="false" ht="16.5" hidden="false" customHeight="true" outlineLevel="0" collapsed="false">
      <c r="A121" s="1" t="s">
        <v>2677</v>
      </c>
      <c r="B121" s="1" t="s">
        <v>2677</v>
      </c>
      <c r="C121" s="1" t="s">
        <v>2677</v>
      </c>
      <c r="D121" s="1" t="s">
        <v>2677</v>
      </c>
      <c r="E121" s="1" t="s">
        <v>2677</v>
      </c>
      <c r="F121" s="1" t="s">
        <v>2677</v>
      </c>
      <c r="G121" s="1" t="s">
        <v>2677</v>
      </c>
      <c r="H121" s="1" t="s">
        <v>2677</v>
      </c>
      <c r="I121" s="1" t="s">
        <v>2677</v>
      </c>
      <c r="J121" s="1" t="s">
        <v>2677</v>
      </c>
      <c r="K121" s="1" t="s">
        <v>2677</v>
      </c>
      <c r="L121" s="1" t="s">
        <v>2677</v>
      </c>
      <c r="M121" s="1" t="s">
        <v>2678</v>
      </c>
      <c r="N121" s="1" t="s">
        <v>2677</v>
      </c>
      <c r="O121" s="1" t="s">
        <v>2677</v>
      </c>
      <c r="P121" s="1" t="s">
        <v>2677</v>
      </c>
      <c r="Q121" s="1" t="s">
        <v>2677</v>
      </c>
      <c r="R121" s="1" t="s">
        <v>2679</v>
      </c>
      <c r="S121" s="1" t="s">
        <v>2677</v>
      </c>
      <c r="T121" s="1" t="s">
        <v>2677</v>
      </c>
      <c r="U121" s="1" t="s">
        <v>2677</v>
      </c>
      <c r="V121" s="1" t="s">
        <v>2677</v>
      </c>
      <c r="W121" s="1" t="s">
        <v>2677</v>
      </c>
      <c r="X121" s="1" t="s">
        <v>2680</v>
      </c>
      <c r="Y121" s="1" t="s">
        <v>2677</v>
      </c>
      <c r="Z121" s="1" t="s">
        <v>2677</v>
      </c>
      <c r="AA121" s="1" t="s">
        <v>2677</v>
      </c>
      <c r="AB121" s="1" t="s">
        <v>2677</v>
      </c>
      <c r="AC121" s="2" t="s">
        <v>2681</v>
      </c>
      <c r="AD121" s="1" t="s">
        <v>2677</v>
      </c>
      <c r="AE121" s="1" t="s">
        <v>2677</v>
      </c>
      <c r="AF121" s="1" t="s">
        <v>2677</v>
      </c>
      <c r="AG121" s="1" t="s">
        <v>2677</v>
      </c>
      <c r="AH121" s="1" t="s">
        <v>2677</v>
      </c>
      <c r="AI121" s="1" t="s">
        <v>2677</v>
      </c>
      <c r="AJ121" s="1" t="s">
        <v>2677</v>
      </c>
      <c r="AK121" s="1" t="s">
        <v>2677</v>
      </c>
      <c r="AL121" s="2" t="s">
        <v>2682</v>
      </c>
      <c r="AM121" s="1" t="s">
        <v>2678</v>
      </c>
      <c r="AN121" s="1" t="s">
        <v>2677</v>
      </c>
      <c r="AO121" s="1" t="s">
        <v>2677</v>
      </c>
      <c r="AP121" s="2" t="s">
        <v>2683</v>
      </c>
    </row>
    <row r="122" customFormat="false" ht="16.5" hidden="false" customHeight="true" outlineLevel="0" collapsed="false">
      <c r="A122" s="1" t="s">
        <v>2684</v>
      </c>
      <c r="B122" s="1" t="s">
        <v>2684</v>
      </c>
      <c r="C122" s="1" t="s">
        <v>2684</v>
      </c>
      <c r="D122" s="1" t="s">
        <v>2684</v>
      </c>
      <c r="E122" s="1" t="s">
        <v>2684</v>
      </c>
      <c r="F122" s="1" t="s">
        <v>2684</v>
      </c>
      <c r="G122" s="1" t="s">
        <v>2684</v>
      </c>
      <c r="H122" s="1" t="s">
        <v>2684</v>
      </c>
      <c r="I122" s="1" t="s">
        <v>2684</v>
      </c>
      <c r="J122" s="1" t="s">
        <v>2684</v>
      </c>
      <c r="K122" s="1" t="s">
        <v>2684</v>
      </c>
      <c r="L122" s="1" t="s">
        <v>2684</v>
      </c>
      <c r="M122" s="1" t="s">
        <v>2685</v>
      </c>
      <c r="N122" s="1" t="s">
        <v>2684</v>
      </c>
      <c r="O122" s="1" t="s">
        <v>2684</v>
      </c>
      <c r="P122" s="1" t="s">
        <v>2684</v>
      </c>
      <c r="Q122" s="1" t="s">
        <v>2684</v>
      </c>
      <c r="R122" s="1" t="s">
        <v>2686</v>
      </c>
      <c r="S122" s="1" t="s">
        <v>2684</v>
      </c>
      <c r="T122" s="1" t="s">
        <v>2684</v>
      </c>
      <c r="U122" s="1" t="s">
        <v>2684</v>
      </c>
      <c r="V122" s="1" t="s">
        <v>2684</v>
      </c>
      <c r="W122" s="1" t="s">
        <v>2684</v>
      </c>
      <c r="X122" s="1" t="s">
        <v>2687</v>
      </c>
      <c r="Y122" s="1" t="s">
        <v>2684</v>
      </c>
      <c r="Z122" s="1" t="s">
        <v>2684</v>
      </c>
      <c r="AA122" s="1" t="s">
        <v>2684</v>
      </c>
      <c r="AB122" s="1" t="s">
        <v>2684</v>
      </c>
      <c r="AC122" s="2" t="s">
        <v>2688</v>
      </c>
      <c r="AD122" s="1" t="s">
        <v>2684</v>
      </c>
      <c r="AE122" s="1" t="s">
        <v>2684</v>
      </c>
      <c r="AF122" s="1" t="s">
        <v>2684</v>
      </c>
      <c r="AG122" s="1" t="s">
        <v>2684</v>
      </c>
      <c r="AH122" s="1" t="s">
        <v>2684</v>
      </c>
      <c r="AI122" s="1" t="s">
        <v>2684</v>
      </c>
      <c r="AJ122" s="1" t="s">
        <v>2684</v>
      </c>
      <c r="AK122" s="1" t="s">
        <v>2684</v>
      </c>
      <c r="AL122" s="2" t="s">
        <v>2689</v>
      </c>
      <c r="AM122" s="1" t="s">
        <v>2685</v>
      </c>
      <c r="AN122" s="1" t="s">
        <v>2684</v>
      </c>
      <c r="AO122" s="1" t="s">
        <v>2684</v>
      </c>
      <c r="AP122" s="2" t="s">
        <v>2690</v>
      </c>
    </row>
    <row r="123" customFormat="false" ht="16.5" hidden="false" customHeight="true" outlineLevel="0" collapsed="false">
      <c r="A123" s="1" t="s">
        <v>2691</v>
      </c>
      <c r="B123" s="1" t="s">
        <v>2691</v>
      </c>
      <c r="C123" s="1" t="s">
        <v>2691</v>
      </c>
      <c r="D123" s="1" t="s">
        <v>2691</v>
      </c>
      <c r="E123" s="1" t="s">
        <v>2691</v>
      </c>
      <c r="F123" s="1" t="s">
        <v>2691</v>
      </c>
      <c r="G123" s="1" t="s">
        <v>2691</v>
      </c>
      <c r="H123" s="1" t="s">
        <v>2691</v>
      </c>
      <c r="I123" s="1" t="s">
        <v>2691</v>
      </c>
      <c r="J123" s="1" t="s">
        <v>2691</v>
      </c>
      <c r="K123" s="1" t="s">
        <v>2691</v>
      </c>
      <c r="L123" s="1" t="s">
        <v>2691</v>
      </c>
      <c r="M123" s="1" t="s">
        <v>2692</v>
      </c>
      <c r="N123" s="1" t="s">
        <v>2691</v>
      </c>
      <c r="O123" s="1" t="s">
        <v>2691</v>
      </c>
      <c r="P123" s="1" t="s">
        <v>2691</v>
      </c>
      <c r="Q123" s="1" t="s">
        <v>2691</v>
      </c>
      <c r="R123" s="1" t="s">
        <v>2693</v>
      </c>
      <c r="S123" s="1" t="s">
        <v>2691</v>
      </c>
      <c r="T123" s="1" t="s">
        <v>2691</v>
      </c>
      <c r="U123" s="1" t="s">
        <v>2691</v>
      </c>
      <c r="V123" s="1" t="s">
        <v>2691</v>
      </c>
      <c r="W123" s="1" t="s">
        <v>2691</v>
      </c>
      <c r="X123" s="1" t="s">
        <v>2694</v>
      </c>
      <c r="Y123" s="1" t="s">
        <v>2691</v>
      </c>
      <c r="Z123" s="1" t="s">
        <v>2691</v>
      </c>
      <c r="AA123" s="1" t="s">
        <v>2691</v>
      </c>
      <c r="AB123" s="1" t="s">
        <v>2691</v>
      </c>
      <c r="AC123" s="2" t="s">
        <v>2695</v>
      </c>
      <c r="AD123" s="1" t="s">
        <v>2691</v>
      </c>
      <c r="AE123" s="1" t="s">
        <v>2691</v>
      </c>
      <c r="AF123" s="1" t="s">
        <v>2691</v>
      </c>
      <c r="AG123" s="1" t="s">
        <v>2691</v>
      </c>
      <c r="AH123" s="1" t="s">
        <v>2691</v>
      </c>
      <c r="AI123" s="1" t="s">
        <v>2691</v>
      </c>
      <c r="AJ123" s="1" t="s">
        <v>2691</v>
      </c>
      <c r="AK123" s="1" t="s">
        <v>2691</v>
      </c>
      <c r="AL123" s="2" t="s">
        <v>2696</v>
      </c>
      <c r="AM123" s="1" t="s">
        <v>2692</v>
      </c>
      <c r="AN123" s="1" t="s">
        <v>2691</v>
      </c>
      <c r="AO123" s="1" t="s">
        <v>2691</v>
      </c>
      <c r="AP123" s="2" t="s">
        <v>2697</v>
      </c>
    </row>
    <row r="124" customFormat="false" ht="16.5" hidden="false" customHeight="true" outlineLevel="0" collapsed="false">
      <c r="A124" s="1" t="s">
        <v>2698</v>
      </c>
      <c r="B124" s="1" t="s">
        <v>2698</v>
      </c>
      <c r="C124" s="1" t="s">
        <v>2698</v>
      </c>
      <c r="D124" s="1" t="s">
        <v>2698</v>
      </c>
      <c r="E124" s="1" t="s">
        <v>2698</v>
      </c>
      <c r="F124" s="1" t="s">
        <v>2698</v>
      </c>
      <c r="G124" s="1" t="s">
        <v>2698</v>
      </c>
      <c r="H124" s="1" t="s">
        <v>2698</v>
      </c>
      <c r="I124" s="1" t="s">
        <v>2698</v>
      </c>
      <c r="J124" s="1" t="s">
        <v>2698</v>
      </c>
      <c r="K124" s="1" t="s">
        <v>2698</v>
      </c>
      <c r="L124" s="1" t="s">
        <v>2698</v>
      </c>
      <c r="M124" s="1" t="s">
        <v>2699</v>
      </c>
      <c r="N124" s="1" t="s">
        <v>2698</v>
      </c>
      <c r="O124" s="1" t="s">
        <v>2698</v>
      </c>
      <c r="P124" s="1" t="s">
        <v>2698</v>
      </c>
      <c r="Q124" s="1" t="s">
        <v>2698</v>
      </c>
      <c r="R124" s="1" t="s">
        <v>2700</v>
      </c>
      <c r="S124" s="1" t="s">
        <v>2698</v>
      </c>
      <c r="T124" s="1" t="s">
        <v>2698</v>
      </c>
      <c r="U124" s="1" t="s">
        <v>2698</v>
      </c>
      <c r="V124" s="1" t="s">
        <v>2698</v>
      </c>
      <c r="W124" s="1" t="s">
        <v>2698</v>
      </c>
      <c r="X124" s="1" t="s">
        <v>2701</v>
      </c>
      <c r="Y124" s="1" t="s">
        <v>2698</v>
      </c>
      <c r="Z124" s="1" t="s">
        <v>2698</v>
      </c>
      <c r="AA124" s="1" t="s">
        <v>2702</v>
      </c>
      <c r="AB124" s="1" t="s">
        <v>2698</v>
      </c>
      <c r="AC124" s="2" t="s">
        <v>2703</v>
      </c>
      <c r="AD124" s="1" t="s">
        <v>2698</v>
      </c>
      <c r="AE124" s="1" t="s">
        <v>2698</v>
      </c>
      <c r="AF124" s="1" t="s">
        <v>2698</v>
      </c>
      <c r="AG124" s="1" t="s">
        <v>2698</v>
      </c>
      <c r="AH124" s="1" t="s">
        <v>2698</v>
      </c>
      <c r="AI124" s="1" t="s">
        <v>2698</v>
      </c>
      <c r="AJ124" s="1" t="s">
        <v>2698</v>
      </c>
      <c r="AK124" s="1" t="s">
        <v>2698</v>
      </c>
      <c r="AL124" s="2" t="s">
        <v>2704</v>
      </c>
      <c r="AM124" s="1" t="s">
        <v>2699</v>
      </c>
      <c r="AN124" s="1" t="s">
        <v>2698</v>
      </c>
      <c r="AO124" s="1" t="s">
        <v>2698</v>
      </c>
      <c r="AP124" s="2" t="s">
        <v>2705</v>
      </c>
    </row>
    <row r="125" customFormat="false" ht="16.5" hidden="false" customHeight="true" outlineLevel="0" collapsed="false">
      <c r="A125" s="1" t="s">
        <v>2706</v>
      </c>
      <c r="B125" s="1" t="s">
        <v>2706</v>
      </c>
      <c r="C125" s="1" t="s">
        <v>2706</v>
      </c>
      <c r="D125" s="1" t="s">
        <v>2706</v>
      </c>
      <c r="E125" s="1" t="s">
        <v>2706</v>
      </c>
      <c r="F125" s="1" t="s">
        <v>2706</v>
      </c>
      <c r="G125" s="1" t="s">
        <v>2706</v>
      </c>
      <c r="H125" s="1" t="s">
        <v>2706</v>
      </c>
      <c r="I125" s="1" t="s">
        <v>2706</v>
      </c>
      <c r="J125" s="1" t="s">
        <v>2706</v>
      </c>
      <c r="K125" s="1" t="s">
        <v>2706</v>
      </c>
      <c r="L125" s="1" t="s">
        <v>2706</v>
      </c>
      <c r="M125" s="1" t="s">
        <v>2707</v>
      </c>
      <c r="N125" s="1" t="s">
        <v>2706</v>
      </c>
      <c r="O125" s="1" t="s">
        <v>2706</v>
      </c>
      <c r="P125" s="1" t="s">
        <v>2706</v>
      </c>
      <c r="Q125" s="1" t="s">
        <v>2706</v>
      </c>
      <c r="R125" s="1" t="s">
        <v>2708</v>
      </c>
      <c r="S125" s="1" t="s">
        <v>2706</v>
      </c>
      <c r="T125" s="1" t="s">
        <v>2706</v>
      </c>
      <c r="U125" s="1" t="s">
        <v>2706</v>
      </c>
      <c r="V125" s="1" t="s">
        <v>2706</v>
      </c>
      <c r="W125" s="1" t="s">
        <v>2706</v>
      </c>
      <c r="X125" s="1" t="s">
        <v>2709</v>
      </c>
      <c r="Y125" s="1" t="s">
        <v>2706</v>
      </c>
      <c r="Z125" s="1" t="s">
        <v>2706</v>
      </c>
      <c r="AA125" s="1" t="s">
        <v>2710</v>
      </c>
      <c r="AB125" s="1" t="s">
        <v>2706</v>
      </c>
      <c r="AC125" s="2" t="s">
        <v>2711</v>
      </c>
      <c r="AD125" s="1" t="s">
        <v>2706</v>
      </c>
      <c r="AE125" s="1" t="s">
        <v>2706</v>
      </c>
      <c r="AF125" s="1" t="s">
        <v>2706</v>
      </c>
      <c r="AG125" s="1" t="s">
        <v>2706</v>
      </c>
      <c r="AH125" s="1" t="s">
        <v>2706</v>
      </c>
      <c r="AI125" s="1" t="s">
        <v>2706</v>
      </c>
      <c r="AJ125" s="1" t="s">
        <v>2706</v>
      </c>
      <c r="AK125" s="1" t="s">
        <v>2706</v>
      </c>
      <c r="AL125" s="2" t="s">
        <v>2712</v>
      </c>
      <c r="AM125" s="1" t="s">
        <v>2707</v>
      </c>
      <c r="AN125" s="1" t="s">
        <v>2706</v>
      </c>
      <c r="AO125" s="1" t="s">
        <v>2706</v>
      </c>
      <c r="AP125" s="2" t="s">
        <v>2713</v>
      </c>
    </row>
    <row r="126" customFormat="false" ht="16.5" hidden="false" customHeight="true" outlineLevel="0" collapsed="false">
      <c r="A126" s="1" t="s">
        <v>2714</v>
      </c>
      <c r="B126" s="1" t="s">
        <v>2714</v>
      </c>
      <c r="C126" s="1" t="s">
        <v>2714</v>
      </c>
      <c r="D126" s="1" t="s">
        <v>2714</v>
      </c>
      <c r="E126" s="1" t="s">
        <v>2714</v>
      </c>
      <c r="F126" s="1" t="s">
        <v>2714</v>
      </c>
      <c r="G126" s="1" t="s">
        <v>2714</v>
      </c>
      <c r="H126" s="1" t="s">
        <v>2714</v>
      </c>
      <c r="I126" s="1" t="s">
        <v>2714</v>
      </c>
      <c r="J126" s="1" t="s">
        <v>2714</v>
      </c>
      <c r="K126" s="1" t="s">
        <v>2714</v>
      </c>
      <c r="L126" s="1" t="s">
        <v>2714</v>
      </c>
      <c r="M126" s="1" t="s">
        <v>2715</v>
      </c>
      <c r="N126" s="1" t="s">
        <v>2714</v>
      </c>
      <c r="O126" s="1" t="s">
        <v>2714</v>
      </c>
      <c r="P126" s="1" t="s">
        <v>2714</v>
      </c>
      <c r="Q126" s="1" t="s">
        <v>2714</v>
      </c>
      <c r="R126" s="1" t="s">
        <v>2714</v>
      </c>
      <c r="S126" s="1" t="s">
        <v>2714</v>
      </c>
      <c r="T126" s="1" t="s">
        <v>2714</v>
      </c>
      <c r="U126" s="1" t="s">
        <v>2714</v>
      </c>
      <c r="V126" s="1" t="s">
        <v>2714</v>
      </c>
      <c r="W126" s="1" t="s">
        <v>2714</v>
      </c>
      <c r="X126" s="1" t="s">
        <v>2716</v>
      </c>
      <c r="Y126" s="1" t="s">
        <v>2714</v>
      </c>
      <c r="Z126" s="1" t="s">
        <v>2714</v>
      </c>
      <c r="AA126" s="1" t="s">
        <v>2717</v>
      </c>
      <c r="AB126" s="1" t="s">
        <v>2714</v>
      </c>
      <c r="AC126" s="2" t="s">
        <v>2718</v>
      </c>
      <c r="AD126" s="1" t="s">
        <v>2714</v>
      </c>
      <c r="AE126" s="1" t="s">
        <v>2714</v>
      </c>
      <c r="AF126" s="1" t="s">
        <v>2714</v>
      </c>
      <c r="AG126" s="1" t="s">
        <v>2714</v>
      </c>
      <c r="AH126" s="1" t="s">
        <v>2714</v>
      </c>
      <c r="AI126" s="1" t="s">
        <v>2714</v>
      </c>
      <c r="AJ126" s="1" t="s">
        <v>2714</v>
      </c>
      <c r="AK126" s="1" t="s">
        <v>2714</v>
      </c>
      <c r="AL126" s="2" t="s">
        <v>2719</v>
      </c>
      <c r="AM126" s="1" t="s">
        <v>2715</v>
      </c>
      <c r="AN126" s="1" t="s">
        <v>2714</v>
      </c>
      <c r="AO126" s="1" t="s">
        <v>2714</v>
      </c>
      <c r="AP126" s="2" t="s">
        <v>2720</v>
      </c>
    </row>
    <row r="127" customFormat="false" ht="16.5" hidden="false" customHeight="true" outlineLevel="0" collapsed="false">
      <c r="A127" s="1" t="s">
        <v>2721</v>
      </c>
      <c r="B127" s="1" t="s">
        <v>2721</v>
      </c>
      <c r="C127" s="1" t="s">
        <v>2721</v>
      </c>
      <c r="D127" s="1" t="s">
        <v>2721</v>
      </c>
      <c r="E127" s="1" t="s">
        <v>2721</v>
      </c>
      <c r="F127" s="1" t="s">
        <v>2721</v>
      </c>
      <c r="G127" s="1" t="s">
        <v>2721</v>
      </c>
      <c r="H127" s="1" t="s">
        <v>2721</v>
      </c>
      <c r="I127" s="1" t="s">
        <v>2721</v>
      </c>
      <c r="J127" s="1" t="s">
        <v>2721</v>
      </c>
      <c r="K127" s="1" t="s">
        <v>2721</v>
      </c>
      <c r="L127" s="1" t="s">
        <v>2721</v>
      </c>
      <c r="M127" s="1" t="s">
        <v>2722</v>
      </c>
      <c r="N127" s="1" t="s">
        <v>2721</v>
      </c>
      <c r="O127" s="1" t="s">
        <v>2721</v>
      </c>
      <c r="P127" s="1" t="s">
        <v>2721</v>
      </c>
      <c r="Q127" s="1" t="s">
        <v>2721</v>
      </c>
      <c r="R127" s="1" t="s">
        <v>2721</v>
      </c>
      <c r="S127" s="1" t="s">
        <v>2721</v>
      </c>
      <c r="T127" s="1" t="s">
        <v>2721</v>
      </c>
      <c r="U127" s="1" t="s">
        <v>2721</v>
      </c>
      <c r="V127" s="1" t="s">
        <v>2721</v>
      </c>
      <c r="W127" s="1" t="s">
        <v>2721</v>
      </c>
      <c r="X127" s="1" t="s">
        <v>2723</v>
      </c>
      <c r="Y127" s="1" t="s">
        <v>2721</v>
      </c>
      <c r="Z127" s="1" t="s">
        <v>2721</v>
      </c>
      <c r="AA127" s="1" t="s">
        <v>2717</v>
      </c>
      <c r="AB127" s="1" t="s">
        <v>2721</v>
      </c>
      <c r="AC127" s="2" t="s">
        <v>2724</v>
      </c>
      <c r="AD127" s="1" t="s">
        <v>2721</v>
      </c>
      <c r="AE127" s="1" t="s">
        <v>2721</v>
      </c>
      <c r="AF127" s="1" t="s">
        <v>2721</v>
      </c>
      <c r="AG127" s="1" t="s">
        <v>2721</v>
      </c>
      <c r="AH127" s="1" t="s">
        <v>2721</v>
      </c>
      <c r="AI127" s="1" t="s">
        <v>2721</v>
      </c>
      <c r="AJ127" s="1" t="s">
        <v>2721</v>
      </c>
      <c r="AK127" s="1" t="s">
        <v>2721</v>
      </c>
      <c r="AL127" s="2" t="s">
        <v>2725</v>
      </c>
      <c r="AM127" s="1" t="s">
        <v>2722</v>
      </c>
      <c r="AN127" s="1" t="s">
        <v>2721</v>
      </c>
      <c r="AO127" s="1" t="s">
        <v>2721</v>
      </c>
      <c r="AP127" s="2" t="s">
        <v>2726</v>
      </c>
    </row>
    <row r="128" customFormat="false" ht="16.5" hidden="false" customHeight="true" outlineLevel="0" collapsed="false">
      <c r="A128" s="1" t="s">
        <v>2727</v>
      </c>
      <c r="B128" s="1" t="s">
        <v>2728</v>
      </c>
      <c r="C128" s="1" t="s">
        <v>2727</v>
      </c>
      <c r="D128" s="1" t="s">
        <v>2727</v>
      </c>
      <c r="E128" s="1" t="s">
        <v>2729</v>
      </c>
      <c r="F128" s="1" t="s">
        <v>2727</v>
      </c>
      <c r="G128" s="1" t="s">
        <v>2730</v>
      </c>
      <c r="H128" s="1" t="s">
        <v>2731</v>
      </c>
      <c r="I128" s="1" t="s">
        <v>2727</v>
      </c>
      <c r="J128" s="1" t="s">
        <v>2727</v>
      </c>
      <c r="K128" s="1" t="s">
        <v>2732</v>
      </c>
      <c r="L128" s="1" t="s">
        <v>2732</v>
      </c>
      <c r="M128" s="1" t="s">
        <v>2727</v>
      </c>
      <c r="N128" s="1" t="s">
        <v>2732</v>
      </c>
      <c r="O128" s="1" t="s">
        <v>2727</v>
      </c>
      <c r="P128" s="1" t="s">
        <v>2733</v>
      </c>
      <c r="Q128" s="1" t="s">
        <v>2727</v>
      </c>
      <c r="R128" s="1" t="s">
        <v>2734</v>
      </c>
      <c r="S128" s="1" t="s">
        <v>2727</v>
      </c>
      <c r="T128" s="1" t="s">
        <v>2735</v>
      </c>
      <c r="U128" s="1" t="s">
        <v>2727</v>
      </c>
      <c r="V128" s="1" t="s">
        <v>2727</v>
      </c>
      <c r="W128" s="1" t="s">
        <v>2727</v>
      </c>
      <c r="X128" s="1" t="s">
        <v>2736</v>
      </c>
      <c r="Y128" s="1" t="s">
        <v>2737</v>
      </c>
      <c r="Z128" s="1" t="s">
        <v>2738</v>
      </c>
      <c r="AA128" s="1" t="s">
        <v>2739</v>
      </c>
      <c r="AB128" s="1" t="s">
        <v>2732</v>
      </c>
      <c r="AC128" s="2" t="s">
        <v>2740</v>
      </c>
      <c r="AD128" s="1" t="s">
        <v>2727</v>
      </c>
      <c r="AE128" s="1" t="s">
        <v>2727</v>
      </c>
      <c r="AF128" s="1" t="s">
        <v>2741</v>
      </c>
      <c r="AG128" s="1" t="s">
        <v>2742</v>
      </c>
      <c r="AH128" s="1" t="s">
        <v>2732</v>
      </c>
      <c r="AI128" s="1" t="s">
        <v>2727</v>
      </c>
      <c r="AJ128" s="1" t="s">
        <v>2727</v>
      </c>
      <c r="AK128" s="1" t="s">
        <v>2727</v>
      </c>
      <c r="AL128" s="2" t="s">
        <v>2743</v>
      </c>
      <c r="AM128" s="1" t="s">
        <v>2730</v>
      </c>
      <c r="AN128" s="1" t="s">
        <v>2744</v>
      </c>
      <c r="AO128" s="1" t="s">
        <v>2745</v>
      </c>
      <c r="AP128" s="2" t="s">
        <v>2746</v>
      </c>
    </row>
    <row r="129" customFormat="false" ht="16.5" hidden="false" customHeight="true" outlineLevel="0" collapsed="false">
      <c r="A129" s="1" t="s">
        <v>2747</v>
      </c>
      <c r="B129" s="1" t="s">
        <v>2748</v>
      </c>
      <c r="C129" s="1" t="s">
        <v>2747</v>
      </c>
      <c r="D129" s="1" t="s">
        <v>2747</v>
      </c>
      <c r="E129" s="1" t="s">
        <v>2749</v>
      </c>
      <c r="F129" s="1" t="s">
        <v>2747</v>
      </c>
      <c r="G129" s="1" t="s">
        <v>2750</v>
      </c>
      <c r="H129" s="1" t="s">
        <v>2751</v>
      </c>
      <c r="I129" s="1" t="s">
        <v>2747</v>
      </c>
      <c r="J129" s="1" t="s">
        <v>2747</v>
      </c>
      <c r="K129" s="1" t="s">
        <v>2752</v>
      </c>
      <c r="L129" s="1" t="s">
        <v>2752</v>
      </c>
      <c r="M129" s="1" t="s">
        <v>2747</v>
      </c>
      <c r="N129" s="1" t="s">
        <v>2752</v>
      </c>
      <c r="O129" s="1" t="s">
        <v>2747</v>
      </c>
      <c r="P129" s="1" t="s">
        <v>2753</v>
      </c>
      <c r="Q129" s="1" t="s">
        <v>2747</v>
      </c>
      <c r="R129" s="1" t="s">
        <v>2754</v>
      </c>
      <c r="S129" s="1" t="s">
        <v>2747</v>
      </c>
      <c r="T129" s="1" t="s">
        <v>2755</v>
      </c>
      <c r="U129" s="1" t="s">
        <v>2747</v>
      </c>
      <c r="V129" s="1" t="s">
        <v>2747</v>
      </c>
      <c r="W129" s="1" t="s">
        <v>2747</v>
      </c>
      <c r="X129" s="1" t="s">
        <v>2756</v>
      </c>
      <c r="Y129" s="1" t="s">
        <v>2757</v>
      </c>
      <c r="Z129" s="1" t="s">
        <v>2758</v>
      </c>
      <c r="AA129" s="1" t="s">
        <v>2759</v>
      </c>
      <c r="AB129" s="1" t="s">
        <v>2752</v>
      </c>
      <c r="AC129" s="2" t="s">
        <v>2760</v>
      </c>
      <c r="AD129" s="1" t="s">
        <v>2747</v>
      </c>
      <c r="AE129" s="1" t="s">
        <v>2747</v>
      </c>
      <c r="AF129" s="1" t="s">
        <v>2761</v>
      </c>
      <c r="AG129" s="1" t="s">
        <v>2762</v>
      </c>
      <c r="AH129" s="1" t="s">
        <v>2752</v>
      </c>
      <c r="AI129" s="1" t="s">
        <v>2747</v>
      </c>
      <c r="AJ129" s="1" t="s">
        <v>2747</v>
      </c>
      <c r="AK129" s="1" t="s">
        <v>2747</v>
      </c>
      <c r="AL129" s="2" t="s">
        <v>2763</v>
      </c>
      <c r="AM129" s="1" t="s">
        <v>2750</v>
      </c>
      <c r="AN129" s="1" t="s">
        <v>2764</v>
      </c>
      <c r="AO129" s="1" t="s">
        <v>2765</v>
      </c>
      <c r="AP129" s="2" t="s">
        <v>2766</v>
      </c>
    </row>
    <row r="130" customFormat="false" ht="16.5" hidden="false" customHeight="true" outlineLevel="0" collapsed="false">
      <c r="A130" s="1" t="s">
        <v>2767</v>
      </c>
      <c r="B130" s="1" t="s">
        <v>2768</v>
      </c>
      <c r="C130" s="1" t="s">
        <v>2767</v>
      </c>
      <c r="D130" s="1" t="s">
        <v>2767</v>
      </c>
      <c r="E130" s="1" t="s">
        <v>2769</v>
      </c>
      <c r="F130" s="1" t="s">
        <v>2767</v>
      </c>
      <c r="G130" s="1" t="s">
        <v>2770</v>
      </c>
      <c r="H130" s="1" t="s">
        <v>2771</v>
      </c>
      <c r="I130" s="1" t="s">
        <v>2767</v>
      </c>
      <c r="J130" s="1" t="s">
        <v>2767</v>
      </c>
      <c r="K130" s="1" t="s">
        <v>2772</v>
      </c>
      <c r="L130" s="1" t="s">
        <v>2772</v>
      </c>
      <c r="M130" s="1" t="s">
        <v>2767</v>
      </c>
      <c r="N130" s="1" t="s">
        <v>2772</v>
      </c>
      <c r="O130" s="1" t="s">
        <v>2767</v>
      </c>
      <c r="P130" s="1" t="s">
        <v>2773</v>
      </c>
      <c r="Q130" s="1" t="s">
        <v>2767</v>
      </c>
      <c r="R130" s="1" t="s">
        <v>2774</v>
      </c>
      <c r="S130" s="1" t="s">
        <v>2767</v>
      </c>
      <c r="T130" s="1" t="s">
        <v>2775</v>
      </c>
      <c r="U130" s="1" t="s">
        <v>2767</v>
      </c>
      <c r="V130" s="1" t="s">
        <v>2767</v>
      </c>
      <c r="W130" s="1" t="s">
        <v>2767</v>
      </c>
      <c r="X130" s="1" t="s">
        <v>2776</v>
      </c>
      <c r="Y130" s="1" t="s">
        <v>2777</v>
      </c>
      <c r="Z130" s="1" t="s">
        <v>2778</v>
      </c>
      <c r="AA130" s="1" t="s">
        <v>2779</v>
      </c>
      <c r="AB130" s="1" t="s">
        <v>2772</v>
      </c>
      <c r="AC130" s="2" t="s">
        <v>2780</v>
      </c>
      <c r="AD130" s="1" t="s">
        <v>2767</v>
      </c>
      <c r="AE130" s="1" t="s">
        <v>2767</v>
      </c>
      <c r="AF130" s="1" t="s">
        <v>2781</v>
      </c>
      <c r="AG130" s="1" t="s">
        <v>2782</v>
      </c>
      <c r="AH130" s="1" t="s">
        <v>2772</v>
      </c>
      <c r="AI130" s="1" t="s">
        <v>2767</v>
      </c>
      <c r="AJ130" s="1" t="s">
        <v>2767</v>
      </c>
      <c r="AK130" s="1" t="s">
        <v>2767</v>
      </c>
      <c r="AL130" s="2" t="s">
        <v>2783</v>
      </c>
      <c r="AM130" s="1" t="s">
        <v>2770</v>
      </c>
      <c r="AN130" s="1" t="s">
        <v>2784</v>
      </c>
      <c r="AO130" s="1" t="s">
        <v>2785</v>
      </c>
      <c r="AP130" s="2" t="s">
        <v>2786</v>
      </c>
    </row>
    <row r="131" customFormat="false" ht="16.5" hidden="false" customHeight="true" outlineLevel="0" collapsed="false">
      <c r="A131" s="1" t="s">
        <v>2787</v>
      </c>
      <c r="B131" s="1" t="s">
        <v>2788</v>
      </c>
      <c r="C131" s="1" t="s">
        <v>2787</v>
      </c>
      <c r="D131" s="1" t="s">
        <v>2787</v>
      </c>
      <c r="E131" s="1" t="s">
        <v>2789</v>
      </c>
      <c r="F131" s="1" t="s">
        <v>2787</v>
      </c>
      <c r="G131" s="1" t="s">
        <v>2790</v>
      </c>
      <c r="H131" s="1" t="s">
        <v>2791</v>
      </c>
      <c r="I131" s="1" t="s">
        <v>2787</v>
      </c>
      <c r="J131" s="1" t="s">
        <v>2787</v>
      </c>
      <c r="K131" s="1" t="s">
        <v>2792</v>
      </c>
      <c r="L131" s="1" t="s">
        <v>2792</v>
      </c>
      <c r="M131" s="1" t="s">
        <v>2787</v>
      </c>
      <c r="N131" s="1" t="s">
        <v>2792</v>
      </c>
      <c r="O131" s="1" t="s">
        <v>2787</v>
      </c>
      <c r="P131" s="1" t="s">
        <v>2793</v>
      </c>
      <c r="Q131" s="1" t="s">
        <v>2787</v>
      </c>
      <c r="R131" s="1" t="s">
        <v>2794</v>
      </c>
      <c r="S131" s="1" t="s">
        <v>2787</v>
      </c>
      <c r="T131" s="1" t="s">
        <v>2795</v>
      </c>
      <c r="U131" s="1" t="s">
        <v>2787</v>
      </c>
      <c r="V131" s="1" t="s">
        <v>2787</v>
      </c>
      <c r="W131" s="1" t="s">
        <v>2787</v>
      </c>
      <c r="X131" s="1" t="s">
        <v>2796</v>
      </c>
      <c r="Y131" s="1" t="s">
        <v>2797</v>
      </c>
      <c r="Z131" s="1" t="s">
        <v>2798</v>
      </c>
      <c r="AA131" s="1" t="s">
        <v>2799</v>
      </c>
      <c r="AB131" s="1" t="s">
        <v>2792</v>
      </c>
      <c r="AC131" s="2" t="s">
        <v>2800</v>
      </c>
      <c r="AD131" s="1" t="s">
        <v>2787</v>
      </c>
      <c r="AE131" s="1" t="s">
        <v>2787</v>
      </c>
      <c r="AF131" s="1" t="s">
        <v>2801</v>
      </c>
      <c r="AG131" s="1" t="s">
        <v>2802</v>
      </c>
      <c r="AH131" s="1" t="s">
        <v>2792</v>
      </c>
      <c r="AI131" s="1" t="s">
        <v>2787</v>
      </c>
      <c r="AJ131" s="1" t="s">
        <v>2787</v>
      </c>
      <c r="AK131" s="1" t="s">
        <v>2787</v>
      </c>
      <c r="AL131" s="2" t="s">
        <v>2803</v>
      </c>
      <c r="AM131" s="1" t="s">
        <v>2790</v>
      </c>
      <c r="AN131" s="1" t="s">
        <v>2804</v>
      </c>
      <c r="AO131" s="1" t="s">
        <v>2805</v>
      </c>
      <c r="AP131" s="2" t="s">
        <v>2806</v>
      </c>
    </row>
    <row r="132" customFormat="false" ht="16.5" hidden="false" customHeight="true" outlineLevel="0" collapsed="false">
      <c r="A132" s="1" t="s">
        <v>2807</v>
      </c>
      <c r="B132" s="1" t="s">
        <v>2808</v>
      </c>
      <c r="C132" s="1" t="s">
        <v>2807</v>
      </c>
      <c r="D132" s="1" t="s">
        <v>2807</v>
      </c>
      <c r="E132" s="1" t="s">
        <v>2809</v>
      </c>
      <c r="F132" s="1" t="s">
        <v>2807</v>
      </c>
      <c r="G132" s="1" t="s">
        <v>2810</v>
      </c>
      <c r="H132" s="1" t="s">
        <v>2811</v>
      </c>
      <c r="I132" s="1" t="s">
        <v>2807</v>
      </c>
      <c r="J132" s="1" t="s">
        <v>2807</v>
      </c>
      <c r="K132" s="1" t="s">
        <v>2812</v>
      </c>
      <c r="L132" s="1" t="s">
        <v>2812</v>
      </c>
      <c r="M132" s="1" t="s">
        <v>2807</v>
      </c>
      <c r="N132" s="1" t="s">
        <v>2812</v>
      </c>
      <c r="O132" s="1" t="s">
        <v>2807</v>
      </c>
      <c r="P132" s="1" t="s">
        <v>2813</v>
      </c>
      <c r="Q132" s="1" t="s">
        <v>2807</v>
      </c>
      <c r="R132" s="1" t="s">
        <v>2814</v>
      </c>
      <c r="S132" s="1" t="s">
        <v>2807</v>
      </c>
      <c r="T132" s="1" t="s">
        <v>2815</v>
      </c>
      <c r="U132" s="1" t="s">
        <v>2807</v>
      </c>
      <c r="V132" s="1" t="s">
        <v>2807</v>
      </c>
      <c r="W132" s="1" t="s">
        <v>2807</v>
      </c>
      <c r="X132" s="1" t="s">
        <v>2816</v>
      </c>
      <c r="Y132" s="1" t="s">
        <v>2817</v>
      </c>
      <c r="Z132" s="1" t="s">
        <v>2818</v>
      </c>
      <c r="AA132" s="1" t="s">
        <v>2819</v>
      </c>
      <c r="AB132" s="1" t="s">
        <v>2812</v>
      </c>
      <c r="AC132" s="2" t="s">
        <v>2820</v>
      </c>
      <c r="AD132" s="1" t="s">
        <v>2807</v>
      </c>
      <c r="AE132" s="1" t="s">
        <v>2807</v>
      </c>
      <c r="AF132" s="1" t="s">
        <v>2821</v>
      </c>
      <c r="AG132" s="1" t="s">
        <v>2822</v>
      </c>
      <c r="AH132" s="1" t="s">
        <v>2812</v>
      </c>
      <c r="AI132" s="1" t="s">
        <v>2807</v>
      </c>
      <c r="AJ132" s="1" t="s">
        <v>2807</v>
      </c>
      <c r="AK132" s="1" t="s">
        <v>2807</v>
      </c>
      <c r="AL132" s="2" t="s">
        <v>2823</v>
      </c>
      <c r="AM132" s="1" t="s">
        <v>2810</v>
      </c>
      <c r="AN132" s="1" t="s">
        <v>2824</v>
      </c>
      <c r="AO132" s="1" t="s">
        <v>2825</v>
      </c>
      <c r="AP132" s="2" t="s">
        <v>2826</v>
      </c>
    </row>
    <row r="133" customFormat="false" ht="16.5" hidden="false" customHeight="true" outlineLevel="0" collapsed="false">
      <c r="A133" s="1" t="s">
        <v>2827</v>
      </c>
      <c r="B133" s="1" t="s">
        <v>2828</v>
      </c>
      <c r="C133" s="1" t="s">
        <v>2827</v>
      </c>
      <c r="D133" s="1" t="s">
        <v>2827</v>
      </c>
      <c r="E133" s="1" t="s">
        <v>2829</v>
      </c>
      <c r="F133" s="1" t="s">
        <v>2827</v>
      </c>
      <c r="G133" s="1" t="s">
        <v>2830</v>
      </c>
      <c r="H133" s="1" t="s">
        <v>2831</v>
      </c>
      <c r="I133" s="1" t="s">
        <v>2827</v>
      </c>
      <c r="J133" s="1" t="s">
        <v>2827</v>
      </c>
      <c r="K133" s="1" t="s">
        <v>2832</v>
      </c>
      <c r="L133" s="1" t="s">
        <v>2832</v>
      </c>
      <c r="M133" s="1" t="s">
        <v>2827</v>
      </c>
      <c r="N133" s="1" t="s">
        <v>2832</v>
      </c>
      <c r="O133" s="1" t="s">
        <v>2827</v>
      </c>
      <c r="P133" s="1" t="s">
        <v>2833</v>
      </c>
      <c r="Q133" s="1" t="s">
        <v>2827</v>
      </c>
      <c r="R133" s="1" t="s">
        <v>2834</v>
      </c>
      <c r="S133" s="1" t="s">
        <v>2827</v>
      </c>
      <c r="T133" s="1" t="s">
        <v>2835</v>
      </c>
      <c r="U133" s="1" t="s">
        <v>2827</v>
      </c>
      <c r="V133" s="1" t="s">
        <v>2827</v>
      </c>
      <c r="W133" s="1" t="s">
        <v>2827</v>
      </c>
      <c r="X133" s="1" t="s">
        <v>2836</v>
      </c>
      <c r="Y133" s="1" t="s">
        <v>2837</v>
      </c>
      <c r="Z133" s="1" t="s">
        <v>2838</v>
      </c>
      <c r="AA133" s="1" t="s">
        <v>2839</v>
      </c>
      <c r="AB133" s="1" t="s">
        <v>2832</v>
      </c>
      <c r="AC133" s="2" t="s">
        <v>2840</v>
      </c>
      <c r="AD133" s="1" t="s">
        <v>2827</v>
      </c>
      <c r="AE133" s="1" t="s">
        <v>2827</v>
      </c>
      <c r="AF133" s="1" t="s">
        <v>2841</v>
      </c>
      <c r="AG133" s="1" t="s">
        <v>2842</v>
      </c>
      <c r="AH133" s="1" t="s">
        <v>2832</v>
      </c>
      <c r="AI133" s="1" t="s">
        <v>2827</v>
      </c>
      <c r="AJ133" s="1" t="s">
        <v>2827</v>
      </c>
      <c r="AK133" s="1" t="s">
        <v>2827</v>
      </c>
      <c r="AL133" s="2" t="s">
        <v>2843</v>
      </c>
      <c r="AM133" s="1" t="s">
        <v>2830</v>
      </c>
      <c r="AN133" s="1" t="s">
        <v>2844</v>
      </c>
      <c r="AO133" s="1" t="s">
        <v>2845</v>
      </c>
      <c r="AP133" s="2" t="s">
        <v>2846</v>
      </c>
    </row>
    <row r="134" customFormat="false" ht="16.5" hidden="false" customHeight="true" outlineLevel="0" collapsed="false">
      <c r="A134" s="1" t="s">
        <v>2847</v>
      </c>
      <c r="B134" s="1" t="s">
        <v>2848</v>
      </c>
      <c r="C134" s="1" t="s">
        <v>2847</v>
      </c>
      <c r="D134" s="1" t="s">
        <v>2847</v>
      </c>
      <c r="E134" s="1" t="s">
        <v>2849</v>
      </c>
      <c r="F134" s="1" t="s">
        <v>2847</v>
      </c>
      <c r="G134" s="1" t="s">
        <v>2850</v>
      </c>
      <c r="H134" s="1" t="s">
        <v>2851</v>
      </c>
      <c r="I134" s="1" t="s">
        <v>2847</v>
      </c>
      <c r="J134" s="1" t="s">
        <v>2847</v>
      </c>
      <c r="K134" s="1" t="s">
        <v>2852</v>
      </c>
      <c r="L134" s="1" t="s">
        <v>2852</v>
      </c>
      <c r="M134" s="1" t="s">
        <v>2847</v>
      </c>
      <c r="N134" s="1" t="s">
        <v>2852</v>
      </c>
      <c r="O134" s="1" t="s">
        <v>2847</v>
      </c>
      <c r="P134" s="1" t="s">
        <v>2853</v>
      </c>
      <c r="Q134" s="1" t="s">
        <v>2847</v>
      </c>
      <c r="R134" s="1" t="s">
        <v>2854</v>
      </c>
      <c r="S134" s="1" t="s">
        <v>2847</v>
      </c>
      <c r="T134" s="1" t="s">
        <v>2855</v>
      </c>
      <c r="U134" s="1" t="s">
        <v>2847</v>
      </c>
      <c r="V134" s="1" t="s">
        <v>2847</v>
      </c>
      <c r="W134" s="1" t="s">
        <v>2847</v>
      </c>
      <c r="X134" s="1" t="s">
        <v>2856</v>
      </c>
      <c r="Y134" s="1" t="s">
        <v>2857</v>
      </c>
      <c r="Z134" s="1" t="s">
        <v>2858</v>
      </c>
      <c r="AA134" s="1" t="s">
        <v>2859</v>
      </c>
      <c r="AB134" s="1" t="s">
        <v>2852</v>
      </c>
      <c r="AC134" s="2" t="s">
        <v>2860</v>
      </c>
      <c r="AD134" s="1" t="s">
        <v>2847</v>
      </c>
      <c r="AE134" s="1" t="s">
        <v>2847</v>
      </c>
      <c r="AF134" s="1" t="s">
        <v>2861</v>
      </c>
      <c r="AG134" s="1" t="s">
        <v>2862</v>
      </c>
      <c r="AH134" s="1" t="s">
        <v>2852</v>
      </c>
      <c r="AI134" s="1" t="s">
        <v>2847</v>
      </c>
      <c r="AJ134" s="1" t="s">
        <v>2847</v>
      </c>
      <c r="AK134" s="1" t="s">
        <v>2847</v>
      </c>
      <c r="AL134" s="2" t="s">
        <v>2863</v>
      </c>
      <c r="AM134" s="1" t="s">
        <v>2850</v>
      </c>
      <c r="AN134" s="1" t="s">
        <v>2864</v>
      </c>
      <c r="AO134" s="1" t="s">
        <v>2865</v>
      </c>
      <c r="AP134" s="2" t="s">
        <v>2866</v>
      </c>
    </row>
    <row r="135" customFormat="false" ht="16.5" hidden="false" customHeight="true" outlineLevel="0" collapsed="false">
      <c r="A135" s="1" t="s">
        <v>2867</v>
      </c>
      <c r="B135" s="1" t="s">
        <v>2868</v>
      </c>
      <c r="C135" s="1" t="s">
        <v>2867</v>
      </c>
      <c r="D135" s="1" t="s">
        <v>2867</v>
      </c>
      <c r="E135" s="1" t="s">
        <v>2869</v>
      </c>
      <c r="F135" s="1" t="s">
        <v>2867</v>
      </c>
      <c r="G135" s="1" t="s">
        <v>2870</v>
      </c>
      <c r="H135" s="1" t="s">
        <v>2871</v>
      </c>
      <c r="I135" s="1" t="s">
        <v>2867</v>
      </c>
      <c r="J135" s="1" t="s">
        <v>2867</v>
      </c>
      <c r="K135" s="1" t="s">
        <v>2872</v>
      </c>
      <c r="L135" s="1" t="s">
        <v>2872</v>
      </c>
      <c r="M135" s="1" t="s">
        <v>2867</v>
      </c>
      <c r="N135" s="1" t="s">
        <v>2872</v>
      </c>
      <c r="O135" s="1" t="s">
        <v>2867</v>
      </c>
      <c r="P135" s="1" t="s">
        <v>2873</v>
      </c>
      <c r="Q135" s="1" t="s">
        <v>2867</v>
      </c>
      <c r="R135" s="1" t="s">
        <v>2874</v>
      </c>
      <c r="S135" s="1" t="s">
        <v>2867</v>
      </c>
      <c r="T135" s="1" t="s">
        <v>2875</v>
      </c>
      <c r="U135" s="1" t="s">
        <v>2867</v>
      </c>
      <c r="V135" s="1" t="s">
        <v>2867</v>
      </c>
      <c r="W135" s="1" t="s">
        <v>2867</v>
      </c>
      <c r="X135" s="1" t="s">
        <v>2876</v>
      </c>
      <c r="Y135" s="1" t="s">
        <v>2877</v>
      </c>
      <c r="Z135" s="1" t="s">
        <v>2878</v>
      </c>
      <c r="AA135" s="1" t="s">
        <v>2879</v>
      </c>
      <c r="AB135" s="1" t="s">
        <v>2872</v>
      </c>
      <c r="AC135" s="2" t="s">
        <v>2880</v>
      </c>
      <c r="AD135" s="1" t="s">
        <v>2867</v>
      </c>
      <c r="AE135" s="1" t="s">
        <v>2867</v>
      </c>
      <c r="AF135" s="1" t="s">
        <v>2881</v>
      </c>
      <c r="AG135" s="1" t="s">
        <v>2882</v>
      </c>
      <c r="AH135" s="1" t="s">
        <v>2872</v>
      </c>
      <c r="AI135" s="1" t="s">
        <v>2867</v>
      </c>
      <c r="AJ135" s="1" t="s">
        <v>2867</v>
      </c>
      <c r="AK135" s="1" t="s">
        <v>2867</v>
      </c>
      <c r="AL135" s="2" t="s">
        <v>2883</v>
      </c>
      <c r="AM135" s="1" t="s">
        <v>2870</v>
      </c>
      <c r="AN135" s="1" t="s">
        <v>2884</v>
      </c>
      <c r="AO135" s="1" t="s">
        <v>2885</v>
      </c>
      <c r="AP135" s="2" t="s">
        <v>2886</v>
      </c>
    </row>
    <row r="136" customFormat="false" ht="16.5" hidden="false" customHeight="true" outlineLevel="0" collapsed="false">
      <c r="A136" s="1" t="s">
        <v>2887</v>
      </c>
      <c r="B136" s="1" t="s">
        <v>2888</v>
      </c>
      <c r="C136" s="1" t="s">
        <v>2887</v>
      </c>
      <c r="D136" s="1" t="s">
        <v>2887</v>
      </c>
      <c r="E136" s="1" t="s">
        <v>2889</v>
      </c>
      <c r="F136" s="1" t="s">
        <v>2887</v>
      </c>
      <c r="G136" s="1" t="s">
        <v>2890</v>
      </c>
      <c r="H136" s="1" t="s">
        <v>2891</v>
      </c>
      <c r="I136" s="1" t="s">
        <v>2887</v>
      </c>
      <c r="J136" s="1" t="s">
        <v>2887</v>
      </c>
      <c r="K136" s="1" t="s">
        <v>2892</v>
      </c>
      <c r="L136" s="1" t="s">
        <v>2892</v>
      </c>
      <c r="M136" s="1" t="s">
        <v>2887</v>
      </c>
      <c r="N136" s="1" t="s">
        <v>2892</v>
      </c>
      <c r="O136" s="1" t="s">
        <v>2887</v>
      </c>
      <c r="P136" s="1" t="s">
        <v>2893</v>
      </c>
      <c r="Q136" s="1" t="s">
        <v>2887</v>
      </c>
      <c r="R136" s="1" t="s">
        <v>2894</v>
      </c>
      <c r="S136" s="1" t="s">
        <v>2887</v>
      </c>
      <c r="T136" s="1" t="s">
        <v>2895</v>
      </c>
      <c r="U136" s="1" t="s">
        <v>2887</v>
      </c>
      <c r="V136" s="1" t="s">
        <v>2887</v>
      </c>
      <c r="W136" s="1" t="s">
        <v>2887</v>
      </c>
      <c r="X136" s="1" t="s">
        <v>2896</v>
      </c>
      <c r="Y136" s="1" t="s">
        <v>2897</v>
      </c>
      <c r="Z136" s="1" t="s">
        <v>2898</v>
      </c>
      <c r="AA136" s="1" t="s">
        <v>2899</v>
      </c>
      <c r="AB136" s="1" t="s">
        <v>2892</v>
      </c>
      <c r="AC136" s="2" t="s">
        <v>2900</v>
      </c>
      <c r="AD136" s="1" t="s">
        <v>2887</v>
      </c>
      <c r="AE136" s="1" t="s">
        <v>2887</v>
      </c>
      <c r="AF136" s="1" t="s">
        <v>2901</v>
      </c>
      <c r="AG136" s="1" t="s">
        <v>2902</v>
      </c>
      <c r="AH136" s="1" t="s">
        <v>2892</v>
      </c>
      <c r="AI136" s="1" t="s">
        <v>2887</v>
      </c>
      <c r="AJ136" s="1" t="s">
        <v>2887</v>
      </c>
      <c r="AK136" s="1" t="s">
        <v>2887</v>
      </c>
      <c r="AL136" s="2" t="s">
        <v>2903</v>
      </c>
      <c r="AM136" s="1" t="s">
        <v>2890</v>
      </c>
      <c r="AN136" s="1" t="s">
        <v>2904</v>
      </c>
      <c r="AO136" s="1" t="s">
        <v>2905</v>
      </c>
      <c r="AP136" s="2" t="s">
        <v>2906</v>
      </c>
    </row>
    <row r="137" customFormat="false" ht="16.5" hidden="false" customHeight="true" outlineLevel="0" collapsed="false">
      <c r="A137" s="1" t="s">
        <v>2907</v>
      </c>
      <c r="B137" s="1" t="s">
        <v>2908</v>
      </c>
      <c r="C137" s="1" t="s">
        <v>2907</v>
      </c>
      <c r="D137" s="1" t="s">
        <v>2907</v>
      </c>
      <c r="E137" s="1" t="s">
        <v>2909</v>
      </c>
      <c r="F137" s="1" t="s">
        <v>2907</v>
      </c>
      <c r="G137" s="1" t="s">
        <v>2910</v>
      </c>
      <c r="H137" s="1" t="s">
        <v>2911</v>
      </c>
      <c r="I137" s="1" t="s">
        <v>2907</v>
      </c>
      <c r="J137" s="1" t="s">
        <v>2907</v>
      </c>
      <c r="K137" s="1" t="s">
        <v>2912</v>
      </c>
      <c r="L137" s="1" t="s">
        <v>2912</v>
      </c>
      <c r="M137" s="1" t="s">
        <v>2907</v>
      </c>
      <c r="N137" s="1" t="s">
        <v>2912</v>
      </c>
      <c r="O137" s="1" t="s">
        <v>2907</v>
      </c>
      <c r="P137" s="1" t="s">
        <v>2913</v>
      </c>
      <c r="Q137" s="1" t="s">
        <v>2907</v>
      </c>
      <c r="R137" s="1" t="s">
        <v>2914</v>
      </c>
      <c r="S137" s="1" t="s">
        <v>2907</v>
      </c>
      <c r="T137" s="1" t="s">
        <v>2915</v>
      </c>
      <c r="U137" s="1" t="s">
        <v>2907</v>
      </c>
      <c r="V137" s="1" t="s">
        <v>2907</v>
      </c>
      <c r="W137" s="1" t="s">
        <v>2907</v>
      </c>
      <c r="X137" s="1" t="s">
        <v>2916</v>
      </c>
      <c r="Y137" s="1" t="s">
        <v>2917</v>
      </c>
      <c r="Z137" s="1" t="s">
        <v>2918</v>
      </c>
      <c r="AA137" s="1" t="s">
        <v>2919</v>
      </c>
      <c r="AB137" s="1" t="s">
        <v>2912</v>
      </c>
      <c r="AC137" s="2" t="s">
        <v>2920</v>
      </c>
      <c r="AD137" s="1" t="s">
        <v>2907</v>
      </c>
      <c r="AE137" s="1" t="s">
        <v>2907</v>
      </c>
      <c r="AF137" s="1" t="s">
        <v>2921</v>
      </c>
      <c r="AG137" s="1" t="s">
        <v>2922</v>
      </c>
      <c r="AH137" s="1" t="s">
        <v>2912</v>
      </c>
      <c r="AI137" s="1" t="s">
        <v>2907</v>
      </c>
      <c r="AJ137" s="1" t="s">
        <v>2907</v>
      </c>
      <c r="AK137" s="1" t="s">
        <v>2907</v>
      </c>
      <c r="AL137" s="2" t="s">
        <v>2923</v>
      </c>
      <c r="AM137" s="1" t="s">
        <v>2910</v>
      </c>
      <c r="AN137" s="1" t="s">
        <v>2924</v>
      </c>
      <c r="AO137" s="1" t="s">
        <v>2925</v>
      </c>
      <c r="AP137" s="2" t="s">
        <v>2926</v>
      </c>
    </row>
    <row r="138" customFormat="false" ht="16.5" hidden="false" customHeight="true" outlineLevel="0" collapsed="false">
      <c r="A138" s="1" t="s">
        <v>2927</v>
      </c>
      <c r="B138" s="1" t="s">
        <v>2928</v>
      </c>
      <c r="C138" s="1" t="s">
        <v>2927</v>
      </c>
      <c r="D138" s="1" t="s">
        <v>2927</v>
      </c>
      <c r="E138" s="1" t="s">
        <v>2929</v>
      </c>
      <c r="F138" s="1" t="s">
        <v>2927</v>
      </c>
      <c r="G138" s="1" t="s">
        <v>2930</v>
      </c>
      <c r="H138" s="1" t="s">
        <v>2931</v>
      </c>
      <c r="I138" s="1" t="s">
        <v>2927</v>
      </c>
      <c r="J138" s="1" t="s">
        <v>2927</v>
      </c>
      <c r="K138" s="1" t="s">
        <v>2932</v>
      </c>
      <c r="L138" s="1" t="s">
        <v>2932</v>
      </c>
      <c r="M138" s="1" t="s">
        <v>2927</v>
      </c>
      <c r="N138" s="1" t="s">
        <v>2932</v>
      </c>
      <c r="O138" s="1" t="s">
        <v>2927</v>
      </c>
      <c r="P138" s="1" t="s">
        <v>2933</v>
      </c>
      <c r="Q138" s="1" t="s">
        <v>2927</v>
      </c>
      <c r="R138" s="1" t="s">
        <v>2934</v>
      </c>
      <c r="S138" s="1" t="s">
        <v>2927</v>
      </c>
      <c r="T138" s="1" t="s">
        <v>2935</v>
      </c>
      <c r="U138" s="1" t="s">
        <v>2927</v>
      </c>
      <c r="V138" s="1" t="s">
        <v>2927</v>
      </c>
      <c r="W138" s="1" t="s">
        <v>2927</v>
      </c>
      <c r="X138" s="1" t="s">
        <v>2936</v>
      </c>
      <c r="Y138" s="1" t="s">
        <v>2937</v>
      </c>
      <c r="Z138" s="1" t="s">
        <v>2938</v>
      </c>
      <c r="AA138" s="1" t="s">
        <v>2939</v>
      </c>
      <c r="AB138" s="1" t="s">
        <v>2932</v>
      </c>
      <c r="AC138" s="2" t="s">
        <v>2940</v>
      </c>
      <c r="AD138" s="1" t="s">
        <v>2927</v>
      </c>
      <c r="AE138" s="1" t="s">
        <v>2927</v>
      </c>
      <c r="AF138" s="1" t="s">
        <v>2941</v>
      </c>
      <c r="AG138" s="1" t="s">
        <v>2942</v>
      </c>
      <c r="AH138" s="1" t="s">
        <v>2932</v>
      </c>
      <c r="AI138" s="1" t="s">
        <v>2927</v>
      </c>
      <c r="AJ138" s="1" t="s">
        <v>2927</v>
      </c>
      <c r="AK138" s="1" t="s">
        <v>2927</v>
      </c>
      <c r="AL138" s="2" t="s">
        <v>2943</v>
      </c>
      <c r="AM138" s="1" t="s">
        <v>2930</v>
      </c>
      <c r="AN138" s="1" t="s">
        <v>2944</v>
      </c>
      <c r="AO138" s="1" t="s">
        <v>2945</v>
      </c>
      <c r="AP138" s="2" t="s">
        <v>2946</v>
      </c>
    </row>
    <row r="139" customFormat="false" ht="16.5" hidden="false" customHeight="true" outlineLevel="0" collapsed="false">
      <c r="A139" s="1" t="s">
        <v>2947</v>
      </c>
      <c r="B139" s="1" t="s">
        <v>2948</v>
      </c>
      <c r="C139" s="1" t="s">
        <v>2947</v>
      </c>
      <c r="D139" s="1" t="s">
        <v>2947</v>
      </c>
      <c r="E139" s="1" t="s">
        <v>2949</v>
      </c>
      <c r="F139" s="1" t="s">
        <v>2947</v>
      </c>
      <c r="G139" s="1" t="s">
        <v>2950</v>
      </c>
      <c r="H139" s="1" t="s">
        <v>2951</v>
      </c>
      <c r="I139" s="1" t="s">
        <v>2947</v>
      </c>
      <c r="J139" s="1" t="s">
        <v>2947</v>
      </c>
      <c r="K139" s="1" t="s">
        <v>2952</v>
      </c>
      <c r="L139" s="1" t="s">
        <v>2952</v>
      </c>
      <c r="M139" s="1" t="s">
        <v>2947</v>
      </c>
      <c r="N139" s="1" t="s">
        <v>2952</v>
      </c>
      <c r="O139" s="1" t="s">
        <v>2947</v>
      </c>
      <c r="P139" s="1" t="s">
        <v>2953</v>
      </c>
      <c r="Q139" s="1" t="s">
        <v>2947</v>
      </c>
      <c r="R139" s="1" t="s">
        <v>2954</v>
      </c>
      <c r="S139" s="1" t="s">
        <v>2947</v>
      </c>
      <c r="T139" s="1" t="s">
        <v>2955</v>
      </c>
      <c r="U139" s="1" t="s">
        <v>2947</v>
      </c>
      <c r="V139" s="1" t="s">
        <v>2947</v>
      </c>
      <c r="W139" s="1" t="s">
        <v>2947</v>
      </c>
      <c r="X139" s="1" t="s">
        <v>2956</v>
      </c>
      <c r="Y139" s="1" t="s">
        <v>2957</v>
      </c>
      <c r="Z139" s="1" t="s">
        <v>2958</v>
      </c>
      <c r="AA139" s="1" t="s">
        <v>2959</v>
      </c>
      <c r="AB139" s="1" t="s">
        <v>2952</v>
      </c>
      <c r="AC139" s="2" t="s">
        <v>2960</v>
      </c>
      <c r="AD139" s="1" t="s">
        <v>2947</v>
      </c>
      <c r="AE139" s="1" t="s">
        <v>2947</v>
      </c>
      <c r="AF139" s="1" t="s">
        <v>2961</v>
      </c>
      <c r="AG139" s="1" t="s">
        <v>2962</v>
      </c>
      <c r="AH139" s="1" t="s">
        <v>2952</v>
      </c>
      <c r="AI139" s="1" t="s">
        <v>2947</v>
      </c>
      <c r="AJ139" s="1" t="s">
        <v>2947</v>
      </c>
      <c r="AK139" s="1" t="s">
        <v>2947</v>
      </c>
      <c r="AL139" s="2" t="s">
        <v>2963</v>
      </c>
      <c r="AM139" s="1" t="s">
        <v>2950</v>
      </c>
      <c r="AN139" s="1" t="s">
        <v>2964</v>
      </c>
      <c r="AO139" s="1" t="s">
        <v>2965</v>
      </c>
      <c r="AP139" s="2" t="s">
        <v>2966</v>
      </c>
    </row>
    <row r="140" customFormat="false" ht="16.5" hidden="false" customHeight="true" outlineLevel="0" collapsed="false">
      <c r="A140" s="1" t="s">
        <v>2967</v>
      </c>
      <c r="B140" s="1" t="s">
        <v>2968</v>
      </c>
      <c r="C140" s="1" t="s">
        <v>2967</v>
      </c>
      <c r="D140" s="1" t="s">
        <v>2967</v>
      </c>
      <c r="E140" s="1" t="s">
        <v>2969</v>
      </c>
      <c r="F140" s="1" t="s">
        <v>2967</v>
      </c>
      <c r="G140" s="1" t="s">
        <v>2970</v>
      </c>
      <c r="H140" s="1" t="s">
        <v>2971</v>
      </c>
      <c r="I140" s="1" t="s">
        <v>2967</v>
      </c>
      <c r="J140" s="1" t="s">
        <v>2967</v>
      </c>
      <c r="K140" s="1" t="s">
        <v>2972</v>
      </c>
      <c r="L140" s="1" t="s">
        <v>2972</v>
      </c>
      <c r="M140" s="1" t="s">
        <v>2967</v>
      </c>
      <c r="N140" s="1" t="s">
        <v>2972</v>
      </c>
      <c r="O140" s="1" t="s">
        <v>2967</v>
      </c>
      <c r="P140" s="1" t="s">
        <v>2973</v>
      </c>
      <c r="Q140" s="1" t="s">
        <v>2967</v>
      </c>
      <c r="R140" s="1" t="s">
        <v>2974</v>
      </c>
      <c r="S140" s="1" t="s">
        <v>2967</v>
      </c>
      <c r="T140" s="1" t="s">
        <v>2975</v>
      </c>
      <c r="U140" s="1" t="s">
        <v>2967</v>
      </c>
      <c r="V140" s="1" t="s">
        <v>2967</v>
      </c>
      <c r="W140" s="1" t="s">
        <v>2967</v>
      </c>
      <c r="X140" s="3" t="s">
        <v>2976</v>
      </c>
      <c r="Y140" s="1" t="s">
        <v>2977</v>
      </c>
      <c r="Z140" s="1" t="s">
        <v>2978</v>
      </c>
      <c r="AA140" s="1" t="s">
        <v>2979</v>
      </c>
      <c r="AB140" s="1" t="s">
        <v>2972</v>
      </c>
      <c r="AC140" s="2" t="s">
        <v>2980</v>
      </c>
      <c r="AD140" s="1" t="s">
        <v>2967</v>
      </c>
      <c r="AE140" s="1" t="s">
        <v>2967</v>
      </c>
      <c r="AF140" s="1" t="s">
        <v>2981</v>
      </c>
      <c r="AG140" s="1" t="s">
        <v>2982</v>
      </c>
      <c r="AH140" s="1" t="s">
        <v>2972</v>
      </c>
      <c r="AI140" s="1" t="s">
        <v>2967</v>
      </c>
      <c r="AJ140" s="1" t="s">
        <v>2967</v>
      </c>
      <c r="AK140" s="1" t="s">
        <v>2967</v>
      </c>
      <c r="AL140" s="2" t="s">
        <v>2983</v>
      </c>
      <c r="AM140" s="1" t="s">
        <v>2970</v>
      </c>
      <c r="AN140" s="1" t="s">
        <v>2984</v>
      </c>
      <c r="AO140" s="1" t="s">
        <v>2985</v>
      </c>
      <c r="AP140" s="2" t="s">
        <v>2986</v>
      </c>
    </row>
    <row r="141" customFormat="false" ht="16.5" hidden="false" customHeight="true" outlineLevel="0" collapsed="false">
      <c r="A141" s="1" t="s">
        <v>2987</v>
      </c>
      <c r="B141" s="1" t="s">
        <v>2988</v>
      </c>
      <c r="C141" s="1" t="s">
        <v>2987</v>
      </c>
      <c r="D141" s="1" t="s">
        <v>2987</v>
      </c>
      <c r="E141" s="1" t="s">
        <v>2989</v>
      </c>
      <c r="F141" s="1" t="s">
        <v>2987</v>
      </c>
      <c r="G141" s="1" t="s">
        <v>2990</v>
      </c>
      <c r="H141" s="1" t="s">
        <v>2991</v>
      </c>
      <c r="I141" s="1" t="s">
        <v>2987</v>
      </c>
      <c r="J141" s="1" t="s">
        <v>2987</v>
      </c>
      <c r="K141" s="1" t="s">
        <v>2992</v>
      </c>
      <c r="L141" s="1" t="s">
        <v>2992</v>
      </c>
      <c r="M141" s="1" t="s">
        <v>2987</v>
      </c>
      <c r="N141" s="1" t="s">
        <v>2992</v>
      </c>
      <c r="O141" s="1" t="s">
        <v>2987</v>
      </c>
      <c r="P141" s="1" t="s">
        <v>2993</v>
      </c>
      <c r="Q141" s="1" t="s">
        <v>2987</v>
      </c>
      <c r="R141" s="1" t="s">
        <v>2994</v>
      </c>
      <c r="S141" s="1" t="s">
        <v>2987</v>
      </c>
      <c r="T141" s="1" t="s">
        <v>2995</v>
      </c>
      <c r="U141" s="1" t="s">
        <v>2987</v>
      </c>
      <c r="V141" s="1" t="s">
        <v>2987</v>
      </c>
      <c r="W141" s="1" t="s">
        <v>2987</v>
      </c>
      <c r="X141" s="3" t="s">
        <v>2996</v>
      </c>
      <c r="Y141" s="1" t="s">
        <v>2997</v>
      </c>
      <c r="Z141" s="1" t="s">
        <v>2998</v>
      </c>
      <c r="AA141" s="1" t="s">
        <v>2999</v>
      </c>
      <c r="AB141" s="1" t="s">
        <v>2992</v>
      </c>
      <c r="AC141" s="2" t="s">
        <v>3000</v>
      </c>
      <c r="AD141" s="1" t="s">
        <v>2987</v>
      </c>
      <c r="AE141" s="1" t="s">
        <v>2987</v>
      </c>
      <c r="AF141" s="1" t="s">
        <v>3001</v>
      </c>
      <c r="AG141" s="1" t="s">
        <v>3002</v>
      </c>
      <c r="AH141" s="1" t="s">
        <v>2992</v>
      </c>
      <c r="AI141" s="1" t="s">
        <v>2987</v>
      </c>
      <c r="AJ141" s="1" t="s">
        <v>2987</v>
      </c>
      <c r="AK141" s="1" t="s">
        <v>2987</v>
      </c>
      <c r="AL141" s="2" t="s">
        <v>3003</v>
      </c>
      <c r="AM141" s="1" t="s">
        <v>2990</v>
      </c>
      <c r="AN141" s="1" t="s">
        <v>3004</v>
      </c>
      <c r="AO141" s="1" t="s">
        <v>3005</v>
      </c>
      <c r="AP141" s="2" t="s">
        <v>3006</v>
      </c>
    </row>
    <row r="142" customFormat="false" ht="16.5" hidden="false" customHeight="true" outlineLevel="0" collapsed="false">
      <c r="A142" s="1" t="s">
        <v>2977</v>
      </c>
      <c r="B142" s="1" t="s">
        <v>3007</v>
      </c>
      <c r="C142" s="1" t="s">
        <v>2977</v>
      </c>
      <c r="D142" s="1" t="s">
        <v>2977</v>
      </c>
      <c r="E142" s="1" t="s">
        <v>3008</v>
      </c>
      <c r="F142" s="1" t="s">
        <v>2977</v>
      </c>
      <c r="G142" s="1" t="s">
        <v>2982</v>
      </c>
      <c r="H142" s="1" t="s">
        <v>3009</v>
      </c>
      <c r="I142" s="1" t="s">
        <v>2977</v>
      </c>
      <c r="J142" s="1" t="s">
        <v>2977</v>
      </c>
      <c r="K142" s="1" t="s">
        <v>2982</v>
      </c>
      <c r="L142" s="1" t="s">
        <v>2984</v>
      </c>
      <c r="M142" s="1" t="s">
        <v>2972</v>
      </c>
      <c r="N142" s="1" t="s">
        <v>2984</v>
      </c>
      <c r="O142" s="1" t="s">
        <v>2977</v>
      </c>
      <c r="P142" s="1" t="s">
        <v>3010</v>
      </c>
      <c r="Q142" s="1" t="s">
        <v>2977</v>
      </c>
      <c r="R142" s="1" t="s">
        <v>3011</v>
      </c>
      <c r="S142" s="1" t="s">
        <v>2977</v>
      </c>
      <c r="T142" s="1" t="s">
        <v>2972</v>
      </c>
      <c r="U142" s="1" t="s">
        <v>2977</v>
      </c>
      <c r="V142" s="1" t="s">
        <v>2977</v>
      </c>
      <c r="W142" s="1" t="s">
        <v>2977</v>
      </c>
      <c r="X142" s="3" t="s">
        <v>3012</v>
      </c>
      <c r="Y142" s="1" t="s">
        <v>2982</v>
      </c>
      <c r="Z142" s="1" t="s">
        <v>3013</v>
      </c>
      <c r="AA142" s="1" t="s">
        <v>2984</v>
      </c>
      <c r="AB142" s="1" t="s">
        <v>2984</v>
      </c>
      <c r="AC142" s="2" t="s">
        <v>3014</v>
      </c>
      <c r="AD142" s="1" t="s">
        <v>2977</v>
      </c>
      <c r="AE142" s="1" t="s">
        <v>2977</v>
      </c>
      <c r="AF142" s="1" t="s">
        <v>2982</v>
      </c>
      <c r="AG142" s="1" t="s">
        <v>3015</v>
      </c>
      <c r="AH142" s="1" t="s">
        <v>2982</v>
      </c>
      <c r="AI142" s="1" t="s">
        <v>2977</v>
      </c>
      <c r="AJ142" s="1" t="s">
        <v>2977</v>
      </c>
      <c r="AK142" s="1" t="s">
        <v>2977</v>
      </c>
      <c r="AL142" s="2" t="s">
        <v>3016</v>
      </c>
      <c r="AM142" s="1" t="s">
        <v>3008</v>
      </c>
      <c r="AN142" s="1" t="s">
        <v>3017</v>
      </c>
      <c r="AO142" s="1" t="s">
        <v>3018</v>
      </c>
      <c r="AP142" s="2" t="s">
        <v>3019</v>
      </c>
    </row>
    <row r="143" customFormat="false" ht="16.5" hidden="false" customHeight="true" outlineLevel="0" collapsed="false">
      <c r="A143" s="1" t="s">
        <v>2997</v>
      </c>
      <c r="B143" s="1" t="s">
        <v>3020</v>
      </c>
      <c r="C143" s="1" t="s">
        <v>2997</v>
      </c>
      <c r="D143" s="1" t="s">
        <v>2997</v>
      </c>
      <c r="E143" s="1" t="s">
        <v>3021</v>
      </c>
      <c r="F143" s="1" t="s">
        <v>2997</v>
      </c>
      <c r="G143" s="1" t="s">
        <v>3002</v>
      </c>
      <c r="H143" s="1" t="s">
        <v>3022</v>
      </c>
      <c r="I143" s="1" t="s">
        <v>2997</v>
      </c>
      <c r="J143" s="1" t="s">
        <v>2997</v>
      </c>
      <c r="K143" s="1" t="s">
        <v>3002</v>
      </c>
      <c r="L143" s="1" t="s">
        <v>3004</v>
      </c>
      <c r="M143" s="1" t="s">
        <v>2992</v>
      </c>
      <c r="N143" s="1" t="s">
        <v>3004</v>
      </c>
      <c r="O143" s="1" t="s">
        <v>2997</v>
      </c>
      <c r="P143" s="1" t="s">
        <v>3023</v>
      </c>
      <c r="Q143" s="1" t="s">
        <v>2997</v>
      </c>
      <c r="R143" s="1" t="s">
        <v>3024</v>
      </c>
      <c r="S143" s="1" t="s">
        <v>2997</v>
      </c>
      <c r="T143" s="1" t="s">
        <v>2992</v>
      </c>
      <c r="U143" s="1" t="s">
        <v>2997</v>
      </c>
      <c r="V143" s="1" t="s">
        <v>2997</v>
      </c>
      <c r="W143" s="1" t="s">
        <v>2997</v>
      </c>
      <c r="X143" s="3" t="s">
        <v>3025</v>
      </c>
      <c r="Y143" s="1" t="s">
        <v>3002</v>
      </c>
      <c r="Z143" s="1" t="s">
        <v>3026</v>
      </c>
      <c r="AA143" s="1" t="s">
        <v>3004</v>
      </c>
      <c r="AB143" s="1" t="s">
        <v>3004</v>
      </c>
      <c r="AC143" s="2" t="s">
        <v>3027</v>
      </c>
      <c r="AD143" s="1" t="s">
        <v>2997</v>
      </c>
      <c r="AE143" s="1" t="s">
        <v>2997</v>
      </c>
      <c r="AF143" s="1" t="s">
        <v>3002</v>
      </c>
      <c r="AG143" s="1" t="s">
        <v>3028</v>
      </c>
      <c r="AH143" s="1" t="s">
        <v>3002</v>
      </c>
      <c r="AI143" s="1" t="s">
        <v>2997</v>
      </c>
      <c r="AJ143" s="1" t="s">
        <v>2997</v>
      </c>
      <c r="AK143" s="1" t="s">
        <v>2997</v>
      </c>
      <c r="AL143" s="2" t="s">
        <v>3029</v>
      </c>
      <c r="AM143" s="1" t="s">
        <v>3021</v>
      </c>
      <c r="AN143" s="1" t="s">
        <v>3030</v>
      </c>
      <c r="AO143" s="1" t="s">
        <v>3031</v>
      </c>
      <c r="AP143" s="2" t="s">
        <v>3032</v>
      </c>
    </row>
    <row r="144" customFormat="false" ht="16.5" hidden="false" customHeight="true" outlineLevel="0" collapsed="false">
      <c r="A144" s="1" t="s">
        <v>3033</v>
      </c>
      <c r="B144" s="1" t="s">
        <v>3034</v>
      </c>
      <c r="C144" s="2" t="s">
        <v>3035</v>
      </c>
      <c r="D144" s="1" t="s">
        <v>3036</v>
      </c>
      <c r="E144" s="1" t="s">
        <v>3037</v>
      </c>
      <c r="F144" s="1" t="s">
        <v>3038</v>
      </c>
      <c r="G144" s="1" t="s">
        <v>3039</v>
      </c>
      <c r="H144" s="1" t="s">
        <v>3040</v>
      </c>
      <c r="I144" s="1" t="s">
        <v>3033</v>
      </c>
      <c r="J144" s="1" t="s">
        <v>3041</v>
      </c>
      <c r="K144" s="1" t="s">
        <v>3042</v>
      </c>
      <c r="L144" s="1" t="s">
        <v>3043</v>
      </c>
      <c r="M144" s="1" t="s">
        <v>3044</v>
      </c>
      <c r="N144" s="1" t="s">
        <v>3045</v>
      </c>
      <c r="O144" s="1" t="s">
        <v>3046</v>
      </c>
      <c r="P144" s="1" t="s">
        <v>3047</v>
      </c>
      <c r="Q144" s="1" t="s">
        <v>3048</v>
      </c>
      <c r="R144" s="1" t="s">
        <v>3049</v>
      </c>
      <c r="S144" s="2" t="s">
        <v>3050</v>
      </c>
      <c r="T144" s="1" t="s">
        <v>3051</v>
      </c>
      <c r="U144" s="1" t="s">
        <v>3052</v>
      </c>
      <c r="V144" s="1" t="s">
        <v>3053</v>
      </c>
      <c r="W144" s="1" t="s">
        <v>3054</v>
      </c>
      <c r="X144" s="1" t="s">
        <v>3055</v>
      </c>
      <c r="Y144" s="1" t="s">
        <v>3056</v>
      </c>
      <c r="Z144" s="1" t="s">
        <v>3057</v>
      </c>
      <c r="AA144" s="1" t="s">
        <v>3058</v>
      </c>
      <c r="AB144" s="1" t="s">
        <v>3059</v>
      </c>
      <c r="AC144" s="2" t="s">
        <v>3060</v>
      </c>
      <c r="AD144" s="1" t="s">
        <v>3061</v>
      </c>
      <c r="AE144" s="1" t="s">
        <v>3062</v>
      </c>
      <c r="AF144" s="1" t="s">
        <v>3063</v>
      </c>
      <c r="AG144" s="1" t="s">
        <v>3064</v>
      </c>
      <c r="AH144" s="1" t="s">
        <v>3065</v>
      </c>
      <c r="AI144" s="1" t="s">
        <v>3066</v>
      </c>
      <c r="AJ144" s="1" t="s">
        <v>3067</v>
      </c>
      <c r="AK144" s="1" t="s">
        <v>3068</v>
      </c>
      <c r="AL144" s="2" t="s">
        <v>3069</v>
      </c>
      <c r="AM144" s="1" t="s">
        <v>3070</v>
      </c>
      <c r="AN144" s="1" t="s">
        <v>3071</v>
      </c>
      <c r="AO144" s="1" t="s">
        <v>3072</v>
      </c>
      <c r="AP144" s="2" t="s">
        <v>3073</v>
      </c>
    </row>
    <row r="145" customFormat="false" ht="14.25" hidden="false" customHeight="true" outlineLevel="0" collapsed="false">
      <c r="A145" s="4"/>
    </row>
    <row r="146" customFormat="false" ht="14.25" hidden="false" customHeight="true" outlineLevel="0" collapsed="false">
      <c r="A146" s="4"/>
    </row>
    <row r="147" customFormat="false" ht="14.25" hidden="false" customHeight="true" outlineLevel="0" collapsed="false">
      <c r="A147" s="4"/>
    </row>
    <row r="148" customFormat="false" ht="14.25" hidden="false" customHeight="true" outlineLevel="0" collapsed="false">
      <c r="A148" s="4"/>
    </row>
    <row r="149" customFormat="false" ht="14.25" hidden="false" customHeight="true" outlineLevel="0" collapsed="false">
      <c r="A149" s="4"/>
    </row>
    <row r="150" customFormat="false" ht="14.25" hidden="false" customHeight="true" outlineLevel="0" collapsed="false">
      <c r="A150" s="4"/>
    </row>
    <row r="151" customFormat="false" ht="14.25" hidden="false" customHeight="true" outlineLevel="0" collapsed="false">
      <c r="A151" s="4"/>
    </row>
    <row r="152" customFormat="false" ht="14.25" hidden="false" customHeight="true" outlineLevel="0" collapsed="false">
      <c r="A152" s="4"/>
    </row>
    <row r="153" customFormat="false" ht="14.25" hidden="false" customHeight="true" outlineLevel="0" collapsed="false">
      <c r="A153" s="4"/>
    </row>
    <row r="154" customFormat="false" ht="14.25" hidden="false" customHeight="true" outlineLevel="0" collapsed="false">
      <c r="A154" s="4"/>
    </row>
    <row r="155" customFormat="false" ht="14.25" hidden="false" customHeight="true" outlineLevel="0" collapsed="false">
      <c r="A155" s="4"/>
    </row>
    <row r="156" customFormat="false" ht="14.25" hidden="false" customHeight="true" outlineLevel="0" collapsed="false">
      <c r="A156" s="4"/>
    </row>
    <row r="157" customFormat="false" ht="14.25" hidden="false" customHeight="true" outlineLevel="0" collapsed="false">
      <c r="A157" s="1" t="s">
        <v>3074</v>
      </c>
      <c r="B157" s="1" t="s">
        <v>3075</v>
      </c>
      <c r="C157" s="1" t="s">
        <v>3076</v>
      </c>
      <c r="D157" s="1" t="s">
        <v>3077</v>
      </c>
      <c r="E157" s="1" t="s">
        <v>3078</v>
      </c>
      <c r="F157" s="1" t="s">
        <v>3079</v>
      </c>
      <c r="G157" s="1" t="s">
        <v>3080</v>
      </c>
      <c r="H157" s="1" t="s">
        <v>3081</v>
      </c>
      <c r="I157" s="1" t="s">
        <v>3082</v>
      </c>
      <c r="J157" s="1" t="s">
        <v>3083</v>
      </c>
      <c r="K157" s="1" t="s">
        <v>3084</v>
      </c>
      <c r="L157" s="1" t="s">
        <v>3085</v>
      </c>
      <c r="M157" s="1" t="s">
        <v>3086</v>
      </c>
      <c r="N157" s="1" t="s">
        <v>3087</v>
      </c>
      <c r="O157" s="1" t="s">
        <v>3087</v>
      </c>
      <c r="P157" s="1" t="s">
        <v>3088</v>
      </c>
      <c r="Q157" s="1" t="s">
        <v>3089</v>
      </c>
      <c r="R157" s="1" t="s">
        <v>3090</v>
      </c>
      <c r="S157" s="1" t="s">
        <v>3091</v>
      </c>
      <c r="T157" s="1" t="s">
        <v>3092</v>
      </c>
      <c r="U157" s="1" t="s">
        <v>3093</v>
      </c>
      <c r="V157" s="1" t="s">
        <v>3094</v>
      </c>
      <c r="W157" s="1" t="s">
        <v>3095</v>
      </c>
      <c r="X157" s="1" t="s">
        <v>3096</v>
      </c>
      <c r="Y157" s="1" t="s">
        <v>3097</v>
      </c>
      <c r="Z157" s="1" t="s">
        <v>3098</v>
      </c>
      <c r="AA157" s="1" t="s">
        <v>3099</v>
      </c>
      <c r="AB157" s="1" t="s">
        <v>3100</v>
      </c>
      <c r="AC157" s="1" t="s">
        <v>3101</v>
      </c>
      <c r="AD157" s="1" t="s">
        <v>3102</v>
      </c>
      <c r="AE157" s="1" t="s">
        <v>3103</v>
      </c>
      <c r="AF157" s="1" t="s">
        <v>3104</v>
      </c>
      <c r="AG157" s="1" t="s">
        <v>3105</v>
      </c>
      <c r="AH157" s="1" t="s">
        <v>3106</v>
      </c>
      <c r="AI157" s="1" t="s">
        <v>3107</v>
      </c>
      <c r="AJ157" s="1" t="s">
        <v>3108</v>
      </c>
      <c r="AK157" s="1" t="s">
        <v>3109</v>
      </c>
      <c r="AL157" s="1" t="s">
        <v>3110</v>
      </c>
      <c r="AM157" s="1" t="s">
        <v>3111</v>
      </c>
      <c r="AN157" s="1" t="s">
        <v>3112</v>
      </c>
      <c r="AO157" s="1" t="s">
        <v>3113</v>
      </c>
      <c r="AP157" s="1" t="s">
        <v>3114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Gothic,Regular"&amp;1  •• PROTECTED 関係者外秘#_x005F_x000d_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09375" defaultRowHeight="14.25" zeroHeight="false" outlineLevelRow="0" outlineLevelCol="0"/>
  <cols>
    <col collapsed="false" customWidth="true" hidden="false" outlineLevel="0" max="1" min="1" style="5" width="1.11"/>
    <col collapsed="false" customWidth="true" hidden="false" outlineLevel="0" max="2" min="2" style="5" width="18.88"/>
    <col collapsed="false" customWidth="true" hidden="false" outlineLevel="0" max="3" min="3" style="5" width="20.33"/>
    <col collapsed="false" customWidth="false" hidden="false" outlineLevel="0" max="4" min="4" style="5" width="9.11"/>
    <col collapsed="false" customWidth="true" hidden="false" outlineLevel="0" max="5" min="5" style="5" width="1.11"/>
    <col collapsed="false" customWidth="false" hidden="false" outlineLevel="0" max="6" min="6" style="5" width="9.11"/>
    <col collapsed="false" customWidth="true" hidden="false" outlineLevel="0" max="7" min="7" style="5" width="27.56"/>
    <col collapsed="false" customWidth="true" hidden="false" outlineLevel="0" max="8" min="8" style="5" width="2.67"/>
    <col collapsed="false" customWidth="true" hidden="false" outlineLevel="0" max="9" min="9" style="5" width="1.11"/>
    <col collapsed="false" customWidth="false" hidden="false" outlineLevel="0" max="16384" min="10" style="5" width="9.11"/>
  </cols>
  <sheetData>
    <row r="1" customFormat="false" ht="7.5" hidden="false" customHeight="true" outlineLevel="0" collapsed="false"/>
    <row r="2" customFormat="false" ht="15.75" hidden="false" customHeight="true" outlineLevel="0" collapsed="false">
      <c r="B2" s="6" t="s">
        <v>3115</v>
      </c>
      <c r="C2" s="7"/>
      <c r="D2" s="8"/>
      <c r="F2" s="6" t="s">
        <v>3116</v>
      </c>
      <c r="G2" s="7"/>
      <c r="H2" s="8"/>
    </row>
    <row r="3" customFormat="false" ht="9" hidden="false" customHeight="true" outlineLevel="0" collapsed="false">
      <c r="B3" s="9"/>
      <c r="C3" s="10"/>
      <c r="D3" s="11"/>
      <c r="F3" s="9"/>
      <c r="G3" s="10"/>
      <c r="H3" s="11"/>
    </row>
    <row r="4" customFormat="false" ht="14.25" hidden="false" customHeight="true" outlineLevel="0" collapsed="false">
      <c r="B4" s="12" t="s">
        <v>3117</v>
      </c>
      <c r="C4" s="13" t="s">
        <v>0</v>
      </c>
      <c r="D4" s="11"/>
      <c r="F4" s="9"/>
      <c r="G4" s="14"/>
      <c r="H4" s="11"/>
    </row>
    <row r="5" customFormat="false" ht="14.25" hidden="false" customHeight="true" outlineLevel="0" collapsed="false">
      <c r="B5" s="9"/>
      <c r="C5" s="10"/>
      <c r="D5" s="11"/>
      <c r="F5" s="15" t="s">
        <v>3118</v>
      </c>
      <c r="G5" s="16" t="s">
        <v>3119</v>
      </c>
      <c r="H5" s="11"/>
    </row>
    <row r="6" customFormat="false" ht="14.25" hidden="false" customHeight="true" outlineLevel="0" collapsed="false">
      <c r="B6" s="12" t="s">
        <v>3120</v>
      </c>
      <c r="C6" s="13" t="s">
        <v>3121</v>
      </c>
      <c r="D6" s="11"/>
      <c r="F6" s="15" t="s">
        <v>3122</v>
      </c>
      <c r="G6" s="17" t="s">
        <v>3123</v>
      </c>
      <c r="H6" s="11"/>
    </row>
    <row r="7" customFormat="false" ht="14.25" hidden="false" customHeight="true" outlineLevel="0" collapsed="false">
      <c r="B7" s="12"/>
      <c r="C7" s="10"/>
      <c r="D7" s="11"/>
      <c r="F7" s="15" t="s">
        <v>3124</v>
      </c>
      <c r="G7" s="17" t="s">
        <v>3125</v>
      </c>
      <c r="H7" s="11"/>
      <c r="AA7" s="5" t="e">
        <f aca="false" t="array" ref="AA7:AA7">IF(OR(E7=settings!i15my_team,H7=my_team),1,0)</f>
        <v>#NAME?</v>
      </c>
    </row>
    <row r="8" customFormat="false" ht="15" hidden="false" customHeight="true" outlineLevel="0" collapsed="false">
      <c r="B8" s="12" t="s">
        <v>3126</v>
      </c>
      <c r="C8" s="13" t="s">
        <v>3127</v>
      </c>
      <c r="D8" s="11"/>
      <c r="F8" s="15" t="s">
        <v>3128</v>
      </c>
      <c r="G8" s="17" t="s">
        <v>3129</v>
      </c>
      <c r="H8" s="11"/>
    </row>
    <row r="9" customFormat="false" ht="14.25" hidden="false" customHeight="true" outlineLevel="0" collapsed="false">
      <c r="B9" s="12"/>
      <c r="C9" s="10"/>
      <c r="D9" s="11"/>
      <c r="F9" s="15" t="s">
        <v>3130</v>
      </c>
      <c r="G9" s="18" t="s">
        <v>3131</v>
      </c>
      <c r="H9" s="11"/>
    </row>
    <row r="10" customFormat="false" ht="15" hidden="false" customHeight="true" outlineLevel="0" collapsed="false">
      <c r="B10" s="12" t="s">
        <v>3132</v>
      </c>
      <c r="C10" s="13" t="s">
        <v>3133</v>
      </c>
      <c r="D10" s="11"/>
      <c r="F10" s="9"/>
      <c r="G10" s="19"/>
      <c r="H10" s="11"/>
    </row>
    <row r="11" customFormat="false" ht="9" hidden="false" customHeight="true" outlineLevel="0" collapsed="false">
      <c r="B11" s="12"/>
      <c r="C11" s="10"/>
      <c r="D11" s="11"/>
      <c r="F11" s="20"/>
      <c r="G11" s="21"/>
      <c r="H11" s="22"/>
    </row>
    <row r="12" customFormat="false" ht="15" hidden="false" customHeight="true" outlineLevel="0" collapsed="false">
      <c r="B12" s="12" t="s">
        <v>3134</v>
      </c>
      <c r="C12" s="13"/>
      <c r="D12" s="11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</row>
    <row r="13" customFormat="false" ht="9" hidden="false" customHeight="true" outlineLevel="0" collapsed="false">
      <c r="B13" s="12"/>
      <c r="C13" s="10"/>
      <c r="D13" s="11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</row>
    <row r="14" customFormat="false" ht="15" hidden="false" customHeight="true" outlineLevel="0" collapsed="false">
      <c r="B14" s="12" t="s">
        <v>3135</v>
      </c>
      <c r="C14" s="13" t="s">
        <v>3136</v>
      </c>
      <c r="D14" s="11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</row>
    <row r="15" customFormat="false" ht="9" hidden="false" customHeight="true" outlineLevel="0" collapsed="false">
      <c r="B15" s="20"/>
      <c r="C15" s="21"/>
      <c r="D15" s="22"/>
      <c r="F15" s="23" t="s">
        <v>3137</v>
      </c>
      <c r="G15" s="23" t="n">
        <f aca="false">IF(ISERROR(MATCH(C4,lang_list,0)),1,MATCH(C4,lang_list,0))</f>
        <v>1</v>
      </c>
      <c r="H15" s="23"/>
      <c r="I15" s="23" t="str">
        <f aca="false">IFERROR(VLOOKUP(C12,T,lang,FALSE()),"")</f>
        <v/>
      </c>
      <c r="J15" s="23"/>
      <c r="K15" s="24"/>
      <c r="L15" s="24"/>
      <c r="M15" s="24"/>
      <c r="N15" s="24"/>
      <c r="O15" s="24"/>
      <c r="P15" s="24"/>
      <c r="Q15" s="24"/>
    </row>
    <row r="16" customFormat="false" ht="14.25" hidden="false" customHeight="true" outlineLevel="0" collapsed="false">
      <c r="F16" s="23" t="s">
        <v>3138</v>
      </c>
      <c r="G16" s="23" t="n">
        <f aca="false">TIME(VLOOKUP(C8,F18:G42,2,FALSE()),VLOOKUP(C10,F44:G47,2,FALSE()),0)+IF(C6="Yes",TIME(1,0,0),0)</f>
        <v>0.541666666666667</v>
      </c>
      <c r="H16" s="23"/>
      <c r="I16" s="23"/>
      <c r="J16" s="23"/>
      <c r="K16" s="24"/>
      <c r="L16" s="24"/>
      <c r="M16" s="24"/>
      <c r="N16" s="24"/>
      <c r="O16" s="24"/>
      <c r="P16" s="24"/>
      <c r="Q16" s="24"/>
    </row>
    <row r="17" customFormat="false" ht="14.25" hidden="false" customHeight="true" outlineLevel="0" collapsed="false">
      <c r="B17" s="25"/>
      <c r="C17" s="26"/>
      <c r="D17" s="27"/>
      <c r="F17" s="23"/>
      <c r="G17" s="23"/>
      <c r="H17" s="23"/>
      <c r="I17" s="23" t="s">
        <v>2426</v>
      </c>
      <c r="J17" s="23"/>
      <c r="K17" s="24"/>
      <c r="L17" s="24"/>
      <c r="M17" s="24"/>
      <c r="N17" s="24"/>
      <c r="O17" s="24"/>
      <c r="P17" s="24"/>
      <c r="Q17" s="24"/>
    </row>
    <row r="18" customFormat="false" ht="15" hidden="false" customHeight="true" outlineLevel="0" collapsed="false">
      <c r="B18" s="9"/>
      <c r="C18" s="28" t="s">
        <v>3131</v>
      </c>
      <c r="D18" s="11"/>
      <c r="F18" s="23" t="s">
        <v>3139</v>
      </c>
      <c r="G18" s="23" t="n">
        <v>0</v>
      </c>
      <c r="H18" s="23"/>
      <c r="I18" s="23" t="s">
        <v>1264</v>
      </c>
      <c r="J18" s="23"/>
      <c r="K18" s="24"/>
      <c r="L18" s="24"/>
      <c r="M18" s="24"/>
      <c r="N18" s="24"/>
      <c r="O18" s="24"/>
      <c r="P18" s="24"/>
      <c r="Q18" s="24"/>
    </row>
    <row r="19" customFormat="false" ht="14.25" hidden="false" customHeight="true" outlineLevel="0" collapsed="false">
      <c r="B19" s="29" t="str">
        <f aca="false">VLOOKUP("France",T,lang,FALSE())</f>
        <v>France</v>
      </c>
      <c r="C19" s="30" t="n">
        <v>1877.32</v>
      </c>
      <c r="D19" s="11"/>
      <c r="F19" s="23" t="s">
        <v>3140</v>
      </c>
      <c r="G19" s="23" t="n">
        <v>1</v>
      </c>
      <c r="H19" s="23"/>
      <c r="I19" s="23" t="s">
        <v>1419</v>
      </c>
      <c r="J19" s="23"/>
      <c r="K19" s="24"/>
      <c r="L19" s="24"/>
      <c r="M19" s="24"/>
      <c r="N19" s="24"/>
      <c r="O19" s="24"/>
      <c r="P19" s="24"/>
      <c r="Q19" s="24"/>
    </row>
    <row r="20" customFormat="false" ht="14.25" hidden="false" customHeight="true" outlineLevel="0" collapsed="false">
      <c r="B20" s="29" t="str">
        <f aca="false">VLOOKUP("Spain",T,lang,FALSE())</f>
        <v>Spain</v>
      </c>
      <c r="C20" s="31" t="n">
        <v>1876.4</v>
      </c>
      <c r="D20" s="11"/>
      <c r="F20" s="23" t="s">
        <v>3141</v>
      </c>
      <c r="G20" s="23" t="n">
        <v>2</v>
      </c>
      <c r="H20" s="23"/>
      <c r="I20" s="23" t="s">
        <v>2458</v>
      </c>
      <c r="J20" s="23"/>
      <c r="K20" s="24"/>
      <c r="L20" s="24"/>
      <c r="M20" s="24"/>
      <c r="N20" s="24"/>
      <c r="O20" s="24"/>
      <c r="P20" s="24"/>
      <c r="Q20" s="24"/>
    </row>
    <row r="21" customFormat="false" ht="14.25" hidden="false" customHeight="true" outlineLevel="0" collapsed="false">
      <c r="B21" s="29" t="str">
        <f aca="false">VLOOKUP("Argentina",T,lang,FALSE())</f>
        <v>Argentina</v>
      </c>
      <c r="C21" s="31" t="n">
        <v>1874.82</v>
      </c>
      <c r="D21" s="11"/>
      <c r="F21" s="23" t="s">
        <v>3142</v>
      </c>
      <c r="G21" s="23" t="n">
        <v>3</v>
      </c>
      <c r="H21" s="23"/>
      <c r="I21" s="23" t="s">
        <v>1633</v>
      </c>
      <c r="J21" s="23"/>
      <c r="K21" s="24"/>
      <c r="L21" s="24"/>
      <c r="M21" s="24"/>
      <c r="N21" s="24"/>
      <c r="O21" s="24"/>
      <c r="P21" s="24"/>
      <c r="Q21" s="24"/>
    </row>
    <row r="22" customFormat="false" ht="14.25" hidden="false" customHeight="true" outlineLevel="0" collapsed="false">
      <c r="B22" s="29" t="str">
        <f aca="false">VLOOKUP("England",T,lang,FALSE())</f>
        <v>England</v>
      </c>
      <c r="C22" s="31" t="n">
        <v>1825.97</v>
      </c>
      <c r="D22" s="11"/>
      <c r="F22" s="23" t="s">
        <v>3143</v>
      </c>
      <c r="G22" s="23" t="n">
        <v>4</v>
      </c>
      <c r="H22" s="23"/>
      <c r="I22" s="23" t="s">
        <v>1995</v>
      </c>
      <c r="J22" s="23"/>
      <c r="K22" s="24"/>
      <c r="L22" s="24"/>
      <c r="M22" s="24"/>
      <c r="N22" s="24"/>
      <c r="O22" s="24"/>
      <c r="P22" s="24"/>
      <c r="Q22" s="24"/>
    </row>
    <row r="23" customFormat="false" ht="14.25" hidden="false" customHeight="true" outlineLevel="0" collapsed="false">
      <c r="B23" s="29" t="str">
        <f aca="false">VLOOKUP("Portugal",T,lang,FALSE())</f>
        <v>Portugal</v>
      </c>
      <c r="C23" s="31" t="n">
        <v>1763.83</v>
      </c>
      <c r="D23" s="11"/>
      <c r="F23" s="23" t="s">
        <v>3144</v>
      </c>
      <c r="G23" s="23" t="n">
        <v>5</v>
      </c>
      <c r="H23" s="23"/>
      <c r="I23" s="23" t="s">
        <v>1739</v>
      </c>
      <c r="J23" s="23"/>
      <c r="K23" s="24"/>
      <c r="L23" s="24"/>
      <c r="M23" s="24"/>
      <c r="N23" s="24"/>
      <c r="O23" s="24"/>
      <c r="P23" s="24"/>
      <c r="Q23" s="24"/>
    </row>
    <row r="24" customFormat="false" ht="14.25" hidden="false" customHeight="true" outlineLevel="0" collapsed="false">
      <c r="B24" s="29" t="str">
        <f aca="false">VLOOKUP("Brazil",T,lang,FALSE())</f>
        <v>Brazil</v>
      </c>
      <c r="C24" s="31" t="n">
        <v>1761.16</v>
      </c>
      <c r="D24" s="11"/>
      <c r="F24" s="23" t="s">
        <v>3145</v>
      </c>
      <c r="G24" s="23" t="n">
        <v>6</v>
      </c>
      <c r="H24" s="23"/>
      <c r="I24" s="23" t="s">
        <v>1662</v>
      </c>
      <c r="J24" s="23"/>
      <c r="K24" s="24"/>
      <c r="L24" s="24"/>
      <c r="M24" s="24"/>
      <c r="N24" s="24"/>
      <c r="O24" s="24"/>
      <c r="P24" s="24"/>
      <c r="Q24" s="24"/>
    </row>
    <row r="25" customFormat="false" ht="14.25" hidden="false" customHeight="true" outlineLevel="0" collapsed="false">
      <c r="B25" s="29" t="str">
        <f aca="false">VLOOKUP("Netherlands",T,lang,FALSE())</f>
        <v>Netherlands</v>
      </c>
      <c r="C25" s="31" t="n">
        <v>1757.87</v>
      </c>
      <c r="D25" s="11"/>
      <c r="F25" s="23" t="s">
        <v>3146</v>
      </c>
      <c r="G25" s="23" t="n">
        <v>7</v>
      </c>
      <c r="H25" s="23"/>
      <c r="I25" s="23" t="s">
        <v>2340</v>
      </c>
      <c r="J25" s="23"/>
      <c r="K25" s="24"/>
      <c r="L25" s="24"/>
      <c r="M25" s="24"/>
      <c r="N25" s="24"/>
      <c r="O25" s="24"/>
      <c r="P25" s="24"/>
      <c r="Q25" s="24"/>
    </row>
    <row r="26" customFormat="false" ht="14.25" hidden="false" customHeight="true" outlineLevel="0" collapsed="false">
      <c r="B26" s="29" t="str">
        <f aca="false">VLOOKUP("Morocco",T,lang,FALSE())</f>
        <v>Morocco</v>
      </c>
      <c r="C26" s="31" t="n">
        <v>1755.87</v>
      </c>
      <c r="D26" s="11"/>
      <c r="F26" s="23" t="s">
        <v>3147</v>
      </c>
      <c r="G26" s="23" t="n">
        <v>8</v>
      </c>
      <c r="H26" s="23"/>
      <c r="I26" s="23" t="s">
        <v>2573</v>
      </c>
      <c r="J26" s="23"/>
      <c r="K26" s="24"/>
      <c r="L26" s="24"/>
      <c r="M26" s="24"/>
      <c r="N26" s="24"/>
      <c r="O26" s="24"/>
      <c r="P26" s="24"/>
      <c r="Q26" s="24"/>
    </row>
    <row r="27" customFormat="false" ht="14.25" hidden="false" customHeight="true" outlineLevel="0" collapsed="false">
      <c r="B27" s="29" t="str">
        <f aca="false">VLOOKUP("Belgium",T,lang,FALSE())</f>
        <v>Belgium</v>
      </c>
      <c r="C27" s="31" t="n">
        <v>1734.71</v>
      </c>
      <c r="D27" s="11"/>
      <c r="F27" s="23" t="s">
        <v>3148</v>
      </c>
      <c r="G27" s="23" t="n">
        <v>9</v>
      </c>
      <c r="H27" s="23"/>
      <c r="I27" s="23" t="s">
        <v>1703</v>
      </c>
      <c r="J27" s="23"/>
      <c r="K27" s="24"/>
      <c r="L27" s="24"/>
      <c r="M27" s="24"/>
      <c r="N27" s="24"/>
      <c r="O27" s="24"/>
      <c r="P27" s="24"/>
      <c r="Q27" s="24"/>
    </row>
    <row r="28" customFormat="false" ht="14.25" hidden="false" customHeight="true" outlineLevel="0" collapsed="false">
      <c r="B28" s="29" t="str">
        <f aca="false">VLOOKUP("Germany",T,lang,FALSE())</f>
        <v>Germany</v>
      </c>
      <c r="C28" s="31" t="n">
        <v>1730.37</v>
      </c>
      <c r="D28" s="11"/>
      <c r="F28" s="23" t="s">
        <v>3149</v>
      </c>
      <c r="G28" s="23" t="n">
        <v>10</v>
      </c>
      <c r="H28" s="23"/>
      <c r="I28" s="23" t="s">
        <v>2183</v>
      </c>
      <c r="J28" s="23"/>
      <c r="K28" s="24"/>
      <c r="L28" s="24"/>
      <c r="M28" s="24"/>
      <c r="N28" s="24"/>
      <c r="O28" s="24"/>
      <c r="P28" s="24"/>
      <c r="Q28" s="24"/>
    </row>
    <row r="29" customFormat="false" ht="14.25" hidden="false" customHeight="true" outlineLevel="0" collapsed="false">
      <c r="B29" s="29" t="str">
        <f aca="false">VLOOKUP("Croatia",T,lang,FALSE())</f>
        <v>Croatia</v>
      </c>
      <c r="C29" s="31" t="n">
        <v>1717.07</v>
      </c>
      <c r="D29" s="11"/>
      <c r="F29" s="23" t="s">
        <v>3150</v>
      </c>
      <c r="G29" s="23" t="n">
        <v>11</v>
      </c>
      <c r="H29" s="23"/>
      <c r="I29" s="23" t="s">
        <v>2033</v>
      </c>
      <c r="J29" s="23"/>
      <c r="K29" s="24"/>
      <c r="L29" s="24"/>
      <c r="M29" s="24"/>
      <c r="N29" s="24"/>
      <c r="O29" s="24"/>
      <c r="P29" s="24"/>
      <c r="Q29" s="24"/>
    </row>
    <row r="30" customFormat="false" ht="14.25" hidden="false" customHeight="true" outlineLevel="0" collapsed="false">
      <c r="B30" s="29" t="str">
        <f aca="false">VLOOKUP("Colombia",T,lang,FALSE())</f>
        <v>Colombia</v>
      </c>
      <c r="C30" s="31" t="n">
        <v>1693.09</v>
      </c>
      <c r="D30" s="11"/>
      <c r="F30" s="23" t="s">
        <v>3127</v>
      </c>
      <c r="G30" s="23" t="n">
        <v>12</v>
      </c>
      <c r="H30" s="23"/>
      <c r="I30" s="23" t="s">
        <v>2524</v>
      </c>
      <c r="J30" s="23"/>
      <c r="K30" s="24"/>
      <c r="L30" s="24"/>
      <c r="M30" s="24"/>
      <c r="N30" s="24"/>
      <c r="O30" s="24"/>
      <c r="P30" s="24"/>
      <c r="Q30" s="24"/>
    </row>
    <row r="31" customFormat="false" ht="14.25" hidden="false" customHeight="true" outlineLevel="0" collapsed="false">
      <c r="B31" s="29" t="str">
        <f aca="false">VLOOKUP("Senegal",T,lang,FALSE())</f>
        <v>Senegal</v>
      </c>
      <c r="C31" s="31" t="n">
        <v>1688.99</v>
      </c>
      <c r="D31" s="11"/>
      <c r="F31" s="23" t="s">
        <v>3151</v>
      </c>
      <c r="G31" s="23" t="n">
        <v>13</v>
      </c>
      <c r="H31" s="23"/>
      <c r="I31" s="23" t="s">
        <v>1093</v>
      </c>
      <c r="J31" s="23"/>
      <c r="K31" s="24"/>
      <c r="L31" s="24"/>
      <c r="M31" s="24"/>
      <c r="N31" s="24"/>
      <c r="O31" s="24"/>
      <c r="P31" s="24"/>
      <c r="Q31" s="24"/>
    </row>
    <row r="32" customFormat="false" ht="14.25" hidden="false" customHeight="true" outlineLevel="0" collapsed="false">
      <c r="B32" s="29" t="str">
        <f aca="false">VLOOKUP("Mexico",T,lang,FALSE())</f>
        <v>Mexico</v>
      </c>
      <c r="C32" s="31" t="n">
        <v>1681.03</v>
      </c>
      <c r="D32" s="11"/>
      <c r="F32" s="23" t="s">
        <v>3152</v>
      </c>
      <c r="G32" s="23" t="n">
        <v>14</v>
      </c>
      <c r="H32" s="23"/>
      <c r="I32" s="23" t="s">
        <v>2274</v>
      </c>
      <c r="J32" s="23"/>
      <c r="K32" s="24"/>
      <c r="L32" s="24"/>
      <c r="M32" s="24"/>
      <c r="N32" s="24"/>
      <c r="O32" s="24"/>
      <c r="P32" s="24"/>
      <c r="Q32" s="24"/>
    </row>
    <row r="33" customFormat="false" ht="14.25" hidden="false" customHeight="true" outlineLevel="0" collapsed="false">
      <c r="B33" s="29" t="str">
        <f aca="false">VLOOKUP("United States",T,lang,FALSE())</f>
        <v>United States</v>
      </c>
      <c r="C33" s="31" t="n">
        <v>1673.13</v>
      </c>
      <c r="D33" s="11"/>
      <c r="F33" s="23" t="s">
        <v>3153</v>
      </c>
      <c r="G33" s="23" t="n">
        <v>15</v>
      </c>
      <c r="H33" s="23"/>
      <c r="I33" s="23" t="s">
        <v>1148</v>
      </c>
      <c r="J33" s="23"/>
      <c r="K33" s="24"/>
      <c r="L33" s="24"/>
      <c r="M33" s="24"/>
      <c r="N33" s="24"/>
      <c r="O33" s="24"/>
      <c r="P33" s="24"/>
      <c r="Q33" s="24"/>
    </row>
    <row r="34" customFormat="false" ht="14.25" hidden="false" customHeight="true" outlineLevel="0" collapsed="false">
      <c r="B34" s="29" t="str">
        <f aca="false">VLOOKUP("Uruguay",T,lang,FALSE())</f>
        <v>Uruguay</v>
      </c>
      <c r="C34" s="31" t="n">
        <v>1673.07</v>
      </c>
      <c r="D34" s="11"/>
      <c r="F34" s="23" t="s">
        <v>3154</v>
      </c>
      <c r="G34" s="23" t="n">
        <v>16</v>
      </c>
      <c r="H34" s="23"/>
      <c r="I34" s="23" t="s">
        <v>1384</v>
      </c>
      <c r="J34" s="23"/>
      <c r="K34" s="24"/>
      <c r="L34" s="24"/>
      <c r="M34" s="24"/>
      <c r="N34" s="24"/>
      <c r="O34" s="24"/>
      <c r="P34" s="24"/>
      <c r="Q34" s="24"/>
    </row>
    <row r="35" customFormat="false" ht="14.25" hidden="false" customHeight="true" outlineLevel="0" collapsed="false">
      <c r="B35" s="29" t="str">
        <f aca="false">VLOOKUP("Japan",T,lang,FALSE())</f>
        <v>Japan</v>
      </c>
      <c r="C35" s="31" t="n">
        <v>1660.43</v>
      </c>
      <c r="D35" s="11"/>
      <c r="F35" s="23" t="s">
        <v>3155</v>
      </c>
      <c r="G35" s="23" t="n">
        <v>17</v>
      </c>
      <c r="H35" s="23"/>
      <c r="I35" s="23" t="s">
        <v>1565</v>
      </c>
      <c r="J35" s="23"/>
      <c r="K35" s="24"/>
      <c r="L35" s="24"/>
      <c r="M35" s="24"/>
      <c r="N35" s="24"/>
      <c r="O35" s="24"/>
      <c r="P35" s="24"/>
      <c r="Q35" s="24"/>
    </row>
    <row r="36" customFormat="false" ht="14.25" hidden="false" customHeight="true" outlineLevel="0" collapsed="false">
      <c r="B36" s="29" t="str">
        <f aca="false">VLOOKUP("Switzerland",T,lang,FALSE())</f>
        <v>Switzerland</v>
      </c>
      <c r="C36" s="31" t="n">
        <v>1649.4</v>
      </c>
      <c r="D36" s="11"/>
      <c r="F36" s="23" t="s">
        <v>3156</v>
      </c>
      <c r="G36" s="23" t="n">
        <v>18</v>
      </c>
      <c r="H36" s="23"/>
      <c r="I36" s="23" t="s">
        <v>1883</v>
      </c>
      <c r="J36" s="23"/>
      <c r="K36" s="24"/>
      <c r="L36" s="24"/>
      <c r="M36" s="24"/>
      <c r="N36" s="24"/>
      <c r="O36" s="24"/>
      <c r="P36" s="24"/>
      <c r="Q36" s="24"/>
    </row>
    <row r="37" customFormat="false" ht="14.25" hidden="false" customHeight="true" outlineLevel="0" collapsed="false">
      <c r="B37" s="29" t="str">
        <f aca="false">VLOOKUP("Iran",T,lang,FALSE())</f>
        <v>Iran</v>
      </c>
      <c r="C37" s="31" t="n">
        <v>1615.3</v>
      </c>
      <c r="D37" s="11"/>
      <c r="F37" s="23" t="s">
        <v>3157</v>
      </c>
      <c r="G37" s="23" t="n">
        <v>19</v>
      </c>
      <c r="H37" s="23"/>
      <c r="I37" s="23" t="s">
        <v>2072</v>
      </c>
      <c r="J37" s="23"/>
      <c r="K37" s="24"/>
      <c r="L37" s="24"/>
      <c r="M37" s="24"/>
      <c r="N37" s="24"/>
      <c r="O37" s="24"/>
      <c r="P37" s="24"/>
      <c r="Q37" s="24"/>
    </row>
    <row r="38" customFormat="false" ht="14.25" hidden="false" customHeight="true" outlineLevel="0" collapsed="false">
      <c r="B38" s="29" t="str">
        <f aca="false">VLOOKUP("Turkey",T,lang,FALSE())</f>
        <v>Turkey</v>
      </c>
      <c r="C38" s="31" t="n">
        <v>1599.04</v>
      </c>
      <c r="D38" s="11"/>
      <c r="F38" s="23" t="s">
        <v>3158</v>
      </c>
      <c r="G38" s="23" t="n">
        <v>20</v>
      </c>
      <c r="H38" s="23"/>
      <c r="I38" s="23" t="s">
        <v>1180</v>
      </c>
      <c r="J38" s="23"/>
      <c r="K38" s="24"/>
      <c r="L38" s="24"/>
      <c r="M38" s="24"/>
      <c r="N38" s="24"/>
      <c r="O38" s="24"/>
      <c r="P38" s="24"/>
      <c r="Q38" s="24"/>
    </row>
    <row r="39" customFormat="false" ht="14.25" hidden="false" customHeight="true" outlineLevel="0" collapsed="false">
      <c r="B39" s="29" t="str">
        <f aca="false">VLOOKUP("Ecuador",T,lang,FALSE())</f>
        <v>Ecuador</v>
      </c>
      <c r="C39" s="31" t="n">
        <v>1594.78</v>
      </c>
      <c r="D39" s="11"/>
      <c r="F39" s="23" t="s">
        <v>3159</v>
      </c>
      <c r="G39" s="23" t="n">
        <v>21</v>
      </c>
      <c r="H39" s="23"/>
      <c r="I39" s="23" t="s">
        <v>2375</v>
      </c>
      <c r="J39" s="23"/>
      <c r="K39" s="24"/>
      <c r="L39" s="24"/>
      <c r="M39" s="24"/>
      <c r="N39" s="24"/>
      <c r="O39" s="24"/>
      <c r="P39" s="24"/>
      <c r="Q39" s="24"/>
    </row>
    <row r="40" customFormat="false" ht="14.25" hidden="false" customHeight="true" outlineLevel="0" collapsed="false">
      <c r="B40" s="29" t="str">
        <f aca="false">VLOOKUP("Austria",T,lang,FALSE())</f>
        <v>Austria</v>
      </c>
      <c r="C40" s="31" t="n">
        <v>1593.45</v>
      </c>
      <c r="D40" s="11"/>
      <c r="F40" s="23" t="s">
        <v>3160</v>
      </c>
      <c r="G40" s="23" t="n">
        <v>22</v>
      </c>
      <c r="H40" s="23"/>
      <c r="I40" s="23" t="s">
        <v>2201</v>
      </c>
      <c r="J40" s="23"/>
      <c r="K40" s="24"/>
      <c r="L40" s="24"/>
      <c r="M40" s="24"/>
      <c r="N40" s="24"/>
      <c r="O40" s="24"/>
      <c r="P40" s="24"/>
      <c r="Q40" s="24"/>
    </row>
    <row r="41" customFormat="false" ht="14.25" hidden="false" customHeight="true" outlineLevel="0" collapsed="false">
      <c r="B41" s="29" t="str">
        <f aca="false">VLOOKUP("Korea Republic",T,lang,FALSE())</f>
        <v>Korea Republic</v>
      </c>
      <c r="C41" s="31" t="n">
        <v>1588.66</v>
      </c>
      <c r="D41" s="11"/>
      <c r="F41" s="23" t="s">
        <v>3161</v>
      </c>
      <c r="G41" s="23" t="n">
        <v>23</v>
      </c>
      <c r="H41" s="23"/>
      <c r="I41" s="23" t="s">
        <v>1604</v>
      </c>
      <c r="J41" s="23"/>
      <c r="K41" s="24"/>
      <c r="L41" s="24"/>
      <c r="M41" s="24"/>
      <c r="N41" s="24"/>
      <c r="O41" s="24"/>
      <c r="P41" s="24"/>
      <c r="Q41" s="24"/>
    </row>
    <row r="42" customFormat="false" ht="14.25" hidden="false" customHeight="true" outlineLevel="0" collapsed="false">
      <c r="B42" s="29" t="str">
        <f aca="false">VLOOKUP("Australia",T,lang,FALSE())</f>
        <v>Australia</v>
      </c>
      <c r="C42" s="31" t="n">
        <v>1580.67</v>
      </c>
      <c r="D42" s="11"/>
      <c r="F42" s="23" t="s">
        <v>3162</v>
      </c>
      <c r="G42" s="23" t="n">
        <v>24</v>
      </c>
      <c r="H42" s="23"/>
      <c r="I42" s="23" t="s">
        <v>2493</v>
      </c>
      <c r="J42" s="23"/>
      <c r="K42" s="24"/>
      <c r="L42" s="24"/>
      <c r="M42" s="24"/>
      <c r="N42" s="24"/>
      <c r="O42" s="24"/>
      <c r="P42" s="24"/>
      <c r="Q42" s="24"/>
    </row>
    <row r="43" customFormat="false" ht="14.25" hidden="false" customHeight="true" outlineLevel="0" collapsed="false">
      <c r="B43" s="29" t="str">
        <f aca="false">VLOOKUP("Algeria",T,lang,FALSE())</f>
        <v>Algeria</v>
      </c>
      <c r="C43" s="31" t="n">
        <v>1564.26</v>
      </c>
      <c r="D43" s="11"/>
      <c r="F43" s="23"/>
      <c r="G43" s="23"/>
      <c r="H43" s="23"/>
      <c r="I43" s="23" t="s">
        <v>1920</v>
      </c>
      <c r="J43" s="23"/>
      <c r="K43" s="24"/>
      <c r="L43" s="24"/>
      <c r="M43" s="24"/>
      <c r="N43" s="24"/>
      <c r="O43" s="24"/>
      <c r="P43" s="24"/>
      <c r="Q43" s="24"/>
    </row>
    <row r="44" customFormat="false" ht="14.25" hidden="false" customHeight="true" outlineLevel="0" collapsed="false">
      <c r="B44" s="29" t="str">
        <f aca="false">VLOOKUP("Egypt",T,lang,FALSE())</f>
        <v>Egypt</v>
      </c>
      <c r="C44" s="31" t="n">
        <v>1563.24</v>
      </c>
      <c r="D44" s="11"/>
      <c r="F44" s="23" t="s">
        <v>3133</v>
      </c>
      <c r="G44" s="23" t="n">
        <v>0</v>
      </c>
      <c r="H44" s="23"/>
      <c r="I44" s="23" t="s">
        <v>1323</v>
      </c>
      <c r="J44" s="23"/>
      <c r="K44" s="24"/>
      <c r="L44" s="24"/>
      <c r="M44" s="24"/>
      <c r="N44" s="24"/>
      <c r="O44" s="24"/>
      <c r="P44" s="24"/>
      <c r="Q44" s="24"/>
    </row>
    <row r="45" customFormat="false" ht="14.25" hidden="false" customHeight="true" outlineLevel="0" collapsed="false">
      <c r="B45" s="29" t="str">
        <f aca="false">VLOOKUP("Canada",T,lang,FALSE())</f>
        <v>Canada</v>
      </c>
      <c r="C45" s="31" t="n">
        <v>1556.48</v>
      </c>
      <c r="D45" s="11"/>
      <c r="F45" s="23" t="s">
        <v>3163</v>
      </c>
      <c r="G45" s="23" t="n">
        <v>15</v>
      </c>
      <c r="H45" s="23"/>
      <c r="I45" s="23" t="s">
        <v>1677</v>
      </c>
      <c r="J45" s="23"/>
      <c r="K45" s="24"/>
      <c r="L45" s="24"/>
      <c r="M45" s="24"/>
      <c r="N45" s="24"/>
      <c r="O45" s="24"/>
      <c r="P45" s="24"/>
      <c r="Q45" s="24"/>
    </row>
    <row r="46" customFormat="false" ht="14.25" hidden="false" customHeight="true" outlineLevel="0" collapsed="false">
      <c r="B46" s="29" t="str">
        <f aca="false">VLOOKUP("Norway",T,lang,FALSE())</f>
        <v>Norway</v>
      </c>
      <c r="C46" s="31" t="n">
        <v>1550.94</v>
      </c>
      <c r="D46" s="11"/>
      <c r="F46" s="23" t="s">
        <v>3164</v>
      </c>
      <c r="G46" s="23" t="n">
        <v>30</v>
      </c>
      <c r="H46" s="23"/>
      <c r="I46" s="23" t="s">
        <v>1113</v>
      </c>
      <c r="J46" s="23"/>
      <c r="K46" s="24"/>
      <c r="L46" s="24"/>
      <c r="M46" s="24"/>
      <c r="N46" s="24"/>
      <c r="O46" s="24"/>
      <c r="P46" s="24"/>
      <c r="Q46" s="24"/>
    </row>
    <row r="47" customFormat="false" ht="14.25" hidden="false" customHeight="true" outlineLevel="0" collapsed="false">
      <c r="B47" s="29" t="str">
        <f aca="false">VLOOKUP("Panama",T,lang,FALSE())</f>
        <v>Panama</v>
      </c>
      <c r="C47" s="31" t="n">
        <v>1540.64</v>
      </c>
      <c r="D47" s="11"/>
      <c r="F47" s="23" t="s">
        <v>3165</v>
      </c>
      <c r="G47" s="23" t="n">
        <v>45</v>
      </c>
      <c r="H47" s="23"/>
      <c r="I47" s="23" t="s">
        <v>2304</v>
      </c>
      <c r="J47" s="23"/>
      <c r="K47" s="24"/>
      <c r="L47" s="24"/>
      <c r="M47" s="24"/>
      <c r="N47" s="24"/>
      <c r="O47" s="24"/>
      <c r="P47" s="24"/>
      <c r="Q47" s="24"/>
    </row>
    <row r="48" customFormat="false" ht="14.25" hidden="false" customHeight="true" outlineLevel="0" collapsed="false">
      <c r="B48" s="29" t="str">
        <f aca="false">VLOOKUP("Ivory Coast",T,lang,FALSE())</f>
        <v>Ivory Coast</v>
      </c>
      <c r="C48" s="31" t="n">
        <v>1532.98</v>
      </c>
      <c r="D48" s="11"/>
      <c r="F48" s="23"/>
      <c r="G48" s="23"/>
      <c r="H48" s="23"/>
      <c r="I48" s="23" t="s">
        <v>2395</v>
      </c>
      <c r="J48" s="23"/>
      <c r="K48" s="24"/>
      <c r="L48" s="24"/>
      <c r="M48" s="24"/>
      <c r="N48" s="24"/>
      <c r="O48" s="24"/>
      <c r="P48" s="24"/>
      <c r="Q48" s="24"/>
    </row>
    <row r="49" customFormat="false" ht="14.25" hidden="false" customHeight="true" outlineLevel="0" collapsed="false">
      <c r="B49" s="29" t="str">
        <f aca="false">VLOOKUP("Sweden",T,lang,FALSE())</f>
        <v>Sweden</v>
      </c>
      <c r="C49" s="31" t="n">
        <v>1514.77</v>
      </c>
      <c r="D49" s="11"/>
      <c r="F49" s="23"/>
      <c r="G49" s="23"/>
      <c r="H49" s="23"/>
      <c r="I49" s="23" t="s">
        <v>2600</v>
      </c>
      <c r="J49" s="23"/>
      <c r="K49" s="24"/>
      <c r="L49" s="24"/>
      <c r="M49" s="24"/>
      <c r="N49" s="24"/>
      <c r="O49" s="24"/>
      <c r="P49" s="24"/>
      <c r="Q49" s="24"/>
    </row>
    <row r="50" customFormat="false" ht="14.25" hidden="false" customHeight="true" outlineLevel="0" collapsed="false">
      <c r="B50" s="29" t="str">
        <f aca="false">VLOOKUP("Paraguay",T,lang,FALSE())</f>
        <v>Paraguay</v>
      </c>
      <c r="C50" s="31" t="n">
        <v>1503.5</v>
      </c>
      <c r="D50" s="11"/>
      <c r="F50" s="23"/>
      <c r="G50" s="23"/>
      <c r="H50" s="23"/>
      <c r="I50" s="23" t="s">
        <v>2126</v>
      </c>
      <c r="J50" s="23"/>
      <c r="K50" s="24"/>
      <c r="L50" s="24"/>
      <c r="M50" s="24"/>
      <c r="N50" s="24"/>
      <c r="O50" s="24"/>
      <c r="P50" s="24"/>
      <c r="Q50" s="24"/>
    </row>
    <row r="51" customFormat="false" ht="14.25" hidden="false" customHeight="true" outlineLevel="0" collapsed="false">
      <c r="B51" s="29" t="str">
        <f aca="false">VLOOKUP("Czech Republic",T,lang,FALSE())</f>
        <v>Czech Republic</v>
      </c>
      <c r="C51" s="31" t="n">
        <v>1501.38</v>
      </c>
      <c r="D51" s="11"/>
      <c r="F51" s="23"/>
      <c r="G51" s="23"/>
      <c r="H51" s="23"/>
      <c r="I51" s="23" t="s">
        <v>1858</v>
      </c>
      <c r="J51" s="23"/>
      <c r="K51" s="24"/>
      <c r="L51" s="24"/>
      <c r="M51" s="24"/>
      <c r="N51" s="24"/>
      <c r="O51" s="24"/>
      <c r="P51" s="24"/>
      <c r="Q51" s="24"/>
    </row>
    <row r="52" customFormat="false" ht="14.25" hidden="false" customHeight="true" outlineLevel="0" collapsed="false">
      <c r="B52" s="29" t="str">
        <f aca="false">VLOOKUP("Scotland",T,lang,FALSE())</f>
        <v>Scotland</v>
      </c>
      <c r="C52" s="31" t="n">
        <v>1498.35</v>
      </c>
      <c r="D52" s="11"/>
      <c r="F52" s="23"/>
      <c r="G52" s="23"/>
      <c r="H52" s="23"/>
      <c r="I52" s="23" t="s">
        <v>1077</v>
      </c>
      <c r="J52" s="23"/>
      <c r="K52" s="24"/>
      <c r="L52" s="24"/>
      <c r="M52" s="24"/>
      <c r="N52" s="24"/>
      <c r="O52" s="24"/>
      <c r="P52" s="24"/>
      <c r="Q52" s="24"/>
    </row>
    <row r="53" customFormat="false" ht="14.25" hidden="false" customHeight="true" outlineLevel="0" collapsed="false">
      <c r="B53" s="29" t="str">
        <f aca="false">VLOOKUP("Tunisia",T,lang,FALSE())</f>
        <v>Tunisia</v>
      </c>
      <c r="C53" s="31" t="n">
        <v>1483.05</v>
      </c>
      <c r="D53" s="11"/>
      <c r="F53" s="23"/>
      <c r="G53" s="23"/>
      <c r="H53" s="23"/>
      <c r="I53" s="23" t="s">
        <v>1285</v>
      </c>
      <c r="J53" s="23"/>
      <c r="K53" s="24"/>
      <c r="L53" s="24"/>
      <c r="M53" s="24"/>
      <c r="N53" s="24"/>
      <c r="O53" s="24"/>
      <c r="P53" s="24"/>
      <c r="Q53" s="24"/>
    </row>
    <row r="54" customFormat="false" ht="14.25" hidden="false" customHeight="true" outlineLevel="0" collapsed="false">
      <c r="B54" s="29" t="str">
        <f aca="false">VLOOKUP("DR Congo",T,lang,FALSE())</f>
        <v>DR Congo</v>
      </c>
      <c r="C54" s="31" t="n">
        <v>1478.35</v>
      </c>
      <c r="D54" s="11"/>
      <c r="F54" s="23"/>
      <c r="G54" s="23"/>
      <c r="H54" s="23"/>
      <c r="I54" s="23" t="s">
        <v>2090</v>
      </c>
      <c r="J54" s="23"/>
      <c r="K54" s="24"/>
      <c r="L54" s="24"/>
      <c r="M54" s="24"/>
      <c r="N54" s="24"/>
      <c r="O54" s="24"/>
      <c r="P54" s="24"/>
      <c r="Q54" s="24"/>
    </row>
    <row r="55" customFormat="false" ht="14.25" hidden="false" customHeight="true" outlineLevel="0" collapsed="false">
      <c r="B55" s="29" t="str">
        <f aca="false">VLOOKUP("Uzbekistan",T,lang,FALSE())</f>
        <v>Uzbekistan</v>
      </c>
      <c r="C55" s="31" t="n">
        <v>1465.34</v>
      </c>
      <c r="D55" s="11"/>
      <c r="F55" s="23"/>
      <c r="G55" s="23"/>
      <c r="H55" s="23"/>
      <c r="I55" s="23" t="s">
        <v>1058</v>
      </c>
      <c r="J55" s="23"/>
      <c r="K55" s="24"/>
      <c r="L55" s="24"/>
      <c r="M55" s="24"/>
      <c r="N55" s="24"/>
      <c r="O55" s="24"/>
      <c r="P55" s="24"/>
      <c r="Q55" s="24"/>
    </row>
    <row r="56" customFormat="false" ht="14.25" hidden="false" customHeight="true" outlineLevel="0" collapsed="false">
      <c r="B56" s="29" t="str">
        <f aca="false">VLOOKUP("Qatar",T,lang,FALSE())</f>
        <v>Qatar</v>
      </c>
      <c r="C56" s="31" t="n">
        <v>1454.96</v>
      </c>
      <c r="D56" s="11"/>
      <c r="F56" s="23"/>
      <c r="G56" s="23"/>
      <c r="H56" s="23"/>
      <c r="I56" s="23" t="s">
        <v>1958</v>
      </c>
      <c r="J56" s="23"/>
      <c r="K56" s="24"/>
      <c r="L56" s="24"/>
      <c r="M56" s="24"/>
      <c r="N56" s="24"/>
      <c r="O56" s="24"/>
      <c r="P56" s="24"/>
      <c r="Q56" s="24"/>
    </row>
    <row r="57" customFormat="false" ht="14.25" hidden="false" customHeight="true" outlineLevel="0" collapsed="false">
      <c r="B57" s="29" t="str">
        <f aca="false">VLOOKUP("Iraq",T,lang,FALSE())</f>
        <v>Iraq</v>
      </c>
      <c r="C57" s="31" t="n">
        <v>1447.14</v>
      </c>
      <c r="D57" s="11"/>
      <c r="F57" s="23"/>
      <c r="G57" s="23"/>
      <c r="H57" s="23"/>
      <c r="I57" s="23" t="s">
        <v>1508</v>
      </c>
      <c r="J57" s="23"/>
      <c r="K57" s="24"/>
      <c r="L57" s="24"/>
      <c r="M57" s="24"/>
      <c r="N57" s="24"/>
      <c r="O57" s="24"/>
      <c r="P57" s="24"/>
      <c r="Q57" s="24"/>
    </row>
    <row r="58" customFormat="false" ht="14.25" hidden="false" customHeight="true" outlineLevel="0" collapsed="false">
      <c r="B58" s="29" t="str">
        <f aca="false">VLOOKUP("South Africa",T,lang,FALSE())</f>
        <v>South Africa</v>
      </c>
      <c r="C58" s="31" t="n">
        <v>1429.73</v>
      </c>
      <c r="D58" s="11"/>
      <c r="F58" s="23"/>
      <c r="G58" s="23"/>
      <c r="H58" s="23"/>
      <c r="I58" s="23" t="s">
        <v>2240</v>
      </c>
      <c r="J58" s="23"/>
      <c r="K58" s="24"/>
      <c r="L58" s="24"/>
      <c r="M58" s="24"/>
      <c r="N58" s="24"/>
      <c r="O58" s="24"/>
      <c r="P58" s="24"/>
      <c r="Q58" s="24"/>
    </row>
    <row r="59" customFormat="false" ht="14.25" hidden="false" customHeight="true" outlineLevel="0" collapsed="false">
      <c r="B59" s="29" t="str">
        <f aca="false">VLOOKUP("Saudi Arabia",T,lang,FALSE())</f>
        <v>Saudi Arabia</v>
      </c>
      <c r="C59" s="31" t="n">
        <v>1421.43</v>
      </c>
      <c r="D59" s="11"/>
      <c r="F59" s="23"/>
      <c r="G59" s="23"/>
      <c r="H59" s="23"/>
      <c r="I59" s="23" t="s">
        <v>1798</v>
      </c>
      <c r="J59" s="23"/>
      <c r="K59" s="24"/>
      <c r="L59" s="24"/>
      <c r="M59" s="24"/>
      <c r="N59" s="24"/>
      <c r="O59" s="24"/>
      <c r="P59" s="24"/>
      <c r="Q59" s="24"/>
    </row>
    <row r="60" customFormat="false" ht="14.25" hidden="false" customHeight="true" outlineLevel="0" collapsed="false">
      <c r="B60" s="29" t="str">
        <f aca="false">VLOOKUP("Jordan",T,lang,FALSE())</f>
        <v>Jordan</v>
      </c>
      <c r="C60" s="31" t="n">
        <v>1391.45</v>
      </c>
      <c r="D60" s="11"/>
      <c r="F60" s="23"/>
      <c r="G60" s="23"/>
      <c r="H60" s="23"/>
      <c r="I60" s="23" t="s">
        <v>1479</v>
      </c>
      <c r="J60" s="23"/>
      <c r="K60" s="24"/>
      <c r="L60" s="24"/>
      <c r="M60" s="24"/>
      <c r="N60" s="24"/>
      <c r="O60" s="24"/>
      <c r="P60" s="24"/>
      <c r="Q60" s="24"/>
    </row>
    <row r="61" customFormat="false" ht="14.25" hidden="false" customHeight="true" outlineLevel="0" collapsed="false">
      <c r="B61" s="29" t="str">
        <f aca="false">VLOOKUP("Bosnia and Herzegovina",T,lang,FALSE())</f>
        <v>Bosnia and Herzegovina</v>
      </c>
      <c r="C61" s="31" t="n">
        <v>1385.84</v>
      </c>
      <c r="D61" s="11"/>
      <c r="F61" s="23"/>
      <c r="G61" s="23"/>
      <c r="H61" s="23"/>
      <c r="I61" s="23" t="s">
        <v>2146</v>
      </c>
      <c r="J61" s="23"/>
      <c r="K61" s="24"/>
      <c r="L61" s="24"/>
      <c r="M61" s="24"/>
      <c r="N61" s="24"/>
      <c r="O61" s="24"/>
      <c r="P61" s="24"/>
      <c r="Q61" s="24"/>
    </row>
    <row r="62" customFormat="false" ht="14.25" hidden="false" customHeight="true" outlineLevel="0" collapsed="false">
      <c r="B62" s="29" t="str">
        <f aca="false">VLOOKUP("Cape Verde",T,lang,FALSE())</f>
        <v>Cape Verde</v>
      </c>
      <c r="C62" s="31" t="n">
        <v>1366.13</v>
      </c>
      <c r="D62" s="11"/>
      <c r="F62" s="23"/>
      <c r="G62" s="23"/>
      <c r="H62" s="23"/>
      <c r="I62" s="23" t="s">
        <v>1198</v>
      </c>
      <c r="J62" s="23"/>
      <c r="K62" s="24"/>
      <c r="L62" s="24"/>
      <c r="M62" s="24"/>
      <c r="N62" s="24"/>
      <c r="O62" s="24"/>
      <c r="P62" s="24"/>
      <c r="Q62" s="24"/>
    </row>
    <row r="63" customFormat="false" ht="14.25" hidden="false" customHeight="true" outlineLevel="0" collapsed="false">
      <c r="B63" s="29" t="str">
        <f aca="false">VLOOKUP("Ghana",T,lang,FALSE())</f>
        <v>Ghana</v>
      </c>
      <c r="C63" s="31" t="n">
        <v>1346.31</v>
      </c>
      <c r="D63" s="11"/>
      <c r="F63" s="23"/>
      <c r="G63" s="23"/>
      <c r="H63" s="23"/>
      <c r="I63" s="23" t="s">
        <v>1900</v>
      </c>
      <c r="J63" s="23"/>
      <c r="K63" s="24"/>
      <c r="L63" s="24"/>
      <c r="M63" s="24"/>
      <c r="N63" s="24"/>
      <c r="O63" s="24"/>
      <c r="P63" s="24"/>
      <c r="Q63" s="24"/>
    </row>
    <row r="64" customFormat="false" ht="14.25" hidden="false" customHeight="true" outlineLevel="0" collapsed="false">
      <c r="B64" s="29" t="str">
        <f aca="false">VLOOKUP("Curaçao",T,lang,FALSE())</f>
        <v>Curaçao</v>
      </c>
      <c r="C64" s="31" t="n">
        <v>1294.65</v>
      </c>
      <c r="D64" s="11"/>
      <c r="F64" s="23"/>
      <c r="G64" s="23"/>
      <c r="H64" s="23"/>
      <c r="I64" s="23" t="s">
        <v>2549</v>
      </c>
      <c r="J64" s="23"/>
      <c r="K64" s="24"/>
      <c r="L64" s="24"/>
      <c r="M64" s="24"/>
      <c r="N64" s="24"/>
      <c r="O64" s="24"/>
      <c r="P64" s="24"/>
      <c r="Q64" s="24"/>
    </row>
    <row r="65" customFormat="false" ht="14.25" hidden="false" customHeight="true" outlineLevel="0" collapsed="false">
      <c r="B65" s="29" t="str">
        <f aca="false">VLOOKUP("Haiti",T,lang,FALSE())</f>
        <v>Haiti</v>
      </c>
      <c r="C65" s="31" t="n">
        <v>1291.71</v>
      </c>
      <c r="D65" s="11"/>
      <c r="F65" s="23" t="s">
        <v>3166</v>
      </c>
      <c r="G65" s="23" t="n">
        <f aca="false">IF(G4="Type 2",0,1)</f>
        <v>1</v>
      </c>
      <c r="H65" s="23"/>
      <c r="I65" s="23"/>
      <c r="J65" s="23"/>
      <c r="K65" s="24"/>
      <c r="L65" s="24"/>
      <c r="M65" s="24"/>
      <c r="N65" s="24"/>
      <c r="O65" s="24"/>
      <c r="P65" s="24"/>
      <c r="Q65" s="24"/>
    </row>
    <row r="66" customFormat="false" ht="14.25" hidden="false" customHeight="true" outlineLevel="0" collapsed="false">
      <c r="B66" s="29" t="str">
        <f aca="false">VLOOKUP("New Zealand",T,lang,FALSE())</f>
        <v>New Zealand</v>
      </c>
      <c r="C66" s="32" t="n">
        <v>1281.57</v>
      </c>
      <c r="D66" s="11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customFormat="false" ht="14.25" hidden="false" customHeight="true" outlineLevel="0" collapsed="false">
      <c r="B67" s="20"/>
      <c r="C67" s="21"/>
      <c r="D67" s="22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customFormat="false" ht="14.25" hidden="false" customHeight="true" outlineLevel="0" collapsed="false"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customFormat="false" ht="14.25" hidden="false" customHeight="true" outlineLevel="0" collapsed="false"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customFormat="false" ht="14.25" hidden="false" customHeight="true" outlineLevel="0" collapsed="false"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customFormat="false" ht="14.25" hidden="false" customHeight="true" outlineLevel="0" collapsed="false"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customFormat="false" ht="14.25" hidden="false" customHeight="true" outlineLevel="0" collapsed="false"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</sheetData>
  <sheetProtection algorithmName="SHA-512" hashValue="kskvAe6zVBzOc7F9qex7mcbnakd5j6ZJBXXsQEVmNo1L3lYh559YlHsl8VkAgYFdowXYjPn+M0CRrW5PS4T8BA==" saltValue="cLLhtMne1kSM6QbKQoaFMw==" spinCount="100000" sheet="true" objects="true" scenarios="true"/>
  <dataValidations count="6">
    <dataValidation allowBlank="true" errorStyle="stop" operator="between" prompt="Use drop-down List" promptTitle="Select Language" showDropDown="false" showErrorMessage="true" showInputMessage="true" sqref="C4" type="list">
      <formula1>lang_list</formula1>
      <formula2>0</formula2>
    </dataValidation>
    <dataValidation allowBlank="true" errorStyle="stop" operator="between" prompt="Use drop-down List" promptTitle="Select Summer Time" showDropDown="false" showErrorMessage="true" showInputMessage="true" sqref="C6" type="list">
      <formula1>"Yes,No"</formula1>
      <formula2>0</formula2>
    </dataValidation>
    <dataValidation allowBlank="true" errorStyle="stop" operator="between" prompt="Use drop-down List" promptTitle="Select Minutes" showDropDown="false" showErrorMessage="true" showInputMessage="true" sqref="C10" type="list">
      <formula1>$F$44:$F$47</formula1>
      <formula2>0</formula2>
    </dataValidation>
    <dataValidation allowBlank="true" errorStyle="stop" operator="between" prompt="Use drop-down List" promptTitle="Select Your Favorite Team" showDropDown="false" showErrorMessage="true" showInputMessage="true" sqref="C12" type="list">
      <formula1>teams</formula1>
      <formula2>0</formula2>
    </dataValidation>
    <dataValidation allowBlank="true" errorStyle="stop" operator="between" prompt="Use drop-down List" promptTitle="Select GTM-time" showDropDown="false" showErrorMessage="true" showInputMessage="true" sqref="C8" type="list">
      <formula1>$F$18:$F$42</formula1>
      <formula2>0</formula2>
    </dataValidation>
    <dataValidation allowBlank="true" errorStyle="stop" operator="between" prompt="Include all group-stage matches for your selected team" promptTitle="Highlight Group Matches" showDropDown="false" showErrorMessage="true" showInputMessage="tru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Gothic,Regular"&amp;1  •• PROTECTED 関係者外秘#_x005F_x000d_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4.25" zeroHeight="false" outlineLevelRow="0" outlineLevelCol="0"/>
  <cols>
    <col collapsed="false" customWidth="true" hidden="false" outlineLevel="0" max="1" min="1" style="33" width="4.88"/>
    <col collapsed="false" customWidth="true" hidden="false" outlineLevel="0" max="2" min="2" style="33" width="6.11"/>
    <col collapsed="false" customWidth="true" hidden="false" outlineLevel="0" max="3" min="3" style="33" width="11.67"/>
    <col collapsed="false" customWidth="true" hidden="false" outlineLevel="0" max="4" min="4" style="34" width="9"/>
    <col collapsed="false" customWidth="true" hidden="false" outlineLevel="0" max="5" min="5" style="35" width="22.56"/>
    <col collapsed="false" customWidth="true" hidden="false" outlineLevel="0" max="7" min="6" style="36" width="4.33"/>
    <col collapsed="false" customWidth="true" hidden="false" outlineLevel="0" max="8" min="8" style="37" width="22.56"/>
    <col collapsed="false" customWidth="true" hidden="false" outlineLevel="0" max="9" min="9" style="38" width="3.44"/>
    <col collapsed="false" customWidth="true" hidden="false" outlineLevel="0" max="10" min="10" style="39" width="19.44"/>
    <col collapsed="false" customWidth="true" hidden="false" outlineLevel="0" max="14" min="11" style="40" width="5.44"/>
    <col collapsed="false" customWidth="true" hidden="false" outlineLevel="0" max="15" min="15" style="40" width="7.67"/>
    <col collapsed="false" customWidth="true" hidden="false" outlineLevel="0" max="16" min="16" style="40" width="6.67"/>
    <col collapsed="false" customWidth="true" hidden="false" outlineLevel="0" max="17" min="17" style="41" width="3.44"/>
    <col collapsed="false" customWidth="true" hidden="true" outlineLevel="0" max="18" min="18" style="42" width="15.44"/>
    <col collapsed="false" customWidth="true" hidden="true" outlineLevel="0" max="20" min="19" style="43" width="16"/>
    <col collapsed="false" customWidth="true" hidden="true" outlineLevel="0" max="28" min="21" style="42" width="4"/>
    <col collapsed="false" customWidth="true" hidden="true" outlineLevel="0" max="29" min="29" style="44" width="4.33"/>
    <col collapsed="false" customWidth="true" hidden="true" outlineLevel="0" max="30" min="30" style="42" width="5.44"/>
    <col collapsed="false" customWidth="true" hidden="true" outlineLevel="0" max="31" min="31" style="44" width="13.44"/>
    <col collapsed="false" customWidth="true" hidden="true" outlineLevel="0" max="36" min="32" style="42" width="5.44"/>
    <col collapsed="false" customWidth="true" hidden="true" outlineLevel="0" max="39" min="37" style="42" width="6"/>
    <col collapsed="false" customWidth="true" hidden="true" outlineLevel="0" max="40" min="40" style="42" width="5.44"/>
    <col collapsed="false" customWidth="true" hidden="true" outlineLevel="0" max="42" min="41" style="42" width="6"/>
    <col collapsed="false" customWidth="true" hidden="true" outlineLevel="0" max="43" min="43" style="45" width="7.11"/>
    <col collapsed="false" customWidth="true" hidden="true" outlineLevel="0" max="44" min="44" style="45" width="10"/>
    <col collapsed="false" customWidth="true" hidden="true" outlineLevel="0" max="45" min="45" style="45" width="15.33"/>
    <col collapsed="false" customWidth="true" hidden="true" outlineLevel="0" max="50" min="46" style="46" width="4.67"/>
    <col collapsed="false" customWidth="false" hidden="true" outlineLevel="0" max="51" min="51" style="45" width="9.11"/>
    <col collapsed="false" customWidth="false" hidden="true" outlineLevel="0" max="61" min="52" style="46" width="9.11"/>
    <col collapsed="false" customWidth="false" hidden="true" outlineLevel="0" max="62" min="62" style="47" width="9.11"/>
    <col collapsed="false" customWidth="true" hidden="false" outlineLevel="0" max="63" min="63" style="38" width="3.34"/>
    <col collapsed="false" customWidth="true" hidden="false" outlineLevel="0" max="64" min="64" style="38" width="19.67"/>
    <col collapsed="false" customWidth="true" hidden="false" outlineLevel="0" max="67" min="65" style="38" width="3"/>
    <col collapsed="false" customWidth="true" hidden="false" outlineLevel="0" max="69" min="68" style="48" width="2"/>
    <col collapsed="false" customWidth="true" hidden="false" outlineLevel="0" max="70" min="70" style="38" width="3.34"/>
    <col collapsed="false" customWidth="true" hidden="false" outlineLevel="0" max="71" min="71" style="38" width="19.67"/>
    <col collapsed="false" customWidth="true" hidden="false" outlineLevel="0" max="74" min="72" style="38" width="3"/>
    <col collapsed="false" customWidth="true" hidden="false" outlineLevel="0" max="76" min="75" style="48" width="2"/>
    <col collapsed="false" customWidth="true" hidden="false" outlineLevel="0" max="77" min="77" style="38" width="4"/>
    <col collapsed="false" customWidth="true" hidden="false" outlineLevel="0" max="78" min="78" style="38" width="19.67"/>
    <col collapsed="false" customWidth="true" hidden="false" outlineLevel="0" max="81" min="79" style="38" width="3"/>
    <col collapsed="false" customWidth="true" hidden="false" outlineLevel="0" max="83" min="82" style="48" width="2"/>
    <col collapsed="false" customWidth="true" hidden="false" outlineLevel="0" max="84" min="84" style="38" width="3.88"/>
    <col collapsed="false" customWidth="true" hidden="false" outlineLevel="0" max="85" min="85" style="38" width="19.67"/>
    <col collapsed="false" customWidth="true" hidden="false" outlineLevel="0" max="88" min="86" style="38" width="3"/>
    <col collapsed="false" customWidth="true" hidden="false" outlineLevel="0" max="90" min="89" style="48" width="2"/>
    <col collapsed="false" customWidth="true" hidden="false" outlineLevel="0" max="91" min="91" style="38" width="3.67"/>
    <col collapsed="false" customWidth="true" hidden="false" outlineLevel="0" max="92" min="92" style="38" width="19.67"/>
    <col collapsed="false" customWidth="true" hidden="false" outlineLevel="0" max="95" min="93" style="38" width="3"/>
    <col collapsed="false" customWidth="true" hidden="false" outlineLevel="0" max="96" min="96" style="48" width="2"/>
    <col collapsed="false" customWidth="false" hidden="false" outlineLevel="0" max="16384" min="97" style="38" width="9.11"/>
  </cols>
  <sheetData>
    <row r="1" customFormat="false" ht="45.75" hidden="false" customHeight="true" outlineLevel="0" collapsed="false">
      <c r="A1" s="49" t="str">
        <f aca="false" t="array" ref="A1:A1">INDEX(T,2,lang)</f>
        <v>2026 World Cup Final Tournament Schedule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S1" s="42"/>
      <c r="T1" s="42"/>
      <c r="AC1" s="42"/>
      <c r="AE1" s="42"/>
      <c r="AG1" s="44"/>
      <c r="AH1" s="44"/>
      <c r="AI1" s="44"/>
      <c r="AO1" s="44"/>
      <c r="AP1" s="44"/>
      <c r="AT1" s="45"/>
      <c r="AU1" s="45"/>
      <c r="AV1" s="45"/>
      <c r="AW1" s="45"/>
      <c r="AX1" s="45"/>
    </row>
    <row r="2" customFormat="false" ht="3" hidden="false" customHeight="true" outlineLevel="0" collapsed="false">
      <c r="S2" s="42"/>
      <c r="T2" s="42"/>
      <c r="AC2" s="42"/>
      <c r="AE2" s="42"/>
      <c r="AG2" s="44"/>
      <c r="AH2" s="44"/>
      <c r="AI2" s="44"/>
      <c r="AO2" s="44"/>
      <c r="AP2" s="44"/>
      <c r="AT2" s="45"/>
      <c r="AU2" s="45"/>
      <c r="AV2" s="45"/>
      <c r="AW2" s="45"/>
      <c r="AX2" s="45"/>
    </row>
    <row r="3" customFormat="false" ht="12.7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0" t="str">
        <f aca="false">"Language: " &amp; Settings!C4</f>
        <v>Language: English</v>
      </c>
      <c r="P3" s="50"/>
      <c r="S3" s="42"/>
      <c r="T3" s="42"/>
      <c r="AC3" s="42"/>
      <c r="AE3" s="42"/>
      <c r="AG3" s="44"/>
      <c r="AH3" s="44"/>
      <c r="AI3" s="44"/>
      <c r="AO3" s="44"/>
      <c r="AP3" s="44"/>
      <c r="AT3" s="45"/>
      <c r="AU3" s="45"/>
      <c r="AV3" s="45"/>
      <c r="AW3" s="45"/>
      <c r="AX3" s="45"/>
    </row>
    <row r="4" customFormat="false" ht="3" hidden="false" customHeight="true" outlineLevel="0" collapsed="false"/>
    <row r="5" customFormat="false" ht="14.25" hidden="false" customHeight="true" outlineLevel="0" collapsed="false">
      <c r="A5" s="51" t="str">
        <f aca="false" t="array" ref="A5:A5">INDEX(T,3,lang)</f>
        <v>Group Stage</v>
      </c>
      <c r="B5" s="51"/>
      <c r="C5" s="51"/>
      <c r="D5" s="51"/>
      <c r="E5" s="51"/>
      <c r="F5" s="51"/>
      <c r="G5" s="51"/>
      <c r="H5" s="51"/>
      <c r="J5" s="52" t="s">
        <v>3167</v>
      </c>
      <c r="K5" s="52"/>
      <c r="L5" s="52"/>
      <c r="M5" s="52"/>
      <c r="N5" s="52"/>
      <c r="O5" s="52"/>
      <c r="P5" s="52"/>
    </row>
    <row r="6" customFormat="false" ht="15" hidden="false" customHeight="true" outlineLevel="0" collapsed="false">
      <c r="A6" s="51"/>
      <c r="B6" s="51"/>
      <c r="C6" s="51"/>
      <c r="D6" s="51"/>
      <c r="E6" s="51"/>
      <c r="F6" s="51"/>
      <c r="G6" s="51"/>
      <c r="H6" s="51"/>
      <c r="J6" s="52"/>
      <c r="K6" s="52"/>
      <c r="L6" s="52"/>
      <c r="M6" s="52"/>
      <c r="N6" s="52"/>
      <c r="O6" s="52"/>
      <c r="P6" s="52"/>
      <c r="R6" s="42" t="s">
        <v>3168</v>
      </c>
      <c r="V6" s="42" t="s">
        <v>3169</v>
      </c>
      <c r="W6" s="42" t="s">
        <v>3170</v>
      </c>
      <c r="Y6" s="42" t="s">
        <v>3169</v>
      </c>
      <c r="Z6" s="42" t="s">
        <v>3170</v>
      </c>
      <c r="AA6" s="42" t="n">
        <f aca="false">IF(Settings!C14="Yes",INT(MATCH(my_team,$AE$8:$AE$78,0)/6),-1)</f>
        <v>-1</v>
      </c>
      <c r="AD6" s="42" t="s">
        <v>3171</v>
      </c>
      <c r="AE6" s="42" t="s">
        <v>1024</v>
      </c>
      <c r="AF6" s="42" t="s">
        <v>370</v>
      </c>
      <c r="AG6" s="42" t="s">
        <v>406</v>
      </c>
      <c r="AH6" s="42" t="s">
        <v>342</v>
      </c>
      <c r="AI6" s="42" t="s">
        <v>3169</v>
      </c>
      <c r="AJ6" s="42" t="s">
        <v>3170</v>
      </c>
      <c r="AL6" s="42" t="s">
        <v>3172</v>
      </c>
      <c r="AM6" s="42" t="s">
        <v>3173</v>
      </c>
      <c r="AN6" s="42" t="s">
        <v>3174</v>
      </c>
      <c r="AO6" s="42" t="s">
        <v>3175</v>
      </c>
      <c r="AP6" s="42" t="s">
        <v>3176</v>
      </c>
      <c r="AQ6" s="46" t="s">
        <v>3177</v>
      </c>
      <c r="AR6" s="46" t="s">
        <v>3178</v>
      </c>
      <c r="AT6" s="46" t="s">
        <v>370</v>
      </c>
      <c r="AU6" s="46" t="s">
        <v>406</v>
      </c>
      <c r="AV6" s="46" t="s">
        <v>3169</v>
      </c>
      <c r="AW6" s="46" t="s">
        <v>3170</v>
      </c>
      <c r="AX6" s="46" t="s">
        <v>3172</v>
      </c>
      <c r="AY6" s="46" t="s">
        <v>3173</v>
      </c>
      <c r="AZ6" s="46" t="s">
        <v>3178</v>
      </c>
      <c r="BA6" s="53" t="s">
        <v>3179</v>
      </c>
      <c r="BB6" s="53" t="s">
        <v>370</v>
      </c>
      <c r="BC6" s="53" t="s">
        <v>406</v>
      </c>
      <c r="BD6" s="53" t="s">
        <v>3169</v>
      </c>
      <c r="BE6" s="53" t="s">
        <v>3170</v>
      </c>
      <c r="BF6" s="53" t="s">
        <v>3172</v>
      </c>
      <c r="BG6" s="53" t="s">
        <v>3173</v>
      </c>
      <c r="BH6" s="53" t="s">
        <v>3178</v>
      </c>
      <c r="BI6" s="53" t="s">
        <v>3179</v>
      </c>
      <c r="BK6" s="54" t="s">
        <v>3180</v>
      </c>
      <c r="BL6" s="54"/>
      <c r="BM6" s="54"/>
      <c r="BN6" s="54"/>
      <c r="BO6" s="54"/>
      <c r="BR6" s="54" t="str">
        <f aca="false" t="array" ref="BR6:BR6">INDEX(T,4,lang)</f>
        <v>Round of 16</v>
      </c>
      <c r="BS6" s="54"/>
      <c r="BT6" s="54"/>
      <c r="BU6" s="54"/>
      <c r="BV6" s="54"/>
      <c r="BY6" s="54" t="str">
        <f aca="false" t="array" ref="BY6:BY6">INDEX(T,5,lang)</f>
        <v>Quarterfinals</v>
      </c>
      <c r="BZ6" s="54"/>
      <c r="CA6" s="54"/>
      <c r="CB6" s="54"/>
      <c r="CC6" s="54"/>
      <c r="CF6" s="54" t="str">
        <f aca="false" t="array" ref="CF6:CF6">INDEX(T,6,lang)</f>
        <v>Semi-Finals</v>
      </c>
      <c r="CG6" s="54"/>
      <c r="CH6" s="54"/>
      <c r="CI6" s="54"/>
      <c r="CJ6" s="54"/>
    </row>
    <row r="7" customFormat="false" ht="15" hidden="false" customHeight="true" outlineLevel="0" collapsed="false">
      <c r="A7" s="55" t="n">
        <v>1</v>
      </c>
      <c r="B7" s="56" t="str">
        <f aca="false" t="array" ref="B7:B7">INDEX(T,18+INT(MOD(R7-1,7)),lang)</f>
        <v>Thu</v>
      </c>
      <c r="C7" s="57" t="str">
        <f aca="false" t="array" ref="C7:C7">INDEX(T,24+MONTH(R7),lang) &amp; " " &amp; DAY(R7) &amp; ", " &amp; YEAR(R7)</f>
        <v>Jun 11, 2026</v>
      </c>
      <c r="D7" s="58" t="n">
        <f aca="false">TIME(HOUR(R7),MINUTE(R7),0)</f>
        <v>0.875</v>
      </c>
      <c r="E7" s="59" t="str">
        <f aca="false">AE8</f>
        <v>Mexico</v>
      </c>
      <c r="F7" s="60" t="n">
        <v>2</v>
      </c>
      <c r="G7" s="61" t="n">
        <v>0</v>
      </c>
      <c r="H7" s="62" t="str">
        <f aca="false">AE9</f>
        <v>South Africa</v>
      </c>
      <c r="R7" s="42" t="n">
        <f aca="false">DATE(2026,6,11)+TIME(8,0,0)+gmt_delta</f>
        <v>46184.875</v>
      </c>
      <c r="S7" s="43" t="str">
        <f aca="false">IF(OR(F7="",G7=""),"",IF(F7&gt;G7,E7&amp;"_win",IF(F7&lt;G7,E7&amp;"_lose",E7&amp;"_draw")))</f>
        <v>Mexico_win</v>
      </c>
      <c r="T7" s="43" t="str">
        <f aca="false">IF(S7="","",IF(F7&lt;G7,H7&amp;"_win",IF(F7&gt;G7,H7&amp;"_lose",H7&amp;"_draw")))</f>
        <v>South Africa_lose</v>
      </c>
      <c r="U7" s="42" t="n">
        <f aca="false">IF(S7="",0,IF(VLOOKUP(E7,$AE$8:$AN$77,10,FALSE())=VLOOKUP(H7,$AE$8:$AN$77,10,FALSE()),1,0))</f>
        <v>0</v>
      </c>
      <c r="V7" s="42" t="n">
        <f aca="false">U7*F7</f>
        <v>0</v>
      </c>
      <c r="W7" s="42" t="n">
        <f aca="false">U7*G7</f>
        <v>0</v>
      </c>
      <c r="X7" s="42" t="n">
        <f aca="false">IF(S7="",0,IF(VLOOKUP(E7,$AE$8:$AO$77,11,FALSE())=VLOOKUP(H7,$AE$8:$AO$77,11,FALSE()),1,0))</f>
        <v>0</v>
      </c>
      <c r="Y7" s="42" t="n">
        <f aca="false">X7*F7</f>
        <v>0</v>
      </c>
      <c r="Z7" s="42" t="n">
        <f aca="false">X7*G7</f>
        <v>0</v>
      </c>
      <c r="AA7" s="42" t="n">
        <f aca="false">IF(OR(E7=my_team,H7=my_team),1,IF(INT(MATCH(E7,$AE$8:$AE$78,0)/6)=$AA$6,1,0))</f>
        <v>0</v>
      </c>
      <c r="AB7" s="42" t="n">
        <f aca="false">IF(OR(F7="",G7=""),"",IF(F7&gt;G7,1,IF(F7&lt;G7,-1,0)))</f>
        <v>1</v>
      </c>
      <c r="AY7" s="46"/>
      <c r="BK7" s="54"/>
      <c r="BL7" s="54"/>
      <c r="BM7" s="54"/>
      <c r="BN7" s="54"/>
      <c r="BO7" s="54"/>
      <c r="BR7" s="54"/>
      <c r="BS7" s="54"/>
      <c r="BT7" s="54"/>
      <c r="BU7" s="54"/>
      <c r="BV7" s="54"/>
      <c r="BY7" s="54"/>
      <c r="BZ7" s="54"/>
      <c r="CA7" s="54"/>
      <c r="CB7" s="54"/>
      <c r="CC7" s="54"/>
      <c r="CF7" s="54"/>
      <c r="CG7" s="54"/>
      <c r="CH7" s="54"/>
      <c r="CI7" s="54"/>
      <c r="CJ7" s="54"/>
    </row>
    <row r="8" customFormat="false" ht="14.25" hidden="false" customHeight="true" outlineLevel="0" collapsed="false">
      <c r="A8" s="63" t="n">
        <v>2</v>
      </c>
      <c r="B8" s="64" t="str">
        <f aca="false" t="array" ref="B8:B8">INDEX(T,18+INT(MOD(R8-1,7)),lang)</f>
        <v>Fri</v>
      </c>
      <c r="C8" s="65" t="str">
        <f aca="false" t="array" ref="C8:C8">INDEX(T,24+MONTH(R8),lang) &amp; " " &amp; DAY(R8) &amp; ", " &amp; YEAR(R8)</f>
        <v>Jun 12, 2026</v>
      </c>
      <c r="D8" s="66" t="n">
        <f aca="false">TIME(HOUR(R8),MINUTE(R8),0)</f>
        <v>0.166666666666667</v>
      </c>
      <c r="E8" s="67" t="str">
        <f aca="false">AE10</f>
        <v>Korea Republic</v>
      </c>
      <c r="F8" s="68" t="n">
        <v>2</v>
      </c>
      <c r="G8" s="69" t="n">
        <v>1</v>
      </c>
      <c r="H8" s="70" t="str">
        <f aca="false">AE11</f>
        <v>Czech Republic</v>
      </c>
      <c r="J8" s="71" t="str">
        <f aca="false" t="array" ref="J8:J8">INDEX(T,9,lang) &amp; " " &amp; "A"</f>
        <v>Group A</v>
      </c>
      <c r="K8" s="72" t="str">
        <f aca="false" t="array" ref="K8:K8">INDEX(T,10,lang)</f>
        <v>PL</v>
      </c>
      <c r="L8" s="72" t="str">
        <f aca="false" t="array" ref="L8:L8">INDEX(T,11,lang)</f>
        <v>W</v>
      </c>
      <c r="M8" s="72" t="str">
        <f aca="false" t="array" ref="M8:M8">INDEX(T,12,lang)</f>
        <v>DRAW</v>
      </c>
      <c r="N8" s="72" t="str">
        <f aca="false" t="array" ref="N8:N8">INDEX(T,13,lang)</f>
        <v>L</v>
      </c>
      <c r="O8" s="72" t="str">
        <f aca="false" t="array" ref="O8:O8">INDEX(T,14,lang)</f>
        <v>GF - GA</v>
      </c>
      <c r="P8" s="73" t="str">
        <f aca="false" t="array" ref="P8:P8">INDEX(T,15,lang)</f>
        <v>PNT</v>
      </c>
      <c r="R8" s="42" t="n">
        <f aca="false">DATE(2026,6,11)+TIME(15,0,0)+gmt_delta</f>
        <v>46185.1666666667</v>
      </c>
      <c r="S8" s="43" t="str">
        <f aca="false">IF(OR(F8="",G8=""),"",IF(F8&gt;G8,E8&amp;"_win",IF(F8&lt;G8,E8&amp;"_lose",E8&amp;"_draw")))</f>
        <v>Korea Republic_win</v>
      </c>
      <c r="T8" s="43" t="str">
        <f aca="false">IF(S8="","",IF(F8&lt;G8,H8&amp;"_win",IF(F8&gt;G8,H8&amp;"_lose",H8&amp;"_draw")))</f>
        <v>Czech Republic_lose</v>
      </c>
      <c r="U8" s="42" t="n">
        <f aca="false">IF(S8="",0,IF(VLOOKUP(E8,$AE$8:$AN$77,10,FALSE())=VLOOKUP(H8,$AE$8:$AN$77,10,FALSE()),1,0))</f>
        <v>0</v>
      </c>
      <c r="V8" s="42" t="n">
        <f aca="false">U8*F8</f>
        <v>0</v>
      </c>
      <c r="W8" s="42" t="n">
        <f aca="false">U8*G8</f>
        <v>0</v>
      </c>
      <c r="X8" s="42" t="n">
        <f aca="false">IF(S8="",0,IF(VLOOKUP(E8,$AE$8:$AO$77,11,FALSE())=VLOOKUP(H8,$AE$8:$AO$77,11,FALSE()),1,0))</f>
        <v>0</v>
      </c>
      <c r="Y8" s="42" t="n">
        <f aca="false">X8*F8</f>
        <v>0</v>
      </c>
      <c r="Z8" s="42" t="n">
        <f aca="false">X8*G8</f>
        <v>0</v>
      </c>
      <c r="AA8" s="42" t="n">
        <f aca="false">IF(OR(E8=my_team,H8=my_team),1,IF(INT(MATCH(E8,$AE$8:$AE$78,0)/6)=$AA$6,1,0))</f>
        <v>0</v>
      </c>
      <c r="AB8" s="42" t="n">
        <f aca="false">IF(OR(F8="",G8=""),"",IF(F8&gt;G8,1,IF(F8&lt;G8,-1,0)))</f>
        <v>1</v>
      </c>
      <c r="AD8" s="42" t="n">
        <f aca="false">COUNTIF(AR8:AR11,CONCATENATE("&gt;=",AR8))</f>
        <v>1</v>
      </c>
      <c r="AE8" s="44" t="str">
        <f aca="false">VLOOKUP("Mexico",T,lang,FALSE())</f>
        <v>Mexico</v>
      </c>
      <c r="AF8" s="42" t="n">
        <f aca="false">COUNTIF($S$7:$T$78,"=" &amp; AE8 &amp; "_win")</f>
        <v>3</v>
      </c>
      <c r="AG8" s="42" t="n">
        <f aca="false">COUNTIF($S$7:$T$78,"=" &amp; AE8 &amp; "_draw")</f>
        <v>0</v>
      </c>
      <c r="AH8" s="42" t="n">
        <f aca="false">COUNTIF($S$7:$T$78,"=" &amp; AE8 &amp; "_lose")</f>
        <v>0</v>
      </c>
      <c r="AI8" s="42" t="n">
        <f aca="false">SUMIF($E$7:$E$78,$AE8,$F$7:$F$78) + SUMIF($H$7:$H$78,$AE8,$G$7:$G$78)</f>
        <v>6</v>
      </c>
      <c r="AJ8" s="42" t="n">
        <f aca="false">SUMIF($E$7:$E$78,$AE8,$G$7:$G$78) + SUMIF($H$7:$H$78,$AE8,$F$7:$F$78)</f>
        <v>2</v>
      </c>
      <c r="AL8" s="42" t="n">
        <f aca="false">AI8-AJ8</f>
        <v>4</v>
      </c>
      <c r="AM8" s="42" t="n">
        <f aca="false">AL8-AL12</f>
        <v>8</v>
      </c>
      <c r="AN8" s="42" t="n">
        <f aca="false">AF8*3+AG8</f>
        <v>9</v>
      </c>
      <c r="AO8" s="42" t="n">
        <f aca="false">AN8/AN12*10+BA8</f>
        <v>9</v>
      </c>
      <c r="AP8" s="42" t="n">
        <f aca="false">AO8*10000000+BI8*100+AM8/AM12*10+AI8/AI12*1++IF(AQ8=0,ROW(),AQ8)/2000000</f>
        <v>90000009.7468723</v>
      </c>
      <c r="AQ8" s="46" t="n">
        <f aca="false">VLOOKUP(AE8,db_fifarank,2,FALSE())</f>
        <v>1681.03</v>
      </c>
      <c r="AR8" s="45" t="n">
        <f aca="false">AP8/AP12</f>
        <v>0.99999998888889</v>
      </c>
      <c r="AS8" s="45" t="str">
        <f aca="false">IF(SUM(AF8:AH11)=12,J9,"1A")</f>
        <v>Mexico</v>
      </c>
      <c r="AT8" s="46" t="n">
        <f aca="false" t="array" ref="AT8:AT8">SUMPRODUCT(($S$7:$S$78=AE8&amp;"_win")*($U$7:$U$78))+SUMPRODUCT(($T$7:$T$78=AE8&amp;"_win")*($U$7:$U$78))</f>
        <v>0</v>
      </c>
      <c r="AU8" s="46" t="n">
        <f aca="false" t="array" ref="AU8:AU8">SUMPRODUCT(($S$7:$S$78=AE8&amp;"_draw")*($U$7:$U$78))+SUMPRODUCT(($T$7:$T$78=AE8&amp;"_draw")*($U$7:$U$78))</f>
        <v>0</v>
      </c>
      <c r="AV8" s="46" t="n">
        <f aca="false" t="array" ref="AV8:AV8">SUMPRODUCT(($E$7:$E$78=AE8)*($U$7:$U$78)*($F$7:$F$78))+SUMPRODUCT(($H$7:$H$78=AE8)*($U$7:$U$78)*($G$7:$G$78))</f>
        <v>0</v>
      </c>
      <c r="AW8" s="46" t="n">
        <f aca="false" t="array" ref="AW8:AW8">SUMPRODUCT(($E$7:$E$78=AE8)*($U$7:$U$78)*($G$7:$G$78))+SUMPRODUCT(($H$7:$H$78=AE8)*($U$7:$U$78)*($F$7:$F$78))</f>
        <v>0</v>
      </c>
      <c r="AX8" s="46" t="n">
        <f aca="false">AV8-AW8</f>
        <v>0</v>
      </c>
      <c r="AY8" s="46" t="n">
        <f aca="false">AX8-MIN(AX8:AX11)</f>
        <v>0</v>
      </c>
      <c r="AZ8" s="46" t="n">
        <f aca="false">AT8/AT12*1000+AU8/AU12*100+AY8/AY12*10+AV8/AV12</f>
        <v>0</v>
      </c>
      <c r="BA8" s="46" t="n">
        <f aca="false">AZ8/AZ12</f>
        <v>0</v>
      </c>
      <c r="BB8" s="46" t="n">
        <f aca="false" t="array" ref="BB8:BB8">SUMPRODUCT(($S$7:$S$78=AE8&amp;"_win")*($X$7:$X$78))+SUMPRODUCT(($T$7:$T$78=AE8&amp;"_win")*($X$7:$X$78))</f>
        <v>0</v>
      </c>
      <c r="BC8" s="46" t="n">
        <f aca="false" t="array" ref="BC8:BC8">SUMPRODUCT(($S$7:$S$78=AE8&amp;"_draw")*($X$7:$X$78))+SUMPRODUCT(($T$7:$T$78=AE8&amp;"_draw")*($X$7:$X$78))</f>
        <v>0</v>
      </c>
      <c r="BD8" s="46" t="n">
        <f aca="false" t="array" ref="BD8:BD8">SUMPRODUCT(($E$7:$E$78=AE8)*($X$7:$X$78)*($F$7:$F$78))+SUMPRODUCT(($H$7:$H$78=AE8)*($X$7:$X$78)*($G$7:$G$78))</f>
        <v>0</v>
      </c>
      <c r="BE8" s="46" t="n">
        <f aca="false" t="array" ref="BE8:BE8">SUMPRODUCT(($E$7:$E$78=AE8)*($X$7:$X$78)*($G$7:$G$78))+SUMPRODUCT(($H$7:$H$78=AE8)*($X$7:$X$78)*($F$7:$F$78))</f>
        <v>0</v>
      </c>
      <c r="BF8" s="46" t="n">
        <f aca="false">BD8-BE8</f>
        <v>0</v>
      </c>
      <c r="BG8" s="46" t="n">
        <f aca="false">BF8-MIN(BF8:BF11)</f>
        <v>0</v>
      </c>
      <c r="BH8" s="46" t="n">
        <f aca="false">BB8/BB12*1000+BC8/BC12*100+BG8/BG12*10+BD8/BD12</f>
        <v>0</v>
      </c>
      <c r="BI8" s="46" t="n">
        <f aca="false">BH8/BH12</f>
        <v>0</v>
      </c>
      <c r="BS8" s="74"/>
      <c r="BT8" s="74"/>
      <c r="BU8" s="74"/>
      <c r="BZ8" s="74"/>
      <c r="CA8" s="74"/>
      <c r="CB8" s="74"/>
      <c r="CC8" s="74"/>
      <c r="CD8" s="47"/>
      <c r="CE8" s="47"/>
      <c r="CF8" s="74"/>
      <c r="CG8" s="74"/>
      <c r="CH8" s="74"/>
      <c r="CI8" s="74"/>
      <c r="CJ8" s="74"/>
      <c r="CL8" s="47"/>
      <c r="CM8" s="74"/>
      <c r="CN8" s="74"/>
      <c r="CO8" s="74"/>
      <c r="CP8" s="74"/>
      <c r="CQ8" s="74"/>
    </row>
    <row r="9" customFormat="false" ht="14.25" hidden="false" customHeight="true" outlineLevel="0" collapsed="false">
      <c r="A9" s="63" t="n">
        <v>3</v>
      </c>
      <c r="B9" s="64" t="str">
        <f aca="false" t="array" ref="B9:B9">INDEX(T,18+INT(MOD(R9-1,7)),lang)</f>
        <v>Fri</v>
      </c>
      <c r="C9" s="65" t="str">
        <f aca="false" t="array" ref="C9:C9">INDEX(T,24+MONTH(R9),lang) &amp; " " &amp; DAY(R9) &amp; ", " &amp; YEAR(R9)</f>
        <v>Jun 12, 2026</v>
      </c>
      <c r="D9" s="66" t="n">
        <f aca="false">TIME(HOUR(R9),MINUTE(R9),0)</f>
        <v>0.875</v>
      </c>
      <c r="E9" s="67" t="str">
        <f aca="false">AE14</f>
        <v>Canada</v>
      </c>
      <c r="F9" s="68" t="n">
        <v>2</v>
      </c>
      <c r="G9" s="69" t="n">
        <v>1</v>
      </c>
      <c r="H9" s="70" t="str">
        <f aca="false">AE15</f>
        <v>Bosnia and Herzegovina</v>
      </c>
      <c r="J9" s="75" t="str">
        <f aca="false">VLOOKUP(1,AD8:AN11,2,FALSE())</f>
        <v>Mexico</v>
      </c>
      <c r="K9" s="76" t="n">
        <f aca="false">L9+M9+N9</f>
        <v>3</v>
      </c>
      <c r="L9" s="76" t="n">
        <f aca="false">VLOOKUP(1,AD8:AN11,3,FALSE())</f>
        <v>3</v>
      </c>
      <c r="M9" s="76" t="n">
        <f aca="false">VLOOKUP(1,AD8:AN11,4,FALSE())</f>
        <v>0</v>
      </c>
      <c r="N9" s="76" t="n">
        <f aca="false">VLOOKUP(1,AD8:AN11,5,FALSE())</f>
        <v>0</v>
      </c>
      <c r="O9" s="76" t="str">
        <f aca="false">VLOOKUP(1,AD8:AN11,6,FALSE()) &amp; " - " &amp; VLOOKUP(1,AD8:AN11,7,FALSE())</f>
        <v>6 - 2</v>
      </c>
      <c r="P9" s="77" t="n">
        <f aca="false">L9*3+M9</f>
        <v>9</v>
      </c>
      <c r="R9" s="42" t="n">
        <f aca="false">DATE(2026,6,12)+TIME(8,0,0)+gmt_delta</f>
        <v>46185.875</v>
      </c>
      <c r="S9" s="43" t="str">
        <f aca="false">IF(OR(F9="",G9=""),"",IF(F9&gt;G9,E9&amp;"_win",IF(F9&lt;G9,E9&amp;"_lose",E9&amp;"_draw")))</f>
        <v>Canada_win</v>
      </c>
      <c r="T9" s="43" t="str">
        <f aca="false">IF(S9="","",IF(F9&lt;G9,H9&amp;"_win",IF(F9&gt;G9,H9&amp;"_lose",H9&amp;"_draw")))</f>
        <v>Bosnia and Herzegovina_lose</v>
      </c>
      <c r="U9" s="42" t="n">
        <f aca="false">IF(S9="",0,IF(VLOOKUP(E9,$AE$8:$AN$77,10,FALSE())=VLOOKUP(H9,$AE$8:$AN$77,10,FALSE()),1,0))</f>
        <v>0</v>
      </c>
      <c r="V9" s="42" t="n">
        <f aca="false">U9*F9</f>
        <v>0</v>
      </c>
      <c r="W9" s="42" t="n">
        <f aca="false">U9*G9</f>
        <v>0</v>
      </c>
      <c r="X9" s="42" t="n">
        <f aca="false">IF(S9="",0,IF(VLOOKUP(E9,$AE$8:$AO$77,11,FALSE())=VLOOKUP(H9,$AE$8:$AO$77,11,FALSE()),1,0))</f>
        <v>0</v>
      </c>
      <c r="Y9" s="42" t="n">
        <f aca="false">X9*F9</f>
        <v>0</v>
      </c>
      <c r="Z9" s="42" t="n">
        <f aca="false">X9*G9</f>
        <v>0</v>
      </c>
      <c r="AA9" s="42" t="n">
        <f aca="false">IF(OR(E9=my_team,H9=my_team),1,IF(INT(MATCH(E9,$AE$8:$AE$78,0)/6)=$AA$6,1,0))</f>
        <v>0</v>
      </c>
      <c r="AB9" s="42" t="n">
        <f aca="false">IF(OR(F9="",G9=""),"",IF(F9&gt;G9,1,IF(F9&lt;G9,-1,0)))</f>
        <v>1</v>
      </c>
      <c r="AD9" s="42" t="n">
        <f aca="false">COUNTIF(AR8:AR11,CONCATENATE("&gt;=",AR9))</f>
        <v>4</v>
      </c>
      <c r="AE9" s="44" t="str">
        <f aca="false">VLOOKUP("South Africa",T,lang,FALSE())</f>
        <v>South Africa</v>
      </c>
      <c r="AF9" s="42" t="n">
        <f aca="false">COUNTIF($S$7:$T$78,"=" &amp; AE9 &amp; "_win")</f>
        <v>0</v>
      </c>
      <c r="AG9" s="42" t="n">
        <f aca="false">COUNTIF($S$7:$T$78,"=" &amp; AE9 &amp; "_draw")</f>
        <v>0</v>
      </c>
      <c r="AH9" s="42" t="n">
        <f aca="false">COUNTIF($S$7:$T$78,"=" &amp; AE9 &amp; "_lose")</f>
        <v>3</v>
      </c>
      <c r="AI9" s="42" t="n">
        <f aca="false">SUMIF($E$7:$E$78,$AE9,$F$7:$F$78) + SUMIF($H$7:$H$78,$AE9,$G$7:$G$78)</f>
        <v>1</v>
      </c>
      <c r="AJ9" s="42" t="n">
        <f aca="false">SUMIF($E$7:$E$78,$AE9,$G$7:$G$78) + SUMIF($H$7:$H$78,$AE9,$F$7:$F$78)</f>
        <v>5</v>
      </c>
      <c r="AL9" s="42" t="n">
        <f aca="false">AI9-AJ9</f>
        <v>-4</v>
      </c>
      <c r="AM9" s="42" t="n">
        <f aca="false">AL9-AL12</f>
        <v>0</v>
      </c>
      <c r="AN9" s="42" t="n">
        <f aca="false">AF9*3+AG9</f>
        <v>0</v>
      </c>
      <c r="AO9" s="42" t="n">
        <f aca="false">AN9/AN12*10+BA9</f>
        <v>0</v>
      </c>
      <c r="AP9" s="42" t="n">
        <f aca="false">AO9*10000000+BI9*100+AM9/AM12*10+AI9/AI12*1++IF(AQ9=0,ROW(),AQ9)/2000000</f>
        <v>0.143572007857143</v>
      </c>
      <c r="AQ9" s="46" t="n">
        <f aca="false">VLOOKUP(AE9,db_fifarank,2,FALSE())</f>
        <v>1429.73</v>
      </c>
      <c r="AR9" s="45" t="n">
        <f aca="false">AP9/AP12</f>
        <v>1.5952443412584E-009</v>
      </c>
      <c r="AS9" s="45" t="str">
        <f aca="false">IF(SUM(AF8:AH11)=12,J10,"2A")</f>
        <v>Korea Republic</v>
      </c>
      <c r="AT9" s="46" t="n">
        <f aca="false" t="array" ref="AT9:AT9">SUMPRODUCT(($S$7:$S$78=AE9&amp;"_win")*($U$7:$U$78))+SUMPRODUCT(($T$7:$T$78=AE9&amp;"_win")*($U$7:$U$78))</f>
        <v>0</v>
      </c>
      <c r="AU9" s="46" t="n">
        <f aca="false" t="array" ref="AU9:AU9">SUMPRODUCT(($S$7:$S$78=AE9&amp;"_draw")*($U$7:$U$78))+SUMPRODUCT(($T$7:$T$78=AE9&amp;"_draw")*($U$7:$U$78))</f>
        <v>0</v>
      </c>
      <c r="AV9" s="46" t="n">
        <f aca="false" t="array" ref="AV9:AV9">SUMPRODUCT(($E$7:$E$78=AE9)*($U$7:$U$78)*($F$7:$F$78))+SUMPRODUCT(($H$7:$H$78=AE9)*($U$7:$U$78)*($G$7:$G$78))</f>
        <v>0</v>
      </c>
      <c r="AW9" s="46" t="n">
        <f aca="false" t="array" ref="AW9:AW9">SUMPRODUCT(($E$7:$E$78=AE9)*($U$7:$U$78)*($G$7:$G$78))+SUMPRODUCT(($H$7:$H$78=AE9)*($U$7:$U$78)*($F$7:$F$78))</f>
        <v>0</v>
      </c>
      <c r="AX9" s="46" t="n">
        <f aca="false">AV9-AW9</f>
        <v>0</v>
      </c>
      <c r="AY9" s="46" t="n">
        <f aca="false">AX9-MIN(AX8:AX11)</f>
        <v>0</v>
      </c>
      <c r="AZ9" s="46" t="n">
        <f aca="false">AT9/AT12*1000+AU9/AU12*100+AY9/AY12*10+AV9/AV12</f>
        <v>0</v>
      </c>
      <c r="BA9" s="46" t="n">
        <f aca="false">AZ9/AZ12</f>
        <v>0</v>
      </c>
      <c r="BB9" s="46" t="n">
        <f aca="false" t="array" ref="BB9:BB9">SUMPRODUCT(($S$7:$S$78=AE9&amp;"_win")*($X$7:$X$78))+SUMPRODUCT(($T$7:$T$78=AE9&amp;"_win")*($X$7:$X$78))</f>
        <v>0</v>
      </c>
      <c r="BC9" s="46" t="n">
        <f aca="false" t="array" ref="BC9:BC9">SUMPRODUCT(($S$7:$S$78=AE9&amp;"_draw")*($X$7:$X$78))+SUMPRODUCT(($T$7:$T$78=AE9&amp;"_draw")*($X$7:$X$78))</f>
        <v>0</v>
      </c>
      <c r="BD9" s="46" t="n">
        <f aca="false" t="array" ref="BD9:BD9">SUMPRODUCT(($E$7:$E$78=AE9)*($X$7:$X$78)*($F$7:$F$78))+SUMPRODUCT(($H$7:$H$78=AE9)*($X$7:$X$78)*($G$7:$G$78))</f>
        <v>0</v>
      </c>
      <c r="BE9" s="46" t="n">
        <f aca="false" t="array" ref="BE9:BE9">SUMPRODUCT(($E$7:$E$78=AE9)*($X$7:$X$78)*($G$7:$G$78))+SUMPRODUCT(($H$7:$H$78=AE9)*($X$7:$X$78)*($F$7:$F$78))</f>
        <v>0</v>
      </c>
      <c r="BF9" s="46" t="n">
        <f aca="false">BD9-BE9</f>
        <v>0</v>
      </c>
      <c r="BG9" s="46" t="n">
        <f aca="false">BF9-MIN(BF8:BF11)</f>
        <v>0</v>
      </c>
      <c r="BH9" s="46" t="n">
        <f aca="false">BB9/BB12*1000+BC9/BC12*100+BG9/BG12*10+BD9/BD12</f>
        <v>0</v>
      </c>
      <c r="BI9" s="46" t="n">
        <f aca="false">BH9/BH12</f>
        <v>0</v>
      </c>
      <c r="BK9" s="74" t="str">
        <f aca="false" t="array" ref="BK9:BK9">INDEX(T,24+MONTH(BP9),lang) &amp; " " &amp; DAY(BP9) &amp; ", " &amp; YEAR(BP9) &amp; "   " &amp; (IF(HOUR(BP9)&lt;10,0,"")&amp;HOUR(BP9)) &amp; ":" &amp;  (IF(MINUTE(BP9)&lt;10,0,"")&amp;MINUTE(BP9))</f>
        <v>Jun 29, 2026   22:30</v>
      </c>
      <c r="BL9" s="74"/>
      <c r="BM9" s="74"/>
      <c r="BN9" s="74"/>
      <c r="BO9" s="78"/>
      <c r="BP9" s="47" t="n">
        <f aca="false">DATE(2026,6,29)+TIME(9,30,0)+gmt_delta</f>
        <v>46202.9375</v>
      </c>
      <c r="BQ9" s="47"/>
      <c r="BR9" s="74"/>
      <c r="BS9" s="74"/>
      <c r="BT9" s="74"/>
      <c r="BU9" s="74"/>
      <c r="BV9" s="74"/>
      <c r="BW9" s="47"/>
      <c r="BX9" s="47"/>
      <c r="BY9" s="74"/>
      <c r="BZ9" s="74"/>
      <c r="CA9" s="74"/>
      <c r="CB9" s="74"/>
      <c r="CC9" s="74"/>
      <c r="CD9" s="47"/>
      <c r="CE9" s="47"/>
      <c r="CF9" s="74"/>
      <c r="CG9" s="74"/>
      <c r="CH9" s="74"/>
      <c r="CI9" s="74"/>
      <c r="CJ9" s="74"/>
      <c r="CL9" s="47"/>
      <c r="CM9" s="74"/>
      <c r="CN9" s="74"/>
      <c r="CO9" s="74"/>
      <c r="CP9" s="74"/>
      <c r="CQ9" s="74"/>
    </row>
    <row r="10" customFormat="false" ht="14.25" hidden="false" customHeight="true" outlineLevel="0" collapsed="false">
      <c r="A10" s="63" t="n">
        <v>4</v>
      </c>
      <c r="B10" s="64" t="str">
        <f aca="false" t="array" ref="B10:B10">INDEX(T,18+INT(MOD(R10-1,7)),lang)</f>
        <v>Sat</v>
      </c>
      <c r="C10" s="65" t="str">
        <f aca="false" t="array" ref="C10:C10">INDEX(T,24+MONTH(R10),lang) &amp; " " &amp; DAY(R10) &amp; ", " &amp; YEAR(R10)</f>
        <v>Jun 13, 2026</v>
      </c>
      <c r="D10" s="66" t="n">
        <f aca="false">TIME(HOUR(R10),MINUTE(R10),0)</f>
        <v>0.125</v>
      </c>
      <c r="E10" s="67" t="str">
        <f aca="false">AE26</f>
        <v>United States</v>
      </c>
      <c r="F10" s="68" t="n">
        <v>2</v>
      </c>
      <c r="G10" s="69" t="n">
        <v>1</v>
      </c>
      <c r="H10" s="70" t="str">
        <f aca="false">AE27</f>
        <v>Paraguay</v>
      </c>
      <c r="J10" s="79" t="str">
        <f aca="false">VLOOKUP(2,AD8:AN11,2,FALSE())</f>
        <v>Korea Republic</v>
      </c>
      <c r="K10" s="80" t="n">
        <f aca="false">L10+M10+N10</f>
        <v>3</v>
      </c>
      <c r="L10" s="80" t="n">
        <f aca="false">VLOOKUP(2,AD8:AN11,3,FALSE())</f>
        <v>2</v>
      </c>
      <c r="M10" s="80" t="n">
        <f aca="false">VLOOKUP(2,AD8:AN11,4,FALSE())</f>
        <v>0</v>
      </c>
      <c r="N10" s="80" t="n">
        <f aca="false">VLOOKUP(2,AD8:AN11,5,FALSE())</f>
        <v>1</v>
      </c>
      <c r="O10" s="80" t="str">
        <f aca="false">VLOOKUP(2,AD8:AN11,6,FALSE()) &amp; " - " &amp; VLOOKUP(2,AD8:AN11,7,FALSE())</f>
        <v>5 - 4</v>
      </c>
      <c r="P10" s="81" t="n">
        <f aca="false">L10*3+M10</f>
        <v>6</v>
      </c>
      <c r="R10" s="42" t="n">
        <f aca="false">DATE(2026,6,12)+TIME(14,0,0)+gmt_delta</f>
        <v>46186.125</v>
      </c>
      <c r="S10" s="43" t="str">
        <f aca="false">IF(OR(F10="",G10=""),"",IF(F10&gt;G10,E10&amp;"_win",IF(F10&lt;G10,E10&amp;"_lose",E10&amp;"_draw")))</f>
        <v>United States_win</v>
      </c>
      <c r="T10" s="43" t="str">
        <f aca="false">IF(S10="","",IF(F10&lt;G10,H10&amp;"_win",IF(F10&gt;G10,H10&amp;"_lose",H10&amp;"_draw")))</f>
        <v>Paraguay_lose</v>
      </c>
      <c r="U10" s="42" t="n">
        <f aca="false">IF(S10="",0,IF(VLOOKUP(E10,$AE$8:$AN$77,10,FALSE())=VLOOKUP(H10,$AE$8:$AN$77,10,FALSE()),1,0))</f>
        <v>0</v>
      </c>
      <c r="V10" s="42" t="n">
        <f aca="false">U10*F10</f>
        <v>0</v>
      </c>
      <c r="W10" s="42" t="n">
        <f aca="false">U10*G10</f>
        <v>0</v>
      </c>
      <c r="X10" s="42" t="n">
        <f aca="false">IF(S10="",0,IF(VLOOKUP(E10,$AE$8:$AO$77,11,FALSE())=VLOOKUP(H10,$AE$8:$AO$77,11,FALSE()),1,0))</f>
        <v>0</v>
      </c>
      <c r="Y10" s="42" t="n">
        <f aca="false">X10*F10</f>
        <v>0</v>
      </c>
      <c r="Z10" s="42" t="n">
        <f aca="false">X10*G10</f>
        <v>0</v>
      </c>
      <c r="AA10" s="42" t="n">
        <f aca="false">IF(OR(E10=my_team,H10=my_team),1,IF(INT(MATCH(E10,$AE$8:$AE$78,0)/6)=$AA$6,1,0))</f>
        <v>0</v>
      </c>
      <c r="AB10" s="42" t="n">
        <f aca="false">IF(OR(F10="",G10=""),"",IF(F10&gt;G10,1,IF(F10&lt;G10,-1,0)))</f>
        <v>1</v>
      </c>
      <c r="AD10" s="42" t="n">
        <f aca="false">COUNTIF(AR8:AR11,CONCATENATE("&gt;=",AR10))</f>
        <v>2</v>
      </c>
      <c r="AE10" s="44" t="str">
        <f aca="false">VLOOKUP("Korea Republic",T,lang,FALSE())</f>
        <v>Korea Republic</v>
      </c>
      <c r="AF10" s="42" t="n">
        <f aca="false">COUNTIF($S$7:$T$78,"=" &amp; AE10 &amp; "_win")</f>
        <v>2</v>
      </c>
      <c r="AG10" s="42" t="n">
        <f aca="false">COUNTIF($S$7:$T$78,"=" &amp; AE10 &amp; "_draw")</f>
        <v>0</v>
      </c>
      <c r="AH10" s="42" t="n">
        <f aca="false">COUNTIF($S$7:$T$78,"=" &amp; AE10 &amp; "_lose")</f>
        <v>1</v>
      </c>
      <c r="AI10" s="42" t="n">
        <f aca="false">SUMIF($E$7:$E$78,$AE10,$F$7:$F$78) + SUMIF($H$7:$H$78,$AE10,$G$7:$G$78)</f>
        <v>5</v>
      </c>
      <c r="AJ10" s="42" t="n">
        <f aca="false">SUMIF($E$7:$E$78,$AE10,$G$7:$G$78) + SUMIF($H$7:$H$78,$AE10,$F$7:$F$78)</f>
        <v>4</v>
      </c>
      <c r="AL10" s="42" t="n">
        <f aca="false">AI10-AJ10</f>
        <v>1</v>
      </c>
      <c r="AM10" s="42" t="n">
        <f aca="false">AL10-AL12</f>
        <v>5</v>
      </c>
      <c r="AN10" s="42" t="n">
        <f aca="false">AF10*3+AG10</f>
        <v>6</v>
      </c>
      <c r="AO10" s="42" t="n">
        <f aca="false">AN10/AN12*10+BA10</f>
        <v>6</v>
      </c>
      <c r="AP10" s="42" t="n">
        <f aca="false">AO10*10000000+BI10*100+AM10/AM12*10+AI10/AI12*1++IF(AQ10=0,ROW(),AQ10)/2000000</f>
        <v>60000006.2706356</v>
      </c>
      <c r="AQ10" s="46" t="n">
        <f aca="false">VLOOKUP(AE10,db_fifarank,2,FALSE())</f>
        <v>1588.66</v>
      </c>
      <c r="AR10" s="45" t="n">
        <f aca="false">AP10/AP12</f>
        <v>0.666666656733936</v>
      </c>
      <c r="AT10" s="46" t="n">
        <f aca="false" t="array" ref="AT10:AT10">SUMPRODUCT(($S$7:$S$78=AE10&amp;"_win")*($U$7:$U$78))+SUMPRODUCT(($T$7:$T$78=AE10&amp;"_win")*($U$7:$U$78))</f>
        <v>0</v>
      </c>
      <c r="AU10" s="46" t="n">
        <f aca="false" t="array" ref="AU10:AU10">SUMPRODUCT(($S$7:$S$78=AE10&amp;"_draw")*($U$7:$U$78))+SUMPRODUCT(($T$7:$T$78=AE10&amp;"_draw")*($U$7:$U$78))</f>
        <v>0</v>
      </c>
      <c r="AV10" s="46" t="n">
        <f aca="false" t="array" ref="AV10:AV10">SUMPRODUCT(($E$7:$E$78=AE10)*($U$7:$U$78)*($F$7:$F$78))+SUMPRODUCT(($H$7:$H$78=AE10)*($U$7:$U$78)*($G$7:$G$78))</f>
        <v>0</v>
      </c>
      <c r="AW10" s="46" t="n">
        <f aca="false" t="array" ref="AW10:AW10">SUMPRODUCT(($E$7:$E$78=AE10)*($U$7:$U$78)*($G$7:$G$78))+SUMPRODUCT(($H$7:$H$78=AE10)*($U$7:$U$78)*($F$7:$F$78))</f>
        <v>0</v>
      </c>
      <c r="AX10" s="46" t="n">
        <f aca="false">AV10-AW10</f>
        <v>0</v>
      </c>
      <c r="AY10" s="46" t="n">
        <f aca="false">AX10-MIN(AX8:AX11)</f>
        <v>0</v>
      </c>
      <c r="AZ10" s="46" t="n">
        <f aca="false">AT10/AT12*1000+AU10/AU12*100+AY10/AY12*10+AV10/AV12</f>
        <v>0</v>
      </c>
      <c r="BA10" s="46" t="n">
        <f aca="false">AZ10/AZ12</f>
        <v>0</v>
      </c>
      <c r="BB10" s="46" t="n">
        <f aca="false" t="array" ref="BB10:BB10">SUMPRODUCT(($S$7:$S$78=AE10&amp;"_win")*($X$7:$X$78))+SUMPRODUCT(($T$7:$T$78=AE10&amp;"_win")*($X$7:$X$78))</f>
        <v>0</v>
      </c>
      <c r="BC10" s="46" t="n">
        <f aca="false" t="array" ref="BC10:BC10">SUMPRODUCT(($S$7:$S$78=AE10&amp;"_draw")*($X$7:$X$78))+SUMPRODUCT(($T$7:$T$78=AE10&amp;"_draw")*($X$7:$X$78))</f>
        <v>0</v>
      </c>
      <c r="BD10" s="46" t="n">
        <f aca="false" t="array" ref="BD10:BD10">SUMPRODUCT(($E$7:$E$78=AE10)*($X$7:$X$78)*($F$7:$F$78))+SUMPRODUCT(($H$7:$H$78=AE10)*($X$7:$X$78)*($G$7:$G$78))</f>
        <v>0</v>
      </c>
      <c r="BE10" s="46" t="n">
        <f aca="false" t="array" ref="BE10:BE10">SUMPRODUCT(($E$7:$E$78=AE10)*($X$7:$X$78)*($G$7:$G$78))+SUMPRODUCT(($H$7:$H$78=AE10)*($X$7:$X$78)*($F$7:$F$78))</f>
        <v>0</v>
      </c>
      <c r="BF10" s="46" t="n">
        <f aca="false">BD10-BE10</f>
        <v>0</v>
      </c>
      <c r="BG10" s="46" t="n">
        <f aca="false">BF10-MIN(BF8:BF11)</f>
        <v>0</v>
      </c>
      <c r="BH10" s="46" t="n">
        <f aca="false">BB10/BB12*1000+BC10/BC12*100+BG10/BG12*10+BD10/BD12</f>
        <v>0</v>
      </c>
      <c r="BI10" s="46" t="n">
        <f aca="false">BH10/BH12</f>
        <v>0</v>
      </c>
      <c r="BK10" s="82" t="n">
        <v>74</v>
      </c>
      <c r="BL10" s="83" t="str">
        <f aca="false">AS32</f>
        <v>Germany</v>
      </c>
      <c r="BM10" s="84" t="n">
        <v>1</v>
      </c>
      <c r="BN10" s="85"/>
      <c r="BO10" s="86"/>
      <c r="BP10" s="47" t="n">
        <f aca="false">IF(OR(BM10="",BM11="",AND(BN10="",BN11&lt;&gt;""),AND(BN11="",BN10&lt;&gt;""),AND(BO10="",BO11&lt;&gt;""),AND(BO11="",BO10&lt;&gt;"")),"",BM10*1000+BN10*10+BO10)</f>
        <v>1000</v>
      </c>
      <c r="BQ10" s="47"/>
      <c r="BR10" s="74"/>
      <c r="BS10" s="74"/>
      <c r="BT10" s="74"/>
      <c r="BU10" s="74"/>
      <c r="BV10" s="74"/>
      <c r="BW10" s="47"/>
      <c r="BX10" s="47"/>
      <c r="BY10" s="74"/>
      <c r="BZ10" s="74"/>
      <c r="CA10" s="74"/>
      <c r="CB10" s="74"/>
      <c r="CC10" s="74"/>
      <c r="CD10" s="47"/>
      <c r="CE10" s="47"/>
      <c r="CF10" s="74"/>
      <c r="CG10" s="74"/>
      <c r="CH10" s="74"/>
      <c r="CI10" s="74"/>
      <c r="CJ10" s="74"/>
      <c r="CL10" s="47"/>
      <c r="CM10" s="74"/>
      <c r="CN10" s="74"/>
      <c r="CO10" s="74"/>
      <c r="CP10" s="74"/>
      <c r="CQ10" s="74"/>
    </row>
    <row r="11" customFormat="false" ht="15" hidden="false" customHeight="true" outlineLevel="0" collapsed="false">
      <c r="A11" s="63" t="n">
        <v>5</v>
      </c>
      <c r="B11" s="64" t="str">
        <f aca="false" t="array" ref="B11:B11">INDEX(T,18+INT(MOD(R11-1,7)),lang)</f>
        <v>Sun</v>
      </c>
      <c r="C11" s="65" t="str">
        <f aca="false" t="array" ref="C11:C11">INDEX(T,24+MONTH(R11),lang) &amp; " " &amp; DAY(R11) &amp; ", " &amp; YEAR(R11)</f>
        <v>Jun 14, 2026</v>
      </c>
      <c r="D11" s="66" t="n">
        <f aca="false">TIME(HOUR(R11),MINUTE(R11),0)</f>
        <v>0.125</v>
      </c>
      <c r="E11" s="67" t="str">
        <f aca="false">AE22</f>
        <v>Haiti</v>
      </c>
      <c r="F11" s="68" t="n">
        <v>0</v>
      </c>
      <c r="G11" s="69" t="n">
        <v>2</v>
      </c>
      <c r="H11" s="70" t="str">
        <f aca="false">AE23</f>
        <v>Scotland</v>
      </c>
      <c r="J11" s="79" t="str">
        <f aca="false">VLOOKUP(3,AD8:AN11,2,FALSE())</f>
        <v>Czech Republic</v>
      </c>
      <c r="K11" s="80" t="n">
        <f aca="false">L11+M11+N11</f>
        <v>3</v>
      </c>
      <c r="L11" s="80" t="n">
        <f aca="false">VLOOKUP(3,AD8:AN11,3,FALSE())</f>
        <v>1</v>
      </c>
      <c r="M11" s="80" t="n">
        <f aca="false">VLOOKUP(3,AD8:AN11,4,FALSE())</f>
        <v>0</v>
      </c>
      <c r="N11" s="80" t="n">
        <f aca="false">VLOOKUP(3,AD8:AN11,5,FALSE())</f>
        <v>2</v>
      </c>
      <c r="O11" s="80" t="str">
        <f aca="false">VLOOKUP(3,AD8:AN11,6,FALSE()) &amp; " - " &amp; VLOOKUP(3,AD8:AN11,7,FALSE())</f>
        <v>3 - 4</v>
      </c>
      <c r="P11" s="81" t="n">
        <f aca="false">L11*3+M11</f>
        <v>3</v>
      </c>
      <c r="R11" s="42" t="n">
        <f aca="false">DATE(2026,6,13)+TIME(14,0,0)+gmt_delta</f>
        <v>46187.125</v>
      </c>
      <c r="S11" s="43" t="str">
        <f aca="false">IF(OR(F11="",G11=""),"",IF(F11&gt;G11,E11&amp;"_win",IF(F11&lt;G11,E11&amp;"_lose",E11&amp;"_draw")))</f>
        <v>Haiti_lose</v>
      </c>
      <c r="T11" s="43" t="str">
        <f aca="false">IF(S11="","",IF(F11&lt;G11,H11&amp;"_win",IF(F11&gt;G11,H11&amp;"_lose",H11&amp;"_draw")))</f>
        <v>Scotland_win</v>
      </c>
      <c r="U11" s="42" t="n">
        <f aca="false">IF(S11="",0,IF(VLOOKUP(E11,$AE$8:$AN$77,10,FALSE())=VLOOKUP(H11,$AE$8:$AN$77,10,FALSE()),1,0))</f>
        <v>0</v>
      </c>
      <c r="V11" s="42" t="n">
        <f aca="false">U11*F11</f>
        <v>0</v>
      </c>
      <c r="W11" s="42" t="n">
        <f aca="false">U11*G11</f>
        <v>0</v>
      </c>
      <c r="X11" s="42" t="n">
        <f aca="false">IF(S11="",0,IF(VLOOKUP(E11,$AE$8:$AO$77,11,FALSE())=VLOOKUP(H11,$AE$8:$AO$77,11,FALSE()),1,0))</f>
        <v>0</v>
      </c>
      <c r="Y11" s="42" t="n">
        <f aca="false">X11*F11</f>
        <v>0</v>
      </c>
      <c r="Z11" s="42" t="n">
        <f aca="false">X11*G11</f>
        <v>0</v>
      </c>
      <c r="AA11" s="42" t="n">
        <f aca="false">IF(OR(E11=my_team,H11=my_team),1,IF(INT(MATCH(E11,$AE$8:$AE$78,0)/6)=$AA$6,1,0))</f>
        <v>0</v>
      </c>
      <c r="AB11" s="42" t="n">
        <f aca="false">IF(OR(F11="",G11=""),"",IF(F11&gt;G11,1,IF(F11&lt;G11,-1,0)))</f>
        <v>-1</v>
      </c>
      <c r="AD11" s="42" t="n">
        <f aca="false">COUNTIF(AR8:AR11,CONCATENATE("&gt;=",AR11))</f>
        <v>3</v>
      </c>
      <c r="AE11" s="44" t="str">
        <f aca="false">VLOOKUP("Czech Republic",T,lang,FALSE())</f>
        <v>Czech Republic</v>
      </c>
      <c r="AF11" s="42" t="n">
        <f aca="false">COUNTIF($S$7:$T$78,"=" &amp; AE11 &amp; "_win")</f>
        <v>1</v>
      </c>
      <c r="AG11" s="42" t="n">
        <f aca="false">COUNTIF($S$7:$T$78,"=" &amp; AE11 &amp; "_draw")</f>
        <v>0</v>
      </c>
      <c r="AH11" s="42" t="n">
        <f aca="false">COUNTIF($S$7:$T$78,"=" &amp; AE11 &amp; "_lose")</f>
        <v>2</v>
      </c>
      <c r="AI11" s="42" t="n">
        <f aca="false">SUMIF($E$7:$E$78,$AE11,$F$7:$F$78) + SUMIF($H$7:$H$78,$AE11,$G$7:$G$78)</f>
        <v>3</v>
      </c>
      <c r="AJ11" s="42" t="n">
        <f aca="false">SUMIF($E$7:$E$78,$AE11,$G$7:$G$78) + SUMIF($H$7:$H$78,$AE11,$F$7:$F$78)</f>
        <v>4</v>
      </c>
      <c r="AL11" s="42" t="n">
        <f aca="false">AI11-AJ11</f>
        <v>-1</v>
      </c>
      <c r="AM11" s="42" t="n">
        <f aca="false">AL11-AL12</f>
        <v>3</v>
      </c>
      <c r="AN11" s="42" t="n">
        <f aca="false">AF11*3+AG11</f>
        <v>3</v>
      </c>
      <c r="AO11" s="42" t="n">
        <f aca="false">AN11/AN12*10+BA11</f>
        <v>3</v>
      </c>
      <c r="AP11" s="42" t="n">
        <f aca="false">AO11*10000000+BI11*100+AM11/AM12*10+AI11/AI12*1++IF(AQ11=0,ROW(),AQ11)/2000000</f>
        <v>30000003.7626555</v>
      </c>
      <c r="AQ11" s="46" t="n">
        <f aca="false">VLOOKUP(AE11,db_fifarank,2,FALSE())</f>
        <v>1501.38</v>
      </c>
      <c r="AR11" s="45" t="n">
        <f aca="false">AP11/AP12</f>
        <v>0.333333335337385</v>
      </c>
      <c r="AT11" s="46" t="n">
        <f aca="false" t="array" ref="AT11:AT11">SUMPRODUCT(($S$7:$S$78=AE11&amp;"_win")*($U$7:$U$78))+SUMPRODUCT(($T$7:$T$78=AE11&amp;"_win")*($U$7:$U$78))</f>
        <v>0</v>
      </c>
      <c r="AU11" s="46" t="n">
        <f aca="false" t="array" ref="AU11:AU11">SUMPRODUCT(($S$7:$S$78=AE11&amp;"_draw")*($U$7:$U$78))+SUMPRODUCT(($T$7:$T$78=AE11&amp;"_draw")*($U$7:$U$78))</f>
        <v>0</v>
      </c>
      <c r="AV11" s="46" t="n">
        <f aca="false" t="array" ref="AV11:AV11">SUMPRODUCT(($E$7:$E$78=AE11)*($U$7:$U$78)*($F$7:$F$78))+SUMPRODUCT(($H$7:$H$78=AE11)*($U$7:$U$78)*($G$7:$G$78))</f>
        <v>0</v>
      </c>
      <c r="AW11" s="46" t="n">
        <f aca="false" t="array" ref="AW11:AW11">SUMPRODUCT(($E$7:$E$78=AE11)*($U$7:$U$78)*($G$7:$G$78))+SUMPRODUCT(($H$7:$H$78=AE11)*($U$7:$U$78)*($F$7:$F$78))</f>
        <v>0</v>
      </c>
      <c r="AX11" s="46" t="n">
        <f aca="false">AV11-AW11</f>
        <v>0</v>
      </c>
      <c r="AY11" s="46" t="n">
        <f aca="false">AX11-MIN(AX8:AX11)</f>
        <v>0</v>
      </c>
      <c r="AZ11" s="46" t="n">
        <f aca="false">AT11/AT12*1000+AU11/AU12*100+AY11/AY12*10+AV11/AV12</f>
        <v>0</v>
      </c>
      <c r="BA11" s="46" t="n">
        <f aca="false">AZ11/AZ12</f>
        <v>0</v>
      </c>
      <c r="BB11" s="46" t="n">
        <f aca="false" t="array" ref="BB11:BB11">SUMPRODUCT(($S$7:$S$78=AE11&amp;"_win")*($X$7:$X$78))+SUMPRODUCT(($T$7:$T$78=AE11&amp;"_win")*($X$7:$X$78))</f>
        <v>0</v>
      </c>
      <c r="BC11" s="46" t="n">
        <f aca="false" t="array" ref="BC11:BC11">SUMPRODUCT(($S$7:$S$78=AE11&amp;"_draw")*($X$7:$X$78))+SUMPRODUCT(($T$7:$T$78=AE11&amp;"_draw")*($X$7:$X$78))</f>
        <v>0</v>
      </c>
      <c r="BD11" s="46" t="n">
        <f aca="false" t="array" ref="BD11:BD11">SUMPRODUCT(($E$7:$E$78=AE11)*($X$7:$X$78)*($F$7:$F$78))+SUMPRODUCT(($H$7:$H$78=AE11)*($X$7:$X$78)*($G$7:$G$78))</f>
        <v>0</v>
      </c>
      <c r="BE11" s="46" t="n">
        <f aca="false" t="array" ref="BE11:BE11">SUMPRODUCT(($E$7:$E$78=AE11)*($X$7:$X$78)*($G$7:$G$78))+SUMPRODUCT(($H$7:$H$78=AE11)*($X$7:$X$78)*($F$7:$F$78))</f>
        <v>0</v>
      </c>
      <c r="BF11" s="46" t="n">
        <f aca="false">BD11-BE11</f>
        <v>0</v>
      </c>
      <c r="BG11" s="46" t="n">
        <f aca="false">BF11-MIN(BF8:BF11)</f>
        <v>0</v>
      </c>
      <c r="BH11" s="46" t="n">
        <f aca="false">BB11/BB12*1000+BC11/BC12*100+BG11/BG12*10+BD11/BD12</f>
        <v>0</v>
      </c>
      <c r="BI11" s="46" t="n">
        <f aca="false">BH11/BH12</f>
        <v>0</v>
      </c>
      <c r="BK11" s="82"/>
      <c r="BL11" s="87" t="str">
        <f aca="false">IF(group_round_completed,VLOOKUP('3rd places'!G3,AK80:AS91,9,FALSE()),"3rd Group A/B/C/D/F")</f>
        <v>Australia</v>
      </c>
      <c r="BM11" s="88" t="n">
        <v>0</v>
      </c>
      <c r="BN11" s="89"/>
      <c r="BO11" s="90"/>
      <c r="BP11" s="91" t="n">
        <f aca="false">IF(BP10="","",BM11*1000+BN11*10+BO11)</f>
        <v>0</v>
      </c>
      <c r="BQ11" s="47"/>
      <c r="BR11" s="74" t="str">
        <f aca="false" t="array" ref="BR11: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74"/>
      <c r="BT11" s="74"/>
      <c r="BU11" s="74"/>
      <c r="BV11" s="92"/>
      <c r="BW11" s="47" t="n">
        <f aca="false">DATE(2026,7,4)+TIME(10,0,0)+gmt_delta</f>
        <v>46207.9583333333</v>
      </c>
      <c r="BX11" s="47"/>
      <c r="BY11" s="74"/>
      <c r="BZ11" s="74"/>
      <c r="CA11" s="74"/>
      <c r="CB11" s="74"/>
      <c r="CC11" s="74"/>
      <c r="CD11" s="47"/>
      <c r="CE11" s="47"/>
      <c r="CF11" s="74"/>
      <c r="CG11" s="74"/>
      <c r="CH11" s="74"/>
      <c r="CI11" s="74"/>
      <c r="CJ11" s="74"/>
      <c r="CL11" s="47"/>
      <c r="CM11" s="74"/>
      <c r="CN11" s="74"/>
      <c r="CO11" s="74"/>
      <c r="CP11" s="74"/>
      <c r="CQ11" s="74"/>
    </row>
    <row r="12" customFormat="false" ht="14.25" hidden="false" customHeight="true" outlineLevel="0" collapsed="false">
      <c r="A12" s="63" t="n">
        <v>6</v>
      </c>
      <c r="B12" s="64" t="str">
        <f aca="false" t="array" ref="B12:B12">INDEX(T,18+INT(MOD(R12-1,7)),lang)</f>
        <v>Sun</v>
      </c>
      <c r="C12" s="65" t="str">
        <f aca="false" t="array" ref="C12:C12">INDEX(T,24+MONTH(R12),lang) &amp; " " &amp; DAY(R12) &amp; ", " &amp; YEAR(R12)</f>
        <v>Jun 14, 2026</v>
      </c>
      <c r="D12" s="66" t="n">
        <f aca="false">TIME(HOUR(R12),MINUTE(R12),0)</f>
        <v>0.25</v>
      </c>
      <c r="E12" s="67" t="str">
        <f aca="false">AE28</f>
        <v>Australia</v>
      </c>
      <c r="F12" s="68" t="n">
        <v>0</v>
      </c>
      <c r="G12" s="69" t="n">
        <v>1</v>
      </c>
      <c r="H12" s="70" t="str">
        <f aca="false">AE29</f>
        <v>Turkey</v>
      </c>
      <c r="J12" s="93" t="str">
        <f aca="false">VLOOKUP(4,AD8:AN11,2,FALSE())</f>
        <v>South Africa</v>
      </c>
      <c r="K12" s="94" t="n">
        <f aca="false">L12+M12+N12</f>
        <v>3</v>
      </c>
      <c r="L12" s="94" t="n">
        <f aca="false">VLOOKUP(4,AD8:AN11,3,FALSE())</f>
        <v>0</v>
      </c>
      <c r="M12" s="94" t="n">
        <f aca="false">VLOOKUP(4,AD8:AN11,4,FALSE())</f>
        <v>0</v>
      </c>
      <c r="N12" s="94" t="n">
        <f aca="false">VLOOKUP(4,AD8:AN11,5,FALSE())</f>
        <v>3</v>
      </c>
      <c r="O12" s="94" t="str">
        <f aca="false">VLOOKUP(4,AD8:AN11,6,FALSE()) &amp; " - " &amp; VLOOKUP(4,AD8:AN11,7,FALSE())</f>
        <v>1 - 5</v>
      </c>
      <c r="P12" s="95" t="n">
        <f aca="false">L12*3+M12</f>
        <v>0</v>
      </c>
      <c r="R12" s="42" t="n">
        <f aca="false">DATE(2026,6,13)+TIME(17,0,0)+gmt_delta</f>
        <v>46187.25</v>
      </c>
      <c r="S12" s="43" t="str">
        <f aca="false">IF(OR(F12="",G12=""),"",IF(F12&gt;G12,E12&amp;"_win",IF(F12&lt;G12,E12&amp;"_lose",E12&amp;"_draw")))</f>
        <v>Australia_lose</v>
      </c>
      <c r="T12" s="43" t="str">
        <f aca="false">IF(S12="","",IF(F12&lt;G12,H12&amp;"_win",IF(F12&gt;G12,H12&amp;"_lose",H12&amp;"_draw")))</f>
        <v>Turkey_win</v>
      </c>
      <c r="U12" s="42" t="n">
        <f aca="false">IF(S12="",0,IF(VLOOKUP(E12,$AE$8:$AN$77,10,FALSE())=VLOOKUP(H12,$AE$8:$AN$77,10,FALSE()),1,0))</f>
        <v>0</v>
      </c>
      <c r="V12" s="42" t="n">
        <f aca="false">U12*F12</f>
        <v>0</v>
      </c>
      <c r="W12" s="42" t="n">
        <f aca="false">U12*G12</f>
        <v>0</v>
      </c>
      <c r="X12" s="42" t="n">
        <f aca="false">IF(S12="",0,IF(VLOOKUP(E12,$AE$8:$AO$77,11,FALSE())=VLOOKUP(H12,$AE$8:$AO$77,11,FALSE()),1,0))</f>
        <v>0</v>
      </c>
      <c r="Y12" s="42" t="n">
        <f aca="false">X12*F12</f>
        <v>0</v>
      </c>
      <c r="Z12" s="42" t="n">
        <f aca="false">X12*G12</f>
        <v>0</v>
      </c>
      <c r="AA12" s="42" t="n">
        <f aca="false">IF(OR(E12=my_team,H12=my_team),1,IF(INT(MATCH(E12,$AE$8:$AE$78,0)/6)=$AA$6,1,0))</f>
        <v>0</v>
      </c>
      <c r="AB12" s="42" t="n">
        <f aca="false">IF(OR(F12="",G12=""),"",IF(F12&gt;G12,1,IF(F12&lt;G12,-1,0)))</f>
        <v>-1</v>
      </c>
      <c r="AF12" s="42" t="n">
        <f aca="false">MAX(AF8:AF11)-MIN(AF8:AF11)+1</f>
        <v>4</v>
      </c>
      <c r="AG12" s="42" t="n">
        <f aca="false">MAX(AG8:AG11)-MIN(AG8:AG11)+1</f>
        <v>1</v>
      </c>
      <c r="AH12" s="42" t="n">
        <f aca="false">MAX(AH8:AH11)-MIN(AH8:AH11)+1</f>
        <v>4</v>
      </c>
      <c r="AI12" s="42" t="n">
        <f aca="false">MAX(AI8:AI11)+1</f>
        <v>7</v>
      </c>
      <c r="AL12" s="42" t="n">
        <f aca="false">MIN(AL8:AL11)</f>
        <v>-4</v>
      </c>
      <c r="AM12" s="42" t="n">
        <f aca="false">MAX(AM8:AM11)+1</f>
        <v>9</v>
      </c>
      <c r="AN12" s="42" t="n">
        <f aca="false">MAX(AN8:AN11)+1</f>
        <v>10</v>
      </c>
      <c r="AO12" s="42" t="n">
        <f aca="false">MAX(AO8:AO11)+1</f>
        <v>10</v>
      </c>
      <c r="AP12" s="42" t="n">
        <f aca="false">MAX(AP8:AP11)+1</f>
        <v>90000010.7468723</v>
      </c>
      <c r="AT12" s="46" t="n">
        <f aca="false">MAX(AT8:AT11)-MIN(AT8:AT11)+1</f>
        <v>1</v>
      </c>
      <c r="AU12" s="46" t="n">
        <f aca="false">MAX(AU8:AU11)-MIN(AU8:AU11)+1</f>
        <v>1</v>
      </c>
      <c r="AV12" s="46" t="n">
        <f aca="false">MAX(AV8:AV11)-MIN(AV8:AV11)+1</f>
        <v>1</v>
      </c>
      <c r="AW12" s="46" t="n">
        <f aca="false">MAX(AW8:AW11)-MIN(AW8:AW11)+1</f>
        <v>1</v>
      </c>
      <c r="AY12" s="46" t="n">
        <f aca="false">MAX(AY8:AY11)-MIN(AY8:AY11)+1</f>
        <v>1</v>
      </c>
      <c r="AZ12" s="46" t="n">
        <f aca="false">MAX(AZ8:AZ11)+1</f>
        <v>1</v>
      </c>
      <c r="BB12" s="46" t="n">
        <f aca="false">MAX(BB8:BB11)-MIN(BB8:BB11)+1</f>
        <v>1</v>
      </c>
      <c r="BC12" s="46" t="n">
        <f aca="false">MAX(BC8:BC11)-MIN(BC8:BC11)+1</f>
        <v>1</v>
      </c>
      <c r="BD12" s="46" t="n">
        <f aca="false">MAX(BD8:BD11)-MIN(BD8:BD11)+1</f>
        <v>1</v>
      </c>
      <c r="BE12" s="46" t="n">
        <f aca="false">MAX(BE8:BE11)-MIN(BE8:BE11)+1</f>
        <v>1</v>
      </c>
      <c r="BG12" s="46" t="n">
        <f aca="false">MAX(BG8:BG11)-MIN(BG8:BG11)+1</f>
        <v>1</v>
      </c>
      <c r="BH12" s="46" t="n">
        <f aca="false">MAX(BH8:BH11)+1</f>
        <v>1</v>
      </c>
      <c r="BK12" s="74"/>
      <c r="BL12" s="74"/>
      <c r="BM12" s="74"/>
      <c r="BN12" s="74"/>
      <c r="BO12" s="74"/>
      <c r="BP12" s="96"/>
      <c r="BQ12" s="47"/>
      <c r="BR12" s="82" t="n">
        <v>89</v>
      </c>
      <c r="BS12" s="83" t="str">
        <f aca="false">IF(BP10&gt;BP11,BL10,IF(BP10&lt;BP11,BL11,""))</f>
        <v>Germany</v>
      </c>
      <c r="BT12" s="84" t="n">
        <v>0</v>
      </c>
      <c r="BU12" s="85"/>
      <c r="BV12" s="86"/>
      <c r="BW12" s="47" t="n">
        <f aca="false">IF(OR(BT12="",BT13="",AND(BU12="",BU13&lt;&gt;""),AND(BU13="",BU12&lt;&gt;""),AND(BV12="",BV13&lt;&gt;""),AND(BV13="",BV12&lt;&gt;"")),"",BT12*1000+BU12*10+BV12)</f>
        <v>0</v>
      </c>
      <c r="BX12" s="47"/>
      <c r="BY12" s="74"/>
      <c r="BZ12" s="74"/>
      <c r="CA12" s="74"/>
      <c r="CB12" s="74"/>
      <c r="CC12" s="74"/>
      <c r="CD12" s="47"/>
      <c r="CE12" s="47"/>
      <c r="CF12" s="74"/>
      <c r="CG12" s="74"/>
      <c r="CH12" s="74"/>
      <c r="CI12" s="74"/>
      <c r="CJ12" s="74"/>
      <c r="CL12" s="47"/>
      <c r="CM12" s="74"/>
      <c r="CN12" s="74"/>
      <c r="CO12" s="74"/>
      <c r="CP12" s="74"/>
      <c r="CQ12" s="74"/>
    </row>
    <row r="13" customFormat="false" ht="14.25" hidden="false" customHeight="true" outlineLevel="0" collapsed="false">
      <c r="A13" s="63" t="n">
        <v>7</v>
      </c>
      <c r="B13" s="64" t="str">
        <f aca="false" t="array" ref="B13:B13">INDEX(T,18+INT(MOD(R13-1,7)),lang)</f>
        <v>Sun</v>
      </c>
      <c r="C13" s="65" t="str">
        <f aca="false" t="array" ref="C13:C13">INDEX(T,24+MONTH(R13),lang) &amp; " " &amp; DAY(R13) &amp; ", " &amp; YEAR(R13)</f>
        <v>Jun 14, 2026</v>
      </c>
      <c r="D13" s="66" t="n">
        <f aca="false">TIME(HOUR(R13),MINUTE(R13),0)</f>
        <v>0</v>
      </c>
      <c r="E13" s="67" t="str">
        <f aca="false">AE20</f>
        <v>Brazil</v>
      </c>
      <c r="F13" s="68" t="n">
        <v>1</v>
      </c>
      <c r="G13" s="69" t="n">
        <v>0</v>
      </c>
      <c r="H13" s="70" t="str">
        <f aca="false">AE21</f>
        <v>Morocco</v>
      </c>
      <c r="R13" s="42" t="n">
        <f aca="false">DATE(2026,6,13)+TIME(11,0,0)+gmt_delta</f>
        <v>46187</v>
      </c>
      <c r="S13" s="43" t="str">
        <f aca="false">IF(OR(F13="",G13=""),"",IF(F13&gt;G13,E13&amp;"_win",IF(F13&lt;G13,E13&amp;"_lose",E13&amp;"_draw")))</f>
        <v>Brazil_win</v>
      </c>
      <c r="T13" s="43" t="str">
        <f aca="false">IF(S13="","",IF(F13&lt;G13,H13&amp;"_win",IF(F13&gt;G13,H13&amp;"_lose",H13&amp;"_draw")))</f>
        <v>Morocco_lose</v>
      </c>
      <c r="U13" s="42" t="n">
        <f aca="false">IF(S13="",0,IF(VLOOKUP(E13,$AE$8:$AN$77,10,FALSE())=VLOOKUP(H13,$AE$8:$AN$77,10,FALSE()),1,0))</f>
        <v>0</v>
      </c>
      <c r="V13" s="42" t="n">
        <f aca="false">U13*F13</f>
        <v>0</v>
      </c>
      <c r="W13" s="42" t="n">
        <f aca="false">U13*G13</f>
        <v>0</v>
      </c>
      <c r="X13" s="42" t="n">
        <f aca="false">IF(S13="",0,IF(VLOOKUP(E13,$AE$8:$AO$77,11,FALSE())=VLOOKUP(H13,$AE$8:$AO$77,11,FALSE()),1,0))</f>
        <v>0</v>
      </c>
      <c r="Y13" s="42" t="n">
        <f aca="false">X13*F13</f>
        <v>0</v>
      </c>
      <c r="Z13" s="42" t="n">
        <f aca="false">X13*G13</f>
        <v>0</v>
      </c>
      <c r="AA13" s="42" t="n">
        <f aca="false">IF(OR(E13=my_team,H13=my_team),1,IF(INT(MATCH(E13,$AE$8:$AE$78,0)/6)=$AA$6,1,0))</f>
        <v>0</v>
      </c>
      <c r="AB13" s="42" t="n">
        <f aca="false">IF(OR(F13="",G13=""),"",IF(F13&gt;G13,1,IF(F13&lt;G13,-1,0)))</f>
        <v>1</v>
      </c>
      <c r="BK13" s="74" t="str">
        <f aca="false" t="array" ref="BK13: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74"/>
      <c r="BM13" s="74"/>
      <c r="BN13" s="74"/>
      <c r="BO13" s="92"/>
      <c r="BP13" s="96" t="n">
        <f aca="false">DATE(2026,6,30)+TIME(10,0,0)+gmt_delta</f>
        <v>46203.9583333333</v>
      </c>
      <c r="BQ13" s="97"/>
      <c r="BR13" s="82"/>
      <c r="BS13" s="87" t="str">
        <f aca="false">IF(BP14&gt;BP15,BL14,IF(BP14&lt;BP15,BL15,""))</f>
        <v>France</v>
      </c>
      <c r="BT13" s="88" t="n">
        <v>1</v>
      </c>
      <c r="BU13" s="89"/>
      <c r="BV13" s="90"/>
      <c r="BW13" s="91" t="n">
        <f aca="false">IF(BW12="","",BT13*1000+BU13*10+BV13)</f>
        <v>1000</v>
      </c>
      <c r="BX13" s="47"/>
      <c r="BY13" s="74"/>
      <c r="BZ13" s="74"/>
      <c r="CA13" s="74"/>
      <c r="CB13" s="74"/>
      <c r="CC13" s="74"/>
      <c r="CD13" s="47"/>
      <c r="CE13" s="47"/>
      <c r="CF13" s="74"/>
      <c r="CG13" s="74"/>
      <c r="CH13" s="74"/>
      <c r="CI13" s="74"/>
      <c r="CJ13" s="74"/>
      <c r="CL13" s="47"/>
      <c r="CM13" s="74"/>
      <c r="CN13" s="74"/>
      <c r="CO13" s="74"/>
      <c r="CP13" s="74"/>
      <c r="CQ13" s="74"/>
    </row>
    <row r="14" customFormat="false" ht="14.25" hidden="false" customHeight="true" outlineLevel="0" collapsed="false">
      <c r="A14" s="63" t="n">
        <v>8</v>
      </c>
      <c r="B14" s="64" t="str">
        <f aca="false" t="array" ref="B14:B14">INDEX(T,18+INT(MOD(R14-1,7)),lang)</f>
        <v>Sat</v>
      </c>
      <c r="C14" s="65" t="str">
        <f aca="false" t="array" ref="C14:C14">INDEX(T,24+MONTH(R14),lang) &amp; " " &amp; DAY(R14) &amp; ", " &amp; YEAR(R14)</f>
        <v>Jun 13, 2026</v>
      </c>
      <c r="D14" s="66" t="n">
        <f aca="false">TIME(HOUR(R14),MINUTE(R14),0)</f>
        <v>0.875</v>
      </c>
      <c r="E14" s="67" t="str">
        <f aca="false">AE16</f>
        <v>Qatar</v>
      </c>
      <c r="F14" s="68" t="n">
        <v>1</v>
      </c>
      <c r="G14" s="69" t="n">
        <v>2</v>
      </c>
      <c r="H14" s="70" t="str">
        <f aca="false">AE17</f>
        <v>Switzerland</v>
      </c>
      <c r="J14" s="71" t="str">
        <f aca="false" t="array" ref="J14:J14">INDEX(T,9,lang) &amp; " " &amp; "B"</f>
        <v>Group B</v>
      </c>
      <c r="K14" s="72" t="str">
        <f aca="false" t="array" ref="K14:K14">INDEX(T,10,lang)</f>
        <v>PL</v>
      </c>
      <c r="L14" s="72" t="str">
        <f aca="false" t="array" ref="L14:L14">INDEX(T,11,lang)</f>
        <v>W</v>
      </c>
      <c r="M14" s="72" t="str">
        <f aca="false" t="array" ref="M14:M14">INDEX(T,12,lang)</f>
        <v>DRAW</v>
      </c>
      <c r="N14" s="72" t="str">
        <f aca="false" t="array" ref="N14:N14">INDEX(T,13,lang)</f>
        <v>L</v>
      </c>
      <c r="O14" s="72" t="str">
        <f aca="false" t="array" ref="O14:O14">INDEX(T,14,lang)</f>
        <v>GF - GA</v>
      </c>
      <c r="P14" s="73" t="str">
        <f aca="false" t="array" ref="P14:P14">INDEX(T,15,lang)</f>
        <v>PNT</v>
      </c>
      <c r="R14" s="42" t="n">
        <f aca="false">DATE(2026,6,13)+TIME(8,0,0)+gmt_delta</f>
        <v>46186.875</v>
      </c>
      <c r="S14" s="43" t="str">
        <f aca="false">IF(OR(F14="",G14=""),"",IF(F14&gt;G14,E14&amp;"_win",IF(F14&lt;G14,E14&amp;"_lose",E14&amp;"_draw")))</f>
        <v>Qatar_lose</v>
      </c>
      <c r="T14" s="43" t="str">
        <f aca="false">IF(S14="","",IF(F14&lt;G14,H14&amp;"_win",IF(F14&gt;G14,H14&amp;"_lose",H14&amp;"_draw")))</f>
        <v>Switzerland_win</v>
      </c>
      <c r="U14" s="42" t="n">
        <f aca="false">IF(S14="",0,IF(VLOOKUP(E14,$AE$8:$AN$77,10,FALSE())=VLOOKUP(H14,$AE$8:$AN$77,10,FALSE()),1,0))</f>
        <v>0</v>
      </c>
      <c r="V14" s="42" t="n">
        <f aca="false">U14*F14</f>
        <v>0</v>
      </c>
      <c r="W14" s="42" t="n">
        <f aca="false">U14*G14</f>
        <v>0</v>
      </c>
      <c r="X14" s="42" t="n">
        <f aca="false">IF(S14="",0,IF(VLOOKUP(E14,$AE$8:$AO$77,11,FALSE())=VLOOKUP(H14,$AE$8:$AO$77,11,FALSE()),1,0))</f>
        <v>0</v>
      </c>
      <c r="Y14" s="42" t="n">
        <f aca="false">X14*F14</f>
        <v>0</v>
      </c>
      <c r="Z14" s="42" t="n">
        <f aca="false">X14*G14</f>
        <v>0</v>
      </c>
      <c r="AA14" s="42" t="n">
        <f aca="false">IF(OR(E14=my_team,H14=my_team),1,IF(INT(MATCH(E14,$AE$8:$AE$78,0)/6)=$AA$6,1,0))</f>
        <v>0</v>
      </c>
      <c r="AB14" s="42" t="n">
        <f aca="false">IF(OR(F14="",G14=""),"",IF(F14&gt;G14,1,IF(F14&lt;G14,-1,0)))</f>
        <v>-1</v>
      </c>
      <c r="AD14" s="42" t="n">
        <f aca="false">COUNTIF(AR14:AR17,CONCATENATE("&gt;=",AR14))</f>
        <v>2</v>
      </c>
      <c r="AE14" s="44" t="str">
        <f aca="false">VLOOKUP("Canada",T,lang,FALSE())</f>
        <v>Canada</v>
      </c>
      <c r="AF14" s="42" t="n">
        <f aca="false">COUNTIF($S$7:$T$78,"=" &amp; AE14 &amp; "_win")</f>
        <v>2</v>
      </c>
      <c r="AG14" s="42" t="n">
        <f aca="false">COUNTIF($S$7:$T$78,"=" &amp; AE14 &amp; "_draw")</f>
        <v>0</v>
      </c>
      <c r="AH14" s="42" t="n">
        <f aca="false">COUNTIF($S$7:$T$78,"=" &amp; AE14 &amp; "_lose")</f>
        <v>1</v>
      </c>
      <c r="AI14" s="42" t="n">
        <f aca="false">SUMIF($E$7:$E$78,$AE14,$F$7:$F$78) + SUMIF($H$7:$H$78,$AE14,$G$7:$G$78)</f>
        <v>5</v>
      </c>
      <c r="AJ14" s="42" t="n">
        <f aca="false">SUMIF($E$7:$E$78,$AE14,$G$7:$G$78) + SUMIF($H$7:$H$78,$AE14,$F$7:$F$78)</f>
        <v>4</v>
      </c>
      <c r="AL14" s="42" t="n">
        <f aca="false">AI14-AJ14</f>
        <v>1</v>
      </c>
      <c r="AM14" s="42" t="n">
        <f aca="false">AL14-AL18</f>
        <v>5</v>
      </c>
      <c r="AN14" s="42" t="n">
        <f aca="false">AF14*3+AG14</f>
        <v>6</v>
      </c>
      <c r="AO14" s="42" t="n">
        <f aca="false">AN14/AN18*10+BA14</f>
        <v>6</v>
      </c>
      <c r="AP14" s="42" t="n">
        <f aca="false">AO14*10000000+BI14*100+AM14/AM18*10+AI14/AI18*1++IF(AQ14=0,ROW(),AQ14)/2000000</f>
        <v>60000006.2706195</v>
      </c>
      <c r="AQ14" s="46" t="n">
        <f aca="false">VLOOKUP(AE14,db_fifarank,2,FALSE())</f>
        <v>1556.48</v>
      </c>
      <c r="AR14" s="45" t="n">
        <f aca="false">AP14/AP18</f>
        <v>0.666666656733874</v>
      </c>
      <c r="AS14" s="45" t="str">
        <f aca="false">IF(SUM(AF14:AH17)=12,J15,"1B")</f>
        <v>Switzerland</v>
      </c>
      <c r="AT14" s="46" t="n">
        <f aca="false" t="array" ref="AT14:AT14">SUMPRODUCT(($S$7:$S$78=AE14&amp;"_win")*($U$7:$U$78))+SUMPRODUCT(($T$7:$T$78=AE14&amp;"_win")*($U$7:$U$78))</f>
        <v>0</v>
      </c>
      <c r="AU14" s="46" t="n">
        <f aca="false" t="array" ref="AU14:AU14">SUMPRODUCT(($S$7:$S$78=AE14&amp;"_draw")*($U$7:$U$78))+SUMPRODUCT(($T$7:$T$78=AE14&amp;"_draw")*($U$7:$U$78))</f>
        <v>0</v>
      </c>
      <c r="AV14" s="46" t="n">
        <f aca="false" t="array" ref="AV14:AV14">SUMPRODUCT(($E$7:$E$78=AE14)*($U$7:$U$78)*($F$7:$F$78))+SUMPRODUCT(($H$7:$H$78=AE14)*($U$7:$U$78)*($G$7:$G$78))</f>
        <v>0</v>
      </c>
      <c r="AW14" s="46" t="n">
        <f aca="false" t="array" ref="AW14:AW14">SUMPRODUCT(($E$7:$E$78=AE14)*($U$7:$U$78)*($G$7:$G$78))+SUMPRODUCT(($H$7:$H$78=AE14)*($U$7:$U$78)*($F$7:$F$78))</f>
        <v>0</v>
      </c>
      <c r="AX14" s="46" t="n">
        <f aca="false">AV14-AW14</f>
        <v>0</v>
      </c>
      <c r="AY14" s="46" t="n">
        <f aca="false">AX14-MIN(AX14:AX17)</f>
        <v>0</v>
      </c>
      <c r="AZ14" s="46" t="n">
        <f aca="false">AT14/AT18*1000+AU14/AU18*100+AY14/AY18*10+AV14/AV18</f>
        <v>0</v>
      </c>
      <c r="BA14" s="46" t="n">
        <f aca="false">AZ14/AZ18</f>
        <v>0</v>
      </c>
      <c r="BB14" s="46" t="n">
        <f aca="false" t="array" ref="BB14:BB14">SUMPRODUCT(($S$7:$S$78=AE14&amp;"_win")*($X$7:$X$78))+SUMPRODUCT(($T$7:$T$78=AE14&amp;"_win")*($X$7:$X$78))</f>
        <v>0</v>
      </c>
      <c r="BC14" s="46" t="n">
        <f aca="false" t="array" ref="BC14:BC14">SUMPRODUCT(($S$7:$S$78=AE14&amp;"_draw")*($X$7:$X$78))+SUMPRODUCT(($T$7:$T$78=AE14&amp;"_draw")*($X$7:$X$78))</f>
        <v>0</v>
      </c>
      <c r="BD14" s="46" t="n">
        <f aca="false" t="array" ref="BD14:BD14">SUMPRODUCT(($E$7:$E$78=AE14)*($X$7:$X$78)*($F$7:$F$78))+SUMPRODUCT(($H$7:$H$78=AE14)*($X$7:$X$78)*($G$7:$G$78))</f>
        <v>0</v>
      </c>
      <c r="BE14" s="46" t="n">
        <f aca="false" t="array" ref="BE14:BE14">SUMPRODUCT(($E$7:$E$78=AE14)*($X$7:$X$78)*($G$7:$G$78))+SUMPRODUCT(($H$7:$H$78=AE14)*($X$7:$X$78)*($F$7:$F$78))</f>
        <v>0</v>
      </c>
      <c r="BF14" s="46" t="n">
        <f aca="false">BD14-BE14</f>
        <v>0</v>
      </c>
      <c r="BG14" s="46" t="n">
        <f aca="false">BF14-MIN(BF14:BF17)</f>
        <v>0</v>
      </c>
      <c r="BH14" s="46" t="n">
        <f aca="false">BB14/BB18*1000+BC14/BC18*100+BG14/BG18*10+BD14/BD18</f>
        <v>0</v>
      </c>
      <c r="BI14" s="46" t="n">
        <f aca="false">BH14/BH18</f>
        <v>0</v>
      </c>
      <c r="BK14" s="82" t="n">
        <v>77</v>
      </c>
      <c r="BL14" s="83" t="str">
        <f aca="false">AS56</f>
        <v>France</v>
      </c>
      <c r="BM14" s="84" t="n">
        <v>1</v>
      </c>
      <c r="BN14" s="85"/>
      <c r="BO14" s="86"/>
      <c r="BP14" s="98" t="n">
        <f aca="false">IF(OR(BM14="",BM15="",AND(BN14="",BN15&lt;&gt;""),AND(BN15="",BN14&lt;&gt;""),AND(BO14="",BO15&lt;&gt;""),AND(BO15="",BO14&lt;&gt;"")),"",BM14*1000+BN14*10+BO14)</f>
        <v>1000</v>
      </c>
      <c r="BQ14" s="47"/>
      <c r="BR14" s="74"/>
      <c r="BS14" s="74"/>
      <c r="BT14" s="74"/>
      <c r="BU14" s="74"/>
      <c r="BV14" s="74"/>
      <c r="BW14" s="96"/>
      <c r="BX14" s="47"/>
      <c r="BY14" s="74"/>
      <c r="BZ14" s="74"/>
      <c r="CA14" s="74"/>
      <c r="CB14" s="74"/>
      <c r="CC14" s="92"/>
      <c r="CD14" s="47"/>
      <c r="CE14" s="47"/>
      <c r="CF14" s="74"/>
      <c r="CG14" s="74"/>
      <c r="CH14" s="74"/>
      <c r="CI14" s="74"/>
      <c r="CJ14" s="74"/>
      <c r="CL14" s="47"/>
      <c r="CM14" s="74"/>
      <c r="CN14" s="74"/>
      <c r="CO14" s="74"/>
      <c r="CP14" s="74"/>
      <c r="CQ14" s="74"/>
    </row>
    <row r="15" customFormat="false" ht="14.25" hidden="false" customHeight="true" outlineLevel="0" collapsed="false">
      <c r="A15" s="63" t="n">
        <v>9</v>
      </c>
      <c r="B15" s="64" t="str">
        <f aca="false" t="array" ref="B15:B15">INDEX(T,18+INT(MOD(R15-1,7)),lang)</f>
        <v>Mon</v>
      </c>
      <c r="C15" s="65" t="str">
        <f aca="false" t="array" ref="C15:C15">INDEX(T,24+MONTH(R15),lang) &amp; " " &amp; DAY(R15) &amp; ", " &amp; YEAR(R15)</f>
        <v>Jun 15, 2026</v>
      </c>
      <c r="D15" s="66" t="n">
        <f aca="false">TIME(HOUR(R15),MINUTE(R15),0)</f>
        <v>0.0416666666666667</v>
      </c>
      <c r="E15" s="67" t="str">
        <f aca="false">AE34</f>
        <v>Ivory Coast</v>
      </c>
      <c r="F15" s="68" t="n">
        <v>0</v>
      </c>
      <c r="G15" s="69" t="n">
        <v>1</v>
      </c>
      <c r="H15" s="70" t="str">
        <f aca="false">AE35</f>
        <v>Ecuador</v>
      </c>
      <c r="J15" s="75" t="str">
        <f aca="false">VLOOKUP(1,AD14:AN17,2,FALSE())</f>
        <v>Switzerland</v>
      </c>
      <c r="K15" s="76" t="n">
        <f aca="false">L15+M15+N15</f>
        <v>3</v>
      </c>
      <c r="L15" s="76" t="n">
        <f aca="false">VLOOKUP(1,AD14:AN17,3,FALSE())</f>
        <v>3</v>
      </c>
      <c r="M15" s="76" t="n">
        <f aca="false">VLOOKUP(1,AD14:AN17,4,FALSE())</f>
        <v>0</v>
      </c>
      <c r="N15" s="76" t="n">
        <f aca="false">VLOOKUP(1,AD14:AN17,5,FALSE())</f>
        <v>0</v>
      </c>
      <c r="O15" s="76" t="str">
        <f aca="false">VLOOKUP(1,AD14:AN17,6,FALSE()) &amp; " - " &amp; VLOOKUP(1,AD14:AN17,7,FALSE())</f>
        <v>6 - 2</v>
      </c>
      <c r="P15" s="77" t="n">
        <f aca="false">L15*3+M15</f>
        <v>9</v>
      </c>
      <c r="R15" s="42" t="n">
        <f aca="false">DATE(2026,6,14)+TIME(12,0,0)+gmt_delta</f>
        <v>46188.0416666667</v>
      </c>
      <c r="S15" s="43" t="str">
        <f aca="false">IF(OR(F15="",G15=""),"",IF(F15&gt;G15,E15&amp;"_win",IF(F15&lt;G15,E15&amp;"_lose",E15&amp;"_draw")))</f>
        <v>Ivory Coast_lose</v>
      </c>
      <c r="T15" s="43" t="str">
        <f aca="false">IF(S15="","",IF(F15&lt;G15,H15&amp;"_win",IF(F15&gt;G15,H15&amp;"_lose",H15&amp;"_draw")))</f>
        <v>Ecuador_win</v>
      </c>
      <c r="U15" s="42" t="n">
        <f aca="false">IF(S15="",0,IF(VLOOKUP(E15,$AE$8:$AN$77,10,FALSE())=VLOOKUP(H15,$AE$8:$AN$77,10,FALSE()),1,0))</f>
        <v>0</v>
      </c>
      <c r="V15" s="42" t="n">
        <f aca="false">U15*F15</f>
        <v>0</v>
      </c>
      <c r="W15" s="42" t="n">
        <f aca="false">U15*G15</f>
        <v>0</v>
      </c>
      <c r="X15" s="42" t="n">
        <f aca="false">IF(S15="",0,IF(VLOOKUP(E15,$AE$8:$AO$77,11,FALSE())=VLOOKUP(H15,$AE$8:$AO$77,11,FALSE()),1,0))</f>
        <v>0</v>
      </c>
      <c r="Y15" s="42" t="n">
        <f aca="false">X15*F15</f>
        <v>0</v>
      </c>
      <c r="Z15" s="42" t="n">
        <f aca="false">X15*G15</f>
        <v>0</v>
      </c>
      <c r="AA15" s="42" t="n">
        <f aca="false">IF(OR(E15=my_team,H15=my_team),1,IF(INT(MATCH(E15,$AE$8:$AE$78,0)/6)=$AA$6,1,0))</f>
        <v>0</v>
      </c>
      <c r="AB15" s="42" t="n">
        <f aca="false">IF(OR(F15="",G15=""),"",IF(F15&gt;G15,1,IF(F15&lt;G15,-1,0)))</f>
        <v>-1</v>
      </c>
      <c r="AD15" s="42" t="n">
        <f aca="false">COUNTIF(AR14:AR17,CONCATENATE("&gt;=",AR15))</f>
        <v>4</v>
      </c>
      <c r="AE15" s="44" t="str">
        <f aca="false">VLOOKUP("Bosnia and Herzegovina",T,lang,FALSE())</f>
        <v>Bosnia and Herzegovina</v>
      </c>
      <c r="AF15" s="42" t="n">
        <f aca="false">COUNTIF($S$7:$T$78,"=" &amp; AE15 &amp; "_win")</f>
        <v>0</v>
      </c>
      <c r="AG15" s="42" t="n">
        <f aca="false">COUNTIF($S$7:$T$78,"=" &amp; AE15 &amp; "_draw")</f>
        <v>0</v>
      </c>
      <c r="AH15" s="42" t="n">
        <f aca="false">COUNTIF($S$7:$T$78,"=" &amp; AE15 &amp; "_lose")</f>
        <v>3</v>
      </c>
      <c r="AI15" s="42" t="n">
        <f aca="false">SUMIF($E$7:$E$78,$AE15,$F$7:$F$78) + SUMIF($H$7:$H$78,$AE15,$G$7:$G$78)</f>
        <v>1</v>
      </c>
      <c r="AJ15" s="42" t="n">
        <f aca="false">SUMIF($E$7:$E$78,$AE15,$G$7:$G$78) + SUMIF($H$7:$H$78,$AE15,$F$7:$F$78)</f>
        <v>5</v>
      </c>
      <c r="AL15" s="42" t="n">
        <f aca="false">AI15-AJ15</f>
        <v>-4</v>
      </c>
      <c r="AM15" s="42" t="n">
        <f aca="false">AL15-AL18</f>
        <v>0</v>
      </c>
      <c r="AN15" s="42" t="n">
        <f aca="false">AF15*3+AG15</f>
        <v>0</v>
      </c>
      <c r="AO15" s="42" t="n">
        <f aca="false">AN15/AN18*10+BA15</f>
        <v>0</v>
      </c>
      <c r="AP15" s="42" t="n">
        <f aca="false">AO15*10000000+BI15*100+AM15/AM18*10+AI15/AI18*1++IF(AQ15=0,ROW(),AQ15)/2000000</f>
        <v>0.143550062857143</v>
      </c>
      <c r="AQ15" s="46" t="n">
        <f aca="false">VLOOKUP(AE15,db_fifarank,2,FALSE())</f>
        <v>1385.84</v>
      </c>
      <c r="AR15" s="45" t="n">
        <f aca="false">AP15/AP18</f>
        <v>1.59500050795446E-009</v>
      </c>
      <c r="AS15" s="45" t="str">
        <f aca="false">IF(SUM(AF14:AH17)=12,J16,"2B")</f>
        <v>Canada</v>
      </c>
      <c r="AT15" s="46" t="n">
        <f aca="false" t="array" ref="AT15:AT15">SUMPRODUCT(($S$7:$S$78=AE15&amp;"_win")*($U$7:$U$78))+SUMPRODUCT(($T$7:$T$78=AE15&amp;"_win")*($U$7:$U$78))</f>
        <v>0</v>
      </c>
      <c r="AU15" s="46" t="n">
        <f aca="false" t="array" ref="AU15:AU15">SUMPRODUCT(($S$7:$S$78=AE15&amp;"_draw")*($U$7:$U$78))+SUMPRODUCT(($T$7:$T$78=AE15&amp;"_draw")*($U$7:$U$78))</f>
        <v>0</v>
      </c>
      <c r="AV15" s="46" t="n">
        <f aca="false" t="array" ref="AV15:AV15">SUMPRODUCT(($E$7:$E$78=AE15)*($U$7:$U$78)*($F$7:$F$78))+SUMPRODUCT(($H$7:$H$78=AE15)*($U$7:$U$78)*($G$7:$G$78))</f>
        <v>0</v>
      </c>
      <c r="AW15" s="46" t="n">
        <f aca="false" t="array" ref="AW15:AW15">SUMPRODUCT(($E$7:$E$78=AE15)*($U$7:$U$78)*($G$7:$G$78))+SUMPRODUCT(($H$7:$H$78=AE15)*($U$7:$U$78)*($F$7:$F$78))</f>
        <v>0</v>
      </c>
      <c r="AX15" s="46" t="n">
        <f aca="false">AV15-AW15</f>
        <v>0</v>
      </c>
      <c r="AY15" s="46" t="n">
        <f aca="false">AX15-MIN(AX14:AX17)</f>
        <v>0</v>
      </c>
      <c r="AZ15" s="46" t="n">
        <f aca="false">AT15/AT18*1000+AU15/AU18*100+AY15/AY18*10+AV15/AV18</f>
        <v>0</v>
      </c>
      <c r="BA15" s="46" t="n">
        <f aca="false">AZ15/AZ18</f>
        <v>0</v>
      </c>
      <c r="BB15" s="46" t="n">
        <f aca="false" t="array" ref="BB15:BB15">SUMPRODUCT(($S$7:$S$78=AE15&amp;"_win")*($X$7:$X$78))+SUMPRODUCT(($T$7:$T$78=AE15&amp;"_win")*($X$7:$X$78))</f>
        <v>0</v>
      </c>
      <c r="BC15" s="46" t="n">
        <f aca="false" t="array" ref="BC15:BC15">SUMPRODUCT(($S$7:$S$78=AE15&amp;"_draw")*($X$7:$X$78))+SUMPRODUCT(($T$7:$T$78=AE15&amp;"_draw")*($X$7:$X$78))</f>
        <v>0</v>
      </c>
      <c r="BD15" s="46" t="n">
        <f aca="false" t="array" ref="BD15:BD15">SUMPRODUCT(($E$7:$E$78=AE15)*($X$7:$X$78)*($F$7:$F$78))+SUMPRODUCT(($H$7:$H$78=AE15)*($X$7:$X$78)*($G$7:$G$78))</f>
        <v>0</v>
      </c>
      <c r="BE15" s="46" t="n">
        <f aca="false" t="array" ref="BE15:BE15">SUMPRODUCT(($E$7:$E$78=AE15)*($X$7:$X$78)*($G$7:$G$78))+SUMPRODUCT(($H$7:$H$78=AE15)*($X$7:$X$78)*($F$7:$F$78))</f>
        <v>0</v>
      </c>
      <c r="BF15" s="46" t="n">
        <f aca="false">BD15-BE15</f>
        <v>0</v>
      </c>
      <c r="BG15" s="46" t="n">
        <f aca="false">BF15-MIN(BF14:BF17)</f>
        <v>0</v>
      </c>
      <c r="BH15" s="46" t="n">
        <f aca="false">BB15/BB18*1000+BC15/BC18*100+BG15/BG18*10+BD15/BD18</f>
        <v>0</v>
      </c>
      <c r="BI15" s="46" t="n">
        <f aca="false">BH15/BH18</f>
        <v>0</v>
      </c>
      <c r="BK15" s="82"/>
      <c r="BL15" s="87" t="str">
        <f aca="false">IF(group_round_completed,VLOOKUP('3rd places'!I3,AK80:AS91,9,FALSE()),"3rd Group C/D/F/G/H")</f>
        <v>Egypt</v>
      </c>
      <c r="BM15" s="88" t="n">
        <v>0</v>
      </c>
      <c r="BN15" s="89"/>
      <c r="BO15" s="90"/>
      <c r="BP15" s="47" t="n">
        <f aca="false">IF(BP14="","",BM15*1000+BN15*10+BO15)</f>
        <v>0</v>
      </c>
      <c r="BQ15" s="47"/>
      <c r="BR15" s="74"/>
      <c r="BS15" s="74"/>
      <c r="BT15" s="74"/>
      <c r="BU15" s="74"/>
      <c r="BV15" s="74"/>
      <c r="BW15" s="96"/>
      <c r="BX15" s="47"/>
      <c r="BY15" s="74" t="str">
        <f aca="false" t="array" ref="BY15: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74"/>
      <c r="CA15" s="74"/>
      <c r="CB15" s="74"/>
      <c r="CC15" s="92"/>
      <c r="CD15" s="47" t="n">
        <f aca="false">DATE(2026,7,9)+TIME(9,0,0)+gmt_delta</f>
        <v>46212.9166666667</v>
      </c>
      <c r="CE15" s="47"/>
      <c r="CF15" s="74"/>
      <c r="CG15" s="74"/>
      <c r="CH15" s="74"/>
      <c r="CI15" s="74"/>
    </row>
    <row r="16" customFormat="false" ht="14.25" hidden="false" customHeight="true" outlineLevel="0" collapsed="false">
      <c r="A16" s="63" t="n">
        <v>10</v>
      </c>
      <c r="B16" s="64" t="str">
        <f aca="false" t="array" ref="B16:B16">INDEX(T,18+INT(MOD(R16-1,7)),lang)</f>
        <v>Sun</v>
      </c>
      <c r="C16" s="65" t="str">
        <f aca="false" t="array" ref="C16:C16">INDEX(T,24+MONTH(R16),lang) &amp; " " &amp; DAY(R16) &amp; ", " &amp; YEAR(R16)</f>
        <v>Jun 14, 2026</v>
      </c>
      <c r="D16" s="66" t="n">
        <f aca="false">TIME(HOUR(R16),MINUTE(R16),0)</f>
        <v>0.791666666666667</v>
      </c>
      <c r="E16" s="67" t="str">
        <f aca="false">AE32</f>
        <v>Germany</v>
      </c>
      <c r="F16" s="68" t="n">
        <v>2</v>
      </c>
      <c r="G16" s="69" t="n">
        <v>0</v>
      </c>
      <c r="H16" s="70" t="str">
        <f aca="false">AE33</f>
        <v>Curaçao</v>
      </c>
      <c r="J16" s="79" t="str">
        <f aca="false">VLOOKUP(2,AD14:AN17,2,FALSE())</f>
        <v>Canada</v>
      </c>
      <c r="K16" s="80" t="n">
        <f aca="false">L16+M16+N16</f>
        <v>3</v>
      </c>
      <c r="L16" s="80" t="n">
        <f aca="false">VLOOKUP(2,AD14:AN17,3,FALSE())</f>
        <v>2</v>
      </c>
      <c r="M16" s="80" t="n">
        <f aca="false">VLOOKUP(2,AD14:AN17,4,FALSE())</f>
        <v>0</v>
      </c>
      <c r="N16" s="80" t="n">
        <f aca="false">VLOOKUP(2,AD14:AN17,5,FALSE())</f>
        <v>1</v>
      </c>
      <c r="O16" s="80" t="str">
        <f aca="false">VLOOKUP(2,AD14:AN17,6,FALSE()) &amp; " - " &amp; VLOOKUP(2,AD14:AN17,7,FALSE())</f>
        <v>5 - 4</v>
      </c>
      <c r="P16" s="81" t="n">
        <f aca="false">L16*3+M16</f>
        <v>6</v>
      </c>
      <c r="R16" s="42" t="n">
        <f aca="false">DATE(2026,6,14)+TIME(6,0,0)+gmt_delta</f>
        <v>46187.7916666667</v>
      </c>
      <c r="S16" s="43" t="str">
        <f aca="false">IF(OR(F16="",G16=""),"",IF(F16&gt;G16,E16&amp;"_win",IF(F16&lt;G16,E16&amp;"_lose",E16&amp;"_draw")))</f>
        <v>Germany_win</v>
      </c>
      <c r="T16" s="43" t="str">
        <f aca="false">IF(S16="","",IF(F16&lt;G16,H16&amp;"_win",IF(F16&gt;G16,H16&amp;"_lose",H16&amp;"_draw")))</f>
        <v>Curaçao_lose</v>
      </c>
      <c r="U16" s="42" t="n">
        <f aca="false">IF(S16="",0,IF(VLOOKUP(E16,$AE$8:$AN$77,10,FALSE())=VLOOKUP(H16,$AE$8:$AN$77,10,FALSE()),1,0))</f>
        <v>0</v>
      </c>
      <c r="V16" s="42" t="n">
        <f aca="false">U16*F16</f>
        <v>0</v>
      </c>
      <c r="W16" s="42" t="n">
        <f aca="false">U16*G16</f>
        <v>0</v>
      </c>
      <c r="X16" s="42" t="n">
        <f aca="false">IF(S16="",0,IF(VLOOKUP(E16,$AE$8:$AO$77,11,FALSE())=VLOOKUP(H16,$AE$8:$AO$77,11,FALSE()),1,0))</f>
        <v>0</v>
      </c>
      <c r="Y16" s="42" t="n">
        <f aca="false">X16*F16</f>
        <v>0</v>
      </c>
      <c r="Z16" s="42" t="n">
        <f aca="false">X16*G16</f>
        <v>0</v>
      </c>
      <c r="AA16" s="42" t="n">
        <f aca="false">IF(OR(E16=my_team,H16=my_team),1,IF(INT(MATCH(E16,$AE$8:$AE$78,0)/6)=$AA$6,1,0))</f>
        <v>0</v>
      </c>
      <c r="AB16" s="42" t="n">
        <f aca="false">IF(OR(F16="",G16=""),"",IF(F16&gt;G16,1,IF(F16&lt;G16,-1,0)))</f>
        <v>1</v>
      </c>
      <c r="AD16" s="42" t="n">
        <f aca="false">COUNTIF(AR14:AR17,CONCATENATE("&gt;=",AR16))</f>
        <v>3</v>
      </c>
      <c r="AE16" s="44" t="str">
        <f aca="false">VLOOKUP("Qatar",T,lang,FALSE())</f>
        <v>Qatar</v>
      </c>
      <c r="AF16" s="42" t="n">
        <f aca="false">COUNTIF($S$7:$T$78,"=" &amp; AE16 &amp; "_win")</f>
        <v>1</v>
      </c>
      <c r="AG16" s="42" t="n">
        <f aca="false">COUNTIF($S$7:$T$78,"=" &amp; AE16 &amp; "_draw")</f>
        <v>0</v>
      </c>
      <c r="AH16" s="42" t="n">
        <f aca="false">COUNTIF($S$7:$T$78,"=" &amp; AE16 &amp; "_lose")</f>
        <v>2</v>
      </c>
      <c r="AI16" s="42" t="n">
        <f aca="false">SUMIF($E$7:$E$78,$AE16,$F$7:$F$78) + SUMIF($H$7:$H$78,$AE16,$G$7:$G$78)</f>
        <v>3</v>
      </c>
      <c r="AJ16" s="42" t="n">
        <f aca="false">SUMIF($E$7:$E$78,$AE16,$G$7:$G$78) + SUMIF($H$7:$H$78,$AE16,$F$7:$F$78)</f>
        <v>4</v>
      </c>
      <c r="AL16" s="42" t="n">
        <f aca="false">AI16-AJ16</f>
        <v>-1</v>
      </c>
      <c r="AM16" s="42" t="n">
        <f aca="false">AL16-AL18</f>
        <v>3</v>
      </c>
      <c r="AN16" s="42" t="n">
        <f aca="false">AF16*3+AG16</f>
        <v>3</v>
      </c>
      <c r="AO16" s="42" t="n">
        <f aca="false">AN16/AN18*10+BA16</f>
        <v>3</v>
      </c>
      <c r="AP16" s="42" t="n">
        <f aca="false">AO16*10000000+BI16*100+AM16/AM18*10+AI16/AI18*1++IF(AQ16=0,ROW(),AQ16)/2000000</f>
        <v>30000003.7626322</v>
      </c>
      <c r="AQ16" s="46" t="n">
        <f aca="false">VLOOKUP(AE16,db_fifarank,2,FALSE())</f>
        <v>1454.96</v>
      </c>
      <c r="AR16" s="45" t="n">
        <f aca="false">AP16/AP18</f>
        <v>0.333333335337186</v>
      </c>
      <c r="AT16" s="46" t="n">
        <f aca="false" t="array" ref="AT16:AT16">SUMPRODUCT(($S$7:$S$78=AE16&amp;"_win")*($U$7:$U$78))+SUMPRODUCT(($T$7:$T$78=AE16&amp;"_win")*($U$7:$U$78))</f>
        <v>0</v>
      </c>
      <c r="AU16" s="46" t="n">
        <f aca="false" t="array" ref="AU16:AU16">SUMPRODUCT(($S$7:$S$78=AE16&amp;"_draw")*($U$7:$U$78))+SUMPRODUCT(($T$7:$T$78=AE16&amp;"_draw")*($U$7:$U$78))</f>
        <v>0</v>
      </c>
      <c r="AV16" s="46" t="n">
        <f aca="false" t="array" ref="AV16:AV16">SUMPRODUCT(($E$7:$E$78=AE16)*($U$7:$U$78)*($F$7:$F$78))+SUMPRODUCT(($H$7:$H$78=AE16)*($U$7:$U$78)*($G$7:$G$78))</f>
        <v>0</v>
      </c>
      <c r="AW16" s="46" t="n">
        <f aca="false" t="array" ref="AW16:AW16">SUMPRODUCT(($E$7:$E$78=AE16)*($U$7:$U$78)*($G$7:$G$78))+SUMPRODUCT(($H$7:$H$78=AE16)*($U$7:$U$78)*($F$7:$F$78))</f>
        <v>0</v>
      </c>
      <c r="AX16" s="46" t="n">
        <f aca="false">AV16-AW16</f>
        <v>0</v>
      </c>
      <c r="AY16" s="46" t="n">
        <f aca="false">AX16-MIN(AX14:AX17)</f>
        <v>0</v>
      </c>
      <c r="AZ16" s="46" t="n">
        <f aca="false">AT16/AT18*1000+AU16/AU18*100+AY16/AY18*10+AV16/AV18</f>
        <v>0</v>
      </c>
      <c r="BA16" s="46" t="n">
        <f aca="false">AZ16/AZ18</f>
        <v>0</v>
      </c>
      <c r="BB16" s="46" t="n">
        <f aca="false" t="array" ref="BB16:BB16">SUMPRODUCT(($S$7:$S$78=AE16&amp;"_win")*($X$7:$X$78))+SUMPRODUCT(($T$7:$T$78=AE16&amp;"_win")*($X$7:$X$78))</f>
        <v>0</v>
      </c>
      <c r="BC16" s="46" t="n">
        <f aca="false" t="array" ref="BC16:BC16">SUMPRODUCT(($S$7:$S$78=AE16&amp;"_draw")*($X$7:$X$78))+SUMPRODUCT(($T$7:$T$78=AE16&amp;"_draw")*($X$7:$X$78))</f>
        <v>0</v>
      </c>
      <c r="BD16" s="46" t="n">
        <f aca="false" t="array" ref="BD16:BD16">SUMPRODUCT(($E$7:$E$78=AE16)*($X$7:$X$78)*($F$7:$F$78))+SUMPRODUCT(($H$7:$H$78=AE16)*($X$7:$X$78)*($G$7:$G$78))</f>
        <v>0</v>
      </c>
      <c r="BE16" s="46" t="n">
        <f aca="false" t="array" ref="BE16:BE16">SUMPRODUCT(($E$7:$E$78=AE16)*($X$7:$X$78)*($G$7:$G$78))+SUMPRODUCT(($H$7:$H$78=AE16)*($X$7:$X$78)*($F$7:$F$78))</f>
        <v>0</v>
      </c>
      <c r="BF16" s="46" t="n">
        <f aca="false">BD16-BE16</f>
        <v>0</v>
      </c>
      <c r="BG16" s="46" t="n">
        <f aca="false">BF16-MIN(BF14:BF17)</f>
        <v>0</v>
      </c>
      <c r="BH16" s="46" t="n">
        <f aca="false">BB16/BB18*1000+BC16/BC18*100+BG16/BG18*10+BD16/BD18</f>
        <v>0</v>
      </c>
      <c r="BI16" s="46" t="n">
        <f aca="false">BH16/BH18</f>
        <v>0</v>
      </c>
      <c r="BK16" s="74"/>
      <c r="BL16" s="74"/>
      <c r="BM16" s="74"/>
      <c r="BN16" s="74"/>
      <c r="BO16" s="74"/>
      <c r="BP16" s="47"/>
      <c r="BQ16" s="47"/>
      <c r="BR16" s="74"/>
      <c r="BS16" s="74"/>
      <c r="BT16" s="74"/>
      <c r="BU16" s="74"/>
      <c r="BV16" s="74"/>
      <c r="BW16" s="96"/>
      <c r="BX16" s="47"/>
      <c r="BY16" s="82" t="n">
        <v>97</v>
      </c>
      <c r="BZ16" s="83" t="str">
        <f aca="false">IF(BW12&gt;BW13,BS12,IF(BW12&lt;BW13,BS13,""))</f>
        <v>France</v>
      </c>
      <c r="CA16" s="84" t="n">
        <v>1</v>
      </c>
      <c r="CB16" s="85"/>
      <c r="CC16" s="86"/>
      <c r="CD16" s="47" t="n">
        <f aca="false">IF(OR(CA16="",CA17="",AND(CB16="",CB17&lt;&gt;""),AND(CB17="",CB16&lt;&gt;""),AND(CC16="",CC17&lt;&gt;""),AND(CC17="",CC16&lt;&gt;"")),"",CA16*1000+CB16*10+CC16)</f>
        <v>1000</v>
      </c>
      <c r="CE16" s="47"/>
      <c r="CF16" s="74"/>
      <c r="CG16" s="74"/>
      <c r="CH16" s="74"/>
      <c r="CI16" s="74"/>
    </row>
    <row r="17" customFormat="false" ht="14.25" hidden="false" customHeight="true" outlineLevel="0" collapsed="false">
      <c r="A17" s="63" t="n">
        <v>11</v>
      </c>
      <c r="B17" s="64" t="str">
        <f aca="false" t="array" ref="B17:B17">INDEX(T,18+INT(MOD(R17-1,7)),lang)</f>
        <v>Sun</v>
      </c>
      <c r="C17" s="65" t="str">
        <f aca="false" t="array" ref="C17:C17">INDEX(T,24+MONTH(R17),lang) &amp; " " &amp; DAY(R17) &amp; ", " &amp; YEAR(R17)</f>
        <v>Jun 14, 2026</v>
      </c>
      <c r="D17" s="66" t="n">
        <f aca="false">TIME(HOUR(R17),MINUTE(R17),0)</f>
        <v>0.916666666666667</v>
      </c>
      <c r="E17" s="67" t="str">
        <f aca="false">AE38</f>
        <v>Netherlands</v>
      </c>
      <c r="F17" s="68" t="n">
        <v>2</v>
      </c>
      <c r="G17" s="69" t="n">
        <v>1</v>
      </c>
      <c r="H17" s="70" t="str">
        <f aca="false">AE39</f>
        <v>Japan</v>
      </c>
      <c r="J17" s="79" t="str">
        <f aca="false">VLOOKUP(3,AD14:AN17,2,FALSE())</f>
        <v>Qatar</v>
      </c>
      <c r="K17" s="80" t="n">
        <f aca="false">L17+M17+N17</f>
        <v>3</v>
      </c>
      <c r="L17" s="80" t="n">
        <f aca="false">VLOOKUP(3,AD14:AN17,3,FALSE())</f>
        <v>1</v>
      </c>
      <c r="M17" s="80" t="n">
        <f aca="false">VLOOKUP(3,AD14:AN17,4,FALSE())</f>
        <v>0</v>
      </c>
      <c r="N17" s="80" t="n">
        <f aca="false">VLOOKUP(3,AD14:AN17,5,FALSE())</f>
        <v>2</v>
      </c>
      <c r="O17" s="80" t="str">
        <f aca="false">VLOOKUP(3,AD14:AN17,6,FALSE()) &amp; " - " &amp; VLOOKUP(3,AD14:AN17,7,FALSE())</f>
        <v>3 - 4</v>
      </c>
      <c r="P17" s="81" t="n">
        <f aca="false">L17*3+M17</f>
        <v>3</v>
      </c>
      <c r="R17" s="42" t="n">
        <f aca="false">DATE(2026,6,14)+TIME(9,0,0)+gmt_delta</f>
        <v>46187.9166666667</v>
      </c>
      <c r="S17" s="43" t="str">
        <f aca="false">IF(OR(F17="",G17=""),"",IF(F17&gt;G17,E17&amp;"_win",IF(F17&lt;G17,E17&amp;"_lose",E17&amp;"_draw")))</f>
        <v>Netherlands_win</v>
      </c>
      <c r="T17" s="43" t="str">
        <f aca="false">IF(S17="","",IF(F17&lt;G17,H17&amp;"_win",IF(F17&gt;G17,H17&amp;"_lose",H17&amp;"_draw")))</f>
        <v>Japan_lose</v>
      </c>
      <c r="U17" s="42" t="n">
        <f aca="false">IF(S17="",0,IF(VLOOKUP(E17,$AE$8:$AN$77,10,FALSE())=VLOOKUP(H17,$AE$8:$AN$77,10,FALSE()),1,0))</f>
        <v>0</v>
      </c>
      <c r="V17" s="42" t="n">
        <f aca="false">U17*F17</f>
        <v>0</v>
      </c>
      <c r="W17" s="42" t="n">
        <f aca="false">U17*G17</f>
        <v>0</v>
      </c>
      <c r="X17" s="42" t="n">
        <f aca="false">IF(S17="",0,IF(VLOOKUP(E17,$AE$8:$AO$77,11,FALSE())=VLOOKUP(H17,$AE$8:$AO$77,11,FALSE()),1,0))</f>
        <v>0</v>
      </c>
      <c r="Y17" s="42" t="n">
        <f aca="false">X17*F17</f>
        <v>0</v>
      </c>
      <c r="Z17" s="42" t="n">
        <f aca="false">X17*G17</f>
        <v>0</v>
      </c>
      <c r="AA17" s="42" t="n">
        <f aca="false">IF(OR(E17=my_team,H17=my_team),1,IF(INT(MATCH(E17,$AE$8:$AE$78,0)/6)=$AA$6,1,0))</f>
        <v>0</v>
      </c>
      <c r="AB17" s="42" t="n">
        <f aca="false">IF(OR(F17="",G17=""),"",IF(F17&gt;G17,1,IF(F17&lt;G17,-1,0)))</f>
        <v>1</v>
      </c>
      <c r="AD17" s="42" t="n">
        <f aca="false">COUNTIF(AR14:AR17,CONCATENATE("&gt;=",AR17))</f>
        <v>1</v>
      </c>
      <c r="AE17" s="44" t="str">
        <f aca="false">VLOOKUP("Switzerland",T,lang,FALSE())</f>
        <v>Switzerland</v>
      </c>
      <c r="AF17" s="42" t="n">
        <f aca="false">COUNTIF($S$7:$T$78,"=" &amp; AE17 &amp; "_win")</f>
        <v>3</v>
      </c>
      <c r="AG17" s="42" t="n">
        <f aca="false">COUNTIF($S$7:$T$78,"=" &amp; AE17 &amp; "_draw")</f>
        <v>0</v>
      </c>
      <c r="AH17" s="42" t="n">
        <f aca="false">COUNTIF($S$7:$T$78,"=" &amp; AE17 &amp; "_lose")</f>
        <v>0</v>
      </c>
      <c r="AI17" s="42" t="n">
        <f aca="false">SUMIF($E$7:$E$78,$AE17,$F$7:$F$78) + SUMIF($H$7:$H$78,$AE17,$G$7:$G$78)</f>
        <v>6</v>
      </c>
      <c r="AJ17" s="42" t="n">
        <f aca="false">SUMIF($E$7:$E$78,$AE17,$G$7:$G$78) + SUMIF($H$7:$H$78,$AE17,$F$7:$F$78)</f>
        <v>2</v>
      </c>
      <c r="AL17" s="42" t="n">
        <f aca="false">AI17-AJ17</f>
        <v>4</v>
      </c>
      <c r="AM17" s="42" t="n">
        <f aca="false">AL17-AL18</f>
        <v>8</v>
      </c>
      <c r="AN17" s="42" t="n">
        <f aca="false">AF17*3+AG17</f>
        <v>9</v>
      </c>
      <c r="AO17" s="42" t="n">
        <f aca="false">AN17/AN18*10+BA17</f>
        <v>9</v>
      </c>
      <c r="AP17" s="42" t="n">
        <f aca="false">AO17*10000000+BI17*100+AM17/AM18*10+AI17/AI18*1++IF(AQ17=0,ROW(),AQ17)/2000000</f>
        <v>90000009.7468565</v>
      </c>
      <c r="AQ17" s="46" t="n">
        <f aca="false">VLOOKUP(AE17,db_fifarank,2,FALSE())</f>
        <v>1649.4</v>
      </c>
      <c r="AR17" s="45" t="n">
        <f aca="false">AP17/AP18</f>
        <v>0.99999998888889</v>
      </c>
      <c r="AT17" s="46" t="n">
        <f aca="false" t="array" ref="AT17:AT17">SUMPRODUCT(($S$7:$S$78=AE17&amp;"_win")*($U$7:$U$78))+SUMPRODUCT(($T$7:$T$78=AE17&amp;"_win")*($U$7:$U$78))</f>
        <v>0</v>
      </c>
      <c r="AU17" s="46" t="n">
        <f aca="false" t="array" ref="AU17:AU17">SUMPRODUCT(($S$7:$S$78=AE17&amp;"_draw")*($U$7:$U$78))+SUMPRODUCT(($T$7:$T$78=AE17&amp;"_draw")*($U$7:$U$78))</f>
        <v>0</v>
      </c>
      <c r="AV17" s="46" t="n">
        <f aca="false" t="array" ref="AV17:AV17">SUMPRODUCT(($E$7:$E$78=AE17)*($U$7:$U$78)*($F$7:$F$78))+SUMPRODUCT(($H$7:$H$78=AE17)*($U$7:$U$78)*($G$7:$G$78))</f>
        <v>0</v>
      </c>
      <c r="AW17" s="46" t="n">
        <f aca="false" t="array" ref="AW17:AW17">SUMPRODUCT(($E$7:$E$78=AE17)*($U$7:$U$78)*($G$7:$G$78))+SUMPRODUCT(($H$7:$H$78=AE17)*($U$7:$U$78)*($F$7:$F$78))</f>
        <v>0</v>
      </c>
      <c r="AX17" s="46" t="n">
        <f aca="false">AV17-AW17</f>
        <v>0</v>
      </c>
      <c r="AY17" s="46" t="n">
        <f aca="false">AX17-MIN(AX14:AX17)</f>
        <v>0</v>
      </c>
      <c r="AZ17" s="46" t="n">
        <f aca="false">AT17/AT18*1000+AU17/AU18*100+AY17/AY18*10+AV17/AV18</f>
        <v>0</v>
      </c>
      <c r="BA17" s="46" t="n">
        <f aca="false">AZ17/AZ18</f>
        <v>0</v>
      </c>
      <c r="BB17" s="46" t="n">
        <f aca="false" t="array" ref="BB17:BB17">SUMPRODUCT(($S$7:$S$78=AE17&amp;"_win")*($X$7:$X$78))+SUMPRODUCT(($T$7:$T$78=AE17&amp;"_win")*($X$7:$X$78))</f>
        <v>0</v>
      </c>
      <c r="BC17" s="46" t="n">
        <f aca="false" t="array" ref="BC17:BC17">SUMPRODUCT(($S$7:$S$78=AE17&amp;"_draw")*($X$7:$X$78))+SUMPRODUCT(($T$7:$T$78=AE17&amp;"_draw")*($X$7:$X$78))</f>
        <v>0</v>
      </c>
      <c r="BD17" s="46" t="n">
        <f aca="false" t="array" ref="BD17:BD17">SUMPRODUCT(($E$7:$E$78=AE17)*($X$7:$X$78)*($F$7:$F$78))+SUMPRODUCT(($H$7:$H$78=AE17)*($X$7:$X$78)*($G$7:$G$78))</f>
        <v>0</v>
      </c>
      <c r="BE17" s="46" t="n">
        <f aca="false" t="array" ref="BE17:BE17">SUMPRODUCT(($E$7:$E$78=AE17)*($X$7:$X$78)*($G$7:$G$78))+SUMPRODUCT(($H$7:$H$78=AE17)*($X$7:$X$78)*($F$7:$F$78))</f>
        <v>0</v>
      </c>
      <c r="BF17" s="46" t="n">
        <f aca="false">BD17-BE17</f>
        <v>0</v>
      </c>
      <c r="BG17" s="46" t="n">
        <f aca="false">BF17-MIN(BF14:BF17)</f>
        <v>0</v>
      </c>
      <c r="BH17" s="46" t="n">
        <f aca="false">BB17/BB18*1000+BC17/BC18*100+BG17/BG18*10+BD17/BD18</f>
        <v>0</v>
      </c>
      <c r="BI17" s="46" t="n">
        <f aca="false">BH17/BH18</f>
        <v>0</v>
      </c>
      <c r="BK17" s="74" t="str">
        <f aca="false" t="array" ref="BK17: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74"/>
      <c r="BM17" s="74"/>
      <c r="BN17" s="74"/>
      <c r="BO17" s="92"/>
      <c r="BP17" s="47" t="n">
        <f aca="false">DATE(2026,6,28)+TIME(8,0,0)+gmt_delta</f>
        <v>46201.875</v>
      </c>
      <c r="BQ17" s="47"/>
      <c r="BR17" s="74"/>
      <c r="BS17" s="74"/>
      <c r="BT17" s="74"/>
      <c r="BU17" s="74"/>
      <c r="BV17" s="74"/>
      <c r="BW17" s="96"/>
      <c r="BX17" s="97"/>
      <c r="BY17" s="82"/>
      <c r="BZ17" s="87" t="str">
        <f aca="false">IF(BW20&gt;BW21,BS20,IF(BW20&lt;BW21,BS21,""))</f>
        <v>Netherlands</v>
      </c>
      <c r="CA17" s="88" t="n">
        <v>0</v>
      </c>
      <c r="CB17" s="89"/>
      <c r="CC17" s="90"/>
      <c r="CD17" s="91" t="n">
        <f aca="false">IF(CD16="","",CA17*1000+CB17*10+CC17)</f>
        <v>0</v>
      </c>
      <c r="CE17" s="99"/>
      <c r="CF17" s="74"/>
      <c r="CG17" s="74"/>
      <c r="CH17" s="74"/>
      <c r="CI17" s="74"/>
    </row>
    <row r="18" customFormat="false" ht="14.25" hidden="false" customHeight="true" outlineLevel="0" collapsed="false">
      <c r="A18" s="63" t="n">
        <v>12</v>
      </c>
      <c r="B18" s="64" t="str">
        <f aca="false" t="array" ref="B18:B18">INDEX(T,18+INT(MOD(R18-1,7)),lang)</f>
        <v>Mon</v>
      </c>
      <c r="C18" s="65" t="str">
        <f aca="false" t="array" ref="C18:C18">INDEX(T,24+MONTH(R18),lang) &amp; " " &amp; DAY(R18) &amp; ", " &amp; YEAR(R18)</f>
        <v>Jun 15, 2026</v>
      </c>
      <c r="D18" s="66" t="n">
        <f aca="false">TIME(HOUR(R18),MINUTE(R18),0)</f>
        <v>0.166666666666667</v>
      </c>
      <c r="E18" s="67" t="str">
        <f aca="false">AE40</f>
        <v>Sweden</v>
      </c>
      <c r="F18" s="68" t="n">
        <v>1</v>
      </c>
      <c r="G18" s="69" t="n">
        <v>0</v>
      </c>
      <c r="H18" s="70" t="str">
        <f aca="false">AE41</f>
        <v>Tunisia</v>
      </c>
      <c r="J18" s="93" t="str">
        <f aca="false">VLOOKUP(4,AD14:AN17,2,FALSE())</f>
        <v>Bosnia and Herzegovina</v>
      </c>
      <c r="K18" s="94" t="n">
        <f aca="false">L18+M18+N18</f>
        <v>3</v>
      </c>
      <c r="L18" s="94" t="n">
        <f aca="false">VLOOKUP(4,AD14:AN17,3,FALSE())</f>
        <v>0</v>
      </c>
      <c r="M18" s="94" t="n">
        <f aca="false">VLOOKUP(4,AD14:AN17,4,FALSE())</f>
        <v>0</v>
      </c>
      <c r="N18" s="94" t="n">
        <f aca="false">VLOOKUP(4,AD14:AN17,5,FALSE())</f>
        <v>3</v>
      </c>
      <c r="O18" s="94" t="str">
        <f aca="false">VLOOKUP(4,AD14:AN17,6,FALSE()) &amp; " - " &amp; VLOOKUP(4,AD14:AN17,7,FALSE())</f>
        <v>1 - 5</v>
      </c>
      <c r="P18" s="95" t="n">
        <f aca="false">L18*3+M18</f>
        <v>0</v>
      </c>
      <c r="R18" s="42" t="n">
        <f aca="false">DATE(2026,6,14)+TIME(15,0,0)+gmt_delta</f>
        <v>46188.1666666667</v>
      </c>
      <c r="S18" s="43" t="str">
        <f aca="false">IF(OR(F18="",G18=""),"",IF(F18&gt;G18,E18&amp;"_win",IF(F18&lt;G18,E18&amp;"_lose",E18&amp;"_draw")))</f>
        <v>Sweden_win</v>
      </c>
      <c r="T18" s="43" t="str">
        <f aca="false">IF(S18="","",IF(F18&lt;G18,H18&amp;"_win",IF(F18&gt;G18,H18&amp;"_lose",H18&amp;"_draw")))</f>
        <v>Tunisia_lose</v>
      </c>
      <c r="U18" s="42" t="n">
        <f aca="false">IF(S18="",0,IF(VLOOKUP(E18,$AE$8:$AN$77,10,FALSE())=VLOOKUP(H18,$AE$8:$AN$77,10,FALSE()),1,0))</f>
        <v>0</v>
      </c>
      <c r="V18" s="42" t="n">
        <f aca="false">U18*F18</f>
        <v>0</v>
      </c>
      <c r="W18" s="42" t="n">
        <f aca="false">U18*G18</f>
        <v>0</v>
      </c>
      <c r="X18" s="42" t="n">
        <f aca="false">IF(S18="",0,IF(VLOOKUP(E18,$AE$8:$AO$77,11,FALSE())=VLOOKUP(H18,$AE$8:$AO$77,11,FALSE()),1,0))</f>
        <v>0</v>
      </c>
      <c r="Y18" s="42" t="n">
        <f aca="false">X18*F18</f>
        <v>0</v>
      </c>
      <c r="Z18" s="42" t="n">
        <f aca="false">X18*G18</f>
        <v>0</v>
      </c>
      <c r="AA18" s="42" t="n">
        <f aca="false">IF(OR(E18=my_team,H18=my_team),1,IF(INT(MATCH(E18,$AE$8:$AE$78,0)/6)=$AA$6,1,0))</f>
        <v>0</v>
      </c>
      <c r="AB18" s="42" t="n">
        <f aca="false">IF(OR(F18="",G18=""),"",IF(F18&gt;G18,1,IF(F18&lt;G18,-1,0)))</f>
        <v>1</v>
      </c>
      <c r="AF18" s="42" t="n">
        <f aca="false">MAX(AF14:AF17)-MIN(AF14:AF17)+1</f>
        <v>4</v>
      </c>
      <c r="AG18" s="42" t="n">
        <f aca="false">MAX(AG14:AG17)-MIN(AG14:AG17)+1</f>
        <v>1</v>
      </c>
      <c r="AH18" s="42" t="n">
        <f aca="false">MAX(AH14:AH17)-MIN(AH14:AH17)+1</f>
        <v>4</v>
      </c>
      <c r="AI18" s="42" t="n">
        <f aca="false">MAX(AI14:AI17)+1</f>
        <v>7</v>
      </c>
      <c r="AL18" s="42" t="n">
        <f aca="false">MIN(AL14:AL17)</f>
        <v>-4</v>
      </c>
      <c r="AM18" s="42" t="n">
        <f aca="false">MAX(AM14:AM17)+1</f>
        <v>9</v>
      </c>
      <c r="AN18" s="42" t="n">
        <f aca="false">MAX(AN14:AN17)+1</f>
        <v>10</v>
      </c>
      <c r="AO18" s="42" t="n">
        <f aca="false">MAX(AO14:AO17)+1</f>
        <v>10</v>
      </c>
      <c r="AP18" s="42" t="n">
        <f aca="false">MAX(AP14:AP17)+1</f>
        <v>90000010.7468565</v>
      </c>
      <c r="AT18" s="46" t="n">
        <f aca="false">MAX(AT14:AT17)-MIN(AT14:AT17)+1</f>
        <v>1</v>
      </c>
      <c r="AU18" s="46" t="n">
        <f aca="false">MAX(AU14:AU17)-MIN(AU14:AU17)+1</f>
        <v>1</v>
      </c>
      <c r="AV18" s="46" t="n">
        <f aca="false">MAX(AV14:AV17)-MIN(AV14:AV17)+1</f>
        <v>1</v>
      </c>
      <c r="AW18" s="46" t="n">
        <f aca="false">MAX(AW14:AW17)-MIN(AW14:AW17)+1</f>
        <v>1</v>
      </c>
      <c r="AY18" s="46" t="n">
        <f aca="false">MAX(AY14:AY17)-MIN(AY14:AY17)+1</f>
        <v>1</v>
      </c>
      <c r="AZ18" s="46" t="n">
        <f aca="false">MAX(AZ14:AZ17)+1</f>
        <v>1</v>
      </c>
      <c r="BB18" s="46" t="n">
        <f aca="false">MAX(BB14:BB17)-MIN(BB14:BB17)+1</f>
        <v>1</v>
      </c>
      <c r="BC18" s="46" t="n">
        <f aca="false">MAX(BC14:BC17)-MIN(BC14:BC17)+1</f>
        <v>1</v>
      </c>
      <c r="BD18" s="46" t="n">
        <f aca="false">MAX(BD14:BD17)-MIN(BD14:BD17)+1</f>
        <v>1</v>
      </c>
      <c r="BE18" s="46" t="n">
        <f aca="false">MAX(BE14:BE17)-MIN(BE14:BE17)+1</f>
        <v>1</v>
      </c>
      <c r="BG18" s="46" t="n">
        <f aca="false">MAX(BG14:BG17)-MIN(BG14:BG17)+1</f>
        <v>1</v>
      </c>
      <c r="BH18" s="46" t="n">
        <f aca="false">MAX(BH14:BH17)+1</f>
        <v>1</v>
      </c>
      <c r="BK18" s="82" t="n">
        <v>73</v>
      </c>
      <c r="BL18" s="83" t="str">
        <f aca="false">AS9</f>
        <v>Korea Republic</v>
      </c>
      <c r="BM18" s="84" t="n">
        <v>1</v>
      </c>
      <c r="BN18" s="85"/>
      <c r="BO18" s="86"/>
      <c r="BP18" s="47" t="n">
        <f aca="false">IF(OR(BM18="",BM19="",AND(BN18="",BN19&lt;&gt;""),AND(BN19="",BN18&lt;&gt;""),AND(BO18="",BO19&lt;&gt;""),AND(BO19="",BO18&lt;&gt;"")),"",BM18*1000+BN18*10+BO18)</f>
        <v>1000</v>
      </c>
      <c r="BQ18" s="47"/>
      <c r="BR18" s="74"/>
      <c r="BS18" s="74"/>
      <c r="BT18" s="74"/>
      <c r="BU18" s="74"/>
      <c r="BV18" s="74"/>
      <c r="BW18" s="96"/>
      <c r="BX18" s="47"/>
      <c r="BY18" s="74"/>
      <c r="BZ18" s="74"/>
      <c r="CA18" s="74"/>
      <c r="CB18" s="74"/>
      <c r="CC18" s="74"/>
      <c r="CD18" s="96"/>
      <c r="CE18" s="47"/>
      <c r="CF18" s="74"/>
      <c r="CG18" s="74"/>
      <c r="CH18" s="74"/>
      <c r="CI18" s="74"/>
    </row>
    <row r="19" customFormat="false" ht="14.25" hidden="false" customHeight="true" outlineLevel="0" collapsed="false">
      <c r="A19" s="63" t="n">
        <v>13</v>
      </c>
      <c r="B19" s="64" t="str">
        <f aca="false" t="array" ref="B19:B19">INDEX(T,18+INT(MOD(R19-1,7)),lang)</f>
        <v>Tue</v>
      </c>
      <c r="C19" s="65" t="str">
        <f aca="false" t="array" ref="C19:C19">INDEX(T,24+MONTH(R19),lang) &amp; " " &amp; DAY(R19) &amp; ", " &amp; YEAR(R19)</f>
        <v>Jun 16, 2026</v>
      </c>
      <c r="D19" s="66" t="n">
        <f aca="false">TIME(HOUR(R19),MINUTE(R19),0)</f>
        <v>0</v>
      </c>
      <c r="E19" s="67" t="str">
        <f aca="false">AE52</f>
        <v>Saudi Arabia</v>
      </c>
      <c r="F19" s="68" t="n">
        <v>0</v>
      </c>
      <c r="G19" s="69" t="n">
        <v>2</v>
      </c>
      <c r="H19" s="70" t="str">
        <f aca="false">AE53</f>
        <v>Uruguay</v>
      </c>
      <c r="R19" s="42" t="n">
        <f aca="false">DATE(2026,6,15)+TIME(11,0,0)+gmt_delta</f>
        <v>46189</v>
      </c>
      <c r="S19" s="43" t="str">
        <f aca="false">IF(OR(F19="",G19=""),"",IF(F19&gt;G19,E19&amp;"_win",IF(F19&lt;G19,E19&amp;"_lose",E19&amp;"_draw")))</f>
        <v>Saudi Arabia_lose</v>
      </c>
      <c r="T19" s="43" t="str">
        <f aca="false">IF(S19="","",IF(F19&lt;G19,H19&amp;"_win",IF(F19&gt;G19,H19&amp;"_lose",H19&amp;"_draw")))</f>
        <v>Uruguay_win</v>
      </c>
      <c r="U19" s="42" t="n">
        <f aca="false">IF(S19="",0,IF(VLOOKUP(E19,$AE$8:$AN$77,10,FALSE())=VLOOKUP(H19,$AE$8:$AN$77,10,FALSE()),1,0))</f>
        <v>0</v>
      </c>
      <c r="V19" s="42" t="n">
        <f aca="false">U19*F19</f>
        <v>0</v>
      </c>
      <c r="W19" s="42" t="n">
        <f aca="false">U19*G19</f>
        <v>0</v>
      </c>
      <c r="X19" s="42" t="n">
        <f aca="false">IF(S19="",0,IF(VLOOKUP(E19,$AE$8:$AO$77,11,FALSE())=VLOOKUP(H19,$AE$8:$AO$77,11,FALSE()),1,0))</f>
        <v>0</v>
      </c>
      <c r="Y19" s="42" t="n">
        <f aca="false">X19*F19</f>
        <v>0</v>
      </c>
      <c r="Z19" s="42" t="n">
        <f aca="false">X19*G19</f>
        <v>0</v>
      </c>
      <c r="AA19" s="42" t="n">
        <f aca="false">IF(OR(E19=my_team,H19=my_team),1,IF(INT(MATCH(E19,$AE$8:$AE$78,0)/6)=$AA$6,1,0))</f>
        <v>0</v>
      </c>
      <c r="AB19" s="42" t="n">
        <f aca="false">IF(OR(F19="",G19=""),"",IF(F19&gt;G19,1,IF(F19&lt;G19,-1,0)))</f>
        <v>-1</v>
      </c>
      <c r="BK19" s="82"/>
      <c r="BL19" s="87" t="str">
        <f aca="false">AS15</f>
        <v>Canada</v>
      </c>
      <c r="BM19" s="88" t="n">
        <v>0</v>
      </c>
      <c r="BN19" s="89"/>
      <c r="BO19" s="90"/>
      <c r="BP19" s="91" t="n">
        <f aca="false">IF(BP18="","",BM19*1000+BN19*10+BO19)</f>
        <v>0</v>
      </c>
      <c r="BQ19" s="47"/>
      <c r="BR19" s="74" t="str">
        <f aca="false" t="array" ref="BR19: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74"/>
      <c r="BT19" s="74"/>
      <c r="BU19" s="74"/>
      <c r="BV19" s="92"/>
      <c r="BW19" s="96" t="n">
        <f aca="false">DATE(2026,7,4)+TIME(6,0,0)+gmt_delta</f>
        <v>46207.7916666667</v>
      </c>
      <c r="BX19" s="47"/>
      <c r="BY19" s="74"/>
      <c r="BZ19" s="74"/>
      <c r="CA19" s="74"/>
      <c r="CB19" s="74"/>
      <c r="CC19" s="74"/>
      <c r="CD19" s="96"/>
      <c r="CE19" s="47"/>
      <c r="CF19" s="74"/>
      <c r="CG19" s="74"/>
      <c r="CH19" s="74"/>
      <c r="CI19" s="74"/>
      <c r="CJ19" s="74"/>
      <c r="CL19" s="47"/>
      <c r="CM19" s="74"/>
      <c r="CN19" s="74"/>
      <c r="CO19" s="74"/>
      <c r="CP19" s="74"/>
      <c r="CQ19" s="74"/>
    </row>
    <row r="20" customFormat="false" ht="14.25" hidden="false" customHeight="true" outlineLevel="0" collapsed="false">
      <c r="A20" s="63" t="n">
        <v>14</v>
      </c>
      <c r="B20" s="64" t="str">
        <f aca="false" t="array" ref="B20:B20">INDEX(T,18+INT(MOD(R20-1,7)),lang)</f>
        <v>Mon</v>
      </c>
      <c r="C20" s="65" t="str">
        <f aca="false" t="array" ref="C20:C20">INDEX(T,24+MONTH(R20),lang) &amp; " " &amp; DAY(R20) &amp; ", " &amp; YEAR(R20)</f>
        <v>Jun 15, 2026</v>
      </c>
      <c r="D20" s="66" t="n">
        <f aca="false">TIME(HOUR(R20),MINUTE(R20),0)</f>
        <v>0.75</v>
      </c>
      <c r="E20" s="67" t="str">
        <f aca="false">AE50</f>
        <v>Spain</v>
      </c>
      <c r="F20" s="68" t="n">
        <v>2</v>
      </c>
      <c r="G20" s="69" t="n">
        <v>0</v>
      </c>
      <c r="H20" s="70" t="str">
        <f aca="false">AE51</f>
        <v>Cape Verde</v>
      </c>
      <c r="J20" s="71" t="str">
        <f aca="false" t="array" ref="J20:J20">INDEX(T,9,lang) &amp; " " &amp; "C"</f>
        <v>Group C</v>
      </c>
      <c r="K20" s="72" t="str">
        <f aca="false" t="array" ref="K20:K20">INDEX(T,10,lang)</f>
        <v>PL</v>
      </c>
      <c r="L20" s="72" t="str">
        <f aca="false" t="array" ref="L20:L20">INDEX(T,11,lang)</f>
        <v>W</v>
      </c>
      <c r="M20" s="72" t="str">
        <f aca="false" t="array" ref="M20:M20">INDEX(T,12,lang)</f>
        <v>DRAW</v>
      </c>
      <c r="N20" s="72" t="str">
        <f aca="false" t="array" ref="N20:N20">INDEX(T,13,lang)</f>
        <v>L</v>
      </c>
      <c r="O20" s="72" t="str">
        <f aca="false" t="array" ref="O20:O20">INDEX(T,14,lang)</f>
        <v>GF - GA</v>
      </c>
      <c r="P20" s="73" t="str">
        <f aca="false" t="array" ref="P20:P20">INDEX(T,15,lang)</f>
        <v>PNT</v>
      </c>
      <c r="R20" s="42" t="n">
        <f aca="false">DATE(2026,6,15)+TIME(5,0,0)+gmt_delta</f>
        <v>46188.75</v>
      </c>
      <c r="S20" s="43" t="str">
        <f aca="false">IF(OR(F20="",G20=""),"",IF(F20&gt;G20,E20&amp;"_win",IF(F20&lt;G20,E20&amp;"_lose",E20&amp;"_draw")))</f>
        <v>Spain_win</v>
      </c>
      <c r="T20" s="43" t="str">
        <f aca="false">IF(S20="","",IF(F20&lt;G20,H20&amp;"_win",IF(F20&gt;G20,H20&amp;"_lose",H20&amp;"_draw")))</f>
        <v>Cape Verde_lose</v>
      </c>
      <c r="U20" s="42" t="n">
        <f aca="false">IF(S20="",0,IF(VLOOKUP(E20,$AE$8:$AN$77,10,FALSE())=VLOOKUP(H20,$AE$8:$AN$77,10,FALSE()),1,0))</f>
        <v>0</v>
      </c>
      <c r="V20" s="42" t="n">
        <f aca="false">U20*F20</f>
        <v>0</v>
      </c>
      <c r="W20" s="42" t="n">
        <f aca="false">U20*G20</f>
        <v>0</v>
      </c>
      <c r="X20" s="42" t="n">
        <f aca="false">IF(S20="",0,IF(VLOOKUP(E20,$AE$8:$AO$77,11,FALSE())=VLOOKUP(H20,$AE$8:$AO$77,11,FALSE()),1,0))</f>
        <v>0</v>
      </c>
      <c r="Y20" s="42" t="n">
        <f aca="false">X20*F20</f>
        <v>0</v>
      </c>
      <c r="Z20" s="42" t="n">
        <f aca="false">X20*G20</f>
        <v>0</v>
      </c>
      <c r="AA20" s="42" t="n">
        <f aca="false">IF(OR(E20=my_team,H20=my_team),1,IF(INT(MATCH(E20,$AE$8:$AE$78,0)/6)=$AA$6,1,0))</f>
        <v>0</v>
      </c>
      <c r="AB20" s="42" t="n">
        <f aca="false">IF(OR(F20="",G20=""),"",IF(F20&gt;G20,1,IF(F20&lt;G20,-1,0)))</f>
        <v>1</v>
      </c>
      <c r="AD20" s="42" t="n">
        <f aca="false">COUNTIF(AR20:AR23,CONCATENATE("&gt;=",AR20))</f>
        <v>1</v>
      </c>
      <c r="AE20" s="44" t="str">
        <f aca="false">VLOOKUP("Brazil",T,lang,FALSE())</f>
        <v>Brazil</v>
      </c>
      <c r="AF20" s="42" t="n">
        <f aca="false">COUNTIF($S$7:$T$78,"=" &amp; AE20 &amp; "_win")</f>
        <v>3</v>
      </c>
      <c r="AG20" s="42" t="n">
        <f aca="false">COUNTIF($S$7:$T$78,"=" &amp; AE20 &amp; "_draw")</f>
        <v>0</v>
      </c>
      <c r="AH20" s="42" t="n">
        <f aca="false">COUNTIF($S$7:$T$78,"=" &amp; AE20 &amp; "_lose")</f>
        <v>0</v>
      </c>
      <c r="AI20" s="42" t="n">
        <f aca="false">SUMIF($E$7:$E$78,$AE20,$F$7:$F$78) + SUMIF($H$7:$H$78,$AE20,$G$7:$G$78)</f>
        <v>5</v>
      </c>
      <c r="AJ20" s="42" t="n">
        <f aca="false">SUMIF($E$7:$E$78,$AE20,$G$7:$G$78) + SUMIF($H$7:$H$78,$AE20,$F$7:$F$78)</f>
        <v>0</v>
      </c>
      <c r="AL20" s="42" t="n">
        <f aca="false">AI20-AJ20</f>
        <v>5</v>
      </c>
      <c r="AM20" s="42" t="n">
        <f aca="false">AL20-AL24</f>
        <v>11</v>
      </c>
      <c r="AN20" s="42" t="n">
        <f aca="false">AF20*3+AG20</f>
        <v>9</v>
      </c>
      <c r="AO20" s="42" t="n">
        <f aca="false">AN20/AN24*10+BA20</f>
        <v>9</v>
      </c>
      <c r="AP20" s="42" t="n">
        <f aca="false">AO20*10000000+BI20*100+AM20/AM24*10+AI20/AI24*1++IF(AQ20=0,ROW(),AQ20)/2000000</f>
        <v>90000010.0008806</v>
      </c>
      <c r="AQ20" s="46" t="n">
        <f aca="false">VLOOKUP(AE20,db_fifarank,2,FALSE())</f>
        <v>1761.16</v>
      </c>
      <c r="AR20" s="45" t="n">
        <f aca="false">AP20/AP24</f>
        <v>0.99999998888889</v>
      </c>
      <c r="AS20" s="45" t="str">
        <f aca="false">IF(SUM(AF20:AH23)=12,J21,"1C")</f>
        <v>Brazil</v>
      </c>
      <c r="AT20" s="46" t="n">
        <f aca="false" t="array" ref="AT20:AT20">SUMPRODUCT(($S$7:$S$78=AE20&amp;"_win")*($U$7:$U$78))+SUMPRODUCT(($T$7:$T$78=AE20&amp;"_win")*($U$7:$U$78))</f>
        <v>0</v>
      </c>
      <c r="AU20" s="46" t="n">
        <f aca="false" t="array" ref="AU20:AU20">SUMPRODUCT(($S$7:$S$78=AE20&amp;"_draw")*($U$7:$U$78))+SUMPRODUCT(($T$7:$T$78=AE20&amp;"_draw")*($U$7:$U$78))</f>
        <v>0</v>
      </c>
      <c r="AV20" s="46" t="n">
        <f aca="false" t="array" ref="AV20:AV20">SUMPRODUCT(($E$7:$E$78=AE20)*($U$7:$U$78)*($F$7:$F$78))+SUMPRODUCT(($H$7:$H$78=AE20)*($U$7:$U$78)*($G$7:$G$78))</f>
        <v>0</v>
      </c>
      <c r="AW20" s="46" t="n">
        <f aca="false" t="array" ref="AW20:AW20">SUMPRODUCT(($E$7:$E$78=AE20)*($U$7:$U$78)*($G$7:$G$78))+SUMPRODUCT(($H$7:$H$78=AE20)*($U$7:$U$78)*($F$7:$F$78))</f>
        <v>0</v>
      </c>
      <c r="AX20" s="46" t="n">
        <f aca="false">AV20-AW20</f>
        <v>0</v>
      </c>
      <c r="AY20" s="46" t="n">
        <f aca="false">AX20-MIN(AX20:AX23)</f>
        <v>0</v>
      </c>
      <c r="AZ20" s="46" t="n">
        <f aca="false">AT20/AT24*1000+AU20/AU24*100+AY20/AY24*10+AV20/AV24</f>
        <v>0</v>
      </c>
      <c r="BA20" s="46" t="n">
        <f aca="false">AZ20/AZ24</f>
        <v>0</v>
      </c>
      <c r="BB20" s="46" t="n">
        <f aca="false" t="array" ref="BB20:BB20">SUMPRODUCT(($S$7:$S$78=AE20&amp;"_win")*($X$7:$X$78))+SUMPRODUCT(($T$7:$T$78=AE20&amp;"_win")*($X$7:$X$78))</f>
        <v>0</v>
      </c>
      <c r="BC20" s="46" t="n">
        <f aca="false" t="array" ref="BC20:BC20">SUMPRODUCT(($S$7:$S$78=AE20&amp;"_draw")*($X$7:$X$78))+SUMPRODUCT(($T$7:$T$78=AE20&amp;"_draw")*($X$7:$X$78))</f>
        <v>0</v>
      </c>
      <c r="BD20" s="46" t="n">
        <f aca="false" t="array" ref="BD20:BD20">SUMPRODUCT(($E$7:$E$78=AE20)*($X$7:$X$78)*($F$7:$F$78))+SUMPRODUCT(($H$7:$H$78=AE20)*($X$7:$X$78)*($G$7:$G$78))</f>
        <v>0</v>
      </c>
      <c r="BE20" s="46" t="n">
        <f aca="false" t="array" ref="BE20:BE20">SUMPRODUCT(($E$7:$E$78=AE20)*($X$7:$X$78)*($G$7:$G$78))+SUMPRODUCT(($H$7:$H$78=AE20)*($X$7:$X$78)*($F$7:$F$78))</f>
        <v>0</v>
      </c>
      <c r="BF20" s="46" t="n">
        <f aca="false">BD20-BE20</f>
        <v>0</v>
      </c>
      <c r="BG20" s="46" t="n">
        <f aca="false">BF20-MIN(BF20:BF23)</f>
        <v>0</v>
      </c>
      <c r="BH20" s="46" t="n">
        <f aca="false">BB20/BB24*1000+BC20/BC24*100+BG20/BG24*10+BD20/BD24</f>
        <v>0</v>
      </c>
      <c r="BI20" s="46" t="n">
        <f aca="false">BH20/BH24</f>
        <v>0</v>
      </c>
      <c r="BK20" s="74"/>
      <c r="BL20" s="74"/>
      <c r="BM20" s="74"/>
      <c r="BN20" s="74"/>
      <c r="BO20" s="74"/>
      <c r="BP20" s="96"/>
      <c r="BQ20" s="47"/>
      <c r="BR20" s="82" t="n">
        <v>90</v>
      </c>
      <c r="BS20" s="83" t="str">
        <f aca="false">IF(BP18&gt;BP19,BL18,IF(BP18&lt;BP19,BL19,""))</f>
        <v>Korea Republic</v>
      </c>
      <c r="BT20" s="84" t="n">
        <v>0</v>
      </c>
      <c r="BU20" s="85"/>
      <c r="BV20" s="86"/>
      <c r="BW20" s="98" t="n">
        <f aca="false">IF(OR(BT20="",BT21="",AND(BU20="",BU21&lt;&gt;""),AND(BU21="",BU20&lt;&gt;""),AND(BV20="",BV21&lt;&gt;""),AND(BV21="",BV20&lt;&gt;"")),"",BT20*1000+BU20*10+BV20)</f>
        <v>0</v>
      </c>
      <c r="BX20" s="47"/>
      <c r="BY20" s="74"/>
      <c r="BZ20" s="74"/>
      <c r="CA20" s="74"/>
      <c r="CB20" s="74"/>
      <c r="CC20" s="74"/>
      <c r="CD20" s="96"/>
      <c r="CE20" s="47"/>
      <c r="CF20" s="74"/>
      <c r="CG20" s="74"/>
      <c r="CH20" s="74"/>
      <c r="CI20" s="74"/>
      <c r="CJ20" s="74"/>
      <c r="CL20" s="47"/>
      <c r="CM20" s="74"/>
      <c r="CN20" s="74"/>
      <c r="CO20" s="74"/>
      <c r="CP20" s="74"/>
      <c r="CQ20" s="74"/>
    </row>
    <row r="21" customFormat="false" ht="14.25" hidden="false" customHeight="true" outlineLevel="0" collapsed="false">
      <c r="A21" s="63" t="n">
        <v>15</v>
      </c>
      <c r="B21" s="64" t="str">
        <f aca="false" t="array" ref="B21:B21">INDEX(T,18+INT(MOD(R21-1,7)),lang)</f>
        <v>Tue</v>
      </c>
      <c r="C21" s="65" t="str">
        <f aca="false" t="array" ref="C21:C21">INDEX(T,24+MONTH(R21),lang) &amp; " " &amp; DAY(R21) &amp; ", " &amp; YEAR(R21)</f>
        <v>Jun 16, 2026</v>
      </c>
      <c r="D21" s="66" t="n">
        <f aca="false">TIME(HOUR(R21),MINUTE(R21),0)</f>
        <v>0.125</v>
      </c>
      <c r="E21" s="67" t="str">
        <f aca="false">AE46</f>
        <v>Iran</v>
      </c>
      <c r="F21" s="68" t="n">
        <v>2</v>
      </c>
      <c r="G21" s="69" t="n">
        <v>0</v>
      </c>
      <c r="H21" s="70" t="str">
        <f aca="false">AE47</f>
        <v>New Zealand</v>
      </c>
      <c r="J21" s="75" t="str">
        <f aca="false">VLOOKUP(1,AD20:AN23,2,FALSE())</f>
        <v>Brazil</v>
      </c>
      <c r="K21" s="76" t="n">
        <f aca="false">L21+M21+N21</f>
        <v>3</v>
      </c>
      <c r="L21" s="76" t="n">
        <f aca="false">VLOOKUP(1,AD20:AN23,3,FALSE())</f>
        <v>3</v>
      </c>
      <c r="M21" s="76" t="n">
        <f aca="false">VLOOKUP(1,AD20:AN23,4,FALSE())</f>
        <v>0</v>
      </c>
      <c r="N21" s="76" t="n">
        <f aca="false">VLOOKUP(1,AD20:AN23,5,FALSE())</f>
        <v>0</v>
      </c>
      <c r="O21" s="76" t="str">
        <f aca="false">VLOOKUP(1,AD20:AN23,6,FALSE()) &amp; " - " &amp; VLOOKUP(1,AD20:AN23,7,FALSE())</f>
        <v>5 - 0</v>
      </c>
      <c r="P21" s="77" t="n">
        <f aca="false">L21*3+M21</f>
        <v>9</v>
      </c>
      <c r="R21" s="42" t="n">
        <f aca="false">DATE(2026,6,15)+TIME(14,0,0)+gmt_delta</f>
        <v>46189.125</v>
      </c>
      <c r="S21" s="43" t="str">
        <f aca="false">IF(OR(F21="",G21=""),"",IF(F21&gt;G21,E21&amp;"_win",IF(F21&lt;G21,E21&amp;"_lose",E21&amp;"_draw")))</f>
        <v>Iran_win</v>
      </c>
      <c r="T21" s="43" t="str">
        <f aca="false">IF(S21="","",IF(F21&lt;G21,H21&amp;"_win",IF(F21&gt;G21,H21&amp;"_lose",H21&amp;"_draw")))</f>
        <v>New Zealand_lose</v>
      </c>
      <c r="U21" s="42" t="n">
        <f aca="false">IF(S21="",0,IF(VLOOKUP(E21,$AE$8:$AN$77,10,FALSE())=VLOOKUP(H21,$AE$8:$AN$77,10,FALSE()),1,0))</f>
        <v>0</v>
      </c>
      <c r="V21" s="42" t="n">
        <f aca="false">U21*F21</f>
        <v>0</v>
      </c>
      <c r="W21" s="42" t="n">
        <f aca="false">U21*G21</f>
        <v>0</v>
      </c>
      <c r="X21" s="42" t="n">
        <f aca="false">IF(S21="",0,IF(VLOOKUP(E21,$AE$8:$AO$77,11,FALSE())=VLOOKUP(H21,$AE$8:$AO$77,11,FALSE()),1,0))</f>
        <v>0</v>
      </c>
      <c r="Y21" s="42" t="n">
        <f aca="false">X21*F21</f>
        <v>0</v>
      </c>
      <c r="Z21" s="42" t="n">
        <f aca="false">X21*G21</f>
        <v>0</v>
      </c>
      <c r="AA21" s="42" t="n">
        <f aca="false">IF(OR(E21=my_team,H21=my_team),1,IF(INT(MATCH(E21,$AE$8:$AE$78,0)/6)=$AA$6,1,0))</f>
        <v>0</v>
      </c>
      <c r="AB21" s="42" t="n">
        <f aca="false">IF(OR(F21="",G21=""),"",IF(F21&gt;G21,1,IF(F21&lt;G21,-1,0)))</f>
        <v>1</v>
      </c>
      <c r="AD21" s="42" t="n">
        <f aca="false">COUNTIF(AR20:AR23,CONCATENATE("&gt;=",AR21))</f>
        <v>2</v>
      </c>
      <c r="AE21" s="44" t="str">
        <f aca="false">VLOOKUP("Morocco",T,lang,FALSE())</f>
        <v>Morocco</v>
      </c>
      <c r="AF21" s="42" t="n">
        <f aca="false">COUNTIF($S$7:$T$78,"=" &amp; AE21 &amp; "_win")</f>
        <v>2</v>
      </c>
      <c r="AG21" s="42" t="n">
        <f aca="false">COUNTIF($S$7:$T$78,"=" &amp; AE21 &amp; "_draw")</f>
        <v>0</v>
      </c>
      <c r="AH21" s="42" t="n">
        <f aca="false">COUNTIF($S$7:$T$78,"=" &amp; AE21 &amp; "_lose")</f>
        <v>1</v>
      </c>
      <c r="AI21" s="42" t="n">
        <f aca="false">SUMIF($E$7:$E$78,$AE21,$F$7:$F$78) + SUMIF($H$7:$H$78,$AE21,$G$7:$G$78)</f>
        <v>4</v>
      </c>
      <c r="AJ21" s="42" t="n">
        <f aca="false">SUMIF($E$7:$E$78,$AE21,$G$7:$G$78) + SUMIF($H$7:$H$78,$AE21,$F$7:$F$78)</f>
        <v>1</v>
      </c>
      <c r="AL21" s="42" t="n">
        <f aca="false">AI21-AJ21</f>
        <v>3</v>
      </c>
      <c r="AM21" s="42" t="n">
        <f aca="false">AL21-AL24</f>
        <v>9</v>
      </c>
      <c r="AN21" s="42" t="n">
        <f aca="false">AF21*3+AG21</f>
        <v>6</v>
      </c>
      <c r="AO21" s="42" t="n">
        <f aca="false">AN21/AN24*10+BA21</f>
        <v>6</v>
      </c>
      <c r="AP21" s="42" t="n">
        <f aca="false">AO21*10000000+BI21*100+AM21/AM24*10+AI21/AI24*1++IF(AQ21=0,ROW(),AQ21)/2000000</f>
        <v>60000008.1675446</v>
      </c>
      <c r="AQ21" s="46" t="n">
        <f aca="false">VLOOKUP(AE21,db_fifarank,2,FALSE())</f>
        <v>1755.87</v>
      </c>
      <c r="AR21" s="45" t="n">
        <f aca="false">AP21/AP24</f>
        <v>0.666666675929157</v>
      </c>
      <c r="AS21" s="45" t="str">
        <f aca="false">IF(SUM(AF20:AH23)=12,J22,"2C")</f>
        <v>Morocco</v>
      </c>
      <c r="AT21" s="46" t="n">
        <f aca="false" t="array" ref="AT21:AT21">SUMPRODUCT(($S$7:$S$78=AE21&amp;"_win")*($U$7:$U$78))+SUMPRODUCT(($T$7:$T$78=AE21&amp;"_win")*($U$7:$U$78))</f>
        <v>0</v>
      </c>
      <c r="AU21" s="46" t="n">
        <f aca="false" t="array" ref="AU21:AU21">SUMPRODUCT(($S$7:$S$78=AE21&amp;"_draw")*($U$7:$U$78))+SUMPRODUCT(($T$7:$T$78=AE21&amp;"_draw")*($U$7:$U$78))</f>
        <v>0</v>
      </c>
      <c r="AV21" s="46" t="n">
        <f aca="false" t="array" ref="AV21:AV21">SUMPRODUCT(($E$7:$E$78=AE21)*($U$7:$U$78)*($F$7:$F$78))+SUMPRODUCT(($H$7:$H$78=AE21)*($U$7:$U$78)*($G$7:$G$78))</f>
        <v>0</v>
      </c>
      <c r="AW21" s="46" t="n">
        <f aca="false" t="array" ref="AW21:AW21">SUMPRODUCT(($E$7:$E$78=AE21)*($U$7:$U$78)*($G$7:$G$78))+SUMPRODUCT(($H$7:$H$78=AE21)*($U$7:$U$78)*($F$7:$F$78))</f>
        <v>0</v>
      </c>
      <c r="AX21" s="46" t="n">
        <f aca="false">AV21-AW21</f>
        <v>0</v>
      </c>
      <c r="AY21" s="46" t="n">
        <f aca="false">AX21-MIN(AX20:AX23)</f>
        <v>0</v>
      </c>
      <c r="AZ21" s="46" t="n">
        <f aca="false">AT21/AT24*1000+AU21/AU24*100+AY21/AY24*10+AV21/AV24</f>
        <v>0</v>
      </c>
      <c r="BA21" s="46" t="n">
        <f aca="false">AZ21/AZ24</f>
        <v>0</v>
      </c>
      <c r="BB21" s="46" t="n">
        <f aca="false" t="array" ref="BB21:BB21">SUMPRODUCT(($S$7:$S$78=AE21&amp;"_win")*($X$7:$X$78))+SUMPRODUCT(($T$7:$T$78=AE21&amp;"_win")*($X$7:$X$78))</f>
        <v>0</v>
      </c>
      <c r="BC21" s="46" t="n">
        <f aca="false" t="array" ref="BC21:BC21">SUMPRODUCT(($S$7:$S$78=AE21&amp;"_draw")*($X$7:$X$78))+SUMPRODUCT(($T$7:$T$78=AE21&amp;"_draw")*($X$7:$X$78))</f>
        <v>0</v>
      </c>
      <c r="BD21" s="46" t="n">
        <f aca="false" t="array" ref="BD21:BD21">SUMPRODUCT(($E$7:$E$78=AE21)*($X$7:$X$78)*($F$7:$F$78))+SUMPRODUCT(($H$7:$H$78=AE21)*($X$7:$X$78)*($G$7:$G$78))</f>
        <v>0</v>
      </c>
      <c r="BE21" s="46" t="n">
        <f aca="false" t="array" ref="BE21:BE21">SUMPRODUCT(($E$7:$E$78=AE21)*($X$7:$X$78)*($G$7:$G$78))+SUMPRODUCT(($H$7:$H$78=AE21)*($X$7:$X$78)*($F$7:$F$78))</f>
        <v>0</v>
      </c>
      <c r="BF21" s="46" t="n">
        <f aca="false">BD21-BE21</f>
        <v>0</v>
      </c>
      <c r="BG21" s="46" t="n">
        <f aca="false">BF21-MIN(BF20:BF23)</f>
        <v>0</v>
      </c>
      <c r="BH21" s="46" t="n">
        <f aca="false">BB21/BB24*1000+BC21/BC24*100+BG21/BG24*10+BD21/BD24</f>
        <v>0</v>
      </c>
      <c r="BI21" s="46" t="n">
        <f aca="false">BH21/BH24</f>
        <v>0</v>
      </c>
      <c r="BK21" s="74" t="str">
        <f aca="false" t="array" ref="BK21: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74"/>
      <c r="BM21" s="74"/>
      <c r="BN21" s="74"/>
      <c r="BO21" s="92"/>
      <c r="BP21" s="96" t="n">
        <f aca="false">DATE(2026,6,29)+TIME(14,0,0)+gmt_delta</f>
        <v>46203.125</v>
      </c>
      <c r="BQ21" s="97"/>
      <c r="BR21" s="82"/>
      <c r="BS21" s="87" t="str">
        <f aca="false">IF(BP22&gt;BP23,BL22,IF(BP22&lt;BP23,BL23,""))</f>
        <v>Netherlands</v>
      </c>
      <c r="BT21" s="88" t="n">
        <v>1</v>
      </c>
      <c r="BU21" s="89"/>
      <c r="BV21" s="90"/>
      <c r="BW21" s="47" t="n">
        <f aca="false">IF(BW20="","",BT21*1000+BU21*10+BV21)</f>
        <v>1000</v>
      </c>
      <c r="BX21" s="47"/>
      <c r="BY21" s="74"/>
      <c r="BZ21" s="74"/>
      <c r="CA21" s="74"/>
      <c r="CB21" s="74"/>
      <c r="CC21" s="74"/>
      <c r="CD21" s="96"/>
      <c r="CE21" s="47"/>
      <c r="CF21" s="74"/>
      <c r="CG21" s="74"/>
      <c r="CH21" s="74"/>
      <c r="CI21" s="74"/>
      <c r="CJ21" s="74"/>
      <c r="CL21" s="47"/>
      <c r="CM21" s="74"/>
      <c r="CN21" s="74"/>
      <c r="CO21" s="74"/>
      <c r="CP21" s="74"/>
      <c r="CQ21" s="74"/>
    </row>
    <row r="22" customFormat="false" ht="14.25" hidden="false" customHeight="true" outlineLevel="0" collapsed="false">
      <c r="A22" s="63" t="n">
        <v>16</v>
      </c>
      <c r="B22" s="64" t="str">
        <f aca="false" t="array" ref="B22:B22">INDEX(T,18+INT(MOD(R22-1,7)),lang)</f>
        <v>Mon</v>
      </c>
      <c r="C22" s="65" t="str">
        <f aca="false" t="array" ref="C22:C22">INDEX(T,24+MONTH(R22),lang) &amp; " " &amp; DAY(R22) &amp; ", " &amp; YEAR(R22)</f>
        <v>Jun 15, 2026</v>
      </c>
      <c r="D22" s="66" t="n">
        <f aca="false">TIME(HOUR(R22),MINUTE(R22),0)</f>
        <v>0.875</v>
      </c>
      <c r="E22" s="67" t="str">
        <f aca="false">AE44</f>
        <v>Belgium</v>
      </c>
      <c r="F22" s="68" t="n">
        <v>2</v>
      </c>
      <c r="G22" s="69" t="n">
        <v>1</v>
      </c>
      <c r="H22" s="70" t="str">
        <f aca="false">AE45</f>
        <v>Egypt</v>
      </c>
      <c r="J22" s="79" t="str">
        <f aca="false">VLOOKUP(2,AD20:AN23,2,FALSE())</f>
        <v>Morocco</v>
      </c>
      <c r="K22" s="80" t="n">
        <f aca="false">L22+M22+N22</f>
        <v>3</v>
      </c>
      <c r="L22" s="80" t="n">
        <f aca="false">VLOOKUP(2,AD20:AN23,3,FALSE())</f>
        <v>2</v>
      </c>
      <c r="M22" s="80" t="n">
        <f aca="false">VLOOKUP(2,AD20:AN23,4,FALSE())</f>
        <v>0</v>
      </c>
      <c r="N22" s="80" t="n">
        <f aca="false">VLOOKUP(2,AD20:AN23,5,FALSE())</f>
        <v>1</v>
      </c>
      <c r="O22" s="80" t="str">
        <f aca="false">VLOOKUP(2,AD20:AN23,6,FALSE()) &amp; " - " &amp; VLOOKUP(2,AD20:AN23,7,FALSE())</f>
        <v>4 - 1</v>
      </c>
      <c r="P22" s="81" t="n">
        <f aca="false">L22*3+M22</f>
        <v>6</v>
      </c>
      <c r="R22" s="42" t="n">
        <f aca="false">DATE(2026,6,15)+TIME(8,0,0)+gmt_delta</f>
        <v>46188.875</v>
      </c>
      <c r="S22" s="43" t="str">
        <f aca="false">IF(OR(F22="",G22=""),"",IF(F22&gt;G22,E22&amp;"_win",IF(F22&lt;G22,E22&amp;"_lose",E22&amp;"_draw")))</f>
        <v>Belgium_win</v>
      </c>
      <c r="T22" s="43" t="str">
        <f aca="false">IF(S22="","",IF(F22&lt;G22,H22&amp;"_win",IF(F22&gt;G22,H22&amp;"_lose",H22&amp;"_draw")))</f>
        <v>Egypt_lose</v>
      </c>
      <c r="U22" s="42" t="n">
        <f aca="false">IF(S22="",0,IF(VLOOKUP(E22,$AE$8:$AN$77,10,FALSE())=VLOOKUP(H22,$AE$8:$AN$77,10,FALSE()),1,0))</f>
        <v>0</v>
      </c>
      <c r="V22" s="42" t="n">
        <f aca="false">U22*F22</f>
        <v>0</v>
      </c>
      <c r="W22" s="42" t="n">
        <f aca="false">U22*G22</f>
        <v>0</v>
      </c>
      <c r="X22" s="42" t="n">
        <f aca="false">IF(S22="",0,IF(VLOOKUP(E22,$AE$8:$AO$77,11,FALSE())=VLOOKUP(H22,$AE$8:$AO$77,11,FALSE()),1,0))</f>
        <v>0</v>
      </c>
      <c r="Y22" s="42" t="n">
        <f aca="false">X22*F22</f>
        <v>0</v>
      </c>
      <c r="Z22" s="42" t="n">
        <f aca="false">X22*G22</f>
        <v>0</v>
      </c>
      <c r="AA22" s="42" t="n">
        <f aca="false">IF(OR(E22=my_team,H22=my_team),1,IF(INT(MATCH(E22,$AE$8:$AE$78,0)/6)=$AA$6,1,0))</f>
        <v>0</v>
      </c>
      <c r="AB22" s="42" t="n">
        <f aca="false">IF(OR(F22="",G22=""),"",IF(F22&gt;G22,1,IF(F22&lt;G22,-1,0)))</f>
        <v>1</v>
      </c>
      <c r="AD22" s="42" t="n">
        <f aca="false">COUNTIF(AR20:AR23,CONCATENATE("&gt;=",AR22))</f>
        <v>4</v>
      </c>
      <c r="AE22" s="44" t="str">
        <f aca="false">VLOOKUP("Haiti",T,lang,FALSE())</f>
        <v>Haiti</v>
      </c>
      <c r="AF22" s="42" t="n">
        <f aca="false">COUNTIF($S$7:$T$78,"=" &amp; AE22 &amp; "_win")</f>
        <v>0</v>
      </c>
      <c r="AG22" s="42" t="n">
        <f aca="false">COUNTIF($S$7:$T$78,"=" &amp; AE22 &amp; "_draw")</f>
        <v>0</v>
      </c>
      <c r="AH22" s="42" t="n">
        <f aca="false">COUNTIF($S$7:$T$78,"=" &amp; AE22 &amp; "_lose")</f>
        <v>3</v>
      </c>
      <c r="AI22" s="42" t="n">
        <f aca="false">SUMIF($E$7:$E$78,$AE22,$F$7:$F$78) + SUMIF($H$7:$H$78,$AE22,$G$7:$G$78)</f>
        <v>0</v>
      </c>
      <c r="AJ22" s="42" t="n">
        <f aca="false">SUMIF($E$7:$E$78,$AE22,$G$7:$G$78) + SUMIF($H$7:$H$78,$AE22,$F$7:$F$78)</f>
        <v>6</v>
      </c>
      <c r="AL22" s="42" t="n">
        <f aca="false">AI22-AJ22</f>
        <v>-6</v>
      </c>
      <c r="AM22" s="42" t="n">
        <f aca="false">AL22-AL24</f>
        <v>0</v>
      </c>
      <c r="AN22" s="42" t="n">
        <f aca="false">AF22*3+AG22</f>
        <v>0</v>
      </c>
      <c r="AO22" s="42" t="n">
        <f aca="false">AN22/AN24*10+BA22</f>
        <v>0</v>
      </c>
      <c r="AP22" s="42" t="n">
        <f aca="false">AO22*10000000+BI22*100+AM22/AM24*10+AI22/AI24*1++IF(AQ22=0,ROW(),AQ22)/2000000</f>
        <v>0.000645855</v>
      </c>
      <c r="AQ22" s="46" t="n">
        <f aca="false">VLOOKUP(AE22,db_fifarank,2,FALSE())</f>
        <v>1291.71</v>
      </c>
      <c r="AR22" s="45" t="n">
        <f aca="false">AP22/AP24</f>
        <v>7.17616578950952E-012</v>
      </c>
      <c r="AT22" s="46" t="n">
        <f aca="false" t="array" ref="AT22:AT22">SUMPRODUCT(($S$7:$S$78=AE22&amp;"_win")*($U$7:$U$78))+SUMPRODUCT(($T$7:$T$78=AE22&amp;"_win")*($U$7:$U$78))</f>
        <v>0</v>
      </c>
      <c r="AU22" s="46" t="n">
        <f aca="false" t="array" ref="AU22:AU22">SUMPRODUCT(($S$7:$S$78=AE22&amp;"_draw")*($U$7:$U$78))+SUMPRODUCT(($T$7:$T$78=AE22&amp;"_draw")*($U$7:$U$78))</f>
        <v>0</v>
      </c>
      <c r="AV22" s="46" t="n">
        <f aca="false" t="array" ref="AV22:AV22">SUMPRODUCT(($E$7:$E$78=AE22)*($U$7:$U$78)*($F$7:$F$78))+SUMPRODUCT(($H$7:$H$78=AE22)*($U$7:$U$78)*($G$7:$G$78))</f>
        <v>0</v>
      </c>
      <c r="AW22" s="46" t="n">
        <f aca="false" t="array" ref="AW22:AW22">SUMPRODUCT(($E$7:$E$78=AE22)*($U$7:$U$78)*($G$7:$G$78))+SUMPRODUCT(($H$7:$H$78=AE22)*($U$7:$U$78)*($F$7:$F$78))</f>
        <v>0</v>
      </c>
      <c r="AX22" s="46" t="n">
        <f aca="false">AV22-AW22</f>
        <v>0</v>
      </c>
      <c r="AY22" s="46" t="n">
        <f aca="false">AX22-MIN(AX20:AX23)</f>
        <v>0</v>
      </c>
      <c r="AZ22" s="46" t="n">
        <f aca="false">AT22/AT24*1000+AU22/AU24*100+AY22/AY24*10+AV22/AV24</f>
        <v>0</v>
      </c>
      <c r="BA22" s="46" t="n">
        <f aca="false">AZ22/AZ24</f>
        <v>0</v>
      </c>
      <c r="BB22" s="46" t="n">
        <f aca="false" t="array" ref="BB22:BB22">SUMPRODUCT(($S$7:$S$78=AE22&amp;"_win")*($X$7:$X$78))+SUMPRODUCT(($T$7:$T$78=AE22&amp;"_win")*($X$7:$X$78))</f>
        <v>0</v>
      </c>
      <c r="BC22" s="46" t="n">
        <f aca="false" t="array" ref="BC22:BC22">SUMPRODUCT(($S$7:$S$78=AE22&amp;"_draw")*($X$7:$X$78))+SUMPRODUCT(($T$7:$T$78=AE22&amp;"_draw")*($X$7:$X$78))</f>
        <v>0</v>
      </c>
      <c r="BD22" s="46" t="n">
        <f aca="false" t="array" ref="BD22:BD22">SUMPRODUCT(($E$7:$E$78=AE22)*($X$7:$X$78)*($F$7:$F$78))+SUMPRODUCT(($H$7:$H$78=AE22)*($X$7:$X$78)*($G$7:$G$78))</f>
        <v>0</v>
      </c>
      <c r="BE22" s="46" t="n">
        <f aca="false" t="array" ref="BE22:BE22">SUMPRODUCT(($E$7:$E$78=AE22)*($X$7:$X$78)*($G$7:$G$78))+SUMPRODUCT(($H$7:$H$78=AE22)*($X$7:$X$78)*($F$7:$F$78))</f>
        <v>0</v>
      </c>
      <c r="BF22" s="46" t="n">
        <f aca="false">BD22-BE22</f>
        <v>0</v>
      </c>
      <c r="BG22" s="46" t="n">
        <f aca="false">BF22-MIN(BF20:BF23)</f>
        <v>0</v>
      </c>
      <c r="BH22" s="46" t="n">
        <f aca="false">BB22/BB24*1000+BC22/BC24*100+BG22/BG24*10+BD22/BD24</f>
        <v>0</v>
      </c>
      <c r="BI22" s="46" t="n">
        <f aca="false">BH22/BH24</f>
        <v>0</v>
      </c>
      <c r="BK22" s="82" t="n">
        <v>75</v>
      </c>
      <c r="BL22" s="83" t="str">
        <f aca="false">AS38</f>
        <v>Netherlands</v>
      </c>
      <c r="BM22" s="84" t="n">
        <v>1</v>
      </c>
      <c r="BN22" s="85"/>
      <c r="BO22" s="86"/>
      <c r="BP22" s="98" t="n">
        <f aca="false">IF(OR(BM22="",BM23="",AND(BN22="",BN23&lt;&gt;""),AND(BN23="",BN22&lt;&gt;""),AND(BO22="",BO23&lt;&gt;""),AND(BO23="",BO22&lt;&gt;"")),"",BM22*1000+BN22*10+BO22)</f>
        <v>1000</v>
      </c>
      <c r="BQ22" s="47"/>
      <c r="BR22" s="74"/>
      <c r="BS22" s="74"/>
      <c r="BT22" s="74"/>
      <c r="BU22" s="74"/>
      <c r="BV22" s="74"/>
      <c r="BW22" s="47"/>
      <c r="BX22" s="47"/>
      <c r="BY22" s="74"/>
      <c r="BZ22" s="74"/>
      <c r="CA22" s="74"/>
      <c r="CB22" s="74"/>
      <c r="CC22" s="74"/>
      <c r="CD22" s="96"/>
      <c r="CE22" s="47"/>
      <c r="CF22" s="74" t="str">
        <f aca="false" t="array" ref="CF22: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74"/>
      <c r="CH22" s="74"/>
      <c r="CI22" s="74"/>
      <c r="CJ22" s="92"/>
      <c r="CK22" s="48" t="n">
        <f aca="false">DATE(2026,7,14)+TIME(8,0,0)+gmt_delta</f>
        <v>46217.875</v>
      </c>
    </row>
    <row r="23" customFormat="false" ht="14.25" hidden="false" customHeight="true" outlineLevel="0" collapsed="false">
      <c r="A23" s="63" t="n">
        <v>17</v>
      </c>
      <c r="B23" s="64" t="str">
        <f aca="false" t="array" ref="B23:B23">INDEX(T,18+INT(MOD(R23-1,7)),lang)</f>
        <v>Tue</v>
      </c>
      <c r="C23" s="65" t="str">
        <f aca="false" t="array" ref="C23:C23">INDEX(T,24+MONTH(R23),lang) &amp; " " &amp; DAY(R23) &amp; ", " &amp; YEAR(R23)</f>
        <v>Jun 16, 2026</v>
      </c>
      <c r="D23" s="66" t="n">
        <f aca="false">TIME(HOUR(R23),MINUTE(R23),0)</f>
        <v>0.875</v>
      </c>
      <c r="E23" s="67" t="str">
        <f aca="false">AE56</f>
        <v>France</v>
      </c>
      <c r="F23" s="68" t="n">
        <v>2</v>
      </c>
      <c r="G23" s="69" t="n">
        <v>1</v>
      </c>
      <c r="H23" s="70" t="str">
        <f aca="false">AE57</f>
        <v>Senegal</v>
      </c>
      <c r="J23" s="79" t="str">
        <f aca="false">VLOOKUP(3,AD20:AN23,2,FALSE())</f>
        <v>Scotland</v>
      </c>
      <c r="K23" s="80" t="n">
        <f aca="false">L23+M23+N23</f>
        <v>3</v>
      </c>
      <c r="L23" s="80" t="n">
        <f aca="false">VLOOKUP(3,AD20:AN23,3,FALSE())</f>
        <v>1</v>
      </c>
      <c r="M23" s="80" t="n">
        <f aca="false">VLOOKUP(3,AD20:AN23,4,FALSE())</f>
        <v>0</v>
      </c>
      <c r="N23" s="80" t="n">
        <f aca="false">VLOOKUP(3,AD20:AN23,5,FALSE())</f>
        <v>2</v>
      </c>
      <c r="O23" s="80" t="str">
        <f aca="false">VLOOKUP(3,AD20:AN23,6,FALSE()) &amp; " - " &amp; VLOOKUP(3,AD20:AN23,7,FALSE())</f>
        <v>2 - 4</v>
      </c>
      <c r="P23" s="81" t="n">
        <f aca="false">L23*3+M23</f>
        <v>3</v>
      </c>
      <c r="R23" s="42" t="n">
        <f aca="false">DATE(2026,6,16)+TIME(8,0,0)+gmt_delta</f>
        <v>46189.875</v>
      </c>
      <c r="S23" s="43" t="str">
        <f aca="false">IF(OR(F23="",G23=""),"",IF(F23&gt;G23,E23&amp;"_win",IF(F23&lt;G23,E23&amp;"_lose",E23&amp;"_draw")))</f>
        <v>France_win</v>
      </c>
      <c r="T23" s="43" t="str">
        <f aca="false">IF(S23="","",IF(F23&lt;G23,H23&amp;"_win",IF(F23&gt;G23,H23&amp;"_lose",H23&amp;"_draw")))</f>
        <v>Senegal_lose</v>
      </c>
      <c r="U23" s="42" t="n">
        <f aca="false">IF(S23="",0,IF(VLOOKUP(E23,$AE$8:$AN$77,10,FALSE())=VLOOKUP(H23,$AE$8:$AN$77,10,FALSE()),1,0))</f>
        <v>0</v>
      </c>
      <c r="V23" s="42" t="n">
        <f aca="false">U23*F23</f>
        <v>0</v>
      </c>
      <c r="W23" s="42" t="n">
        <f aca="false">U23*G23</f>
        <v>0</v>
      </c>
      <c r="X23" s="42" t="n">
        <f aca="false">IF(S23="",0,IF(VLOOKUP(E23,$AE$8:$AO$77,11,FALSE())=VLOOKUP(H23,$AE$8:$AO$77,11,FALSE()),1,0))</f>
        <v>0</v>
      </c>
      <c r="Y23" s="42" t="n">
        <f aca="false">X23*F23</f>
        <v>0</v>
      </c>
      <c r="Z23" s="42" t="n">
        <f aca="false">X23*G23</f>
        <v>0</v>
      </c>
      <c r="AA23" s="42" t="n">
        <f aca="false">IF(OR(E23=my_team,H23=my_team),1,IF(INT(MATCH(E23,$AE$8:$AE$78,0)/6)=$AA$6,1,0))</f>
        <v>0</v>
      </c>
      <c r="AB23" s="42" t="n">
        <f aca="false">IF(OR(F23="",G23=""),"",IF(F23&gt;G23,1,IF(F23&lt;G23,-1,0)))</f>
        <v>1</v>
      </c>
      <c r="AD23" s="42" t="n">
        <f aca="false">COUNTIF(AR20:AR23,CONCATENATE("&gt;=",AR23))</f>
        <v>3</v>
      </c>
      <c r="AE23" s="44" t="str">
        <f aca="false">VLOOKUP("Scotland",T,lang,FALSE())</f>
        <v>Scotland</v>
      </c>
      <c r="AF23" s="42" t="n">
        <f aca="false">COUNTIF($S$7:$T$78,"=" &amp; AE23 &amp; "_win")</f>
        <v>1</v>
      </c>
      <c r="AG23" s="42" t="n">
        <f aca="false">COUNTIF($S$7:$T$78,"=" &amp; AE23 &amp; "_draw")</f>
        <v>0</v>
      </c>
      <c r="AH23" s="42" t="n">
        <f aca="false">COUNTIF($S$7:$T$78,"=" &amp; AE23 &amp; "_lose")</f>
        <v>2</v>
      </c>
      <c r="AI23" s="42" t="n">
        <f aca="false">SUMIF($E$7:$E$78,$AE23,$F$7:$F$78) + SUMIF($H$7:$H$78,$AE23,$G$7:$G$78)</f>
        <v>2</v>
      </c>
      <c r="AJ23" s="42" t="n">
        <f aca="false">SUMIF($E$7:$E$78,$AE23,$G$7:$G$78) + SUMIF($H$7:$H$78,$AE23,$F$7:$F$78)</f>
        <v>4</v>
      </c>
      <c r="AL23" s="42" t="n">
        <f aca="false">AI23-AJ23</f>
        <v>-2</v>
      </c>
      <c r="AM23" s="42" t="n">
        <f aca="false">AL23-AL24</f>
        <v>4</v>
      </c>
      <c r="AN23" s="42" t="n">
        <f aca="false">AF23*3+AG23</f>
        <v>3</v>
      </c>
      <c r="AO23" s="42" t="n">
        <f aca="false">AN23/AN24*10+BA23</f>
        <v>3</v>
      </c>
      <c r="AP23" s="42" t="n">
        <f aca="false">AO23*10000000+BI23*100+AM23/AM24*10+AI23/AI24*1++IF(AQ23=0,ROW(),AQ23)/2000000</f>
        <v>30000003.6674158</v>
      </c>
      <c r="AQ23" s="46" t="n">
        <f aca="false">VLOOKUP(AE23,db_fifarank,2,FALSE())</f>
        <v>1498.35</v>
      </c>
      <c r="AR23" s="45" t="n">
        <f aca="false">AP23/AP24</f>
        <v>0.333333333338396</v>
      </c>
      <c r="AT23" s="46" t="n">
        <f aca="false" t="array" ref="AT23:AT23">SUMPRODUCT(($S$7:$S$78=AE23&amp;"_win")*($U$7:$U$78))+SUMPRODUCT(($T$7:$T$78=AE23&amp;"_win")*($U$7:$U$78))</f>
        <v>0</v>
      </c>
      <c r="AU23" s="46" t="n">
        <f aca="false" t="array" ref="AU23:AU23">SUMPRODUCT(($S$7:$S$78=AE23&amp;"_draw")*($U$7:$U$78))+SUMPRODUCT(($T$7:$T$78=AE23&amp;"_draw")*($U$7:$U$78))</f>
        <v>0</v>
      </c>
      <c r="AV23" s="46" t="n">
        <f aca="false" t="array" ref="AV23:AV23">SUMPRODUCT(($E$7:$E$78=AE23)*($U$7:$U$78)*($F$7:$F$78))+SUMPRODUCT(($H$7:$H$78=AE23)*($U$7:$U$78)*($G$7:$G$78))</f>
        <v>0</v>
      </c>
      <c r="AW23" s="46" t="n">
        <f aca="false" t="array" ref="AW23:AW23">SUMPRODUCT(($E$7:$E$78=AE23)*($U$7:$U$78)*($G$7:$G$78))+SUMPRODUCT(($H$7:$H$78=AE23)*($U$7:$U$78)*($F$7:$F$78))</f>
        <v>0</v>
      </c>
      <c r="AX23" s="46" t="n">
        <f aca="false">AV23-AW23</f>
        <v>0</v>
      </c>
      <c r="AY23" s="46" t="n">
        <f aca="false">AX23-MIN(AX20:AX23)</f>
        <v>0</v>
      </c>
      <c r="AZ23" s="46" t="n">
        <f aca="false">AT23/AT24*1000+AU23/AU24*100+AY23/AY24*10+AV23/AV24</f>
        <v>0</v>
      </c>
      <c r="BA23" s="46" t="n">
        <f aca="false">AZ23/AZ24</f>
        <v>0</v>
      </c>
      <c r="BB23" s="46" t="n">
        <f aca="false" t="array" ref="BB23:BB23">SUMPRODUCT(($S$7:$S$78=AE23&amp;"_win")*($X$7:$X$78))+SUMPRODUCT(($T$7:$T$78=AE23&amp;"_win")*($X$7:$X$78))</f>
        <v>0</v>
      </c>
      <c r="BC23" s="46" t="n">
        <f aca="false" t="array" ref="BC23:BC23">SUMPRODUCT(($S$7:$S$78=AE23&amp;"_draw")*($X$7:$X$78))+SUMPRODUCT(($T$7:$T$78=AE23&amp;"_draw")*($X$7:$X$78))</f>
        <v>0</v>
      </c>
      <c r="BD23" s="46" t="n">
        <f aca="false" t="array" ref="BD23:BD23">SUMPRODUCT(($E$7:$E$78=AE23)*($X$7:$X$78)*($F$7:$F$78))+SUMPRODUCT(($H$7:$H$78=AE23)*($X$7:$X$78)*($G$7:$G$78))</f>
        <v>0</v>
      </c>
      <c r="BE23" s="46" t="n">
        <f aca="false" t="array" ref="BE23:BE23">SUMPRODUCT(($E$7:$E$78=AE23)*($X$7:$X$78)*($G$7:$G$78))+SUMPRODUCT(($H$7:$H$78=AE23)*($X$7:$X$78)*($F$7:$F$78))</f>
        <v>0</v>
      </c>
      <c r="BF23" s="46" t="n">
        <f aca="false">BD23-BE23</f>
        <v>0</v>
      </c>
      <c r="BG23" s="46" t="n">
        <f aca="false">BF23-MIN(BF20:BF23)</f>
        <v>0</v>
      </c>
      <c r="BH23" s="46" t="n">
        <f aca="false">BB23/BB24*1000+BC23/BC24*100+BG23/BG24*10+BD23/BD24</f>
        <v>0</v>
      </c>
      <c r="BI23" s="46" t="n">
        <f aca="false">BH23/BH24</f>
        <v>0</v>
      </c>
      <c r="BK23" s="82"/>
      <c r="BL23" s="87" t="str">
        <f aca="false">AS21</f>
        <v>Morocco</v>
      </c>
      <c r="BM23" s="88" t="n">
        <v>0</v>
      </c>
      <c r="BN23" s="89"/>
      <c r="BO23" s="90"/>
      <c r="BP23" s="47" t="n">
        <f aca="false">IF(BP22="","",BM23*1000+BN23*10+BO23)</f>
        <v>0</v>
      </c>
      <c r="BQ23" s="47"/>
      <c r="BR23" s="74"/>
      <c r="BS23" s="74"/>
      <c r="BT23" s="74"/>
      <c r="BU23" s="74"/>
      <c r="BV23" s="74"/>
      <c r="BW23" s="47"/>
      <c r="BX23" s="47"/>
      <c r="BY23" s="74"/>
      <c r="BZ23" s="74"/>
      <c r="CA23" s="74"/>
      <c r="CB23" s="74"/>
      <c r="CC23" s="74"/>
      <c r="CD23" s="96"/>
      <c r="CE23" s="47"/>
      <c r="CF23" s="82" t="n">
        <v>101</v>
      </c>
      <c r="CG23" s="83" t="str">
        <f aca="false">IF(CD16&gt;CD17,BZ16,IF(CD16&lt;CD17,BZ17,""))</f>
        <v>France</v>
      </c>
      <c r="CH23" s="84" t="n">
        <v>1</v>
      </c>
      <c r="CI23" s="85"/>
      <c r="CJ23" s="86"/>
      <c r="CK23" s="47" t="n">
        <f aca="false">IF(OR(CH23="",CH24="",AND(CI23="",CI24&lt;&gt;""),AND(CI24="",CI23&lt;&gt;""),AND(CJ23="",CJ24&lt;&gt;""),AND(CJ24="",CJ23&lt;&gt;"")),"",CH23*1000+CI23*10+CJ23)</f>
        <v>1000</v>
      </c>
    </row>
    <row r="24" customFormat="false" ht="14.25" hidden="false" customHeight="true" outlineLevel="0" collapsed="false">
      <c r="A24" s="63" t="n">
        <v>18</v>
      </c>
      <c r="B24" s="64" t="str">
        <f aca="false" t="array" ref="B24:B24">INDEX(T,18+INT(MOD(R24-1,7)),lang)</f>
        <v>Wed</v>
      </c>
      <c r="C24" s="65" t="str">
        <f aca="false" t="array" ref="C24:C24">INDEX(T,24+MONTH(R24),lang) &amp; " " &amp; DAY(R24) &amp; ", " &amp; YEAR(R24)</f>
        <v>Jun 17, 2026</v>
      </c>
      <c r="D24" s="66" t="n">
        <f aca="false">TIME(HOUR(R24),MINUTE(R24),0)</f>
        <v>0</v>
      </c>
      <c r="E24" s="67" t="str">
        <f aca="false">AE58</f>
        <v>Iraq</v>
      </c>
      <c r="F24" s="68" t="n">
        <v>1</v>
      </c>
      <c r="G24" s="69" t="n">
        <v>2</v>
      </c>
      <c r="H24" s="70" t="str">
        <f aca="false">AE59</f>
        <v>Norway</v>
      </c>
      <c r="J24" s="93" t="str">
        <f aca="false">VLOOKUP(4,AD20:AN23,2,FALSE())</f>
        <v>Haiti</v>
      </c>
      <c r="K24" s="94" t="n">
        <f aca="false">L24+M24+N24</f>
        <v>3</v>
      </c>
      <c r="L24" s="94" t="n">
        <f aca="false">VLOOKUP(4,AD20:AN23,3,FALSE())</f>
        <v>0</v>
      </c>
      <c r="M24" s="94" t="n">
        <f aca="false">VLOOKUP(4,AD20:AN23,4,FALSE())</f>
        <v>0</v>
      </c>
      <c r="N24" s="94" t="n">
        <f aca="false">VLOOKUP(4,AD20:AN23,5,FALSE())</f>
        <v>3</v>
      </c>
      <c r="O24" s="94" t="str">
        <f aca="false">VLOOKUP(4,AD20:AN23,6,FALSE()) &amp; " - " &amp; VLOOKUP(4,AD20:AN23,7,FALSE())</f>
        <v>0 - 6</v>
      </c>
      <c r="P24" s="95" t="n">
        <f aca="false">L24*3+M24</f>
        <v>0</v>
      </c>
      <c r="R24" s="42" t="n">
        <f aca="false">DATE(2026,6,16)+TIME(11,0,0)+gmt_delta</f>
        <v>46190</v>
      </c>
      <c r="S24" s="43" t="str">
        <f aca="false">IF(OR(F24="",G24=""),"",IF(F24&gt;G24,E24&amp;"_win",IF(F24&lt;G24,E24&amp;"_lose",E24&amp;"_draw")))</f>
        <v>Iraq_lose</v>
      </c>
      <c r="T24" s="43" t="str">
        <f aca="false">IF(S24="","",IF(F24&lt;G24,H24&amp;"_win",IF(F24&gt;G24,H24&amp;"_lose",H24&amp;"_draw")))</f>
        <v>Norway_win</v>
      </c>
      <c r="U24" s="42" t="n">
        <f aca="false">IF(S24="",0,IF(VLOOKUP(E24,$AE$8:$AN$77,10,FALSE())=VLOOKUP(H24,$AE$8:$AN$77,10,FALSE()),1,0))</f>
        <v>0</v>
      </c>
      <c r="V24" s="42" t="n">
        <f aca="false">U24*F24</f>
        <v>0</v>
      </c>
      <c r="W24" s="42" t="n">
        <f aca="false">U24*G24</f>
        <v>0</v>
      </c>
      <c r="X24" s="42" t="n">
        <f aca="false">IF(S24="",0,IF(VLOOKUP(E24,$AE$8:$AO$77,11,FALSE())=VLOOKUP(H24,$AE$8:$AO$77,11,FALSE()),1,0))</f>
        <v>0</v>
      </c>
      <c r="Y24" s="42" t="n">
        <f aca="false">X24*F24</f>
        <v>0</v>
      </c>
      <c r="Z24" s="42" t="n">
        <f aca="false">X24*G24</f>
        <v>0</v>
      </c>
      <c r="AA24" s="42" t="n">
        <f aca="false">IF(OR(E24=my_team,H24=my_team),1,IF(INT(MATCH(E24,$AE$8:$AE$78,0)/6)=$AA$6,1,0))</f>
        <v>0</v>
      </c>
      <c r="AB24" s="42" t="n">
        <f aca="false">IF(OR(F24="",G24=""),"",IF(F24&gt;G24,1,IF(F24&lt;G24,-1,0)))</f>
        <v>-1</v>
      </c>
      <c r="AF24" s="42" t="n">
        <f aca="false">MAX(AF20:AF23)-MIN(AF20:AF23)+1</f>
        <v>4</v>
      </c>
      <c r="AG24" s="42" t="n">
        <f aca="false">MAX(AG20:AG23)-MIN(AG20:AG23)+1</f>
        <v>1</v>
      </c>
      <c r="AH24" s="42" t="n">
        <f aca="false">MAX(AH20:AH23)-MIN(AH20:AH23)+1</f>
        <v>4</v>
      </c>
      <c r="AI24" s="42" t="n">
        <f aca="false">MAX(AI20:AI23)+1</f>
        <v>6</v>
      </c>
      <c r="AL24" s="42" t="n">
        <f aca="false">MIN(AL20:AL23)</f>
        <v>-6</v>
      </c>
      <c r="AM24" s="42" t="n">
        <f aca="false">MAX(AM20:AM23)+1</f>
        <v>12</v>
      </c>
      <c r="AN24" s="42" t="n">
        <f aca="false">MAX(AN20:AN23)+1</f>
        <v>10</v>
      </c>
      <c r="AO24" s="42" t="n">
        <f aca="false">MAX(AO20:AO23)+1</f>
        <v>10</v>
      </c>
      <c r="AP24" s="42" t="n">
        <f aca="false">MAX(AP20:AP23)+1</f>
        <v>90000011.0008806</v>
      </c>
      <c r="AT24" s="46" t="n">
        <f aca="false">MAX(AT20:AT23)-MIN(AT20:AT23)+1</f>
        <v>1</v>
      </c>
      <c r="AU24" s="46" t="n">
        <f aca="false">MAX(AU20:AU23)-MIN(AU20:AU23)+1</f>
        <v>1</v>
      </c>
      <c r="AV24" s="46" t="n">
        <f aca="false">MAX(AV20:AV23)-MIN(AV20:AV23)+1</f>
        <v>1</v>
      </c>
      <c r="AW24" s="46" t="n">
        <f aca="false">MAX(AW20:AW23)-MIN(AW20:AW23)+1</f>
        <v>1</v>
      </c>
      <c r="AY24" s="46" t="n">
        <f aca="false">MAX(AY20:AY23)-MIN(AY20:AY23)+1</f>
        <v>1</v>
      </c>
      <c r="AZ24" s="46" t="n">
        <f aca="false">MAX(AZ20:AZ23)+1</f>
        <v>1</v>
      </c>
      <c r="BB24" s="46" t="n">
        <f aca="false">MAX(BB20:BB23)-MIN(BB20:BB23)+1</f>
        <v>1</v>
      </c>
      <c r="BC24" s="46" t="n">
        <f aca="false">MAX(BC20:BC23)-MIN(BC20:BC23)+1</f>
        <v>1</v>
      </c>
      <c r="BD24" s="46" t="n">
        <f aca="false">MAX(BD20:BD23)-MIN(BD20:BD23)+1</f>
        <v>1</v>
      </c>
      <c r="BE24" s="46" t="n">
        <f aca="false">MAX(BE20:BE23)-MIN(BE20:BE23)+1</f>
        <v>1</v>
      </c>
      <c r="BG24" s="46" t="n">
        <f aca="false">MAX(BG20:BG23)-MIN(BG20:BG23)+1</f>
        <v>1</v>
      </c>
      <c r="BH24" s="46" t="n">
        <f aca="false">MAX(BH20:BH23)+1</f>
        <v>1</v>
      </c>
      <c r="BL24" s="74"/>
      <c r="BM24" s="74"/>
      <c r="BN24" s="74"/>
      <c r="BO24" s="74"/>
      <c r="BP24" s="47"/>
      <c r="BQ24" s="47"/>
      <c r="BR24" s="74"/>
      <c r="BS24" s="74"/>
      <c r="BT24" s="74"/>
      <c r="BU24" s="74"/>
      <c r="BV24" s="74"/>
      <c r="BW24" s="47"/>
      <c r="BX24" s="47"/>
      <c r="BY24" s="74"/>
      <c r="BZ24" s="74"/>
      <c r="CA24" s="74"/>
      <c r="CB24" s="74"/>
      <c r="CC24" s="74"/>
      <c r="CD24" s="96"/>
      <c r="CE24" s="97"/>
      <c r="CF24" s="82"/>
      <c r="CG24" s="87" t="str">
        <f aca="false">IF(CD32&gt;CD33,BZ32,IF(CD32&lt;CD33,BZ33,""))</f>
        <v>Spain</v>
      </c>
      <c r="CH24" s="88" t="n">
        <v>0</v>
      </c>
      <c r="CI24" s="89"/>
      <c r="CJ24" s="90"/>
      <c r="CK24" s="91" t="n">
        <f aca="false">IF(CK23="","",CH24*1000+CI24*10+CJ24)</f>
        <v>0</v>
      </c>
    </row>
    <row r="25" customFormat="false" ht="14.25" hidden="false" customHeight="true" outlineLevel="0" collapsed="false">
      <c r="A25" s="63" t="n">
        <v>19</v>
      </c>
      <c r="B25" s="64" t="str">
        <f aca="false" t="array" ref="B25:B25">INDEX(T,18+INT(MOD(R25-1,7)),lang)</f>
        <v>Wed</v>
      </c>
      <c r="C25" s="65" t="str">
        <f aca="false" t="array" ref="C25:C25">INDEX(T,24+MONTH(R25),lang) &amp; " " &amp; DAY(R25) &amp; ", " &amp; YEAR(R25)</f>
        <v>Jun 17, 2026</v>
      </c>
      <c r="D25" s="66" t="n">
        <f aca="false">TIME(HOUR(R25),MINUTE(R25),0)</f>
        <v>0.125</v>
      </c>
      <c r="E25" s="67" t="str">
        <f aca="false">AE62</f>
        <v>Argentina</v>
      </c>
      <c r="F25" s="68" t="n">
        <v>2</v>
      </c>
      <c r="G25" s="69" t="n">
        <v>0</v>
      </c>
      <c r="H25" s="70" t="str">
        <f aca="false">AE63</f>
        <v>Algeria</v>
      </c>
      <c r="R25" s="42" t="n">
        <f aca="false">DATE(2026,6,16)+TIME(14,0,0)+gmt_delta</f>
        <v>46190.125</v>
      </c>
      <c r="S25" s="43" t="str">
        <f aca="false">IF(OR(F25="",G25=""),"",IF(F25&gt;G25,E25&amp;"_win",IF(F25&lt;G25,E25&amp;"_lose",E25&amp;"_draw")))</f>
        <v>Argentina_win</v>
      </c>
      <c r="T25" s="43" t="str">
        <f aca="false">IF(S25="","",IF(F25&lt;G25,H25&amp;"_win",IF(F25&gt;G25,H25&amp;"_lose",H25&amp;"_draw")))</f>
        <v>Algeria_lose</v>
      </c>
      <c r="U25" s="42" t="n">
        <f aca="false">IF(S25="",0,IF(VLOOKUP(E25,$AE$8:$AN$77,10,FALSE())=VLOOKUP(H25,$AE$8:$AN$77,10,FALSE()),1,0))</f>
        <v>0</v>
      </c>
      <c r="V25" s="42" t="n">
        <f aca="false">U25*F25</f>
        <v>0</v>
      </c>
      <c r="W25" s="42" t="n">
        <f aca="false">U25*G25</f>
        <v>0</v>
      </c>
      <c r="X25" s="42" t="n">
        <f aca="false">IF(S25="",0,IF(VLOOKUP(E25,$AE$8:$AO$77,11,FALSE())=VLOOKUP(H25,$AE$8:$AO$77,11,FALSE()),1,0))</f>
        <v>0</v>
      </c>
      <c r="Y25" s="42" t="n">
        <f aca="false">X25*F25</f>
        <v>0</v>
      </c>
      <c r="Z25" s="42" t="n">
        <f aca="false">X25*G25</f>
        <v>0</v>
      </c>
      <c r="AA25" s="42" t="n">
        <f aca="false">IF(OR(E25=my_team,H25=my_team),1,IF(INT(MATCH(E25,$AE$8:$AE$78,0)/6)=$AA$6,1,0))</f>
        <v>0</v>
      </c>
      <c r="AB25" s="42" t="n">
        <f aca="false">IF(OR(F25="",G25=""),"",IF(F25&gt;G25,1,IF(F25&lt;G25,-1,0)))</f>
        <v>1</v>
      </c>
      <c r="BK25" s="74" t="str">
        <f aca="false" t="array" ref="BK25: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74"/>
      <c r="BM25" s="74"/>
      <c r="BN25" s="74"/>
      <c r="BO25" s="100"/>
      <c r="BP25" s="47" t="n">
        <f aca="false">DATE(2026,7,2)+TIME(12,0,0)+gmt_delta</f>
        <v>46206.0416666667</v>
      </c>
      <c r="BQ25" s="47"/>
      <c r="BR25" s="74"/>
      <c r="BS25" s="74"/>
      <c r="BT25" s="74"/>
      <c r="BU25" s="74"/>
      <c r="BV25" s="74"/>
      <c r="BW25" s="47"/>
      <c r="BX25" s="47"/>
      <c r="BY25" s="74"/>
      <c r="BZ25" s="74"/>
      <c r="CA25" s="74"/>
      <c r="CB25" s="74"/>
      <c r="CC25" s="74"/>
      <c r="CD25" s="96"/>
      <c r="CE25" s="47"/>
      <c r="CF25" s="74"/>
      <c r="CG25" s="74"/>
      <c r="CH25" s="74"/>
      <c r="CI25" s="74"/>
      <c r="CJ25" s="74"/>
      <c r="CK25" s="96"/>
      <c r="CL25" s="47"/>
      <c r="CM25" s="74"/>
      <c r="CN25" s="74"/>
      <c r="CO25" s="74"/>
      <c r="CP25" s="74"/>
      <c r="CQ25" s="74"/>
    </row>
    <row r="26" customFormat="false" ht="14.25" hidden="false" customHeight="true" outlineLevel="0" collapsed="false">
      <c r="A26" s="63" t="n">
        <v>20</v>
      </c>
      <c r="B26" s="64" t="str">
        <f aca="false" t="array" ref="B26:B26">INDEX(T,18+INT(MOD(R26-1,7)),lang)</f>
        <v>Wed</v>
      </c>
      <c r="C26" s="65" t="str">
        <f aca="false" t="array" ref="C26:C26">INDEX(T,24+MONTH(R26),lang) &amp; " " &amp; DAY(R26) &amp; ", " &amp; YEAR(R26)</f>
        <v>Jun 17, 2026</v>
      </c>
      <c r="D26" s="66" t="n">
        <f aca="false">TIME(HOUR(R26),MINUTE(R26),0)</f>
        <v>0.25</v>
      </c>
      <c r="E26" s="67" t="str">
        <f aca="false">AE64</f>
        <v>Austria</v>
      </c>
      <c r="F26" s="68" t="n">
        <v>2</v>
      </c>
      <c r="G26" s="69" t="n">
        <v>0</v>
      </c>
      <c r="H26" s="70" t="str">
        <f aca="false">AE65</f>
        <v>Jordan</v>
      </c>
      <c r="J26" s="71" t="str">
        <f aca="false" t="array" ref="J26:J26">INDEX(T,9,lang) &amp; " " &amp; "D"</f>
        <v>Group D</v>
      </c>
      <c r="K26" s="72" t="str">
        <f aca="false" t="array" ref="K26:K26">INDEX(T,10,lang)</f>
        <v>PL</v>
      </c>
      <c r="L26" s="72" t="str">
        <f aca="false" t="array" ref="L26:L26">INDEX(T,11,lang)</f>
        <v>W</v>
      </c>
      <c r="M26" s="72" t="str">
        <f aca="false" t="array" ref="M26:M26">INDEX(T,12,lang)</f>
        <v>DRAW</v>
      </c>
      <c r="N26" s="72" t="str">
        <f aca="false" t="array" ref="N26:N26">INDEX(T,13,lang)</f>
        <v>L</v>
      </c>
      <c r="O26" s="72" t="str">
        <f aca="false" t="array" ref="O26:O26">INDEX(T,14,lang)</f>
        <v>GF - GA</v>
      </c>
      <c r="P26" s="73" t="str">
        <f aca="false" t="array" ref="P26:P26">INDEX(T,15,lang)</f>
        <v>PNT</v>
      </c>
      <c r="R26" s="42" t="n">
        <f aca="false">DATE(2026,6,16)+TIME(17,0,0)+gmt_delta</f>
        <v>46190.25</v>
      </c>
      <c r="S26" s="43" t="str">
        <f aca="false">IF(OR(F26="",G26=""),"",IF(F26&gt;G26,E26&amp;"_win",IF(F26&lt;G26,E26&amp;"_lose",E26&amp;"_draw")))</f>
        <v>Austria_win</v>
      </c>
      <c r="T26" s="43" t="str">
        <f aca="false">IF(S26="","",IF(F26&lt;G26,H26&amp;"_win",IF(F26&gt;G26,H26&amp;"_lose",H26&amp;"_draw")))</f>
        <v>Jordan_lose</v>
      </c>
      <c r="U26" s="42" t="n">
        <f aca="false">IF(S26="",0,IF(VLOOKUP(E26,$AE$8:$AN$77,10,FALSE())=VLOOKUP(H26,$AE$8:$AN$77,10,FALSE()),1,0))</f>
        <v>0</v>
      </c>
      <c r="V26" s="42" t="n">
        <f aca="false">U26*F26</f>
        <v>0</v>
      </c>
      <c r="W26" s="42" t="n">
        <f aca="false">U26*G26</f>
        <v>0</v>
      </c>
      <c r="X26" s="42" t="n">
        <f aca="false">IF(S26="",0,IF(VLOOKUP(E26,$AE$8:$AO$77,11,FALSE())=VLOOKUP(H26,$AE$8:$AO$77,11,FALSE()),1,0))</f>
        <v>0</v>
      </c>
      <c r="Y26" s="42" t="n">
        <f aca="false">X26*F26</f>
        <v>0</v>
      </c>
      <c r="Z26" s="42" t="n">
        <f aca="false">X26*G26</f>
        <v>0</v>
      </c>
      <c r="AA26" s="42" t="n">
        <f aca="false">IF(OR(E26=my_team,H26=my_team),1,IF(INT(MATCH(E26,$AE$8:$AE$78,0)/6)=$AA$6,1,0))</f>
        <v>0</v>
      </c>
      <c r="AB26" s="42" t="n">
        <f aca="false">IF(OR(F26="",G26=""),"",IF(F26&gt;G26,1,IF(F26&lt;G26,-1,0)))</f>
        <v>1</v>
      </c>
      <c r="AD26" s="42" t="n">
        <f aca="false">COUNTIF(AR26:AR29,CONCATENATE("&gt;=",AR26))</f>
        <v>1</v>
      </c>
      <c r="AE26" s="44" t="str">
        <f aca="false">VLOOKUP("United States",T,lang,FALSE())</f>
        <v>United States</v>
      </c>
      <c r="AF26" s="42" t="n">
        <f aca="false">COUNTIF($S$7:$T$78,"=" &amp; AE26 &amp; "_win")</f>
        <v>3</v>
      </c>
      <c r="AG26" s="42" t="n">
        <f aca="false">COUNTIF($S$7:$T$78,"=" &amp; AE26 &amp; "_draw")</f>
        <v>0</v>
      </c>
      <c r="AH26" s="42" t="n">
        <f aca="false">COUNTIF($S$7:$T$78,"=" &amp; AE26 &amp; "_lose")</f>
        <v>0</v>
      </c>
      <c r="AI26" s="42" t="n">
        <f aca="false">SUMIF($E$7:$E$78,$AE26,$F$7:$F$78) + SUMIF($H$7:$H$78,$AE26,$G$7:$G$78)</f>
        <v>5</v>
      </c>
      <c r="AJ26" s="42" t="n">
        <f aca="false">SUMIF($E$7:$E$78,$AE26,$G$7:$G$78) + SUMIF($H$7:$H$78,$AE26,$F$7:$F$78)</f>
        <v>2</v>
      </c>
      <c r="AL26" s="42" t="n">
        <f aca="false">AI26-AJ26</f>
        <v>3</v>
      </c>
      <c r="AM26" s="42" t="n">
        <f aca="false">AL26-AL30</f>
        <v>6</v>
      </c>
      <c r="AN26" s="42" t="n">
        <f aca="false">AF26*3+AG26</f>
        <v>9</v>
      </c>
      <c r="AO26" s="42" t="n">
        <f aca="false">AN26/AN30*10+BA26</f>
        <v>9</v>
      </c>
      <c r="AP26" s="42" t="n">
        <f aca="false">AO26*10000000+BI26*100+AM26/AM30*10+AI26/AI30*1++IF(AQ26=0,ROW(),AQ26)/2000000</f>
        <v>90000009.4055985</v>
      </c>
      <c r="AQ26" s="46" t="n">
        <f aca="false">VLOOKUP(AE26,db_fifarank,2,FALSE())</f>
        <v>1673.13</v>
      </c>
      <c r="AR26" s="45" t="n">
        <f aca="false">AP26/AP30</f>
        <v>0.99999998888889</v>
      </c>
      <c r="AS26" s="45" t="str">
        <f aca="false">IF(SUM(AF26:AH29)=12,J27,"1D")</f>
        <v>United States</v>
      </c>
      <c r="AT26" s="46" t="n">
        <f aca="false" t="array" ref="AT26:AT26">SUMPRODUCT(($S$7:$S$78=AE26&amp;"_win")*($U$7:$U$78))+SUMPRODUCT(($T$7:$T$78=AE26&amp;"_win")*($U$7:$U$78))</f>
        <v>0</v>
      </c>
      <c r="AU26" s="46" t="n">
        <f aca="false" t="array" ref="AU26:AU26">SUMPRODUCT(($S$7:$S$78=AE26&amp;"_draw")*($U$7:$U$78))+SUMPRODUCT(($T$7:$T$78=AE26&amp;"_draw")*($U$7:$U$78))</f>
        <v>0</v>
      </c>
      <c r="AV26" s="46" t="n">
        <f aca="false" t="array" ref="AV26:AV26">SUMPRODUCT(($E$7:$E$78=AE26)*($U$7:$U$78)*($F$7:$F$78))+SUMPRODUCT(($H$7:$H$78=AE26)*($U$7:$U$78)*($G$7:$G$78))</f>
        <v>0</v>
      </c>
      <c r="AW26" s="46" t="n">
        <f aca="false" t="array" ref="AW26:AW26">SUMPRODUCT(($E$7:$E$78=AE26)*($U$7:$U$78)*($G$7:$G$78))+SUMPRODUCT(($H$7:$H$78=AE26)*($U$7:$U$78)*($F$7:$F$78))</f>
        <v>0</v>
      </c>
      <c r="AX26" s="46" t="n">
        <f aca="false">AV26-AW26</f>
        <v>0</v>
      </c>
      <c r="AY26" s="46" t="n">
        <f aca="false">AX26-MIN(AX26:AX29)</f>
        <v>0</v>
      </c>
      <c r="AZ26" s="46" t="n">
        <f aca="false">AT26/AT30*1000+AU26/AU30*100+AY26/AY30*10+AV26/AV30</f>
        <v>0</v>
      </c>
      <c r="BA26" s="46" t="n">
        <f aca="false">AZ26/AZ30</f>
        <v>0</v>
      </c>
      <c r="BB26" s="46" t="n">
        <f aca="false" t="array" ref="BB26:BB26">SUMPRODUCT(($S$7:$S$78=AE26&amp;"_win")*($X$7:$X$78))+SUMPRODUCT(($T$7:$T$78=AE26&amp;"_win")*($X$7:$X$78))</f>
        <v>0</v>
      </c>
      <c r="BC26" s="46" t="n">
        <f aca="false" t="array" ref="BC26:BC26">SUMPRODUCT(($S$7:$S$78=AE26&amp;"_draw")*($X$7:$X$78))+SUMPRODUCT(($T$7:$T$78=AE26&amp;"_draw")*($X$7:$X$78))</f>
        <v>0</v>
      </c>
      <c r="BD26" s="46" t="n">
        <f aca="false" t="array" ref="BD26:BD26">SUMPRODUCT(($E$7:$E$78=AE26)*($X$7:$X$78)*($F$7:$F$78))+SUMPRODUCT(($H$7:$H$78=AE26)*($X$7:$X$78)*($G$7:$G$78))</f>
        <v>0</v>
      </c>
      <c r="BE26" s="46" t="n">
        <f aca="false" t="array" ref="BE26:BE26">SUMPRODUCT(($E$7:$E$78=AE26)*($X$7:$X$78)*($G$7:$G$78))+SUMPRODUCT(($H$7:$H$78=AE26)*($X$7:$X$78)*($F$7:$F$78))</f>
        <v>0</v>
      </c>
      <c r="BF26" s="46" t="n">
        <f aca="false">BD26-BE26</f>
        <v>0</v>
      </c>
      <c r="BG26" s="46" t="n">
        <f aca="false">BF26-MIN(BF26:BF29)</f>
        <v>0</v>
      </c>
      <c r="BH26" s="46" t="n">
        <f aca="false">BB26/BB30*1000+BC26/BC30*100+BG26/BG30*10+BD26/BD30</f>
        <v>0</v>
      </c>
      <c r="BI26" s="46" t="n">
        <f aca="false">BH26/BH30</f>
        <v>0</v>
      </c>
      <c r="BK26" s="82" t="n">
        <v>83</v>
      </c>
      <c r="BL26" s="83" t="str">
        <f aca="false">AS69</f>
        <v>Colombia</v>
      </c>
      <c r="BM26" s="84" t="n">
        <v>0</v>
      </c>
      <c r="BN26" s="85"/>
      <c r="BO26" s="86"/>
      <c r="BP26" s="47" t="n">
        <f aca="false">IF(OR(BM26="",BM27="",AND(BN26="",BN27&lt;&gt;""),AND(BN27="",BN26&lt;&gt;""),AND(BO26="",BO27&lt;&gt;""),AND(BO27="",BO26&lt;&gt;"")),"",BM26*1000+BN26*10+BO26)</f>
        <v>0</v>
      </c>
      <c r="BQ26" s="47"/>
      <c r="BR26" s="74"/>
      <c r="BS26" s="74"/>
      <c r="BT26" s="74"/>
      <c r="BU26" s="74"/>
      <c r="BV26" s="74"/>
      <c r="BW26" s="47"/>
      <c r="BX26" s="47"/>
      <c r="BY26" s="74"/>
      <c r="BZ26" s="74"/>
      <c r="CA26" s="74"/>
      <c r="CB26" s="74"/>
      <c r="CC26" s="74"/>
      <c r="CD26" s="96"/>
      <c r="CE26" s="47"/>
      <c r="CF26" s="74"/>
      <c r="CG26" s="74"/>
      <c r="CH26" s="74"/>
      <c r="CI26" s="74"/>
      <c r="CJ26" s="74"/>
      <c r="CK26" s="96"/>
      <c r="CL26" s="47"/>
      <c r="CM26" s="74"/>
      <c r="CN26" s="74"/>
      <c r="CO26" s="74"/>
      <c r="CP26" s="74"/>
      <c r="CQ26" s="74"/>
    </row>
    <row r="27" customFormat="false" ht="14.25" hidden="false" customHeight="true" outlineLevel="0" collapsed="false">
      <c r="A27" s="63" t="n">
        <v>21</v>
      </c>
      <c r="B27" s="64" t="str">
        <f aca="false" t="array" ref="B27:B27">INDEX(T,18+INT(MOD(R27-1,7)),lang)</f>
        <v>Thu</v>
      </c>
      <c r="C27" s="65" t="str">
        <f aca="false" t="array" ref="C27:C27">INDEX(T,24+MONTH(R27),lang) &amp; " " &amp; DAY(R27) &amp; ", " &amp; YEAR(R27)</f>
        <v>Jun 18, 2026</v>
      </c>
      <c r="D27" s="66" t="n">
        <f aca="false">TIME(HOUR(R27),MINUTE(R27),0)</f>
        <v>0.0416666666666667</v>
      </c>
      <c r="E27" s="67" t="str">
        <f aca="false">AE76</f>
        <v>Ghana</v>
      </c>
      <c r="F27" s="68" t="n">
        <v>1</v>
      </c>
      <c r="G27" s="69" t="n">
        <v>2</v>
      </c>
      <c r="H27" s="70" t="str">
        <f aca="false">AE77</f>
        <v>Panama</v>
      </c>
      <c r="J27" s="75" t="str">
        <f aca="false">VLOOKUP(1,AD26:AN29,2,FALSE())</f>
        <v>United States</v>
      </c>
      <c r="K27" s="76" t="n">
        <f aca="false">L27+M27+N27</f>
        <v>3</v>
      </c>
      <c r="L27" s="76" t="n">
        <f aca="false">VLOOKUP(1,AD26:AN29,3,FALSE())</f>
        <v>3</v>
      </c>
      <c r="M27" s="76" t="n">
        <f aca="false">VLOOKUP(1,AD26:AN29,4,FALSE())</f>
        <v>0</v>
      </c>
      <c r="N27" s="76" t="n">
        <f aca="false">VLOOKUP(1,AD26:AN29,5,FALSE())</f>
        <v>0</v>
      </c>
      <c r="O27" s="76" t="str">
        <f aca="false">VLOOKUP(1,AD26:AN29,6,FALSE()) &amp; " - " &amp; VLOOKUP(1,AD26:AN29,7,FALSE())</f>
        <v>5 - 2</v>
      </c>
      <c r="P27" s="77" t="n">
        <f aca="false">L27*3+M27</f>
        <v>9</v>
      </c>
      <c r="R27" s="42" t="n">
        <f aca="false">DATE(2026,6,17)+TIME(12,0,0)+gmt_delta</f>
        <v>46191.0416666667</v>
      </c>
      <c r="S27" s="43" t="str">
        <f aca="false">IF(OR(F27="",G27=""),"",IF(F27&gt;G27,E27&amp;"_win",IF(F27&lt;G27,E27&amp;"_lose",E27&amp;"_draw")))</f>
        <v>Ghana_lose</v>
      </c>
      <c r="T27" s="43" t="str">
        <f aca="false">IF(S27="","",IF(F27&lt;G27,H27&amp;"_win",IF(F27&gt;G27,H27&amp;"_lose",H27&amp;"_draw")))</f>
        <v>Panama_win</v>
      </c>
      <c r="U27" s="42" t="n">
        <f aca="false">IF(S27="",0,IF(VLOOKUP(E27,$AE$8:$AN$77,10,FALSE())=VLOOKUP(H27,$AE$8:$AN$77,10,FALSE()),1,0))</f>
        <v>0</v>
      </c>
      <c r="V27" s="42" t="n">
        <f aca="false">U27*F27</f>
        <v>0</v>
      </c>
      <c r="W27" s="42" t="n">
        <f aca="false">U27*G27</f>
        <v>0</v>
      </c>
      <c r="X27" s="42" t="n">
        <f aca="false">IF(S27="",0,IF(VLOOKUP(E27,$AE$8:$AO$77,11,FALSE())=VLOOKUP(H27,$AE$8:$AO$77,11,FALSE()),1,0))</f>
        <v>0</v>
      </c>
      <c r="Y27" s="42" t="n">
        <f aca="false">X27*F27</f>
        <v>0</v>
      </c>
      <c r="Z27" s="42" t="n">
        <f aca="false">X27*G27</f>
        <v>0</v>
      </c>
      <c r="AA27" s="42" t="n">
        <f aca="false">IF(OR(E27=my_team,H27=my_team),1,IF(INT(MATCH(E27,$AE$8:$AE$78,0)/6)=$AA$6,1,0))</f>
        <v>0</v>
      </c>
      <c r="AB27" s="42" t="n">
        <f aca="false">IF(OR(F27="",G27=""),"",IF(F27&gt;G27,1,IF(F27&lt;G27,-1,0)))</f>
        <v>-1</v>
      </c>
      <c r="AD27" s="42" t="n">
        <f aca="false">COUNTIF(AR26:AR29,CONCATENATE("&gt;=",AR27))</f>
        <v>4</v>
      </c>
      <c r="AE27" s="44" t="str">
        <f aca="false">VLOOKUP("Paraguay",T,lang,FALSE())</f>
        <v>Paraguay</v>
      </c>
      <c r="AF27" s="42" t="n">
        <f aca="false">COUNTIF($S$7:$T$78,"=" &amp; AE27 &amp; "_win")</f>
        <v>0</v>
      </c>
      <c r="AG27" s="42" t="n">
        <f aca="false">COUNTIF($S$7:$T$78,"=" &amp; AE27 &amp; "_draw")</f>
        <v>0</v>
      </c>
      <c r="AH27" s="42" t="n">
        <f aca="false">COUNTIF($S$7:$T$78,"=" &amp; AE27 &amp; "_lose")</f>
        <v>3</v>
      </c>
      <c r="AI27" s="42" t="n">
        <f aca="false">SUMIF($E$7:$E$78,$AE27,$F$7:$F$78) + SUMIF($H$7:$H$78,$AE27,$G$7:$G$78)</f>
        <v>2</v>
      </c>
      <c r="AJ27" s="42" t="n">
        <f aca="false">SUMIF($E$7:$E$78,$AE27,$G$7:$G$78) + SUMIF($H$7:$H$78,$AE27,$F$7:$F$78)</f>
        <v>5</v>
      </c>
      <c r="AL27" s="42" t="n">
        <f aca="false">AI27-AJ27</f>
        <v>-3</v>
      </c>
      <c r="AM27" s="42" t="n">
        <f aca="false">AL27-AL30</f>
        <v>0</v>
      </c>
      <c r="AN27" s="42" t="n">
        <f aca="false">AF27*3+AG27</f>
        <v>0</v>
      </c>
      <c r="AO27" s="42" t="n">
        <f aca="false">AN27/AN30*10+BA27</f>
        <v>0</v>
      </c>
      <c r="AP27" s="42" t="n">
        <f aca="false">AO27*10000000+BI27*100+AM27/AM30*10+AI27/AI30*1++IF(AQ27=0,ROW(),AQ27)/2000000</f>
        <v>0.334085083333333</v>
      </c>
      <c r="AQ27" s="46" t="n">
        <f aca="false">VLOOKUP(AE27,db_fifarank,2,FALSE())</f>
        <v>1503.5</v>
      </c>
      <c r="AR27" s="45" t="n">
        <f aca="false">AP27/AP30</f>
        <v>3.71205605230187E-009</v>
      </c>
      <c r="AS27" s="45" t="str">
        <f aca="false">IF(SUM(AF26:AH29)=12,J28,"2D")</f>
        <v>Turkey</v>
      </c>
      <c r="AT27" s="46" t="n">
        <f aca="false" t="array" ref="AT27:AT27">SUMPRODUCT(($S$7:$S$78=AE27&amp;"_win")*($U$7:$U$78))+SUMPRODUCT(($T$7:$T$78=AE27&amp;"_win")*($U$7:$U$78))</f>
        <v>0</v>
      </c>
      <c r="AU27" s="46" t="n">
        <f aca="false" t="array" ref="AU27:AU27">SUMPRODUCT(($S$7:$S$78=AE27&amp;"_draw")*($U$7:$U$78))+SUMPRODUCT(($T$7:$T$78=AE27&amp;"_draw")*($U$7:$U$78))</f>
        <v>0</v>
      </c>
      <c r="AV27" s="46" t="n">
        <f aca="false" t="array" ref="AV27:AV27">SUMPRODUCT(($E$7:$E$78=AE27)*($U$7:$U$78)*($F$7:$F$78))+SUMPRODUCT(($H$7:$H$78=AE27)*($U$7:$U$78)*($G$7:$G$78))</f>
        <v>0</v>
      </c>
      <c r="AW27" s="46" t="n">
        <f aca="false" t="array" ref="AW27:AW27">SUMPRODUCT(($E$7:$E$78=AE27)*($U$7:$U$78)*($G$7:$G$78))+SUMPRODUCT(($H$7:$H$78=AE27)*($U$7:$U$78)*($F$7:$F$78))</f>
        <v>0</v>
      </c>
      <c r="AX27" s="46" t="n">
        <f aca="false">AV27-AW27</f>
        <v>0</v>
      </c>
      <c r="AY27" s="46" t="n">
        <f aca="false">AX27-MIN(AX26:AX29)</f>
        <v>0</v>
      </c>
      <c r="AZ27" s="46" t="n">
        <f aca="false">AT27/AT30*1000+AU27/AU30*100+AY27/AY30*10+AV27/AV30</f>
        <v>0</v>
      </c>
      <c r="BA27" s="46" t="n">
        <f aca="false">AZ27/AZ30</f>
        <v>0</v>
      </c>
      <c r="BB27" s="46" t="n">
        <f aca="false" t="array" ref="BB27:BB27">SUMPRODUCT(($S$7:$S$78=AE27&amp;"_win")*($X$7:$X$78))+SUMPRODUCT(($T$7:$T$78=AE27&amp;"_win")*($X$7:$X$78))</f>
        <v>0</v>
      </c>
      <c r="BC27" s="46" t="n">
        <f aca="false" t="array" ref="BC27:BC27">SUMPRODUCT(($S$7:$S$78=AE27&amp;"_draw")*($X$7:$X$78))+SUMPRODUCT(($T$7:$T$78=AE27&amp;"_draw")*($X$7:$X$78))</f>
        <v>0</v>
      </c>
      <c r="BD27" s="46" t="n">
        <f aca="false" t="array" ref="BD27:BD27">SUMPRODUCT(($E$7:$E$78=AE27)*($X$7:$X$78)*($F$7:$F$78))+SUMPRODUCT(($H$7:$H$78=AE27)*($X$7:$X$78)*($G$7:$G$78))</f>
        <v>0</v>
      </c>
      <c r="BE27" s="46" t="n">
        <f aca="false" t="array" ref="BE27:BE27">SUMPRODUCT(($E$7:$E$78=AE27)*($X$7:$X$78)*($G$7:$G$78))+SUMPRODUCT(($H$7:$H$78=AE27)*($X$7:$X$78)*($F$7:$F$78))</f>
        <v>0</v>
      </c>
      <c r="BF27" s="46" t="n">
        <f aca="false">BD27-BE27</f>
        <v>0</v>
      </c>
      <c r="BG27" s="46" t="n">
        <f aca="false">BF27-MIN(BF26:BF29)</f>
        <v>0</v>
      </c>
      <c r="BH27" s="46" t="n">
        <f aca="false">BB27/BB30*1000+BC27/BC30*100+BG27/BG30*10+BD27/BD30</f>
        <v>0</v>
      </c>
      <c r="BI27" s="46" t="n">
        <f aca="false">BH27/BH30</f>
        <v>0</v>
      </c>
      <c r="BK27" s="82"/>
      <c r="BL27" s="87" t="str">
        <f aca="false">AS75</f>
        <v>Croatia</v>
      </c>
      <c r="BM27" s="88" t="n">
        <v>1</v>
      </c>
      <c r="BN27" s="89"/>
      <c r="BO27" s="90"/>
      <c r="BP27" s="91" t="n">
        <f aca="false">IF(BP26="","",BM27*1000+BN27*10+BO27)</f>
        <v>1000</v>
      </c>
      <c r="BQ27" s="47"/>
      <c r="BR27" s="74" t="str">
        <f aca="false" t="array" ref="BR27: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74"/>
      <c r="BT27" s="74"/>
      <c r="BU27" s="74"/>
      <c r="BV27" s="92"/>
      <c r="BW27" s="47" t="n">
        <f aca="false">DATE(2026,7,6)+TIME(8,0,0)+gmt_delta</f>
        <v>46209.875</v>
      </c>
      <c r="BX27" s="47"/>
      <c r="BY27" s="74"/>
      <c r="BZ27" s="74"/>
      <c r="CA27" s="74"/>
      <c r="CB27" s="74"/>
      <c r="CC27" s="74"/>
      <c r="CD27" s="96"/>
      <c r="CE27" s="47"/>
      <c r="CF27" s="74"/>
      <c r="CG27" s="74"/>
      <c r="CH27" s="74"/>
      <c r="CI27" s="74"/>
      <c r="CJ27" s="74"/>
      <c r="CK27" s="96"/>
      <c r="CL27" s="47"/>
      <c r="CM27" s="74"/>
      <c r="CN27" s="74"/>
      <c r="CO27" s="74"/>
      <c r="CP27" s="74"/>
      <c r="CQ27" s="74"/>
    </row>
    <row r="28" customFormat="false" ht="14.25" hidden="false" customHeight="true" outlineLevel="0" collapsed="false">
      <c r="A28" s="63" t="n">
        <v>22</v>
      </c>
      <c r="B28" s="64" t="str">
        <f aca="false" t="array" ref="B28:B28">INDEX(T,18+INT(MOD(R28-1,7)),lang)</f>
        <v>Wed</v>
      </c>
      <c r="C28" s="65" t="str">
        <f aca="false" t="array" ref="C28:C28">INDEX(T,24+MONTH(R28),lang) &amp; " " &amp; DAY(R28) &amp; ", " &amp; YEAR(R28)</f>
        <v>Jun 17, 2026</v>
      </c>
      <c r="D28" s="66" t="n">
        <f aca="false">TIME(HOUR(R28),MINUTE(R28),0)</f>
        <v>0.916666666666667</v>
      </c>
      <c r="E28" s="67" t="str">
        <f aca="false">AE74</f>
        <v>England</v>
      </c>
      <c r="F28" s="68" t="n">
        <v>2</v>
      </c>
      <c r="G28" s="69" t="n">
        <v>1</v>
      </c>
      <c r="H28" s="70" t="str">
        <f aca="false">AE75</f>
        <v>Croatia</v>
      </c>
      <c r="J28" s="79" t="str">
        <f aca="false">VLOOKUP(2,AD26:AN29,2,FALSE())</f>
        <v>Turkey</v>
      </c>
      <c r="K28" s="80" t="n">
        <f aca="false">L28+M28+N28</f>
        <v>3</v>
      </c>
      <c r="L28" s="80" t="n">
        <f aca="false">VLOOKUP(2,AD26:AN29,3,FALSE())</f>
        <v>2</v>
      </c>
      <c r="M28" s="80" t="n">
        <f aca="false">VLOOKUP(2,AD26:AN29,4,FALSE())</f>
        <v>0</v>
      </c>
      <c r="N28" s="80" t="n">
        <f aca="false">VLOOKUP(2,AD26:AN29,5,FALSE())</f>
        <v>1</v>
      </c>
      <c r="O28" s="80" t="str">
        <f aca="false">VLOOKUP(2,AD26:AN29,6,FALSE()) &amp; " - " &amp; VLOOKUP(2,AD26:AN29,7,FALSE())</f>
        <v>3 - 2</v>
      </c>
      <c r="P28" s="81" t="n">
        <f aca="false">L28*3+M28</f>
        <v>6</v>
      </c>
      <c r="R28" s="42" t="n">
        <f aca="false">DATE(2026,6,17)+TIME(9,0,0)+gmt_delta</f>
        <v>46190.9166666667</v>
      </c>
      <c r="S28" s="43" t="str">
        <f aca="false">IF(OR(F28="",G28=""),"",IF(F28&gt;G28,E28&amp;"_win",IF(F28&lt;G28,E28&amp;"_lose",E28&amp;"_draw")))</f>
        <v>England_win</v>
      </c>
      <c r="T28" s="43" t="str">
        <f aca="false">IF(S28="","",IF(F28&lt;G28,H28&amp;"_win",IF(F28&gt;G28,H28&amp;"_lose",H28&amp;"_draw")))</f>
        <v>Croatia_lose</v>
      </c>
      <c r="U28" s="42" t="n">
        <f aca="false">IF(S28="",0,IF(VLOOKUP(E28,$AE$8:$AN$77,10,FALSE())=VLOOKUP(H28,$AE$8:$AN$77,10,FALSE()),1,0))</f>
        <v>0</v>
      </c>
      <c r="V28" s="42" t="n">
        <f aca="false">U28*F28</f>
        <v>0</v>
      </c>
      <c r="W28" s="42" t="n">
        <f aca="false">U28*G28</f>
        <v>0</v>
      </c>
      <c r="X28" s="42" t="n">
        <f aca="false">IF(S28="",0,IF(VLOOKUP(E28,$AE$8:$AO$77,11,FALSE())=VLOOKUP(H28,$AE$8:$AO$77,11,FALSE()),1,0))</f>
        <v>0</v>
      </c>
      <c r="Y28" s="42" t="n">
        <f aca="false">X28*F28</f>
        <v>0</v>
      </c>
      <c r="Z28" s="42" t="n">
        <f aca="false">X28*G28</f>
        <v>0</v>
      </c>
      <c r="AA28" s="42" t="n">
        <f aca="false">IF(OR(E28=my_team,H28=my_team),1,IF(INT(MATCH(E28,$AE$8:$AE$78,0)/6)=$AA$6,1,0))</f>
        <v>0</v>
      </c>
      <c r="AB28" s="42" t="n">
        <f aca="false">IF(OR(F28="",G28=""),"",IF(F28&gt;G28,1,IF(F28&lt;G28,-1,0)))</f>
        <v>1</v>
      </c>
      <c r="AD28" s="42" t="n">
        <f aca="false">COUNTIF(AR26:AR29,CONCATENATE("&gt;=",AR28))</f>
        <v>3</v>
      </c>
      <c r="AE28" s="44" t="str">
        <f aca="false">VLOOKUP("Australia",T,lang,FALSE())</f>
        <v>Australia</v>
      </c>
      <c r="AF28" s="42" t="n">
        <f aca="false">COUNTIF($S$7:$T$78,"=" &amp; AE28 &amp; "_win")</f>
        <v>1</v>
      </c>
      <c r="AG28" s="42" t="n">
        <f aca="false">COUNTIF($S$7:$T$78,"=" &amp; AE28 &amp; "_draw")</f>
        <v>0</v>
      </c>
      <c r="AH28" s="42" t="n">
        <f aca="false">COUNTIF($S$7:$T$78,"=" &amp; AE28 &amp; "_lose")</f>
        <v>2</v>
      </c>
      <c r="AI28" s="42" t="n">
        <f aca="false">SUMIF($E$7:$E$78,$AE28,$F$7:$F$78) + SUMIF($H$7:$H$78,$AE28,$G$7:$G$78)</f>
        <v>2</v>
      </c>
      <c r="AJ28" s="42" t="n">
        <f aca="false">SUMIF($E$7:$E$78,$AE28,$G$7:$G$78) + SUMIF($H$7:$H$78,$AE28,$F$7:$F$78)</f>
        <v>3</v>
      </c>
      <c r="AL28" s="42" t="n">
        <f aca="false">AI28-AJ28</f>
        <v>-1</v>
      </c>
      <c r="AM28" s="42" t="n">
        <f aca="false">AL28-AL30</f>
        <v>2</v>
      </c>
      <c r="AN28" s="42" t="n">
        <f aca="false">AF28*3+AG28</f>
        <v>3</v>
      </c>
      <c r="AO28" s="42" t="n">
        <f aca="false">AN28/AN30*10+BA28</f>
        <v>3</v>
      </c>
      <c r="AP28" s="42" t="n">
        <f aca="false">AO28*10000000+BI28*100+AM28/AM30*10+AI28/AI30*1++IF(AQ28=0,ROW(),AQ28)/2000000</f>
        <v>30000003.1912665</v>
      </c>
      <c r="AQ28" s="46" t="n">
        <f aca="false">VLOOKUP(AE28,db_fifarank,2,FALSE())</f>
        <v>1580.67</v>
      </c>
      <c r="AR28" s="45" t="n">
        <f aca="false">AP28/AP30</f>
        <v>0.333333330252597</v>
      </c>
      <c r="AT28" s="46" t="n">
        <f aca="false" t="array" ref="AT28:AT28">SUMPRODUCT(($S$7:$S$78=AE28&amp;"_win")*($U$7:$U$78))+SUMPRODUCT(($T$7:$T$78=AE28&amp;"_win")*($U$7:$U$78))</f>
        <v>0</v>
      </c>
      <c r="AU28" s="46" t="n">
        <f aca="false" t="array" ref="AU28:AU28">SUMPRODUCT(($S$7:$S$78=AE28&amp;"_draw")*($U$7:$U$78))+SUMPRODUCT(($T$7:$T$78=AE28&amp;"_draw")*($U$7:$U$78))</f>
        <v>0</v>
      </c>
      <c r="AV28" s="46" t="n">
        <f aca="false" t="array" ref="AV28:AV28">SUMPRODUCT(($E$7:$E$78=AE28)*($U$7:$U$78)*($F$7:$F$78))+SUMPRODUCT(($H$7:$H$78=AE28)*($U$7:$U$78)*($G$7:$G$78))</f>
        <v>0</v>
      </c>
      <c r="AW28" s="46" t="n">
        <f aca="false" t="array" ref="AW28:AW28">SUMPRODUCT(($E$7:$E$78=AE28)*($U$7:$U$78)*($G$7:$G$78))+SUMPRODUCT(($H$7:$H$78=AE28)*($U$7:$U$78)*($F$7:$F$78))</f>
        <v>0</v>
      </c>
      <c r="AX28" s="46" t="n">
        <f aca="false">AV28-AW28</f>
        <v>0</v>
      </c>
      <c r="AY28" s="46" t="n">
        <f aca="false">AX28-MIN(AX26:AX29)</f>
        <v>0</v>
      </c>
      <c r="AZ28" s="46" t="n">
        <f aca="false">AT28/AT30*1000+AU28/AU30*100+AY28/AY30*10+AV28/AV30</f>
        <v>0</v>
      </c>
      <c r="BA28" s="46" t="n">
        <f aca="false">AZ28/AZ30</f>
        <v>0</v>
      </c>
      <c r="BB28" s="46" t="n">
        <f aca="false" t="array" ref="BB28:BB28">SUMPRODUCT(($S$7:$S$78=AE28&amp;"_win")*($X$7:$X$78))+SUMPRODUCT(($T$7:$T$78=AE28&amp;"_win")*($X$7:$X$78))</f>
        <v>0</v>
      </c>
      <c r="BC28" s="46" t="n">
        <f aca="false" t="array" ref="BC28:BC28">SUMPRODUCT(($S$7:$S$78=AE28&amp;"_draw")*($X$7:$X$78))+SUMPRODUCT(($T$7:$T$78=AE28&amp;"_draw")*($X$7:$X$78))</f>
        <v>0</v>
      </c>
      <c r="BD28" s="46" t="n">
        <f aca="false" t="array" ref="BD28:BD28">SUMPRODUCT(($E$7:$E$78=AE28)*($X$7:$X$78)*($F$7:$F$78))+SUMPRODUCT(($H$7:$H$78=AE28)*($X$7:$X$78)*($G$7:$G$78))</f>
        <v>0</v>
      </c>
      <c r="BE28" s="46" t="n">
        <f aca="false" t="array" ref="BE28:BE28">SUMPRODUCT(($E$7:$E$78=AE28)*($X$7:$X$78)*($G$7:$G$78))+SUMPRODUCT(($H$7:$H$78=AE28)*($X$7:$X$78)*($F$7:$F$78))</f>
        <v>0</v>
      </c>
      <c r="BF28" s="46" t="n">
        <f aca="false">BD28-BE28</f>
        <v>0</v>
      </c>
      <c r="BG28" s="46" t="n">
        <f aca="false">BF28-MIN(BF26:BF29)</f>
        <v>0</v>
      </c>
      <c r="BH28" s="46" t="n">
        <f aca="false">BB28/BB30*1000+BC28/BC30*100+BG28/BG30*10+BD28/BD30</f>
        <v>0</v>
      </c>
      <c r="BI28" s="46" t="n">
        <f aca="false">BH28/BH30</f>
        <v>0</v>
      </c>
      <c r="BK28" s="74"/>
      <c r="BL28" s="74"/>
      <c r="BM28" s="74"/>
      <c r="BN28" s="74"/>
      <c r="BO28" s="74"/>
      <c r="BP28" s="96"/>
      <c r="BQ28" s="47"/>
      <c r="BR28" s="82" t="n">
        <v>93</v>
      </c>
      <c r="BS28" s="83" t="str">
        <f aca="false">IF(BP26&gt;BP27,BL26,IF(BP26&lt;BP27,BL27,""))</f>
        <v>Croatia</v>
      </c>
      <c r="BT28" s="84" t="n">
        <v>0</v>
      </c>
      <c r="BU28" s="85"/>
      <c r="BV28" s="86"/>
      <c r="BW28" s="47" t="n">
        <f aca="false">IF(OR(BT28="",BT29="",AND(BU28="",BU29&lt;&gt;""),AND(BU29="",BU28&lt;&gt;""),AND(BV28="",BV29&lt;&gt;""),AND(BV29="",BV28&lt;&gt;"")),"",BT28*1000+BU28*10+BV28)</f>
        <v>0</v>
      </c>
      <c r="BX28" s="47"/>
      <c r="BY28" s="74"/>
      <c r="BZ28" s="74"/>
      <c r="CA28" s="74"/>
      <c r="CB28" s="74"/>
      <c r="CC28" s="74"/>
      <c r="CD28" s="96"/>
      <c r="CE28" s="47"/>
      <c r="CF28" s="74"/>
      <c r="CG28" s="74"/>
      <c r="CH28" s="74"/>
      <c r="CI28" s="74"/>
      <c r="CJ28" s="74"/>
      <c r="CK28" s="96"/>
      <c r="CL28" s="47"/>
    </row>
    <row r="29" customFormat="false" ht="14.25" hidden="false" customHeight="true" outlineLevel="0" collapsed="false">
      <c r="A29" s="63" t="n">
        <v>23</v>
      </c>
      <c r="B29" s="64" t="str">
        <f aca="false" t="array" ref="B29:B29">INDEX(T,18+INT(MOD(R29-1,7)),lang)</f>
        <v>Wed</v>
      </c>
      <c r="C29" s="65" t="str">
        <f aca="false" t="array" ref="C29:C29">INDEX(T,24+MONTH(R29),lang) &amp; " " &amp; DAY(R29) &amp; ", " &amp; YEAR(R29)</f>
        <v>Jun 17, 2026</v>
      </c>
      <c r="D29" s="66" t="n">
        <f aca="false">TIME(HOUR(R29),MINUTE(R29),0)</f>
        <v>0.791666666666667</v>
      </c>
      <c r="E29" s="67" t="str">
        <f aca="false">AE68</f>
        <v>Portugal</v>
      </c>
      <c r="F29" s="68" t="n">
        <v>2</v>
      </c>
      <c r="G29" s="69" t="n">
        <v>0</v>
      </c>
      <c r="H29" s="70" t="str">
        <f aca="false">AE69</f>
        <v>DR Congo</v>
      </c>
      <c r="J29" s="79" t="str">
        <f aca="false">VLOOKUP(3,AD26:AN29,2,FALSE())</f>
        <v>Australia</v>
      </c>
      <c r="K29" s="80" t="n">
        <f aca="false">L29+M29+N29</f>
        <v>3</v>
      </c>
      <c r="L29" s="80" t="n">
        <f aca="false">VLOOKUP(3,AD26:AN29,3,FALSE())</f>
        <v>1</v>
      </c>
      <c r="M29" s="80" t="n">
        <f aca="false">VLOOKUP(3,AD26:AN29,4,FALSE())</f>
        <v>0</v>
      </c>
      <c r="N29" s="80" t="n">
        <f aca="false">VLOOKUP(3,AD26:AN29,5,FALSE())</f>
        <v>2</v>
      </c>
      <c r="O29" s="80" t="str">
        <f aca="false">VLOOKUP(3,AD26:AN29,6,FALSE()) &amp; " - " &amp; VLOOKUP(3,AD26:AN29,7,FALSE())</f>
        <v>2 - 3</v>
      </c>
      <c r="P29" s="81" t="n">
        <f aca="false">L29*3+M29</f>
        <v>3</v>
      </c>
      <c r="R29" s="42" t="n">
        <f aca="false">DATE(2026,6,17)+TIME(6,0,0)+gmt_delta</f>
        <v>46190.7916666667</v>
      </c>
      <c r="S29" s="43" t="str">
        <f aca="false">IF(OR(F29="",G29=""),"",IF(F29&gt;G29,E29&amp;"_win",IF(F29&lt;G29,E29&amp;"_lose",E29&amp;"_draw")))</f>
        <v>Portugal_win</v>
      </c>
      <c r="T29" s="43" t="str">
        <f aca="false">IF(S29="","",IF(F29&lt;G29,H29&amp;"_win",IF(F29&gt;G29,H29&amp;"_lose",H29&amp;"_draw")))</f>
        <v>DR Congo_lose</v>
      </c>
      <c r="U29" s="42" t="n">
        <f aca="false">IF(S29="",0,IF(VLOOKUP(E29,$AE$8:$AN$77,10,FALSE())=VLOOKUP(H29,$AE$8:$AN$77,10,FALSE()),1,0))</f>
        <v>0</v>
      </c>
      <c r="V29" s="42" t="n">
        <f aca="false">U29*F29</f>
        <v>0</v>
      </c>
      <c r="W29" s="42" t="n">
        <f aca="false">U29*G29</f>
        <v>0</v>
      </c>
      <c r="X29" s="42" t="n">
        <f aca="false">IF(S29="",0,IF(VLOOKUP(E29,$AE$8:$AO$77,11,FALSE())=VLOOKUP(H29,$AE$8:$AO$77,11,FALSE()),1,0))</f>
        <v>0</v>
      </c>
      <c r="Y29" s="42" t="n">
        <f aca="false">X29*F29</f>
        <v>0</v>
      </c>
      <c r="Z29" s="42" t="n">
        <f aca="false">X29*G29</f>
        <v>0</v>
      </c>
      <c r="AA29" s="42" t="n">
        <f aca="false">IF(OR(E29=my_team,H29=my_team),1,IF(INT(MATCH(E29,$AE$8:$AE$78,0)/6)=$AA$6,1,0))</f>
        <v>0</v>
      </c>
      <c r="AB29" s="42" t="n">
        <f aca="false">IF(OR(F29="",G29=""),"",IF(F29&gt;G29,1,IF(F29&lt;G29,-1,0)))</f>
        <v>1</v>
      </c>
      <c r="AD29" s="42" t="n">
        <f aca="false">COUNTIF(AR26:AR29,CONCATENATE("&gt;=",AR29))</f>
        <v>2</v>
      </c>
      <c r="AE29" s="44" t="str">
        <f aca="false">VLOOKUP("Turkey",T,lang,FALSE())</f>
        <v>Turkey</v>
      </c>
      <c r="AF29" s="42" t="n">
        <f aca="false">COUNTIF($S$7:$T$78,"=" &amp; AE29 &amp; "_win")</f>
        <v>2</v>
      </c>
      <c r="AG29" s="42" t="n">
        <f aca="false">COUNTIF($S$7:$T$78,"=" &amp; AE29 &amp; "_draw")</f>
        <v>0</v>
      </c>
      <c r="AH29" s="42" t="n">
        <f aca="false">COUNTIF($S$7:$T$78,"=" &amp; AE29 &amp; "_lose")</f>
        <v>1</v>
      </c>
      <c r="AI29" s="42" t="n">
        <f aca="false">SUMIF($E$7:$E$78,$AE29,$F$7:$F$78) + SUMIF($H$7:$H$78,$AE29,$G$7:$G$78)</f>
        <v>3</v>
      </c>
      <c r="AJ29" s="42" t="n">
        <f aca="false">SUMIF($E$7:$E$78,$AE29,$G$7:$G$78) + SUMIF($H$7:$H$78,$AE29,$F$7:$F$78)</f>
        <v>2</v>
      </c>
      <c r="AL29" s="42" t="n">
        <f aca="false">AI29-AJ29</f>
        <v>1</v>
      </c>
      <c r="AM29" s="42" t="n">
        <f aca="false">AL29-AL30</f>
        <v>4</v>
      </c>
      <c r="AN29" s="42" t="n">
        <f aca="false">AF29*3+AG29</f>
        <v>6</v>
      </c>
      <c r="AO29" s="42" t="n">
        <f aca="false">AN29/AN30*10+BA29</f>
        <v>6</v>
      </c>
      <c r="AP29" s="42" t="n">
        <f aca="false">AO29*10000000+BI29*100+AM29/AM30*10+AI29/AI30*1++IF(AQ29=0,ROW(),AQ29)/2000000</f>
        <v>60000006.2150852</v>
      </c>
      <c r="AQ29" s="46" t="n">
        <f aca="false">VLOOKUP(AE29,db_fifarank,2,FALSE())</f>
        <v>1599.04</v>
      </c>
      <c r="AR29" s="45" t="n">
        <f aca="false">AP29/AP30</f>
        <v>0.666666658644663</v>
      </c>
      <c r="AT29" s="46" t="n">
        <f aca="false" t="array" ref="AT29:AT29">SUMPRODUCT(($S$7:$S$78=AE29&amp;"_win")*($U$7:$U$78))+SUMPRODUCT(($T$7:$T$78=AE29&amp;"_win")*($U$7:$U$78))</f>
        <v>0</v>
      </c>
      <c r="AU29" s="46" t="n">
        <f aca="false" t="array" ref="AU29:AU29">SUMPRODUCT(($S$7:$S$78=AE29&amp;"_draw")*($U$7:$U$78))+SUMPRODUCT(($T$7:$T$78=AE29&amp;"_draw")*($U$7:$U$78))</f>
        <v>0</v>
      </c>
      <c r="AV29" s="46" t="n">
        <f aca="false" t="array" ref="AV29:AV29">SUMPRODUCT(($E$7:$E$78=AE29)*($U$7:$U$78)*($F$7:$F$78))+SUMPRODUCT(($H$7:$H$78=AE29)*($U$7:$U$78)*($G$7:$G$78))</f>
        <v>0</v>
      </c>
      <c r="AW29" s="46" t="n">
        <f aca="false" t="array" ref="AW29:AW29">SUMPRODUCT(($E$7:$E$78=AE29)*($U$7:$U$78)*($G$7:$G$78))+SUMPRODUCT(($H$7:$H$78=AE29)*($U$7:$U$78)*($F$7:$F$78))</f>
        <v>0</v>
      </c>
      <c r="AX29" s="46" t="n">
        <f aca="false">AV29-AW29</f>
        <v>0</v>
      </c>
      <c r="AY29" s="46" t="n">
        <f aca="false">AX29-MIN(AX26:AX29)</f>
        <v>0</v>
      </c>
      <c r="AZ29" s="46" t="n">
        <f aca="false">AT29/AT30*1000+AU29/AU30*100+AY29/AY30*10+AV29/AV30</f>
        <v>0</v>
      </c>
      <c r="BA29" s="46" t="n">
        <f aca="false">AZ29/AZ30</f>
        <v>0</v>
      </c>
      <c r="BB29" s="46" t="n">
        <f aca="false" t="array" ref="BB29:BB29">SUMPRODUCT(($S$7:$S$78=AE29&amp;"_win")*($X$7:$X$78))+SUMPRODUCT(($T$7:$T$78=AE29&amp;"_win")*($X$7:$X$78))</f>
        <v>0</v>
      </c>
      <c r="BC29" s="46" t="n">
        <f aca="false" t="array" ref="BC29:BC29">SUMPRODUCT(($S$7:$S$78=AE29&amp;"_draw")*($X$7:$X$78))+SUMPRODUCT(($T$7:$T$78=AE29&amp;"_draw")*($X$7:$X$78))</f>
        <v>0</v>
      </c>
      <c r="BD29" s="46" t="n">
        <f aca="false" t="array" ref="BD29:BD29">SUMPRODUCT(($E$7:$E$78=AE29)*($X$7:$X$78)*($F$7:$F$78))+SUMPRODUCT(($H$7:$H$78=AE29)*($X$7:$X$78)*($G$7:$G$78))</f>
        <v>0</v>
      </c>
      <c r="BE29" s="46" t="n">
        <f aca="false" t="array" ref="BE29:BE29">SUMPRODUCT(($E$7:$E$78=AE29)*($X$7:$X$78)*($G$7:$G$78))+SUMPRODUCT(($H$7:$H$78=AE29)*($X$7:$X$78)*($F$7:$F$78))</f>
        <v>0</v>
      </c>
      <c r="BF29" s="46" t="n">
        <f aca="false">BD29-BE29</f>
        <v>0</v>
      </c>
      <c r="BG29" s="46" t="n">
        <f aca="false">BF29-MIN(BF26:BF29)</f>
        <v>0</v>
      </c>
      <c r="BH29" s="46" t="n">
        <f aca="false">BB29/BB30*1000+BC29/BC30*100+BG29/BG30*10+BD29/BD30</f>
        <v>0</v>
      </c>
      <c r="BI29" s="46" t="n">
        <f aca="false">BH29/BH30</f>
        <v>0</v>
      </c>
      <c r="BK29" s="74" t="str">
        <f aca="false" t="array" ref="BK29: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74"/>
      <c r="BM29" s="74"/>
      <c r="BN29" s="74"/>
      <c r="BO29" s="92"/>
      <c r="BP29" s="96" t="n">
        <f aca="false">DATE(2026,7,2)+TIME(8,0,0)+gmt_delta</f>
        <v>46205.875</v>
      </c>
      <c r="BQ29" s="97"/>
      <c r="BR29" s="82"/>
      <c r="BS29" s="87" t="str">
        <f aca="false">IF(BP30&gt;BP31,BL30,IF(BP30&lt;BP31,BL31,""))</f>
        <v>Spain</v>
      </c>
      <c r="BT29" s="88" t="n">
        <v>1</v>
      </c>
      <c r="BU29" s="89"/>
      <c r="BV29" s="90"/>
      <c r="BW29" s="91" t="n">
        <f aca="false">IF(BW28="","",BT29*1000+BU29*10+BV29)</f>
        <v>1000</v>
      </c>
      <c r="BX29" s="47"/>
      <c r="BY29" s="74"/>
      <c r="BZ29" s="74"/>
      <c r="CA29" s="74"/>
      <c r="CB29" s="74"/>
      <c r="CC29" s="74"/>
      <c r="CD29" s="96"/>
      <c r="CE29" s="47"/>
      <c r="CF29" s="74"/>
      <c r="CG29" s="74"/>
      <c r="CH29" s="74"/>
      <c r="CI29" s="74"/>
      <c r="CJ29" s="74"/>
      <c r="CK29" s="96"/>
      <c r="CL29" s="47"/>
    </row>
    <row r="30" customFormat="false" ht="14.25" hidden="false" customHeight="true" outlineLevel="0" collapsed="false">
      <c r="A30" s="63" t="n">
        <v>24</v>
      </c>
      <c r="B30" s="64" t="str">
        <f aca="false" t="array" ref="B30:B30">INDEX(T,18+INT(MOD(R30-1,7)),lang)</f>
        <v>Thu</v>
      </c>
      <c r="C30" s="65" t="str">
        <f aca="false" t="array" ref="C30:C30">INDEX(T,24+MONTH(R30),lang) &amp; " " &amp; DAY(R30) &amp; ", " &amp; YEAR(R30)</f>
        <v>Jun 18, 2026</v>
      </c>
      <c r="D30" s="66" t="n">
        <f aca="false">TIME(HOUR(R30),MINUTE(R30),0)</f>
        <v>0.166666666666667</v>
      </c>
      <c r="E30" s="67" t="str">
        <f aca="false">AE70</f>
        <v>Uzbekistan</v>
      </c>
      <c r="F30" s="68" t="n">
        <v>0</v>
      </c>
      <c r="G30" s="69" t="n">
        <v>2</v>
      </c>
      <c r="H30" s="70" t="str">
        <f aca="false">AE71</f>
        <v>Colombia</v>
      </c>
      <c r="J30" s="93" t="str">
        <f aca="false">VLOOKUP(4,AD26:AN29,2,FALSE())</f>
        <v>Paraguay</v>
      </c>
      <c r="K30" s="94" t="n">
        <f aca="false">L30+M30+N30</f>
        <v>3</v>
      </c>
      <c r="L30" s="94" t="n">
        <f aca="false">VLOOKUP(4,AD26:AN29,3,FALSE())</f>
        <v>0</v>
      </c>
      <c r="M30" s="94" t="n">
        <f aca="false">VLOOKUP(4,AD26:AN29,4,FALSE())</f>
        <v>0</v>
      </c>
      <c r="N30" s="94" t="n">
        <f aca="false">VLOOKUP(4,AD26:AN29,5,FALSE())</f>
        <v>3</v>
      </c>
      <c r="O30" s="94" t="str">
        <f aca="false">VLOOKUP(4,AD26:AN29,6,FALSE()) &amp; " - " &amp; VLOOKUP(4,AD26:AN29,7,FALSE())</f>
        <v>2 - 5</v>
      </c>
      <c r="P30" s="95" t="n">
        <f aca="false">L30*3+M30</f>
        <v>0</v>
      </c>
      <c r="R30" s="42" t="n">
        <f aca="false">DATE(2026,6,17)+TIME(15,0,0)+gmt_delta</f>
        <v>46191.1666666667</v>
      </c>
      <c r="S30" s="43" t="str">
        <f aca="false">IF(OR(F30="",G30=""),"",IF(F30&gt;G30,E30&amp;"_win",IF(F30&lt;G30,E30&amp;"_lose",E30&amp;"_draw")))</f>
        <v>Uzbekistan_lose</v>
      </c>
      <c r="T30" s="43" t="str">
        <f aca="false">IF(S30="","",IF(F30&lt;G30,H30&amp;"_win",IF(F30&gt;G30,H30&amp;"_lose",H30&amp;"_draw")))</f>
        <v>Colombia_win</v>
      </c>
      <c r="U30" s="42" t="n">
        <f aca="false">IF(S30="",0,IF(VLOOKUP(E30,$AE$8:$AN$77,10,FALSE())=VLOOKUP(H30,$AE$8:$AN$77,10,FALSE()),1,0))</f>
        <v>0</v>
      </c>
      <c r="V30" s="42" t="n">
        <f aca="false">U30*F30</f>
        <v>0</v>
      </c>
      <c r="W30" s="42" t="n">
        <f aca="false">U30*G30</f>
        <v>0</v>
      </c>
      <c r="X30" s="42" t="n">
        <f aca="false">IF(S30="",0,IF(VLOOKUP(E30,$AE$8:$AO$77,11,FALSE())=VLOOKUP(H30,$AE$8:$AO$77,11,FALSE()),1,0))</f>
        <v>0</v>
      </c>
      <c r="Y30" s="42" t="n">
        <f aca="false">X30*F30</f>
        <v>0</v>
      </c>
      <c r="Z30" s="42" t="n">
        <f aca="false">X30*G30</f>
        <v>0</v>
      </c>
      <c r="AA30" s="42" t="n">
        <f aca="false">IF(OR(E30=my_team,H30=my_team),1,IF(INT(MATCH(E30,$AE$8:$AE$78,0)/6)=$AA$6,1,0))</f>
        <v>0</v>
      </c>
      <c r="AB30" s="42" t="n">
        <f aca="false">IF(OR(F30="",G30=""),"",IF(F30&gt;G30,1,IF(F30&lt;G30,-1,0)))</f>
        <v>-1</v>
      </c>
      <c r="AF30" s="42" t="n">
        <f aca="false">MAX(AF26:AF29)-MIN(AF26:AF29)+1</f>
        <v>4</v>
      </c>
      <c r="AG30" s="42" t="n">
        <f aca="false">MAX(AG26:AG29)-MIN(AG26:AG29)+1</f>
        <v>1</v>
      </c>
      <c r="AH30" s="42" t="n">
        <f aca="false">MAX(AH26:AH29)-MIN(AH26:AH29)+1</f>
        <v>4</v>
      </c>
      <c r="AI30" s="42" t="n">
        <f aca="false">MAX(AI26:AI29)+1</f>
        <v>6</v>
      </c>
      <c r="AL30" s="42" t="n">
        <f aca="false">MIN(AL26:AL29)</f>
        <v>-3</v>
      </c>
      <c r="AM30" s="42" t="n">
        <f aca="false">MAX(AM26:AM29)+1</f>
        <v>7</v>
      </c>
      <c r="AN30" s="42" t="n">
        <f aca="false">MAX(AN26:AN29)+1</f>
        <v>10</v>
      </c>
      <c r="AO30" s="42" t="n">
        <f aca="false">MAX(AO26:AO29)+1</f>
        <v>10</v>
      </c>
      <c r="AP30" s="42" t="n">
        <f aca="false">MAX(AP26:AP29)+1</f>
        <v>90000010.4055985</v>
      </c>
      <c r="AT30" s="46" t="n">
        <f aca="false">MAX(AT26:AT29)-MIN(AT26:AT29)+1</f>
        <v>1</v>
      </c>
      <c r="AU30" s="46" t="n">
        <f aca="false">MAX(AU26:AU29)-MIN(AU26:AU29)+1</f>
        <v>1</v>
      </c>
      <c r="AV30" s="46" t="n">
        <f aca="false">MAX(AV26:AV29)-MIN(AV26:AV29)+1</f>
        <v>1</v>
      </c>
      <c r="AW30" s="46" t="n">
        <f aca="false">MAX(AW26:AW29)-MIN(AW26:AW29)+1</f>
        <v>1</v>
      </c>
      <c r="AY30" s="46" t="n">
        <f aca="false">MAX(AY26:AY29)-MIN(AY26:AY29)+1</f>
        <v>1</v>
      </c>
      <c r="AZ30" s="46" t="n">
        <f aca="false">MAX(AZ26:AZ29)+1</f>
        <v>1</v>
      </c>
      <c r="BB30" s="46" t="n">
        <f aca="false">MAX(BB26:BB29)-MIN(BB26:BB29)+1</f>
        <v>1</v>
      </c>
      <c r="BC30" s="46" t="n">
        <f aca="false">MAX(BC26:BC29)-MIN(BC26:BC29)+1</f>
        <v>1</v>
      </c>
      <c r="BD30" s="46" t="n">
        <f aca="false">MAX(BD26:BD29)-MIN(BD26:BD29)+1</f>
        <v>1</v>
      </c>
      <c r="BE30" s="46" t="n">
        <f aca="false">MAX(BE26:BE29)-MIN(BE26:BE29)+1</f>
        <v>1</v>
      </c>
      <c r="BG30" s="46" t="n">
        <f aca="false">MAX(BG26:BG29)-MIN(BG26:BG29)+1</f>
        <v>1</v>
      </c>
      <c r="BH30" s="46" t="n">
        <f aca="false">MAX(BH26:BH29)+1</f>
        <v>1</v>
      </c>
      <c r="BK30" s="82" t="n">
        <v>84</v>
      </c>
      <c r="BL30" s="83" t="str">
        <f aca="false">AS50</f>
        <v>Spain</v>
      </c>
      <c r="BM30" s="84" t="n">
        <v>1</v>
      </c>
      <c r="BN30" s="85"/>
      <c r="BO30" s="86"/>
      <c r="BP30" s="98" t="n">
        <f aca="false">IF(OR(BM30="",BM31="",AND(BN30="",BN31&lt;&gt;""),AND(BN31="",BN30&lt;&gt;""),AND(BO30="",BO31&lt;&gt;""),AND(BO31="",BO30&lt;&gt;"")),"",BM30*1000+BN30*10+BO30)</f>
        <v>1000</v>
      </c>
      <c r="BQ30" s="47"/>
      <c r="BR30" s="74"/>
      <c r="BS30" s="74"/>
      <c r="BT30" s="74"/>
      <c r="BU30" s="74"/>
      <c r="BV30" s="74"/>
      <c r="BW30" s="96"/>
      <c r="BX30" s="47"/>
      <c r="BY30" s="74"/>
      <c r="BZ30" s="74"/>
      <c r="CA30" s="74"/>
      <c r="CB30" s="74"/>
      <c r="CC30" s="74"/>
      <c r="CD30" s="96"/>
      <c r="CE30" s="47"/>
      <c r="CF30" s="74"/>
      <c r="CG30" s="74"/>
      <c r="CH30" s="74"/>
      <c r="CI30" s="74"/>
      <c r="CJ30" s="74"/>
      <c r="CK30" s="96"/>
      <c r="CL30" s="47"/>
    </row>
    <row r="31" customFormat="false" ht="15" hidden="false" customHeight="true" outlineLevel="0" collapsed="false">
      <c r="A31" s="63" t="n">
        <v>25</v>
      </c>
      <c r="B31" s="64" t="str">
        <f aca="false" t="array" ref="B31:B31">INDEX(T,18+INT(MOD(R31-1,7)),lang)</f>
        <v>Thu</v>
      </c>
      <c r="C31" s="65" t="str">
        <f aca="false" t="array" ref="C31:C31">INDEX(T,24+MONTH(R31),lang) &amp; " " &amp; DAY(R31) &amp; ", " &amp; YEAR(R31)</f>
        <v>Jun 18, 2026</v>
      </c>
      <c r="D31" s="66" t="n">
        <f aca="false">TIME(HOUR(R31),MINUTE(R31),0)</f>
        <v>0.75</v>
      </c>
      <c r="E31" s="67" t="str">
        <f aca="false">AE11</f>
        <v>Czech Republic</v>
      </c>
      <c r="F31" s="68" t="n">
        <v>1</v>
      </c>
      <c r="G31" s="69" t="n">
        <v>0</v>
      </c>
      <c r="H31" s="70" t="str">
        <f aca="false">AE9</f>
        <v>South Africa</v>
      </c>
      <c r="R31" s="42" t="n">
        <f aca="false">DATE(2026,6,18)+TIME(5,0,0)+gmt_delta</f>
        <v>46191.75</v>
      </c>
      <c r="S31" s="43" t="str">
        <f aca="false">IF(OR(F31="",G31=""),"",IF(F31&gt;G31,E31&amp;"_win",IF(F31&lt;G31,E31&amp;"_lose",E31&amp;"_draw")))</f>
        <v>Czech Republic_win</v>
      </c>
      <c r="T31" s="43" t="str">
        <f aca="false">IF(S31="","",IF(F31&lt;G31,H31&amp;"_win",IF(F31&gt;G31,H31&amp;"_lose",H31&amp;"_draw")))</f>
        <v>South Africa_lose</v>
      </c>
      <c r="U31" s="42" t="n">
        <f aca="false">IF(S31="",0,IF(VLOOKUP(E31,$AE$8:$AN$77,10,FALSE())=VLOOKUP(H31,$AE$8:$AN$77,10,FALSE()),1,0))</f>
        <v>0</v>
      </c>
      <c r="V31" s="42" t="n">
        <f aca="false">U31*F31</f>
        <v>0</v>
      </c>
      <c r="W31" s="42" t="n">
        <f aca="false">U31*G31</f>
        <v>0</v>
      </c>
      <c r="X31" s="42" t="n">
        <f aca="false">IF(S31="",0,IF(VLOOKUP(E31,$AE$8:$AO$77,11,FALSE())=VLOOKUP(H31,$AE$8:$AO$77,11,FALSE()),1,0))</f>
        <v>0</v>
      </c>
      <c r="Y31" s="42" t="n">
        <f aca="false">X31*F31</f>
        <v>0</v>
      </c>
      <c r="Z31" s="42" t="n">
        <f aca="false">X31*G31</f>
        <v>0</v>
      </c>
      <c r="AA31" s="42" t="n">
        <f aca="false">IF(OR(E31=my_team,H31=my_team),1,IF(INT(MATCH(E31,$AE$8:$AE$78,0)/6)=$AA$6,1,0))</f>
        <v>0</v>
      </c>
      <c r="AB31" s="42" t="n">
        <f aca="false">IF(OR(F31="",G31=""),"",IF(F31&gt;G31,1,IF(F31&lt;G31,-1,0)))</f>
        <v>1</v>
      </c>
      <c r="BK31" s="82"/>
      <c r="BL31" s="87" t="str">
        <f aca="false">AS63</f>
        <v>Austria</v>
      </c>
      <c r="BM31" s="88" t="n">
        <v>0</v>
      </c>
      <c r="BN31" s="89"/>
      <c r="BO31" s="90"/>
      <c r="BP31" s="47" t="n">
        <f aca="false">IF(BP30="","",BM31*1000+BN31*10+BO31)</f>
        <v>0</v>
      </c>
      <c r="BQ31" s="47"/>
      <c r="BR31" s="74"/>
      <c r="BS31" s="74"/>
      <c r="BT31" s="74"/>
      <c r="BU31" s="74"/>
      <c r="BV31" s="74"/>
      <c r="BW31" s="96"/>
      <c r="BX31" s="47"/>
      <c r="BY31" s="74" t="str">
        <f aca="false" t="array" ref="BY31: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74"/>
      <c r="CA31" s="74"/>
      <c r="CB31" s="74"/>
      <c r="CC31" s="92"/>
      <c r="CD31" s="96" t="n">
        <f aca="false">DATE(2026,7,10)+TIME(8,0,0)+gmt_delta</f>
        <v>46213.875</v>
      </c>
      <c r="CE31" s="47"/>
      <c r="CK31" s="96"/>
      <c r="CL31" s="47"/>
    </row>
    <row r="32" customFormat="false" ht="15" hidden="false" customHeight="true" outlineLevel="0" collapsed="false">
      <c r="A32" s="63" t="n">
        <v>26</v>
      </c>
      <c r="B32" s="64" t="str">
        <f aca="false" t="array" ref="B32:B32">INDEX(T,18+INT(MOD(R32-1,7)),lang)</f>
        <v>Thu</v>
      </c>
      <c r="C32" s="65" t="str">
        <f aca="false" t="array" ref="C32:C32">INDEX(T,24+MONTH(R32),lang) &amp; " " &amp; DAY(R32) &amp; ", " &amp; YEAR(R32)</f>
        <v>Jun 18, 2026</v>
      </c>
      <c r="D32" s="66" t="n">
        <f aca="false">TIME(HOUR(R32),MINUTE(R32),0)</f>
        <v>0.875</v>
      </c>
      <c r="E32" s="67" t="str">
        <f aca="false">AE17</f>
        <v>Switzerland</v>
      </c>
      <c r="F32" s="68" t="n">
        <v>2</v>
      </c>
      <c r="G32" s="69" t="n">
        <v>0</v>
      </c>
      <c r="H32" s="70" t="str">
        <f aca="false">AE15</f>
        <v>Bosnia and Herzegovina</v>
      </c>
      <c r="J32" s="71" t="str">
        <f aca="false" t="array" ref="J32:J32">INDEX(T,9,lang) &amp; " " &amp; "E"</f>
        <v>Group E</v>
      </c>
      <c r="K32" s="72" t="str">
        <f aca="false" t="array" ref="K32:K32">INDEX(T,10,lang)</f>
        <v>PL</v>
      </c>
      <c r="L32" s="72" t="str">
        <f aca="false" t="array" ref="L32:L32">INDEX(T,11,lang)</f>
        <v>W</v>
      </c>
      <c r="M32" s="72" t="str">
        <f aca="false" t="array" ref="M32:M32">INDEX(T,12,lang)</f>
        <v>DRAW</v>
      </c>
      <c r="N32" s="72" t="str">
        <f aca="false" t="array" ref="N32:N32">INDEX(T,13,lang)</f>
        <v>L</v>
      </c>
      <c r="O32" s="72" t="str">
        <f aca="false" t="array" ref="O32:O32">INDEX(T,14,lang)</f>
        <v>GF - GA</v>
      </c>
      <c r="P32" s="73" t="str">
        <f aca="false" t="array" ref="P32:P32">INDEX(T,15,lang)</f>
        <v>PNT</v>
      </c>
      <c r="R32" s="42" t="n">
        <f aca="false">DATE(2026,6,18)+TIME(8,0,0)+gmt_delta</f>
        <v>46191.875</v>
      </c>
      <c r="S32" s="43" t="str">
        <f aca="false">IF(OR(F32="",G32=""),"",IF(F32&gt;G32,E32&amp;"_win",IF(F32&lt;G32,E32&amp;"_lose",E32&amp;"_draw")))</f>
        <v>Switzerland_win</v>
      </c>
      <c r="T32" s="43" t="str">
        <f aca="false">IF(S32="","",IF(F32&lt;G32,H32&amp;"_win",IF(F32&gt;G32,H32&amp;"_lose",H32&amp;"_draw")))</f>
        <v>Bosnia and Herzegovina_lose</v>
      </c>
      <c r="U32" s="42" t="n">
        <f aca="false">IF(S32="",0,IF(VLOOKUP(E32,$AE$8:$AN$77,10,FALSE())=VLOOKUP(H32,$AE$8:$AN$77,10,FALSE()),1,0))</f>
        <v>0</v>
      </c>
      <c r="V32" s="42" t="n">
        <f aca="false">U32*F32</f>
        <v>0</v>
      </c>
      <c r="W32" s="42" t="n">
        <f aca="false">U32*G32</f>
        <v>0</v>
      </c>
      <c r="X32" s="42" t="n">
        <f aca="false">IF(S32="",0,IF(VLOOKUP(E32,$AE$8:$AO$77,11,FALSE())=VLOOKUP(H32,$AE$8:$AO$77,11,FALSE()),1,0))</f>
        <v>0</v>
      </c>
      <c r="Y32" s="42" t="n">
        <f aca="false">X32*F32</f>
        <v>0</v>
      </c>
      <c r="Z32" s="42" t="n">
        <f aca="false">X32*G32</f>
        <v>0</v>
      </c>
      <c r="AA32" s="42" t="n">
        <f aca="false">IF(OR(E32=my_team,H32=my_team),1,IF(INT(MATCH(E32,$AE$8:$AE$78,0)/6)=$AA$6,1,0))</f>
        <v>0</v>
      </c>
      <c r="AB32" s="42" t="n">
        <f aca="false">IF(OR(F32="",G32=""),"",IF(F32&gt;G32,1,IF(F32&lt;G32,-1,0)))</f>
        <v>1</v>
      </c>
      <c r="AD32" s="42" t="n">
        <f aca="false">COUNTIF(AR32:AR35,CONCATENATE("&gt;=",AR32))</f>
        <v>1</v>
      </c>
      <c r="AE32" s="44" t="str">
        <f aca="false">VLOOKUP("Germany",T,lang,FALSE())</f>
        <v>Germany</v>
      </c>
      <c r="AF32" s="42" t="n">
        <f aca="false">COUNTIF($S$7:$T$78,"=" &amp; AE32 &amp; "_win")</f>
        <v>3</v>
      </c>
      <c r="AG32" s="42" t="n">
        <f aca="false">COUNTIF($S$7:$T$78,"=" &amp; AE32 &amp; "_draw")</f>
        <v>0</v>
      </c>
      <c r="AH32" s="42" t="n">
        <f aca="false">COUNTIF($S$7:$T$78,"=" &amp; AE32 &amp; "_lose")</f>
        <v>0</v>
      </c>
      <c r="AI32" s="42" t="n">
        <f aca="false">SUMIF($E$7:$E$78,$AE32,$F$7:$F$78) + SUMIF($H$7:$H$78,$AE32,$G$7:$G$78)</f>
        <v>6</v>
      </c>
      <c r="AJ32" s="42" t="n">
        <f aca="false">SUMIF($E$7:$E$78,$AE32,$G$7:$G$78) + SUMIF($H$7:$H$78,$AE32,$F$7:$F$78)</f>
        <v>2</v>
      </c>
      <c r="AL32" s="42" t="n">
        <f aca="false">AI32-AJ32</f>
        <v>4</v>
      </c>
      <c r="AM32" s="42" t="n">
        <f aca="false">AL32-AL36</f>
        <v>10</v>
      </c>
      <c r="AN32" s="42" t="n">
        <f aca="false">AF32*3+AG32</f>
        <v>9</v>
      </c>
      <c r="AO32" s="42" t="n">
        <f aca="false">AN32/AN36*10+BA32</f>
        <v>9</v>
      </c>
      <c r="AP32" s="42" t="n">
        <f aca="false">AO32*10000000+BI32*100+AM32/AM36*10+AI32/AI36*1++IF(AQ32=0,ROW(),AQ32)/2000000</f>
        <v>90000009.9489171</v>
      </c>
      <c r="AQ32" s="46" t="n">
        <f aca="false">VLOOKUP(AE32,db_fifarank,2,FALSE())</f>
        <v>1730.37</v>
      </c>
      <c r="AR32" s="45" t="n">
        <f aca="false">AP32/AP36</f>
        <v>0.99999998888889</v>
      </c>
      <c r="AS32" s="45" t="str">
        <f aca="false">IF(SUM(AF32:AH35)=12,J33,"1E")</f>
        <v>Germany</v>
      </c>
      <c r="AT32" s="46" t="n">
        <f aca="false" t="array" ref="AT32:AT32">SUMPRODUCT(($S$7:$S$78=AE32&amp;"_win")*($U$7:$U$78))+SUMPRODUCT(($T$7:$T$78=AE32&amp;"_win")*($U$7:$U$78))</f>
        <v>0</v>
      </c>
      <c r="AU32" s="46" t="n">
        <f aca="false" t="array" ref="AU32:AU32">SUMPRODUCT(($S$7:$S$78=AE32&amp;"_draw")*($U$7:$U$78))+SUMPRODUCT(($T$7:$T$78=AE32&amp;"_draw")*($U$7:$U$78))</f>
        <v>0</v>
      </c>
      <c r="AV32" s="46" t="n">
        <f aca="false" t="array" ref="AV32:AV32">SUMPRODUCT(($E$7:$E$78=AE32)*($U$7:$U$78)*($F$7:$F$78))+SUMPRODUCT(($H$7:$H$78=AE32)*($U$7:$U$78)*($G$7:$G$78))</f>
        <v>0</v>
      </c>
      <c r="AW32" s="46" t="n">
        <f aca="false" t="array" ref="AW32:AW32">SUMPRODUCT(($E$7:$E$78=AE32)*($U$7:$U$78)*($G$7:$G$78))+SUMPRODUCT(($H$7:$H$78=AE32)*($U$7:$U$78)*($F$7:$F$78))</f>
        <v>0</v>
      </c>
      <c r="AX32" s="46" t="n">
        <f aca="false">AV32-AW32</f>
        <v>0</v>
      </c>
      <c r="AY32" s="46" t="n">
        <f aca="false">AX32-MIN(AX32:AX35)</f>
        <v>0</v>
      </c>
      <c r="AZ32" s="46" t="n">
        <f aca="false">AT32/AT36*1000+AU32/AU36*100+AY32/AY36*10+AV32/AV36</f>
        <v>0</v>
      </c>
      <c r="BA32" s="46" t="n">
        <f aca="false">AZ32/AZ36</f>
        <v>0</v>
      </c>
      <c r="BB32" s="46" t="n">
        <f aca="false" t="array" ref="BB32:BB32">SUMPRODUCT(($S$7:$S$78=AE32&amp;"_win")*($X$7:$X$78))+SUMPRODUCT(($T$7:$T$78=AE32&amp;"_win")*($X$7:$X$78))</f>
        <v>0</v>
      </c>
      <c r="BC32" s="46" t="n">
        <f aca="false" t="array" ref="BC32:BC32">SUMPRODUCT(($S$7:$S$78=AE32&amp;"_draw")*($X$7:$X$78))+SUMPRODUCT(($T$7:$T$78=AE32&amp;"_draw")*($X$7:$X$78))</f>
        <v>0</v>
      </c>
      <c r="BD32" s="46" t="n">
        <f aca="false" t="array" ref="BD32:BD32">SUMPRODUCT(($E$7:$E$78=AE32)*($X$7:$X$78)*($F$7:$F$78))+SUMPRODUCT(($H$7:$H$78=AE32)*($X$7:$X$78)*($G$7:$G$78))</f>
        <v>0</v>
      </c>
      <c r="BE32" s="46" t="n">
        <f aca="false" t="array" ref="BE32:BE32">SUMPRODUCT(($E$7:$E$78=AE32)*($X$7:$X$78)*($G$7:$G$78))+SUMPRODUCT(($H$7:$H$78=AE32)*($X$7:$X$78)*($F$7:$F$78))</f>
        <v>0</v>
      </c>
      <c r="BF32" s="46" t="n">
        <f aca="false">BD32-BE32</f>
        <v>0</v>
      </c>
      <c r="BG32" s="46" t="n">
        <f aca="false">BF32-MIN(BF32:BF35)</f>
        <v>0</v>
      </c>
      <c r="BH32" s="46" t="n">
        <f aca="false">BB32/BB36*1000+BC32/BC36*100+BG32/BG36*10+BD32/BD36</f>
        <v>0</v>
      </c>
      <c r="BI32" s="46" t="n">
        <f aca="false">BH32/BH36</f>
        <v>0</v>
      </c>
      <c r="BK32" s="74"/>
      <c r="BL32" s="74"/>
      <c r="BM32" s="74"/>
      <c r="BN32" s="74"/>
      <c r="BO32" s="74"/>
      <c r="BP32" s="47"/>
      <c r="BQ32" s="47"/>
      <c r="BR32" s="74"/>
      <c r="BS32" s="74"/>
      <c r="BT32" s="74"/>
      <c r="BU32" s="74"/>
      <c r="BV32" s="74"/>
      <c r="BW32" s="96"/>
      <c r="BX32" s="47"/>
      <c r="BY32" s="82" t="n">
        <v>98</v>
      </c>
      <c r="BZ32" s="83" t="str">
        <f aca="false">IF(BW28&gt;BW29,BS28,IF(BW28&lt;BW29,BS29,""))</f>
        <v>Spain</v>
      </c>
      <c r="CA32" s="84" t="n">
        <v>1</v>
      </c>
      <c r="CB32" s="85"/>
      <c r="CC32" s="86"/>
      <c r="CD32" s="98" t="n">
        <f aca="false">IF(OR(CA32="",CA33="",AND(CB32="",CB33&lt;&gt;""),AND(CB33="",CB32&lt;&gt;""),AND(CC32="",CC33&lt;&gt;""),AND(CC33="",CC32&lt;&gt;"")),"",CA32*1000+CB32*10+CC32)</f>
        <v>1000</v>
      </c>
      <c r="CE32" s="47"/>
      <c r="CK32" s="96"/>
      <c r="CL32" s="47"/>
    </row>
    <row r="33" customFormat="false" ht="14.25" hidden="false" customHeight="true" outlineLevel="0" collapsed="false">
      <c r="A33" s="63" t="n">
        <v>27</v>
      </c>
      <c r="B33" s="64" t="str">
        <f aca="false" t="array" ref="B33:B33">INDEX(T,18+INT(MOD(R33-1,7)),lang)</f>
        <v>Fri</v>
      </c>
      <c r="C33" s="65" t="str">
        <f aca="false" t="array" ref="C33:C33">INDEX(T,24+MONTH(R33),lang) &amp; " " &amp; DAY(R33) &amp; ", " &amp; YEAR(R33)</f>
        <v>Jun 19, 2026</v>
      </c>
      <c r="D33" s="66" t="n">
        <f aca="false">TIME(HOUR(R33),MINUTE(R33),0)</f>
        <v>0</v>
      </c>
      <c r="E33" s="67" t="str">
        <f aca="false">AE14</f>
        <v>Canada</v>
      </c>
      <c r="F33" s="68" t="n">
        <v>2</v>
      </c>
      <c r="G33" s="69" t="n">
        <v>1</v>
      </c>
      <c r="H33" s="70" t="str">
        <f aca="false">AE16</f>
        <v>Qatar</v>
      </c>
      <c r="J33" s="75" t="str">
        <f aca="false">VLOOKUP(1,AD32:AN35,2,FALSE())</f>
        <v>Germany</v>
      </c>
      <c r="K33" s="76" t="n">
        <f aca="false">L33+M33+N33</f>
        <v>3</v>
      </c>
      <c r="L33" s="76" t="n">
        <f aca="false">VLOOKUP(1,AD32:AN35,3,FALSE())</f>
        <v>3</v>
      </c>
      <c r="M33" s="76" t="n">
        <f aca="false">VLOOKUP(1,AD32:AN35,4,FALSE())</f>
        <v>0</v>
      </c>
      <c r="N33" s="76" t="n">
        <f aca="false">VLOOKUP(1,AD32:AN35,5,FALSE())</f>
        <v>0</v>
      </c>
      <c r="O33" s="76" t="str">
        <f aca="false">VLOOKUP(1,AD32:AN35,6,FALSE()) &amp; " - " &amp; VLOOKUP(1,AD32:AN35,7,FALSE())</f>
        <v>6 - 2</v>
      </c>
      <c r="P33" s="77" t="n">
        <f aca="false">L33*3+M33</f>
        <v>9</v>
      </c>
      <c r="R33" s="42" t="n">
        <f aca="false">DATE(2026,6,18)+TIME(11,0,0)+gmt_delta</f>
        <v>46192</v>
      </c>
      <c r="S33" s="43" t="str">
        <f aca="false">IF(OR(F33="",G33=""),"",IF(F33&gt;G33,E33&amp;"_win",IF(F33&lt;G33,E33&amp;"_lose",E33&amp;"_draw")))</f>
        <v>Canada_win</v>
      </c>
      <c r="T33" s="43" t="str">
        <f aca="false">IF(S33="","",IF(F33&lt;G33,H33&amp;"_win",IF(F33&gt;G33,H33&amp;"_lose",H33&amp;"_draw")))</f>
        <v>Qatar_lose</v>
      </c>
      <c r="U33" s="42" t="n">
        <f aca="false">IF(S33="",0,IF(VLOOKUP(E33,$AE$8:$AN$77,10,FALSE())=VLOOKUP(H33,$AE$8:$AN$77,10,FALSE()),1,0))</f>
        <v>0</v>
      </c>
      <c r="V33" s="42" t="n">
        <f aca="false">U33*F33</f>
        <v>0</v>
      </c>
      <c r="W33" s="42" t="n">
        <f aca="false">U33*G33</f>
        <v>0</v>
      </c>
      <c r="X33" s="42" t="n">
        <f aca="false">IF(S33="",0,IF(VLOOKUP(E33,$AE$8:$AO$77,11,FALSE())=VLOOKUP(H33,$AE$8:$AO$77,11,FALSE()),1,0))</f>
        <v>0</v>
      </c>
      <c r="Y33" s="42" t="n">
        <f aca="false">X33*F33</f>
        <v>0</v>
      </c>
      <c r="Z33" s="42" t="n">
        <f aca="false">X33*G33</f>
        <v>0</v>
      </c>
      <c r="AA33" s="42" t="n">
        <f aca="false">IF(OR(E33=my_team,H33=my_team),1,IF(INT(MATCH(E33,$AE$8:$AE$78,0)/6)=$AA$6,1,0))</f>
        <v>0</v>
      </c>
      <c r="AB33" s="42" t="n">
        <f aca="false">IF(OR(F33="",G33=""),"",IF(F33&gt;G33,1,IF(F33&lt;G33,-1,0)))</f>
        <v>1</v>
      </c>
      <c r="AD33" s="42" t="n">
        <f aca="false">COUNTIF(AR32:AR35,CONCATENATE("&gt;=",AR33))</f>
        <v>4</v>
      </c>
      <c r="AE33" s="44" t="str">
        <f aca="false">VLOOKUP("Curaçao",T,lang,FALSE())</f>
        <v>Curaçao</v>
      </c>
      <c r="AF33" s="42" t="n">
        <f aca="false">COUNTIF($S$7:$T$78,"=" &amp; AE33 &amp; "_win")</f>
        <v>0</v>
      </c>
      <c r="AG33" s="42" t="n">
        <f aca="false">COUNTIF($S$7:$T$78,"=" &amp; AE33 &amp; "_draw")</f>
        <v>0</v>
      </c>
      <c r="AH33" s="42" t="n">
        <f aca="false">COUNTIF($S$7:$T$78,"=" &amp; AE33 &amp; "_lose")</f>
        <v>3</v>
      </c>
      <c r="AI33" s="42" t="n">
        <f aca="false">SUMIF($E$7:$E$78,$AE33,$F$7:$F$78) + SUMIF($H$7:$H$78,$AE33,$G$7:$G$78)</f>
        <v>0</v>
      </c>
      <c r="AJ33" s="42" t="n">
        <f aca="false">SUMIF($E$7:$E$78,$AE33,$G$7:$G$78) + SUMIF($H$7:$H$78,$AE33,$F$7:$F$78)</f>
        <v>6</v>
      </c>
      <c r="AL33" s="42" t="n">
        <f aca="false">AI33-AJ33</f>
        <v>-6</v>
      </c>
      <c r="AM33" s="42" t="n">
        <f aca="false">AL33-AL36</f>
        <v>0</v>
      </c>
      <c r="AN33" s="42" t="n">
        <f aca="false">AF33*3+AG33</f>
        <v>0</v>
      </c>
      <c r="AO33" s="42" t="n">
        <f aca="false">AN33/AN36*10+BA33</f>
        <v>0</v>
      </c>
      <c r="AP33" s="42" t="n">
        <f aca="false">AO33*10000000+BI33*100+AM33/AM36*10+AI33/AI36*1++IF(AQ33=0,ROW(),AQ33)/2000000</f>
        <v>0.000647325</v>
      </c>
      <c r="AQ33" s="46" t="n">
        <f aca="false">VLOOKUP(AE33,db_fifarank,2,FALSE())</f>
        <v>1294.65</v>
      </c>
      <c r="AR33" s="45" t="n">
        <f aca="false">AP33/AP36</f>
        <v>7.19249912499915E-012</v>
      </c>
      <c r="AS33" s="45" t="str">
        <f aca="false">IF(SUM(AF32:AH35)=12,J34,"2E")</f>
        <v>Ecuador</v>
      </c>
      <c r="AT33" s="46" t="n">
        <f aca="false" t="array" ref="AT33:AT33">SUMPRODUCT(($S$7:$S$78=AE33&amp;"_win")*($U$7:$U$78))+SUMPRODUCT(($T$7:$T$78=AE33&amp;"_win")*($U$7:$U$78))</f>
        <v>0</v>
      </c>
      <c r="AU33" s="46" t="n">
        <f aca="false" t="array" ref="AU33:AU33">SUMPRODUCT(($S$7:$S$78=AE33&amp;"_draw")*($U$7:$U$78))+SUMPRODUCT(($T$7:$T$78=AE33&amp;"_draw")*($U$7:$U$78))</f>
        <v>0</v>
      </c>
      <c r="AV33" s="46" t="n">
        <f aca="false" t="array" ref="AV33:AV33">SUMPRODUCT(($E$7:$E$78=AE33)*($U$7:$U$78)*($F$7:$F$78))+SUMPRODUCT(($H$7:$H$78=AE33)*($U$7:$U$78)*($G$7:$G$78))</f>
        <v>0</v>
      </c>
      <c r="AW33" s="46" t="n">
        <f aca="false" t="array" ref="AW33:AW33">SUMPRODUCT(($E$7:$E$78=AE33)*($U$7:$U$78)*($G$7:$G$78))+SUMPRODUCT(($H$7:$H$78=AE33)*($U$7:$U$78)*($F$7:$F$78))</f>
        <v>0</v>
      </c>
      <c r="AX33" s="46" t="n">
        <f aca="false">AV33-AW33</f>
        <v>0</v>
      </c>
      <c r="AY33" s="46" t="n">
        <f aca="false">AX33-MIN(AX32:AX35)</f>
        <v>0</v>
      </c>
      <c r="AZ33" s="46" t="n">
        <f aca="false">AT33/AT36*1000+AU33/AU36*100+AY33/AY36*10+AV33/AV36</f>
        <v>0</v>
      </c>
      <c r="BA33" s="46" t="n">
        <f aca="false">AZ33/AZ36</f>
        <v>0</v>
      </c>
      <c r="BB33" s="46" t="n">
        <f aca="false" t="array" ref="BB33:BB33">SUMPRODUCT(($S$7:$S$78=AE33&amp;"_win")*($X$7:$X$78))+SUMPRODUCT(($T$7:$T$78=AE33&amp;"_win")*($X$7:$X$78))</f>
        <v>0</v>
      </c>
      <c r="BC33" s="46" t="n">
        <f aca="false" t="array" ref="BC33:BC33">SUMPRODUCT(($S$7:$S$78=AE33&amp;"_draw")*($X$7:$X$78))+SUMPRODUCT(($T$7:$T$78=AE33&amp;"_draw")*($X$7:$X$78))</f>
        <v>0</v>
      </c>
      <c r="BD33" s="46" t="n">
        <f aca="false" t="array" ref="BD33:BD33">SUMPRODUCT(($E$7:$E$78=AE33)*($X$7:$X$78)*($F$7:$F$78))+SUMPRODUCT(($H$7:$H$78=AE33)*($X$7:$X$78)*($G$7:$G$78))</f>
        <v>0</v>
      </c>
      <c r="BE33" s="46" t="n">
        <f aca="false" t="array" ref="BE33:BE33">SUMPRODUCT(($E$7:$E$78=AE33)*($X$7:$X$78)*($G$7:$G$78))+SUMPRODUCT(($H$7:$H$78=AE33)*($X$7:$X$78)*($F$7:$F$78))</f>
        <v>0</v>
      </c>
      <c r="BF33" s="46" t="n">
        <f aca="false">BD33-BE33</f>
        <v>0</v>
      </c>
      <c r="BG33" s="46" t="n">
        <f aca="false">BF33-MIN(BF32:BF35)</f>
        <v>0</v>
      </c>
      <c r="BH33" s="46" t="n">
        <f aca="false">BB33/BB36*1000+BC33/BC36*100+BG33/BG36*10+BD33/BD36</f>
        <v>0</v>
      </c>
      <c r="BI33" s="46" t="n">
        <f aca="false">BH33/BH36</f>
        <v>0</v>
      </c>
      <c r="BK33" s="74" t="str">
        <f aca="false" t="array" ref="BK33: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74"/>
      <c r="BM33" s="74"/>
      <c r="BN33" s="74"/>
      <c r="BO33" s="92"/>
      <c r="BP33" s="47" t="n">
        <f aca="false">DATE(2026,7,1)+TIME(13,0,0)+gmt_delta</f>
        <v>46205.0833333333</v>
      </c>
      <c r="BQ33" s="47"/>
      <c r="BR33" s="74"/>
      <c r="BS33" s="74"/>
      <c r="BT33" s="74"/>
      <c r="BU33" s="74"/>
      <c r="BV33" s="74"/>
      <c r="BW33" s="96"/>
      <c r="BX33" s="97"/>
      <c r="BY33" s="82"/>
      <c r="BZ33" s="87" t="str">
        <f aca="false">IF(BW36&gt;BW37,BS36,IF(BW36&lt;BW37,BS37,""))</f>
        <v>Belgium</v>
      </c>
      <c r="CA33" s="88" t="n">
        <v>0</v>
      </c>
      <c r="CB33" s="89"/>
      <c r="CC33" s="90"/>
      <c r="CD33" s="47" t="n">
        <f aca="false">IF(CD32="","",CA33*1000+CB33*10+CC33)</f>
        <v>0</v>
      </c>
      <c r="CE33" s="47"/>
      <c r="CK33" s="96"/>
      <c r="CL33" s="47"/>
      <c r="CM33" s="54" t="str">
        <f aca="false" t="array" ref="CM33:CM33">INDEX(T,8,lang)</f>
        <v>Final</v>
      </c>
      <c r="CN33" s="54"/>
      <c r="CO33" s="54"/>
      <c r="CP33" s="54"/>
      <c r="CQ33" s="54"/>
    </row>
    <row r="34" customFormat="false" ht="14.25" hidden="false" customHeight="true" outlineLevel="0" collapsed="false">
      <c r="A34" s="63" t="n">
        <v>28</v>
      </c>
      <c r="B34" s="64" t="str">
        <f aca="false" t="array" ref="B34:B34">INDEX(T,18+INT(MOD(R34-1,7)),lang)</f>
        <v>Fri</v>
      </c>
      <c r="C34" s="65" t="str">
        <f aca="false" t="array" ref="C34:C34">INDEX(T,24+MONTH(R34),lang) &amp; " " &amp; DAY(R34) &amp; ", " &amp; YEAR(R34)</f>
        <v>Jun 19, 2026</v>
      </c>
      <c r="D34" s="66" t="n">
        <f aca="false">TIME(HOUR(R34),MINUTE(R34),0)</f>
        <v>0.125</v>
      </c>
      <c r="E34" s="67" t="str">
        <f aca="false">AE8</f>
        <v>Mexico</v>
      </c>
      <c r="F34" s="68" t="n">
        <v>2</v>
      </c>
      <c r="G34" s="69" t="n">
        <v>1</v>
      </c>
      <c r="H34" s="70" t="str">
        <f aca="false">AE10</f>
        <v>Korea Republic</v>
      </c>
      <c r="J34" s="79" t="str">
        <f aca="false">VLOOKUP(2,AD32:AN35,2,FALSE())</f>
        <v>Ecuador</v>
      </c>
      <c r="K34" s="80" t="n">
        <f aca="false">L34+M34+N34</f>
        <v>3</v>
      </c>
      <c r="L34" s="80" t="n">
        <f aca="false">VLOOKUP(2,AD32:AN35,3,FALSE())</f>
        <v>2</v>
      </c>
      <c r="M34" s="80" t="n">
        <f aca="false">VLOOKUP(2,AD32:AN35,4,FALSE())</f>
        <v>0</v>
      </c>
      <c r="N34" s="80" t="n">
        <f aca="false">VLOOKUP(2,AD32:AN35,5,FALSE())</f>
        <v>1</v>
      </c>
      <c r="O34" s="80" t="str">
        <f aca="false">VLOOKUP(2,AD32:AN35,6,FALSE()) &amp; " - " &amp; VLOOKUP(2,AD32:AN35,7,FALSE())</f>
        <v>4 - 2</v>
      </c>
      <c r="P34" s="81" t="n">
        <f aca="false">L34*3+M34</f>
        <v>6</v>
      </c>
      <c r="R34" s="42" t="n">
        <f aca="false">DATE(2026,6,18)+TIME(14,0,0)+gmt_delta</f>
        <v>46192.125</v>
      </c>
      <c r="S34" s="43" t="str">
        <f aca="false">IF(OR(F34="",G34=""),"",IF(F34&gt;G34,E34&amp;"_win",IF(F34&lt;G34,E34&amp;"_lose",E34&amp;"_draw")))</f>
        <v>Mexico_win</v>
      </c>
      <c r="T34" s="43" t="str">
        <f aca="false">IF(S34="","",IF(F34&lt;G34,H34&amp;"_win",IF(F34&gt;G34,H34&amp;"_lose",H34&amp;"_draw")))</f>
        <v>Korea Republic_lose</v>
      </c>
      <c r="U34" s="42" t="n">
        <f aca="false">IF(S34="",0,IF(VLOOKUP(E34,$AE$8:$AN$77,10,FALSE())=VLOOKUP(H34,$AE$8:$AN$77,10,FALSE()),1,0))</f>
        <v>0</v>
      </c>
      <c r="V34" s="42" t="n">
        <f aca="false">U34*F34</f>
        <v>0</v>
      </c>
      <c r="W34" s="42" t="n">
        <f aca="false">U34*G34</f>
        <v>0</v>
      </c>
      <c r="X34" s="42" t="n">
        <f aca="false">IF(S34="",0,IF(VLOOKUP(E34,$AE$8:$AO$77,11,FALSE())=VLOOKUP(H34,$AE$8:$AO$77,11,FALSE()),1,0))</f>
        <v>0</v>
      </c>
      <c r="Y34" s="42" t="n">
        <f aca="false">X34*F34</f>
        <v>0</v>
      </c>
      <c r="Z34" s="42" t="n">
        <f aca="false">X34*G34</f>
        <v>0</v>
      </c>
      <c r="AA34" s="42" t="n">
        <f aca="false">IF(OR(E34=my_team,H34=my_team),1,IF(INT(MATCH(E34,$AE$8:$AE$78,0)/6)=$AA$6,1,0))</f>
        <v>0</v>
      </c>
      <c r="AB34" s="42" t="n">
        <f aca="false">IF(OR(F34="",G34=""),"",IF(F34&gt;G34,1,IF(F34&lt;G34,-1,0)))</f>
        <v>1</v>
      </c>
      <c r="AD34" s="42" t="n">
        <f aca="false">COUNTIF(AR32:AR35,CONCATENATE("&gt;=",AR34))</f>
        <v>3</v>
      </c>
      <c r="AE34" s="44" t="str">
        <f aca="false">VLOOKUP("Ivory Coast",T,lang,FALSE())</f>
        <v>Ivory Coast</v>
      </c>
      <c r="AF34" s="42" t="n">
        <f aca="false">COUNTIF($S$7:$T$78,"=" &amp; AE34 &amp; "_win")</f>
        <v>1</v>
      </c>
      <c r="AG34" s="42" t="n">
        <f aca="false">COUNTIF($S$7:$T$78,"=" &amp; AE34 &amp; "_draw")</f>
        <v>0</v>
      </c>
      <c r="AH34" s="42" t="n">
        <f aca="false">COUNTIF($S$7:$T$78,"=" &amp; AE34 &amp; "_lose")</f>
        <v>2</v>
      </c>
      <c r="AI34" s="42" t="n">
        <f aca="false">SUMIF($E$7:$E$78,$AE34,$F$7:$F$78) + SUMIF($H$7:$H$78,$AE34,$G$7:$G$78)</f>
        <v>3</v>
      </c>
      <c r="AJ34" s="42" t="n">
        <f aca="false">SUMIF($E$7:$E$78,$AE34,$G$7:$G$78) + SUMIF($H$7:$H$78,$AE34,$F$7:$F$78)</f>
        <v>3</v>
      </c>
      <c r="AL34" s="42" t="n">
        <f aca="false">AI34-AJ34</f>
        <v>0</v>
      </c>
      <c r="AM34" s="42" t="n">
        <f aca="false">AL34-AL36</f>
        <v>6</v>
      </c>
      <c r="AN34" s="42" t="n">
        <f aca="false">AF34*3+AG34</f>
        <v>3</v>
      </c>
      <c r="AO34" s="42" t="n">
        <f aca="false">AN34/AN36*10+BA34</f>
        <v>3</v>
      </c>
      <c r="AP34" s="42" t="n">
        <f aca="false">AO34*10000000+BI34*100+AM34/AM36*10+AI34/AI36*1++IF(AQ34=0,ROW(),AQ34)/2000000</f>
        <v>30000005.8838834</v>
      </c>
      <c r="AQ34" s="46" t="n">
        <f aca="false">VLOOKUP(AE34,db_fifarank,2,FALSE())</f>
        <v>1532.98</v>
      </c>
      <c r="AR34" s="45" t="n">
        <f aca="false">AP34/AP36</f>
        <v>0.333333358158267</v>
      </c>
      <c r="AT34" s="46" t="n">
        <f aca="false" t="array" ref="AT34:AT34">SUMPRODUCT(($S$7:$S$78=AE34&amp;"_win")*($U$7:$U$78))+SUMPRODUCT(($T$7:$T$78=AE34&amp;"_win")*($U$7:$U$78))</f>
        <v>0</v>
      </c>
      <c r="AU34" s="46" t="n">
        <f aca="false" t="array" ref="AU34:AU34">SUMPRODUCT(($S$7:$S$78=AE34&amp;"_draw")*($U$7:$U$78))+SUMPRODUCT(($T$7:$T$78=AE34&amp;"_draw")*($U$7:$U$78))</f>
        <v>0</v>
      </c>
      <c r="AV34" s="46" t="n">
        <f aca="false" t="array" ref="AV34:AV34">SUMPRODUCT(($E$7:$E$78=AE34)*($U$7:$U$78)*($F$7:$F$78))+SUMPRODUCT(($H$7:$H$78=AE34)*($U$7:$U$78)*($G$7:$G$78))</f>
        <v>0</v>
      </c>
      <c r="AW34" s="46" t="n">
        <f aca="false" t="array" ref="AW34:AW34">SUMPRODUCT(($E$7:$E$78=AE34)*($U$7:$U$78)*($G$7:$G$78))+SUMPRODUCT(($H$7:$H$78=AE34)*($U$7:$U$78)*($F$7:$F$78))</f>
        <v>0</v>
      </c>
      <c r="AX34" s="46" t="n">
        <f aca="false">AV34-AW34</f>
        <v>0</v>
      </c>
      <c r="AY34" s="46" t="n">
        <f aca="false">AX34-MIN(AX32:AX35)</f>
        <v>0</v>
      </c>
      <c r="AZ34" s="46" t="n">
        <f aca="false">AT34/AT36*1000+AU34/AU36*100+AY34/AY36*10+AV34/AV36</f>
        <v>0</v>
      </c>
      <c r="BA34" s="46" t="n">
        <f aca="false">AZ34/AZ36</f>
        <v>0</v>
      </c>
      <c r="BB34" s="46" t="n">
        <f aca="false" t="array" ref="BB34:BB34">SUMPRODUCT(($S$7:$S$78=AE34&amp;"_win")*($X$7:$X$78))+SUMPRODUCT(($T$7:$T$78=AE34&amp;"_win")*($X$7:$X$78))</f>
        <v>0</v>
      </c>
      <c r="BC34" s="46" t="n">
        <f aca="false" t="array" ref="BC34:BC34">SUMPRODUCT(($S$7:$S$78=AE34&amp;"_draw")*($X$7:$X$78))+SUMPRODUCT(($T$7:$T$78=AE34&amp;"_draw")*($X$7:$X$78))</f>
        <v>0</v>
      </c>
      <c r="BD34" s="46" t="n">
        <f aca="false" t="array" ref="BD34:BD34">SUMPRODUCT(($E$7:$E$78=AE34)*($X$7:$X$78)*($F$7:$F$78))+SUMPRODUCT(($H$7:$H$78=AE34)*($X$7:$X$78)*($G$7:$G$78))</f>
        <v>0</v>
      </c>
      <c r="BE34" s="46" t="n">
        <f aca="false" t="array" ref="BE34:BE34">SUMPRODUCT(($E$7:$E$78=AE34)*($X$7:$X$78)*($G$7:$G$78))+SUMPRODUCT(($H$7:$H$78=AE34)*($X$7:$X$78)*($F$7:$F$78))</f>
        <v>0</v>
      </c>
      <c r="BF34" s="46" t="n">
        <f aca="false">BD34-BE34</f>
        <v>0</v>
      </c>
      <c r="BG34" s="46" t="n">
        <f aca="false">BF34-MIN(BF32:BF35)</f>
        <v>0</v>
      </c>
      <c r="BH34" s="46" t="n">
        <f aca="false">BB34/BB36*1000+BC34/BC36*100+BG34/BG36*10+BD34/BD36</f>
        <v>0</v>
      </c>
      <c r="BI34" s="46" t="n">
        <f aca="false">BH34/BH36</f>
        <v>0</v>
      </c>
      <c r="BK34" s="82" t="n">
        <v>81</v>
      </c>
      <c r="BL34" s="83" t="str">
        <f aca="false">AS26</f>
        <v>United States</v>
      </c>
      <c r="BM34" s="84" t="n">
        <v>1</v>
      </c>
      <c r="BN34" s="85"/>
      <c r="BO34" s="86"/>
      <c r="BP34" s="47" t="n">
        <f aca="false">IF(OR(BM34="",BM35="",AND(BN34="",BN35&lt;&gt;""),AND(BN35="",BN34&lt;&gt;""),AND(BO34="",BO35&lt;&gt;""),AND(BO35="",BO34&lt;&gt;"")),"",BM34*1000+BN34*10+BO34)</f>
        <v>1000</v>
      </c>
      <c r="BQ34" s="47"/>
      <c r="BR34" s="74"/>
      <c r="BS34" s="74"/>
      <c r="BT34" s="74"/>
      <c r="BU34" s="74"/>
      <c r="BV34" s="74"/>
      <c r="BW34" s="96"/>
      <c r="BX34" s="47"/>
      <c r="BY34" s="74"/>
      <c r="BZ34" s="74"/>
      <c r="CA34" s="74"/>
      <c r="CB34" s="74"/>
      <c r="CC34" s="74"/>
      <c r="CD34" s="47"/>
      <c r="CE34" s="47"/>
      <c r="CK34" s="96"/>
      <c r="CL34" s="47"/>
      <c r="CM34" s="54"/>
      <c r="CN34" s="54"/>
      <c r="CO34" s="54"/>
      <c r="CP34" s="54"/>
      <c r="CQ34" s="54"/>
    </row>
    <row r="35" customFormat="false" ht="14.25" hidden="false" customHeight="true" outlineLevel="0" collapsed="false">
      <c r="A35" s="63" t="n">
        <v>29</v>
      </c>
      <c r="B35" s="64" t="str">
        <f aca="false" t="array" ref="B35:B35">INDEX(T,18+INT(MOD(R35-1,7)),lang)</f>
        <v>Sat</v>
      </c>
      <c r="C35" s="65" t="str">
        <f aca="false" t="array" ref="C35:C35">INDEX(T,24+MONTH(R35),lang) &amp; " " &amp; DAY(R35) &amp; ", " &amp; YEAR(R35)</f>
        <v>Jun 20, 2026</v>
      </c>
      <c r="D35" s="66" t="n">
        <f aca="false">TIME(HOUR(R35),MINUTE(R35),0)</f>
        <v>0.104166666666667</v>
      </c>
      <c r="E35" s="67" t="str">
        <f aca="false">AE20</f>
        <v>Brazil</v>
      </c>
      <c r="F35" s="68" t="n">
        <v>2</v>
      </c>
      <c r="G35" s="69" t="n">
        <v>0</v>
      </c>
      <c r="H35" s="70" t="str">
        <f aca="false">AE22</f>
        <v>Haiti</v>
      </c>
      <c r="J35" s="79" t="str">
        <f aca="false">VLOOKUP(3,AD32:AN35,2,FALSE())</f>
        <v>Ivory Coast</v>
      </c>
      <c r="K35" s="80" t="n">
        <f aca="false">L35+M35+N35</f>
        <v>3</v>
      </c>
      <c r="L35" s="80" t="n">
        <f aca="false">VLOOKUP(3,AD32:AN35,3,FALSE())</f>
        <v>1</v>
      </c>
      <c r="M35" s="80" t="n">
        <f aca="false">VLOOKUP(3,AD32:AN35,4,FALSE())</f>
        <v>0</v>
      </c>
      <c r="N35" s="80" t="n">
        <f aca="false">VLOOKUP(3,AD32:AN35,5,FALSE())</f>
        <v>2</v>
      </c>
      <c r="O35" s="80" t="str">
        <f aca="false">VLOOKUP(3,AD32:AN35,6,FALSE()) &amp; " - " &amp; VLOOKUP(3,AD32:AN35,7,FALSE())</f>
        <v>3 - 3</v>
      </c>
      <c r="P35" s="81" t="n">
        <f aca="false">L35*3+M35</f>
        <v>3</v>
      </c>
      <c r="R35" s="42" t="n">
        <f aca="false">DATE(2026,6,19)+TIME(13,30,0)+gmt_delta</f>
        <v>46193.1041666667</v>
      </c>
      <c r="S35" s="43" t="str">
        <f aca="false">IF(OR(F35="",G35=""),"",IF(F35&gt;G35,E35&amp;"_win",IF(F35&lt;G35,E35&amp;"_lose",E35&amp;"_draw")))</f>
        <v>Brazil_win</v>
      </c>
      <c r="T35" s="43" t="str">
        <f aca="false">IF(S35="","",IF(F35&lt;G35,H35&amp;"_win",IF(F35&gt;G35,H35&amp;"_lose",H35&amp;"_draw")))</f>
        <v>Haiti_lose</v>
      </c>
      <c r="U35" s="42" t="n">
        <f aca="false">IF(S35="",0,IF(VLOOKUP(E35,$AE$8:$AN$77,10,FALSE())=VLOOKUP(H35,$AE$8:$AN$77,10,FALSE()),1,0))</f>
        <v>0</v>
      </c>
      <c r="V35" s="42" t="n">
        <f aca="false">U35*F35</f>
        <v>0</v>
      </c>
      <c r="W35" s="42" t="n">
        <f aca="false">U35*G35</f>
        <v>0</v>
      </c>
      <c r="X35" s="42" t="n">
        <f aca="false">IF(S35="",0,IF(VLOOKUP(E35,$AE$8:$AO$77,11,FALSE())=VLOOKUP(H35,$AE$8:$AO$77,11,FALSE()),1,0))</f>
        <v>0</v>
      </c>
      <c r="Y35" s="42" t="n">
        <f aca="false">X35*F35</f>
        <v>0</v>
      </c>
      <c r="Z35" s="42" t="n">
        <f aca="false">X35*G35</f>
        <v>0</v>
      </c>
      <c r="AA35" s="42" t="n">
        <f aca="false">IF(OR(E35=my_team,H35=my_team),1,IF(INT(MATCH(E35,$AE$8:$AE$78,0)/6)=$AA$6,1,0))</f>
        <v>0</v>
      </c>
      <c r="AB35" s="42" t="n">
        <f aca="false">IF(OR(F35="",G35=""),"",IF(F35&gt;G35,1,IF(F35&lt;G35,-1,0)))</f>
        <v>1</v>
      </c>
      <c r="AD35" s="42" t="n">
        <f aca="false">COUNTIF(AR32:AR35,CONCATENATE("&gt;=",AR35))</f>
        <v>2</v>
      </c>
      <c r="AE35" s="44" t="str">
        <f aca="false">VLOOKUP("Ecuador",T,lang,FALSE())</f>
        <v>Ecuador</v>
      </c>
      <c r="AF35" s="42" t="n">
        <f aca="false">COUNTIF($S$7:$T$78,"=" &amp; AE35 &amp; "_win")</f>
        <v>2</v>
      </c>
      <c r="AG35" s="42" t="n">
        <f aca="false">COUNTIF($S$7:$T$78,"=" &amp; AE35 &amp; "_draw")</f>
        <v>0</v>
      </c>
      <c r="AH35" s="42" t="n">
        <f aca="false">COUNTIF($S$7:$T$78,"=" &amp; AE35 &amp; "_lose")</f>
        <v>1</v>
      </c>
      <c r="AI35" s="42" t="n">
        <f aca="false">SUMIF($E$7:$E$78,$AE35,$F$7:$F$78) + SUMIF($H$7:$H$78,$AE35,$G$7:$G$78)</f>
        <v>4</v>
      </c>
      <c r="AJ35" s="42" t="n">
        <f aca="false">SUMIF($E$7:$E$78,$AE35,$G$7:$G$78) + SUMIF($H$7:$H$78,$AE35,$F$7:$F$78)</f>
        <v>2</v>
      </c>
      <c r="AL35" s="42" t="n">
        <f aca="false">AI35-AJ35</f>
        <v>2</v>
      </c>
      <c r="AM35" s="42" t="n">
        <f aca="false">AL35-AL36</f>
        <v>8</v>
      </c>
      <c r="AN35" s="42" t="n">
        <f aca="false">AF35*3+AG35</f>
        <v>6</v>
      </c>
      <c r="AO35" s="42" t="n">
        <f aca="false">AN35/AN36*10+BA35</f>
        <v>6</v>
      </c>
      <c r="AP35" s="42" t="n">
        <f aca="false">AO35*10000000+BI35*100+AM35/AM36*10+AI35/AI36*1++IF(AQ35=0,ROW(),AQ35)/2000000</f>
        <v>60000007.8449532</v>
      </c>
      <c r="AQ35" s="46" t="n">
        <f aca="false">VLOOKUP(AE35,db_fifarank,2,FALSE())</f>
        <v>1594.78</v>
      </c>
      <c r="AR35" s="45" t="n">
        <f aca="false">AP35/AP36</f>
        <v>0.666666672729723</v>
      </c>
      <c r="AT35" s="46" t="n">
        <f aca="false" t="array" ref="AT35:AT35">SUMPRODUCT(($S$7:$S$78=AE35&amp;"_win")*($U$7:$U$78))+SUMPRODUCT(($T$7:$T$78=AE35&amp;"_win")*($U$7:$U$78))</f>
        <v>0</v>
      </c>
      <c r="AU35" s="46" t="n">
        <f aca="false" t="array" ref="AU35:AU35">SUMPRODUCT(($S$7:$S$78=AE35&amp;"_draw")*($U$7:$U$78))+SUMPRODUCT(($T$7:$T$78=AE35&amp;"_draw")*($U$7:$U$78))</f>
        <v>0</v>
      </c>
      <c r="AV35" s="46" t="n">
        <f aca="false" t="array" ref="AV35:AV35">SUMPRODUCT(($E$7:$E$78=AE35)*($U$7:$U$78)*($F$7:$F$78))+SUMPRODUCT(($H$7:$H$78=AE35)*($U$7:$U$78)*($G$7:$G$78))</f>
        <v>0</v>
      </c>
      <c r="AW35" s="46" t="n">
        <f aca="false" t="array" ref="AW35:AW35">SUMPRODUCT(($E$7:$E$78=AE35)*($U$7:$U$78)*($G$7:$G$78))+SUMPRODUCT(($H$7:$H$78=AE35)*($U$7:$U$78)*($F$7:$F$78))</f>
        <v>0</v>
      </c>
      <c r="AX35" s="46" t="n">
        <f aca="false">AV35-AW35</f>
        <v>0</v>
      </c>
      <c r="AY35" s="46" t="n">
        <f aca="false">AX35-MIN(AX32:AX35)</f>
        <v>0</v>
      </c>
      <c r="AZ35" s="46" t="n">
        <f aca="false">AT35/AT36*1000+AU35/AU36*100+AY35/AY36*10+AV35/AV36</f>
        <v>0</v>
      </c>
      <c r="BA35" s="46" t="n">
        <f aca="false">AZ35/AZ36</f>
        <v>0</v>
      </c>
      <c r="BB35" s="46" t="n">
        <f aca="false" t="array" ref="BB35:BB35">SUMPRODUCT(($S$7:$S$78=AE35&amp;"_win")*($X$7:$X$78))+SUMPRODUCT(($T$7:$T$78=AE35&amp;"_win")*($X$7:$X$78))</f>
        <v>0</v>
      </c>
      <c r="BC35" s="46" t="n">
        <f aca="false" t="array" ref="BC35:BC35">SUMPRODUCT(($S$7:$S$78=AE35&amp;"_draw")*($X$7:$X$78))+SUMPRODUCT(($T$7:$T$78=AE35&amp;"_draw")*($X$7:$X$78))</f>
        <v>0</v>
      </c>
      <c r="BD35" s="46" t="n">
        <f aca="false" t="array" ref="BD35:BD35">SUMPRODUCT(($E$7:$E$78=AE35)*($X$7:$X$78)*($F$7:$F$78))+SUMPRODUCT(($H$7:$H$78=AE35)*($X$7:$X$78)*($G$7:$G$78))</f>
        <v>0</v>
      </c>
      <c r="BE35" s="46" t="n">
        <f aca="false" t="array" ref="BE35:BE35">SUMPRODUCT(($E$7:$E$78=AE35)*($X$7:$X$78)*($G$7:$G$78))+SUMPRODUCT(($H$7:$H$78=AE35)*($X$7:$X$78)*($F$7:$F$78))</f>
        <v>0</v>
      </c>
      <c r="BF35" s="46" t="n">
        <f aca="false">BD35-BE35</f>
        <v>0</v>
      </c>
      <c r="BG35" s="46" t="n">
        <f aca="false">BF35-MIN(BF32:BF35)</f>
        <v>0</v>
      </c>
      <c r="BH35" s="46" t="n">
        <f aca="false">BB35/BB36*1000+BC35/BC36*100+BG35/BG36*10+BD35/BD36</f>
        <v>0</v>
      </c>
      <c r="BI35" s="46" t="n">
        <f aca="false">BH35/BH36</f>
        <v>0</v>
      </c>
      <c r="BK35" s="82"/>
      <c r="BL35" s="87" t="str">
        <f aca="false">IF(group_round_completed,VLOOKUP('3rd places'!F3,AK80:AS91,9,FALSE()),"3rd Group B/E/F/I/J")</f>
        <v>Qatar</v>
      </c>
      <c r="BM35" s="88" t="n">
        <v>0</v>
      </c>
      <c r="BN35" s="89"/>
      <c r="BO35" s="90"/>
      <c r="BP35" s="91" t="n">
        <f aca="false">IF(BP34="","",BM35*1000+BN35*10+BO35)</f>
        <v>0</v>
      </c>
      <c r="BQ35" s="47"/>
      <c r="BR35" s="74" t="str">
        <f aca="false" t="array" ref="BR35: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74"/>
      <c r="BT35" s="74"/>
      <c r="BU35" s="74"/>
      <c r="BV35" s="92"/>
      <c r="BW35" s="96" t="n">
        <f aca="false">DATE(2026,7,6)+TIME(13,0,0)+gmt_delta</f>
        <v>46210.0833333333</v>
      </c>
      <c r="BX35" s="47"/>
      <c r="BY35" s="74"/>
      <c r="BZ35" s="74"/>
      <c r="CA35" s="74"/>
      <c r="CB35" s="74"/>
      <c r="CC35" s="74"/>
      <c r="CD35" s="47"/>
      <c r="CE35" s="47"/>
      <c r="CK35" s="96"/>
      <c r="CL35" s="47"/>
    </row>
    <row r="36" customFormat="false" ht="14.25" hidden="false" customHeight="true" outlineLevel="0" collapsed="false">
      <c r="A36" s="63" t="n">
        <v>30</v>
      </c>
      <c r="B36" s="64" t="str">
        <f aca="false" t="array" ref="B36:B36">INDEX(T,18+INT(MOD(R36-1,7)),lang)</f>
        <v>Sat</v>
      </c>
      <c r="C36" s="65" t="str">
        <f aca="false" t="array" ref="C36:C36">INDEX(T,24+MONTH(R36),lang) &amp; " " &amp; DAY(R36) &amp; ", " &amp; YEAR(R36)</f>
        <v>Jun 20, 2026</v>
      </c>
      <c r="D36" s="66" t="n">
        <f aca="false">TIME(HOUR(R36),MINUTE(R36),0)</f>
        <v>0</v>
      </c>
      <c r="E36" s="67" t="str">
        <f aca="false">AE23</f>
        <v>Scotland</v>
      </c>
      <c r="F36" s="68" t="n">
        <v>0</v>
      </c>
      <c r="G36" s="69" t="n">
        <v>2</v>
      </c>
      <c r="H36" s="70" t="str">
        <f aca="false">AE21</f>
        <v>Morocco</v>
      </c>
      <c r="J36" s="93" t="str">
        <f aca="false">VLOOKUP(4,AD32:AN35,2,FALSE())</f>
        <v>Curaçao</v>
      </c>
      <c r="K36" s="94" t="n">
        <f aca="false">L36+M36+N36</f>
        <v>3</v>
      </c>
      <c r="L36" s="94" t="n">
        <f aca="false">VLOOKUP(4,AD32:AN35,3,FALSE())</f>
        <v>0</v>
      </c>
      <c r="M36" s="94" t="n">
        <f aca="false">VLOOKUP(4,AD32:AN35,4,FALSE())</f>
        <v>0</v>
      </c>
      <c r="N36" s="94" t="n">
        <f aca="false">VLOOKUP(4,AD32:AN35,5,FALSE())</f>
        <v>3</v>
      </c>
      <c r="O36" s="94" t="str">
        <f aca="false">VLOOKUP(4,AD32:AN35,6,FALSE()) &amp; " - " &amp; VLOOKUP(4,AD32:AN35,7,FALSE())</f>
        <v>0 - 6</v>
      </c>
      <c r="P36" s="95" t="n">
        <f aca="false">L36*3+M36</f>
        <v>0</v>
      </c>
      <c r="R36" s="42" t="n">
        <f aca="false">DATE(2026,6,19)+TIME(11,0,0)+gmt_delta</f>
        <v>46193</v>
      </c>
      <c r="S36" s="43" t="str">
        <f aca="false">IF(OR(F36="",G36=""),"",IF(F36&gt;G36,E36&amp;"_win",IF(F36&lt;G36,E36&amp;"_lose",E36&amp;"_draw")))</f>
        <v>Scotland_lose</v>
      </c>
      <c r="T36" s="43" t="str">
        <f aca="false">IF(S36="","",IF(F36&lt;G36,H36&amp;"_win",IF(F36&gt;G36,H36&amp;"_lose",H36&amp;"_draw")))</f>
        <v>Morocco_win</v>
      </c>
      <c r="U36" s="42" t="n">
        <f aca="false">IF(S36="",0,IF(VLOOKUP(E36,$AE$8:$AN$77,10,FALSE())=VLOOKUP(H36,$AE$8:$AN$77,10,FALSE()),1,0))</f>
        <v>0</v>
      </c>
      <c r="V36" s="42" t="n">
        <f aca="false">U36*F36</f>
        <v>0</v>
      </c>
      <c r="W36" s="42" t="n">
        <f aca="false">U36*G36</f>
        <v>0</v>
      </c>
      <c r="X36" s="42" t="n">
        <f aca="false">IF(S36="",0,IF(VLOOKUP(E36,$AE$8:$AO$77,11,FALSE())=VLOOKUP(H36,$AE$8:$AO$77,11,FALSE()),1,0))</f>
        <v>0</v>
      </c>
      <c r="Y36" s="42" t="n">
        <f aca="false">X36*F36</f>
        <v>0</v>
      </c>
      <c r="Z36" s="42" t="n">
        <f aca="false">X36*G36</f>
        <v>0</v>
      </c>
      <c r="AA36" s="42" t="n">
        <f aca="false">IF(OR(E36=my_team,H36=my_team),1,IF(INT(MATCH(E36,$AE$8:$AE$78,0)/6)=$AA$6,1,0))</f>
        <v>0</v>
      </c>
      <c r="AB36" s="42" t="n">
        <f aca="false">IF(OR(F36="",G36=""),"",IF(F36&gt;G36,1,IF(F36&lt;G36,-1,0)))</f>
        <v>-1</v>
      </c>
      <c r="AF36" s="42" t="n">
        <f aca="false">MAX(AF32:AF35)-MIN(AF32:AF35)+1</f>
        <v>4</v>
      </c>
      <c r="AG36" s="42" t="n">
        <f aca="false">MAX(AG32:AG35)-MIN(AG32:AG35)+1</f>
        <v>1</v>
      </c>
      <c r="AH36" s="42" t="n">
        <f aca="false">MAX(AH32:AH35)-MIN(AH32:AH35)+1</f>
        <v>4</v>
      </c>
      <c r="AI36" s="42" t="n">
        <f aca="false">MAX(AI32:AI35)+1</f>
        <v>7</v>
      </c>
      <c r="AL36" s="42" t="n">
        <f aca="false">MIN(AL32:AL35)</f>
        <v>-6</v>
      </c>
      <c r="AM36" s="42" t="n">
        <f aca="false">MAX(AM32:AM35)+1</f>
        <v>11</v>
      </c>
      <c r="AN36" s="42" t="n">
        <f aca="false">MAX(AN32:AN35)+1</f>
        <v>10</v>
      </c>
      <c r="AO36" s="42" t="n">
        <f aca="false">MAX(AO32:AO35)+1</f>
        <v>10</v>
      </c>
      <c r="AP36" s="42" t="n">
        <f aca="false">MAX(AP32:AP35)+1</f>
        <v>90000010.9489171</v>
      </c>
      <c r="AT36" s="46" t="n">
        <f aca="false">MAX(AT32:AT35)-MIN(AT32:AT35)+1</f>
        <v>1</v>
      </c>
      <c r="AU36" s="46" t="n">
        <f aca="false">MAX(AU32:AU35)-MIN(AU32:AU35)+1</f>
        <v>1</v>
      </c>
      <c r="AV36" s="46" t="n">
        <f aca="false">MAX(AV32:AV35)-MIN(AV32:AV35)+1</f>
        <v>1</v>
      </c>
      <c r="AW36" s="46" t="n">
        <f aca="false">MAX(AW32:AW35)-MIN(AW32:AW35)+1</f>
        <v>1</v>
      </c>
      <c r="AY36" s="46" t="n">
        <f aca="false">MAX(AY32:AY35)-MIN(AY32:AY35)+1</f>
        <v>1</v>
      </c>
      <c r="AZ36" s="46" t="n">
        <f aca="false">MAX(AZ32:AZ35)+1</f>
        <v>1</v>
      </c>
      <c r="BB36" s="46" t="n">
        <f aca="false">MAX(BB32:BB35)-MIN(BB32:BB35)+1</f>
        <v>1</v>
      </c>
      <c r="BC36" s="46" t="n">
        <f aca="false">MAX(BC32:BC35)-MIN(BC32:BC35)+1</f>
        <v>1</v>
      </c>
      <c r="BD36" s="46" t="n">
        <f aca="false">MAX(BD32:BD35)-MIN(BD32:BD35)+1</f>
        <v>1</v>
      </c>
      <c r="BE36" s="46" t="n">
        <f aca="false">MAX(BE32:BE35)-MIN(BE32:BE35)+1</f>
        <v>1</v>
      </c>
      <c r="BG36" s="46" t="n">
        <f aca="false">MAX(BG32:BG35)-MIN(BG32:BG35)+1</f>
        <v>1</v>
      </c>
      <c r="BH36" s="46" t="n">
        <f aca="false">MAX(BH32:BH35)+1</f>
        <v>1</v>
      </c>
      <c r="BK36" s="74"/>
      <c r="BL36" s="74"/>
      <c r="BM36" s="74"/>
      <c r="BN36" s="74"/>
      <c r="BO36" s="74"/>
      <c r="BP36" s="96"/>
      <c r="BQ36" s="47"/>
      <c r="BR36" s="82" t="n">
        <v>94</v>
      </c>
      <c r="BS36" s="83" t="str">
        <f aca="false">IF(BP34&gt;BP35,BL34,IF(BP34&lt;BP35,BL35,""))</f>
        <v>United States</v>
      </c>
      <c r="BT36" s="84" t="n">
        <v>0</v>
      </c>
      <c r="BU36" s="85"/>
      <c r="BV36" s="86"/>
      <c r="BW36" s="98" t="n">
        <f aca="false">IF(OR(BT36="",BT37="",AND(BU36="",BU37&lt;&gt;""),AND(BU37="",BU36&lt;&gt;""),AND(BV36="",BV37&lt;&gt;""),AND(BV37="",BV36&lt;&gt;"")),"",BT36*1000+BU36*10+BV36)</f>
        <v>0</v>
      </c>
      <c r="BX36" s="47"/>
      <c r="BY36" s="74"/>
      <c r="BZ36" s="74"/>
      <c r="CA36" s="74"/>
      <c r="CB36" s="74"/>
      <c r="CC36" s="74"/>
      <c r="CD36" s="47"/>
      <c r="CE36" s="47"/>
      <c r="CK36" s="96"/>
      <c r="CL36" s="47"/>
      <c r="CM36" s="74" t="str">
        <f aca="false" t="array" ref="CM36: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74"/>
      <c r="CO36" s="74"/>
      <c r="CP36" s="74"/>
      <c r="CQ36" s="92"/>
      <c r="CR36" s="48" t="n">
        <f aca="false">DATE(2026,7,19)+TIME(8,0,0)+gmt_delta</f>
        <v>46222.875</v>
      </c>
    </row>
    <row r="37" customFormat="false" ht="14.25" hidden="false" customHeight="true" outlineLevel="0" collapsed="false">
      <c r="A37" s="63" t="n">
        <v>31</v>
      </c>
      <c r="B37" s="64" t="str">
        <f aca="false" t="array" ref="B37:B37">INDEX(T,18+INT(MOD(R37-1,7)),lang)</f>
        <v>Sat</v>
      </c>
      <c r="C37" s="65" t="str">
        <f aca="false" t="array" ref="C37:C37">INDEX(T,24+MONTH(R37),lang) &amp; " " &amp; DAY(R37) &amp; ", " &amp; YEAR(R37)</f>
        <v>Jun 20, 2026</v>
      </c>
      <c r="D37" s="66" t="n">
        <f aca="false">TIME(HOUR(R37),MINUTE(R37),0)</f>
        <v>0.208333333333333</v>
      </c>
      <c r="E37" s="67" t="str">
        <f aca="false">AE26</f>
        <v>United States</v>
      </c>
      <c r="F37" s="68" t="n">
        <v>2</v>
      </c>
      <c r="G37" s="69" t="n">
        <v>1</v>
      </c>
      <c r="H37" s="70" t="str">
        <f aca="false">AE28</f>
        <v>Australia</v>
      </c>
      <c r="R37" s="42" t="n">
        <f aca="false">DATE(2026,6,19)+TIME(16,0,0)+gmt_delta</f>
        <v>46193.2083333333</v>
      </c>
      <c r="S37" s="43" t="str">
        <f aca="false">IF(OR(F37="",G37=""),"",IF(F37&gt;G37,E37&amp;"_win",IF(F37&lt;G37,E37&amp;"_lose",E37&amp;"_draw")))</f>
        <v>United States_win</v>
      </c>
      <c r="T37" s="43" t="str">
        <f aca="false">IF(S37="","",IF(F37&lt;G37,H37&amp;"_win",IF(F37&gt;G37,H37&amp;"_lose",H37&amp;"_draw")))</f>
        <v>Australia_lose</v>
      </c>
      <c r="U37" s="42" t="n">
        <f aca="false">IF(S37="",0,IF(VLOOKUP(E37,$AE$8:$AN$77,10,FALSE())=VLOOKUP(H37,$AE$8:$AN$77,10,FALSE()),1,0))</f>
        <v>0</v>
      </c>
      <c r="V37" s="42" t="n">
        <f aca="false">U37*F37</f>
        <v>0</v>
      </c>
      <c r="W37" s="42" t="n">
        <f aca="false">U37*G37</f>
        <v>0</v>
      </c>
      <c r="X37" s="42" t="n">
        <f aca="false">IF(S37="",0,IF(VLOOKUP(E37,$AE$8:$AO$77,11,FALSE())=VLOOKUP(H37,$AE$8:$AO$77,11,FALSE()),1,0))</f>
        <v>0</v>
      </c>
      <c r="Y37" s="42" t="n">
        <f aca="false">X37*F37</f>
        <v>0</v>
      </c>
      <c r="Z37" s="42" t="n">
        <f aca="false">X37*G37</f>
        <v>0</v>
      </c>
      <c r="AA37" s="42" t="n">
        <f aca="false">IF(OR(E37=my_team,H37=my_team),1,IF(INT(MATCH(E37,$AE$8:$AE$78,0)/6)=$AA$6,1,0))</f>
        <v>0</v>
      </c>
      <c r="AB37" s="42" t="n">
        <f aca="false">IF(OR(F37="",G37=""),"",IF(F37&gt;G37,1,IF(F37&lt;G37,-1,0)))</f>
        <v>1</v>
      </c>
      <c r="BK37" s="74" t="str">
        <f aca="false" t="array" ref="BK37: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74"/>
      <c r="BM37" s="74"/>
      <c r="BN37" s="74"/>
      <c r="BO37" s="92"/>
      <c r="BP37" s="96" t="n">
        <f aca="false">DATE(2026,7,1)+TIME(9,0,0)+gmt_delta</f>
        <v>46204.9166666667</v>
      </c>
      <c r="BQ37" s="97"/>
      <c r="BR37" s="82"/>
      <c r="BS37" s="87" t="str">
        <f aca="false">IF(BP38&gt;BP39,BL38,IF(BP38&lt;BP39,BL39,""))</f>
        <v>Belgium</v>
      </c>
      <c r="BT37" s="88" t="n">
        <v>1</v>
      </c>
      <c r="BU37" s="89"/>
      <c r="BV37" s="90"/>
      <c r="BW37" s="47" t="n">
        <f aca="false">IF(BW36="","",BT37*1000+BU37*10+BV37)</f>
        <v>1000</v>
      </c>
      <c r="BX37" s="47"/>
      <c r="BY37" s="74"/>
      <c r="BZ37" s="74"/>
      <c r="CA37" s="74"/>
      <c r="CB37" s="74"/>
      <c r="CC37" s="74"/>
      <c r="CD37" s="47"/>
      <c r="CE37" s="47"/>
      <c r="CF37" s="74"/>
      <c r="CG37" s="74"/>
      <c r="CH37" s="74"/>
      <c r="CI37" s="74"/>
      <c r="CJ37" s="74"/>
      <c r="CK37" s="96"/>
      <c r="CL37" s="47"/>
      <c r="CM37" s="82" t="n">
        <v>104</v>
      </c>
      <c r="CN37" s="83" t="str">
        <f aca="false">IF(CK23&gt;CK24,CG23,IF(CK23&lt;CK24,CG24,""))</f>
        <v>France</v>
      </c>
      <c r="CO37" s="84" t="n">
        <v>1</v>
      </c>
      <c r="CP37" s="85"/>
      <c r="CQ37" s="86"/>
      <c r="CR37" s="48" t="n">
        <f aca="false">IF(OR(CO37="",CO38="",AND(CP37="",CP38&lt;&gt;""),AND(CP38="",CP37&lt;&gt;""),AND(CQ37="",CQ38&lt;&gt;""),AND(CQ38="",CQ37&lt;&gt;"")),"",CO37*1000+CP37*10+CQ37)</f>
        <v>1000</v>
      </c>
    </row>
    <row r="38" customFormat="false" ht="14.25" hidden="false" customHeight="true" outlineLevel="0" collapsed="false">
      <c r="A38" s="63" t="n">
        <v>32</v>
      </c>
      <c r="B38" s="64" t="str">
        <f aca="false" t="array" ref="B38:B38">INDEX(T,18+INT(MOD(R38-1,7)),lang)</f>
        <v>Fri</v>
      </c>
      <c r="C38" s="65" t="str">
        <f aca="false" t="array" ref="C38:C38">INDEX(T,24+MONTH(R38),lang) &amp; " " &amp; DAY(R38) &amp; ", " &amp; YEAR(R38)</f>
        <v>Jun 19, 2026</v>
      </c>
      <c r="D38" s="66" t="n">
        <f aca="false">TIME(HOUR(R38),MINUTE(R38),0)</f>
        <v>0.875</v>
      </c>
      <c r="E38" s="67" t="str">
        <f aca="false">AE29</f>
        <v>Turkey</v>
      </c>
      <c r="F38" s="68" t="n">
        <v>2</v>
      </c>
      <c r="G38" s="69" t="n">
        <v>1</v>
      </c>
      <c r="H38" s="70" t="str">
        <f aca="false">AE27</f>
        <v>Paraguay</v>
      </c>
      <c r="J38" s="71" t="str">
        <f aca="false" t="array" ref="J38:J38">INDEX(T,9,lang) &amp; " " &amp; "F"</f>
        <v>Group F</v>
      </c>
      <c r="K38" s="72" t="str">
        <f aca="false" t="array" ref="K38:K38">INDEX(T,10,lang)</f>
        <v>PL</v>
      </c>
      <c r="L38" s="72" t="str">
        <f aca="false" t="array" ref="L38:L38">INDEX(T,11,lang)</f>
        <v>W</v>
      </c>
      <c r="M38" s="72" t="str">
        <f aca="false" t="array" ref="M38:M38">INDEX(T,12,lang)</f>
        <v>DRAW</v>
      </c>
      <c r="N38" s="72" t="str">
        <f aca="false" t="array" ref="N38:N38">INDEX(T,13,lang)</f>
        <v>L</v>
      </c>
      <c r="O38" s="72" t="str">
        <f aca="false" t="array" ref="O38:O38">INDEX(T,14,lang)</f>
        <v>GF - GA</v>
      </c>
      <c r="P38" s="73" t="str">
        <f aca="false" t="array" ref="P38:P38">INDEX(T,15,lang)</f>
        <v>PNT</v>
      </c>
      <c r="R38" s="42" t="n">
        <f aca="false">DATE(2026,6,19)+TIME(8,0,0)+gmt_delta</f>
        <v>46192.875</v>
      </c>
      <c r="S38" s="43" t="str">
        <f aca="false">IF(OR(F38="",G38=""),"",IF(F38&gt;G38,E38&amp;"_win",IF(F38&lt;G38,E38&amp;"_lose",E38&amp;"_draw")))</f>
        <v>Turkey_win</v>
      </c>
      <c r="T38" s="43" t="str">
        <f aca="false">IF(S38="","",IF(F38&lt;G38,H38&amp;"_win",IF(F38&gt;G38,H38&amp;"_lose",H38&amp;"_draw")))</f>
        <v>Paraguay_lose</v>
      </c>
      <c r="U38" s="42" t="n">
        <f aca="false">IF(S38="",0,IF(VLOOKUP(E38,$AE$8:$AN$77,10,FALSE())=VLOOKUP(H38,$AE$8:$AN$77,10,FALSE()),1,0))</f>
        <v>0</v>
      </c>
      <c r="V38" s="42" t="n">
        <f aca="false">U38*F38</f>
        <v>0</v>
      </c>
      <c r="W38" s="42" t="n">
        <f aca="false">U38*G38</f>
        <v>0</v>
      </c>
      <c r="X38" s="42" t="n">
        <f aca="false">IF(S38="",0,IF(VLOOKUP(E38,$AE$8:$AO$77,11,FALSE())=VLOOKUP(H38,$AE$8:$AO$77,11,FALSE()),1,0))</f>
        <v>0</v>
      </c>
      <c r="Y38" s="42" t="n">
        <f aca="false">X38*F38</f>
        <v>0</v>
      </c>
      <c r="Z38" s="42" t="n">
        <f aca="false">X38*G38</f>
        <v>0</v>
      </c>
      <c r="AA38" s="42" t="n">
        <f aca="false">IF(OR(E38=my_team,H38=my_team),1,IF(INT(MATCH(E38,$AE$8:$AE$78,0)/6)=$AA$6,1,0))</f>
        <v>0</v>
      </c>
      <c r="AB38" s="42" t="n">
        <f aca="false">IF(OR(F38="",G38=""),"",IF(F38&gt;G38,1,IF(F38&lt;G38,-1,0)))</f>
        <v>1</v>
      </c>
      <c r="AD38" s="42" t="n">
        <f aca="false">COUNTIF(AR38:AR41,CONCATENATE("&gt;=",AR38))</f>
        <v>1</v>
      </c>
      <c r="AE38" s="44" t="str">
        <f aca="false">VLOOKUP("Netherlands",T,lang,FALSE())</f>
        <v>Netherlands</v>
      </c>
      <c r="AF38" s="42" t="n">
        <f aca="false">COUNTIF($S$7:$T$78,"=" &amp; AE38 &amp; "_win")</f>
        <v>3</v>
      </c>
      <c r="AG38" s="42" t="n">
        <f aca="false">COUNTIF($S$7:$T$78,"=" &amp; AE38 &amp; "_draw")</f>
        <v>0</v>
      </c>
      <c r="AH38" s="42" t="n">
        <f aca="false">COUNTIF($S$7:$T$78,"=" &amp; AE38 &amp; "_lose")</f>
        <v>0</v>
      </c>
      <c r="AI38" s="42" t="n">
        <f aca="false">SUMIF($E$7:$E$78,$AE38,$F$7:$F$78) + SUMIF($H$7:$H$78,$AE38,$G$7:$G$78)</f>
        <v>6</v>
      </c>
      <c r="AJ38" s="42" t="n">
        <f aca="false">SUMIF($E$7:$E$78,$AE38,$G$7:$G$78) + SUMIF($H$7:$H$78,$AE38,$F$7:$F$78)</f>
        <v>1</v>
      </c>
      <c r="AL38" s="42" t="n">
        <f aca="false">AI38-AJ38</f>
        <v>5</v>
      </c>
      <c r="AM38" s="42" t="n">
        <f aca="false">AL38-AL42</f>
        <v>9</v>
      </c>
      <c r="AN38" s="42" t="n">
        <f aca="false">AF38*3+AG38</f>
        <v>9</v>
      </c>
      <c r="AO38" s="42" t="n">
        <f aca="false">AN38/AN42*10+BA38</f>
        <v>9</v>
      </c>
      <c r="AP38" s="42" t="n">
        <f aca="false">AO38*10000000+BI38*100+AM38/AM42*10+AI38/AI42*1++IF(AQ38=0,ROW(),AQ38)/2000000</f>
        <v>90000009.8580218</v>
      </c>
      <c r="AQ38" s="46" t="n">
        <f aca="false">VLOOKUP(AE38,db_fifarank,2,FALSE())</f>
        <v>1757.87</v>
      </c>
      <c r="AR38" s="45" t="n">
        <f aca="false">AP38/AP42</f>
        <v>0.99999998888889</v>
      </c>
      <c r="AS38" s="45" t="str">
        <f aca="false">IF(SUM(AF38:AH41)=12,J39,"1F")</f>
        <v>Netherlands</v>
      </c>
      <c r="AT38" s="46" t="n">
        <f aca="false" t="array" ref="AT38:AT38">SUMPRODUCT(($S$7:$S$78=AE38&amp;"_win")*($U$7:$U$78))+SUMPRODUCT(($T$7:$T$78=AE38&amp;"_win")*($U$7:$U$78))</f>
        <v>0</v>
      </c>
      <c r="AU38" s="46" t="n">
        <f aca="false" t="array" ref="AU38:AU38">SUMPRODUCT(($S$7:$S$78=AE38&amp;"_draw")*($U$7:$U$78))+SUMPRODUCT(($T$7:$T$78=AE38&amp;"_draw")*($U$7:$U$78))</f>
        <v>0</v>
      </c>
      <c r="AV38" s="46" t="n">
        <f aca="false" t="array" ref="AV38:AV38">SUMPRODUCT(($E$7:$E$78=AE38)*($U$7:$U$78)*($F$7:$F$78))+SUMPRODUCT(($H$7:$H$78=AE38)*($U$7:$U$78)*($G$7:$G$78))</f>
        <v>0</v>
      </c>
      <c r="AW38" s="46" t="n">
        <f aca="false" t="array" ref="AW38:AW38">SUMPRODUCT(($E$7:$E$78=AE38)*($U$7:$U$78)*($G$7:$G$78))+SUMPRODUCT(($H$7:$H$78=AE38)*($U$7:$U$78)*($F$7:$F$78))</f>
        <v>0</v>
      </c>
      <c r="AX38" s="46" t="n">
        <f aca="false">AV38-AW38</f>
        <v>0</v>
      </c>
      <c r="AY38" s="46" t="n">
        <f aca="false">AX38-MIN(AX38:AX41)</f>
        <v>0</v>
      </c>
      <c r="AZ38" s="46" t="n">
        <f aca="false">AT38/AT42*1000+AU38/AU42*100+AY38/AY42*10+AV38/AV42</f>
        <v>0</v>
      </c>
      <c r="BA38" s="46" t="n">
        <f aca="false">AZ38/AZ42</f>
        <v>0</v>
      </c>
      <c r="BB38" s="46" t="n">
        <f aca="false" t="array" ref="BB38:BB38">SUMPRODUCT(($S$7:$S$78=AE38&amp;"_win")*($X$7:$X$78))+SUMPRODUCT(($T$7:$T$78=AE38&amp;"_win")*($X$7:$X$78))</f>
        <v>0</v>
      </c>
      <c r="BC38" s="46" t="n">
        <f aca="false" t="array" ref="BC38:BC38">SUMPRODUCT(($S$7:$S$78=AE38&amp;"_draw")*($X$7:$X$78))+SUMPRODUCT(($T$7:$T$78=AE38&amp;"_draw")*($X$7:$X$78))</f>
        <v>0</v>
      </c>
      <c r="BD38" s="46" t="n">
        <f aca="false" t="array" ref="BD38:BD38">SUMPRODUCT(($E$7:$E$78=AE38)*($X$7:$X$78)*($F$7:$F$78))+SUMPRODUCT(($H$7:$H$78=AE38)*($X$7:$X$78)*($G$7:$G$78))</f>
        <v>0</v>
      </c>
      <c r="BE38" s="46" t="n">
        <f aca="false" t="array" ref="BE38:BE38">SUMPRODUCT(($E$7:$E$78=AE38)*($X$7:$X$78)*($G$7:$G$78))+SUMPRODUCT(($H$7:$H$78=AE38)*($X$7:$X$78)*($F$7:$F$78))</f>
        <v>0</v>
      </c>
      <c r="BF38" s="46" t="n">
        <f aca="false">BD38-BE38</f>
        <v>0</v>
      </c>
      <c r="BG38" s="46" t="n">
        <f aca="false">BF38-MIN(BF38:BF41)</f>
        <v>0</v>
      </c>
      <c r="BH38" s="46" t="n">
        <f aca="false">BB38/BB42*1000+BC38/BC42*100+BG38/BG42*10+BD38/BD42</f>
        <v>0</v>
      </c>
      <c r="BI38" s="46" t="n">
        <f aca="false">BH38/BH42</f>
        <v>0</v>
      </c>
      <c r="BK38" s="82" t="n">
        <v>82</v>
      </c>
      <c r="BL38" s="83" t="str">
        <f aca="false">AS44</f>
        <v>Belgium</v>
      </c>
      <c r="BM38" s="84" t="n">
        <v>1</v>
      </c>
      <c r="BN38" s="85"/>
      <c r="BO38" s="86"/>
      <c r="BP38" s="98" t="n">
        <f aca="false">IF(OR(BM38="",BM39="",AND(BN38="",BN39&lt;&gt;""),AND(BN39="",BN38&lt;&gt;""),AND(BO38="",BO39&lt;&gt;""),AND(BO39="",BO38&lt;&gt;"")),"",BM38*1000+BN38*10+BO38)</f>
        <v>1000</v>
      </c>
      <c r="BQ38" s="47"/>
      <c r="BW38" s="47"/>
      <c r="BX38" s="47"/>
      <c r="BY38" s="74"/>
      <c r="BZ38" s="74"/>
      <c r="CA38" s="74"/>
      <c r="CB38" s="74"/>
      <c r="CC38" s="74"/>
      <c r="CD38" s="47"/>
      <c r="CE38" s="47"/>
      <c r="CF38" s="74"/>
      <c r="CG38" s="74"/>
      <c r="CH38" s="74"/>
      <c r="CI38" s="74"/>
      <c r="CJ38" s="74"/>
      <c r="CL38" s="97"/>
      <c r="CM38" s="82"/>
      <c r="CN38" s="87" t="str">
        <f aca="false">IF(CK55&gt;CK56,CG55,IF(CK55&lt;CK56,CG56,""))</f>
        <v>Argentina</v>
      </c>
      <c r="CO38" s="88" t="n">
        <v>0</v>
      </c>
      <c r="CP38" s="89"/>
      <c r="CQ38" s="90"/>
      <c r="CR38" s="48" t="n">
        <f aca="false">IF(CR37="","",CO38*1000+CP38*10+CQ38)</f>
        <v>0</v>
      </c>
    </row>
    <row r="39" customFormat="false" ht="14.25" hidden="false" customHeight="true" outlineLevel="0" collapsed="false">
      <c r="A39" s="63" t="n">
        <v>33</v>
      </c>
      <c r="B39" s="64" t="str">
        <f aca="false" t="array" ref="B39:B39">INDEX(T,18+INT(MOD(R39-1,7)),lang)</f>
        <v>Sat</v>
      </c>
      <c r="C39" s="65" t="str">
        <f aca="false" t="array" ref="C39:C39">INDEX(T,24+MONTH(R39),lang) &amp; " " &amp; DAY(R39) &amp; ", " &amp; YEAR(R39)</f>
        <v>Jun 20, 2026</v>
      </c>
      <c r="D39" s="66" t="n">
        <f aca="false">TIME(HOUR(R39),MINUTE(R39),0)</f>
        <v>0.916666666666667</v>
      </c>
      <c r="E39" s="67" t="str">
        <f aca="false">AE32</f>
        <v>Germany</v>
      </c>
      <c r="F39" s="68" t="n">
        <v>2</v>
      </c>
      <c r="G39" s="69" t="n">
        <v>1</v>
      </c>
      <c r="H39" s="70" t="str">
        <f aca="false">AE34</f>
        <v>Ivory Coast</v>
      </c>
      <c r="J39" s="75" t="str">
        <f aca="false">VLOOKUP(1,AD38:AN41,2,FALSE())</f>
        <v>Netherlands</v>
      </c>
      <c r="K39" s="76" t="n">
        <f aca="false">L39+M39+N39</f>
        <v>3</v>
      </c>
      <c r="L39" s="76" t="n">
        <f aca="false">VLOOKUP(1,AD38:AN41,3,FALSE())</f>
        <v>3</v>
      </c>
      <c r="M39" s="76" t="n">
        <f aca="false">VLOOKUP(1,AD38:AN41,4,FALSE())</f>
        <v>0</v>
      </c>
      <c r="N39" s="76" t="n">
        <f aca="false">VLOOKUP(1,AD38:AN41,5,FALSE())</f>
        <v>0</v>
      </c>
      <c r="O39" s="76" t="str">
        <f aca="false">VLOOKUP(1,AD38:AN41,6,FALSE()) &amp; " - " &amp; VLOOKUP(1,AD38:AN41,7,FALSE())</f>
        <v>6 - 1</v>
      </c>
      <c r="P39" s="77" t="n">
        <f aca="false">L39*3+M39</f>
        <v>9</v>
      </c>
      <c r="R39" s="42" t="n">
        <f aca="false">DATE(2026,6,20)+TIME(9,0,0)+gmt_delta</f>
        <v>46193.9166666667</v>
      </c>
      <c r="S39" s="43" t="str">
        <f aca="false">IF(OR(F39="",G39=""),"",IF(F39&gt;G39,E39&amp;"_win",IF(F39&lt;G39,E39&amp;"_lose",E39&amp;"_draw")))</f>
        <v>Germany_win</v>
      </c>
      <c r="T39" s="43" t="str">
        <f aca="false">IF(S39="","",IF(F39&lt;G39,H39&amp;"_win",IF(F39&gt;G39,H39&amp;"_lose",H39&amp;"_draw")))</f>
        <v>Ivory Coast_lose</v>
      </c>
      <c r="U39" s="42" t="n">
        <f aca="false">IF(S39="",0,IF(VLOOKUP(E39,$AE$8:$AN$77,10,FALSE())=VLOOKUP(H39,$AE$8:$AN$77,10,FALSE()),1,0))</f>
        <v>0</v>
      </c>
      <c r="V39" s="42" t="n">
        <f aca="false">U39*F39</f>
        <v>0</v>
      </c>
      <c r="W39" s="42" t="n">
        <f aca="false">U39*G39</f>
        <v>0</v>
      </c>
      <c r="X39" s="42" t="n">
        <f aca="false">IF(S39="",0,IF(VLOOKUP(E39,$AE$8:$AO$77,11,FALSE())=VLOOKUP(H39,$AE$8:$AO$77,11,FALSE()),1,0))</f>
        <v>0</v>
      </c>
      <c r="Y39" s="42" t="n">
        <f aca="false">X39*F39</f>
        <v>0</v>
      </c>
      <c r="Z39" s="42" t="n">
        <f aca="false">X39*G39</f>
        <v>0</v>
      </c>
      <c r="AA39" s="42" t="n">
        <f aca="false">IF(OR(E39=my_team,H39=my_team),1,IF(INT(MATCH(E39,$AE$8:$AE$78,0)/6)=$AA$6,1,0))</f>
        <v>0</v>
      </c>
      <c r="AB39" s="42" t="n">
        <f aca="false">IF(OR(F39="",G39=""),"",IF(F39&gt;G39,1,IF(F39&lt;G39,-1,0)))</f>
        <v>1</v>
      </c>
      <c r="AD39" s="42" t="n">
        <f aca="false">COUNTIF(AR38:AR41,CONCATENATE("&gt;=",AR39))</f>
        <v>2</v>
      </c>
      <c r="AE39" s="44" t="str">
        <f aca="false">VLOOKUP("Japan",T,lang,FALSE())</f>
        <v>Japan</v>
      </c>
      <c r="AF39" s="42" t="n">
        <f aca="false">COUNTIF($S$7:$T$78,"=" &amp; AE39 &amp; "_win")</f>
        <v>2</v>
      </c>
      <c r="AG39" s="42" t="n">
        <f aca="false">COUNTIF($S$7:$T$78,"=" &amp; AE39 &amp; "_draw")</f>
        <v>0</v>
      </c>
      <c r="AH39" s="42" t="n">
        <f aca="false">COUNTIF($S$7:$T$78,"=" &amp; AE39 &amp; "_lose")</f>
        <v>1</v>
      </c>
      <c r="AI39" s="42" t="n">
        <f aca="false">SUMIF($E$7:$E$78,$AE39,$F$7:$F$78) + SUMIF($H$7:$H$78,$AE39,$G$7:$G$78)</f>
        <v>5</v>
      </c>
      <c r="AJ39" s="42" t="n">
        <f aca="false">SUMIF($E$7:$E$78,$AE39,$G$7:$G$78) + SUMIF($H$7:$H$78,$AE39,$F$7:$F$78)</f>
        <v>4</v>
      </c>
      <c r="AL39" s="42" t="n">
        <f aca="false">AI39-AJ39</f>
        <v>1</v>
      </c>
      <c r="AM39" s="42" t="n">
        <f aca="false">AL39-AL42</f>
        <v>5</v>
      </c>
      <c r="AN39" s="42" t="n">
        <f aca="false">AF39*3+AG39</f>
        <v>6</v>
      </c>
      <c r="AO39" s="42" t="n">
        <f aca="false">AN39/AN42*10+BA39</f>
        <v>6</v>
      </c>
      <c r="AP39" s="42" t="n">
        <f aca="false">AO39*10000000+BI39*100+AM39/AM42*10+AI39/AI42*1++IF(AQ39=0,ROW(),AQ39)/2000000</f>
        <v>60000005.7151159</v>
      </c>
      <c r="AQ39" s="46" t="n">
        <f aca="false">VLOOKUP(AE39,db_fifarank,2,FALSE())</f>
        <v>1660.43</v>
      </c>
      <c r="AR39" s="45" t="n">
        <f aca="false">AP39/AP42</f>
        <v>0.666666649738166</v>
      </c>
      <c r="AS39" s="45" t="str">
        <f aca="false">IF(SUM(AF38:AH41)=12,J40,"2F")</f>
        <v>Japan</v>
      </c>
      <c r="AT39" s="46" t="n">
        <f aca="false" t="array" ref="AT39:AT39">SUMPRODUCT(($S$7:$S$78=AE39&amp;"_win")*($U$7:$U$78))+SUMPRODUCT(($T$7:$T$78=AE39&amp;"_win")*($U$7:$U$78))</f>
        <v>0</v>
      </c>
      <c r="AU39" s="46" t="n">
        <f aca="false" t="array" ref="AU39:AU39">SUMPRODUCT(($S$7:$S$78=AE39&amp;"_draw")*($U$7:$U$78))+SUMPRODUCT(($T$7:$T$78=AE39&amp;"_draw")*($U$7:$U$78))</f>
        <v>0</v>
      </c>
      <c r="AV39" s="46" t="n">
        <f aca="false" t="array" ref="AV39:AV39">SUMPRODUCT(($E$7:$E$78=AE39)*($U$7:$U$78)*($F$7:$F$78))+SUMPRODUCT(($H$7:$H$78=AE39)*($U$7:$U$78)*($G$7:$G$78))</f>
        <v>0</v>
      </c>
      <c r="AW39" s="46" t="n">
        <f aca="false" t="array" ref="AW39:AW39">SUMPRODUCT(($E$7:$E$78=AE39)*($U$7:$U$78)*($G$7:$G$78))+SUMPRODUCT(($H$7:$H$78=AE39)*($U$7:$U$78)*($F$7:$F$78))</f>
        <v>0</v>
      </c>
      <c r="AX39" s="46" t="n">
        <f aca="false">AV39-AW39</f>
        <v>0</v>
      </c>
      <c r="AY39" s="46" t="n">
        <f aca="false">AX39-MIN(AX38:AX41)</f>
        <v>0</v>
      </c>
      <c r="AZ39" s="46" t="n">
        <f aca="false">AT39/AT42*1000+AU39/AU42*100+AY39/AY42*10+AV39/AV42</f>
        <v>0</v>
      </c>
      <c r="BA39" s="46" t="n">
        <f aca="false">AZ39/AZ42</f>
        <v>0</v>
      </c>
      <c r="BB39" s="46" t="n">
        <f aca="false" t="array" ref="BB39:BB39">SUMPRODUCT(($S$7:$S$78=AE39&amp;"_win")*($X$7:$X$78))+SUMPRODUCT(($T$7:$T$78=AE39&amp;"_win")*($X$7:$X$78))</f>
        <v>0</v>
      </c>
      <c r="BC39" s="46" t="n">
        <f aca="false" t="array" ref="BC39:BC39">SUMPRODUCT(($S$7:$S$78=AE39&amp;"_draw")*($X$7:$X$78))+SUMPRODUCT(($T$7:$T$78=AE39&amp;"_draw")*($X$7:$X$78))</f>
        <v>0</v>
      </c>
      <c r="BD39" s="46" t="n">
        <f aca="false" t="array" ref="BD39:BD39">SUMPRODUCT(($E$7:$E$78=AE39)*($X$7:$X$78)*($F$7:$F$78))+SUMPRODUCT(($H$7:$H$78=AE39)*($X$7:$X$78)*($G$7:$G$78))</f>
        <v>0</v>
      </c>
      <c r="BE39" s="46" t="n">
        <f aca="false" t="array" ref="BE39:BE39">SUMPRODUCT(($E$7:$E$78=AE39)*($X$7:$X$78)*($G$7:$G$78))+SUMPRODUCT(($H$7:$H$78=AE39)*($X$7:$X$78)*($F$7:$F$78))</f>
        <v>0</v>
      </c>
      <c r="BF39" s="46" t="n">
        <f aca="false">BD39-BE39</f>
        <v>0</v>
      </c>
      <c r="BG39" s="46" t="n">
        <f aca="false">BF39-MIN(BF38:BF41)</f>
        <v>0</v>
      </c>
      <c r="BH39" s="46" t="n">
        <f aca="false">BB39/BB42*1000+BC39/BC42*100+BG39/BG42*10+BD39/BD42</f>
        <v>0</v>
      </c>
      <c r="BI39" s="46" t="n">
        <f aca="false">BH39/BH42</f>
        <v>0</v>
      </c>
      <c r="BK39" s="82"/>
      <c r="BL39" s="87" t="str">
        <f aca="false">IF(group_round_completed,VLOOKUP('3rd places'!H3,AK80:AS91,9,FALSE()),"3rd Group A/E/H/I/J")</f>
        <v>Czech Republic</v>
      </c>
      <c r="BM39" s="88" t="n">
        <v>0</v>
      </c>
      <c r="BN39" s="89"/>
      <c r="BO39" s="90"/>
      <c r="BP39" s="47" t="n">
        <f aca="false">IF(BP38="","",BM39*1000+BN39*10+BO39)</f>
        <v>0</v>
      </c>
      <c r="BQ39" s="47"/>
      <c r="BY39" s="74"/>
      <c r="BZ39" s="74"/>
      <c r="CA39" s="74"/>
      <c r="CB39" s="74"/>
      <c r="CC39" s="74"/>
      <c r="CD39" s="47"/>
      <c r="CE39" s="47"/>
      <c r="CF39" s="74"/>
      <c r="CG39" s="74"/>
      <c r="CH39" s="74"/>
      <c r="CI39" s="74"/>
      <c r="CJ39" s="74"/>
      <c r="CK39" s="96"/>
      <c r="CL39" s="47"/>
      <c r="CM39" s="74"/>
      <c r="CN39" s="74"/>
      <c r="CO39" s="74"/>
      <c r="CP39" s="74"/>
      <c r="CQ39" s="74"/>
    </row>
    <row r="40" customFormat="false" ht="14.25" hidden="false" customHeight="true" outlineLevel="0" collapsed="false">
      <c r="A40" s="63" t="n">
        <v>34</v>
      </c>
      <c r="B40" s="64" t="str">
        <f aca="false" t="array" ref="B40:B40">INDEX(T,18+INT(MOD(R40-1,7)),lang)</f>
        <v>Sun</v>
      </c>
      <c r="C40" s="65" t="str">
        <f aca="false" t="array" ref="C40:C40">INDEX(T,24+MONTH(R40),lang) &amp; " " &amp; DAY(R40) &amp; ", " &amp; YEAR(R40)</f>
        <v>Jun 21, 2026</v>
      </c>
      <c r="D40" s="66" t="n">
        <f aca="false">TIME(HOUR(R40),MINUTE(R40),0)</f>
        <v>0.0833333333333333</v>
      </c>
      <c r="E40" s="67" t="str">
        <f aca="false">AE35</f>
        <v>Ecuador</v>
      </c>
      <c r="F40" s="68" t="n">
        <v>2</v>
      </c>
      <c r="G40" s="69" t="n">
        <v>0</v>
      </c>
      <c r="H40" s="70" t="str">
        <f aca="false">AE33</f>
        <v>Curaçao</v>
      </c>
      <c r="J40" s="79" t="str">
        <f aca="false">VLOOKUP(2,AD38:AN41,2,FALSE())</f>
        <v>Japan</v>
      </c>
      <c r="K40" s="80" t="n">
        <f aca="false">L40+M40+N40</f>
        <v>3</v>
      </c>
      <c r="L40" s="80" t="n">
        <f aca="false">VLOOKUP(2,AD38:AN41,3,FALSE())</f>
        <v>2</v>
      </c>
      <c r="M40" s="80" t="n">
        <f aca="false">VLOOKUP(2,AD38:AN41,4,FALSE())</f>
        <v>0</v>
      </c>
      <c r="N40" s="80" t="n">
        <f aca="false">VLOOKUP(2,AD38:AN41,5,FALSE())</f>
        <v>1</v>
      </c>
      <c r="O40" s="80" t="str">
        <f aca="false">VLOOKUP(2,AD38:AN41,6,FALSE()) &amp; " - " &amp; VLOOKUP(2,AD38:AN41,7,FALSE())</f>
        <v>5 - 4</v>
      </c>
      <c r="P40" s="81" t="n">
        <f aca="false">L40*3+M40</f>
        <v>6</v>
      </c>
      <c r="R40" s="42" t="n">
        <f aca="false">DATE(2026,6,20)+TIME(13,0,0)+gmt_delta</f>
        <v>46194.0833333333</v>
      </c>
      <c r="S40" s="43" t="str">
        <f aca="false">IF(OR(F40="",G40=""),"",IF(F40&gt;G40,E40&amp;"_win",IF(F40&lt;G40,E40&amp;"_lose",E40&amp;"_draw")))</f>
        <v>Ecuador_win</v>
      </c>
      <c r="T40" s="43" t="str">
        <f aca="false">IF(S40="","",IF(F40&lt;G40,H40&amp;"_win",IF(F40&gt;G40,H40&amp;"_lose",H40&amp;"_draw")))</f>
        <v>Curaçao_lose</v>
      </c>
      <c r="U40" s="42" t="n">
        <f aca="false">IF(S40="",0,IF(VLOOKUP(E40,$AE$8:$AN$77,10,FALSE())=VLOOKUP(H40,$AE$8:$AN$77,10,FALSE()),1,0))</f>
        <v>0</v>
      </c>
      <c r="V40" s="42" t="n">
        <f aca="false">U40*F40</f>
        <v>0</v>
      </c>
      <c r="W40" s="42" t="n">
        <f aca="false">U40*G40</f>
        <v>0</v>
      </c>
      <c r="X40" s="42" t="n">
        <f aca="false">IF(S40="",0,IF(VLOOKUP(E40,$AE$8:$AO$77,11,FALSE())=VLOOKUP(H40,$AE$8:$AO$77,11,FALSE()),1,0))</f>
        <v>0</v>
      </c>
      <c r="Y40" s="42" t="n">
        <f aca="false">X40*F40</f>
        <v>0</v>
      </c>
      <c r="Z40" s="42" t="n">
        <f aca="false">X40*G40</f>
        <v>0</v>
      </c>
      <c r="AA40" s="42" t="n">
        <f aca="false">IF(OR(E40=my_team,H40=my_team),1,IF(INT(MATCH(E40,$AE$8:$AE$78,0)/6)=$AA$6,1,0))</f>
        <v>0</v>
      </c>
      <c r="AB40" s="42" t="n">
        <f aca="false">IF(OR(F40="",G40=""),"",IF(F40&gt;G40,1,IF(F40&lt;G40,-1,0)))</f>
        <v>1</v>
      </c>
      <c r="AD40" s="42" t="n">
        <f aca="false">COUNTIF(AR38:AR41,CONCATENATE("&gt;=",AR40))</f>
        <v>3</v>
      </c>
      <c r="AE40" s="44" t="str">
        <f aca="false">VLOOKUP("Sweden",T,lang,FALSE())</f>
        <v>Sweden</v>
      </c>
      <c r="AF40" s="42" t="n">
        <f aca="false">COUNTIF($S$7:$T$78,"=" &amp; AE40 &amp; "_win")</f>
        <v>1</v>
      </c>
      <c r="AG40" s="42" t="n">
        <f aca="false">COUNTIF($S$7:$T$78,"=" &amp; AE40 &amp; "_draw")</f>
        <v>0</v>
      </c>
      <c r="AH40" s="42" t="n">
        <f aca="false">COUNTIF($S$7:$T$78,"=" &amp; AE40 &amp; "_lose")</f>
        <v>2</v>
      </c>
      <c r="AI40" s="42" t="n">
        <f aca="false">SUMIF($E$7:$E$78,$AE40,$F$7:$F$78) + SUMIF($H$7:$H$78,$AE40,$G$7:$G$78)</f>
        <v>2</v>
      </c>
      <c r="AJ40" s="42" t="n">
        <f aca="false">SUMIF($E$7:$E$78,$AE40,$G$7:$G$78) + SUMIF($H$7:$H$78,$AE40,$F$7:$F$78)</f>
        <v>4</v>
      </c>
      <c r="AL40" s="42" t="n">
        <f aca="false">AI40-AJ40</f>
        <v>-2</v>
      </c>
      <c r="AM40" s="42" t="n">
        <f aca="false">AL40-AL42</f>
        <v>2</v>
      </c>
      <c r="AN40" s="42" t="n">
        <f aca="false">AF40*3+AG40</f>
        <v>3</v>
      </c>
      <c r="AO40" s="42" t="n">
        <f aca="false">AN40/AN42*10+BA40</f>
        <v>3</v>
      </c>
      <c r="AP40" s="42" t="n">
        <f aca="false">AO40*10000000+BI40*100+AM40/AM42*10+AI40/AI42*1++IF(AQ40=0,ROW(),AQ40)/2000000</f>
        <v>30000002.2864717</v>
      </c>
      <c r="AQ40" s="46" t="n">
        <f aca="false">VLOOKUP(AE40,db_fifarank,2,FALSE())</f>
        <v>1514.77</v>
      </c>
      <c r="AR40" s="45" t="n">
        <f aca="false">AP40/AP42</f>
        <v>0.33333331852368</v>
      </c>
      <c r="AT40" s="46" t="n">
        <f aca="false" t="array" ref="AT40:AT40">SUMPRODUCT(($S$7:$S$78=AE40&amp;"_win")*($U$7:$U$78))+SUMPRODUCT(($T$7:$T$78=AE40&amp;"_win")*($U$7:$U$78))</f>
        <v>0</v>
      </c>
      <c r="AU40" s="46" t="n">
        <f aca="false" t="array" ref="AU40:AU40">SUMPRODUCT(($S$7:$S$78=AE40&amp;"_draw")*($U$7:$U$78))+SUMPRODUCT(($T$7:$T$78=AE40&amp;"_draw")*($U$7:$U$78))</f>
        <v>0</v>
      </c>
      <c r="AV40" s="46" t="n">
        <f aca="false" t="array" ref="AV40:AV40">SUMPRODUCT(($E$7:$E$78=AE40)*($U$7:$U$78)*($F$7:$F$78))+SUMPRODUCT(($H$7:$H$78=AE40)*($U$7:$U$78)*($G$7:$G$78))</f>
        <v>0</v>
      </c>
      <c r="AW40" s="46" t="n">
        <f aca="false" t="array" ref="AW40:AW40">SUMPRODUCT(($E$7:$E$78=AE40)*($U$7:$U$78)*($G$7:$G$78))+SUMPRODUCT(($H$7:$H$78=AE40)*($U$7:$U$78)*($F$7:$F$78))</f>
        <v>0</v>
      </c>
      <c r="AX40" s="46" t="n">
        <f aca="false">AV40-AW40</f>
        <v>0</v>
      </c>
      <c r="AY40" s="46" t="n">
        <f aca="false">AX40-MIN(AX38:AX41)</f>
        <v>0</v>
      </c>
      <c r="AZ40" s="46" t="n">
        <f aca="false">AT40/AT42*1000+AU40/AU42*100+AY40/AY42*10+AV40/AV42</f>
        <v>0</v>
      </c>
      <c r="BA40" s="46" t="n">
        <f aca="false">AZ40/AZ42</f>
        <v>0</v>
      </c>
      <c r="BB40" s="46" t="n">
        <f aca="false" t="array" ref="BB40:BB40">SUMPRODUCT(($S$7:$S$78=AE40&amp;"_win")*($X$7:$X$78))+SUMPRODUCT(($T$7:$T$78=AE40&amp;"_win")*($X$7:$X$78))</f>
        <v>0</v>
      </c>
      <c r="BC40" s="46" t="n">
        <f aca="false" t="array" ref="BC40:BC40">SUMPRODUCT(($S$7:$S$78=AE40&amp;"_draw")*($X$7:$X$78))+SUMPRODUCT(($T$7:$T$78=AE40&amp;"_draw")*($X$7:$X$78))</f>
        <v>0</v>
      </c>
      <c r="BD40" s="46" t="n">
        <f aca="false" t="array" ref="BD40:BD40">SUMPRODUCT(($E$7:$E$78=AE40)*($X$7:$X$78)*($F$7:$F$78))+SUMPRODUCT(($H$7:$H$78=AE40)*($X$7:$X$78)*($G$7:$G$78))</f>
        <v>0</v>
      </c>
      <c r="BE40" s="46" t="n">
        <f aca="false" t="array" ref="BE40:BE40">SUMPRODUCT(($E$7:$E$78=AE40)*($X$7:$X$78)*($G$7:$G$78))+SUMPRODUCT(($H$7:$H$78=AE40)*($X$7:$X$78)*($F$7:$F$78))</f>
        <v>0</v>
      </c>
      <c r="BF40" s="46" t="n">
        <f aca="false">BD40-BE40</f>
        <v>0</v>
      </c>
      <c r="BG40" s="46" t="n">
        <f aca="false">BF40-MIN(BF38:BF41)</f>
        <v>0</v>
      </c>
      <c r="BH40" s="46" t="n">
        <f aca="false">BB40/BB42*1000+BC40/BC42*100+BG40/BG42*10+BD40/BD42</f>
        <v>0</v>
      </c>
      <c r="BI40" s="46" t="n">
        <f aca="false">BH40/BH42</f>
        <v>0</v>
      </c>
      <c r="CK40" s="96"/>
      <c r="CL40" s="47"/>
    </row>
    <row r="41" customFormat="false" ht="14.25" hidden="false" customHeight="true" outlineLevel="0" collapsed="false">
      <c r="A41" s="63" t="n">
        <v>35</v>
      </c>
      <c r="B41" s="64" t="str">
        <f aca="false" t="array" ref="B41:B41">INDEX(T,18+INT(MOD(R41-1,7)),lang)</f>
        <v>Sat</v>
      </c>
      <c r="C41" s="65" t="str">
        <f aca="false" t="array" ref="C41:C41">INDEX(T,24+MONTH(R41),lang) &amp; " " &amp; DAY(R41) &amp; ", " &amp; YEAR(R41)</f>
        <v>Jun 20, 2026</v>
      </c>
      <c r="D41" s="66" t="n">
        <f aca="false">TIME(HOUR(R41),MINUTE(R41),0)</f>
        <v>0.791666666666667</v>
      </c>
      <c r="E41" s="67" t="str">
        <f aca="false">AE38</f>
        <v>Netherlands</v>
      </c>
      <c r="F41" s="68" t="n">
        <v>2</v>
      </c>
      <c r="G41" s="69" t="n">
        <v>0</v>
      </c>
      <c r="H41" s="70" t="str">
        <f aca="false">AE40</f>
        <v>Sweden</v>
      </c>
      <c r="J41" s="79" t="str">
        <f aca="false">VLOOKUP(3,AD38:AN41,2,FALSE())</f>
        <v>Sweden</v>
      </c>
      <c r="K41" s="80" t="n">
        <f aca="false">L41+M41+N41</f>
        <v>3</v>
      </c>
      <c r="L41" s="80" t="n">
        <f aca="false">VLOOKUP(3,AD38:AN41,3,FALSE())</f>
        <v>1</v>
      </c>
      <c r="M41" s="80" t="n">
        <f aca="false">VLOOKUP(3,AD38:AN41,4,FALSE())</f>
        <v>0</v>
      </c>
      <c r="N41" s="80" t="n">
        <f aca="false">VLOOKUP(3,AD38:AN41,5,FALSE())</f>
        <v>2</v>
      </c>
      <c r="O41" s="80" t="str">
        <f aca="false">VLOOKUP(3,AD38:AN41,6,FALSE()) &amp; " - " &amp; VLOOKUP(3,AD38:AN41,7,FALSE())</f>
        <v>2 - 4</v>
      </c>
      <c r="P41" s="81" t="n">
        <f aca="false">L41*3+M41</f>
        <v>3</v>
      </c>
      <c r="R41" s="42" t="n">
        <f aca="false">DATE(2026,6,20)+TIME(6,0,0)+gmt_delta</f>
        <v>46193.7916666667</v>
      </c>
      <c r="S41" s="43" t="str">
        <f aca="false">IF(OR(F41="",G41=""),"",IF(F41&gt;G41,E41&amp;"_win",IF(F41&lt;G41,E41&amp;"_lose",E41&amp;"_draw")))</f>
        <v>Netherlands_win</v>
      </c>
      <c r="T41" s="43" t="str">
        <f aca="false">IF(S41="","",IF(F41&lt;G41,H41&amp;"_win",IF(F41&gt;G41,H41&amp;"_lose",H41&amp;"_draw")))</f>
        <v>Sweden_lose</v>
      </c>
      <c r="U41" s="42" t="n">
        <f aca="false">IF(S41="",0,IF(VLOOKUP(E41,$AE$8:$AN$77,10,FALSE())=VLOOKUP(H41,$AE$8:$AN$77,10,FALSE()),1,0))</f>
        <v>0</v>
      </c>
      <c r="V41" s="42" t="n">
        <f aca="false">U41*F41</f>
        <v>0</v>
      </c>
      <c r="W41" s="42" t="n">
        <f aca="false">U41*G41</f>
        <v>0</v>
      </c>
      <c r="X41" s="42" t="n">
        <f aca="false">IF(S41="",0,IF(VLOOKUP(E41,$AE$8:$AO$77,11,FALSE())=VLOOKUP(H41,$AE$8:$AO$77,11,FALSE()),1,0))</f>
        <v>0</v>
      </c>
      <c r="Y41" s="42" t="n">
        <f aca="false">X41*F41</f>
        <v>0</v>
      </c>
      <c r="Z41" s="42" t="n">
        <f aca="false">X41*G41</f>
        <v>0</v>
      </c>
      <c r="AA41" s="42" t="n">
        <f aca="false">IF(OR(E41=my_team,H41=my_team),1,IF(INT(MATCH(E41,$AE$8:$AE$78,0)/6)=$AA$6,1,0))</f>
        <v>0</v>
      </c>
      <c r="AB41" s="42" t="n">
        <f aca="false">IF(OR(F41="",G41=""),"",IF(F41&gt;G41,1,IF(F41&lt;G41,-1,0)))</f>
        <v>1</v>
      </c>
      <c r="AD41" s="42" t="n">
        <f aca="false">COUNTIF(AR38:AR41,CONCATENATE("&gt;=",AR41))</f>
        <v>4</v>
      </c>
      <c r="AE41" s="44" t="str">
        <f aca="false">VLOOKUP("Tunisia",T,lang,FALSE())</f>
        <v>Tunisia</v>
      </c>
      <c r="AF41" s="42" t="n">
        <f aca="false">COUNTIF($S$7:$T$78,"=" &amp; AE41 &amp; "_win")</f>
        <v>0</v>
      </c>
      <c r="AG41" s="42" t="n">
        <f aca="false">COUNTIF($S$7:$T$78,"=" &amp; AE41 &amp; "_draw")</f>
        <v>0</v>
      </c>
      <c r="AH41" s="42" t="n">
        <f aca="false">COUNTIF($S$7:$T$78,"=" &amp; AE41 &amp; "_lose")</f>
        <v>3</v>
      </c>
      <c r="AI41" s="42" t="n">
        <f aca="false">SUMIF($E$7:$E$78,$AE41,$F$7:$F$78) + SUMIF($H$7:$H$78,$AE41,$G$7:$G$78)</f>
        <v>1</v>
      </c>
      <c r="AJ41" s="42" t="n">
        <f aca="false">SUMIF($E$7:$E$78,$AE41,$G$7:$G$78) + SUMIF($H$7:$H$78,$AE41,$F$7:$F$78)</f>
        <v>5</v>
      </c>
      <c r="AL41" s="42" t="n">
        <f aca="false">AI41-AJ41</f>
        <v>-4</v>
      </c>
      <c r="AM41" s="42" t="n">
        <f aca="false">AL41-AL42</f>
        <v>0</v>
      </c>
      <c r="AN41" s="42" t="n">
        <f aca="false">AF41*3+AG41</f>
        <v>0</v>
      </c>
      <c r="AO41" s="42" t="n">
        <f aca="false">AN41/AN42*10+BA41</f>
        <v>0</v>
      </c>
      <c r="AP41" s="42" t="n">
        <f aca="false">AO41*10000000+BI41*100+AM41/AM42*10+AI41/AI42*1++IF(AQ41=0,ROW(),AQ41)/2000000</f>
        <v>0.143598667857143</v>
      </c>
      <c r="AQ41" s="46" t="n">
        <f aca="false">VLOOKUP(AE41,db_fifarank,2,FALSE())</f>
        <v>1483.05</v>
      </c>
      <c r="AR41" s="45" t="n">
        <f aca="false">AP41/AP42</f>
        <v>1.59554056147476E-009</v>
      </c>
      <c r="AT41" s="46" t="n">
        <f aca="false" t="array" ref="AT41:AT41">SUMPRODUCT(($S$7:$S$78=AE41&amp;"_win")*($U$7:$U$78))+SUMPRODUCT(($T$7:$T$78=AE41&amp;"_win")*($U$7:$U$78))</f>
        <v>0</v>
      </c>
      <c r="AU41" s="46" t="n">
        <f aca="false" t="array" ref="AU41:AU41">SUMPRODUCT(($S$7:$S$78=AE41&amp;"_draw")*($U$7:$U$78))+SUMPRODUCT(($T$7:$T$78=AE41&amp;"_draw")*($U$7:$U$78))</f>
        <v>0</v>
      </c>
      <c r="AV41" s="46" t="n">
        <f aca="false" t="array" ref="AV41:AV41">SUMPRODUCT(($E$7:$E$78=AE41)*($U$7:$U$78)*($F$7:$F$78))+SUMPRODUCT(($H$7:$H$78=AE41)*($U$7:$U$78)*($G$7:$G$78))</f>
        <v>0</v>
      </c>
      <c r="AW41" s="46" t="n">
        <f aca="false" t="array" ref="AW41:AW41">SUMPRODUCT(($E$7:$E$78=AE41)*($U$7:$U$78)*($G$7:$G$78))+SUMPRODUCT(($H$7:$H$78=AE41)*($U$7:$U$78)*($F$7:$F$78))</f>
        <v>0</v>
      </c>
      <c r="AX41" s="46" t="n">
        <f aca="false">AV41-AW41</f>
        <v>0</v>
      </c>
      <c r="AY41" s="46" t="n">
        <f aca="false">AX41-MIN(AX38:AX41)</f>
        <v>0</v>
      </c>
      <c r="AZ41" s="46" t="n">
        <f aca="false">AT41/AT42*1000+AU41/AU42*100+AY41/AY42*10+AV41/AV42</f>
        <v>0</v>
      </c>
      <c r="BA41" s="46" t="n">
        <f aca="false">AZ41/AZ42</f>
        <v>0</v>
      </c>
      <c r="BB41" s="46" t="n">
        <f aca="false" t="array" ref="BB41:BB41">SUMPRODUCT(($S$7:$S$78=AE41&amp;"_win")*($X$7:$X$78))+SUMPRODUCT(($T$7:$T$78=AE41&amp;"_win")*($X$7:$X$78))</f>
        <v>0</v>
      </c>
      <c r="BC41" s="46" t="n">
        <f aca="false" t="array" ref="BC41:BC41">SUMPRODUCT(($S$7:$S$78=AE41&amp;"_draw")*($X$7:$X$78))+SUMPRODUCT(($T$7:$T$78=AE41&amp;"_draw")*($X$7:$X$78))</f>
        <v>0</v>
      </c>
      <c r="BD41" s="46" t="n">
        <f aca="false" t="array" ref="BD41:BD41">SUMPRODUCT(($E$7:$E$78=AE41)*($X$7:$X$78)*($F$7:$F$78))+SUMPRODUCT(($H$7:$H$78=AE41)*($X$7:$X$78)*($G$7:$G$78))</f>
        <v>0</v>
      </c>
      <c r="BE41" s="46" t="n">
        <f aca="false" t="array" ref="BE41:BE41">SUMPRODUCT(($E$7:$E$78=AE41)*($X$7:$X$78)*($G$7:$G$78))+SUMPRODUCT(($H$7:$H$78=AE41)*($X$7:$X$78)*($F$7:$F$78))</f>
        <v>0</v>
      </c>
      <c r="BF41" s="46" t="n">
        <f aca="false">BD41-BE41</f>
        <v>0</v>
      </c>
      <c r="BG41" s="46" t="n">
        <f aca="false">BF41-MIN(BF38:BF41)</f>
        <v>0</v>
      </c>
      <c r="BH41" s="46" t="n">
        <f aca="false">BB41/BB42*1000+BC41/BC42*100+BG41/BG42*10+BD41/BD42</f>
        <v>0</v>
      </c>
      <c r="BI41" s="46" t="n">
        <f aca="false">BH41/BH42</f>
        <v>0</v>
      </c>
      <c r="BK41" s="74" t="str">
        <f aca="false" t="array" ref="BK41: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74"/>
      <c r="BM41" s="74"/>
      <c r="BN41" s="74"/>
      <c r="BO41" s="101"/>
      <c r="BP41" s="47" t="n">
        <f aca="false">DATE(2026,6,29)+TIME(6,0,0)+gmt_delta</f>
        <v>46202.7916666667</v>
      </c>
      <c r="BQ41" s="47"/>
      <c r="BR41" s="74"/>
      <c r="BS41" s="74"/>
      <c r="BT41" s="74"/>
      <c r="BU41" s="74"/>
      <c r="BV41" s="74"/>
      <c r="BW41" s="47"/>
      <c r="CK41" s="96"/>
      <c r="CL41" s="47"/>
    </row>
    <row r="42" customFormat="false" ht="14.25" hidden="false" customHeight="true" outlineLevel="0" collapsed="false">
      <c r="A42" s="63" t="n">
        <v>36</v>
      </c>
      <c r="B42" s="64" t="str">
        <f aca="false" t="array" ref="B42:B42">INDEX(T,18+INT(MOD(R42-1,7)),lang)</f>
        <v>Sun</v>
      </c>
      <c r="C42" s="65" t="str">
        <f aca="false" t="array" ref="C42:C42">INDEX(T,24+MONTH(R42),lang) &amp; " " &amp; DAY(R42) &amp; ", " &amp; YEAR(R42)</f>
        <v>Jun 21, 2026</v>
      </c>
      <c r="D42" s="66" t="n">
        <f aca="false">TIME(HOUR(R42),MINUTE(R42),0)</f>
        <v>0.25</v>
      </c>
      <c r="E42" s="67" t="str">
        <f aca="false">AE41</f>
        <v>Tunisia</v>
      </c>
      <c r="F42" s="68" t="n">
        <v>1</v>
      </c>
      <c r="G42" s="69" t="n">
        <v>2</v>
      </c>
      <c r="H42" s="70" t="str">
        <f aca="false">AE39</f>
        <v>Japan</v>
      </c>
      <c r="J42" s="93" t="str">
        <f aca="false">VLOOKUP(4,AD38:AN41,2,FALSE())</f>
        <v>Tunisia</v>
      </c>
      <c r="K42" s="94" t="n">
        <f aca="false">L42+M42+N42</f>
        <v>3</v>
      </c>
      <c r="L42" s="94" t="n">
        <f aca="false">VLOOKUP(4,AD38:AN41,3,FALSE())</f>
        <v>0</v>
      </c>
      <c r="M42" s="94" t="n">
        <f aca="false">VLOOKUP(4,AD38:AN41,4,FALSE())</f>
        <v>0</v>
      </c>
      <c r="N42" s="94" t="n">
        <f aca="false">VLOOKUP(4,AD38:AN41,5,FALSE())</f>
        <v>3</v>
      </c>
      <c r="O42" s="94" t="str">
        <f aca="false">VLOOKUP(4,AD38:AN41,6,FALSE()) &amp; " - " &amp; VLOOKUP(4,AD38:AN41,7,FALSE())</f>
        <v>1 - 5</v>
      </c>
      <c r="P42" s="95" t="n">
        <f aca="false">L42*3+M42</f>
        <v>0</v>
      </c>
      <c r="R42" s="42" t="n">
        <f aca="false">DATE(2026,6,20)+TIME(17,0,0)+gmt_delta</f>
        <v>46194.25</v>
      </c>
      <c r="S42" s="43" t="str">
        <f aca="false">IF(OR(F42="",G42=""),"",IF(F42&gt;G42,E42&amp;"_win",IF(F42&lt;G42,E42&amp;"_lose",E42&amp;"_draw")))</f>
        <v>Tunisia_lose</v>
      </c>
      <c r="T42" s="43" t="str">
        <f aca="false">IF(S42="","",IF(F42&lt;G42,H42&amp;"_win",IF(F42&gt;G42,H42&amp;"_lose",H42&amp;"_draw")))</f>
        <v>Japan_win</v>
      </c>
      <c r="U42" s="42" t="n">
        <f aca="false">IF(S42="",0,IF(VLOOKUP(E42,$AE$8:$AN$77,10,FALSE())=VLOOKUP(H42,$AE$8:$AN$77,10,FALSE()),1,0))</f>
        <v>0</v>
      </c>
      <c r="V42" s="42" t="n">
        <f aca="false">U42*F42</f>
        <v>0</v>
      </c>
      <c r="W42" s="42" t="n">
        <f aca="false">U42*G42</f>
        <v>0</v>
      </c>
      <c r="X42" s="42" t="n">
        <f aca="false">IF(S42="",0,IF(VLOOKUP(E42,$AE$8:$AO$77,11,FALSE())=VLOOKUP(H42,$AE$8:$AO$77,11,FALSE()),1,0))</f>
        <v>0</v>
      </c>
      <c r="Y42" s="42" t="n">
        <f aca="false">X42*F42</f>
        <v>0</v>
      </c>
      <c r="Z42" s="42" t="n">
        <f aca="false">X42*G42</f>
        <v>0</v>
      </c>
      <c r="AA42" s="42" t="n">
        <f aca="false">IF(OR(E42=my_team,H42=my_team),1,IF(INT(MATCH(E42,$AE$8:$AE$78,0)/6)=$AA$6,1,0))</f>
        <v>0</v>
      </c>
      <c r="AB42" s="42" t="n">
        <f aca="false">IF(OR(F42="",G42=""),"",IF(F42&gt;G42,1,IF(F42&lt;G42,-1,0)))</f>
        <v>-1</v>
      </c>
      <c r="AF42" s="42" t="n">
        <f aca="false">MAX(AF38:AF41)-MIN(AF38:AF41)+1</f>
        <v>4</v>
      </c>
      <c r="AG42" s="42" t="n">
        <f aca="false">MAX(AG38:AG41)-MIN(AG38:AG41)+1</f>
        <v>1</v>
      </c>
      <c r="AH42" s="42" t="n">
        <f aca="false">MAX(AH38:AH41)-MIN(AH38:AH41)+1</f>
        <v>4</v>
      </c>
      <c r="AI42" s="42" t="n">
        <f aca="false">MAX(AI38:AI41)+1</f>
        <v>7</v>
      </c>
      <c r="AL42" s="42" t="n">
        <f aca="false">MIN(AL38:AL41)</f>
        <v>-4</v>
      </c>
      <c r="AM42" s="42" t="n">
        <f aca="false">MAX(AM38:AM41)+1</f>
        <v>10</v>
      </c>
      <c r="AN42" s="42" t="n">
        <f aca="false">MAX(AN38:AN41)+1</f>
        <v>10</v>
      </c>
      <c r="AO42" s="42" t="n">
        <f aca="false">MAX(AO38:AO41)+1</f>
        <v>10</v>
      </c>
      <c r="AP42" s="42" t="n">
        <f aca="false">MAX(AP38:AP41)+1</f>
        <v>90000010.8580218</v>
      </c>
      <c r="AT42" s="46" t="n">
        <f aca="false">MAX(AT38:AT41)-MIN(AT38:AT41)+1</f>
        <v>1</v>
      </c>
      <c r="AU42" s="46" t="n">
        <f aca="false">MAX(AU38:AU41)-MIN(AU38:AU41)+1</f>
        <v>1</v>
      </c>
      <c r="AV42" s="46" t="n">
        <f aca="false">MAX(AV38:AV41)-MIN(AV38:AV41)+1</f>
        <v>1</v>
      </c>
      <c r="AW42" s="46" t="n">
        <f aca="false">MAX(AW38:AW41)-MIN(AW38:AW41)+1</f>
        <v>1</v>
      </c>
      <c r="AY42" s="46" t="n">
        <f aca="false">MAX(AY38:AY41)-MIN(AY38:AY41)+1</f>
        <v>1</v>
      </c>
      <c r="AZ42" s="46" t="n">
        <f aca="false">MAX(AZ38:AZ41)+1</f>
        <v>1</v>
      </c>
      <c r="BB42" s="46" t="n">
        <f aca="false">MAX(BB38:BB41)-MIN(BB38:BB41)+1</f>
        <v>1</v>
      </c>
      <c r="BC42" s="46" t="n">
        <f aca="false">MAX(BC38:BC41)-MIN(BC38:BC41)+1</f>
        <v>1</v>
      </c>
      <c r="BD42" s="46" t="n">
        <f aca="false">MAX(BD38:BD41)-MIN(BD38:BD41)+1</f>
        <v>1</v>
      </c>
      <c r="BE42" s="46" t="n">
        <f aca="false">MAX(BE38:BE41)-MIN(BE38:BE41)+1</f>
        <v>1</v>
      </c>
      <c r="BG42" s="46" t="n">
        <f aca="false">MAX(BG38:BG41)-MIN(BG38:BG41)+1</f>
        <v>1</v>
      </c>
      <c r="BH42" s="46" t="n">
        <f aca="false">MAX(BH38:BH41)+1</f>
        <v>1</v>
      </c>
      <c r="BK42" s="82" t="n">
        <v>76</v>
      </c>
      <c r="BL42" s="83" t="str">
        <f aca="false">AS20</f>
        <v>Brazil</v>
      </c>
      <c r="BM42" s="84" t="n">
        <v>1</v>
      </c>
      <c r="BN42" s="85"/>
      <c r="BO42" s="86"/>
      <c r="BP42" s="47" t="n">
        <f aca="false">IF(OR(BM42="",BM43="",AND(BN42="",BN43&lt;&gt;""),AND(BN43="",BN42&lt;&gt;""),AND(BO42="",BO43&lt;&gt;""),AND(BO43="",BO42&lt;&gt;"")),"",BM42*1000+BN42*10+BO42)</f>
        <v>1000</v>
      </c>
      <c r="BQ42" s="47"/>
      <c r="BR42" s="74"/>
      <c r="BS42" s="74"/>
      <c r="BT42" s="74"/>
      <c r="BU42" s="74"/>
      <c r="BV42" s="74"/>
      <c r="BW42" s="47"/>
      <c r="CK42" s="96"/>
    </row>
    <row r="43" customFormat="false" ht="14.25" hidden="false" customHeight="true" outlineLevel="0" collapsed="false">
      <c r="A43" s="63" t="n">
        <v>37</v>
      </c>
      <c r="B43" s="64" t="str">
        <f aca="false" t="array" ref="B43:B43">INDEX(T,18+INT(MOD(R43-1,7)),lang)</f>
        <v>Mon</v>
      </c>
      <c r="C43" s="65" t="str">
        <f aca="false" t="array" ref="C43:C43">INDEX(T,24+MONTH(R43),lang) &amp; " " &amp; DAY(R43) &amp; ", " &amp; YEAR(R43)</f>
        <v>Jun 22, 2026</v>
      </c>
      <c r="D43" s="66" t="n">
        <f aca="false">TIME(HOUR(R43),MINUTE(R43),0)</f>
        <v>0</v>
      </c>
      <c r="E43" s="67" t="str">
        <f aca="false">AE53</f>
        <v>Uruguay</v>
      </c>
      <c r="F43" s="68" t="n">
        <v>2</v>
      </c>
      <c r="G43" s="69" t="n">
        <v>0</v>
      </c>
      <c r="H43" s="70" t="str">
        <f aca="false">AE51</f>
        <v>Cape Verde</v>
      </c>
      <c r="R43" s="42" t="n">
        <f aca="false">DATE(2026,6,21)+TIME(11,0,0)+gmt_delta</f>
        <v>46195</v>
      </c>
      <c r="S43" s="43" t="str">
        <f aca="false">IF(OR(F43="",G43=""),"",IF(F43&gt;G43,E43&amp;"_win",IF(F43&lt;G43,E43&amp;"_lose",E43&amp;"_draw")))</f>
        <v>Uruguay_win</v>
      </c>
      <c r="T43" s="43" t="str">
        <f aca="false">IF(S43="","",IF(F43&lt;G43,H43&amp;"_win",IF(F43&gt;G43,H43&amp;"_lose",H43&amp;"_draw")))</f>
        <v>Cape Verde_lose</v>
      </c>
      <c r="U43" s="42" t="n">
        <f aca="false">IF(S43="",0,IF(VLOOKUP(E43,$AE$8:$AN$77,10,FALSE())=VLOOKUP(H43,$AE$8:$AN$77,10,FALSE()),1,0))</f>
        <v>0</v>
      </c>
      <c r="V43" s="42" t="n">
        <f aca="false">U43*F43</f>
        <v>0</v>
      </c>
      <c r="W43" s="42" t="n">
        <f aca="false">U43*G43</f>
        <v>0</v>
      </c>
      <c r="X43" s="42" t="n">
        <f aca="false">IF(S43="",0,IF(VLOOKUP(E43,$AE$8:$AO$77,11,FALSE())=VLOOKUP(H43,$AE$8:$AO$77,11,FALSE()),1,0))</f>
        <v>0</v>
      </c>
      <c r="Y43" s="42" t="n">
        <f aca="false">X43*F43</f>
        <v>0</v>
      </c>
      <c r="Z43" s="42" t="n">
        <f aca="false">X43*G43</f>
        <v>0</v>
      </c>
      <c r="AA43" s="42" t="n">
        <f aca="false">IF(OR(E43=my_team,H43=my_team),1,IF(INT(MATCH(E43,$AE$8:$AE$78,0)/6)=$AA$6,1,0))</f>
        <v>0</v>
      </c>
      <c r="AB43" s="42" t="n">
        <f aca="false">IF(OR(F43="",G43=""),"",IF(F43&gt;G43,1,IF(F43&lt;G43,-1,0)))</f>
        <v>1</v>
      </c>
      <c r="BK43" s="82"/>
      <c r="BL43" s="87" t="str">
        <f aca="false">AS39</f>
        <v>Japan</v>
      </c>
      <c r="BM43" s="88" t="n">
        <v>0</v>
      </c>
      <c r="BN43" s="89"/>
      <c r="BO43" s="90"/>
      <c r="BP43" s="91" t="n">
        <f aca="false">IF(BP42="","",BM43*1000+BN43*10+BO43)</f>
        <v>0</v>
      </c>
      <c r="BQ43" s="47"/>
      <c r="BR43" s="74" t="str">
        <f aca="false" t="array" ref="BR43: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74"/>
      <c r="BT43" s="74"/>
      <c r="BU43" s="74"/>
      <c r="BV43" s="92"/>
      <c r="BW43" s="47" t="n">
        <f aca="false">DATE(2026,7,5)+TIME(9,0,0)+gmt_delta</f>
        <v>46208.9166666667</v>
      </c>
      <c r="CK43" s="96"/>
    </row>
    <row r="44" customFormat="false" ht="15" hidden="false" customHeight="true" outlineLevel="0" collapsed="false">
      <c r="A44" s="63" t="n">
        <v>38</v>
      </c>
      <c r="B44" s="64" t="str">
        <f aca="false" t="array" ref="B44:B44">INDEX(T,18+INT(MOD(R44-1,7)),lang)</f>
        <v>Sun</v>
      </c>
      <c r="C44" s="65" t="str">
        <f aca="false" t="array" ref="C44:C44">INDEX(T,24+MONTH(R44),lang) &amp; " " &amp; DAY(R44) &amp; ", " &amp; YEAR(R44)</f>
        <v>Jun 21, 2026</v>
      </c>
      <c r="D44" s="66" t="n">
        <f aca="false">TIME(HOUR(R44),MINUTE(R44),0)</f>
        <v>0.75</v>
      </c>
      <c r="E44" s="67" t="str">
        <f aca="false">AE50</f>
        <v>Spain</v>
      </c>
      <c r="F44" s="68" t="n">
        <v>2</v>
      </c>
      <c r="G44" s="69" t="n">
        <v>0</v>
      </c>
      <c r="H44" s="70" t="str">
        <f aca="false">AE52</f>
        <v>Saudi Arabia</v>
      </c>
      <c r="J44" s="71" t="str">
        <f aca="false" t="array" ref="J44:J44">INDEX(T,9,lang) &amp; " " &amp; "G"</f>
        <v>Group G</v>
      </c>
      <c r="K44" s="72" t="str">
        <f aca="false" t="array" ref="K44:K44">INDEX(T,10,lang)</f>
        <v>PL</v>
      </c>
      <c r="L44" s="72" t="str">
        <f aca="false" t="array" ref="L44:L44">INDEX(T,11,lang)</f>
        <v>W</v>
      </c>
      <c r="M44" s="72" t="str">
        <f aca="false" t="array" ref="M44:M44">INDEX(T,12,lang)</f>
        <v>DRAW</v>
      </c>
      <c r="N44" s="72" t="str">
        <f aca="false" t="array" ref="N44:N44">INDEX(T,13,lang)</f>
        <v>L</v>
      </c>
      <c r="O44" s="72" t="str">
        <f aca="false" t="array" ref="O44:O44">INDEX(T,14,lang)</f>
        <v>GF - GA</v>
      </c>
      <c r="P44" s="73" t="str">
        <f aca="false" t="array" ref="P44:P44">INDEX(T,15,lang)</f>
        <v>PNT</v>
      </c>
      <c r="R44" s="42" t="n">
        <f aca="false">DATE(2026,6,21)+TIME(5,0,0)+gmt_delta</f>
        <v>46194.75</v>
      </c>
      <c r="S44" s="43" t="str">
        <f aca="false">IF(OR(F44="",G44=""),"",IF(F44&gt;G44,E44&amp;"_win",IF(F44&lt;G44,E44&amp;"_lose",E44&amp;"_draw")))</f>
        <v>Spain_win</v>
      </c>
      <c r="T44" s="43" t="str">
        <f aca="false">IF(S44="","",IF(F44&lt;G44,H44&amp;"_win",IF(F44&gt;G44,H44&amp;"_lose",H44&amp;"_draw")))</f>
        <v>Saudi Arabia_lose</v>
      </c>
      <c r="U44" s="42" t="n">
        <f aca="false">IF(S44="",0,IF(VLOOKUP(E44,$AE$8:$AN$77,10,FALSE())=VLOOKUP(H44,$AE$8:$AN$77,10,FALSE()),1,0))</f>
        <v>0</v>
      </c>
      <c r="V44" s="42" t="n">
        <f aca="false">U44*F44</f>
        <v>0</v>
      </c>
      <c r="W44" s="42" t="n">
        <f aca="false">U44*G44</f>
        <v>0</v>
      </c>
      <c r="X44" s="42" t="n">
        <f aca="false">IF(S44="",0,IF(VLOOKUP(E44,$AE$8:$AO$77,11,FALSE())=VLOOKUP(H44,$AE$8:$AO$77,11,FALSE()),1,0))</f>
        <v>0</v>
      </c>
      <c r="Y44" s="42" t="n">
        <f aca="false">X44*F44</f>
        <v>0</v>
      </c>
      <c r="Z44" s="42" t="n">
        <f aca="false">X44*G44</f>
        <v>0</v>
      </c>
      <c r="AA44" s="42" t="n">
        <f aca="false">IF(OR(E44=my_team,H44=my_team),1,IF(INT(MATCH(E44,$AE$8:$AE$78,0)/6)=$AA$6,1,0))</f>
        <v>0</v>
      </c>
      <c r="AB44" s="42" t="n">
        <f aca="false">IF(OR(F44="",G44=""),"",IF(F44&gt;G44,1,IF(F44&lt;G44,-1,0)))</f>
        <v>1</v>
      </c>
      <c r="AD44" s="42" t="n">
        <f aca="false">COUNTIF(AR44:AR47,CONCATENATE("&gt;=",AR44))</f>
        <v>1</v>
      </c>
      <c r="AE44" s="44" t="str">
        <f aca="false">VLOOKUP("Belgium",T,lang,FALSE())</f>
        <v>Belgium</v>
      </c>
      <c r="AF44" s="42" t="n">
        <f aca="false">COUNTIF($S$7:$T$78,"=" &amp; AE44 &amp; "_win")</f>
        <v>3</v>
      </c>
      <c r="AG44" s="42" t="n">
        <f aca="false">COUNTIF($S$7:$T$78,"=" &amp; AE44 &amp; "_draw")</f>
        <v>0</v>
      </c>
      <c r="AH44" s="42" t="n">
        <f aca="false">COUNTIF($S$7:$T$78,"=" &amp; AE44 &amp; "_lose")</f>
        <v>0</v>
      </c>
      <c r="AI44" s="42" t="n">
        <f aca="false">SUMIF($E$7:$E$78,$AE44,$F$7:$F$78) + SUMIF($H$7:$H$78,$AE44,$G$7:$G$78)</f>
        <v>6</v>
      </c>
      <c r="AJ44" s="42" t="n">
        <f aca="false">SUMIF($E$7:$E$78,$AE44,$G$7:$G$78) + SUMIF($H$7:$H$78,$AE44,$F$7:$F$78)</f>
        <v>2</v>
      </c>
      <c r="AL44" s="42" t="n">
        <f aca="false">AI44-AJ44</f>
        <v>4</v>
      </c>
      <c r="AM44" s="42" t="n">
        <f aca="false">AL44-AL48</f>
        <v>10</v>
      </c>
      <c r="AN44" s="42" t="n">
        <f aca="false">AF44*3+AG44</f>
        <v>9</v>
      </c>
      <c r="AO44" s="42" t="n">
        <f aca="false">AN44/AN48*10+BA44</f>
        <v>9</v>
      </c>
      <c r="AP44" s="42" t="n">
        <f aca="false">AO44*10000000+BI44*100+AM44/AM48*10+AI44/AI48*1++IF(AQ44=0,ROW(),AQ44)/2000000</f>
        <v>90000009.9489193</v>
      </c>
      <c r="AQ44" s="46" t="n">
        <f aca="false">VLOOKUP(AE44,db_fifarank,2,FALSE())</f>
        <v>1734.71</v>
      </c>
      <c r="AR44" s="45" t="n">
        <f aca="false">AP44/AP48</f>
        <v>0.99999998888889</v>
      </c>
      <c r="AS44" s="45" t="str">
        <f aca="false">IF(SUM(AF44:AH47)=12,J45,"1G")</f>
        <v>Belgium</v>
      </c>
      <c r="AT44" s="46" t="n">
        <f aca="false" t="array" ref="AT44:AT44">SUMPRODUCT(($S$7:$S$78=AE44&amp;"_win")*($U$7:$U$78))+SUMPRODUCT(($T$7:$T$78=AE44&amp;"_win")*($U$7:$U$78))</f>
        <v>0</v>
      </c>
      <c r="AU44" s="46" t="n">
        <f aca="false" t="array" ref="AU44:AU44">SUMPRODUCT(($S$7:$S$78=AE44&amp;"_draw")*($U$7:$U$78))+SUMPRODUCT(($T$7:$T$78=AE44&amp;"_draw")*($U$7:$U$78))</f>
        <v>0</v>
      </c>
      <c r="AV44" s="46" t="n">
        <f aca="false" t="array" ref="AV44:AV44">SUMPRODUCT(($E$7:$E$78=AE44)*($U$7:$U$78)*($F$7:$F$78))+SUMPRODUCT(($H$7:$H$78=AE44)*($U$7:$U$78)*($G$7:$G$78))</f>
        <v>0</v>
      </c>
      <c r="AW44" s="46" t="n">
        <f aca="false" t="array" ref="AW44:AW44">SUMPRODUCT(($E$7:$E$78=AE44)*($U$7:$U$78)*($G$7:$G$78))+SUMPRODUCT(($H$7:$H$78=AE44)*($U$7:$U$78)*($F$7:$F$78))</f>
        <v>0</v>
      </c>
      <c r="AX44" s="46" t="n">
        <f aca="false">AV44-AW44</f>
        <v>0</v>
      </c>
      <c r="AY44" s="46" t="n">
        <f aca="false">AX44-MIN(AX44:AX47)</f>
        <v>0</v>
      </c>
      <c r="AZ44" s="46" t="n">
        <f aca="false">AT44/AT48*1000+AU44/AU48*100+AY44/AY48*10+AV44/AV48</f>
        <v>0</v>
      </c>
      <c r="BA44" s="46" t="n">
        <f aca="false">AZ44/AZ48</f>
        <v>0</v>
      </c>
      <c r="BB44" s="46" t="n">
        <f aca="false" t="array" ref="BB44:BB44">SUMPRODUCT(($S$7:$S$78=AE44&amp;"_win")*($X$7:$X$78))+SUMPRODUCT(($T$7:$T$78=AE44&amp;"_win")*($X$7:$X$78))</f>
        <v>0</v>
      </c>
      <c r="BC44" s="46" t="n">
        <f aca="false" t="array" ref="BC44:BC44">SUMPRODUCT(($S$7:$S$78=AE44&amp;"_draw")*($X$7:$X$78))+SUMPRODUCT(($T$7:$T$78=AE44&amp;"_draw")*($X$7:$X$78))</f>
        <v>0</v>
      </c>
      <c r="BD44" s="46" t="n">
        <f aca="false" t="array" ref="BD44:BD44">SUMPRODUCT(($E$7:$E$78=AE44)*($X$7:$X$78)*($F$7:$F$78))+SUMPRODUCT(($H$7:$H$78=AE44)*($X$7:$X$78)*($G$7:$G$78))</f>
        <v>0</v>
      </c>
      <c r="BE44" s="46" t="n">
        <f aca="false" t="array" ref="BE44:BE44">SUMPRODUCT(($E$7:$E$78=AE44)*($X$7:$X$78)*($G$7:$G$78))+SUMPRODUCT(($H$7:$H$78=AE44)*($X$7:$X$78)*($F$7:$F$78))</f>
        <v>0</v>
      </c>
      <c r="BF44" s="46" t="n">
        <f aca="false">BD44-BE44</f>
        <v>0</v>
      </c>
      <c r="BG44" s="46" t="n">
        <f aca="false">BF44-MIN(BF44:BF47)</f>
        <v>0</v>
      </c>
      <c r="BH44" s="46" t="n">
        <f aca="false">BB44/BB48*1000+BC44/BC48*100+BG44/BG48*10+BD44/BD48</f>
        <v>0</v>
      </c>
      <c r="BI44" s="46" t="n">
        <f aca="false">BH44/BH48</f>
        <v>0</v>
      </c>
      <c r="BK44" s="74"/>
      <c r="BL44" s="74"/>
      <c r="BM44" s="74"/>
      <c r="BN44" s="74"/>
      <c r="BO44" s="74"/>
      <c r="BP44" s="96"/>
      <c r="BQ44" s="47"/>
      <c r="BR44" s="82" t="n">
        <v>91</v>
      </c>
      <c r="BS44" s="83" t="str">
        <f aca="false">IF(BP42&gt;BP43,BL42,IF(BP42&lt;BP43,BL43,""))</f>
        <v>Brazil</v>
      </c>
      <c r="BT44" s="84" t="n">
        <v>1</v>
      </c>
      <c r="BU44" s="85"/>
      <c r="BV44" s="86"/>
      <c r="BW44" s="47" t="n">
        <f aca="false">IF(OR(BT44="",BT45="",AND(BU44="",BU45&lt;&gt;""),AND(BU45="",BU44&lt;&gt;""),AND(BV44="",BV45&lt;&gt;""),AND(BV45="",BV44&lt;&gt;"")),"",BT44*1000+BU44*10+BV44)</f>
        <v>1000</v>
      </c>
      <c r="CK44" s="96"/>
      <c r="CM44" s="54" t="str">
        <f aca="false" t="array" ref="CM44:CM44">INDEX(T,7,lang)</f>
        <v>Third-Place Play-Off</v>
      </c>
      <c r="CN44" s="54"/>
      <c r="CO44" s="54"/>
      <c r="CP44" s="54"/>
      <c r="CQ44" s="54"/>
    </row>
    <row r="45" customFormat="false" ht="15" hidden="false" customHeight="true" outlineLevel="0" collapsed="false">
      <c r="A45" s="63" t="n">
        <v>39</v>
      </c>
      <c r="B45" s="64" t="str">
        <f aca="false" t="array" ref="B45:B45">INDEX(T,18+INT(MOD(R45-1,7)),lang)</f>
        <v>Sun</v>
      </c>
      <c r="C45" s="65" t="str">
        <f aca="false" t="array" ref="C45:C45">INDEX(T,24+MONTH(R45),lang) &amp; " " &amp; DAY(R45) &amp; ", " &amp; YEAR(R45)</f>
        <v>Jun 21, 2026</v>
      </c>
      <c r="D45" s="66" t="n">
        <f aca="false">TIME(HOUR(R45),MINUTE(R45),0)</f>
        <v>0.875</v>
      </c>
      <c r="E45" s="67" t="str">
        <f aca="false">AE44</f>
        <v>Belgium</v>
      </c>
      <c r="F45" s="68" t="n">
        <v>2</v>
      </c>
      <c r="G45" s="69" t="n">
        <v>1</v>
      </c>
      <c r="H45" s="70" t="str">
        <f aca="false">AE46</f>
        <v>Iran</v>
      </c>
      <c r="J45" s="75" t="str">
        <f aca="false">VLOOKUP(1,AD44:AN47,2,FALSE())</f>
        <v>Belgium</v>
      </c>
      <c r="K45" s="76" t="n">
        <f aca="false">L45+M45+N45</f>
        <v>3</v>
      </c>
      <c r="L45" s="76" t="n">
        <f aca="false">VLOOKUP(1,AD44:AN47,3,FALSE())</f>
        <v>3</v>
      </c>
      <c r="M45" s="76" t="n">
        <f aca="false">VLOOKUP(1,AD44:AN47,4,FALSE())</f>
        <v>0</v>
      </c>
      <c r="N45" s="76" t="n">
        <f aca="false">VLOOKUP(1,AD44:AN47,5,FALSE())</f>
        <v>0</v>
      </c>
      <c r="O45" s="76" t="str">
        <f aca="false">VLOOKUP(1,AD44:AN47,6,FALSE()) &amp; " - " &amp; VLOOKUP(1,AD44:AN47,7,FALSE())</f>
        <v>6 - 2</v>
      </c>
      <c r="P45" s="77" t="n">
        <f aca="false">L45*3+M45</f>
        <v>9</v>
      </c>
      <c r="R45" s="42" t="n">
        <f aca="false">DATE(2026,6,21)+TIME(8,0,0)+gmt_delta</f>
        <v>46194.875</v>
      </c>
      <c r="S45" s="43" t="str">
        <f aca="false">IF(OR(F45="",G45=""),"",IF(F45&gt;G45,E45&amp;"_win",IF(F45&lt;G45,E45&amp;"_lose",E45&amp;"_draw")))</f>
        <v>Belgium_win</v>
      </c>
      <c r="T45" s="43" t="str">
        <f aca="false">IF(S45="","",IF(F45&lt;G45,H45&amp;"_win",IF(F45&gt;G45,H45&amp;"_lose",H45&amp;"_draw")))</f>
        <v>Iran_lose</v>
      </c>
      <c r="U45" s="42" t="n">
        <f aca="false">IF(S45="",0,IF(VLOOKUP(E45,$AE$8:$AN$77,10,FALSE())=VLOOKUP(H45,$AE$8:$AN$77,10,FALSE()),1,0))</f>
        <v>0</v>
      </c>
      <c r="V45" s="42" t="n">
        <f aca="false">U45*F45</f>
        <v>0</v>
      </c>
      <c r="W45" s="42" t="n">
        <f aca="false">U45*G45</f>
        <v>0</v>
      </c>
      <c r="X45" s="42" t="n">
        <f aca="false">IF(S45="",0,IF(VLOOKUP(E45,$AE$8:$AO$77,11,FALSE())=VLOOKUP(H45,$AE$8:$AO$77,11,FALSE()),1,0))</f>
        <v>0</v>
      </c>
      <c r="Y45" s="42" t="n">
        <f aca="false">X45*F45</f>
        <v>0</v>
      </c>
      <c r="Z45" s="42" t="n">
        <f aca="false">X45*G45</f>
        <v>0</v>
      </c>
      <c r="AA45" s="42" t="n">
        <f aca="false">IF(OR(E45=my_team,H45=my_team),1,IF(INT(MATCH(E45,$AE$8:$AE$78,0)/6)=$AA$6,1,0))</f>
        <v>0</v>
      </c>
      <c r="AB45" s="42" t="n">
        <f aca="false">IF(OR(F45="",G45=""),"",IF(F45&gt;G45,1,IF(F45&lt;G45,-1,0)))</f>
        <v>1</v>
      </c>
      <c r="AD45" s="42" t="n">
        <f aca="false">COUNTIF(AR44:AR47,CONCATENATE("&gt;=",AR45))</f>
        <v>3</v>
      </c>
      <c r="AE45" s="44" t="str">
        <f aca="false">VLOOKUP("Egypt",T,lang,FALSE())</f>
        <v>Egypt</v>
      </c>
      <c r="AF45" s="42" t="n">
        <f aca="false">COUNTIF($S$7:$T$78,"=" &amp; AE45 &amp; "_win")</f>
        <v>1</v>
      </c>
      <c r="AG45" s="42" t="n">
        <f aca="false">COUNTIF($S$7:$T$78,"=" &amp; AE45 &amp; "_draw")</f>
        <v>0</v>
      </c>
      <c r="AH45" s="42" t="n">
        <f aca="false">COUNTIF($S$7:$T$78,"=" &amp; AE45 &amp; "_lose")</f>
        <v>2</v>
      </c>
      <c r="AI45" s="42" t="n">
        <f aca="false">SUMIF($E$7:$E$78,$AE45,$F$7:$F$78) + SUMIF($H$7:$H$78,$AE45,$G$7:$G$78)</f>
        <v>3</v>
      </c>
      <c r="AJ45" s="42" t="n">
        <f aca="false">SUMIF($E$7:$E$78,$AE45,$G$7:$G$78) + SUMIF($H$7:$H$78,$AE45,$F$7:$F$78)</f>
        <v>3</v>
      </c>
      <c r="AL45" s="42" t="n">
        <f aca="false">AI45-AJ45</f>
        <v>0</v>
      </c>
      <c r="AM45" s="42" t="n">
        <f aca="false">AL45-AL48</f>
        <v>6</v>
      </c>
      <c r="AN45" s="42" t="n">
        <f aca="false">AF45*3+AG45</f>
        <v>3</v>
      </c>
      <c r="AO45" s="42" t="n">
        <f aca="false">AN45/AN48*10+BA45</f>
        <v>3</v>
      </c>
      <c r="AP45" s="42" t="n">
        <f aca="false">AO45*10000000+BI45*100+AM45/AM48*10+AI45/AI48*1++IF(AQ45=0,ROW(),AQ45)/2000000</f>
        <v>30000005.8838985</v>
      </c>
      <c r="AQ45" s="46" t="n">
        <f aca="false">VLOOKUP(AE45,db_fifarank,2,FALSE())</f>
        <v>1563.24</v>
      </c>
      <c r="AR45" s="45" t="n">
        <f aca="false">AP45/AP48</f>
        <v>0.333333358158427</v>
      </c>
      <c r="AS45" s="45" t="str">
        <f aca="false">IF(SUM(AF44:AH47)=12,J46,"2G")</f>
        <v>Iran</v>
      </c>
      <c r="AT45" s="46" t="n">
        <f aca="false" t="array" ref="AT45:AT45">SUMPRODUCT(($S$7:$S$78=AE45&amp;"_win")*($U$7:$U$78))+SUMPRODUCT(($T$7:$T$78=AE45&amp;"_win")*($U$7:$U$78))</f>
        <v>0</v>
      </c>
      <c r="AU45" s="46" t="n">
        <f aca="false" t="array" ref="AU45:AU45">SUMPRODUCT(($S$7:$S$78=AE45&amp;"_draw")*($U$7:$U$78))+SUMPRODUCT(($T$7:$T$78=AE45&amp;"_draw")*($U$7:$U$78))</f>
        <v>0</v>
      </c>
      <c r="AV45" s="46" t="n">
        <f aca="false" t="array" ref="AV45:AV45">SUMPRODUCT(($E$7:$E$78=AE45)*($U$7:$U$78)*($F$7:$F$78))+SUMPRODUCT(($H$7:$H$78=AE45)*($U$7:$U$78)*($G$7:$G$78))</f>
        <v>0</v>
      </c>
      <c r="AW45" s="46" t="n">
        <f aca="false" t="array" ref="AW45:AW45">SUMPRODUCT(($E$7:$E$78=AE45)*($U$7:$U$78)*($G$7:$G$78))+SUMPRODUCT(($H$7:$H$78=AE45)*($U$7:$U$78)*($F$7:$F$78))</f>
        <v>0</v>
      </c>
      <c r="AX45" s="46" t="n">
        <f aca="false">AV45-AW45</f>
        <v>0</v>
      </c>
      <c r="AY45" s="46" t="n">
        <f aca="false">AX45-MIN(AX44:AX47)</f>
        <v>0</v>
      </c>
      <c r="AZ45" s="46" t="n">
        <f aca="false">AT45/AT48*1000+AU45/AU48*100+AY45/AY48*10+AV45/AV48</f>
        <v>0</v>
      </c>
      <c r="BA45" s="46" t="n">
        <f aca="false">AZ45/AZ48</f>
        <v>0</v>
      </c>
      <c r="BB45" s="46" t="n">
        <f aca="false" t="array" ref="BB45:BB45">SUMPRODUCT(($S$7:$S$78=AE45&amp;"_win")*($X$7:$X$78))+SUMPRODUCT(($T$7:$T$78=AE45&amp;"_win")*($X$7:$X$78))</f>
        <v>0</v>
      </c>
      <c r="BC45" s="46" t="n">
        <f aca="false" t="array" ref="BC45:BC45">SUMPRODUCT(($S$7:$S$78=AE45&amp;"_draw")*($X$7:$X$78))+SUMPRODUCT(($T$7:$T$78=AE45&amp;"_draw")*($X$7:$X$78))</f>
        <v>0</v>
      </c>
      <c r="BD45" s="46" t="n">
        <f aca="false" t="array" ref="BD45:BD45">SUMPRODUCT(($E$7:$E$78=AE45)*($X$7:$X$78)*($F$7:$F$78))+SUMPRODUCT(($H$7:$H$78=AE45)*($X$7:$X$78)*($G$7:$G$78))</f>
        <v>0</v>
      </c>
      <c r="BE45" s="46" t="n">
        <f aca="false" t="array" ref="BE45:BE45">SUMPRODUCT(($E$7:$E$78=AE45)*($X$7:$X$78)*($G$7:$G$78))+SUMPRODUCT(($H$7:$H$78=AE45)*($X$7:$X$78)*($F$7:$F$78))</f>
        <v>0</v>
      </c>
      <c r="BF45" s="46" t="n">
        <f aca="false">BD45-BE45</f>
        <v>0</v>
      </c>
      <c r="BG45" s="46" t="n">
        <f aca="false">BF45-MIN(BF44:BF47)</f>
        <v>0</v>
      </c>
      <c r="BH45" s="46" t="n">
        <f aca="false">BB45/BB48*1000+BC45/BC48*100+BG45/BG48*10+BD45/BD48</f>
        <v>0</v>
      </c>
      <c r="BI45" s="46" t="n">
        <f aca="false">BH45/BH48</f>
        <v>0</v>
      </c>
      <c r="BK45" s="74" t="str">
        <f aca="false" t="array" ref="BK45: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74"/>
      <c r="BM45" s="74"/>
      <c r="BN45" s="74"/>
      <c r="BO45" s="92"/>
      <c r="BP45" s="96" t="n">
        <f aca="false">DATE(2026,6,30)+TIME(6,0,0)+gmt_delta</f>
        <v>46203.7916666667</v>
      </c>
      <c r="BQ45" s="97"/>
      <c r="BR45" s="82"/>
      <c r="BS45" s="87" t="str">
        <f aca="false">IF(BP46&gt;BP47,BL46,IF(BP46&lt;BP47,BL47,""))</f>
        <v>Senegal</v>
      </c>
      <c r="BT45" s="88" t="n">
        <v>0</v>
      </c>
      <c r="BU45" s="89"/>
      <c r="BV45" s="90"/>
      <c r="BW45" s="91" t="n">
        <f aca="false">IF(BW44="","",BT45*1000+BU45*10+BV45)</f>
        <v>0</v>
      </c>
      <c r="CK45" s="96"/>
      <c r="CM45" s="54"/>
      <c r="CN45" s="54"/>
      <c r="CO45" s="54"/>
      <c r="CP45" s="54"/>
      <c r="CQ45" s="54"/>
    </row>
    <row r="46" customFormat="false" ht="14.25" hidden="false" customHeight="true" outlineLevel="0" collapsed="false">
      <c r="A46" s="63" t="n">
        <v>40</v>
      </c>
      <c r="B46" s="64" t="str">
        <f aca="false" t="array" ref="B46:B46">INDEX(T,18+INT(MOD(R46-1,7)),lang)</f>
        <v>Mon</v>
      </c>
      <c r="C46" s="65" t="str">
        <f aca="false" t="array" ref="C46:C46">INDEX(T,24+MONTH(R46),lang) &amp; " " &amp; DAY(R46) &amp; ", " &amp; YEAR(R46)</f>
        <v>Jun 22, 2026</v>
      </c>
      <c r="D46" s="66" t="n">
        <f aca="false">TIME(HOUR(R46),MINUTE(R46),0)</f>
        <v>0.125</v>
      </c>
      <c r="E46" s="67" t="str">
        <f aca="false">AE47</f>
        <v>New Zealand</v>
      </c>
      <c r="F46" s="68" t="n">
        <v>0</v>
      </c>
      <c r="G46" s="69" t="n">
        <v>2</v>
      </c>
      <c r="H46" s="70" t="str">
        <f aca="false">AE45</f>
        <v>Egypt</v>
      </c>
      <c r="J46" s="79" t="str">
        <f aca="false">VLOOKUP(2,AD44:AN47,2,FALSE())</f>
        <v>Iran</v>
      </c>
      <c r="K46" s="80" t="n">
        <f aca="false">L46+M46+N46</f>
        <v>3</v>
      </c>
      <c r="L46" s="80" t="n">
        <f aca="false">VLOOKUP(2,AD44:AN47,3,FALSE())</f>
        <v>2</v>
      </c>
      <c r="M46" s="80" t="n">
        <f aca="false">VLOOKUP(2,AD44:AN47,4,FALSE())</f>
        <v>0</v>
      </c>
      <c r="N46" s="80" t="n">
        <f aca="false">VLOOKUP(2,AD44:AN47,5,FALSE())</f>
        <v>1</v>
      </c>
      <c r="O46" s="80" t="str">
        <f aca="false">VLOOKUP(2,AD44:AN47,6,FALSE()) &amp; " - " &amp; VLOOKUP(2,AD44:AN47,7,FALSE())</f>
        <v>4 - 2</v>
      </c>
      <c r="P46" s="81" t="n">
        <f aca="false">L46*3+M46</f>
        <v>6</v>
      </c>
      <c r="R46" s="42" t="n">
        <f aca="false">DATE(2026,6,21)+TIME(14,0,0)+gmt_delta</f>
        <v>46195.125</v>
      </c>
      <c r="S46" s="43" t="str">
        <f aca="false">IF(OR(F46="",G46=""),"",IF(F46&gt;G46,E46&amp;"_win",IF(F46&lt;G46,E46&amp;"_lose",E46&amp;"_draw")))</f>
        <v>New Zealand_lose</v>
      </c>
      <c r="T46" s="43" t="str">
        <f aca="false">IF(S46="","",IF(F46&lt;G46,H46&amp;"_win",IF(F46&gt;G46,H46&amp;"_lose",H46&amp;"_draw")))</f>
        <v>Egypt_win</v>
      </c>
      <c r="U46" s="42" t="n">
        <f aca="false">IF(S46="",0,IF(VLOOKUP(E46,$AE$8:$AN$77,10,FALSE())=VLOOKUP(H46,$AE$8:$AN$77,10,FALSE()),1,0))</f>
        <v>0</v>
      </c>
      <c r="V46" s="42" t="n">
        <f aca="false">U46*F46</f>
        <v>0</v>
      </c>
      <c r="W46" s="42" t="n">
        <f aca="false">U46*G46</f>
        <v>0</v>
      </c>
      <c r="X46" s="42" t="n">
        <f aca="false">IF(S46="",0,IF(VLOOKUP(E46,$AE$8:$AO$77,11,FALSE())=VLOOKUP(H46,$AE$8:$AO$77,11,FALSE()),1,0))</f>
        <v>0</v>
      </c>
      <c r="Y46" s="42" t="n">
        <f aca="false">X46*F46</f>
        <v>0</v>
      </c>
      <c r="Z46" s="42" t="n">
        <f aca="false">X46*G46</f>
        <v>0</v>
      </c>
      <c r="AA46" s="42" t="n">
        <f aca="false">IF(OR(E46=my_team,H46=my_team),1,IF(INT(MATCH(E46,$AE$8:$AE$78,0)/6)=$AA$6,1,0))</f>
        <v>0</v>
      </c>
      <c r="AB46" s="42" t="n">
        <f aca="false">IF(OR(F46="",G46=""),"",IF(F46&gt;G46,1,IF(F46&lt;G46,-1,0)))</f>
        <v>-1</v>
      </c>
      <c r="AD46" s="42" t="n">
        <f aca="false">COUNTIF(AR44:AR47,CONCATENATE("&gt;=",AR46))</f>
        <v>2</v>
      </c>
      <c r="AE46" s="44" t="str">
        <f aca="false">VLOOKUP("Iran",T,lang,FALSE())</f>
        <v>Iran</v>
      </c>
      <c r="AF46" s="42" t="n">
        <f aca="false">COUNTIF($S$7:$T$78,"=" &amp; AE46 &amp; "_win")</f>
        <v>2</v>
      </c>
      <c r="AG46" s="42" t="n">
        <f aca="false">COUNTIF($S$7:$T$78,"=" &amp; AE46 &amp; "_draw")</f>
        <v>0</v>
      </c>
      <c r="AH46" s="42" t="n">
        <f aca="false">COUNTIF($S$7:$T$78,"=" &amp; AE46 &amp; "_lose")</f>
        <v>1</v>
      </c>
      <c r="AI46" s="42" t="n">
        <f aca="false">SUMIF($E$7:$E$78,$AE46,$F$7:$F$78) + SUMIF($H$7:$H$78,$AE46,$G$7:$G$78)</f>
        <v>4</v>
      </c>
      <c r="AJ46" s="42" t="n">
        <f aca="false">SUMIF($E$7:$E$78,$AE46,$G$7:$G$78) + SUMIF($H$7:$H$78,$AE46,$F$7:$F$78)</f>
        <v>2</v>
      </c>
      <c r="AL46" s="42" t="n">
        <f aca="false">AI46-AJ46</f>
        <v>2</v>
      </c>
      <c r="AM46" s="42" t="n">
        <f aca="false">AL46-AL48</f>
        <v>8</v>
      </c>
      <c r="AN46" s="42" t="n">
        <f aca="false">AF46*3+AG46</f>
        <v>6</v>
      </c>
      <c r="AO46" s="42" t="n">
        <f aca="false">AN46/AN48*10+BA46</f>
        <v>6</v>
      </c>
      <c r="AP46" s="42" t="n">
        <f aca="false">AO46*10000000+BI46*100+AM46/AM48*10+AI46/AI48*1++IF(AQ46=0,ROW(),AQ46)/2000000</f>
        <v>60000007.8449635</v>
      </c>
      <c r="AQ46" s="46" t="n">
        <f aca="false">VLOOKUP(AE46,db_fifarank,2,FALSE())</f>
        <v>1615.3</v>
      </c>
      <c r="AR46" s="45" t="n">
        <f aca="false">AP46/AP48</f>
        <v>0.666666672729821</v>
      </c>
      <c r="AT46" s="46" t="n">
        <f aca="false" t="array" ref="AT46:AT46">SUMPRODUCT(($S$7:$S$78=AE46&amp;"_win")*($U$7:$U$78))+SUMPRODUCT(($T$7:$T$78=AE46&amp;"_win")*($U$7:$U$78))</f>
        <v>0</v>
      </c>
      <c r="AU46" s="46" t="n">
        <f aca="false" t="array" ref="AU46:AU46">SUMPRODUCT(($S$7:$S$78=AE46&amp;"_draw")*($U$7:$U$78))+SUMPRODUCT(($T$7:$T$78=AE46&amp;"_draw")*($U$7:$U$78))</f>
        <v>0</v>
      </c>
      <c r="AV46" s="46" t="n">
        <f aca="false" t="array" ref="AV46:AV46">SUMPRODUCT(($E$7:$E$78=AE46)*($U$7:$U$78)*($F$7:$F$78))+SUMPRODUCT(($H$7:$H$78=AE46)*($U$7:$U$78)*($G$7:$G$78))</f>
        <v>0</v>
      </c>
      <c r="AW46" s="46" t="n">
        <f aca="false" t="array" ref="AW46:AW46">SUMPRODUCT(($E$7:$E$78=AE46)*($U$7:$U$78)*($G$7:$G$78))+SUMPRODUCT(($H$7:$H$78=AE46)*($U$7:$U$78)*($F$7:$F$78))</f>
        <v>0</v>
      </c>
      <c r="AX46" s="46" t="n">
        <f aca="false">AV46-AW46</f>
        <v>0</v>
      </c>
      <c r="AY46" s="46" t="n">
        <f aca="false">AX46-MIN(AX44:AX47)</f>
        <v>0</v>
      </c>
      <c r="AZ46" s="46" t="n">
        <f aca="false">AT46/AT48*1000+AU46/AU48*100+AY46/AY48*10+AV46/AV48</f>
        <v>0</v>
      </c>
      <c r="BA46" s="46" t="n">
        <f aca="false">AZ46/AZ48</f>
        <v>0</v>
      </c>
      <c r="BB46" s="46" t="n">
        <f aca="false" t="array" ref="BB46:BB46">SUMPRODUCT(($S$7:$S$78=AE46&amp;"_win")*($X$7:$X$78))+SUMPRODUCT(($T$7:$T$78=AE46&amp;"_win")*($X$7:$X$78))</f>
        <v>0</v>
      </c>
      <c r="BC46" s="46" t="n">
        <f aca="false" t="array" ref="BC46:BC46">SUMPRODUCT(($S$7:$S$78=AE46&amp;"_draw")*($X$7:$X$78))+SUMPRODUCT(($T$7:$T$78=AE46&amp;"_draw")*($X$7:$X$78))</f>
        <v>0</v>
      </c>
      <c r="BD46" s="46" t="n">
        <f aca="false" t="array" ref="BD46:BD46">SUMPRODUCT(($E$7:$E$78=AE46)*($X$7:$X$78)*($F$7:$F$78))+SUMPRODUCT(($H$7:$H$78=AE46)*($X$7:$X$78)*($G$7:$G$78))</f>
        <v>0</v>
      </c>
      <c r="BE46" s="46" t="n">
        <f aca="false" t="array" ref="BE46:BE46">SUMPRODUCT(($E$7:$E$78=AE46)*($X$7:$X$78)*($G$7:$G$78))+SUMPRODUCT(($H$7:$H$78=AE46)*($X$7:$X$78)*($F$7:$F$78))</f>
        <v>0</v>
      </c>
      <c r="BF46" s="46" t="n">
        <f aca="false">BD46-BE46</f>
        <v>0</v>
      </c>
      <c r="BG46" s="46" t="n">
        <f aca="false">BF46-MIN(BF44:BF47)</f>
        <v>0</v>
      </c>
      <c r="BH46" s="46" t="n">
        <f aca="false">BB46/BB48*1000+BC46/BC48*100+BG46/BG48*10+BD46/BD48</f>
        <v>0</v>
      </c>
      <c r="BI46" s="46" t="n">
        <f aca="false">BH46/BH48</f>
        <v>0</v>
      </c>
      <c r="BK46" s="82" t="n">
        <v>78</v>
      </c>
      <c r="BL46" s="83" t="str">
        <f aca="false">AS33</f>
        <v>Ecuador</v>
      </c>
      <c r="BM46" s="84" t="n">
        <v>0</v>
      </c>
      <c r="BN46" s="85"/>
      <c r="BO46" s="86"/>
      <c r="BP46" s="98" t="n">
        <f aca="false">IF(OR(BM46="",BM47="",AND(BN46="",BN47&lt;&gt;""),AND(BN47="",BN46&lt;&gt;""),AND(BO46="",BO47&lt;&gt;""),AND(BO47="",BO46&lt;&gt;"")),"",BM46*1000+BN46*10+BO46)</f>
        <v>0</v>
      </c>
      <c r="BQ46" s="47"/>
      <c r="BR46" s="74"/>
      <c r="BS46" s="74"/>
      <c r="BT46" s="74"/>
      <c r="BU46" s="74"/>
      <c r="BV46" s="74"/>
      <c r="BW46" s="96"/>
      <c r="CK46" s="96"/>
      <c r="CL46" s="47"/>
    </row>
    <row r="47" customFormat="false" ht="14.25" hidden="false" customHeight="true" outlineLevel="0" collapsed="false">
      <c r="A47" s="63" t="n">
        <v>41</v>
      </c>
      <c r="B47" s="64" t="str">
        <f aca="false" t="array" ref="B47:B47">INDEX(T,18+INT(MOD(R47-1,7)),lang)</f>
        <v>Tue</v>
      </c>
      <c r="C47" s="65" t="str">
        <f aca="false" t="array" ref="C47:C47">INDEX(T,24+MONTH(R47),lang) &amp; " " &amp; DAY(R47) &amp; ", " &amp; YEAR(R47)</f>
        <v>Jun 23, 2026</v>
      </c>
      <c r="D47" s="66" t="n">
        <f aca="false">TIME(HOUR(R47),MINUTE(R47),0)</f>
        <v>0.0833333333333333</v>
      </c>
      <c r="E47" s="67" t="str">
        <f aca="false">AE59</f>
        <v>Norway</v>
      </c>
      <c r="F47" s="68" t="n">
        <v>1</v>
      </c>
      <c r="G47" s="69" t="n">
        <v>2</v>
      </c>
      <c r="H47" s="70" t="str">
        <f aca="false">AE57</f>
        <v>Senegal</v>
      </c>
      <c r="J47" s="79" t="str">
        <f aca="false">VLOOKUP(3,AD44:AN47,2,FALSE())</f>
        <v>Egypt</v>
      </c>
      <c r="K47" s="80" t="n">
        <f aca="false">L47+M47+N47</f>
        <v>3</v>
      </c>
      <c r="L47" s="80" t="n">
        <f aca="false">VLOOKUP(3,AD44:AN47,3,FALSE())</f>
        <v>1</v>
      </c>
      <c r="M47" s="80" t="n">
        <f aca="false">VLOOKUP(3,AD44:AN47,4,FALSE())</f>
        <v>0</v>
      </c>
      <c r="N47" s="80" t="n">
        <f aca="false">VLOOKUP(3,AD44:AN47,5,FALSE())</f>
        <v>2</v>
      </c>
      <c r="O47" s="80" t="str">
        <f aca="false">VLOOKUP(3,AD44:AN47,6,FALSE()) &amp; " - " &amp; VLOOKUP(3,AD44:AN47,7,FALSE())</f>
        <v>3 - 3</v>
      </c>
      <c r="P47" s="81" t="n">
        <f aca="false">L47*3+M47</f>
        <v>3</v>
      </c>
      <c r="R47" s="42" t="n">
        <f aca="false">DATE(2026,6,22)+TIME(13,0,0)+gmt_delta</f>
        <v>46196.0833333333</v>
      </c>
      <c r="S47" s="43" t="str">
        <f aca="false">IF(OR(F47="",G47=""),"",IF(F47&gt;G47,E47&amp;"_win",IF(F47&lt;G47,E47&amp;"_lose",E47&amp;"_draw")))</f>
        <v>Norway_lose</v>
      </c>
      <c r="T47" s="43" t="str">
        <f aca="false">IF(S47="","",IF(F47&lt;G47,H47&amp;"_win",IF(F47&gt;G47,H47&amp;"_lose",H47&amp;"_draw")))</f>
        <v>Senegal_win</v>
      </c>
      <c r="U47" s="42" t="n">
        <f aca="false">IF(S47="",0,IF(VLOOKUP(E47,$AE$8:$AN$77,10,FALSE())=VLOOKUP(H47,$AE$8:$AN$77,10,FALSE()),1,0))</f>
        <v>0</v>
      </c>
      <c r="V47" s="42" t="n">
        <f aca="false">U47*F47</f>
        <v>0</v>
      </c>
      <c r="W47" s="42" t="n">
        <f aca="false">U47*G47</f>
        <v>0</v>
      </c>
      <c r="X47" s="42" t="n">
        <f aca="false">IF(S47="",0,IF(VLOOKUP(E47,$AE$8:$AO$77,11,FALSE())=VLOOKUP(H47,$AE$8:$AO$77,11,FALSE()),1,0))</f>
        <v>0</v>
      </c>
      <c r="Y47" s="42" t="n">
        <f aca="false">X47*F47</f>
        <v>0</v>
      </c>
      <c r="Z47" s="42" t="n">
        <f aca="false">X47*G47</f>
        <v>0</v>
      </c>
      <c r="AA47" s="42" t="n">
        <f aca="false">IF(OR(E47=my_team,H47=my_team),1,IF(INT(MATCH(E47,$AE$8:$AE$78,0)/6)=$AA$6,1,0))</f>
        <v>0</v>
      </c>
      <c r="AB47" s="42" t="n">
        <f aca="false">IF(OR(F47="",G47=""),"",IF(F47&gt;G47,1,IF(F47&lt;G47,-1,0)))</f>
        <v>-1</v>
      </c>
      <c r="AD47" s="42" t="n">
        <f aca="false">COUNTIF(AR44:AR47,CONCATENATE("&gt;=",AR47))</f>
        <v>4</v>
      </c>
      <c r="AE47" s="44" t="str">
        <f aca="false">VLOOKUP("New Zealand",T,lang,FALSE())</f>
        <v>New Zealand</v>
      </c>
      <c r="AF47" s="42" t="n">
        <f aca="false">COUNTIF($S$7:$T$78,"=" &amp; AE47 &amp; "_win")</f>
        <v>0</v>
      </c>
      <c r="AG47" s="42" t="n">
        <f aca="false">COUNTIF($S$7:$T$78,"=" &amp; AE47 &amp; "_draw")</f>
        <v>0</v>
      </c>
      <c r="AH47" s="42" t="n">
        <f aca="false">COUNTIF($S$7:$T$78,"=" &amp; AE47 &amp; "_lose")</f>
        <v>3</v>
      </c>
      <c r="AI47" s="42" t="n">
        <f aca="false">SUMIF($E$7:$E$78,$AE47,$F$7:$F$78) + SUMIF($H$7:$H$78,$AE47,$G$7:$G$78)</f>
        <v>0</v>
      </c>
      <c r="AJ47" s="42" t="n">
        <f aca="false">SUMIF($E$7:$E$78,$AE47,$G$7:$G$78) + SUMIF($H$7:$H$78,$AE47,$F$7:$F$78)</f>
        <v>6</v>
      </c>
      <c r="AL47" s="42" t="n">
        <f aca="false">AI47-AJ47</f>
        <v>-6</v>
      </c>
      <c r="AM47" s="42" t="n">
        <f aca="false">AL47-AL48</f>
        <v>0</v>
      </c>
      <c r="AN47" s="42" t="n">
        <f aca="false">AF47*3+AG47</f>
        <v>0</v>
      </c>
      <c r="AO47" s="42" t="n">
        <f aca="false">AN47/AN48*10+BA47</f>
        <v>0</v>
      </c>
      <c r="AP47" s="42" t="n">
        <f aca="false">AO47*10000000+BI47*100+AM47/AM48*10+AI47/AI48*1++IF(AQ47=0,ROW(),AQ47)/2000000</f>
        <v>0.000640785</v>
      </c>
      <c r="AQ47" s="46" t="n">
        <f aca="false">VLOOKUP(AE47,db_fifarank,2,FALSE())</f>
        <v>1281.57</v>
      </c>
      <c r="AR47" s="45" t="n">
        <f aca="false">AP47/AP48</f>
        <v>7.11983246717254E-012</v>
      </c>
      <c r="AT47" s="46" t="n">
        <f aca="false" t="array" ref="AT47:AT47">SUMPRODUCT(($S$7:$S$78=AE47&amp;"_win")*($U$7:$U$78))+SUMPRODUCT(($T$7:$T$78=AE47&amp;"_win")*($U$7:$U$78))</f>
        <v>0</v>
      </c>
      <c r="AU47" s="46" t="n">
        <f aca="false" t="array" ref="AU47:AU47">SUMPRODUCT(($S$7:$S$78=AE47&amp;"_draw")*($U$7:$U$78))+SUMPRODUCT(($T$7:$T$78=AE47&amp;"_draw")*($U$7:$U$78))</f>
        <v>0</v>
      </c>
      <c r="AV47" s="46" t="n">
        <f aca="false" t="array" ref="AV47:AV47">SUMPRODUCT(($E$7:$E$78=AE47)*($U$7:$U$78)*($F$7:$F$78))+SUMPRODUCT(($H$7:$H$78=AE47)*($U$7:$U$78)*($G$7:$G$78))</f>
        <v>0</v>
      </c>
      <c r="AW47" s="46" t="n">
        <f aca="false" t="array" ref="AW47:AW47">SUMPRODUCT(($E$7:$E$78=AE47)*($U$7:$U$78)*($G$7:$G$78))+SUMPRODUCT(($H$7:$H$78=AE47)*($U$7:$U$78)*($F$7:$F$78))</f>
        <v>0</v>
      </c>
      <c r="AX47" s="46" t="n">
        <f aca="false">AV47-AW47</f>
        <v>0</v>
      </c>
      <c r="AY47" s="46" t="n">
        <f aca="false">AX47-MIN(AX44:AX47)</f>
        <v>0</v>
      </c>
      <c r="AZ47" s="46" t="n">
        <f aca="false">AT47/AT48*1000+AU47/AU48*100+AY47/AY48*10+AV47/AV48</f>
        <v>0</v>
      </c>
      <c r="BA47" s="46" t="n">
        <f aca="false">AZ47/AZ48</f>
        <v>0</v>
      </c>
      <c r="BB47" s="46" t="n">
        <f aca="false" t="array" ref="BB47:BB47">SUMPRODUCT(($S$7:$S$78=AE47&amp;"_win")*($X$7:$X$78))+SUMPRODUCT(($T$7:$T$78=AE47&amp;"_win")*($X$7:$X$78))</f>
        <v>0</v>
      </c>
      <c r="BC47" s="46" t="n">
        <f aca="false" t="array" ref="BC47:BC47">SUMPRODUCT(($S$7:$S$78=AE47&amp;"_draw")*($X$7:$X$78))+SUMPRODUCT(($T$7:$T$78=AE47&amp;"_draw")*($X$7:$X$78))</f>
        <v>0</v>
      </c>
      <c r="BD47" s="46" t="n">
        <f aca="false" t="array" ref="BD47:BD47">SUMPRODUCT(($E$7:$E$78=AE47)*($X$7:$X$78)*($F$7:$F$78))+SUMPRODUCT(($H$7:$H$78=AE47)*($X$7:$X$78)*($G$7:$G$78))</f>
        <v>0</v>
      </c>
      <c r="BE47" s="46" t="n">
        <f aca="false" t="array" ref="BE47:BE47">SUMPRODUCT(($E$7:$E$78=AE47)*($X$7:$X$78)*($G$7:$G$78))+SUMPRODUCT(($H$7:$H$78=AE47)*($X$7:$X$78)*($F$7:$F$78))</f>
        <v>0</v>
      </c>
      <c r="BF47" s="46" t="n">
        <f aca="false">BD47-BE47</f>
        <v>0</v>
      </c>
      <c r="BG47" s="46" t="n">
        <f aca="false">BF47-MIN(BF44:BF47)</f>
        <v>0</v>
      </c>
      <c r="BH47" s="46" t="n">
        <f aca="false">BB47/BB48*1000+BC47/BC48*100+BG47/BG48*10+BD47/BD48</f>
        <v>0</v>
      </c>
      <c r="BI47" s="46" t="n">
        <f aca="false">BH47/BH48</f>
        <v>0</v>
      </c>
      <c r="BK47" s="82"/>
      <c r="BL47" s="87" t="str">
        <f aca="false">AS57</f>
        <v>Senegal</v>
      </c>
      <c r="BM47" s="88" t="n">
        <v>1</v>
      </c>
      <c r="BN47" s="89"/>
      <c r="BO47" s="90"/>
      <c r="BP47" s="47" t="n">
        <f aca="false">IF(BP46="","",BM47*1000+BN47*10+BO47)</f>
        <v>1000</v>
      </c>
      <c r="BQ47" s="47"/>
      <c r="BR47" s="74"/>
      <c r="BS47" s="74"/>
      <c r="BT47" s="74"/>
      <c r="BU47" s="74"/>
      <c r="BV47" s="74"/>
      <c r="BW47" s="96"/>
      <c r="BX47" s="47"/>
      <c r="BY47" s="74" t="str">
        <f aca="false" t="array" ref="BY47: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74"/>
      <c r="CA47" s="74"/>
      <c r="CB47" s="74"/>
      <c r="CC47" s="92"/>
      <c r="CD47" s="47" t="n">
        <f aca="false">DATE(2026,7,11)+TIME(10,0,0)+gmt_delta</f>
        <v>46214.9583333333</v>
      </c>
      <c r="CK47" s="96"/>
      <c r="CL47" s="47"/>
      <c r="CM47" s="74" t="str">
        <f aca="false" t="array" ref="CM47: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74"/>
      <c r="CO47" s="74"/>
      <c r="CP47" s="74"/>
      <c r="CQ47" s="92"/>
      <c r="CR47" s="48" t="n">
        <f aca="false">DATE(2026,7,18)+TIME(10,0,0)+gmt_delta</f>
        <v>46221.9583333333</v>
      </c>
    </row>
    <row r="48" customFormat="false" ht="14.25" hidden="false" customHeight="true" outlineLevel="0" collapsed="false">
      <c r="A48" s="63" t="n">
        <v>42</v>
      </c>
      <c r="B48" s="64" t="str">
        <f aca="false" t="array" ref="B48:B48">INDEX(T,18+INT(MOD(R48-1,7)),lang)</f>
        <v>Mon</v>
      </c>
      <c r="C48" s="65" t="str">
        <f aca="false" t="array" ref="C48:C48">INDEX(T,24+MONTH(R48),lang) &amp; " " &amp; DAY(R48) &amp; ", " &amp; YEAR(R48)</f>
        <v>Jun 22, 2026</v>
      </c>
      <c r="D48" s="66" t="n">
        <f aca="false">TIME(HOUR(R48),MINUTE(R48),0)</f>
        <v>0.916666666666667</v>
      </c>
      <c r="E48" s="67" t="str">
        <f aca="false">AE56</f>
        <v>France</v>
      </c>
      <c r="F48" s="68" t="n">
        <v>2</v>
      </c>
      <c r="G48" s="69" t="n">
        <v>0</v>
      </c>
      <c r="H48" s="70" t="str">
        <f aca="false">AE58</f>
        <v>Iraq</v>
      </c>
      <c r="J48" s="93" t="str">
        <f aca="false">VLOOKUP(4,AD44:AN47,2,FALSE())</f>
        <v>New Zealand</v>
      </c>
      <c r="K48" s="94" t="n">
        <f aca="false">L48+M48+N48</f>
        <v>3</v>
      </c>
      <c r="L48" s="94" t="n">
        <f aca="false">VLOOKUP(4,AD44:AN47,3,FALSE())</f>
        <v>0</v>
      </c>
      <c r="M48" s="94" t="n">
        <f aca="false">VLOOKUP(4,AD44:AN47,4,FALSE())</f>
        <v>0</v>
      </c>
      <c r="N48" s="94" t="n">
        <f aca="false">VLOOKUP(4,AD44:AN47,5,FALSE())</f>
        <v>3</v>
      </c>
      <c r="O48" s="94" t="str">
        <f aca="false">VLOOKUP(4,AD44:AN47,6,FALSE()) &amp; " - " &amp; VLOOKUP(4,AD44:AN47,7,FALSE())</f>
        <v>0 - 6</v>
      </c>
      <c r="P48" s="95" t="n">
        <f aca="false">L48*3+M48</f>
        <v>0</v>
      </c>
      <c r="R48" s="42" t="n">
        <f aca="false">DATE(2026,6,22)+TIME(105,0,0)+gmt_delta</f>
        <v>46195.9166666667</v>
      </c>
      <c r="S48" s="43" t="str">
        <f aca="false">IF(OR(F48="",G48=""),"",IF(F48&gt;G48,E48&amp;"_win",IF(F48&lt;G48,E48&amp;"_lose",E48&amp;"_draw")))</f>
        <v>France_win</v>
      </c>
      <c r="T48" s="43" t="str">
        <f aca="false">IF(S48="","",IF(F48&lt;G48,H48&amp;"_win",IF(F48&gt;G48,H48&amp;"_lose",H48&amp;"_draw")))</f>
        <v>Iraq_lose</v>
      </c>
      <c r="U48" s="42" t="n">
        <f aca="false">IF(S48="",0,IF(VLOOKUP(E48,$AE$8:$AN$77,10,FALSE())=VLOOKUP(H48,$AE$8:$AN$77,10,FALSE()),1,0))</f>
        <v>0</v>
      </c>
      <c r="V48" s="42" t="n">
        <f aca="false">U48*F48</f>
        <v>0</v>
      </c>
      <c r="W48" s="42" t="n">
        <f aca="false">U48*G48</f>
        <v>0</v>
      </c>
      <c r="X48" s="42" t="n">
        <f aca="false">IF(S48="",0,IF(VLOOKUP(E48,$AE$8:$AO$77,11,FALSE())=VLOOKUP(H48,$AE$8:$AO$77,11,FALSE()),1,0))</f>
        <v>0</v>
      </c>
      <c r="Y48" s="42" t="n">
        <f aca="false">X48*F48</f>
        <v>0</v>
      </c>
      <c r="Z48" s="42" t="n">
        <f aca="false">X48*G48</f>
        <v>0</v>
      </c>
      <c r="AA48" s="42" t="n">
        <f aca="false">IF(OR(E48=my_team,H48=my_team),1,IF(INT(MATCH(E48,$AE$8:$AE$78,0)/6)=$AA$6,1,0))</f>
        <v>0</v>
      </c>
      <c r="AB48" s="42" t="n">
        <f aca="false">IF(OR(F48="",G48=""),"",IF(F48&gt;G48,1,IF(F48&lt;G48,-1,0)))</f>
        <v>1</v>
      </c>
      <c r="AF48" s="42" t="n">
        <f aca="false">MAX(AF44:AF47)-MIN(AF44:AF47)+1</f>
        <v>4</v>
      </c>
      <c r="AG48" s="42" t="n">
        <f aca="false">MAX(AG44:AG47)-MIN(AG44:AG47)+1</f>
        <v>1</v>
      </c>
      <c r="AH48" s="42" t="n">
        <f aca="false">MAX(AH44:AH47)-MIN(AH44:AH47)+1</f>
        <v>4</v>
      </c>
      <c r="AI48" s="42" t="n">
        <f aca="false">MAX(AI44:AI47)+1</f>
        <v>7</v>
      </c>
      <c r="AL48" s="42" t="n">
        <f aca="false">MIN(AL44:AL47)</f>
        <v>-6</v>
      </c>
      <c r="AM48" s="42" t="n">
        <f aca="false">MAX(AM44:AM47)+1</f>
        <v>11</v>
      </c>
      <c r="AN48" s="42" t="n">
        <f aca="false">MAX(AN44:AN47)+1</f>
        <v>10</v>
      </c>
      <c r="AO48" s="42" t="n">
        <f aca="false">MAX(AO44:AO47)+1</f>
        <v>10</v>
      </c>
      <c r="AP48" s="42" t="n">
        <f aca="false">MAX(AP44:AP47)+1</f>
        <v>90000010.9489193</v>
      </c>
      <c r="AT48" s="46" t="n">
        <f aca="false">MAX(AT44:AT47)-MIN(AT44:AT47)+1</f>
        <v>1</v>
      </c>
      <c r="AU48" s="46" t="n">
        <f aca="false">MAX(AU44:AU47)-MIN(AU44:AU47)+1</f>
        <v>1</v>
      </c>
      <c r="AV48" s="46" t="n">
        <f aca="false">MAX(AV44:AV47)-MIN(AV44:AV47)+1</f>
        <v>1</v>
      </c>
      <c r="AW48" s="46" t="n">
        <f aca="false">MAX(AW44:AW47)-MIN(AW44:AW47)+1</f>
        <v>1</v>
      </c>
      <c r="AY48" s="46" t="n">
        <f aca="false">MAX(AY44:AY47)-MIN(AY44:AY47)+1</f>
        <v>1</v>
      </c>
      <c r="AZ48" s="46" t="n">
        <f aca="false">MAX(AZ44:AZ47)+1</f>
        <v>1</v>
      </c>
      <c r="BB48" s="46" t="n">
        <f aca="false">MAX(BB44:BB47)-MIN(BB44:BB47)+1</f>
        <v>1</v>
      </c>
      <c r="BC48" s="46" t="n">
        <f aca="false">MAX(BC44:BC47)-MIN(BC44:BC47)+1</f>
        <v>1</v>
      </c>
      <c r="BD48" s="46" t="n">
        <f aca="false">MAX(BD44:BD47)-MIN(BD44:BD47)+1</f>
        <v>1</v>
      </c>
      <c r="BE48" s="46" t="n">
        <f aca="false">MAX(BE44:BE47)-MIN(BE44:BE47)+1</f>
        <v>1</v>
      </c>
      <c r="BG48" s="46" t="n">
        <f aca="false">MAX(BG44:BG47)-MIN(BG44:BG47)+1</f>
        <v>1</v>
      </c>
      <c r="BH48" s="46" t="n">
        <f aca="false">MAX(BH44:BH47)+1</f>
        <v>1</v>
      </c>
      <c r="BK48" s="74"/>
      <c r="BL48" s="74"/>
      <c r="BM48" s="74"/>
      <c r="BN48" s="74"/>
      <c r="BO48" s="74"/>
      <c r="BP48" s="47"/>
      <c r="BQ48" s="47"/>
      <c r="BR48" s="74"/>
      <c r="BS48" s="74"/>
      <c r="BT48" s="74"/>
      <c r="BU48" s="74"/>
      <c r="BV48" s="74"/>
      <c r="BW48" s="96"/>
      <c r="BX48" s="47"/>
      <c r="BY48" s="82" t="n">
        <v>99</v>
      </c>
      <c r="BZ48" s="83" t="str">
        <f aca="false">IF(BW44&gt;BW45,BS44,IF(BW44&lt;BW45,BS45,""))</f>
        <v>Brazil</v>
      </c>
      <c r="CA48" s="84" t="n">
        <v>0</v>
      </c>
      <c r="CB48" s="85"/>
      <c r="CC48" s="86"/>
      <c r="CD48" s="47" t="n">
        <f aca="false">IF(OR(CA48="",CA49="",AND(CB48="",CB49&lt;&gt;""),AND(CB49="",CB48&lt;&gt;""),AND(CC48="",CC49&lt;&gt;""),AND(CC49="",CC48&lt;&gt;"")),"",CA48*1000+CB48*10+CC48)</f>
        <v>0</v>
      </c>
      <c r="CK48" s="96"/>
      <c r="CL48" s="47"/>
      <c r="CM48" s="82" t="n">
        <v>103</v>
      </c>
      <c r="CN48" s="83" t="str">
        <f aca="false">IF(CK23&gt;CK24,CG24,IF(CK23&lt;CK24,CG23,""))</f>
        <v>Spain</v>
      </c>
      <c r="CO48" s="84" t="n">
        <v>1</v>
      </c>
      <c r="CP48" s="85"/>
      <c r="CQ48" s="86"/>
      <c r="CR48" s="48" t="n">
        <f aca="false">IF(OR(CO48="",CO49="",AND(CP48="",CP49&lt;&gt;""),AND(CP49="",CP48&lt;&gt;""),AND(CQ48="",CQ49&lt;&gt;""),AND(CQ49="",CQ48&lt;&gt;"")),"",CO48*1000+CP48*10+CQ48)</f>
        <v>1000</v>
      </c>
    </row>
    <row r="49" customFormat="false" ht="14.25" hidden="false" customHeight="true" outlineLevel="0" collapsed="false">
      <c r="A49" s="63" t="n">
        <v>43</v>
      </c>
      <c r="B49" s="64" t="str">
        <f aca="false" t="array" ref="B49:B49">INDEX(T,18+INT(MOD(R49-1,7)),lang)</f>
        <v>Mon</v>
      </c>
      <c r="C49" s="65" t="str">
        <f aca="false" t="array" ref="C49:C49">INDEX(T,24+MONTH(R49),lang) &amp; " " &amp; DAY(R49) &amp; ", " &amp; YEAR(R49)</f>
        <v>Jun 22, 2026</v>
      </c>
      <c r="D49" s="66" t="n">
        <f aca="false">TIME(HOUR(R49),MINUTE(R49),0)</f>
        <v>0.791666666666667</v>
      </c>
      <c r="E49" s="67" t="str">
        <f aca="false">AE62</f>
        <v>Argentina</v>
      </c>
      <c r="F49" s="68" t="n">
        <v>2</v>
      </c>
      <c r="G49" s="69" t="n">
        <v>0</v>
      </c>
      <c r="H49" s="70" t="str">
        <f aca="false">AE64</f>
        <v>Austria</v>
      </c>
      <c r="R49" s="42" t="n">
        <f aca="false">DATE(2026,6,22)+TIME(6,0,0)+gmt_delta</f>
        <v>46195.7916666667</v>
      </c>
      <c r="S49" s="43" t="str">
        <f aca="false">IF(OR(F49="",G49=""),"",IF(F49&gt;G49,E49&amp;"_win",IF(F49&lt;G49,E49&amp;"_lose",E49&amp;"_draw")))</f>
        <v>Argentina_win</v>
      </c>
      <c r="T49" s="43" t="str">
        <f aca="false">IF(S49="","",IF(F49&lt;G49,H49&amp;"_win",IF(F49&gt;G49,H49&amp;"_lose",H49&amp;"_draw")))</f>
        <v>Austria_lose</v>
      </c>
      <c r="U49" s="42" t="n">
        <f aca="false">IF(S49="",0,IF(VLOOKUP(E49,$AE$8:$AN$77,10,FALSE())=VLOOKUP(H49,$AE$8:$AN$77,10,FALSE()),1,0))</f>
        <v>0</v>
      </c>
      <c r="V49" s="42" t="n">
        <f aca="false">U49*F49</f>
        <v>0</v>
      </c>
      <c r="W49" s="42" t="n">
        <f aca="false">U49*G49</f>
        <v>0</v>
      </c>
      <c r="X49" s="42" t="n">
        <f aca="false">IF(S49="",0,IF(VLOOKUP(E49,$AE$8:$AO$77,11,FALSE())=VLOOKUP(H49,$AE$8:$AO$77,11,FALSE()),1,0))</f>
        <v>0</v>
      </c>
      <c r="Y49" s="42" t="n">
        <f aca="false">X49*F49</f>
        <v>0</v>
      </c>
      <c r="Z49" s="42" t="n">
        <f aca="false">X49*G49</f>
        <v>0</v>
      </c>
      <c r="AA49" s="42" t="n">
        <f aca="false">IF(OR(E49=my_team,H49=my_team),1,IF(INT(MATCH(E49,$AE$8:$AE$78,0)/6)=$AA$6,1,0))</f>
        <v>0</v>
      </c>
      <c r="AB49" s="42" t="n">
        <f aca="false">IF(OR(F49="",G49=""),"",IF(F49&gt;G49,1,IF(F49&lt;G49,-1,0)))</f>
        <v>1</v>
      </c>
      <c r="BK49" s="74" t="str">
        <f aca="false" t="array" ref="BK49: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74"/>
      <c r="BM49" s="74"/>
      <c r="BN49" s="74"/>
      <c r="BO49" s="92"/>
      <c r="BP49" s="47" t="n">
        <f aca="false">DATE(2026,6,30)+TIME(14,0,0)+gmt_delta</f>
        <v>46204.125</v>
      </c>
      <c r="BQ49" s="47"/>
      <c r="BR49" s="74"/>
      <c r="BS49" s="74"/>
      <c r="BT49" s="74"/>
      <c r="BU49" s="74"/>
      <c r="BV49" s="74"/>
      <c r="BW49" s="96"/>
      <c r="BX49" s="97"/>
      <c r="BY49" s="82"/>
      <c r="BZ49" s="87" t="str">
        <f aca="false">IF(BW52&gt;BW53,BS52,IF(BW52&lt;BW53,BS53,""))</f>
        <v>England</v>
      </c>
      <c r="CA49" s="88" t="n">
        <v>1</v>
      </c>
      <c r="CB49" s="89"/>
      <c r="CC49" s="90"/>
      <c r="CD49" s="91" t="n">
        <f aca="false">IF(CD48="","",CA49*1000+CB49*10+CC49)</f>
        <v>1000</v>
      </c>
      <c r="CK49" s="96"/>
      <c r="CL49" s="97"/>
      <c r="CM49" s="82"/>
      <c r="CN49" s="87" t="str">
        <f aca="false">IF(CK55&gt;CK56,CG56,IF(CK55&lt;CK56,CG55,""))</f>
        <v>England</v>
      </c>
      <c r="CO49" s="88" t="n">
        <v>0</v>
      </c>
      <c r="CP49" s="89"/>
      <c r="CQ49" s="90"/>
      <c r="CR49" s="48" t="n">
        <f aca="false">IF(CR48="","",CO49*1000+CP49*10+CQ49)</f>
        <v>0</v>
      </c>
    </row>
    <row r="50" customFormat="false" ht="14.25" hidden="false" customHeight="true" outlineLevel="0" collapsed="false">
      <c r="A50" s="63" t="n">
        <v>44</v>
      </c>
      <c r="B50" s="64" t="str">
        <f aca="false" t="array" ref="B50:B50">INDEX(T,18+INT(MOD(R50-1,7)),lang)</f>
        <v>Tue</v>
      </c>
      <c r="C50" s="65" t="str">
        <f aca="false" t="array" ref="C50:C50">INDEX(T,24+MONTH(R50),lang) &amp; " " &amp; DAY(R50) &amp; ", " &amp; YEAR(R50)</f>
        <v>Jun 23, 2026</v>
      </c>
      <c r="D50" s="66" t="n">
        <f aca="false">TIME(HOUR(R50),MINUTE(R50),0)</f>
        <v>0.208333333333333</v>
      </c>
      <c r="E50" s="67" t="str">
        <f aca="false">AE65</f>
        <v>Jordan</v>
      </c>
      <c r="F50" s="68" t="n">
        <v>1</v>
      </c>
      <c r="G50" s="69" t="n">
        <v>2</v>
      </c>
      <c r="H50" s="70" t="str">
        <f aca="false">AE63</f>
        <v>Algeria</v>
      </c>
      <c r="J50" s="71" t="str">
        <f aca="false" t="array" ref="J50:J50">INDEX(T,9,lang) &amp; " " &amp; "H"</f>
        <v>Group H</v>
      </c>
      <c r="K50" s="72" t="str">
        <f aca="false" t="array" ref="K50:K50">INDEX(T,10,lang)</f>
        <v>PL</v>
      </c>
      <c r="L50" s="72" t="str">
        <f aca="false" t="array" ref="L50:L50">INDEX(T,11,lang)</f>
        <v>W</v>
      </c>
      <c r="M50" s="72" t="str">
        <f aca="false" t="array" ref="M50:M50">INDEX(T,12,lang)</f>
        <v>DRAW</v>
      </c>
      <c r="N50" s="72" t="str">
        <f aca="false" t="array" ref="N50:N50">INDEX(T,13,lang)</f>
        <v>L</v>
      </c>
      <c r="O50" s="72" t="str">
        <f aca="false" t="array" ref="O50:O50">INDEX(T,14,lang)</f>
        <v>GF - GA</v>
      </c>
      <c r="P50" s="73" t="str">
        <f aca="false" t="array" ref="P50:P50">INDEX(T,15,lang)</f>
        <v>PNT</v>
      </c>
      <c r="R50" s="42" t="n">
        <f aca="false">DATE(2026,6,22)+TIME(16,0,0)+gmt_delta</f>
        <v>46196.2083333333</v>
      </c>
      <c r="S50" s="43" t="str">
        <f aca="false">IF(OR(F50="",G50=""),"",IF(F50&gt;G50,E50&amp;"_win",IF(F50&lt;G50,E50&amp;"_lose",E50&amp;"_draw")))</f>
        <v>Jordan_lose</v>
      </c>
      <c r="T50" s="43" t="str">
        <f aca="false">IF(S50="","",IF(F50&lt;G50,H50&amp;"_win",IF(F50&gt;G50,H50&amp;"_lose",H50&amp;"_draw")))</f>
        <v>Algeria_win</v>
      </c>
      <c r="U50" s="42" t="n">
        <f aca="false">IF(S50="",0,IF(VLOOKUP(E50,$AE$8:$AN$77,10,FALSE())=VLOOKUP(H50,$AE$8:$AN$77,10,FALSE()),1,0))</f>
        <v>0</v>
      </c>
      <c r="V50" s="42" t="n">
        <f aca="false">U50*F50</f>
        <v>0</v>
      </c>
      <c r="W50" s="42" t="n">
        <f aca="false">U50*G50</f>
        <v>0</v>
      </c>
      <c r="X50" s="42" t="n">
        <f aca="false">IF(S50="",0,IF(VLOOKUP(E50,$AE$8:$AO$77,11,FALSE())=VLOOKUP(H50,$AE$8:$AO$77,11,FALSE()),1,0))</f>
        <v>0</v>
      </c>
      <c r="Y50" s="42" t="n">
        <f aca="false">X50*F50</f>
        <v>0</v>
      </c>
      <c r="Z50" s="42" t="n">
        <f aca="false">X50*G50</f>
        <v>0</v>
      </c>
      <c r="AA50" s="42" t="n">
        <f aca="false">IF(OR(E50=my_team,H50=my_team),1,IF(INT(MATCH(E50,$AE$8:$AE$78,0)/6)=$AA$6,1,0))</f>
        <v>0</v>
      </c>
      <c r="AB50" s="42" t="n">
        <f aca="false">IF(OR(F50="",G50=""),"",IF(F50&gt;G50,1,IF(F50&lt;G50,-1,0)))</f>
        <v>-1</v>
      </c>
      <c r="AD50" s="42" t="n">
        <f aca="false">COUNTIF(AR50:AR53,CONCATENATE("&gt;=",AR50))</f>
        <v>1</v>
      </c>
      <c r="AE50" s="44" t="str">
        <f aca="false">VLOOKUP("Spain",T,lang,FALSE())</f>
        <v>Spain</v>
      </c>
      <c r="AF50" s="42" t="n">
        <f aca="false">COUNTIF($S$7:$T$78,"=" &amp; AE50 &amp; "_win")</f>
        <v>3</v>
      </c>
      <c r="AG50" s="42" t="n">
        <f aca="false">COUNTIF($S$7:$T$78,"=" &amp; AE50 &amp; "_draw")</f>
        <v>0</v>
      </c>
      <c r="AH50" s="42" t="n">
        <f aca="false">COUNTIF($S$7:$T$78,"=" &amp; AE50 &amp; "_lose")</f>
        <v>0</v>
      </c>
      <c r="AI50" s="42" t="n">
        <f aca="false">SUMIF($E$7:$E$78,$AE50,$F$7:$F$78) + SUMIF($H$7:$H$78,$AE50,$G$7:$G$78)</f>
        <v>6</v>
      </c>
      <c r="AJ50" s="42" t="n">
        <f aca="false">SUMIF($E$7:$E$78,$AE50,$G$7:$G$78) + SUMIF($H$7:$H$78,$AE50,$F$7:$F$78)</f>
        <v>0</v>
      </c>
      <c r="AL50" s="42" t="n">
        <f aca="false">AI50-AJ50</f>
        <v>6</v>
      </c>
      <c r="AM50" s="42" t="n">
        <f aca="false">AL50-AL54</f>
        <v>11</v>
      </c>
      <c r="AN50" s="42" t="n">
        <f aca="false">AF50*3+AG50</f>
        <v>9</v>
      </c>
      <c r="AO50" s="42" t="n">
        <f aca="false">AN50/AN54*10+BA50</f>
        <v>9</v>
      </c>
      <c r="AP50" s="42" t="n">
        <f aca="false">AO50*10000000+BI50*100+AM50/AM54*10+AI50/AI54*1++IF(AQ50=0,ROW(),AQ50)/2000000</f>
        <v>90000010.0247477</v>
      </c>
      <c r="AQ50" s="46" t="n">
        <f aca="false">VLOOKUP(AE50,db_fifarank,2,FALSE())</f>
        <v>1876.4</v>
      </c>
      <c r="AR50" s="45" t="n">
        <f aca="false">AP50/AP54</f>
        <v>0.99999998888889</v>
      </c>
      <c r="AS50" s="45" t="str">
        <f aca="false">IF(SUM(AF50:AH53)=12,J51,"1H")</f>
        <v>Spain</v>
      </c>
      <c r="AT50" s="46" t="n">
        <f aca="false" t="array" ref="AT50:AT50">SUMPRODUCT(($S$7:$S$78=AE50&amp;"_win")*($U$7:$U$78))+SUMPRODUCT(($T$7:$T$78=AE50&amp;"_win")*($U$7:$U$78))</f>
        <v>0</v>
      </c>
      <c r="AU50" s="46" t="n">
        <f aca="false" t="array" ref="AU50:AU50">SUMPRODUCT(($S$7:$S$78=AE50&amp;"_draw")*($U$7:$U$78))+SUMPRODUCT(($T$7:$T$78=AE50&amp;"_draw")*($U$7:$U$78))</f>
        <v>0</v>
      </c>
      <c r="AV50" s="46" t="n">
        <f aca="false" t="array" ref="AV50:AV50">SUMPRODUCT(($E$7:$E$78=AE50)*($U$7:$U$78)*($F$7:$F$78))+SUMPRODUCT(($H$7:$H$78=AE50)*($U$7:$U$78)*($G$7:$G$78))</f>
        <v>0</v>
      </c>
      <c r="AW50" s="46" t="n">
        <f aca="false" t="array" ref="AW50:AW50">SUMPRODUCT(($E$7:$E$78=AE50)*($U$7:$U$78)*($G$7:$G$78))+SUMPRODUCT(($H$7:$H$78=AE50)*($U$7:$U$78)*($F$7:$F$78))</f>
        <v>0</v>
      </c>
      <c r="AX50" s="46" t="n">
        <f aca="false">AV50-AW50</f>
        <v>0</v>
      </c>
      <c r="AY50" s="46" t="n">
        <f aca="false">AX50-MIN(AX50:AX53)</f>
        <v>0</v>
      </c>
      <c r="AZ50" s="46" t="n">
        <f aca="false">AT50/AT54*1000+AU50/AU54*100+AY50/AY54*10+AV50/AV54</f>
        <v>0</v>
      </c>
      <c r="BA50" s="46" t="n">
        <f aca="false">AZ50/AZ54</f>
        <v>0</v>
      </c>
      <c r="BB50" s="46" t="n">
        <f aca="false" t="array" ref="BB50:BB50">SUMPRODUCT(($S$7:$S$78=AE50&amp;"_win")*($X$7:$X$78))+SUMPRODUCT(($T$7:$T$78=AE50&amp;"_win")*($X$7:$X$78))</f>
        <v>0</v>
      </c>
      <c r="BC50" s="46" t="n">
        <f aca="false" t="array" ref="BC50:BC50">SUMPRODUCT(($S$7:$S$78=AE50&amp;"_draw")*($X$7:$X$78))+SUMPRODUCT(($T$7:$T$78=AE50&amp;"_draw")*($X$7:$X$78))</f>
        <v>0</v>
      </c>
      <c r="BD50" s="46" t="n">
        <f aca="false" t="array" ref="BD50:BD50">SUMPRODUCT(($E$7:$E$78=AE50)*($X$7:$X$78)*($F$7:$F$78))+SUMPRODUCT(($H$7:$H$78=AE50)*($X$7:$X$78)*($G$7:$G$78))</f>
        <v>0</v>
      </c>
      <c r="BE50" s="46" t="n">
        <f aca="false" t="array" ref="BE50:BE50">SUMPRODUCT(($E$7:$E$78=AE50)*($X$7:$X$78)*($G$7:$G$78))+SUMPRODUCT(($H$7:$H$78=AE50)*($X$7:$X$78)*($F$7:$F$78))</f>
        <v>0</v>
      </c>
      <c r="BF50" s="46" t="n">
        <f aca="false">BD50-BE50</f>
        <v>0</v>
      </c>
      <c r="BG50" s="46" t="n">
        <f aca="false">BF50-MIN(BF50:BF53)</f>
        <v>0</v>
      </c>
      <c r="BH50" s="46" t="n">
        <f aca="false">BB50/BB54*1000+BC50/BC54*100+BG50/BG54*10+BD50/BD54</f>
        <v>0</v>
      </c>
      <c r="BI50" s="46" t="n">
        <f aca="false">BH50/BH54</f>
        <v>0</v>
      </c>
      <c r="BK50" s="82" t="n">
        <v>79</v>
      </c>
      <c r="BL50" s="83" t="str">
        <f aca="false">AS8</f>
        <v>Mexico</v>
      </c>
      <c r="BM50" s="84" t="n">
        <v>1</v>
      </c>
      <c r="BN50" s="85"/>
      <c r="BO50" s="86"/>
      <c r="BP50" s="47" t="n">
        <f aca="false">IF(OR(BM50="",BM51="",AND(BN50="",BN51&lt;&gt;""),AND(BN51="",BN50&lt;&gt;""),AND(BO50="",BO51&lt;&gt;""),AND(BO51="",BO50&lt;&gt;"")),"",BM50*1000+BN50*10+BO50)</f>
        <v>1000</v>
      </c>
      <c r="BQ50" s="47"/>
      <c r="BR50" s="74"/>
      <c r="BS50" s="74"/>
      <c r="BT50" s="74"/>
      <c r="BU50" s="74"/>
      <c r="BV50" s="74"/>
      <c r="BW50" s="96"/>
      <c r="BX50" s="47"/>
      <c r="BY50" s="74"/>
      <c r="BZ50" s="74"/>
      <c r="CA50" s="74"/>
      <c r="CB50" s="74"/>
      <c r="CC50" s="74"/>
      <c r="CD50" s="96"/>
      <c r="CK50" s="96"/>
      <c r="CL50" s="47"/>
    </row>
    <row r="51" customFormat="false" ht="14.25" hidden="false" customHeight="true" outlineLevel="0" collapsed="false">
      <c r="A51" s="63" t="n">
        <v>45</v>
      </c>
      <c r="B51" s="64" t="str">
        <f aca="false" t="array" ref="B51:B51">INDEX(T,18+INT(MOD(R51-1,7)),lang)</f>
        <v>Tue</v>
      </c>
      <c r="C51" s="65" t="str">
        <f aca="false" t="array" ref="C51:C51">INDEX(T,24+MONTH(R51),lang) &amp; " " &amp; DAY(R51) &amp; ", " &amp; YEAR(R51)</f>
        <v>Jun 23, 2026</v>
      </c>
      <c r="D51" s="66" t="n">
        <f aca="false">TIME(HOUR(R51),MINUTE(R51),0)</f>
        <v>0.916666666666667</v>
      </c>
      <c r="E51" s="67" t="str">
        <f aca="false">AE74</f>
        <v>England</v>
      </c>
      <c r="F51" s="68" t="n">
        <v>2</v>
      </c>
      <c r="G51" s="69" t="n">
        <v>0</v>
      </c>
      <c r="H51" s="70" t="str">
        <f aca="false">AE76</f>
        <v>Ghana</v>
      </c>
      <c r="J51" s="75" t="str">
        <f aca="false">VLOOKUP(1,AD50:AN53,2,FALSE())</f>
        <v>Spain</v>
      </c>
      <c r="K51" s="76" t="n">
        <f aca="false">L51+M51+N51</f>
        <v>3</v>
      </c>
      <c r="L51" s="76" t="n">
        <f aca="false">VLOOKUP(1,AD50:AN53,3,FALSE())</f>
        <v>3</v>
      </c>
      <c r="M51" s="76" t="n">
        <f aca="false">VLOOKUP(1,AD50:AN53,4,FALSE())</f>
        <v>0</v>
      </c>
      <c r="N51" s="76" t="n">
        <f aca="false">VLOOKUP(1,AD50:AN53,5,FALSE())</f>
        <v>0</v>
      </c>
      <c r="O51" s="76" t="str">
        <f aca="false">VLOOKUP(1,AD50:AN53,6,FALSE()) &amp; " - " &amp; VLOOKUP(1,AD50:AN53,7,FALSE())</f>
        <v>6 - 0</v>
      </c>
      <c r="P51" s="77" t="n">
        <f aca="false">L51*3+M51</f>
        <v>9</v>
      </c>
      <c r="R51" s="42" t="n">
        <f aca="false">DATE(2026,6,23)+TIME(9,0,0)+gmt_delta</f>
        <v>46196.9166666667</v>
      </c>
      <c r="S51" s="43" t="str">
        <f aca="false">IF(OR(F51="",G51=""),"",IF(F51&gt;G51,E51&amp;"_win",IF(F51&lt;G51,E51&amp;"_lose",E51&amp;"_draw")))</f>
        <v>England_win</v>
      </c>
      <c r="T51" s="43" t="str">
        <f aca="false">IF(S51="","",IF(F51&lt;G51,H51&amp;"_win",IF(F51&gt;G51,H51&amp;"_lose",H51&amp;"_draw")))</f>
        <v>Ghana_lose</v>
      </c>
      <c r="U51" s="42" t="n">
        <f aca="false">IF(S51="",0,IF(VLOOKUP(E51,$AE$8:$AN$77,10,FALSE())=VLOOKUP(H51,$AE$8:$AN$77,10,FALSE()),1,0))</f>
        <v>0</v>
      </c>
      <c r="V51" s="42" t="n">
        <f aca="false">U51*F51</f>
        <v>0</v>
      </c>
      <c r="W51" s="42" t="n">
        <f aca="false">U51*G51</f>
        <v>0</v>
      </c>
      <c r="X51" s="42" t="n">
        <f aca="false">IF(S51="",0,IF(VLOOKUP(E51,$AE$8:$AO$77,11,FALSE())=VLOOKUP(H51,$AE$8:$AO$77,11,FALSE()),1,0))</f>
        <v>0</v>
      </c>
      <c r="Y51" s="42" t="n">
        <f aca="false">X51*F51</f>
        <v>0</v>
      </c>
      <c r="Z51" s="42" t="n">
        <f aca="false">X51*G51</f>
        <v>0</v>
      </c>
      <c r="AA51" s="42" t="n">
        <f aca="false">IF(OR(E51=my_team,H51=my_team),1,IF(INT(MATCH(E51,$AE$8:$AE$78,0)/6)=$AA$6,1,0))</f>
        <v>0</v>
      </c>
      <c r="AB51" s="42" t="n">
        <f aca="false">IF(OR(F51="",G51=""),"",IF(F51&gt;G51,1,IF(F51&lt;G51,-1,0)))</f>
        <v>1</v>
      </c>
      <c r="AD51" s="42" t="n">
        <f aca="false">COUNTIF(AR50:AR53,CONCATENATE("&gt;=",AR51))</f>
        <v>4</v>
      </c>
      <c r="AE51" s="44" t="str">
        <f aca="false">VLOOKUP("Cape Verde",T,lang,FALSE())</f>
        <v>Cape Verde</v>
      </c>
      <c r="AF51" s="42" t="n">
        <f aca="false">COUNTIF($S$7:$T$78,"=" &amp; AE51 &amp; "_win")</f>
        <v>0</v>
      </c>
      <c r="AG51" s="42" t="n">
        <f aca="false">COUNTIF($S$7:$T$78,"=" &amp; AE51 &amp; "_draw")</f>
        <v>0</v>
      </c>
      <c r="AH51" s="42" t="n">
        <f aca="false">COUNTIF($S$7:$T$78,"=" &amp; AE51 &amp; "_lose")</f>
        <v>3</v>
      </c>
      <c r="AI51" s="42" t="n">
        <f aca="false">SUMIF($E$7:$E$78,$AE51,$F$7:$F$78) + SUMIF($H$7:$H$78,$AE51,$G$7:$G$78)</f>
        <v>0</v>
      </c>
      <c r="AJ51" s="42" t="n">
        <f aca="false">SUMIF($E$7:$E$78,$AE51,$G$7:$G$78) + SUMIF($H$7:$H$78,$AE51,$F$7:$F$78)</f>
        <v>5</v>
      </c>
      <c r="AL51" s="42" t="n">
        <f aca="false">AI51-AJ51</f>
        <v>-5</v>
      </c>
      <c r="AM51" s="42" t="n">
        <f aca="false">AL51-AL54</f>
        <v>0</v>
      </c>
      <c r="AN51" s="42" t="n">
        <f aca="false">AF51*3+AG51</f>
        <v>0</v>
      </c>
      <c r="AO51" s="42" t="n">
        <f aca="false">AN51/AN54*10+BA51</f>
        <v>0</v>
      </c>
      <c r="AP51" s="42" t="n">
        <f aca="false">AO51*10000000+BI51*100+AM51/AM54*10+AI51/AI54*1++IF(AQ51=0,ROW(),AQ51)/2000000</f>
        <v>0.000683065</v>
      </c>
      <c r="AQ51" s="46" t="n">
        <f aca="false">VLOOKUP(AE51,db_fifarank,2,FALSE())</f>
        <v>1366.13</v>
      </c>
      <c r="AR51" s="45" t="n">
        <f aca="false">AP51/AP54</f>
        <v>7.58961018140514E-012</v>
      </c>
      <c r="AS51" s="45" t="str">
        <f aca="false">IF(SUM(AF50:AH53)=12,J52,"2H")</f>
        <v>Uruguay</v>
      </c>
      <c r="AT51" s="46" t="n">
        <f aca="false" t="array" ref="AT51:AT51">SUMPRODUCT(($S$7:$S$78=AE51&amp;"_win")*($U$7:$U$78))+SUMPRODUCT(($T$7:$T$78=AE51&amp;"_win")*($U$7:$U$78))</f>
        <v>0</v>
      </c>
      <c r="AU51" s="46" t="n">
        <f aca="false" t="array" ref="AU51:AU51">SUMPRODUCT(($S$7:$S$78=AE51&amp;"_draw")*($U$7:$U$78))+SUMPRODUCT(($T$7:$T$78=AE51&amp;"_draw")*($U$7:$U$78))</f>
        <v>0</v>
      </c>
      <c r="AV51" s="46" t="n">
        <f aca="false" t="array" ref="AV51:AV51">SUMPRODUCT(($E$7:$E$78=AE51)*($U$7:$U$78)*($F$7:$F$78))+SUMPRODUCT(($H$7:$H$78=AE51)*($U$7:$U$78)*($G$7:$G$78))</f>
        <v>0</v>
      </c>
      <c r="AW51" s="46" t="n">
        <f aca="false" t="array" ref="AW51:AW51">SUMPRODUCT(($E$7:$E$78=AE51)*($U$7:$U$78)*($G$7:$G$78))+SUMPRODUCT(($H$7:$H$78=AE51)*($U$7:$U$78)*($F$7:$F$78))</f>
        <v>0</v>
      </c>
      <c r="AX51" s="46" t="n">
        <f aca="false">AV51-AW51</f>
        <v>0</v>
      </c>
      <c r="AY51" s="46" t="n">
        <f aca="false">AX51-MIN(AX50:AX53)</f>
        <v>0</v>
      </c>
      <c r="AZ51" s="46" t="n">
        <f aca="false">AT51/AT54*1000+AU51/AU54*100+AY51/AY54*10+AV51/AV54</f>
        <v>0</v>
      </c>
      <c r="BA51" s="46" t="n">
        <f aca="false">AZ51/AZ54</f>
        <v>0</v>
      </c>
      <c r="BB51" s="46" t="n">
        <f aca="false" t="array" ref="BB51:BB51">SUMPRODUCT(($S$7:$S$78=AE51&amp;"_win")*($X$7:$X$78))+SUMPRODUCT(($T$7:$T$78=AE51&amp;"_win")*($X$7:$X$78))</f>
        <v>0</v>
      </c>
      <c r="BC51" s="46" t="n">
        <f aca="false" t="array" ref="BC51:BC51">SUMPRODUCT(($S$7:$S$78=AE51&amp;"_draw")*($X$7:$X$78))+SUMPRODUCT(($T$7:$T$78=AE51&amp;"_draw")*($X$7:$X$78))</f>
        <v>0</v>
      </c>
      <c r="BD51" s="46" t="n">
        <f aca="false" t="array" ref="BD51:BD51">SUMPRODUCT(($E$7:$E$78=AE51)*($X$7:$X$78)*($F$7:$F$78))+SUMPRODUCT(($H$7:$H$78=AE51)*($X$7:$X$78)*($G$7:$G$78))</f>
        <v>0</v>
      </c>
      <c r="BE51" s="46" t="n">
        <f aca="false" t="array" ref="BE51:BE51">SUMPRODUCT(($E$7:$E$78=AE51)*($X$7:$X$78)*($G$7:$G$78))+SUMPRODUCT(($H$7:$H$78=AE51)*($X$7:$X$78)*($F$7:$F$78))</f>
        <v>0</v>
      </c>
      <c r="BF51" s="46" t="n">
        <f aca="false">BD51-BE51</f>
        <v>0</v>
      </c>
      <c r="BG51" s="46" t="n">
        <f aca="false">BF51-MIN(BF50:BF53)</f>
        <v>0</v>
      </c>
      <c r="BH51" s="46" t="n">
        <f aca="false">BB51/BB54*1000+BC51/BC54*100+BG51/BG54*10+BD51/BD54</f>
        <v>0</v>
      </c>
      <c r="BI51" s="46" t="n">
        <f aca="false">BH51/BH54</f>
        <v>0</v>
      </c>
      <c r="BK51" s="82"/>
      <c r="BL51" s="87" t="str">
        <f aca="false">IF(group_round_completed,VLOOKUP('3rd places'!D3,AK80:AS91,9,FALSE()),"3rd Group C/E/F/H/I")</f>
        <v>Ivory Coast</v>
      </c>
      <c r="BM51" s="88" t="n">
        <v>0</v>
      </c>
      <c r="BN51" s="89"/>
      <c r="BO51" s="90"/>
      <c r="BP51" s="91" t="n">
        <f aca="false">IF(BP50="","",BM51*1000+BN51*10+BO51)</f>
        <v>0</v>
      </c>
      <c r="BQ51" s="47"/>
      <c r="BR51" s="74" t="str">
        <f aca="false" t="array" ref="BR51: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74"/>
      <c r="BT51" s="74"/>
      <c r="BU51" s="74"/>
      <c r="BV51" s="92"/>
      <c r="BW51" s="96" t="n">
        <f aca="false">DATE(2026,7,5)+TIME(13,0,0)+gmt_delta</f>
        <v>46209.0833333333</v>
      </c>
      <c r="BX51" s="47"/>
      <c r="BY51" s="74"/>
      <c r="BZ51" s="74"/>
      <c r="CA51" s="74"/>
      <c r="CB51" s="74"/>
      <c r="CC51" s="74"/>
      <c r="CD51" s="96"/>
      <c r="CK51" s="96"/>
      <c r="CL51" s="47"/>
    </row>
    <row r="52" customFormat="false" ht="14.25" hidden="false" customHeight="true" outlineLevel="0" collapsed="false">
      <c r="A52" s="63" t="n">
        <v>46</v>
      </c>
      <c r="B52" s="64" t="str">
        <f aca="false" t="array" ref="B52:B52">INDEX(T,18+INT(MOD(R52-1,7)),lang)</f>
        <v>Wed</v>
      </c>
      <c r="C52" s="65" t="str">
        <f aca="false" t="array" ref="C52:C52">INDEX(T,24+MONTH(R52),lang) &amp; " " &amp; DAY(R52) &amp; ", " &amp; YEAR(R52)</f>
        <v>Jun 24, 2026</v>
      </c>
      <c r="D52" s="66" t="n">
        <f aca="false">TIME(HOUR(R52),MINUTE(R52),0)</f>
        <v>0.0416666666666667</v>
      </c>
      <c r="E52" s="67" t="str">
        <f aca="false">AE77</f>
        <v>Panama</v>
      </c>
      <c r="F52" s="68" t="n">
        <v>1</v>
      </c>
      <c r="G52" s="69" t="n">
        <v>2</v>
      </c>
      <c r="H52" s="70" t="str">
        <f aca="false">AE75</f>
        <v>Croatia</v>
      </c>
      <c r="J52" s="79" t="str">
        <f aca="false">VLOOKUP(2,AD50:AN53,2,FALSE())</f>
        <v>Uruguay</v>
      </c>
      <c r="K52" s="80" t="n">
        <f aca="false">L52+M52+N52</f>
        <v>3</v>
      </c>
      <c r="L52" s="80" t="n">
        <f aca="false">VLOOKUP(2,AD50:AN53,3,FALSE())</f>
        <v>2</v>
      </c>
      <c r="M52" s="80" t="n">
        <f aca="false">VLOOKUP(2,AD50:AN53,4,FALSE())</f>
        <v>0</v>
      </c>
      <c r="N52" s="80" t="n">
        <f aca="false">VLOOKUP(2,AD50:AN53,5,FALSE())</f>
        <v>1</v>
      </c>
      <c r="O52" s="80" t="str">
        <f aca="false">VLOOKUP(2,AD50:AN53,6,FALSE()) &amp; " - " &amp; VLOOKUP(2,AD50:AN53,7,FALSE())</f>
        <v>4 - 2</v>
      </c>
      <c r="P52" s="81" t="n">
        <f aca="false">L52*3+M52</f>
        <v>6</v>
      </c>
      <c r="R52" s="42" t="n">
        <f aca="false">DATE(2026,6,23)+TIME(12,0,0)+gmt_delta</f>
        <v>46197.0416666667</v>
      </c>
      <c r="S52" s="43" t="str">
        <f aca="false">IF(OR(F52="",G52=""),"",IF(F52&gt;G52,E52&amp;"_win",IF(F52&lt;G52,E52&amp;"_lose",E52&amp;"_draw")))</f>
        <v>Panama_lose</v>
      </c>
      <c r="T52" s="43" t="str">
        <f aca="false">IF(S52="","",IF(F52&lt;G52,H52&amp;"_win",IF(F52&gt;G52,H52&amp;"_lose",H52&amp;"_draw")))</f>
        <v>Croatia_win</v>
      </c>
      <c r="U52" s="42" t="n">
        <f aca="false">IF(S52="",0,IF(VLOOKUP(E52,$AE$8:$AN$77,10,FALSE())=VLOOKUP(H52,$AE$8:$AN$77,10,FALSE()),1,0))</f>
        <v>0</v>
      </c>
      <c r="V52" s="42" t="n">
        <f aca="false">U52*F52</f>
        <v>0</v>
      </c>
      <c r="W52" s="42" t="n">
        <f aca="false">U52*G52</f>
        <v>0</v>
      </c>
      <c r="X52" s="42" t="n">
        <f aca="false">IF(S52="",0,IF(VLOOKUP(E52,$AE$8:$AO$77,11,FALSE())=VLOOKUP(H52,$AE$8:$AO$77,11,FALSE()),1,0))</f>
        <v>0</v>
      </c>
      <c r="Y52" s="42" t="n">
        <f aca="false">X52*F52</f>
        <v>0</v>
      </c>
      <c r="Z52" s="42" t="n">
        <f aca="false">X52*G52</f>
        <v>0</v>
      </c>
      <c r="AA52" s="42" t="n">
        <f aca="false">IF(OR(E52=my_team,H52=my_team),1,IF(INT(MATCH(E52,$AE$8:$AE$78,0)/6)=$AA$6,1,0))</f>
        <v>0</v>
      </c>
      <c r="AB52" s="42" t="n">
        <f aca="false">IF(OR(F52="",G52=""),"",IF(F52&gt;G52,1,IF(F52&lt;G52,-1,0)))</f>
        <v>-1</v>
      </c>
      <c r="AD52" s="42" t="n">
        <f aca="false">COUNTIF(AR50:AR53,CONCATENATE("&gt;=",AR52))</f>
        <v>3</v>
      </c>
      <c r="AE52" s="44" t="str">
        <f aca="false">VLOOKUP("Saudi Arabia",T,lang,FALSE())</f>
        <v>Saudi Arabia</v>
      </c>
      <c r="AF52" s="42" t="n">
        <f aca="false">COUNTIF($S$7:$T$78,"=" &amp; AE52 &amp; "_win")</f>
        <v>1</v>
      </c>
      <c r="AG52" s="42" t="n">
        <f aca="false">COUNTIF($S$7:$T$78,"=" &amp; AE52 &amp; "_draw")</f>
        <v>0</v>
      </c>
      <c r="AH52" s="42" t="n">
        <f aca="false">COUNTIF($S$7:$T$78,"=" &amp; AE52 &amp; "_lose")</f>
        <v>2</v>
      </c>
      <c r="AI52" s="42" t="n">
        <f aca="false">SUMIF($E$7:$E$78,$AE52,$F$7:$F$78) + SUMIF($H$7:$H$78,$AE52,$G$7:$G$78)</f>
        <v>1</v>
      </c>
      <c r="AJ52" s="42" t="n">
        <f aca="false">SUMIF($E$7:$E$78,$AE52,$G$7:$G$78) + SUMIF($H$7:$H$78,$AE52,$F$7:$F$78)</f>
        <v>4</v>
      </c>
      <c r="AL52" s="42" t="n">
        <f aca="false">AI52-AJ52</f>
        <v>-3</v>
      </c>
      <c r="AM52" s="42" t="n">
        <f aca="false">AL52-AL54</f>
        <v>2</v>
      </c>
      <c r="AN52" s="42" t="n">
        <f aca="false">AF52*3+AG52</f>
        <v>3</v>
      </c>
      <c r="AO52" s="42" t="n">
        <f aca="false">AN52/AN54*10+BA52</f>
        <v>3</v>
      </c>
      <c r="AP52" s="42" t="n">
        <f aca="false">AO52*10000000+BI52*100+AM52/AM54*10+AI52/AI54*1++IF(AQ52=0,ROW(),AQ52)/2000000</f>
        <v>30000001.8102345</v>
      </c>
      <c r="AQ52" s="46" t="n">
        <f aca="false">VLOOKUP(AE52,db_fifarank,2,FALSE())</f>
        <v>1421.43</v>
      </c>
      <c r="AR52" s="45" t="n">
        <f aca="false">AP52/AP54</f>
        <v>0.333333312614654</v>
      </c>
      <c r="AT52" s="46" t="n">
        <f aca="false" t="array" ref="AT52:AT52">SUMPRODUCT(($S$7:$S$78=AE52&amp;"_win")*($U$7:$U$78))+SUMPRODUCT(($T$7:$T$78=AE52&amp;"_win")*($U$7:$U$78))</f>
        <v>0</v>
      </c>
      <c r="AU52" s="46" t="n">
        <f aca="false" t="array" ref="AU52:AU52">SUMPRODUCT(($S$7:$S$78=AE52&amp;"_draw")*($U$7:$U$78))+SUMPRODUCT(($T$7:$T$78=AE52&amp;"_draw")*($U$7:$U$78))</f>
        <v>0</v>
      </c>
      <c r="AV52" s="46" t="n">
        <f aca="false" t="array" ref="AV52:AV52">SUMPRODUCT(($E$7:$E$78=AE52)*($U$7:$U$78)*($F$7:$F$78))+SUMPRODUCT(($H$7:$H$78=AE52)*($U$7:$U$78)*($G$7:$G$78))</f>
        <v>0</v>
      </c>
      <c r="AW52" s="46" t="n">
        <f aca="false" t="array" ref="AW52:AW52">SUMPRODUCT(($E$7:$E$78=AE52)*($U$7:$U$78)*($G$7:$G$78))+SUMPRODUCT(($H$7:$H$78=AE52)*($U$7:$U$78)*($F$7:$F$78))</f>
        <v>0</v>
      </c>
      <c r="AX52" s="46" t="n">
        <f aca="false">AV52-AW52</f>
        <v>0</v>
      </c>
      <c r="AY52" s="46" t="n">
        <f aca="false">AX52-MIN(AX50:AX53)</f>
        <v>0</v>
      </c>
      <c r="AZ52" s="46" t="n">
        <f aca="false">AT52/AT54*1000+AU52/AU54*100+AY52/AY54*10+AV52/AV54</f>
        <v>0</v>
      </c>
      <c r="BA52" s="46" t="n">
        <f aca="false">AZ52/AZ54</f>
        <v>0</v>
      </c>
      <c r="BB52" s="46" t="n">
        <f aca="false" t="array" ref="BB52:BB52">SUMPRODUCT(($S$7:$S$78=AE52&amp;"_win")*($X$7:$X$78))+SUMPRODUCT(($T$7:$T$78=AE52&amp;"_win")*($X$7:$X$78))</f>
        <v>0</v>
      </c>
      <c r="BC52" s="46" t="n">
        <f aca="false" t="array" ref="BC52:BC52">SUMPRODUCT(($S$7:$S$78=AE52&amp;"_draw")*($X$7:$X$78))+SUMPRODUCT(($T$7:$T$78=AE52&amp;"_draw")*($X$7:$X$78))</f>
        <v>0</v>
      </c>
      <c r="BD52" s="46" t="n">
        <f aca="false" t="array" ref="BD52:BD52">SUMPRODUCT(($E$7:$E$78=AE52)*($X$7:$X$78)*($F$7:$F$78))+SUMPRODUCT(($H$7:$H$78=AE52)*($X$7:$X$78)*($G$7:$G$78))</f>
        <v>0</v>
      </c>
      <c r="BE52" s="46" t="n">
        <f aca="false" t="array" ref="BE52:BE52">SUMPRODUCT(($E$7:$E$78=AE52)*($X$7:$X$78)*($G$7:$G$78))+SUMPRODUCT(($H$7:$H$78=AE52)*($X$7:$X$78)*($F$7:$F$78))</f>
        <v>0</v>
      </c>
      <c r="BF52" s="46" t="n">
        <f aca="false">BD52-BE52</f>
        <v>0</v>
      </c>
      <c r="BG52" s="46" t="n">
        <f aca="false">BF52-MIN(BF50:BF53)</f>
        <v>0</v>
      </c>
      <c r="BH52" s="46" t="n">
        <f aca="false">BB52/BB54*1000+BC52/BC54*100+BG52/BG54*10+BD52/BD54</f>
        <v>0</v>
      </c>
      <c r="BI52" s="46" t="n">
        <f aca="false">BH52/BH54</f>
        <v>0</v>
      </c>
      <c r="BK52" s="74"/>
      <c r="BL52" s="74"/>
      <c r="BM52" s="74"/>
      <c r="BN52" s="74"/>
      <c r="BO52" s="74"/>
      <c r="BP52" s="96"/>
      <c r="BQ52" s="47"/>
      <c r="BR52" s="82" t="n">
        <v>92</v>
      </c>
      <c r="BS52" s="83" t="str">
        <f aca="false">IF(BP50&gt;BP51,BL50,IF(BP50&lt;BP51,BL51,""))</f>
        <v>Mexico</v>
      </c>
      <c r="BT52" s="84" t="n">
        <v>0</v>
      </c>
      <c r="BU52" s="85"/>
      <c r="BV52" s="86"/>
      <c r="BW52" s="98" t="n">
        <f aca="false">IF(OR(BT52="",BT53="",AND(BU52="",BU53&lt;&gt;""),AND(BU53="",BU52&lt;&gt;""),AND(BV52="",BV53&lt;&gt;""),AND(BV53="",BV52&lt;&gt;"")),"",BT52*1000+BU52*10+BV52)</f>
        <v>0</v>
      </c>
      <c r="BX52" s="47"/>
      <c r="BY52" s="74"/>
      <c r="BZ52" s="74"/>
      <c r="CA52" s="74"/>
      <c r="CB52" s="74"/>
      <c r="CC52" s="74"/>
      <c r="CD52" s="96"/>
      <c r="CK52" s="96"/>
      <c r="CL52" s="47"/>
    </row>
    <row r="53" customFormat="false" ht="14.25" hidden="false" customHeight="true" outlineLevel="0" collapsed="false">
      <c r="A53" s="63" t="n">
        <v>47</v>
      </c>
      <c r="B53" s="64" t="str">
        <f aca="false" t="array" ref="B53:B53">INDEX(T,18+INT(MOD(R53-1,7)),lang)</f>
        <v>Tue</v>
      </c>
      <c r="C53" s="65" t="str">
        <f aca="false" t="array" ref="C53:C53">INDEX(T,24+MONTH(R53),lang) &amp; " " &amp; DAY(R53) &amp; ", " &amp; YEAR(R53)</f>
        <v>Jun 23, 2026</v>
      </c>
      <c r="D53" s="66" t="n">
        <f aca="false">TIME(HOUR(R53),MINUTE(R53),0)</f>
        <v>0.791666666666667</v>
      </c>
      <c r="E53" s="67" t="str">
        <f aca="false">AE68</f>
        <v>Portugal</v>
      </c>
      <c r="F53" s="68" t="n">
        <v>2</v>
      </c>
      <c r="G53" s="69" t="n">
        <v>0</v>
      </c>
      <c r="H53" s="70" t="str">
        <f aca="false">AE70</f>
        <v>Uzbekistan</v>
      </c>
      <c r="J53" s="79" t="str">
        <f aca="false">VLOOKUP(3,AD50:AN53,2,FALSE())</f>
        <v>Saudi Arabia</v>
      </c>
      <c r="K53" s="80" t="n">
        <f aca="false">L53+M53+N53</f>
        <v>3</v>
      </c>
      <c r="L53" s="80" t="n">
        <f aca="false">VLOOKUP(3,AD50:AN53,3,FALSE())</f>
        <v>1</v>
      </c>
      <c r="M53" s="80" t="n">
        <f aca="false">VLOOKUP(3,AD50:AN53,4,FALSE())</f>
        <v>0</v>
      </c>
      <c r="N53" s="80" t="n">
        <f aca="false">VLOOKUP(3,AD50:AN53,5,FALSE())</f>
        <v>2</v>
      </c>
      <c r="O53" s="80" t="str">
        <f aca="false">VLOOKUP(3,AD50:AN53,6,FALSE()) &amp; " - " &amp; VLOOKUP(3,AD50:AN53,7,FALSE())</f>
        <v>1 - 4</v>
      </c>
      <c r="P53" s="81" t="n">
        <f aca="false">L53*3+M53</f>
        <v>3</v>
      </c>
      <c r="R53" s="42" t="n">
        <f aca="false">DATE(2026,6,23)+TIME(6,0,0)+gmt_delta</f>
        <v>46196.7916666667</v>
      </c>
      <c r="S53" s="43" t="str">
        <f aca="false">IF(OR(F53="",G53=""),"",IF(F53&gt;G53,E53&amp;"_win",IF(F53&lt;G53,E53&amp;"_lose",E53&amp;"_draw")))</f>
        <v>Portugal_win</v>
      </c>
      <c r="T53" s="43" t="str">
        <f aca="false">IF(S53="","",IF(F53&lt;G53,H53&amp;"_win",IF(F53&gt;G53,H53&amp;"_lose",H53&amp;"_draw")))</f>
        <v>Uzbekistan_lose</v>
      </c>
      <c r="U53" s="42" t="n">
        <f aca="false">IF(S53="",0,IF(VLOOKUP(E53,$AE$8:$AN$77,10,FALSE())=VLOOKUP(H53,$AE$8:$AN$77,10,FALSE()),1,0))</f>
        <v>0</v>
      </c>
      <c r="V53" s="42" t="n">
        <f aca="false">U53*F53</f>
        <v>0</v>
      </c>
      <c r="W53" s="42" t="n">
        <f aca="false">U53*G53</f>
        <v>0</v>
      </c>
      <c r="X53" s="42" t="n">
        <f aca="false">IF(S53="",0,IF(VLOOKUP(E53,$AE$8:$AO$77,11,FALSE())=VLOOKUP(H53,$AE$8:$AO$77,11,FALSE()),1,0))</f>
        <v>0</v>
      </c>
      <c r="Y53" s="42" t="n">
        <f aca="false">X53*F53</f>
        <v>0</v>
      </c>
      <c r="Z53" s="42" t="n">
        <f aca="false">X53*G53</f>
        <v>0</v>
      </c>
      <c r="AA53" s="42" t="n">
        <f aca="false">IF(OR(E53=my_team,H53=my_team),1,IF(INT(MATCH(E53,$AE$8:$AE$78,0)/6)=$AA$6,1,0))</f>
        <v>0</v>
      </c>
      <c r="AB53" s="42" t="n">
        <f aca="false">IF(OR(F53="",G53=""),"",IF(F53&gt;G53,1,IF(F53&lt;G53,-1,0)))</f>
        <v>1</v>
      </c>
      <c r="AD53" s="42" t="n">
        <f aca="false">COUNTIF(AR50:AR53,CONCATENATE("&gt;=",AR53))</f>
        <v>2</v>
      </c>
      <c r="AE53" s="44" t="str">
        <f aca="false">VLOOKUP("Uruguay",T,lang,FALSE())</f>
        <v>Uruguay</v>
      </c>
      <c r="AF53" s="42" t="n">
        <f aca="false">COUNTIF($S$7:$T$78,"=" &amp; AE53 &amp; "_win")</f>
        <v>2</v>
      </c>
      <c r="AG53" s="42" t="n">
        <f aca="false">COUNTIF($S$7:$T$78,"=" &amp; AE53 &amp; "_draw")</f>
        <v>0</v>
      </c>
      <c r="AH53" s="42" t="n">
        <f aca="false">COUNTIF($S$7:$T$78,"=" &amp; AE53 &amp; "_lose")</f>
        <v>1</v>
      </c>
      <c r="AI53" s="42" t="n">
        <f aca="false">SUMIF($E$7:$E$78,$AE53,$F$7:$F$78) + SUMIF($H$7:$H$78,$AE53,$G$7:$G$78)</f>
        <v>4</v>
      </c>
      <c r="AJ53" s="42" t="n">
        <f aca="false">SUMIF($E$7:$E$78,$AE53,$G$7:$G$78) + SUMIF($H$7:$H$78,$AE53,$F$7:$F$78)</f>
        <v>2</v>
      </c>
      <c r="AL53" s="42" t="n">
        <f aca="false">AI53-AJ53</f>
        <v>2</v>
      </c>
      <c r="AM53" s="42" t="n">
        <f aca="false">AL53-AL54</f>
        <v>7</v>
      </c>
      <c r="AN53" s="42" t="n">
        <f aca="false">AF53*3+AG53</f>
        <v>6</v>
      </c>
      <c r="AO53" s="42" t="n">
        <f aca="false">AN53/AN54*10+BA53</f>
        <v>6</v>
      </c>
      <c r="AP53" s="42" t="n">
        <f aca="false">AO53*10000000+BI53*100+AM53/AM54*10+AI53/AI54*1++IF(AQ53=0,ROW(),AQ53)/2000000</f>
        <v>60000006.4055985</v>
      </c>
      <c r="AQ53" s="46" t="n">
        <f aca="false">VLOOKUP(AE53,db_fifarank,2,FALSE())</f>
        <v>1673.07</v>
      </c>
      <c r="AR53" s="45" t="n">
        <f aca="false">AP53/AP54</f>
        <v>0.666666656175186</v>
      </c>
      <c r="AT53" s="46" t="n">
        <f aca="false" t="array" ref="AT53:AT53">SUMPRODUCT(($S$7:$S$78=AE53&amp;"_win")*($U$7:$U$78))+SUMPRODUCT(($T$7:$T$78=AE53&amp;"_win")*($U$7:$U$78))</f>
        <v>0</v>
      </c>
      <c r="AU53" s="46" t="n">
        <f aca="false" t="array" ref="AU53:AU53">SUMPRODUCT(($S$7:$S$78=AE53&amp;"_draw")*($U$7:$U$78))+SUMPRODUCT(($T$7:$T$78=AE53&amp;"_draw")*($U$7:$U$78))</f>
        <v>0</v>
      </c>
      <c r="AV53" s="46" t="n">
        <f aca="false" t="array" ref="AV53:AV53">SUMPRODUCT(($E$7:$E$78=AE53)*($U$7:$U$78)*($F$7:$F$78))+SUMPRODUCT(($H$7:$H$78=AE53)*($U$7:$U$78)*($G$7:$G$78))</f>
        <v>0</v>
      </c>
      <c r="AW53" s="46" t="n">
        <f aca="false" t="array" ref="AW53:AW53">SUMPRODUCT(($E$7:$E$78=AE53)*($U$7:$U$78)*($G$7:$G$78))+SUMPRODUCT(($H$7:$H$78=AE53)*($U$7:$U$78)*($F$7:$F$78))</f>
        <v>0</v>
      </c>
      <c r="AX53" s="46" t="n">
        <f aca="false">AV53-AW53</f>
        <v>0</v>
      </c>
      <c r="AY53" s="46" t="n">
        <f aca="false">AX53-MIN(AX50:AX53)</f>
        <v>0</v>
      </c>
      <c r="AZ53" s="46" t="n">
        <f aca="false">AT53/AT54*1000+AU53/AU54*100+AY53/AY54*10+AV53/AV54</f>
        <v>0</v>
      </c>
      <c r="BA53" s="46" t="n">
        <f aca="false">AZ53/AZ54</f>
        <v>0</v>
      </c>
      <c r="BB53" s="46" t="n">
        <f aca="false" t="array" ref="BB53:BB53">SUMPRODUCT(($S$7:$S$78=AE53&amp;"_win")*($X$7:$X$78))+SUMPRODUCT(($T$7:$T$78=AE53&amp;"_win")*($X$7:$X$78))</f>
        <v>0</v>
      </c>
      <c r="BC53" s="46" t="n">
        <f aca="false" t="array" ref="BC53:BC53">SUMPRODUCT(($S$7:$S$78=AE53&amp;"_draw")*($X$7:$X$78))+SUMPRODUCT(($T$7:$T$78=AE53&amp;"_draw")*($X$7:$X$78))</f>
        <v>0</v>
      </c>
      <c r="BD53" s="46" t="n">
        <f aca="false" t="array" ref="BD53:BD53">SUMPRODUCT(($E$7:$E$78=AE53)*($X$7:$X$78)*($F$7:$F$78))+SUMPRODUCT(($H$7:$H$78=AE53)*($X$7:$X$78)*($G$7:$G$78))</f>
        <v>0</v>
      </c>
      <c r="BE53" s="46" t="n">
        <f aca="false" t="array" ref="BE53:BE53">SUMPRODUCT(($E$7:$E$78=AE53)*($X$7:$X$78)*($G$7:$G$78))+SUMPRODUCT(($H$7:$H$78=AE53)*($X$7:$X$78)*($F$7:$F$78))</f>
        <v>0</v>
      </c>
      <c r="BF53" s="46" t="n">
        <f aca="false">BD53-BE53</f>
        <v>0</v>
      </c>
      <c r="BG53" s="46" t="n">
        <f aca="false">BF53-MIN(BF50:BF53)</f>
        <v>0</v>
      </c>
      <c r="BH53" s="46" t="n">
        <f aca="false">BB53/BB54*1000+BC53/BC54*100+BG53/BG54*10+BD53/BD54</f>
        <v>0</v>
      </c>
      <c r="BI53" s="46" t="n">
        <f aca="false">BH53/BH54</f>
        <v>0</v>
      </c>
      <c r="BK53" s="74" t="str">
        <f aca="false" t="array" ref="BK53: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74"/>
      <c r="BM53" s="74"/>
      <c r="BN53" s="74"/>
      <c r="BO53" s="92"/>
      <c r="BP53" s="96" t="n">
        <f aca="false">DATE(2026,7,1)+TIME(5,0,0)+gmt_delta</f>
        <v>46204.75</v>
      </c>
      <c r="BQ53" s="97"/>
      <c r="BR53" s="82"/>
      <c r="BS53" s="87" t="str">
        <f aca="false">IF(BP54&gt;BP55,BL54,IF(BP54&lt;BP55,BL55,""))</f>
        <v>England</v>
      </c>
      <c r="BT53" s="88" t="n">
        <v>1</v>
      </c>
      <c r="BU53" s="89"/>
      <c r="BV53" s="90"/>
      <c r="BW53" s="47" t="n">
        <f aca="false">IF(BW52="","",BT53*1000+BU53*10+BV53)</f>
        <v>1000</v>
      </c>
      <c r="BX53" s="47"/>
      <c r="BY53" s="74"/>
      <c r="BZ53" s="74"/>
      <c r="CA53" s="74"/>
      <c r="CB53" s="74"/>
      <c r="CC53" s="74"/>
      <c r="CD53" s="96"/>
      <c r="CK53" s="96"/>
      <c r="CL53" s="47"/>
    </row>
    <row r="54" customFormat="false" ht="14.25" hidden="false" customHeight="true" outlineLevel="0" collapsed="false">
      <c r="A54" s="63" t="n">
        <v>48</v>
      </c>
      <c r="B54" s="64" t="str">
        <f aca="false" t="array" ref="B54:B54">INDEX(T,18+INT(MOD(R54-1,7)),lang)</f>
        <v>Wed</v>
      </c>
      <c r="C54" s="65" t="str">
        <f aca="false" t="array" ref="C54:C54">INDEX(T,24+MONTH(R54),lang) &amp; " " &amp; DAY(R54) &amp; ", " &amp; YEAR(R54)</f>
        <v>Jun 24, 2026</v>
      </c>
      <c r="D54" s="66" t="n">
        <f aca="false">TIME(HOUR(R54),MINUTE(R54),0)</f>
        <v>0.166666666666667</v>
      </c>
      <c r="E54" s="67" t="str">
        <f aca="false">AE71</f>
        <v>Colombia</v>
      </c>
      <c r="F54" s="68" t="n">
        <v>2</v>
      </c>
      <c r="G54" s="69" t="n">
        <v>0</v>
      </c>
      <c r="H54" s="70" t="str">
        <f aca="false">AE69</f>
        <v>DR Congo</v>
      </c>
      <c r="J54" s="93" t="str">
        <f aca="false">VLOOKUP(4,AD50:AN53,2,FALSE())</f>
        <v>Cape Verde</v>
      </c>
      <c r="K54" s="94" t="n">
        <f aca="false">L54+M54+N54</f>
        <v>3</v>
      </c>
      <c r="L54" s="94" t="n">
        <f aca="false">VLOOKUP(4,AD50:AN53,3,FALSE())</f>
        <v>0</v>
      </c>
      <c r="M54" s="94" t="n">
        <f aca="false">VLOOKUP(4,AD50:AN53,4,FALSE())</f>
        <v>0</v>
      </c>
      <c r="N54" s="94" t="n">
        <f aca="false">VLOOKUP(4,AD50:AN53,5,FALSE())</f>
        <v>3</v>
      </c>
      <c r="O54" s="94" t="str">
        <f aca="false">VLOOKUP(4,AD50:AN53,6,FALSE()) &amp; " - " &amp; VLOOKUP(4,AD50:AN53,7,FALSE())</f>
        <v>0 - 5</v>
      </c>
      <c r="P54" s="95" t="n">
        <f aca="false">L54*3+M54</f>
        <v>0</v>
      </c>
      <c r="R54" s="42" t="n">
        <f aca="false">DATE(2026,6,23)+TIME(15,0,0)+gmt_delta</f>
        <v>46197.1666666667</v>
      </c>
      <c r="S54" s="43" t="str">
        <f aca="false">IF(OR(F54="",G54=""),"",IF(F54&gt;G54,E54&amp;"_win",IF(F54&lt;G54,E54&amp;"_lose",E54&amp;"_draw")))</f>
        <v>Colombia_win</v>
      </c>
      <c r="T54" s="43" t="str">
        <f aca="false">IF(S54="","",IF(F54&lt;G54,H54&amp;"_win",IF(F54&gt;G54,H54&amp;"_lose",H54&amp;"_draw")))</f>
        <v>DR Congo_lose</v>
      </c>
      <c r="U54" s="42" t="n">
        <f aca="false">IF(S54="",0,IF(VLOOKUP(E54,$AE$8:$AN$77,10,FALSE())=VLOOKUP(H54,$AE$8:$AN$77,10,FALSE()),1,0))</f>
        <v>0</v>
      </c>
      <c r="V54" s="42" t="n">
        <f aca="false">U54*F54</f>
        <v>0</v>
      </c>
      <c r="W54" s="42" t="n">
        <f aca="false">U54*G54</f>
        <v>0</v>
      </c>
      <c r="X54" s="42" t="n">
        <f aca="false">IF(S54="",0,IF(VLOOKUP(E54,$AE$8:$AO$77,11,FALSE())=VLOOKUP(H54,$AE$8:$AO$77,11,FALSE()),1,0))</f>
        <v>0</v>
      </c>
      <c r="Y54" s="42" t="n">
        <f aca="false">X54*F54</f>
        <v>0</v>
      </c>
      <c r="Z54" s="42" t="n">
        <f aca="false">X54*G54</f>
        <v>0</v>
      </c>
      <c r="AA54" s="42" t="n">
        <f aca="false">IF(OR(E54=my_team,H54=my_team),1,IF(INT(MATCH(E54,$AE$8:$AE$78,0)/6)=$AA$6,1,0))</f>
        <v>0</v>
      </c>
      <c r="AB54" s="42" t="n">
        <f aca="false">IF(OR(F54="",G54=""),"",IF(F54&gt;G54,1,IF(F54&lt;G54,-1,0)))</f>
        <v>1</v>
      </c>
      <c r="AF54" s="42" t="n">
        <f aca="false">MAX(AF50:AF53)-MIN(AF50:AF53)+1</f>
        <v>4</v>
      </c>
      <c r="AG54" s="42" t="n">
        <f aca="false">MAX(AG50:AG53)-MIN(AG50:AG53)+1</f>
        <v>1</v>
      </c>
      <c r="AH54" s="42" t="n">
        <f aca="false">MAX(AH50:AH53)-MIN(AH50:AH53)+1</f>
        <v>4</v>
      </c>
      <c r="AI54" s="42" t="n">
        <f aca="false">MAX(AI50:AI53)+1</f>
        <v>7</v>
      </c>
      <c r="AL54" s="42" t="n">
        <f aca="false">MIN(AL50:AL53)</f>
        <v>-5</v>
      </c>
      <c r="AM54" s="42" t="n">
        <f aca="false">MAX(AM50:AM53)+1</f>
        <v>12</v>
      </c>
      <c r="AN54" s="42" t="n">
        <f aca="false">MAX(AN50:AN53)+1</f>
        <v>10</v>
      </c>
      <c r="AO54" s="42" t="n">
        <f aca="false">MAX(AO50:AO53)+1</f>
        <v>10</v>
      </c>
      <c r="AP54" s="42" t="n">
        <f aca="false">MAX(AP50:AP53)+1</f>
        <v>90000011.0247477</v>
      </c>
      <c r="AT54" s="46" t="n">
        <f aca="false">MAX(AT50:AT53)-MIN(AT50:AT53)+1</f>
        <v>1</v>
      </c>
      <c r="AU54" s="46" t="n">
        <f aca="false">MAX(AU50:AU53)-MIN(AU50:AU53)+1</f>
        <v>1</v>
      </c>
      <c r="AV54" s="46" t="n">
        <f aca="false">MAX(AV50:AV53)-MIN(AV50:AV53)+1</f>
        <v>1</v>
      </c>
      <c r="AW54" s="46" t="n">
        <f aca="false">MAX(AW50:AW53)-MIN(AW50:AW53)+1</f>
        <v>1</v>
      </c>
      <c r="AY54" s="46" t="n">
        <f aca="false">MAX(AY50:AY53)-MIN(AY50:AY53)+1</f>
        <v>1</v>
      </c>
      <c r="AZ54" s="46" t="n">
        <f aca="false">MAX(AZ50:AZ53)+1</f>
        <v>1</v>
      </c>
      <c r="BB54" s="46" t="n">
        <f aca="false">MAX(BB50:BB53)-MIN(BB50:BB53)+1</f>
        <v>1</v>
      </c>
      <c r="BC54" s="46" t="n">
        <f aca="false">MAX(BC50:BC53)-MIN(BC50:BC53)+1</f>
        <v>1</v>
      </c>
      <c r="BD54" s="46" t="n">
        <f aca="false">MAX(BD50:BD53)-MIN(BD50:BD53)+1</f>
        <v>1</v>
      </c>
      <c r="BE54" s="46" t="n">
        <f aca="false">MAX(BE50:BE53)-MIN(BE50:BE53)+1</f>
        <v>1</v>
      </c>
      <c r="BG54" s="46" t="n">
        <f aca="false">MAX(BG50:BG53)-MIN(BG50:BG53)+1</f>
        <v>1</v>
      </c>
      <c r="BH54" s="46" t="n">
        <f aca="false">MAX(BH50:BH53)+1</f>
        <v>1</v>
      </c>
      <c r="BK54" s="82" t="n">
        <v>80</v>
      </c>
      <c r="BL54" s="83" t="str">
        <f aca="false">AS74</f>
        <v>England</v>
      </c>
      <c r="BM54" s="84" t="n">
        <v>1</v>
      </c>
      <c r="BN54" s="85"/>
      <c r="BO54" s="86"/>
      <c r="BP54" s="98" t="n">
        <f aca="false">IF(OR(BM54="",BM55="",AND(BN54="",BN55&lt;&gt;""),AND(BN55="",BN54&lt;&gt;""),AND(BO54="",BO55&lt;&gt;""),AND(BO55="",BO54&lt;&gt;"")),"",BM54*1000+BN54*10+BO54)</f>
        <v>1000</v>
      </c>
      <c r="BQ54" s="47"/>
      <c r="BR54" s="74"/>
      <c r="BS54" s="74"/>
      <c r="BT54" s="74"/>
      <c r="BU54" s="74"/>
      <c r="BV54" s="74"/>
      <c r="BW54" s="47"/>
      <c r="BX54" s="47"/>
      <c r="BY54" s="74"/>
      <c r="BZ54" s="74"/>
      <c r="CA54" s="74"/>
      <c r="CB54" s="74"/>
      <c r="CC54" s="74"/>
      <c r="CD54" s="96"/>
      <c r="CE54" s="47"/>
      <c r="CF54" s="74" t="str">
        <f aca="false" t="array" ref="CF54: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74"/>
      <c r="CH54" s="74"/>
      <c r="CI54" s="74"/>
      <c r="CJ54" s="92"/>
      <c r="CK54" s="96" t="n">
        <f aca="false">DATE(2026,7,15)+TIME(8,0,0)+gmt_delta</f>
        <v>46218.875</v>
      </c>
      <c r="CL54" s="47"/>
    </row>
    <row r="55" customFormat="false" ht="14.25" hidden="false" customHeight="true" outlineLevel="0" collapsed="false">
      <c r="A55" s="63" t="n">
        <v>49</v>
      </c>
      <c r="B55" s="64" t="str">
        <f aca="false" t="array" ref="B55:B55">INDEX(T,18+INT(MOD(R55-1,7)),lang)</f>
        <v>Thu</v>
      </c>
      <c r="C55" s="65" t="str">
        <f aca="false" t="array" ref="C55:C55">INDEX(T,24+MONTH(R55),lang) &amp; " " &amp; DAY(R55) &amp; ", " &amp; YEAR(R55)</f>
        <v>Jun 25, 2026</v>
      </c>
      <c r="D55" s="66" t="n">
        <f aca="false">TIME(HOUR(R55),MINUTE(R55),0)</f>
        <v>0</v>
      </c>
      <c r="E55" s="67" t="str">
        <f aca="false">AE23</f>
        <v>Scotland</v>
      </c>
      <c r="F55" s="68" t="n">
        <v>0</v>
      </c>
      <c r="G55" s="69" t="n">
        <v>2</v>
      </c>
      <c r="H55" s="70" t="str">
        <f aca="false">AE20</f>
        <v>Brazil</v>
      </c>
      <c r="I55" s="102"/>
      <c r="J55" s="103"/>
      <c r="K55" s="104"/>
      <c r="L55" s="104"/>
      <c r="M55" s="104"/>
      <c r="N55" s="104"/>
      <c r="O55" s="104"/>
      <c r="P55" s="104"/>
      <c r="R55" s="42" t="n">
        <f aca="false">DATE(2026,6,24)+TIME(11,0,0)+gmt_delta</f>
        <v>46198</v>
      </c>
      <c r="S55" s="43" t="str">
        <f aca="false">IF(OR(F55="",G55=""),"",IF(F55&gt;G55,E55&amp;"_win",IF(F55&lt;G55,E55&amp;"_lose",E55&amp;"_draw")))</f>
        <v>Scotland_lose</v>
      </c>
      <c r="T55" s="43" t="str">
        <f aca="false">IF(S55="","",IF(F55&lt;G55,H55&amp;"_win",IF(F55&gt;G55,H55&amp;"_lose",H55&amp;"_draw")))</f>
        <v>Brazil_win</v>
      </c>
      <c r="U55" s="42" t="n">
        <f aca="false">IF(S55="",0,IF(VLOOKUP(E55,$AE$8:$AN$77,10,FALSE())=VLOOKUP(H55,$AE$8:$AN$77,10,FALSE()),1,0))</f>
        <v>0</v>
      </c>
      <c r="V55" s="42" t="n">
        <f aca="false">U55*F55</f>
        <v>0</v>
      </c>
      <c r="W55" s="42" t="n">
        <f aca="false">U55*G55</f>
        <v>0</v>
      </c>
      <c r="X55" s="42" t="n">
        <f aca="false">IF(S55="",0,IF(VLOOKUP(E55,$AE$8:$AO$77,11,FALSE())=VLOOKUP(H55,$AE$8:$AO$77,11,FALSE()),1,0))</f>
        <v>0</v>
      </c>
      <c r="Y55" s="42" t="n">
        <f aca="false">X55*F55</f>
        <v>0</v>
      </c>
      <c r="Z55" s="42" t="n">
        <f aca="false">X55*G55</f>
        <v>0</v>
      </c>
      <c r="AA55" s="42" t="n">
        <f aca="false">IF(OR(E55=my_team,H55=my_team),1,IF(INT(MATCH(E55,$AE$8:$AE$78,0)/6)=$AA$6,1,0))</f>
        <v>0</v>
      </c>
      <c r="AB55" s="42" t="n">
        <f aca="false">IF(OR(F55="",G55=""),"",IF(F55&gt;G55,1,IF(F55&lt;G55,-1,0)))</f>
        <v>-1</v>
      </c>
      <c r="BK55" s="82"/>
      <c r="BL55" s="87" t="str">
        <f aca="false">IF(group_round_completed,VLOOKUP('3rd places'!K3,AK80:AS91,9,FALSE()),"3rd Group E/H/I/J/K")</f>
        <v>Norway</v>
      </c>
      <c r="BM55" s="88" t="n">
        <v>0</v>
      </c>
      <c r="BN55" s="89"/>
      <c r="BO55" s="90"/>
      <c r="BP55" s="47" t="n">
        <f aca="false">IF(BP54="","",BM55*1000+BN55*10+BO55)</f>
        <v>0</v>
      </c>
      <c r="BQ55" s="47"/>
      <c r="BR55" s="74"/>
      <c r="BS55" s="74"/>
      <c r="BT55" s="74"/>
      <c r="BU55" s="74"/>
      <c r="BV55" s="74"/>
      <c r="BW55" s="47"/>
      <c r="BX55" s="47"/>
      <c r="BY55" s="74"/>
      <c r="BZ55" s="74"/>
      <c r="CA55" s="74"/>
      <c r="CB55" s="74"/>
      <c r="CC55" s="74"/>
      <c r="CD55" s="96"/>
      <c r="CE55" s="47"/>
      <c r="CF55" s="82" t="n">
        <v>102</v>
      </c>
      <c r="CG55" s="83" t="str">
        <f aca="false">IF(CD48&gt;CD49,BZ48,IF(CD48&lt;CD49,BZ49,""))</f>
        <v>England</v>
      </c>
      <c r="CH55" s="84" t="n">
        <v>0</v>
      </c>
      <c r="CI55" s="85"/>
      <c r="CJ55" s="86"/>
      <c r="CK55" s="98" t="n">
        <f aca="false">IF(OR(CH55="",CH56="",AND(CI55="",CI56&lt;&gt;""),AND(CI56="",CI55&lt;&gt;""),AND(CJ55="",CJ56&lt;&gt;""),AND(CJ56="",CJ55&lt;&gt;"")),"",CH55*1000+CI55*10+CJ55)</f>
        <v>0</v>
      </c>
      <c r="CL55" s="47"/>
    </row>
    <row r="56" customFormat="false" ht="14.25" hidden="false" customHeight="true" outlineLevel="0" collapsed="false">
      <c r="A56" s="63" t="n">
        <v>50</v>
      </c>
      <c r="B56" s="64" t="str">
        <f aca="false" t="array" ref="B56:B56">INDEX(T,18+INT(MOD(R56-1,7)),lang)</f>
        <v>Thu</v>
      </c>
      <c r="C56" s="65" t="str">
        <f aca="false" t="array" ref="C56:C56">INDEX(T,24+MONTH(R56),lang) &amp; " " &amp; DAY(R56) &amp; ", " &amp; YEAR(R56)</f>
        <v>Jun 25, 2026</v>
      </c>
      <c r="D56" s="66" t="n">
        <f aca="false">TIME(HOUR(R56),MINUTE(R56),0)</f>
        <v>0</v>
      </c>
      <c r="E56" s="67" t="str">
        <f aca="false">AE21</f>
        <v>Morocco</v>
      </c>
      <c r="F56" s="68" t="n">
        <v>2</v>
      </c>
      <c r="G56" s="69" t="n">
        <v>0</v>
      </c>
      <c r="H56" s="70" t="str">
        <f aca="false">AE22</f>
        <v>Haiti</v>
      </c>
      <c r="I56" s="102"/>
      <c r="J56" s="71" t="str">
        <f aca="false" t="array" ref="J56:J56">INDEX(T,9,lang) &amp; " " &amp; "I"</f>
        <v>Group I</v>
      </c>
      <c r="K56" s="72" t="str">
        <f aca="false" t="array" ref="K56:K56">INDEX(T,10,lang)</f>
        <v>PL</v>
      </c>
      <c r="L56" s="72" t="str">
        <f aca="false" t="array" ref="L56:L56">INDEX(T,11,lang)</f>
        <v>W</v>
      </c>
      <c r="M56" s="72" t="str">
        <f aca="false" t="array" ref="M56:M56">INDEX(T,12,lang)</f>
        <v>DRAW</v>
      </c>
      <c r="N56" s="72" t="str">
        <f aca="false" t="array" ref="N56:N56">INDEX(T,13,lang)</f>
        <v>L</v>
      </c>
      <c r="O56" s="72" t="str">
        <f aca="false" t="array" ref="O56:O56">INDEX(T,14,lang)</f>
        <v>GF - GA</v>
      </c>
      <c r="P56" s="73" t="str">
        <f aca="false" t="array" ref="P56:P56">INDEX(T,15,lang)</f>
        <v>PNT</v>
      </c>
      <c r="R56" s="42" t="n">
        <f aca="false">DATE(2026,6,24)+TIME(11,0,0)+gmt_delta</f>
        <v>46198</v>
      </c>
      <c r="S56" s="43" t="str">
        <f aca="false">IF(OR(F56="",G56=""),"",IF(F56&gt;G56,E56&amp;"_win",IF(F56&lt;G56,E56&amp;"_lose",E56&amp;"_draw")))</f>
        <v>Morocco_win</v>
      </c>
      <c r="T56" s="43" t="str">
        <f aca="false">IF(S56="","",IF(F56&lt;G56,H56&amp;"_win",IF(F56&gt;G56,H56&amp;"_lose",H56&amp;"_draw")))</f>
        <v>Haiti_lose</v>
      </c>
      <c r="U56" s="42" t="n">
        <f aca="false">IF(S56="",0,IF(VLOOKUP(E56,$AE$8:$AN$77,10,FALSE())=VLOOKUP(H56,$AE$8:$AN$77,10,FALSE()),1,0))</f>
        <v>0</v>
      </c>
      <c r="V56" s="42" t="n">
        <f aca="false">U56*F56</f>
        <v>0</v>
      </c>
      <c r="W56" s="42" t="n">
        <f aca="false">U56*G56</f>
        <v>0</v>
      </c>
      <c r="X56" s="42" t="n">
        <f aca="false">IF(S56="",0,IF(VLOOKUP(E56,$AE$8:$AO$77,11,FALSE())=VLOOKUP(H56,$AE$8:$AO$77,11,FALSE()),1,0))</f>
        <v>0</v>
      </c>
      <c r="Y56" s="42" t="n">
        <f aca="false">X56*F56</f>
        <v>0</v>
      </c>
      <c r="Z56" s="42" t="n">
        <f aca="false">X56*G56</f>
        <v>0</v>
      </c>
      <c r="AA56" s="42" t="n">
        <f aca="false">IF(OR(E56=my_team,H56=my_team),1,IF(INT(MATCH(E56,$AE$8:$AE$78,0)/6)=$AA$6,1,0))</f>
        <v>0</v>
      </c>
      <c r="AB56" s="42" t="n">
        <f aca="false">IF(OR(F56="",G56=""),"",IF(F56&gt;G56,1,IF(F56&lt;G56,-1,0)))</f>
        <v>1</v>
      </c>
      <c r="AD56" s="42" t="n">
        <f aca="false">COUNTIF(AR56:AR59,CONCATENATE("&gt;=",AR56))</f>
        <v>1</v>
      </c>
      <c r="AE56" s="44" t="str">
        <f aca="false">VLOOKUP("France",T,lang,FALSE())</f>
        <v>France</v>
      </c>
      <c r="AF56" s="42" t="n">
        <f aca="false">COUNTIF($S$7:$T$78,"=" &amp; AE56 &amp; "_win")</f>
        <v>3</v>
      </c>
      <c r="AG56" s="42" t="n">
        <f aca="false">COUNTIF($S$7:$T$78,"=" &amp; AE56 &amp; "_draw")</f>
        <v>0</v>
      </c>
      <c r="AH56" s="42" t="n">
        <f aca="false">COUNTIF($S$7:$T$78,"=" &amp; AE56 &amp; "_lose")</f>
        <v>0</v>
      </c>
      <c r="AI56" s="42" t="n">
        <f aca="false">SUMIF($E$7:$E$78,$AE56,$F$7:$F$78) + SUMIF($H$7:$H$78,$AE56,$G$7:$G$78)</f>
        <v>6</v>
      </c>
      <c r="AJ56" s="42" t="n">
        <f aca="false">SUMIF($E$7:$E$78,$AE56,$G$7:$G$78) + SUMIF($H$7:$H$78,$AE56,$F$7:$F$78)</f>
        <v>1</v>
      </c>
      <c r="AL56" s="42" t="n">
        <f aca="false">AI56-AJ56</f>
        <v>5</v>
      </c>
      <c r="AM56" s="42" t="n">
        <f aca="false">AL56-AL60</f>
        <v>10</v>
      </c>
      <c r="AN56" s="42" t="n">
        <f aca="false">AF56*3+AG56</f>
        <v>9</v>
      </c>
      <c r="AO56" s="42" t="n">
        <f aca="false">AN56/AN60*10+BA56</f>
        <v>9</v>
      </c>
      <c r="AP56" s="42" t="n">
        <f aca="false">AO56*10000000+BI56*100+AM56/AM60*10+AI56/AI60*1++IF(AQ56=0,ROW(),AQ56)/2000000</f>
        <v>90000009.9489906</v>
      </c>
      <c r="AQ56" s="46" t="n">
        <f aca="false">VLOOKUP(AE56,db_fifarank,2,FALSE())</f>
        <v>1877.32</v>
      </c>
      <c r="AR56" s="45" t="n">
        <f aca="false">AP56/AP60</f>
        <v>0.99999998888889</v>
      </c>
      <c r="AS56" s="45" t="str">
        <f aca="false">IF(SUM(AF56:AH59)=12,J57,"1I")</f>
        <v>France</v>
      </c>
      <c r="AT56" s="46" t="n">
        <f aca="false" t="array" ref="AT56:AT56">SUMPRODUCT(($S$7:$S$78=AE56&amp;"_win")*($U$7:$U$78))+SUMPRODUCT(($T$7:$T$78=AE56&amp;"_win")*($U$7:$U$78))</f>
        <v>0</v>
      </c>
      <c r="AU56" s="46" t="n">
        <f aca="false" t="array" ref="AU56:AU56">SUMPRODUCT(($S$7:$S$78=AE56&amp;"_draw")*($U$7:$U$78))+SUMPRODUCT(($T$7:$T$78=AE56&amp;"_draw")*($U$7:$U$78))</f>
        <v>0</v>
      </c>
      <c r="AV56" s="46" t="n">
        <f aca="false" t="array" ref="AV56:AV56">SUMPRODUCT(($E$7:$E$78=AE56)*($U$7:$U$78)*($F$7:$F$78))+SUMPRODUCT(($H$7:$H$78=AE56)*($U$7:$U$78)*($G$7:$G$78))</f>
        <v>0</v>
      </c>
      <c r="AW56" s="46" t="n">
        <f aca="false" t="array" ref="AW56:AW56">SUMPRODUCT(($E$7:$E$78=AE56)*($U$7:$U$78)*($G$7:$G$78))+SUMPRODUCT(($H$7:$H$78=AE56)*($U$7:$U$78)*($F$7:$F$78))</f>
        <v>0</v>
      </c>
      <c r="AX56" s="46" t="n">
        <f aca="false">AV56-AW56</f>
        <v>0</v>
      </c>
      <c r="AY56" s="46" t="n">
        <f aca="false">AX56-MIN(AX56:AX59)</f>
        <v>0</v>
      </c>
      <c r="AZ56" s="46" t="n">
        <f aca="false">AT56/AT60*1000+AU56/AU60*100+AY56/AY60*10+AV56/AV60</f>
        <v>0</v>
      </c>
      <c r="BA56" s="46" t="n">
        <f aca="false">AZ56/AZ60</f>
        <v>0</v>
      </c>
      <c r="BB56" s="46" t="n">
        <f aca="false" t="array" ref="BB56:BB56">SUMPRODUCT(($S$7:$S$78=AE56&amp;"_win")*($X$7:$X$78))+SUMPRODUCT(($T$7:$T$78=AE56&amp;"_win")*($X$7:$X$78))</f>
        <v>0</v>
      </c>
      <c r="BC56" s="46" t="n">
        <f aca="false" t="array" ref="BC56:BC56">SUMPRODUCT(($S$7:$S$78=AE56&amp;"_draw")*($X$7:$X$78))+SUMPRODUCT(($T$7:$T$78=AE56&amp;"_draw")*($X$7:$X$78))</f>
        <v>0</v>
      </c>
      <c r="BD56" s="46" t="n">
        <f aca="false" t="array" ref="BD56:BD56">SUMPRODUCT(($E$7:$E$78=AE56)*($X$7:$X$78)*($F$7:$F$78))+SUMPRODUCT(($H$7:$H$78=AE56)*($X$7:$X$78)*($G$7:$G$78))</f>
        <v>0</v>
      </c>
      <c r="BE56" s="46" t="n">
        <f aca="false" t="array" ref="BE56:BE56">SUMPRODUCT(($E$7:$E$78=AE56)*($X$7:$X$78)*($G$7:$G$78))+SUMPRODUCT(($H$7:$H$78=AE56)*($X$7:$X$78)*($F$7:$F$78))</f>
        <v>0</v>
      </c>
      <c r="BF56" s="46" t="n">
        <f aca="false">BD56-BE56</f>
        <v>0</v>
      </c>
      <c r="BG56" s="46" t="n">
        <f aca="false">BF56-MIN(BF56:BF59)</f>
        <v>0</v>
      </c>
      <c r="BH56" s="46" t="n">
        <f aca="false">IF(SUM(BB56:BF56)=0,0,BB56/$BB$60*1000+BC56/$BC$60*100+BG56/$BG$60*10+BD56/$BD$60)</f>
        <v>0</v>
      </c>
      <c r="BI56" s="46" t="n">
        <f aca="false">BH56/BH60</f>
        <v>0</v>
      </c>
      <c r="BL56" s="74"/>
      <c r="BM56" s="74"/>
      <c r="BN56" s="74"/>
      <c r="BO56" s="74"/>
      <c r="BP56" s="47"/>
      <c r="BQ56" s="47"/>
      <c r="BR56" s="74"/>
      <c r="BS56" s="74"/>
      <c r="BT56" s="74"/>
      <c r="BU56" s="74"/>
      <c r="BV56" s="74"/>
      <c r="BW56" s="47"/>
      <c r="BX56" s="47"/>
      <c r="BY56" s="74"/>
      <c r="BZ56" s="74"/>
      <c r="CA56" s="74"/>
      <c r="CB56" s="74"/>
      <c r="CC56" s="74"/>
      <c r="CD56" s="96"/>
      <c r="CE56" s="97"/>
      <c r="CF56" s="82"/>
      <c r="CG56" s="87" t="str">
        <f aca="false">IF(CD64&gt;CD65,BZ64,IF(CD64&lt;CD65,BZ65,""))</f>
        <v>Argentina</v>
      </c>
      <c r="CH56" s="88" t="n">
        <v>1</v>
      </c>
      <c r="CI56" s="89"/>
      <c r="CJ56" s="90"/>
      <c r="CK56" s="47" t="n">
        <f aca="false">IF(CK55="","",CH56*1000+CI56*10+CJ56)</f>
        <v>1000</v>
      </c>
      <c r="CL56" s="47"/>
    </row>
    <row r="57" customFormat="false" ht="14.25" hidden="false" customHeight="true" outlineLevel="0" collapsed="false">
      <c r="A57" s="63" t="n">
        <v>51</v>
      </c>
      <c r="B57" s="64" t="str">
        <f aca="false" t="array" ref="B57:B57">INDEX(T,18+INT(MOD(R57-1,7)),lang)</f>
        <v>Wed</v>
      </c>
      <c r="C57" s="65" t="str">
        <f aca="false" t="array" ref="C57:C57">INDEX(T,24+MONTH(R57),lang) &amp; " " &amp; DAY(R57) &amp; ", " &amp; YEAR(R57)</f>
        <v>Jun 24, 2026</v>
      </c>
      <c r="D57" s="66" t="n">
        <f aca="false">TIME(HOUR(R57),MINUTE(R57),0)</f>
        <v>0.875</v>
      </c>
      <c r="E57" s="67" t="str">
        <f aca="false">AE17</f>
        <v>Switzerland</v>
      </c>
      <c r="F57" s="68" t="n">
        <v>2</v>
      </c>
      <c r="G57" s="69" t="n">
        <v>1</v>
      </c>
      <c r="H57" s="70" t="str">
        <f aca="false">AE14</f>
        <v>Canada</v>
      </c>
      <c r="I57" s="102"/>
      <c r="J57" s="75" t="str">
        <f aca="false">VLOOKUP(1,AD56:AN59,2,FALSE())</f>
        <v>France</v>
      </c>
      <c r="K57" s="76" t="n">
        <f aca="false">L57+M57+N57</f>
        <v>3</v>
      </c>
      <c r="L57" s="76" t="n">
        <f aca="false">VLOOKUP(1,AD56:AN59,3,FALSE())</f>
        <v>3</v>
      </c>
      <c r="M57" s="76" t="n">
        <f aca="false">VLOOKUP(1,AD56:AN59,4,FALSE())</f>
        <v>0</v>
      </c>
      <c r="N57" s="76" t="n">
        <f aca="false">VLOOKUP(1,AD56:AN59,5,FALSE())</f>
        <v>0</v>
      </c>
      <c r="O57" s="76" t="str">
        <f aca="false">VLOOKUP(1,AD56:AN59,6,FALSE()) &amp; " - " &amp; VLOOKUP(1,AD56:AN59,7,FALSE())</f>
        <v>6 - 1</v>
      </c>
      <c r="P57" s="77" t="n">
        <f aca="false">L57*3+M57</f>
        <v>9</v>
      </c>
      <c r="R57" s="42" t="n">
        <f aca="false">DATE(2026,6,24)+TIME(8,0,0)+gmt_delta</f>
        <v>46197.875</v>
      </c>
      <c r="S57" s="43" t="str">
        <f aca="false">IF(OR(F57="",G57=""),"",IF(F57&gt;G57,E57&amp;"_win",IF(F57&lt;G57,E57&amp;"_lose",E57&amp;"_draw")))</f>
        <v>Switzerland_win</v>
      </c>
      <c r="T57" s="43" t="str">
        <f aca="false">IF(S57="","",IF(F57&lt;G57,H57&amp;"_win",IF(F57&gt;G57,H57&amp;"_lose",H57&amp;"_draw")))</f>
        <v>Canada_lose</v>
      </c>
      <c r="U57" s="42" t="n">
        <f aca="false">IF(S57="",0,IF(VLOOKUP(E57,$AE$8:$AN$77,10,FALSE())=VLOOKUP(H57,$AE$8:$AN$77,10,FALSE()),1,0))</f>
        <v>0</v>
      </c>
      <c r="V57" s="42" t="n">
        <f aca="false">U57*F57</f>
        <v>0</v>
      </c>
      <c r="W57" s="42" t="n">
        <f aca="false">U57*G57</f>
        <v>0</v>
      </c>
      <c r="X57" s="42" t="n">
        <f aca="false">IF(S57="",0,IF(VLOOKUP(E57,$AE$8:$AO$77,11,FALSE())=VLOOKUP(H57,$AE$8:$AO$77,11,FALSE()),1,0))</f>
        <v>0</v>
      </c>
      <c r="Y57" s="42" t="n">
        <f aca="false">X57*F57</f>
        <v>0</v>
      </c>
      <c r="Z57" s="42" t="n">
        <f aca="false">X57*G57</f>
        <v>0</v>
      </c>
      <c r="AA57" s="42" t="n">
        <f aca="false">IF(OR(E57=my_team,H57=my_team),1,IF(INT(MATCH(E57,$AE$8:$AE$78,0)/6)=$AA$6,1,0))</f>
        <v>0</v>
      </c>
      <c r="AB57" s="42" t="n">
        <f aca="false">IF(OR(F57="",G57=""),"",IF(F57&gt;G57,1,IF(F57&lt;G57,-1,0)))</f>
        <v>1</v>
      </c>
      <c r="AD57" s="42" t="n">
        <f aca="false">COUNTIF(AR56:AR59,CONCATENATE("&gt;=",AR57))</f>
        <v>2</v>
      </c>
      <c r="AE57" s="44" t="str">
        <f aca="false">VLOOKUP("Senegal",T,lang,FALSE())</f>
        <v>Senegal</v>
      </c>
      <c r="AF57" s="42" t="n">
        <f aca="false">COUNTIF($S$7:$T$78,"=" &amp; AE57 &amp; "_win")</f>
        <v>2</v>
      </c>
      <c r="AG57" s="42" t="n">
        <f aca="false">COUNTIF($S$7:$T$78,"=" &amp; AE57 &amp; "_draw")</f>
        <v>0</v>
      </c>
      <c r="AH57" s="42" t="n">
        <f aca="false">COUNTIF($S$7:$T$78,"=" &amp; AE57 &amp; "_lose")</f>
        <v>1</v>
      </c>
      <c r="AI57" s="42" t="n">
        <f aca="false">SUMIF($E$7:$E$78,$AE57,$F$7:$F$78) + SUMIF($H$7:$H$78,$AE57,$G$7:$G$78)</f>
        <v>5</v>
      </c>
      <c r="AJ57" s="42" t="n">
        <f aca="false">SUMIF($E$7:$E$78,$AE57,$G$7:$G$78) + SUMIF($H$7:$H$78,$AE57,$F$7:$F$78)</f>
        <v>3</v>
      </c>
      <c r="AL57" s="42" t="n">
        <f aca="false">AI57-AJ57</f>
        <v>2</v>
      </c>
      <c r="AM57" s="42" t="n">
        <f aca="false">AL57-AL60</f>
        <v>7</v>
      </c>
      <c r="AN57" s="42" t="n">
        <f aca="false">AF57*3+AG57</f>
        <v>6</v>
      </c>
      <c r="AO57" s="42" t="n">
        <f aca="false">AN57/AN60*10+BA57</f>
        <v>6</v>
      </c>
      <c r="AP57" s="42" t="n">
        <f aca="false">AO57*10000000+BI57*100+AM57/AM60*10+AI57/AI60*1++IF(AQ57=0,ROW(),AQ57)/2000000</f>
        <v>60000007.0787666</v>
      </c>
      <c r="AQ57" s="46" t="n">
        <f aca="false">VLOOKUP(AE57,db_fifarank,2,FALSE())</f>
        <v>1688.99</v>
      </c>
      <c r="AR57" s="45" t="n">
        <f aca="false">AP57/AP60</f>
        <v>0.666666664215995</v>
      </c>
      <c r="AS57" s="45" t="str">
        <f aca="false">IF(SUM(AF56:AH59)=12,J58,"2I")</f>
        <v>Senegal</v>
      </c>
      <c r="AT57" s="46" t="n">
        <f aca="false" t="array" ref="AT57:AT57">SUMPRODUCT(($S$7:$S$78=AE57&amp;"_win")*($U$7:$U$78))+SUMPRODUCT(($T$7:$T$78=AE57&amp;"_win")*($U$7:$U$78))</f>
        <v>0</v>
      </c>
      <c r="AU57" s="46" t="n">
        <f aca="false" t="array" ref="AU57:AU57">SUMPRODUCT(($S$7:$S$78=AE57&amp;"_draw")*($U$7:$U$78))+SUMPRODUCT(($T$7:$T$78=AE57&amp;"_draw")*($U$7:$U$78))</f>
        <v>0</v>
      </c>
      <c r="AV57" s="46" t="n">
        <f aca="false" t="array" ref="AV57:AV57">SUMPRODUCT(($E$7:$E$78=AE57)*($U$7:$U$78)*($F$7:$F$78))+SUMPRODUCT(($H$7:$H$78=AE57)*($U$7:$U$78)*($G$7:$G$78))</f>
        <v>0</v>
      </c>
      <c r="AW57" s="46" t="n">
        <f aca="false" t="array" ref="AW57:AW57">SUMPRODUCT(($E$7:$E$78=AE57)*($U$7:$U$78)*($G$7:$G$78))+SUMPRODUCT(($H$7:$H$78=AE57)*($U$7:$U$78)*($F$7:$F$78))</f>
        <v>0</v>
      </c>
      <c r="AX57" s="46" t="n">
        <f aca="false">AV57-AW57</f>
        <v>0</v>
      </c>
      <c r="AY57" s="46" t="n">
        <f aca="false">AX57-MIN(AX56:AX59)</f>
        <v>0</v>
      </c>
      <c r="AZ57" s="46" t="n">
        <f aca="false">AT57/AT60*1000+AU57/AU60*100+AY57/AY60*10+AV57/AV60</f>
        <v>0</v>
      </c>
      <c r="BA57" s="46" t="n">
        <f aca="false">AZ57/AZ60</f>
        <v>0</v>
      </c>
      <c r="BB57" s="46" t="n">
        <f aca="false" t="array" ref="BB57:BB57">SUMPRODUCT(($S$7:$S$78=AE57&amp;"_win")*($X$7:$X$78))+SUMPRODUCT(($T$7:$T$78=AE57&amp;"_win")*($X$7:$X$78))</f>
        <v>0</v>
      </c>
      <c r="BC57" s="46" t="n">
        <f aca="false" t="array" ref="BC57:BC57">SUMPRODUCT(($S$7:$S$78=AE57&amp;"_draw")*($X$7:$X$78))+SUMPRODUCT(($T$7:$T$78=AE57&amp;"_draw")*($X$7:$X$78))</f>
        <v>0</v>
      </c>
      <c r="BD57" s="46" t="n">
        <f aca="false" t="array" ref="BD57:BD57">SUMPRODUCT(($E$7:$E$78=AE57)*($X$7:$X$78)*($F$7:$F$78))+SUMPRODUCT(($H$7:$H$78=AE57)*($X$7:$X$78)*($G$7:$G$78))</f>
        <v>0</v>
      </c>
      <c r="BE57" s="46" t="n">
        <f aca="false" t="array" ref="BE57:BE57">SUMPRODUCT(($E$7:$E$78=AE57)*($X$7:$X$78)*($G$7:$G$78))+SUMPRODUCT(($H$7:$H$78=AE57)*($X$7:$X$78)*($F$7:$F$78))</f>
        <v>0</v>
      </c>
      <c r="BF57" s="46" t="n">
        <f aca="false">BD57-BE57</f>
        <v>0</v>
      </c>
      <c r="BG57" s="46" t="n">
        <f aca="false">BF57-MIN(BF56:BF59)</f>
        <v>0</v>
      </c>
      <c r="BH57" s="46" t="n">
        <f aca="false">IF(SUM(BB57:BF57)=0,0,BB57/$BB$60*1000+BC57/$BC$60*100+BG57/$BG$60*10+BD57/$BD$60)</f>
        <v>0</v>
      </c>
      <c r="BI57" s="46" t="n">
        <f aca="false">BH57/BH60</f>
        <v>0</v>
      </c>
      <c r="BK57" s="74" t="str">
        <f aca="false" t="array" ref="BK57: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74"/>
      <c r="BM57" s="74"/>
      <c r="BN57" s="74"/>
      <c r="BO57" s="100"/>
      <c r="BP57" s="47" t="n">
        <f aca="false">DATE(2026,7,3)+TIME(11,0,0)+gmt_delta</f>
        <v>46207</v>
      </c>
      <c r="BQ57" s="47"/>
      <c r="BR57" s="74"/>
      <c r="BS57" s="74"/>
      <c r="BT57" s="74"/>
      <c r="BU57" s="74"/>
      <c r="BV57" s="74"/>
      <c r="BW57" s="47"/>
      <c r="BX57" s="47"/>
      <c r="BY57" s="74"/>
      <c r="BZ57" s="74"/>
      <c r="CA57" s="74"/>
      <c r="CB57" s="74"/>
      <c r="CC57" s="74"/>
      <c r="CD57" s="96"/>
    </row>
    <row r="58" customFormat="false" ht="14.25" hidden="false" customHeight="true" outlineLevel="0" collapsed="false">
      <c r="A58" s="63" t="n">
        <v>52</v>
      </c>
      <c r="B58" s="64" t="str">
        <f aca="false" t="array" ref="B58:B58">INDEX(T,18+INT(MOD(R58-1,7)),lang)</f>
        <v>Wed</v>
      </c>
      <c r="C58" s="65" t="str">
        <f aca="false" t="array" ref="C58:C58">INDEX(T,24+MONTH(R58),lang) &amp; " " &amp; DAY(R58) &amp; ", " &amp; YEAR(R58)</f>
        <v>Jun 24, 2026</v>
      </c>
      <c r="D58" s="66" t="n">
        <f aca="false">TIME(HOUR(R58),MINUTE(R58),0)</f>
        <v>0.875</v>
      </c>
      <c r="E58" s="67" t="str">
        <f aca="false">AE15</f>
        <v>Bosnia and Herzegovina</v>
      </c>
      <c r="F58" s="68" t="n">
        <v>0</v>
      </c>
      <c r="G58" s="69" t="n">
        <v>1</v>
      </c>
      <c r="H58" s="70" t="str">
        <f aca="false">AE16</f>
        <v>Qatar</v>
      </c>
      <c r="I58" s="102"/>
      <c r="J58" s="79" t="str">
        <f aca="false">VLOOKUP(2,AD56:AN59,2,FALSE())</f>
        <v>Senegal</v>
      </c>
      <c r="K58" s="80" t="n">
        <f aca="false">L58+M58+N58</f>
        <v>3</v>
      </c>
      <c r="L58" s="80" t="n">
        <f aca="false">VLOOKUP(2,AD56:AN59,3,FALSE())</f>
        <v>2</v>
      </c>
      <c r="M58" s="80" t="n">
        <f aca="false">VLOOKUP(2,AD56:AN59,4,FALSE())</f>
        <v>0</v>
      </c>
      <c r="N58" s="80" t="n">
        <f aca="false">VLOOKUP(2,AD56:AN59,5,FALSE())</f>
        <v>1</v>
      </c>
      <c r="O58" s="80" t="str">
        <f aca="false">VLOOKUP(2,AD56:AN59,6,FALSE()) &amp; " - " &amp; VLOOKUP(2,AD56:AN59,7,FALSE())</f>
        <v>5 - 3</v>
      </c>
      <c r="P58" s="81" t="n">
        <f aca="false">L58*3+M58</f>
        <v>6</v>
      </c>
      <c r="R58" s="42" t="n">
        <f aca="false">DATE(2026,6,24)+TIME(8,0,0)+gmt_delta</f>
        <v>46197.875</v>
      </c>
      <c r="S58" s="43" t="str">
        <f aca="false">IF(OR(F58="",G58=""),"",IF(F58&gt;G58,E58&amp;"_win",IF(F58&lt;G58,E58&amp;"_lose",E58&amp;"_draw")))</f>
        <v>Bosnia and Herzegovina_lose</v>
      </c>
      <c r="T58" s="43" t="str">
        <f aca="false">IF(S58="","",IF(F58&lt;G58,H58&amp;"_win",IF(F58&gt;G58,H58&amp;"_lose",H58&amp;"_draw")))</f>
        <v>Qatar_win</v>
      </c>
      <c r="U58" s="42" t="n">
        <f aca="false">IF(S58="",0,IF(VLOOKUP(E58,$AE$8:$AN$77,10,FALSE())=VLOOKUP(H58,$AE$8:$AN$77,10,FALSE()),1,0))</f>
        <v>0</v>
      </c>
      <c r="V58" s="42" t="n">
        <f aca="false">U58*F58</f>
        <v>0</v>
      </c>
      <c r="W58" s="42" t="n">
        <f aca="false">U58*G58</f>
        <v>0</v>
      </c>
      <c r="X58" s="42" t="n">
        <f aca="false">IF(S58="",0,IF(VLOOKUP(E58,$AE$8:$AO$77,11,FALSE())=VLOOKUP(H58,$AE$8:$AO$77,11,FALSE()),1,0))</f>
        <v>0</v>
      </c>
      <c r="Y58" s="42" t="n">
        <f aca="false">X58*F58</f>
        <v>0</v>
      </c>
      <c r="Z58" s="42" t="n">
        <f aca="false">X58*G58</f>
        <v>0</v>
      </c>
      <c r="AA58" s="42" t="n">
        <f aca="false">IF(OR(E58=my_team,H58=my_team),1,IF(INT(MATCH(E58,$AE$8:$AE$78,0)/6)=$AA$6,1,0))</f>
        <v>0</v>
      </c>
      <c r="AB58" s="42" t="n">
        <f aca="false">IF(OR(F58="",G58=""),"",IF(F58&gt;G58,1,IF(F58&lt;G58,-1,0)))</f>
        <v>-1</v>
      </c>
      <c r="AD58" s="42" t="n">
        <f aca="false">COUNTIF(AR56:AR59,CONCATENATE("&gt;=",AR58))</f>
        <v>4</v>
      </c>
      <c r="AE58" s="44" t="str">
        <f aca="false">VLOOKUP("Iraq",T,lang,FALSE())</f>
        <v>Iraq</v>
      </c>
      <c r="AF58" s="42" t="n">
        <f aca="false">COUNTIF($S$7:$T$78,"=" &amp; AE58 &amp; "_win")</f>
        <v>0</v>
      </c>
      <c r="AG58" s="42" t="n">
        <f aca="false">COUNTIF($S$7:$T$78,"=" &amp; AE58 &amp; "_draw")</f>
        <v>0</v>
      </c>
      <c r="AH58" s="42" t="n">
        <f aca="false">COUNTIF($S$7:$T$78,"=" &amp; AE58 &amp; "_lose")</f>
        <v>3</v>
      </c>
      <c r="AI58" s="42" t="n">
        <f aca="false">SUMIF($E$7:$E$78,$AE58,$F$7:$F$78) + SUMIF($H$7:$H$78,$AE58,$G$7:$G$78)</f>
        <v>1</v>
      </c>
      <c r="AJ58" s="42" t="n">
        <f aca="false">SUMIF($E$7:$E$78,$AE58,$G$7:$G$78) + SUMIF($H$7:$H$78,$AE58,$F$7:$F$78)</f>
        <v>6</v>
      </c>
      <c r="AL58" s="42" t="n">
        <f aca="false">AI58-AJ58</f>
        <v>-5</v>
      </c>
      <c r="AM58" s="42" t="n">
        <f aca="false">AL58-AL60</f>
        <v>0</v>
      </c>
      <c r="AN58" s="42" t="n">
        <f aca="false">AF58*3+AG58</f>
        <v>0</v>
      </c>
      <c r="AO58" s="42" t="n">
        <f aca="false">AN58/AN60*10+BA58</f>
        <v>0</v>
      </c>
      <c r="AP58" s="42" t="n">
        <f aca="false">AO58*10000000+BI58*100+AM58/AM60*10+AI58/AI60*1++IF(AQ58=0,ROW(),AQ58)/2000000</f>
        <v>0.143580712857143</v>
      </c>
      <c r="AQ58" s="46" t="n">
        <f aca="false">VLOOKUP(AE58,db_fifarank,2,FALSE())</f>
        <v>1447.14</v>
      </c>
      <c r="AR58" s="45" t="n">
        <f aca="false">AP58/AP60</f>
        <v>1.59534105988632E-009</v>
      </c>
      <c r="AT58" s="46" t="n">
        <f aca="false" t="array" ref="AT58:AT58">SUMPRODUCT(($S$7:$S$78=AE58&amp;"_win")*($U$7:$U$78))+SUMPRODUCT(($T$7:$T$78=AE58&amp;"_win")*($U$7:$U$78))</f>
        <v>0</v>
      </c>
      <c r="AU58" s="46" t="n">
        <f aca="false" t="array" ref="AU58:AU58">SUMPRODUCT(($S$7:$S$78=AE58&amp;"_draw")*($U$7:$U$78))+SUMPRODUCT(($T$7:$T$78=AE58&amp;"_draw")*($U$7:$U$78))</f>
        <v>0</v>
      </c>
      <c r="AV58" s="46" t="n">
        <f aca="false" t="array" ref="AV58:AV58">SUMPRODUCT(($E$7:$E$78=AE58)*($U$7:$U$78)*($F$7:$F$78))+SUMPRODUCT(($H$7:$H$78=AE58)*($U$7:$U$78)*($G$7:$G$78))</f>
        <v>0</v>
      </c>
      <c r="AW58" s="46" t="n">
        <f aca="false" t="array" ref="AW58:AW58">SUMPRODUCT(($E$7:$E$78=AE58)*($U$7:$U$78)*($G$7:$G$78))+SUMPRODUCT(($H$7:$H$78=AE58)*($U$7:$U$78)*($F$7:$F$78))</f>
        <v>0</v>
      </c>
      <c r="AX58" s="46" t="n">
        <f aca="false">AV58-AW58</f>
        <v>0</v>
      </c>
      <c r="AY58" s="46" t="n">
        <f aca="false">AX58-MIN(AX56:AX59)</f>
        <v>0</v>
      </c>
      <c r="AZ58" s="46" t="n">
        <f aca="false">AT58/AT60*1000+AU58/AU60*100+AY58/AY60*10+AV58/AV60</f>
        <v>0</v>
      </c>
      <c r="BA58" s="46" t="n">
        <f aca="false">AZ58/AZ60</f>
        <v>0</v>
      </c>
      <c r="BB58" s="46" t="n">
        <f aca="false" t="array" ref="BB58:BB58">SUMPRODUCT(($S$7:$S$78=AE58&amp;"_win")*($X$7:$X$78))+SUMPRODUCT(($T$7:$T$78=AE58&amp;"_win")*($X$7:$X$78))</f>
        <v>0</v>
      </c>
      <c r="BC58" s="46" t="n">
        <f aca="false" t="array" ref="BC58:BC58">SUMPRODUCT(($S$7:$S$78=AE58&amp;"_draw")*($X$7:$X$78))+SUMPRODUCT(($T$7:$T$78=AE58&amp;"_draw")*($X$7:$X$78))</f>
        <v>0</v>
      </c>
      <c r="BD58" s="46" t="n">
        <f aca="false" t="array" ref="BD58:BD58">SUMPRODUCT(($E$7:$E$78=AE58)*($X$7:$X$78)*($F$7:$F$78))+SUMPRODUCT(($H$7:$H$78=AE58)*($X$7:$X$78)*($G$7:$G$78))</f>
        <v>0</v>
      </c>
      <c r="BE58" s="46" t="n">
        <f aca="false" t="array" ref="BE58:BE58">SUMPRODUCT(($E$7:$E$78=AE58)*($X$7:$X$78)*($G$7:$G$78))+SUMPRODUCT(($H$7:$H$78=AE58)*($X$7:$X$78)*($F$7:$F$78))</f>
        <v>0</v>
      </c>
      <c r="BF58" s="46" t="n">
        <f aca="false">BD58-BE58</f>
        <v>0</v>
      </c>
      <c r="BG58" s="46" t="n">
        <f aca="false">BF58-MIN(BF56:BF59)</f>
        <v>0</v>
      </c>
      <c r="BH58" s="46" t="n">
        <f aca="false">IF(SUM(BB58:BF58)=0,0,BB58/$BB$60*1000+BC58/$BC$60*100+BG58/$BG$60*10+BD58/$BD$60)</f>
        <v>0</v>
      </c>
      <c r="BI58" s="46" t="n">
        <f aca="false">BH58/BH60</f>
        <v>0</v>
      </c>
      <c r="BK58" s="82" t="n">
        <v>86</v>
      </c>
      <c r="BL58" s="83" t="str">
        <f aca="false">AS62</f>
        <v>Argentina</v>
      </c>
      <c r="BM58" s="84" t="n">
        <v>1</v>
      </c>
      <c r="BN58" s="85"/>
      <c r="BO58" s="86"/>
      <c r="BP58" s="47" t="n">
        <f aca="false">IF(OR(BM58="",BM59="",AND(BN58="",BN59&lt;&gt;""),AND(BN59="",BN58&lt;&gt;""),AND(BO58="",BO59&lt;&gt;""),AND(BO59="",BO58&lt;&gt;"")),"",BM58*1000+BN58*10+BO58)</f>
        <v>1000</v>
      </c>
      <c r="BQ58" s="47"/>
      <c r="BR58" s="74"/>
      <c r="BS58" s="74"/>
      <c r="BT58" s="74"/>
      <c r="BU58" s="74"/>
      <c r="BV58" s="74"/>
      <c r="BW58" s="47"/>
      <c r="BX58" s="47"/>
      <c r="BY58" s="74"/>
      <c r="BZ58" s="74"/>
      <c r="CA58" s="74"/>
      <c r="CB58" s="74"/>
      <c r="CC58" s="74"/>
      <c r="CD58" s="96"/>
    </row>
    <row r="59" customFormat="false" ht="14.25" hidden="false" customHeight="true" outlineLevel="0" collapsed="false">
      <c r="A59" s="63" t="n">
        <v>53</v>
      </c>
      <c r="B59" s="64" t="str">
        <f aca="false" t="array" ref="B59:B59">INDEX(T,18+INT(MOD(R59-1,7)),lang)</f>
        <v>Thu</v>
      </c>
      <c r="C59" s="65" t="str">
        <f aca="false" t="array" ref="C59:C59">INDEX(T,24+MONTH(R59),lang) &amp; " " &amp; DAY(R59) &amp; ", " &amp; YEAR(R59)</f>
        <v>Jun 25, 2026</v>
      </c>
      <c r="D59" s="66" t="n">
        <f aca="false">TIME(HOUR(R59),MINUTE(R59),0)</f>
        <v>0.125</v>
      </c>
      <c r="E59" s="67" t="str">
        <f aca="false">AE11</f>
        <v>Czech Republic</v>
      </c>
      <c r="F59" s="68" t="n">
        <v>1</v>
      </c>
      <c r="G59" s="69" t="n">
        <v>2</v>
      </c>
      <c r="H59" s="70" t="str">
        <f aca="false">AE8</f>
        <v>Mexico</v>
      </c>
      <c r="I59" s="102"/>
      <c r="J59" s="79" t="str">
        <f aca="false">VLOOKUP(3,AD56:AN59,2,FALSE())</f>
        <v>Norway</v>
      </c>
      <c r="K59" s="80" t="n">
        <f aca="false">L59+M59+N59</f>
        <v>3</v>
      </c>
      <c r="L59" s="80" t="n">
        <f aca="false">VLOOKUP(3,AD56:AN59,3,FALSE())</f>
        <v>1</v>
      </c>
      <c r="M59" s="80" t="n">
        <f aca="false">VLOOKUP(3,AD56:AN59,4,FALSE())</f>
        <v>0</v>
      </c>
      <c r="N59" s="80" t="n">
        <f aca="false">VLOOKUP(3,AD56:AN59,5,FALSE())</f>
        <v>2</v>
      </c>
      <c r="O59" s="80" t="str">
        <f aca="false">VLOOKUP(3,AD56:AN59,6,FALSE()) &amp; " - " &amp; VLOOKUP(3,AD56:AN59,7,FALSE())</f>
        <v>3 - 5</v>
      </c>
      <c r="P59" s="81" t="n">
        <f aca="false">L59*3+M59</f>
        <v>3</v>
      </c>
      <c r="R59" s="42" t="n">
        <f aca="false">DATE(2026,6,24)+TIME(14,0,0)+gmt_delta</f>
        <v>46198.125</v>
      </c>
      <c r="S59" s="43" t="str">
        <f aca="false">IF(OR(F59="",G59=""),"",IF(F59&gt;G59,E59&amp;"_win",IF(F59&lt;G59,E59&amp;"_lose",E59&amp;"_draw")))</f>
        <v>Czech Republic_lose</v>
      </c>
      <c r="T59" s="43" t="str">
        <f aca="false">IF(S59="","",IF(F59&lt;G59,H59&amp;"_win",IF(F59&gt;G59,H59&amp;"_lose",H59&amp;"_draw")))</f>
        <v>Mexico_win</v>
      </c>
      <c r="U59" s="42" t="n">
        <f aca="false">IF(S59="",0,IF(VLOOKUP(E59,$AE$8:$AN$77,10,FALSE())=VLOOKUP(H59,$AE$8:$AN$77,10,FALSE()),1,0))</f>
        <v>0</v>
      </c>
      <c r="V59" s="42" t="n">
        <f aca="false">U59*F59</f>
        <v>0</v>
      </c>
      <c r="W59" s="42" t="n">
        <f aca="false">U59*G59</f>
        <v>0</v>
      </c>
      <c r="X59" s="42" t="n">
        <f aca="false">IF(S59="",0,IF(VLOOKUP(E59,$AE$8:$AO$77,11,FALSE())=VLOOKUP(H59,$AE$8:$AO$77,11,FALSE()),1,0))</f>
        <v>0</v>
      </c>
      <c r="Y59" s="42" t="n">
        <f aca="false">X59*F59</f>
        <v>0</v>
      </c>
      <c r="Z59" s="42" t="n">
        <f aca="false">X59*G59</f>
        <v>0</v>
      </c>
      <c r="AA59" s="42" t="n">
        <f aca="false">IF(OR(E59=my_team,H59=my_team),1,IF(INT(MATCH(E59,$AE$8:$AE$78,0)/6)=$AA$6,1,0))</f>
        <v>0</v>
      </c>
      <c r="AB59" s="42" t="n">
        <f aca="false">IF(OR(F59="",G59=""),"",IF(F59&gt;G59,1,IF(F59&lt;G59,-1,0)))</f>
        <v>-1</v>
      </c>
      <c r="AD59" s="42" t="n">
        <f aca="false">COUNTIF(AR56:AR59,CONCATENATE("&gt;=",AR59))</f>
        <v>3</v>
      </c>
      <c r="AE59" s="44" t="str">
        <f aca="false">VLOOKUP("Norway",T,lang,FALSE())</f>
        <v>Norway</v>
      </c>
      <c r="AF59" s="42" t="n">
        <f aca="false">COUNTIF($S$7:$T$78,"=" &amp; AE59 &amp; "_win")</f>
        <v>1</v>
      </c>
      <c r="AG59" s="42" t="n">
        <f aca="false">COUNTIF($S$7:$T$78,"=" &amp; AE59 &amp; "_draw")</f>
        <v>0</v>
      </c>
      <c r="AH59" s="42" t="n">
        <f aca="false">COUNTIF($S$7:$T$78,"=" &amp; AE59 &amp; "_lose")</f>
        <v>2</v>
      </c>
      <c r="AI59" s="42" t="n">
        <f aca="false">SUMIF($E$7:$E$78,$AE59,$F$7:$F$78) + SUMIF($H$7:$H$78,$AE59,$G$7:$G$78)</f>
        <v>3</v>
      </c>
      <c r="AJ59" s="42" t="n">
        <f aca="false">SUMIF($E$7:$E$78,$AE59,$G$7:$G$78) + SUMIF($H$7:$H$78,$AE59,$F$7:$F$78)</f>
        <v>5</v>
      </c>
      <c r="AL59" s="42" t="n">
        <f aca="false">AI59-AJ59</f>
        <v>-2</v>
      </c>
      <c r="AM59" s="42" t="n">
        <f aca="false">AL59-AL60</f>
        <v>3</v>
      </c>
      <c r="AN59" s="42" t="n">
        <f aca="false">AF59*3+AG59</f>
        <v>3</v>
      </c>
      <c r="AO59" s="42" t="n">
        <f aca="false">AN59/AN60*10+BA59</f>
        <v>3</v>
      </c>
      <c r="AP59" s="42" t="n">
        <f aca="false">AO59*10000000+BI59*100+AM59/AM60*10+AI59/AI60*1++IF(AQ59=0,ROW(),AQ59)/2000000</f>
        <v>30000003.1566196</v>
      </c>
      <c r="AQ59" s="46" t="n">
        <f aca="false">VLOOKUP(AE59,db_fifarank,2,FALSE())</f>
        <v>1550.94</v>
      </c>
      <c r="AR59" s="45" t="n">
        <f aca="false">AP59/AP60</f>
        <v>0.333333327855068</v>
      </c>
      <c r="AT59" s="46" t="n">
        <f aca="false" t="array" ref="AT59:AT59">SUMPRODUCT(($S$7:$S$78=AE59&amp;"_win")*($U$7:$U$78))+SUMPRODUCT(($T$7:$T$78=AE59&amp;"_win")*($U$7:$U$78))</f>
        <v>0</v>
      </c>
      <c r="AU59" s="46" t="n">
        <f aca="false" t="array" ref="AU59:AU59">SUMPRODUCT(($S$7:$S$78=AE59&amp;"_draw")*($U$7:$U$78))+SUMPRODUCT(($T$7:$T$78=AE59&amp;"_draw")*($U$7:$U$78))</f>
        <v>0</v>
      </c>
      <c r="AV59" s="46" t="n">
        <f aca="false" t="array" ref="AV59:AV59">SUMPRODUCT(($E$7:$E$78=AE59)*($U$7:$U$78)*($F$7:$F$78))+SUMPRODUCT(($H$7:$H$78=AE59)*($U$7:$U$78)*($G$7:$G$78))</f>
        <v>0</v>
      </c>
      <c r="AW59" s="46" t="n">
        <f aca="false" t="array" ref="AW59:AW59">SUMPRODUCT(($E$7:$E$78=AE59)*($U$7:$U$78)*($G$7:$G$78))+SUMPRODUCT(($H$7:$H$78=AE59)*($U$7:$U$78)*($F$7:$F$78))</f>
        <v>0</v>
      </c>
      <c r="AX59" s="46" t="n">
        <f aca="false">AV59-AW59</f>
        <v>0</v>
      </c>
      <c r="AY59" s="46" t="n">
        <f aca="false">AX59-MIN(AX56:AX59)</f>
        <v>0</v>
      </c>
      <c r="AZ59" s="46" t="n">
        <f aca="false">AT59/AT60*1000+AU59/AU60*100+AY59/AY60*10+AV59/AV60</f>
        <v>0</v>
      </c>
      <c r="BA59" s="46" t="n">
        <f aca="false">AZ59/AZ60</f>
        <v>0</v>
      </c>
      <c r="BB59" s="46" t="n">
        <f aca="false" t="array" ref="BB59:BB59">SUMPRODUCT(($S$7:$S$78=AE59&amp;"_win")*($X$7:$X$78))+SUMPRODUCT(($T$7:$T$78=AE59&amp;"_win")*($X$7:$X$78))</f>
        <v>0</v>
      </c>
      <c r="BC59" s="46" t="n">
        <f aca="false" t="array" ref="BC59:BC59">SUMPRODUCT(($S$7:$S$78=AE59&amp;"_draw")*($X$7:$X$78))+SUMPRODUCT(($T$7:$T$78=AE59&amp;"_draw")*($X$7:$X$78))</f>
        <v>0</v>
      </c>
      <c r="BD59" s="46" t="n">
        <f aca="false" t="array" ref="BD59:BD59">SUMPRODUCT(($E$7:$E$78=AE59)*($X$7:$X$78)*($F$7:$F$78))+SUMPRODUCT(($H$7:$H$78=AE59)*($X$7:$X$78)*($G$7:$G$78))</f>
        <v>0</v>
      </c>
      <c r="BE59" s="46" t="n">
        <f aca="false" t="array" ref="BE59:BE59">SUMPRODUCT(($E$7:$E$78=AE59)*($X$7:$X$78)*($G$7:$G$78))+SUMPRODUCT(($H$7:$H$78=AE59)*($X$7:$X$78)*($F$7:$F$78))</f>
        <v>0</v>
      </c>
      <c r="BF59" s="46" t="n">
        <f aca="false">BD59-BE59</f>
        <v>0</v>
      </c>
      <c r="BG59" s="46" t="n">
        <f aca="false">BF59-MIN(BF56:BF59)</f>
        <v>0</v>
      </c>
      <c r="BH59" s="46" t="n">
        <f aca="false">IF(SUM(BB59:BF59)=0,0,BB59/$BB$60*1000+BC59/$BC$60*100+BG59/$BG$60*10+BD59/$BD$60)</f>
        <v>0</v>
      </c>
      <c r="BI59" s="46" t="n">
        <f aca="false">BH59/BH60</f>
        <v>0</v>
      </c>
      <c r="BK59" s="82"/>
      <c r="BL59" s="87" t="str">
        <f aca="false">AS51</f>
        <v>Uruguay</v>
      </c>
      <c r="BM59" s="88" t="n">
        <v>0</v>
      </c>
      <c r="BN59" s="89"/>
      <c r="BO59" s="90"/>
      <c r="BP59" s="91" t="n">
        <f aca="false">IF(BP58="","",BM59*1000+BN59*10+BO59)</f>
        <v>0</v>
      </c>
      <c r="BQ59" s="47"/>
      <c r="BR59" s="74" t="str">
        <f aca="false" t="array" ref="BR59: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74"/>
      <c r="BT59" s="74"/>
      <c r="BU59" s="74"/>
      <c r="BV59" s="92"/>
      <c r="BW59" s="47" t="n">
        <f aca="false">DATE(2026,7,7)+TIME(5,0,0)+gmt_delta</f>
        <v>46210.75</v>
      </c>
      <c r="BX59" s="47"/>
      <c r="BY59" s="74"/>
      <c r="BZ59" s="74"/>
      <c r="CA59" s="74"/>
      <c r="CB59" s="74"/>
      <c r="CC59" s="74"/>
      <c r="CD59" s="96"/>
    </row>
    <row r="60" customFormat="false" ht="14.25" hidden="false" customHeight="true" outlineLevel="0" collapsed="false">
      <c r="A60" s="63" t="n">
        <v>54</v>
      </c>
      <c r="B60" s="64" t="str">
        <f aca="false" t="array" ref="B60:B60">INDEX(T,18+INT(MOD(R60-1,7)),lang)</f>
        <v>Thu</v>
      </c>
      <c r="C60" s="65" t="str">
        <f aca="false" t="array" ref="C60:C60">INDEX(T,24+MONTH(R60),lang) &amp; " " &amp; DAY(R60) &amp; ", " &amp; YEAR(R60)</f>
        <v>Jun 25, 2026</v>
      </c>
      <c r="D60" s="66" t="n">
        <f aca="false">TIME(HOUR(R60),MINUTE(R60),0)</f>
        <v>0.125</v>
      </c>
      <c r="E60" s="67" t="str">
        <f aca="false">AE9</f>
        <v>South Africa</v>
      </c>
      <c r="F60" s="68" t="n">
        <v>1</v>
      </c>
      <c r="G60" s="69" t="n">
        <v>2</v>
      </c>
      <c r="H60" s="70" t="str">
        <f aca="false">AE10</f>
        <v>Korea Republic</v>
      </c>
      <c r="I60" s="102"/>
      <c r="J60" s="93" t="str">
        <f aca="false">VLOOKUP(4,AD56:AN59,2,FALSE())</f>
        <v>Iraq</v>
      </c>
      <c r="K60" s="94" t="n">
        <f aca="false">L60+M60+N60</f>
        <v>3</v>
      </c>
      <c r="L60" s="94" t="n">
        <f aca="false">VLOOKUP(4,AD56:AN59,3,FALSE())</f>
        <v>0</v>
      </c>
      <c r="M60" s="94" t="n">
        <f aca="false">VLOOKUP(4,AD56:AN59,4,FALSE())</f>
        <v>0</v>
      </c>
      <c r="N60" s="94" t="n">
        <f aca="false">VLOOKUP(4,AD56:AN59,5,FALSE())</f>
        <v>3</v>
      </c>
      <c r="O60" s="94" t="str">
        <f aca="false">VLOOKUP(4,AD56:AN59,6,FALSE()) &amp; " - " &amp; VLOOKUP(4,AD56:AN59,7,FALSE())</f>
        <v>1 - 6</v>
      </c>
      <c r="P60" s="95" t="n">
        <f aca="false">L60*3+M60</f>
        <v>0</v>
      </c>
      <c r="R60" s="42" t="n">
        <f aca="false">DATE(2026,6,24)+TIME(14,0,0)+gmt_delta</f>
        <v>46198.125</v>
      </c>
      <c r="S60" s="43" t="str">
        <f aca="false">IF(OR(F60="",G60=""),"",IF(F60&gt;G60,E60&amp;"_win",IF(F60&lt;G60,E60&amp;"_lose",E60&amp;"_draw")))</f>
        <v>South Africa_lose</v>
      </c>
      <c r="T60" s="43" t="str">
        <f aca="false">IF(S60="","",IF(F60&lt;G60,H60&amp;"_win",IF(F60&gt;G60,H60&amp;"_lose",H60&amp;"_draw")))</f>
        <v>Korea Republic_win</v>
      </c>
      <c r="U60" s="42" t="n">
        <f aca="false">IF(S60="",0,IF(VLOOKUP(E60,$AE$8:$AN$77,10,FALSE())=VLOOKUP(H60,$AE$8:$AN$77,10,FALSE()),1,0))</f>
        <v>0</v>
      </c>
      <c r="V60" s="42" t="n">
        <f aca="false">U60*F60</f>
        <v>0</v>
      </c>
      <c r="W60" s="42" t="n">
        <f aca="false">U60*G60</f>
        <v>0</v>
      </c>
      <c r="X60" s="42" t="n">
        <f aca="false">IF(S60="",0,IF(VLOOKUP(E60,$AE$8:$AO$77,11,FALSE())=VLOOKUP(H60,$AE$8:$AO$77,11,FALSE()),1,0))</f>
        <v>0</v>
      </c>
      <c r="Y60" s="42" t="n">
        <f aca="false">X60*F60</f>
        <v>0</v>
      </c>
      <c r="Z60" s="42" t="n">
        <f aca="false">X60*G60</f>
        <v>0</v>
      </c>
      <c r="AA60" s="42" t="n">
        <f aca="false">IF(OR(E60=my_team,H60=my_team),1,IF(INT(MATCH(E60,$AE$8:$AE$78,0)/6)=$AA$6,1,0))</f>
        <v>0</v>
      </c>
      <c r="AB60" s="42" t="n">
        <f aca="false">IF(OR(F60="",G60=""),"",IF(F60&gt;G60,1,IF(F60&lt;G60,-1,0)))</f>
        <v>-1</v>
      </c>
      <c r="AF60" s="42" t="n">
        <f aca="false">MAX(AF56:AF59)-MIN(AF56:AF59)+1</f>
        <v>4</v>
      </c>
      <c r="AG60" s="42" t="n">
        <f aca="false">MAX(AG56:AG59)-MIN(AG56:AG59)+1</f>
        <v>1</v>
      </c>
      <c r="AH60" s="42" t="n">
        <f aca="false">MAX(AH56:AH59)-MIN(AH56:AH59)+1</f>
        <v>4</v>
      </c>
      <c r="AI60" s="42" t="n">
        <f aca="false">MAX(AI56:AI59)+1</f>
        <v>7</v>
      </c>
      <c r="AL60" s="42" t="n">
        <f aca="false">MIN(AL56:AL59)</f>
        <v>-5</v>
      </c>
      <c r="AM60" s="42" t="n">
        <f aca="false">MAX(AM56:AM59)+1</f>
        <v>11</v>
      </c>
      <c r="AN60" s="42" t="n">
        <f aca="false">MAX(AN56:AN59)+1</f>
        <v>10</v>
      </c>
      <c r="AO60" s="42" t="n">
        <f aca="false">MAX(AO56:AO59)+1</f>
        <v>10</v>
      </c>
      <c r="AP60" s="42" t="n">
        <f aca="false">MAX(AP56:AP59)+1</f>
        <v>90000010.9489906</v>
      </c>
      <c r="AT60" s="46" t="n">
        <f aca="false">MAX(AT56:AT59)-MIN(AT56:AT59)+1</f>
        <v>1</v>
      </c>
      <c r="AU60" s="46" t="n">
        <f aca="false">MAX(AU56:AU59)-MIN(AU56:AU59)+1</f>
        <v>1</v>
      </c>
      <c r="AV60" s="46" t="n">
        <f aca="false">MAX(AV56:AV59)-MIN(AV56:AV59)+1</f>
        <v>1</v>
      </c>
      <c r="AW60" s="46" t="n">
        <f aca="false">MAX(AW56:AW59)-MIN(AW56:AW59)+1</f>
        <v>1</v>
      </c>
      <c r="AY60" s="46" t="n">
        <f aca="false">MAX(AY56:AY59)-MIN(AY56:AY59)+1</f>
        <v>1</v>
      </c>
      <c r="AZ60" s="46" t="n">
        <f aca="false">MAX(AZ56:AZ59)+1</f>
        <v>1</v>
      </c>
      <c r="BB60" s="46" t="n">
        <f aca="false">MAX(BB56:BB59)-MIN(BB56:BB59)+1</f>
        <v>1</v>
      </c>
      <c r="BC60" s="46" t="n">
        <f aca="false">MAX(BC56:BC59)-MIN(BC56:BC59)+1</f>
        <v>1</v>
      </c>
      <c r="BD60" s="46" t="n">
        <f aca="false">MAX(BD56:BD59)-MIN(BD56:BD59)+1</f>
        <v>1</v>
      </c>
      <c r="BE60" s="46" t="n">
        <f aca="false">MAX(BE56:BE59)-MIN(BE56:BE59)+1</f>
        <v>1</v>
      </c>
      <c r="BG60" s="46" t="n">
        <f aca="false">MAX(BG56:BG59)-MIN(BG56:BG59)+1</f>
        <v>1</v>
      </c>
      <c r="BH60" s="46" t="n">
        <f aca="false">MAX(BH56:BH59)+1</f>
        <v>1</v>
      </c>
      <c r="BK60" s="74"/>
      <c r="BL60" s="74"/>
      <c r="BM60" s="74"/>
      <c r="BN60" s="74"/>
      <c r="BO60" s="74"/>
      <c r="BP60" s="96"/>
      <c r="BQ60" s="47"/>
      <c r="BR60" s="82" t="n">
        <v>95</v>
      </c>
      <c r="BS60" s="83" t="str">
        <f aca="false">IF(BP58&gt;BP59,BL58,IF(BP58&lt;BP59,BL59,""))</f>
        <v>Argentina</v>
      </c>
      <c r="BT60" s="84" t="n">
        <v>1</v>
      </c>
      <c r="BU60" s="85"/>
      <c r="BV60" s="86"/>
      <c r="BW60" s="47" t="n">
        <f aca="false">IF(OR(BT60="",BT61="",AND(BU60="",BU61&lt;&gt;""),AND(BU61="",BU60&lt;&gt;""),AND(BV60="",BV61&lt;&gt;""),AND(BV61="",BV60&lt;&gt;"")),"",BT60*1000+BU60*10+BV60)</f>
        <v>1000</v>
      </c>
      <c r="BX60" s="47"/>
      <c r="BY60" s="74"/>
      <c r="BZ60" s="74"/>
      <c r="CA60" s="74"/>
      <c r="CB60" s="74"/>
      <c r="CC60" s="74"/>
      <c r="CD60" s="96"/>
    </row>
    <row r="61" customFormat="false" ht="14.25" hidden="false" customHeight="true" outlineLevel="0" collapsed="false">
      <c r="A61" s="63" t="n">
        <v>55</v>
      </c>
      <c r="B61" s="64" t="str">
        <f aca="false" t="array" ref="B61:B61">INDEX(T,18+INT(MOD(R61-1,7)),lang)</f>
        <v>Thu</v>
      </c>
      <c r="C61" s="65" t="str">
        <f aca="false" t="array" ref="C61:C61">INDEX(T,24+MONTH(R61),lang) &amp; " " &amp; DAY(R61) &amp; ", " &amp; YEAR(R61)</f>
        <v>Jun 25, 2026</v>
      </c>
      <c r="D61" s="66" t="n">
        <f aca="false">TIME(HOUR(R61),MINUTE(R61),0)</f>
        <v>0.916666666666667</v>
      </c>
      <c r="E61" s="67" t="str">
        <f aca="false">AE33</f>
        <v>Curaçao</v>
      </c>
      <c r="F61" s="68" t="n">
        <v>0</v>
      </c>
      <c r="G61" s="69" t="n">
        <v>2</v>
      </c>
      <c r="H61" s="70" t="str">
        <f aca="false">AE34</f>
        <v>Ivory Coast</v>
      </c>
      <c r="I61" s="102"/>
      <c r="J61" s="103"/>
      <c r="K61" s="104"/>
      <c r="L61" s="104"/>
      <c r="M61" s="104"/>
      <c r="N61" s="104"/>
      <c r="O61" s="104"/>
      <c r="P61" s="104"/>
      <c r="R61" s="42" t="n">
        <f aca="false">DATE(2026,6,25)+TIME(9,0,0)+gmt_delta</f>
        <v>46198.9166666667</v>
      </c>
      <c r="S61" s="43" t="str">
        <f aca="false">IF(OR(F61="",G61=""),"",IF(F61&gt;G61,E61&amp;"_win",IF(F61&lt;G61,E61&amp;"_lose",E61&amp;"_draw")))</f>
        <v>Curaçao_lose</v>
      </c>
      <c r="T61" s="43" t="str">
        <f aca="false">IF(S61="","",IF(F61&lt;G61,H61&amp;"_win",IF(F61&gt;G61,H61&amp;"_lose",H61&amp;"_draw")))</f>
        <v>Ivory Coast_win</v>
      </c>
      <c r="U61" s="42" t="n">
        <f aca="false">IF(S61="",0,IF(VLOOKUP(E61,$AE$8:$AN$77,10,FALSE())=VLOOKUP(H61,$AE$8:$AN$77,10,FALSE()),1,0))</f>
        <v>0</v>
      </c>
      <c r="V61" s="42" t="n">
        <f aca="false">U61*F61</f>
        <v>0</v>
      </c>
      <c r="W61" s="42" t="n">
        <f aca="false">U61*G61</f>
        <v>0</v>
      </c>
      <c r="X61" s="42" t="n">
        <f aca="false">IF(S61="",0,IF(VLOOKUP(E61,$AE$8:$AO$77,11,FALSE())=VLOOKUP(H61,$AE$8:$AO$77,11,FALSE()),1,0))</f>
        <v>0</v>
      </c>
      <c r="Y61" s="42" t="n">
        <f aca="false">X61*F61</f>
        <v>0</v>
      </c>
      <c r="Z61" s="42" t="n">
        <f aca="false">X61*G61</f>
        <v>0</v>
      </c>
      <c r="AA61" s="42" t="n">
        <f aca="false">IF(OR(E61=my_team,H61=my_team),1,IF(INT(MATCH(E61,$AE$8:$AE$78,0)/6)=$AA$6,1,0))</f>
        <v>0</v>
      </c>
      <c r="AB61" s="42" t="n">
        <f aca="false">IF(OR(F61="",G61=""),"",IF(F61&gt;G61,1,IF(F61&lt;G61,-1,0)))</f>
        <v>-1</v>
      </c>
      <c r="BK61" s="74" t="str">
        <f aca="false" t="array" ref="BK61: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74"/>
      <c r="BM61" s="74"/>
      <c r="BN61" s="74"/>
      <c r="BO61" s="92"/>
      <c r="BP61" s="96" t="n">
        <f aca="false">DATE(2026,7,3)+TIME(7,0,0)+gmt_delta</f>
        <v>46206.8333333333</v>
      </c>
      <c r="BQ61" s="97"/>
      <c r="BR61" s="82"/>
      <c r="BS61" s="87" t="str">
        <f aca="false">IF(BP62&gt;BP63,BL62,IF(BP62&lt;BP63,BL63,""))</f>
        <v>Iran</v>
      </c>
      <c r="BT61" s="88" t="n">
        <v>0</v>
      </c>
      <c r="BU61" s="89"/>
      <c r="BV61" s="90"/>
      <c r="BW61" s="91" t="n">
        <f aca="false">IF(BW60="","",BT61*1000+BU61*10+BV61)</f>
        <v>0</v>
      </c>
      <c r="BX61" s="47"/>
      <c r="BY61" s="74"/>
      <c r="BZ61" s="74"/>
      <c r="CA61" s="74"/>
      <c r="CB61" s="74"/>
      <c r="CC61" s="74"/>
      <c r="CD61" s="96"/>
    </row>
    <row r="62" customFormat="false" ht="14.25" hidden="false" customHeight="true" outlineLevel="0" collapsed="false">
      <c r="A62" s="63" t="n">
        <v>56</v>
      </c>
      <c r="B62" s="64" t="str">
        <f aca="false" t="array" ref="B62:B62">INDEX(T,18+INT(MOD(R62-1,7)),lang)</f>
        <v>Thu</v>
      </c>
      <c r="C62" s="65" t="str">
        <f aca="false" t="array" ref="C62:C62">INDEX(T,24+MONTH(R62),lang) &amp; " " &amp; DAY(R62) &amp; ", " &amp; YEAR(R62)</f>
        <v>Jun 25, 2026</v>
      </c>
      <c r="D62" s="66" t="n">
        <f aca="false">TIME(HOUR(R62),MINUTE(R62),0)</f>
        <v>0.916666666666667</v>
      </c>
      <c r="E62" s="67" t="str">
        <f aca="false">AE35</f>
        <v>Ecuador</v>
      </c>
      <c r="F62" s="68" t="n">
        <v>1</v>
      </c>
      <c r="G62" s="69" t="n">
        <v>2</v>
      </c>
      <c r="H62" s="70" t="str">
        <f aca="false">AE32</f>
        <v>Germany</v>
      </c>
      <c r="I62" s="102"/>
      <c r="J62" s="71" t="str">
        <f aca="false" t="array" ref="J62:J62">INDEX(T,9,lang) &amp; " " &amp; "J"</f>
        <v>Group J</v>
      </c>
      <c r="K62" s="72" t="str">
        <f aca="false" t="array" ref="K62:K62">INDEX(T,10,lang)</f>
        <v>PL</v>
      </c>
      <c r="L62" s="72" t="str">
        <f aca="false" t="array" ref="L62:L62">INDEX(T,11,lang)</f>
        <v>W</v>
      </c>
      <c r="M62" s="72" t="str">
        <f aca="false" t="array" ref="M62:M62">INDEX(T,12,lang)</f>
        <v>DRAW</v>
      </c>
      <c r="N62" s="72" t="str">
        <f aca="false" t="array" ref="N62:N62">INDEX(T,13,lang)</f>
        <v>L</v>
      </c>
      <c r="O62" s="72" t="str">
        <f aca="false" t="array" ref="O62:O62">INDEX(T,14,lang)</f>
        <v>GF - GA</v>
      </c>
      <c r="P62" s="73" t="str">
        <f aca="false" t="array" ref="P62:P62">INDEX(T,15,lang)</f>
        <v>PNT</v>
      </c>
      <c r="R62" s="42" t="n">
        <f aca="false">DATE(2026,6,25)+TIME(9,0,0)+gmt_delta</f>
        <v>46198.9166666667</v>
      </c>
      <c r="S62" s="43" t="str">
        <f aca="false">IF(OR(F62="",G62=""),"",IF(F62&gt;G62,E62&amp;"_win",IF(F62&lt;G62,E62&amp;"_lose",E62&amp;"_draw")))</f>
        <v>Ecuador_lose</v>
      </c>
      <c r="T62" s="43" t="str">
        <f aca="false">IF(S62="","",IF(F62&lt;G62,H62&amp;"_win",IF(F62&gt;G62,H62&amp;"_lose",H62&amp;"_draw")))</f>
        <v>Germany_win</v>
      </c>
      <c r="U62" s="42" t="n">
        <f aca="false">IF(S62="",0,IF(VLOOKUP(E62,$AE$8:$AN$77,10,FALSE())=VLOOKUP(H62,$AE$8:$AN$77,10,FALSE()),1,0))</f>
        <v>0</v>
      </c>
      <c r="V62" s="42" t="n">
        <f aca="false">U62*F62</f>
        <v>0</v>
      </c>
      <c r="W62" s="42" t="n">
        <f aca="false">U62*G62</f>
        <v>0</v>
      </c>
      <c r="X62" s="42" t="n">
        <f aca="false">IF(S62="",0,IF(VLOOKUP(E62,$AE$8:$AO$77,11,FALSE())=VLOOKUP(H62,$AE$8:$AO$77,11,FALSE()),1,0))</f>
        <v>0</v>
      </c>
      <c r="Y62" s="42" t="n">
        <f aca="false">X62*F62</f>
        <v>0</v>
      </c>
      <c r="Z62" s="42" t="n">
        <f aca="false">X62*G62</f>
        <v>0</v>
      </c>
      <c r="AA62" s="42" t="n">
        <f aca="false">IF(OR(E62=my_team,H62=my_team),1,IF(INT(MATCH(E62,$AE$8:$AE$78,0)/6)=$AA$6,1,0))</f>
        <v>0</v>
      </c>
      <c r="AB62" s="42" t="n">
        <f aca="false">IF(OR(F62="",G62=""),"",IF(F62&gt;G62,1,IF(F62&lt;G62,-1,0)))</f>
        <v>-1</v>
      </c>
      <c r="AD62" s="42" t="n">
        <f aca="false">COUNTIF(AR62:AR65,CONCATENATE("&gt;=",AR62))</f>
        <v>1</v>
      </c>
      <c r="AE62" s="44" t="str">
        <f aca="false">VLOOKUP("Argentina",T,lang,FALSE())</f>
        <v>Argentina</v>
      </c>
      <c r="AF62" s="42" t="n">
        <f aca="false">COUNTIF($S$7:$T$78,"=" &amp; AE62 &amp; "_win")</f>
        <v>3</v>
      </c>
      <c r="AG62" s="42" t="n">
        <f aca="false">COUNTIF($S$7:$T$78,"=" &amp; AE62 &amp; "_draw")</f>
        <v>0</v>
      </c>
      <c r="AH62" s="42" t="n">
        <f aca="false">COUNTIF($S$7:$T$78,"=" &amp; AE62 &amp; "_lose")</f>
        <v>0</v>
      </c>
      <c r="AI62" s="42" t="n">
        <f aca="false">SUMIF($E$7:$E$78,$AE62,$F$7:$F$78) + SUMIF($H$7:$H$78,$AE62,$G$7:$G$78)</f>
        <v>6</v>
      </c>
      <c r="AJ62" s="42" t="n">
        <f aca="false">SUMIF($E$7:$E$78,$AE62,$G$7:$G$78) + SUMIF($H$7:$H$78,$AE62,$F$7:$F$78)</f>
        <v>0</v>
      </c>
      <c r="AL62" s="42" t="n">
        <f aca="false">AI62-AJ62</f>
        <v>6</v>
      </c>
      <c r="AM62" s="42" t="n">
        <f aca="false">AL62-AL66</f>
        <v>11</v>
      </c>
      <c r="AN62" s="42" t="n">
        <f aca="false">AF62*3+AG62</f>
        <v>9</v>
      </c>
      <c r="AO62" s="42" t="n">
        <f aca="false">AN62/AN66*10+BA62</f>
        <v>9</v>
      </c>
      <c r="AP62" s="42" t="n">
        <f aca="false">AO62*10000000+BI62*100+AM62/AM66*10+AI62/AI66*1++IF(AQ62=0,ROW(),AQ62)/2000000</f>
        <v>90000010.0247469</v>
      </c>
      <c r="AQ62" s="46" t="n">
        <f aca="false">VLOOKUP(AE62,db_fifarank,2,FALSE())</f>
        <v>1874.82</v>
      </c>
      <c r="AR62" s="45" t="n">
        <f aca="false">AP62/AP66</f>
        <v>0.99999998888889</v>
      </c>
      <c r="AS62" s="45" t="str">
        <f aca="false">IF(SUM(AF62:AH65)=12,J63,"1J")</f>
        <v>Argentina</v>
      </c>
      <c r="AT62" s="46" t="n">
        <f aca="false" t="array" ref="AT62:AT62">SUMPRODUCT(($S$7:$S$78=AE62&amp;"_win")*($U$7:$U$78))+SUMPRODUCT(($T$7:$T$78=AE62&amp;"_win")*($U$7:$U$78))</f>
        <v>0</v>
      </c>
      <c r="AU62" s="46" t="n">
        <f aca="false" t="array" ref="AU62:AU62">SUMPRODUCT(($S$7:$S$78=AE62&amp;"_draw")*($U$7:$U$78))+SUMPRODUCT(($T$7:$T$78=AE62&amp;"_draw")*($U$7:$U$78))</f>
        <v>0</v>
      </c>
      <c r="AV62" s="46" t="n">
        <f aca="false" t="array" ref="AV62:AV62">SUMPRODUCT(($E$7:$E$78=AE62)*($U$7:$U$78)*($F$7:$F$78))+SUMPRODUCT(($H$7:$H$78=AE62)*($U$7:$U$78)*($G$7:$G$78))</f>
        <v>0</v>
      </c>
      <c r="AW62" s="46" t="n">
        <f aca="false" t="array" ref="AW62:AW62">SUMPRODUCT(($E$7:$E$78=AE62)*($U$7:$U$78)*($G$7:$G$78))+SUMPRODUCT(($H$7:$H$78=AE62)*($U$7:$U$78)*($F$7:$F$78))</f>
        <v>0</v>
      </c>
      <c r="AX62" s="46" t="n">
        <f aca="false">AV62-AW62</f>
        <v>0</v>
      </c>
      <c r="AY62" s="46" t="n">
        <f aca="false">AX62-MIN(AX62:AX65)</f>
        <v>0</v>
      </c>
      <c r="AZ62" s="46" t="n">
        <f aca="false">AT62/AT66*1000+AU62/AU66*100+AY62/AY66*10+AV62/AV66</f>
        <v>0</v>
      </c>
      <c r="BA62" s="46" t="n">
        <f aca="false">AZ62/AZ66</f>
        <v>0</v>
      </c>
      <c r="BB62" s="46" t="n">
        <f aca="false" t="array" ref="BB62:BB62">SUMPRODUCT(($S$7:$S$78=AE62&amp;"_win")*($X$7:$X$78))+SUMPRODUCT(($T$7:$T$78=AE62&amp;"_win")*($X$7:$X$78))</f>
        <v>0</v>
      </c>
      <c r="BC62" s="46" t="n">
        <f aca="false" t="array" ref="BC62:BC62">SUMPRODUCT(($S$7:$S$78=AE62&amp;"_draw")*($X$7:$X$78))+SUMPRODUCT(($T$7:$T$78=AE62&amp;"_draw")*($X$7:$X$78))</f>
        <v>0</v>
      </c>
      <c r="BD62" s="46" t="n">
        <f aca="false" t="array" ref="BD62:BD62">SUMPRODUCT(($E$7:$E$78=AE62)*($X$7:$X$78)*($F$7:$F$78))+SUMPRODUCT(($H$7:$H$78=AE62)*($X$7:$X$78)*($G$7:$G$78))</f>
        <v>0</v>
      </c>
      <c r="BE62" s="46" t="n">
        <f aca="false" t="array" ref="BE62:BE62">SUMPRODUCT(($E$7:$E$78=AE62)*($X$7:$X$78)*($G$7:$G$78))+SUMPRODUCT(($H$7:$H$78=AE62)*($X$7:$X$78)*($F$7:$F$78))</f>
        <v>0</v>
      </c>
      <c r="BF62" s="46" t="n">
        <f aca="false">BD62-BE62</f>
        <v>0</v>
      </c>
      <c r="BG62" s="46" t="n">
        <f aca="false">BF62-MIN(BF62:BF65)</f>
        <v>0</v>
      </c>
      <c r="BH62" s="46" t="n">
        <f aca="false">BB62/BB66*1000+BC62/BC66*100+BG62/BG66*10+BD62/BD66</f>
        <v>0</v>
      </c>
      <c r="BI62" s="46" t="n">
        <f aca="false">BH62/BH66</f>
        <v>0</v>
      </c>
      <c r="BK62" s="82" t="n">
        <v>88</v>
      </c>
      <c r="BL62" s="83" t="str">
        <f aca="false">AS27</f>
        <v>Turkey</v>
      </c>
      <c r="BM62" s="84" t="n">
        <v>0</v>
      </c>
      <c r="BN62" s="85"/>
      <c r="BO62" s="86"/>
      <c r="BP62" s="98" t="n">
        <f aca="false">IF(OR(BM62="",BM63="",AND(BN62="",BN63&lt;&gt;""),AND(BN63="",BN62&lt;&gt;""),AND(BO62="",BO63&lt;&gt;""),AND(BO63="",BO62&lt;&gt;"")),"",BM62*1000+BN62*10+BO62)</f>
        <v>0</v>
      </c>
      <c r="BQ62" s="47"/>
      <c r="BR62" s="74"/>
      <c r="BS62" s="74"/>
      <c r="BT62" s="74"/>
      <c r="BU62" s="74"/>
      <c r="BV62" s="74"/>
      <c r="BW62" s="96"/>
      <c r="BX62" s="47"/>
      <c r="BY62" s="74"/>
      <c r="BZ62" s="74"/>
      <c r="CA62" s="74"/>
      <c r="CB62" s="74"/>
      <c r="CC62" s="74"/>
      <c r="CD62" s="96"/>
    </row>
    <row r="63" customFormat="false" ht="14.25" hidden="false" customHeight="true" outlineLevel="0" collapsed="false">
      <c r="A63" s="63" t="n">
        <v>57</v>
      </c>
      <c r="B63" s="64" t="str">
        <f aca="false" t="array" ref="B63:B63">INDEX(T,18+INT(MOD(R63-1,7)),lang)</f>
        <v>Fri</v>
      </c>
      <c r="C63" s="65" t="str">
        <f aca="false" t="array" ref="C63:C63">INDEX(T,24+MONTH(R63),lang) &amp; " " &amp; DAY(R63) &amp; ", " &amp; YEAR(R63)</f>
        <v>Jun 26, 2026</v>
      </c>
      <c r="D63" s="66" t="n">
        <f aca="false">TIME(HOUR(R63),MINUTE(R63),0)</f>
        <v>0.0416666666666667</v>
      </c>
      <c r="E63" s="67" t="str">
        <f aca="false">AE39</f>
        <v>Japan</v>
      </c>
      <c r="F63" s="68" t="n">
        <v>2</v>
      </c>
      <c r="G63" s="69" t="n">
        <v>1</v>
      </c>
      <c r="H63" s="70" t="str">
        <f aca="false">AE40</f>
        <v>Sweden</v>
      </c>
      <c r="I63" s="102"/>
      <c r="J63" s="75" t="str">
        <f aca="false">VLOOKUP(1,AD62:AN65,2,FALSE())</f>
        <v>Argentina</v>
      </c>
      <c r="K63" s="76" t="n">
        <f aca="false">L63+M63+N63</f>
        <v>3</v>
      </c>
      <c r="L63" s="76" t="n">
        <f aca="false">VLOOKUP(1,AD62:AN65,3,FALSE())</f>
        <v>3</v>
      </c>
      <c r="M63" s="76" t="n">
        <f aca="false">VLOOKUP(1,AD62:AN65,4,FALSE())</f>
        <v>0</v>
      </c>
      <c r="N63" s="76" t="n">
        <f aca="false">VLOOKUP(1,AD62:AN65,5,FALSE())</f>
        <v>0</v>
      </c>
      <c r="O63" s="76" t="str">
        <f aca="false">VLOOKUP(1,AD62:AN65,6,FALSE()) &amp; " - " &amp; VLOOKUP(1,AD62:AN65,7,FALSE())</f>
        <v>6 - 0</v>
      </c>
      <c r="P63" s="77" t="n">
        <f aca="false">L63*3+M63</f>
        <v>9</v>
      </c>
      <c r="R63" s="42" t="n">
        <f aca="false">DATE(2026,6,25)+TIME(12,0,0)+gmt_delta</f>
        <v>46199.0416666667</v>
      </c>
      <c r="S63" s="43" t="str">
        <f aca="false">IF(OR(F63="",G63=""),"",IF(F63&gt;G63,E63&amp;"_win",IF(F63&lt;G63,E63&amp;"_lose",E63&amp;"_draw")))</f>
        <v>Japan_win</v>
      </c>
      <c r="T63" s="43" t="str">
        <f aca="false">IF(S63="","",IF(F63&lt;G63,H63&amp;"_win",IF(F63&gt;G63,H63&amp;"_lose",H63&amp;"_draw")))</f>
        <v>Sweden_lose</v>
      </c>
      <c r="U63" s="42" t="n">
        <f aca="false">IF(S63="",0,IF(VLOOKUP(E63,$AE$8:$AN$77,10,FALSE())=VLOOKUP(H63,$AE$8:$AN$77,10,FALSE()),1,0))</f>
        <v>0</v>
      </c>
      <c r="V63" s="42" t="n">
        <f aca="false">U63*F63</f>
        <v>0</v>
      </c>
      <c r="W63" s="42" t="n">
        <f aca="false">U63*G63</f>
        <v>0</v>
      </c>
      <c r="X63" s="42" t="n">
        <f aca="false">IF(S63="",0,IF(VLOOKUP(E63,$AE$8:$AO$77,11,FALSE())=VLOOKUP(H63,$AE$8:$AO$77,11,FALSE()),1,0))</f>
        <v>0</v>
      </c>
      <c r="Y63" s="42" t="n">
        <f aca="false">X63*F63</f>
        <v>0</v>
      </c>
      <c r="Z63" s="42" t="n">
        <f aca="false">X63*G63</f>
        <v>0</v>
      </c>
      <c r="AA63" s="42" t="n">
        <f aca="false">IF(OR(E63=my_team,H63=my_team),1,IF(INT(MATCH(E63,$AE$8:$AE$78,0)/6)=$AA$6,1,0))</f>
        <v>0</v>
      </c>
      <c r="AB63" s="42" t="n">
        <f aca="false">IF(OR(F63="",G63=""),"",IF(F63&gt;G63,1,IF(F63&lt;G63,-1,0)))</f>
        <v>1</v>
      </c>
      <c r="AD63" s="42" t="n">
        <f aca="false">COUNTIF(AR62:AR65,CONCATENATE("&gt;=",AR63))</f>
        <v>3</v>
      </c>
      <c r="AE63" s="44" t="str">
        <f aca="false">VLOOKUP("Algeria",T,lang,FALSE())</f>
        <v>Algeria</v>
      </c>
      <c r="AF63" s="42" t="n">
        <f aca="false">COUNTIF($S$7:$T$78,"=" &amp; AE63 &amp; "_win")</f>
        <v>1</v>
      </c>
      <c r="AG63" s="42" t="n">
        <f aca="false">COUNTIF($S$7:$T$78,"=" &amp; AE63 &amp; "_draw")</f>
        <v>0</v>
      </c>
      <c r="AH63" s="42" t="n">
        <f aca="false">COUNTIF($S$7:$T$78,"=" &amp; AE63 &amp; "_lose")</f>
        <v>2</v>
      </c>
      <c r="AI63" s="42" t="n">
        <f aca="false">SUMIF($E$7:$E$78,$AE63,$F$7:$F$78) + SUMIF($H$7:$H$78,$AE63,$G$7:$G$78)</f>
        <v>2</v>
      </c>
      <c r="AJ63" s="42" t="n">
        <f aca="false">SUMIF($E$7:$E$78,$AE63,$G$7:$G$78) + SUMIF($H$7:$H$78,$AE63,$F$7:$F$78)</f>
        <v>4</v>
      </c>
      <c r="AL63" s="42" t="n">
        <f aca="false">AI63-AJ63</f>
        <v>-2</v>
      </c>
      <c r="AM63" s="42" t="n">
        <f aca="false">AL63-AL66</f>
        <v>3</v>
      </c>
      <c r="AN63" s="42" t="n">
        <f aca="false">AF63*3+AG63</f>
        <v>3</v>
      </c>
      <c r="AO63" s="42" t="n">
        <f aca="false">AN63/AN66*10+BA63</f>
        <v>3</v>
      </c>
      <c r="AP63" s="42" t="n">
        <f aca="false">AO63*10000000+BI63*100+AM63/AM66*10+AI63/AI66*1++IF(AQ63=0,ROW(),AQ63)/2000000</f>
        <v>30000002.7864964</v>
      </c>
      <c r="AQ63" s="46" t="n">
        <f aca="false">VLOOKUP(AE63,db_fifarank,2,FALSE())</f>
        <v>1564.26</v>
      </c>
      <c r="AR63" s="45" t="n">
        <f aca="false">AP63/AP66</f>
        <v>0.33333332346201</v>
      </c>
      <c r="AS63" s="45" t="str">
        <f aca="false">IF(SUM(AF62:AH65)=12,J64,"2J")</f>
        <v>Austria</v>
      </c>
      <c r="AT63" s="46" t="n">
        <f aca="false" t="array" ref="AT63:AT63">SUMPRODUCT(($S$7:$S$78=AE63&amp;"_win")*($U$7:$U$78))+SUMPRODUCT(($T$7:$T$78=AE63&amp;"_win")*($U$7:$U$78))</f>
        <v>0</v>
      </c>
      <c r="AU63" s="46" t="n">
        <f aca="false" t="array" ref="AU63:AU63">SUMPRODUCT(($S$7:$S$78=AE63&amp;"_draw")*($U$7:$U$78))+SUMPRODUCT(($T$7:$T$78=AE63&amp;"_draw")*($U$7:$U$78))</f>
        <v>0</v>
      </c>
      <c r="AV63" s="46" t="n">
        <f aca="false" t="array" ref="AV63:AV63">SUMPRODUCT(($E$7:$E$78=AE63)*($U$7:$U$78)*($F$7:$F$78))+SUMPRODUCT(($H$7:$H$78=AE63)*($U$7:$U$78)*($G$7:$G$78))</f>
        <v>0</v>
      </c>
      <c r="AW63" s="46" t="n">
        <f aca="false" t="array" ref="AW63:AW63">SUMPRODUCT(($E$7:$E$78=AE63)*($U$7:$U$78)*($G$7:$G$78))+SUMPRODUCT(($H$7:$H$78=AE63)*($U$7:$U$78)*($F$7:$F$78))</f>
        <v>0</v>
      </c>
      <c r="AX63" s="46" t="n">
        <f aca="false">AV63-AW63</f>
        <v>0</v>
      </c>
      <c r="AY63" s="46" t="n">
        <f aca="false">AX63-MIN(AX62:AX65)</f>
        <v>0</v>
      </c>
      <c r="AZ63" s="46" t="n">
        <f aca="false">AT63/AT66*1000+AU63/AU66*100+AY63/AY66*10+AV63/AV66</f>
        <v>0</v>
      </c>
      <c r="BA63" s="46" t="n">
        <f aca="false">AZ63/AZ66</f>
        <v>0</v>
      </c>
      <c r="BB63" s="46" t="n">
        <f aca="false" t="array" ref="BB63:BB63">SUMPRODUCT(($S$7:$S$78=AE63&amp;"_win")*($X$7:$X$78))+SUMPRODUCT(($T$7:$T$78=AE63&amp;"_win")*($X$7:$X$78))</f>
        <v>0</v>
      </c>
      <c r="BC63" s="46" t="n">
        <f aca="false" t="array" ref="BC63:BC63">SUMPRODUCT(($S$7:$S$78=AE63&amp;"_draw")*($X$7:$X$78))+SUMPRODUCT(($T$7:$T$78=AE63&amp;"_draw")*($X$7:$X$78))</f>
        <v>0</v>
      </c>
      <c r="BD63" s="46" t="n">
        <f aca="false" t="array" ref="BD63:BD63">SUMPRODUCT(($E$7:$E$78=AE63)*($X$7:$X$78)*($F$7:$F$78))+SUMPRODUCT(($H$7:$H$78=AE63)*($X$7:$X$78)*($G$7:$G$78))</f>
        <v>0</v>
      </c>
      <c r="BE63" s="46" t="n">
        <f aca="false" t="array" ref="BE63:BE63">SUMPRODUCT(($E$7:$E$78=AE63)*($X$7:$X$78)*($G$7:$G$78))+SUMPRODUCT(($H$7:$H$78=AE63)*($X$7:$X$78)*($F$7:$F$78))</f>
        <v>0</v>
      </c>
      <c r="BF63" s="46" t="n">
        <f aca="false">BD63-BE63</f>
        <v>0</v>
      </c>
      <c r="BG63" s="46" t="n">
        <f aca="false">BF63-MIN(BF62:BF65)</f>
        <v>0</v>
      </c>
      <c r="BH63" s="46" t="n">
        <f aca="false">BB63/BB66*1000+BC63/BC66*100+BG63/BG66*10+BD63/BD66</f>
        <v>0</v>
      </c>
      <c r="BI63" s="46" t="n">
        <f aca="false">BH63/BH66</f>
        <v>0</v>
      </c>
      <c r="BK63" s="82"/>
      <c r="BL63" s="87" t="str">
        <f aca="false">AS45</f>
        <v>Iran</v>
      </c>
      <c r="BM63" s="88" t="n">
        <v>1</v>
      </c>
      <c r="BN63" s="89"/>
      <c r="BO63" s="90"/>
      <c r="BP63" s="47" t="n">
        <f aca="false">IF(BP62="","",BM63*1000+BN63*10+BO63)</f>
        <v>1000</v>
      </c>
      <c r="BQ63" s="47"/>
      <c r="BR63" s="74"/>
      <c r="BS63" s="74"/>
      <c r="BT63" s="74"/>
      <c r="BU63" s="74"/>
      <c r="BV63" s="74"/>
      <c r="BW63" s="96"/>
      <c r="BX63" s="47"/>
      <c r="BY63" s="74" t="str">
        <f aca="false" t="array" ref="BY63: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74"/>
      <c r="CA63" s="74"/>
      <c r="CB63" s="74"/>
      <c r="CC63" s="92"/>
      <c r="CD63" s="96" t="n">
        <f aca="false">DATE(2026,7,11)+TIME(14,0,0)+gmt_delta</f>
        <v>46215.125</v>
      </c>
    </row>
    <row r="64" customFormat="false" ht="14.25" hidden="false" customHeight="true" outlineLevel="0" collapsed="false">
      <c r="A64" s="63" t="n">
        <v>58</v>
      </c>
      <c r="B64" s="64" t="str">
        <f aca="false" t="array" ref="B64:B64">INDEX(T,18+INT(MOD(R64-1,7)),lang)</f>
        <v>Fri</v>
      </c>
      <c r="C64" s="65" t="str">
        <f aca="false" t="array" ref="C64:C64">INDEX(T,24+MONTH(R64),lang) &amp; " " &amp; DAY(R64) &amp; ", " &amp; YEAR(R64)</f>
        <v>Jun 26, 2026</v>
      </c>
      <c r="D64" s="66" t="n">
        <f aca="false">TIME(HOUR(R64),MINUTE(R64),0)</f>
        <v>0.0416666666666667</v>
      </c>
      <c r="E64" s="67" t="str">
        <f aca="false">AE41</f>
        <v>Tunisia</v>
      </c>
      <c r="F64" s="68" t="n">
        <v>0</v>
      </c>
      <c r="G64" s="69" t="n">
        <v>2</v>
      </c>
      <c r="H64" s="70" t="str">
        <f aca="false">AE38</f>
        <v>Netherlands</v>
      </c>
      <c r="I64" s="102"/>
      <c r="J64" s="79" t="str">
        <f aca="false">VLOOKUP(2,AD62:AN65,2,FALSE())</f>
        <v>Austria</v>
      </c>
      <c r="K64" s="80" t="n">
        <f aca="false">L64+M64+N64</f>
        <v>3</v>
      </c>
      <c r="L64" s="80" t="n">
        <f aca="false">VLOOKUP(2,AD62:AN65,3,FALSE())</f>
        <v>2</v>
      </c>
      <c r="M64" s="80" t="n">
        <f aca="false">VLOOKUP(2,AD62:AN65,4,FALSE())</f>
        <v>0</v>
      </c>
      <c r="N64" s="80" t="n">
        <f aca="false">VLOOKUP(2,AD62:AN65,5,FALSE())</f>
        <v>1</v>
      </c>
      <c r="O64" s="80" t="str">
        <f aca="false">VLOOKUP(2,AD62:AN65,6,FALSE()) &amp; " - " &amp; VLOOKUP(2,AD62:AN65,7,FALSE())</f>
        <v>3 - 2</v>
      </c>
      <c r="P64" s="81" t="n">
        <f aca="false">L64*3+M64</f>
        <v>6</v>
      </c>
      <c r="R64" s="42" t="n">
        <f aca="false">DATE(2026,6,25)+TIME(12,0,0)+gmt_delta</f>
        <v>46199.0416666667</v>
      </c>
      <c r="S64" s="43" t="str">
        <f aca="false">IF(OR(F64="",G64=""),"",IF(F64&gt;G64,E64&amp;"_win",IF(F64&lt;G64,E64&amp;"_lose",E64&amp;"_draw")))</f>
        <v>Tunisia_lose</v>
      </c>
      <c r="T64" s="43" t="str">
        <f aca="false">IF(S64="","",IF(F64&lt;G64,H64&amp;"_win",IF(F64&gt;G64,H64&amp;"_lose",H64&amp;"_draw")))</f>
        <v>Netherlands_win</v>
      </c>
      <c r="U64" s="42" t="n">
        <f aca="false">IF(S64="",0,IF(VLOOKUP(E64,$AE$8:$AN$77,10,FALSE())=VLOOKUP(H64,$AE$8:$AN$77,10,FALSE()),1,0))</f>
        <v>0</v>
      </c>
      <c r="V64" s="42" t="n">
        <f aca="false">U64*F64</f>
        <v>0</v>
      </c>
      <c r="W64" s="42" t="n">
        <f aca="false">U64*G64</f>
        <v>0</v>
      </c>
      <c r="X64" s="42" t="n">
        <f aca="false">IF(S64="",0,IF(VLOOKUP(E64,$AE$8:$AO$77,11,FALSE())=VLOOKUP(H64,$AE$8:$AO$77,11,FALSE()),1,0))</f>
        <v>0</v>
      </c>
      <c r="Y64" s="42" t="n">
        <f aca="false">X64*F64</f>
        <v>0</v>
      </c>
      <c r="Z64" s="42" t="n">
        <f aca="false">X64*G64</f>
        <v>0</v>
      </c>
      <c r="AA64" s="42" t="n">
        <f aca="false">IF(OR(E64=my_team,H64=my_team),1,IF(INT(MATCH(E64,$AE$8:$AE$78,0)/6)=$AA$6,1,0))</f>
        <v>0</v>
      </c>
      <c r="AB64" s="42" t="n">
        <f aca="false">IF(OR(F64="",G64=""),"",IF(F64&gt;G64,1,IF(F64&lt;G64,-1,0)))</f>
        <v>-1</v>
      </c>
      <c r="AD64" s="42" t="n">
        <f aca="false">COUNTIF(AR62:AR65,CONCATENATE("&gt;=",AR64))</f>
        <v>2</v>
      </c>
      <c r="AE64" s="44" t="str">
        <f aca="false">VLOOKUP("Austria",T,lang,FALSE())</f>
        <v>Austria</v>
      </c>
      <c r="AF64" s="42" t="n">
        <f aca="false">COUNTIF($S$7:$T$78,"=" &amp; AE64 &amp; "_win")</f>
        <v>2</v>
      </c>
      <c r="AG64" s="42" t="n">
        <f aca="false">COUNTIF($S$7:$T$78,"=" &amp; AE64 &amp; "_draw")</f>
        <v>0</v>
      </c>
      <c r="AH64" s="42" t="n">
        <f aca="false">COUNTIF($S$7:$T$78,"=" &amp; AE64 &amp; "_lose")</f>
        <v>1</v>
      </c>
      <c r="AI64" s="42" t="n">
        <f aca="false">SUMIF($E$7:$E$78,$AE64,$F$7:$F$78) + SUMIF($H$7:$H$78,$AE64,$G$7:$G$78)</f>
        <v>3</v>
      </c>
      <c r="AJ64" s="42" t="n">
        <f aca="false">SUMIF($E$7:$E$78,$AE64,$G$7:$G$78) + SUMIF($H$7:$H$78,$AE64,$F$7:$F$78)</f>
        <v>2</v>
      </c>
      <c r="AL64" s="42" t="n">
        <f aca="false">AI64-AJ64</f>
        <v>1</v>
      </c>
      <c r="AM64" s="42" t="n">
        <f aca="false">AL64-AL66</f>
        <v>6</v>
      </c>
      <c r="AN64" s="42" t="n">
        <f aca="false">AF64*3+AG64</f>
        <v>6</v>
      </c>
      <c r="AO64" s="42" t="n">
        <f aca="false">AN64/AN66*10+BA64</f>
        <v>6</v>
      </c>
      <c r="AP64" s="42" t="n">
        <f aca="false">AO64*10000000+BI64*100+AM64/AM66*10+AI64/AI66*1++IF(AQ64=0,ROW(),AQ64)/2000000</f>
        <v>60000005.4293682</v>
      </c>
      <c r="AQ64" s="46" t="n">
        <f aca="false">VLOOKUP(AE64,db_fifarank,2,FALSE())</f>
        <v>1593.45</v>
      </c>
      <c r="AR64" s="45" t="n">
        <f aca="false">AP64/AP66</f>
        <v>0.66666664532819</v>
      </c>
      <c r="AT64" s="46" t="n">
        <f aca="false" t="array" ref="AT64:AT64">SUMPRODUCT(($S$7:$S$78=AE64&amp;"_win")*($U$7:$U$78))+SUMPRODUCT(($T$7:$T$78=AE64&amp;"_win")*($U$7:$U$78))</f>
        <v>0</v>
      </c>
      <c r="AU64" s="46" t="n">
        <f aca="false" t="array" ref="AU64:AU64">SUMPRODUCT(($S$7:$S$78=AE64&amp;"_draw")*($U$7:$U$78))+SUMPRODUCT(($T$7:$T$78=AE64&amp;"_draw")*($U$7:$U$78))</f>
        <v>0</v>
      </c>
      <c r="AV64" s="46" t="n">
        <f aca="false" t="array" ref="AV64:AV64">SUMPRODUCT(($E$7:$E$78=AE64)*($U$7:$U$78)*($F$7:$F$78))+SUMPRODUCT(($H$7:$H$78=AE64)*($U$7:$U$78)*($G$7:$G$78))</f>
        <v>0</v>
      </c>
      <c r="AW64" s="46" t="n">
        <f aca="false" t="array" ref="AW64:AW64">SUMPRODUCT(($E$7:$E$78=AE64)*($U$7:$U$78)*($G$7:$G$78))+SUMPRODUCT(($H$7:$H$78=AE64)*($U$7:$U$78)*($F$7:$F$78))</f>
        <v>0</v>
      </c>
      <c r="AX64" s="46" t="n">
        <f aca="false">AV64-AW64</f>
        <v>0</v>
      </c>
      <c r="AY64" s="46" t="n">
        <f aca="false">AX64-MIN(AX62:AX65)</f>
        <v>0</v>
      </c>
      <c r="AZ64" s="46" t="n">
        <f aca="false">AT64/AT66*1000+AU64/AU66*100+AY64/AY66*10+AV64/AV66</f>
        <v>0</v>
      </c>
      <c r="BA64" s="46" t="n">
        <f aca="false">AZ64/AZ66</f>
        <v>0</v>
      </c>
      <c r="BB64" s="46" t="n">
        <f aca="false" t="array" ref="BB64:BB64">SUMPRODUCT(($S$7:$S$78=AE64&amp;"_win")*($X$7:$X$78))+SUMPRODUCT(($T$7:$T$78=AE64&amp;"_win")*($X$7:$X$78))</f>
        <v>0</v>
      </c>
      <c r="BC64" s="46" t="n">
        <f aca="false" t="array" ref="BC64:BC64">SUMPRODUCT(($S$7:$S$78=AE64&amp;"_draw")*($X$7:$X$78))+SUMPRODUCT(($T$7:$T$78=AE64&amp;"_draw")*($X$7:$X$78))</f>
        <v>0</v>
      </c>
      <c r="BD64" s="46" t="n">
        <f aca="false" t="array" ref="BD64:BD64">SUMPRODUCT(($E$7:$E$78=AE64)*($X$7:$X$78)*($F$7:$F$78))+SUMPRODUCT(($H$7:$H$78=AE64)*($X$7:$X$78)*($G$7:$G$78))</f>
        <v>0</v>
      </c>
      <c r="BE64" s="46" t="n">
        <f aca="false" t="array" ref="BE64:BE64">SUMPRODUCT(($E$7:$E$78=AE64)*($X$7:$X$78)*($G$7:$G$78))+SUMPRODUCT(($H$7:$H$78=AE64)*($X$7:$X$78)*($F$7:$F$78))</f>
        <v>0</v>
      </c>
      <c r="BF64" s="46" t="n">
        <f aca="false">BD64-BE64</f>
        <v>0</v>
      </c>
      <c r="BG64" s="46" t="n">
        <f aca="false">BF64-MIN(BF62:BF65)</f>
        <v>0</v>
      </c>
      <c r="BH64" s="46" t="n">
        <f aca="false">BB64/BB66*1000+BC64/BC66*100+BG64/BG66*10+BD64/BD66</f>
        <v>0</v>
      </c>
      <c r="BI64" s="46" t="n">
        <f aca="false">BH64/BH66</f>
        <v>0</v>
      </c>
      <c r="BK64" s="74"/>
      <c r="BL64" s="74"/>
      <c r="BM64" s="74"/>
      <c r="BN64" s="74"/>
      <c r="BO64" s="74"/>
      <c r="BP64" s="47"/>
      <c r="BQ64" s="47"/>
      <c r="BR64" s="74"/>
      <c r="BS64" s="74"/>
      <c r="BT64" s="74"/>
      <c r="BU64" s="74"/>
      <c r="BV64" s="74"/>
      <c r="BW64" s="96"/>
      <c r="BX64" s="47"/>
      <c r="BY64" s="82" t="n">
        <v>100</v>
      </c>
      <c r="BZ64" s="83" t="str">
        <f aca="false">IF(BW60&gt;BW61,BS60,IF(BW60&lt;BW61,BS61,""))</f>
        <v>Argentina</v>
      </c>
      <c r="CA64" s="84" t="n">
        <v>1</v>
      </c>
      <c r="CB64" s="85"/>
      <c r="CC64" s="86"/>
      <c r="CD64" s="98" t="n">
        <f aca="false">IF(OR(CA64="",CA65="",AND(CB64="",CB65&lt;&gt;""),AND(CB65="",CB64&lt;&gt;""),AND(CC64="",CC65&lt;&gt;""),AND(CC65="",CC64&lt;&gt;"")),"",CA64*1000+CB64*10+CC64)</f>
        <v>1000</v>
      </c>
    </row>
    <row r="65" customFormat="false" ht="14.25" hidden="false" customHeight="true" outlineLevel="0" collapsed="false">
      <c r="A65" s="63" t="n">
        <v>59</v>
      </c>
      <c r="B65" s="64" t="str">
        <f aca="false" t="array" ref="B65:B65">INDEX(T,18+INT(MOD(R65-1,7)),lang)</f>
        <v>Fri</v>
      </c>
      <c r="C65" s="65" t="str">
        <f aca="false" t="array" ref="C65:C65">INDEX(T,24+MONTH(R65),lang) &amp; " " &amp; DAY(R65) &amp; ", " &amp; YEAR(R65)</f>
        <v>Jun 26, 2026</v>
      </c>
      <c r="D65" s="66" t="n">
        <f aca="false">TIME(HOUR(R65),MINUTE(R65),0)</f>
        <v>0.166666666666667</v>
      </c>
      <c r="E65" s="67" t="str">
        <f aca="false">AE29</f>
        <v>Turkey</v>
      </c>
      <c r="F65" s="68" t="n">
        <v>0</v>
      </c>
      <c r="G65" s="69" t="n">
        <v>1</v>
      </c>
      <c r="H65" s="70" t="str">
        <f aca="false">AE26</f>
        <v>United States</v>
      </c>
      <c r="I65" s="102"/>
      <c r="J65" s="79" t="str">
        <f aca="false">VLOOKUP(3,AD62:AN65,2,FALSE())</f>
        <v>Algeria</v>
      </c>
      <c r="K65" s="80" t="n">
        <f aca="false">L65+M65+N65</f>
        <v>3</v>
      </c>
      <c r="L65" s="80" t="n">
        <f aca="false">VLOOKUP(3,AD62:AN65,3,FALSE())</f>
        <v>1</v>
      </c>
      <c r="M65" s="80" t="n">
        <f aca="false">VLOOKUP(3,AD62:AN65,4,FALSE())</f>
        <v>0</v>
      </c>
      <c r="N65" s="80" t="n">
        <f aca="false">VLOOKUP(3,AD62:AN65,5,FALSE())</f>
        <v>2</v>
      </c>
      <c r="O65" s="80" t="str">
        <f aca="false">VLOOKUP(3,AD62:AN65,6,FALSE()) &amp; " - " &amp; VLOOKUP(3,AD62:AN65,7,FALSE())</f>
        <v>2 - 4</v>
      </c>
      <c r="P65" s="81" t="n">
        <f aca="false">L65*3+M65</f>
        <v>3</v>
      </c>
      <c r="R65" s="42" t="n">
        <f aca="false">DATE(2026,6,25)+TIME(15,0,0)+gmt_delta</f>
        <v>46199.1666666667</v>
      </c>
      <c r="S65" s="43" t="str">
        <f aca="false">IF(OR(F65="",G65=""),"",IF(F65&gt;G65,E65&amp;"_win",IF(F65&lt;G65,E65&amp;"_lose",E65&amp;"_draw")))</f>
        <v>Turkey_lose</v>
      </c>
      <c r="T65" s="43" t="str">
        <f aca="false">IF(S65="","",IF(F65&lt;G65,H65&amp;"_win",IF(F65&gt;G65,H65&amp;"_lose",H65&amp;"_draw")))</f>
        <v>United States_win</v>
      </c>
      <c r="U65" s="42" t="n">
        <f aca="false">IF(S65="",0,IF(VLOOKUP(E65,$AE$8:$AN$77,10,FALSE())=VLOOKUP(H65,$AE$8:$AN$77,10,FALSE()),1,0))</f>
        <v>0</v>
      </c>
      <c r="V65" s="42" t="n">
        <f aca="false">U65*F65</f>
        <v>0</v>
      </c>
      <c r="W65" s="42" t="n">
        <f aca="false">U65*G65</f>
        <v>0</v>
      </c>
      <c r="X65" s="42" t="n">
        <f aca="false">IF(S65="",0,IF(VLOOKUP(E65,$AE$8:$AO$77,11,FALSE())=VLOOKUP(H65,$AE$8:$AO$77,11,FALSE()),1,0))</f>
        <v>0</v>
      </c>
      <c r="Y65" s="42" t="n">
        <f aca="false">X65*F65</f>
        <v>0</v>
      </c>
      <c r="Z65" s="42" t="n">
        <f aca="false">X65*G65</f>
        <v>0</v>
      </c>
      <c r="AA65" s="42" t="n">
        <f aca="false">IF(OR(E65=my_team,H65=my_team),1,IF(INT(MATCH(E65,$AE$8:$AE$78,0)/6)=$AA$6,1,0))</f>
        <v>0</v>
      </c>
      <c r="AB65" s="42" t="n">
        <f aca="false">IF(OR(F65="",G65=""),"",IF(F65&gt;G65,1,IF(F65&lt;G65,-1,0)))</f>
        <v>-1</v>
      </c>
      <c r="AD65" s="42" t="n">
        <f aca="false">COUNTIF(AR62:AR65,CONCATENATE("&gt;=",AR65))</f>
        <v>4</v>
      </c>
      <c r="AE65" s="44" t="str">
        <f aca="false">VLOOKUP("Jordan",T,lang,FALSE())</f>
        <v>Jordan</v>
      </c>
      <c r="AF65" s="42" t="n">
        <f aca="false">COUNTIF($S$7:$T$78,"=" &amp; AE65 &amp; "_win")</f>
        <v>0</v>
      </c>
      <c r="AG65" s="42" t="n">
        <f aca="false">COUNTIF($S$7:$T$78,"=" &amp; AE65 &amp; "_draw")</f>
        <v>0</v>
      </c>
      <c r="AH65" s="42" t="n">
        <f aca="false">COUNTIF($S$7:$T$78,"=" &amp; AE65 &amp; "_lose")</f>
        <v>3</v>
      </c>
      <c r="AI65" s="42" t="n">
        <f aca="false">SUMIF($E$7:$E$78,$AE65,$F$7:$F$78) + SUMIF($H$7:$H$78,$AE65,$G$7:$G$78)</f>
        <v>1</v>
      </c>
      <c r="AJ65" s="42" t="n">
        <f aca="false">SUMIF($E$7:$E$78,$AE65,$G$7:$G$78) + SUMIF($H$7:$H$78,$AE65,$F$7:$F$78)</f>
        <v>6</v>
      </c>
      <c r="AL65" s="42" t="n">
        <f aca="false">AI65-AJ65</f>
        <v>-5</v>
      </c>
      <c r="AM65" s="42" t="n">
        <f aca="false">AL65-AL66</f>
        <v>0</v>
      </c>
      <c r="AN65" s="42" t="n">
        <f aca="false">AF65*3+AG65</f>
        <v>0</v>
      </c>
      <c r="AO65" s="42" t="n">
        <f aca="false">AN65/AN66*10+BA65</f>
        <v>0</v>
      </c>
      <c r="AP65" s="42" t="n">
        <f aca="false">AO65*10000000+BI65*100+AM65/AM66*10+AI65/AI66*1++IF(AQ65=0,ROW(),AQ65)/2000000</f>
        <v>0.143552867857143</v>
      </c>
      <c r="AQ65" s="46" t="n">
        <f aca="false">VLOOKUP(AE65,db_fifarank,2,FALSE())</f>
        <v>1391.45</v>
      </c>
      <c r="AR65" s="45" t="n">
        <f aca="false">AP65/AP66</f>
        <v>1.59503166969247E-009</v>
      </c>
      <c r="AT65" s="46" t="n">
        <f aca="false" t="array" ref="AT65:AT65">SUMPRODUCT(($S$7:$S$78=AE65&amp;"_win")*($U$7:$U$78))+SUMPRODUCT(($T$7:$T$78=AE65&amp;"_win")*($U$7:$U$78))</f>
        <v>0</v>
      </c>
      <c r="AU65" s="46" t="n">
        <f aca="false" t="array" ref="AU65:AU65">SUMPRODUCT(($S$7:$S$78=AE65&amp;"_draw")*($U$7:$U$78))+SUMPRODUCT(($T$7:$T$78=AE65&amp;"_draw")*($U$7:$U$78))</f>
        <v>0</v>
      </c>
      <c r="AV65" s="46" t="n">
        <f aca="false" t="array" ref="AV65:AV65">SUMPRODUCT(($E$7:$E$78=AE65)*($U$7:$U$78)*($F$7:$F$78))+SUMPRODUCT(($H$7:$H$78=AE65)*($U$7:$U$78)*($G$7:$G$78))</f>
        <v>0</v>
      </c>
      <c r="AW65" s="46" t="n">
        <f aca="false" t="array" ref="AW65:AW65">SUMPRODUCT(($E$7:$E$78=AE65)*($U$7:$U$78)*($G$7:$G$78))+SUMPRODUCT(($H$7:$H$78=AE65)*($U$7:$U$78)*($F$7:$F$78))</f>
        <v>0</v>
      </c>
      <c r="AX65" s="46" t="n">
        <f aca="false">AV65-AW65</f>
        <v>0</v>
      </c>
      <c r="AY65" s="46" t="n">
        <f aca="false">AX65-MIN(AX62:AX65)</f>
        <v>0</v>
      </c>
      <c r="AZ65" s="46" t="n">
        <f aca="false">AT65/AT66*1000+AU65/AU66*100+AY65/AY66*10+AV65/AV66</f>
        <v>0</v>
      </c>
      <c r="BA65" s="46" t="n">
        <f aca="false">AZ65/AZ66</f>
        <v>0</v>
      </c>
      <c r="BB65" s="46" t="n">
        <f aca="false" t="array" ref="BB65:BB65">SUMPRODUCT(($S$7:$S$78=AE65&amp;"_win")*($X$7:$X$78))+SUMPRODUCT(($T$7:$T$78=AE65&amp;"_win")*($X$7:$X$78))</f>
        <v>0</v>
      </c>
      <c r="BC65" s="46" t="n">
        <f aca="false" t="array" ref="BC65:BC65">SUMPRODUCT(($S$7:$S$78=AE65&amp;"_draw")*($X$7:$X$78))+SUMPRODUCT(($T$7:$T$78=AE65&amp;"_draw")*($X$7:$X$78))</f>
        <v>0</v>
      </c>
      <c r="BD65" s="46" t="n">
        <f aca="false" t="array" ref="BD65:BD65">SUMPRODUCT(($E$7:$E$78=AE65)*($X$7:$X$78)*($F$7:$F$78))+SUMPRODUCT(($H$7:$H$78=AE65)*($X$7:$X$78)*($G$7:$G$78))</f>
        <v>0</v>
      </c>
      <c r="BE65" s="46" t="n">
        <f aca="false" t="array" ref="BE65:BE65">SUMPRODUCT(($E$7:$E$78=AE65)*($X$7:$X$78)*($G$7:$G$78))+SUMPRODUCT(($H$7:$H$78=AE65)*($X$7:$X$78)*($F$7:$F$78))</f>
        <v>0</v>
      </c>
      <c r="BF65" s="46" t="n">
        <f aca="false">BD65-BE65</f>
        <v>0</v>
      </c>
      <c r="BG65" s="46" t="n">
        <f aca="false">BF65-MIN(BF62:BF65)</f>
        <v>0</v>
      </c>
      <c r="BH65" s="46" t="n">
        <f aca="false">BB65/BB66*1000+BC65/BC66*100+BG65/BG66*10+BD65/BD66</f>
        <v>0</v>
      </c>
      <c r="BI65" s="46" t="n">
        <f aca="false">BH65/BH66</f>
        <v>0</v>
      </c>
      <c r="BK65" s="74" t="str">
        <f aca="false" t="array" ref="BK65: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74"/>
      <c r="BM65" s="74"/>
      <c r="BN65" s="74"/>
      <c r="BO65" s="92"/>
      <c r="BP65" s="47" t="n">
        <f aca="false">DATE(2026,7,2)+TIME(16,0,0)+gmt_delta</f>
        <v>46206.2083333333</v>
      </c>
      <c r="BQ65" s="47"/>
      <c r="BR65" s="74"/>
      <c r="BS65" s="74"/>
      <c r="BT65" s="74"/>
      <c r="BU65" s="74"/>
      <c r="BV65" s="74"/>
      <c r="BW65" s="96"/>
      <c r="BX65" s="97"/>
      <c r="BY65" s="82"/>
      <c r="BZ65" s="87" t="str">
        <f aca="false">IF(BW68&gt;BW69,BS68,IF(BW68&lt;BW69,BS69,""))</f>
        <v>Portugal</v>
      </c>
      <c r="CA65" s="88" t="n">
        <v>0</v>
      </c>
      <c r="CB65" s="89"/>
      <c r="CC65" s="90"/>
      <c r="CD65" s="47" t="n">
        <f aca="false">IF(CD64="","",CA65*1000+CB65*10+CC65)</f>
        <v>0</v>
      </c>
    </row>
    <row r="66" customFormat="false" ht="14.25" hidden="false" customHeight="true" outlineLevel="0" collapsed="false">
      <c r="A66" s="63" t="n">
        <v>60</v>
      </c>
      <c r="B66" s="64" t="str">
        <f aca="false" t="array" ref="B66:B66">INDEX(T,18+INT(MOD(R66-1,7)),lang)</f>
        <v>Fri</v>
      </c>
      <c r="C66" s="65" t="str">
        <f aca="false" t="array" ref="C66:C66">INDEX(T,24+MONTH(R66),lang) &amp; " " &amp; DAY(R66) &amp; ", " &amp; YEAR(R66)</f>
        <v>Jun 26, 2026</v>
      </c>
      <c r="D66" s="66" t="n">
        <f aca="false">TIME(HOUR(R66),MINUTE(R66),0)</f>
        <v>0.166666666666667</v>
      </c>
      <c r="E66" s="67" t="str">
        <f aca="false">AE27</f>
        <v>Paraguay</v>
      </c>
      <c r="F66" s="68" t="n">
        <v>0</v>
      </c>
      <c r="G66" s="69" t="n">
        <v>1</v>
      </c>
      <c r="H66" s="70" t="str">
        <f aca="false">AE28</f>
        <v>Australia</v>
      </c>
      <c r="I66" s="102"/>
      <c r="J66" s="93" t="str">
        <f aca="false">VLOOKUP(4,AD62:AN65,2,FALSE())</f>
        <v>Jordan</v>
      </c>
      <c r="K66" s="94" t="n">
        <f aca="false">L66+M66+N66</f>
        <v>3</v>
      </c>
      <c r="L66" s="94" t="n">
        <f aca="false">VLOOKUP(4,AD62:AN65,3,FALSE())</f>
        <v>0</v>
      </c>
      <c r="M66" s="94" t="n">
        <f aca="false">VLOOKUP(4,AD62:AN65,4,FALSE())</f>
        <v>0</v>
      </c>
      <c r="N66" s="94" t="n">
        <f aca="false">VLOOKUP(4,AD62:AN65,5,FALSE())</f>
        <v>3</v>
      </c>
      <c r="O66" s="94" t="str">
        <f aca="false">VLOOKUP(4,AD62:AN65,6,FALSE()) &amp; " - " &amp; VLOOKUP(4,AD62:AN65,7,FALSE())</f>
        <v>1 - 6</v>
      </c>
      <c r="P66" s="95" t="n">
        <f aca="false">L66*3+M66</f>
        <v>0</v>
      </c>
      <c r="R66" s="42" t="n">
        <f aca="false">DATE(2026,6,25)+TIME(15,0,0)+gmt_delta</f>
        <v>46199.1666666667</v>
      </c>
      <c r="S66" s="43" t="str">
        <f aca="false">IF(OR(F66="",G66=""),"",IF(F66&gt;G66,E66&amp;"_win",IF(F66&lt;G66,E66&amp;"_lose",E66&amp;"_draw")))</f>
        <v>Paraguay_lose</v>
      </c>
      <c r="T66" s="43" t="str">
        <f aca="false">IF(S66="","",IF(F66&lt;G66,H66&amp;"_win",IF(F66&gt;G66,H66&amp;"_lose",H66&amp;"_draw")))</f>
        <v>Australia_win</v>
      </c>
      <c r="U66" s="42" t="n">
        <f aca="false">IF(S66="",0,IF(VLOOKUP(E66,$AE$8:$AN$77,10,FALSE())=VLOOKUP(H66,$AE$8:$AN$77,10,FALSE()),1,0))</f>
        <v>0</v>
      </c>
      <c r="V66" s="42" t="n">
        <f aca="false">U66*F66</f>
        <v>0</v>
      </c>
      <c r="W66" s="42" t="n">
        <f aca="false">U66*G66</f>
        <v>0</v>
      </c>
      <c r="X66" s="42" t="n">
        <f aca="false">IF(S66="",0,IF(VLOOKUP(E66,$AE$8:$AO$77,11,FALSE())=VLOOKUP(H66,$AE$8:$AO$77,11,FALSE()),1,0))</f>
        <v>0</v>
      </c>
      <c r="Y66" s="42" t="n">
        <f aca="false">X66*F66</f>
        <v>0</v>
      </c>
      <c r="Z66" s="42" t="n">
        <f aca="false">X66*G66</f>
        <v>0</v>
      </c>
      <c r="AA66" s="42" t="n">
        <f aca="false">IF(OR(E66=my_team,H66=my_team),1,IF(INT(MATCH(E66,$AE$8:$AE$78,0)/6)=$AA$6,1,0))</f>
        <v>0</v>
      </c>
      <c r="AB66" s="42" t="n">
        <f aca="false">IF(OR(F66="",G66=""),"",IF(F66&gt;G66,1,IF(F66&lt;G66,-1,0)))</f>
        <v>-1</v>
      </c>
      <c r="AF66" s="42" t="n">
        <f aca="false">MAX(AF62:AF65)-MIN(AF62:AF65)+1</f>
        <v>4</v>
      </c>
      <c r="AG66" s="42" t="n">
        <f aca="false">MAX(AG62:AG65)-MIN(AG62:AG65)+1</f>
        <v>1</v>
      </c>
      <c r="AH66" s="42" t="n">
        <f aca="false">MAX(AH62:AH65)-MIN(AH62:AH65)+1</f>
        <v>4</v>
      </c>
      <c r="AI66" s="42" t="n">
        <f aca="false">MAX(AI62:AI65)+1</f>
        <v>7</v>
      </c>
      <c r="AL66" s="42" t="n">
        <f aca="false">MIN(AL62:AL65)</f>
        <v>-5</v>
      </c>
      <c r="AM66" s="42" t="n">
        <f aca="false">MAX(AM62:AM65)+1</f>
        <v>12</v>
      </c>
      <c r="AN66" s="42" t="n">
        <f aca="false">MAX(AN62:AN65)+1</f>
        <v>10</v>
      </c>
      <c r="AO66" s="42" t="n">
        <f aca="false">MAX(AO62:AO65)+1</f>
        <v>10</v>
      </c>
      <c r="AP66" s="42" t="n">
        <f aca="false">MAX(AP62:AP65)+1</f>
        <v>90000011.0247469</v>
      </c>
      <c r="AT66" s="46" t="n">
        <f aca="false">MAX(AT62:AT65)-MIN(AT62:AT65)+1</f>
        <v>1</v>
      </c>
      <c r="AU66" s="46" t="n">
        <f aca="false">MAX(AU62:AU65)-MIN(AU62:AU65)+1</f>
        <v>1</v>
      </c>
      <c r="AV66" s="46" t="n">
        <f aca="false">MAX(AV62:AV65)-MIN(AV62:AV65)+1</f>
        <v>1</v>
      </c>
      <c r="AW66" s="46" t="n">
        <f aca="false">MAX(AW62:AW65)-MIN(AW62:AW65)+1</f>
        <v>1</v>
      </c>
      <c r="AY66" s="46" t="n">
        <f aca="false">MAX(AY62:AY65)-MIN(AY62:AY65)+1</f>
        <v>1</v>
      </c>
      <c r="AZ66" s="46" t="n">
        <f aca="false">MAX(AZ62:AZ65)+1</f>
        <v>1</v>
      </c>
      <c r="BB66" s="46" t="n">
        <f aca="false">MAX(BB62:BB65)-MIN(BB62:BB65)+1</f>
        <v>1</v>
      </c>
      <c r="BC66" s="46" t="n">
        <f aca="false">MAX(BC62:BC65)-MIN(BC62:BC65)+1</f>
        <v>1</v>
      </c>
      <c r="BD66" s="46" t="n">
        <f aca="false">MAX(BD62:BD65)-MIN(BD62:BD65)+1</f>
        <v>1</v>
      </c>
      <c r="BE66" s="46" t="n">
        <f aca="false">MAX(BE62:BE65)-MIN(BE62:BE65)+1</f>
        <v>1</v>
      </c>
      <c r="BG66" s="46" t="n">
        <f aca="false">MAX(BG62:BG65)-MIN(BG62:BG65)+1</f>
        <v>1</v>
      </c>
      <c r="BH66" s="46" t="n">
        <f aca="false">MAX(BH62:BH65)+1</f>
        <v>1</v>
      </c>
      <c r="BK66" s="82" t="n">
        <v>85</v>
      </c>
      <c r="BL66" s="83" t="str">
        <f aca="false">AS14</f>
        <v>Switzerland</v>
      </c>
      <c r="BM66" s="84" t="n">
        <v>1</v>
      </c>
      <c r="BN66" s="85"/>
      <c r="BO66" s="86"/>
      <c r="BP66" s="47" t="n">
        <f aca="false">IF(OR(BM66="",BM67="",AND(BN66="",BN67&lt;&gt;""),AND(BN67="",BN66&lt;&gt;""),AND(BO66="",BO67&lt;&gt;""),AND(BO67="",BO66&lt;&gt;"")),"",BM66*1000+BN66*10+BO66)</f>
        <v>1000</v>
      </c>
      <c r="BQ66" s="47"/>
      <c r="BR66" s="74"/>
      <c r="BS66" s="74"/>
      <c r="BT66" s="74"/>
      <c r="BU66" s="74"/>
      <c r="BV66" s="74"/>
      <c r="BW66" s="96"/>
    </row>
    <row r="67" customFormat="false" ht="14.25" hidden="false" customHeight="true" outlineLevel="0" collapsed="false">
      <c r="A67" s="63" t="n">
        <v>61</v>
      </c>
      <c r="B67" s="64" t="str">
        <f aca="false" t="array" ref="B67:B67">INDEX(T,18+INT(MOD(R67-1,7)),lang)</f>
        <v>Fri</v>
      </c>
      <c r="C67" s="65" t="str">
        <f aca="false" t="array" ref="C67:C67">INDEX(T,24+MONTH(R67),lang) &amp; " " &amp; DAY(R67) &amp; ", " &amp; YEAR(R67)</f>
        <v>Jun 26, 2026</v>
      </c>
      <c r="D67" s="66" t="n">
        <f aca="false">TIME(HOUR(R67),MINUTE(R67),0)</f>
        <v>0.875</v>
      </c>
      <c r="E67" s="67" t="str">
        <f aca="false">AE59</f>
        <v>Norway</v>
      </c>
      <c r="F67" s="68" t="n">
        <v>0</v>
      </c>
      <c r="G67" s="69" t="n">
        <v>2</v>
      </c>
      <c r="H67" s="70" t="str">
        <f aca="false">AE56</f>
        <v>France</v>
      </c>
      <c r="I67" s="102"/>
      <c r="J67" s="103"/>
      <c r="K67" s="104"/>
      <c r="L67" s="104"/>
      <c r="M67" s="104"/>
      <c r="N67" s="104"/>
      <c r="O67" s="104"/>
      <c r="P67" s="104"/>
      <c r="R67" s="42" t="n">
        <f aca="false">DATE(2026,6,26)+TIME(8,0,0)+gmt_delta</f>
        <v>46199.875</v>
      </c>
      <c r="S67" s="43" t="str">
        <f aca="false">IF(OR(F67="",G67=""),"",IF(F67&gt;G67,E67&amp;"_win",IF(F67&lt;G67,E67&amp;"_lose",E67&amp;"_draw")))</f>
        <v>Norway_lose</v>
      </c>
      <c r="T67" s="43" t="str">
        <f aca="false">IF(S67="","",IF(F67&lt;G67,H67&amp;"_win",IF(F67&gt;G67,H67&amp;"_lose",H67&amp;"_draw")))</f>
        <v>France_win</v>
      </c>
      <c r="U67" s="42" t="n">
        <f aca="false">IF(S67="",0,IF(VLOOKUP(E67,$AE$8:$AN$77,10,FALSE())=VLOOKUP(H67,$AE$8:$AN$77,10,FALSE()),1,0))</f>
        <v>0</v>
      </c>
      <c r="V67" s="42" t="n">
        <f aca="false">U67*F67</f>
        <v>0</v>
      </c>
      <c r="W67" s="42" t="n">
        <f aca="false">U67*G67</f>
        <v>0</v>
      </c>
      <c r="X67" s="42" t="n">
        <f aca="false">IF(S67="",0,IF(VLOOKUP(E67,$AE$8:$AO$77,11,FALSE())=VLOOKUP(H67,$AE$8:$AO$77,11,FALSE()),1,0))</f>
        <v>0</v>
      </c>
      <c r="Y67" s="42" t="n">
        <f aca="false">X67*F67</f>
        <v>0</v>
      </c>
      <c r="Z67" s="42" t="n">
        <f aca="false">X67*G67</f>
        <v>0</v>
      </c>
      <c r="AA67" s="42" t="n">
        <f aca="false">IF(OR(E67=my_team,H67=my_team),1,IF(INT(MATCH(E67,$AE$8:$AE$78,0)/6)=$AA$6,1,0))</f>
        <v>0</v>
      </c>
      <c r="AB67" s="42" t="n">
        <f aca="false">IF(OR(F67="",G67=""),"",IF(F67&gt;G67,1,IF(F67&lt;G67,-1,0)))</f>
        <v>-1</v>
      </c>
      <c r="BK67" s="82"/>
      <c r="BL67" s="87" t="str">
        <f aca="false">IF(group_round_completed,VLOOKUP('3rd places'!E3,AK80:AS91,9,FALSE()),"3rd Group E/F/G/I/J")</f>
        <v>Algeria</v>
      </c>
      <c r="BM67" s="88" t="n">
        <v>0</v>
      </c>
      <c r="BN67" s="89"/>
      <c r="BO67" s="90"/>
      <c r="BP67" s="91" t="n">
        <f aca="false">IF(BP66="","",BM67*1000+BN67*10+BO67)</f>
        <v>0</v>
      </c>
      <c r="BQ67" s="47"/>
      <c r="BR67" s="74" t="str">
        <f aca="false" t="array" ref="BR67: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74"/>
      <c r="BT67" s="74"/>
      <c r="BU67" s="74"/>
      <c r="BV67" s="92"/>
      <c r="BW67" s="96" t="n">
        <f aca="false">DATE(2026,7,7)+TIME(9,0,0)+gmt_delta</f>
        <v>46210.9166666667</v>
      </c>
    </row>
    <row r="68" customFormat="false" ht="14.25" hidden="false" customHeight="true" outlineLevel="0" collapsed="false">
      <c r="A68" s="63" t="n">
        <v>62</v>
      </c>
      <c r="B68" s="64" t="str">
        <f aca="false" t="array" ref="B68:B68">INDEX(T,18+INT(MOD(R68-1,7)),lang)</f>
        <v>Fri</v>
      </c>
      <c r="C68" s="65" t="str">
        <f aca="false" t="array" ref="C68:C68">INDEX(T,24+MONTH(R68),lang) &amp; " " &amp; DAY(R68) &amp; ", " &amp; YEAR(R68)</f>
        <v>Jun 26, 2026</v>
      </c>
      <c r="D68" s="66" t="n">
        <f aca="false">TIME(HOUR(R68),MINUTE(R68),0)</f>
        <v>0.875</v>
      </c>
      <c r="E68" s="67" t="str">
        <f aca="false">AE57</f>
        <v>Senegal</v>
      </c>
      <c r="F68" s="68" t="n">
        <v>2</v>
      </c>
      <c r="G68" s="69" t="n">
        <v>0</v>
      </c>
      <c r="H68" s="70" t="str">
        <f aca="false">AE58</f>
        <v>Iraq</v>
      </c>
      <c r="I68" s="102"/>
      <c r="J68" s="71" t="str">
        <f aca="false" t="array" ref="J68:J68">INDEX(T,9,lang) &amp; " " &amp; "K"</f>
        <v>Group K</v>
      </c>
      <c r="K68" s="72" t="str">
        <f aca="false" t="array" ref="K68:K68">INDEX(T,10,lang)</f>
        <v>PL</v>
      </c>
      <c r="L68" s="72" t="str">
        <f aca="false" t="array" ref="L68:L68">INDEX(T,11,lang)</f>
        <v>W</v>
      </c>
      <c r="M68" s="72" t="str">
        <f aca="false" t="array" ref="M68:M68">INDEX(T,12,lang)</f>
        <v>DRAW</v>
      </c>
      <c r="N68" s="72" t="str">
        <f aca="false" t="array" ref="N68:N68">INDEX(T,13,lang)</f>
        <v>L</v>
      </c>
      <c r="O68" s="72" t="str">
        <f aca="false" t="array" ref="O68:O68">INDEX(T,14,lang)</f>
        <v>GF - GA</v>
      </c>
      <c r="P68" s="73" t="str">
        <f aca="false" t="array" ref="P68:P68">INDEX(T,15,lang)</f>
        <v>PNT</v>
      </c>
      <c r="R68" s="42" t="n">
        <f aca="false">DATE(2026,6,26)+TIME(8,0,0)+gmt_delta</f>
        <v>46199.875</v>
      </c>
      <c r="S68" s="43" t="str">
        <f aca="false">IF(OR(F68="",G68=""),"",IF(F68&gt;G68,E68&amp;"_win",IF(F68&lt;G68,E68&amp;"_lose",E68&amp;"_draw")))</f>
        <v>Senegal_win</v>
      </c>
      <c r="T68" s="43" t="str">
        <f aca="false">IF(S68="","",IF(F68&lt;G68,H68&amp;"_win",IF(F68&gt;G68,H68&amp;"_lose",H68&amp;"_draw")))</f>
        <v>Iraq_lose</v>
      </c>
      <c r="U68" s="42" t="n">
        <f aca="false">IF(S68="",0,IF(VLOOKUP(E68,$AE$8:$AN$77,10,FALSE())=VLOOKUP(H68,$AE$8:$AN$77,10,FALSE()),1,0))</f>
        <v>0</v>
      </c>
      <c r="V68" s="42" t="n">
        <f aca="false">U68*F68</f>
        <v>0</v>
      </c>
      <c r="W68" s="42" t="n">
        <f aca="false">U68*G68</f>
        <v>0</v>
      </c>
      <c r="X68" s="42" t="n">
        <f aca="false">IF(S68="",0,IF(VLOOKUP(E68,$AE$8:$AO$77,11,FALSE())=VLOOKUP(H68,$AE$8:$AO$77,11,FALSE()),1,0))</f>
        <v>0</v>
      </c>
      <c r="Y68" s="42" t="n">
        <f aca="false">X68*F68</f>
        <v>0</v>
      </c>
      <c r="Z68" s="42" t="n">
        <f aca="false">X68*G68</f>
        <v>0</v>
      </c>
      <c r="AA68" s="42" t="n">
        <f aca="false">IF(OR(E68=my_team,H68=my_team),1,IF(INT(MATCH(E68,$AE$8:$AE$78,0)/6)=$AA$6,1,0))</f>
        <v>0</v>
      </c>
      <c r="AB68" s="42" t="n">
        <f aca="false">IF(OR(F68="",G68=""),"",IF(F68&gt;G68,1,IF(F68&lt;G68,-1,0)))</f>
        <v>1</v>
      </c>
      <c r="AD68" s="42" t="n">
        <f aca="false">COUNTIF(AR68:AR71,CONCATENATE("&gt;=",AR68))</f>
        <v>1</v>
      </c>
      <c r="AE68" s="44" t="str">
        <f aca="false">VLOOKUP("Portugal",T,lang,FALSE())</f>
        <v>Portugal</v>
      </c>
      <c r="AF68" s="42" t="n">
        <f aca="false">COUNTIF($S$7:$T$78,"=" &amp; AE68 &amp; "_win")</f>
        <v>3</v>
      </c>
      <c r="AG68" s="42" t="n">
        <f aca="false">COUNTIF($S$7:$T$78,"=" &amp; AE68 &amp; "_draw")</f>
        <v>0</v>
      </c>
      <c r="AH68" s="42" t="n">
        <f aca="false">COUNTIF($S$7:$T$78,"=" &amp; AE68 &amp; "_lose")</f>
        <v>0</v>
      </c>
      <c r="AI68" s="42" t="n">
        <f aca="false">SUMIF($E$7:$E$78,$AE68,$F$7:$F$78) + SUMIF($H$7:$H$78,$AE68,$G$7:$G$78)</f>
        <v>5</v>
      </c>
      <c r="AJ68" s="42" t="n">
        <f aca="false">SUMIF($E$7:$E$78,$AE68,$G$7:$G$78) + SUMIF($H$7:$H$78,$AE68,$F$7:$F$78)</f>
        <v>0</v>
      </c>
      <c r="AL68" s="42" t="n">
        <f aca="false">AI68-AJ68</f>
        <v>5</v>
      </c>
      <c r="AM68" s="42" t="n">
        <f aca="false">AL68-AL72</f>
        <v>10</v>
      </c>
      <c r="AN68" s="42" t="n">
        <f aca="false">AF68*3+AG68</f>
        <v>9</v>
      </c>
      <c r="AO68" s="42" t="n">
        <f aca="false">AN68/AN72*10+BA68</f>
        <v>9</v>
      </c>
      <c r="AP68" s="42" t="n">
        <f aca="false">AO68*10000000+BI68*100+AM68/AM72*10+AI68/AI72*1++IF(AQ68=0,ROW(),AQ68)/2000000</f>
        <v>90000009.9251243</v>
      </c>
      <c r="AQ68" s="46" t="n">
        <f aca="false">VLOOKUP(AE68,db_fifarank,2,FALSE())</f>
        <v>1763.83</v>
      </c>
      <c r="AR68" s="45" t="n">
        <f aca="false">AP68/AP72</f>
        <v>0.99999998888889</v>
      </c>
      <c r="AS68" s="45" t="str">
        <f aca="false">IF(SUM(AF68:AH71)=12,J69,"1K")</f>
        <v>Portugal</v>
      </c>
      <c r="AT68" s="46" t="n">
        <f aca="false" t="array" ref="AT68:AT68">SUMPRODUCT(($S$7:$S$78=AE68&amp;"_win")*($U$7:$U$78))+SUMPRODUCT(($T$7:$T$78=AE68&amp;"_win")*($U$7:$U$78))</f>
        <v>0</v>
      </c>
      <c r="AU68" s="46" t="n">
        <f aca="false" t="array" ref="AU68:AU68">SUMPRODUCT(($S$7:$S$78=AE68&amp;"_draw")*($U$7:$U$78))+SUMPRODUCT(($T$7:$T$78=AE68&amp;"_draw")*($U$7:$U$78))</f>
        <v>0</v>
      </c>
      <c r="AV68" s="46" t="n">
        <f aca="false" t="array" ref="AV68:AV68">SUMPRODUCT(($E$7:$E$78=AE68)*($U$7:$U$78)*($F$7:$F$78))+SUMPRODUCT(($H$7:$H$78=AE68)*($U$7:$U$78)*($G$7:$G$78))</f>
        <v>0</v>
      </c>
      <c r="AW68" s="46" t="n">
        <f aca="false" t="array" ref="AW68:AW68">SUMPRODUCT(($E$7:$E$78=AE68)*($U$7:$U$78)*($G$7:$G$78))+SUMPRODUCT(($H$7:$H$78=AE68)*($U$7:$U$78)*($F$7:$F$78))</f>
        <v>0</v>
      </c>
      <c r="AX68" s="46" t="n">
        <f aca="false">AV68-AW68</f>
        <v>0</v>
      </c>
      <c r="AY68" s="46" t="n">
        <f aca="false">AX68-MIN(AX68:AX71)</f>
        <v>0</v>
      </c>
      <c r="AZ68" s="46" t="n">
        <f aca="false">AT68/AT72*1000+AU68/AU72*100+AY68/AY72*10+AV68/AV72</f>
        <v>0</v>
      </c>
      <c r="BA68" s="46" t="n">
        <f aca="false">AZ68/AZ72</f>
        <v>0</v>
      </c>
      <c r="BB68" s="46" t="n">
        <f aca="false" t="array" ref="BB68:BB68">SUMPRODUCT(($S$7:$S$78=AE68&amp;"_win")*($X$7:$X$78))+SUMPRODUCT(($T$7:$T$78=AE68&amp;"_win")*($X$7:$X$78))</f>
        <v>0</v>
      </c>
      <c r="BC68" s="46" t="n">
        <f aca="false" t="array" ref="BC68:BC68">SUMPRODUCT(($S$7:$S$78=AE68&amp;"_draw")*($X$7:$X$78))+SUMPRODUCT(($T$7:$T$78=AE68&amp;"_draw")*($X$7:$X$78))</f>
        <v>0</v>
      </c>
      <c r="BD68" s="46" t="n">
        <f aca="false" t="array" ref="BD68:BD68">SUMPRODUCT(($E$7:$E$78=AE68)*($X$7:$X$78)*($F$7:$F$78))+SUMPRODUCT(($H$7:$H$78=AE68)*($X$7:$X$78)*($G$7:$G$78))</f>
        <v>0</v>
      </c>
      <c r="BE68" s="46" t="n">
        <f aca="false" t="array" ref="BE68:BE68">SUMPRODUCT(($E$7:$E$78=AE68)*($X$7:$X$78)*($G$7:$G$78))+SUMPRODUCT(($H$7:$H$78=AE68)*($X$7:$X$78)*($F$7:$F$78))</f>
        <v>0</v>
      </c>
      <c r="BF68" s="46" t="n">
        <f aca="false">BD68-BE68</f>
        <v>0</v>
      </c>
      <c r="BG68" s="46" t="n">
        <f aca="false">BF68-MIN(BF68:BF71)</f>
        <v>0</v>
      </c>
      <c r="BH68" s="46" t="n">
        <f aca="false">BB68/BB72*1000+BC68/BC72*100+BG68/BG72*10+BD68/BD72</f>
        <v>0</v>
      </c>
      <c r="BI68" s="46" t="n">
        <f aca="false">BH68/BH72</f>
        <v>0</v>
      </c>
      <c r="BK68" s="74"/>
      <c r="BL68" s="74"/>
      <c r="BM68" s="74"/>
      <c r="BN68" s="74"/>
      <c r="BO68" s="74"/>
      <c r="BP68" s="96"/>
      <c r="BQ68" s="47"/>
      <c r="BR68" s="82" t="n">
        <v>96</v>
      </c>
      <c r="BS68" s="83" t="str">
        <f aca="false">IF(BP66&gt;BP67,BL66,IF(BP66&lt;BP67,BL67,""))</f>
        <v>Switzerland</v>
      </c>
      <c r="BT68" s="84" t="n">
        <v>0</v>
      </c>
      <c r="BU68" s="85"/>
      <c r="BV68" s="86"/>
      <c r="BW68" s="98" t="n">
        <f aca="false">IF(OR(BT68="",BT69="",AND(BU68="",BU69&lt;&gt;""),AND(BU69="",BU68&lt;&gt;""),AND(BV68="",BV69&lt;&gt;""),AND(BV69="",BV68&lt;&gt;"")),"",BT68*1000+BU68*10+BV68)</f>
        <v>0</v>
      </c>
      <c r="CE68" s="105" t="str">
        <f aca="false">INDEX(T,144,lang)</f>
        <v>World Champion 2026</v>
      </c>
      <c r="CF68" s="105"/>
      <c r="CG68" s="105"/>
      <c r="CH68" s="105"/>
      <c r="CI68" s="105"/>
      <c r="CJ68" s="105"/>
      <c r="CK68" s="106" t="str">
        <f aca="false">IF(CR37&gt;CR38,CN37,IF(CR37&lt;CR38,CN38,""))</f>
        <v>France</v>
      </c>
      <c r="CL68" s="106"/>
      <c r="CM68" s="106"/>
      <c r="CN68" s="106"/>
      <c r="CO68" s="106"/>
      <c r="CP68" s="106"/>
      <c r="CQ68" s="106"/>
    </row>
    <row r="69" customFormat="false" ht="14.25" hidden="false" customHeight="true" outlineLevel="0" collapsed="false">
      <c r="A69" s="63" t="n">
        <v>63</v>
      </c>
      <c r="B69" s="64" t="str">
        <f aca="false" t="array" ref="B69:B69">INDEX(T,18+INT(MOD(R69-1,7)),lang)</f>
        <v>Sat</v>
      </c>
      <c r="C69" s="65" t="str">
        <f aca="false" t="array" ref="C69:C69">INDEX(T,24+MONTH(R69),lang) &amp; " " &amp; DAY(R69) &amp; ", " &amp; YEAR(R69)</f>
        <v>Jun 27, 2026</v>
      </c>
      <c r="D69" s="66" t="n">
        <f aca="false">TIME(HOUR(R69),MINUTE(R69),0)</f>
        <v>0.208333333333333</v>
      </c>
      <c r="E69" s="67" t="str">
        <f aca="false">AE45</f>
        <v>Egypt</v>
      </c>
      <c r="F69" s="68" t="n">
        <v>0</v>
      </c>
      <c r="G69" s="69" t="n">
        <v>1</v>
      </c>
      <c r="H69" s="70" t="str">
        <f aca="false">AE46</f>
        <v>Iran</v>
      </c>
      <c r="I69" s="102"/>
      <c r="J69" s="75" t="str">
        <f aca="false">VLOOKUP(1,AD68:AN71,2,FALSE())</f>
        <v>Portugal</v>
      </c>
      <c r="K69" s="76" t="n">
        <f aca="false">L69+M69+N69</f>
        <v>3</v>
      </c>
      <c r="L69" s="76" t="n">
        <f aca="false">VLOOKUP(1,AD68:AN71,3,FALSE())</f>
        <v>3</v>
      </c>
      <c r="M69" s="76" t="n">
        <f aca="false">VLOOKUP(1,AD68:AN71,4,FALSE())</f>
        <v>0</v>
      </c>
      <c r="N69" s="76" t="n">
        <f aca="false">VLOOKUP(1,AD68:AN71,5,FALSE())</f>
        <v>0</v>
      </c>
      <c r="O69" s="76" t="str">
        <f aca="false">VLOOKUP(1,AD68:AN71,6,FALSE()) &amp; " - " &amp; VLOOKUP(1,AD68:AN71,7,FALSE())</f>
        <v>5 - 0</v>
      </c>
      <c r="P69" s="77" t="n">
        <f aca="false">L69*3+M69</f>
        <v>9</v>
      </c>
      <c r="R69" s="42" t="n">
        <f aca="false">DATE(2026,6,26)+TIME(16,0,0)+gmt_delta</f>
        <v>46200.2083333333</v>
      </c>
      <c r="S69" s="43" t="str">
        <f aca="false">IF(OR(F69="",G69=""),"",IF(F69&gt;G69,E69&amp;"_win",IF(F69&lt;G69,E69&amp;"_lose",E69&amp;"_draw")))</f>
        <v>Egypt_lose</v>
      </c>
      <c r="T69" s="43" t="str">
        <f aca="false">IF(S69="","",IF(F69&lt;G69,H69&amp;"_win",IF(F69&gt;G69,H69&amp;"_lose",H69&amp;"_draw")))</f>
        <v>Iran_win</v>
      </c>
      <c r="U69" s="42" t="n">
        <f aca="false">IF(S69="",0,IF(VLOOKUP(E69,$AE$8:$AN$77,10,FALSE())=VLOOKUP(H69,$AE$8:$AN$77,10,FALSE()),1,0))</f>
        <v>0</v>
      </c>
      <c r="V69" s="42" t="n">
        <f aca="false">U69*F69</f>
        <v>0</v>
      </c>
      <c r="W69" s="42" t="n">
        <f aca="false">U69*G69</f>
        <v>0</v>
      </c>
      <c r="X69" s="42" t="n">
        <f aca="false">IF(S69="",0,IF(VLOOKUP(E69,$AE$8:$AO$77,11,FALSE())=VLOOKUP(H69,$AE$8:$AO$77,11,FALSE()),1,0))</f>
        <v>0</v>
      </c>
      <c r="Y69" s="42" t="n">
        <f aca="false">X69*F69</f>
        <v>0</v>
      </c>
      <c r="Z69" s="42" t="n">
        <f aca="false">X69*G69</f>
        <v>0</v>
      </c>
      <c r="AA69" s="42" t="n">
        <f aca="false">IF(OR(E69=my_team,H69=my_team),1,IF(INT(MATCH(E69,$AE$8:$AE$78,0)/6)=$AA$6,1,0))</f>
        <v>0</v>
      </c>
      <c r="AB69" s="42" t="n">
        <f aca="false">IF(OR(F69="",G69=""),"",IF(F69&gt;G69,1,IF(F69&lt;G69,-1,0)))</f>
        <v>-1</v>
      </c>
      <c r="AD69" s="42" t="n">
        <f aca="false">COUNTIF(AR68:AR71,CONCATENATE("&gt;=",AR69))</f>
        <v>3</v>
      </c>
      <c r="AE69" s="44" t="str">
        <f aca="false">VLOOKUP("DR Congo",T,lang,FALSE())</f>
        <v>DR Congo</v>
      </c>
      <c r="AF69" s="42" t="n">
        <f aca="false">COUNTIF($S$7:$T$78,"=" &amp; AE69 &amp; "_win")</f>
        <v>1</v>
      </c>
      <c r="AG69" s="42" t="n">
        <f aca="false">COUNTIF($S$7:$T$78,"=" &amp; AE69 &amp; "_draw")</f>
        <v>0</v>
      </c>
      <c r="AH69" s="42" t="n">
        <f aca="false">COUNTIF($S$7:$T$78,"=" &amp; AE69 &amp; "_lose")</f>
        <v>2</v>
      </c>
      <c r="AI69" s="42" t="n">
        <f aca="false">SUMIF($E$7:$E$78,$AE69,$F$7:$F$78) + SUMIF($H$7:$H$78,$AE69,$G$7:$G$78)</f>
        <v>1</v>
      </c>
      <c r="AJ69" s="42" t="n">
        <f aca="false">SUMIF($E$7:$E$78,$AE69,$G$7:$G$78) + SUMIF($H$7:$H$78,$AE69,$F$7:$F$78)</f>
        <v>4</v>
      </c>
      <c r="AL69" s="42" t="n">
        <f aca="false">AI69-AJ69</f>
        <v>-3</v>
      </c>
      <c r="AM69" s="42" t="n">
        <f aca="false">AL69-AL72</f>
        <v>2</v>
      </c>
      <c r="AN69" s="42" t="n">
        <f aca="false">AF69*3+AG69</f>
        <v>3</v>
      </c>
      <c r="AO69" s="42" t="n">
        <f aca="false">AN69/AN72*10+BA69</f>
        <v>3</v>
      </c>
      <c r="AP69" s="42" t="n">
        <f aca="false">AO69*10000000+BI69*100+AM69/AM72*10+AI69/AI72*1++IF(AQ69=0,ROW(),AQ69)/2000000</f>
        <v>30000001.9855877</v>
      </c>
      <c r="AQ69" s="46" t="n">
        <f aca="false">VLOOKUP(AE69,db_fifarank,2,FALSE())</f>
        <v>1478.35</v>
      </c>
      <c r="AR69" s="45" t="n">
        <f aca="false">AP69/AP72</f>
        <v>0.333333314931997</v>
      </c>
      <c r="AS69" s="45" t="str">
        <f aca="false">IF(SUM(AF68:AH71)=12,J70,"2K")</f>
        <v>Colombia</v>
      </c>
      <c r="AT69" s="46" t="n">
        <f aca="false" t="array" ref="AT69:AT69">SUMPRODUCT(($S$7:$S$78=AE69&amp;"_win")*($U$7:$U$78))+SUMPRODUCT(($T$7:$T$78=AE69&amp;"_win")*($U$7:$U$78))</f>
        <v>0</v>
      </c>
      <c r="AU69" s="46" t="n">
        <f aca="false" t="array" ref="AU69:AU69">SUMPRODUCT(($S$7:$S$78=AE69&amp;"_draw")*($U$7:$U$78))+SUMPRODUCT(($T$7:$T$78=AE69&amp;"_draw")*($U$7:$U$78))</f>
        <v>0</v>
      </c>
      <c r="AV69" s="46" t="n">
        <f aca="false" t="array" ref="AV69:AV69">SUMPRODUCT(($E$7:$E$78=AE69)*($U$7:$U$78)*($F$7:$F$78))+SUMPRODUCT(($H$7:$H$78=AE69)*($U$7:$U$78)*($G$7:$G$78))</f>
        <v>0</v>
      </c>
      <c r="AW69" s="46" t="n">
        <f aca="false" t="array" ref="AW69:AW69">SUMPRODUCT(($E$7:$E$78=AE69)*($U$7:$U$78)*($G$7:$G$78))+SUMPRODUCT(($H$7:$H$78=AE69)*($U$7:$U$78)*($F$7:$F$78))</f>
        <v>0</v>
      </c>
      <c r="AX69" s="46" t="n">
        <f aca="false">AV69-AW69</f>
        <v>0</v>
      </c>
      <c r="AY69" s="46" t="n">
        <f aca="false">AX69-MIN(AX68:AX71)</f>
        <v>0</v>
      </c>
      <c r="AZ69" s="46" t="n">
        <f aca="false">AT69/AT72*1000+AU69/AU72*100+AY69/AY72*10+AV69/AV72</f>
        <v>0</v>
      </c>
      <c r="BA69" s="46" t="n">
        <f aca="false">AZ69/AZ72</f>
        <v>0</v>
      </c>
      <c r="BB69" s="46" t="n">
        <f aca="false" t="array" ref="BB69:BB69">SUMPRODUCT(($S$7:$S$78=AE69&amp;"_win")*($X$7:$X$78))+SUMPRODUCT(($T$7:$T$78=AE69&amp;"_win")*($X$7:$X$78))</f>
        <v>0</v>
      </c>
      <c r="BC69" s="46" t="n">
        <f aca="false" t="array" ref="BC69:BC69">SUMPRODUCT(($S$7:$S$78=AE69&amp;"_draw")*($X$7:$X$78))+SUMPRODUCT(($T$7:$T$78=AE69&amp;"_draw")*($X$7:$X$78))</f>
        <v>0</v>
      </c>
      <c r="BD69" s="46" t="n">
        <f aca="false" t="array" ref="BD69:BD69">SUMPRODUCT(($E$7:$E$78=AE69)*($X$7:$X$78)*($F$7:$F$78))+SUMPRODUCT(($H$7:$H$78=AE69)*($X$7:$X$78)*($G$7:$G$78))</f>
        <v>0</v>
      </c>
      <c r="BE69" s="46" t="n">
        <f aca="false" t="array" ref="BE69:BE69">SUMPRODUCT(($E$7:$E$78=AE69)*($X$7:$X$78)*($G$7:$G$78))+SUMPRODUCT(($H$7:$H$78=AE69)*($X$7:$X$78)*($F$7:$F$78))</f>
        <v>0</v>
      </c>
      <c r="BF69" s="46" t="n">
        <f aca="false">BD69-BE69</f>
        <v>0</v>
      </c>
      <c r="BG69" s="46" t="n">
        <f aca="false">BF69-MIN(BF68:BF71)</f>
        <v>0</v>
      </c>
      <c r="BH69" s="46" t="n">
        <f aca="false">BB69/BB72*1000+BC69/BC72*100+BG69/BG72*10+BD69/BD72</f>
        <v>0</v>
      </c>
      <c r="BI69" s="46" t="n">
        <f aca="false">BH69/BH72</f>
        <v>0</v>
      </c>
      <c r="BK69" s="74" t="str">
        <f aca="false" t="array" ref="BK69: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74"/>
      <c r="BM69" s="74"/>
      <c r="BN69" s="74"/>
      <c r="BO69" s="92"/>
      <c r="BP69" s="96" t="n">
        <f aca="false">DATE(2026,7,3)+TIME(14,30,0)+gmt_delta</f>
        <v>46207.1458333333</v>
      </c>
      <c r="BQ69" s="97"/>
      <c r="BR69" s="82"/>
      <c r="BS69" s="87" t="str">
        <f aca="false">IF(BP70&gt;BP71,BL70,IF(BP70&lt;BP71,BL71,""))</f>
        <v>Portugal</v>
      </c>
      <c r="BT69" s="88" t="n">
        <v>1</v>
      </c>
      <c r="BU69" s="89"/>
      <c r="BV69" s="90"/>
      <c r="BW69" s="47" t="n">
        <f aca="false">IF(BW68="","",BT69*1000+BU69*10+BV69)</f>
        <v>1000</v>
      </c>
      <c r="CE69" s="105"/>
      <c r="CF69" s="105"/>
      <c r="CG69" s="105"/>
      <c r="CH69" s="105"/>
      <c r="CI69" s="105"/>
      <c r="CJ69" s="105"/>
      <c r="CK69" s="106"/>
      <c r="CL69" s="106"/>
      <c r="CM69" s="106"/>
      <c r="CN69" s="106"/>
      <c r="CO69" s="106"/>
      <c r="CP69" s="106"/>
      <c r="CQ69" s="106"/>
    </row>
    <row r="70" customFormat="false" ht="14.25" hidden="false" customHeight="true" outlineLevel="0" collapsed="false">
      <c r="A70" s="63" t="n">
        <v>64</v>
      </c>
      <c r="B70" s="64" t="str">
        <f aca="false" t="array" ref="B70:B70">INDEX(T,18+INT(MOD(R70-1,7)),lang)</f>
        <v>Sat</v>
      </c>
      <c r="C70" s="65" t="str">
        <f aca="false" t="array" ref="C70:C70">INDEX(T,24+MONTH(R70),lang) &amp; " " &amp; DAY(R70) &amp; ", " &amp; YEAR(R70)</f>
        <v>Jun 27, 2026</v>
      </c>
      <c r="D70" s="66" t="n">
        <f aca="false">TIME(HOUR(R70),MINUTE(R70),0)</f>
        <v>0.208333333333333</v>
      </c>
      <c r="E70" s="67" t="str">
        <f aca="false">AE47</f>
        <v>New Zealand</v>
      </c>
      <c r="F70" s="68" t="n">
        <v>0</v>
      </c>
      <c r="G70" s="69" t="n">
        <v>2</v>
      </c>
      <c r="H70" s="70" t="str">
        <f aca="false">AE44</f>
        <v>Belgium</v>
      </c>
      <c r="I70" s="102"/>
      <c r="J70" s="79" t="str">
        <f aca="false">VLOOKUP(2,AD68:AN71,2,FALSE())</f>
        <v>Colombia</v>
      </c>
      <c r="K70" s="80" t="n">
        <f aca="false">L70+M70+N70</f>
        <v>3</v>
      </c>
      <c r="L70" s="80" t="n">
        <f aca="false">VLOOKUP(2,AD68:AN71,3,FALSE())</f>
        <v>2</v>
      </c>
      <c r="M70" s="80" t="n">
        <f aca="false">VLOOKUP(2,AD68:AN71,4,FALSE())</f>
        <v>0</v>
      </c>
      <c r="N70" s="80" t="n">
        <f aca="false">VLOOKUP(2,AD68:AN71,5,FALSE())</f>
        <v>1</v>
      </c>
      <c r="O70" s="80" t="str">
        <f aca="false">VLOOKUP(2,AD68:AN71,6,FALSE()) &amp; " - " &amp; VLOOKUP(2,AD68:AN71,7,FALSE())</f>
        <v>4 - 1</v>
      </c>
      <c r="P70" s="81" t="n">
        <f aca="false">L70*3+M70</f>
        <v>6</v>
      </c>
      <c r="R70" s="42" t="n">
        <f aca="false">DATE(2026,6,26)+TIME(16,0,0)+gmt_delta</f>
        <v>46200.2083333333</v>
      </c>
      <c r="S70" s="43" t="str">
        <f aca="false">IF(OR(F70="",G70=""),"",IF(F70&gt;G70,E70&amp;"_win",IF(F70&lt;G70,E70&amp;"_lose",E70&amp;"_draw")))</f>
        <v>New Zealand_lose</v>
      </c>
      <c r="T70" s="43" t="str">
        <f aca="false">IF(S70="","",IF(F70&lt;G70,H70&amp;"_win",IF(F70&gt;G70,H70&amp;"_lose",H70&amp;"_draw")))</f>
        <v>Belgium_win</v>
      </c>
      <c r="U70" s="42" t="n">
        <f aca="false">IF(S70="",0,IF(VLOOKUP(E70,$AE$8:$AN$77,10,FALSE())=VLOOKUP(H70,$AE$8:$AN$77,10,FALSE()),1,0))</f>
        <v>0</v>
      </c>
      <c r="V70" s="42" t="n">
        <f aca="false">U70*F70</f>
        <v>0</v>
      </c>
      <c r="W70" s="42" t="n">
        <f aca="false">U70*G70</f>
        <v>0</v>
      </c>
      <c r="X70" s="42" t="n">
        <f aca="false">IF(S70="",0,IF(VLOOKUP(E70,$AE$8:$AO$77,11,FALSE())=VLOOKUP(H70,$AE$8:$AO$77,11,FALSE()),1,0))</f>
        <v>0</v>
      </c>
      <c r="Y70" s="42" t="n">
        <f aca="false">X70*F70</f>
        <v>0</v>
      </c>
      <c r="Z70" s="42" t="n">
        <f aca="false">X70*G70</f>
        <v>0</v>
      </c>
      <c r="AA70" s="42" t="n">
        <f aca="false">IF(OR(E70=my_team,H70=my_team),1,IF(INT(MATCH(E70,$AE$8:$AE$78,0)/6)=$AA$6,1,0))</f>
        <v>0</v>
      </c>
      <c r="AB70" s="42" t="n">
        <f aca="false">IF(OR(F70="",G70=""),"",IF(F70&gt;G70,1,IF(F70&lt;G70,-1,0)))</f>
        <v>-1</v>
      </c>
      <c r="AD70" s="42" t="n">
        <f aca="false">COUNTIF(AR68:AR71,CONCATENATE("&gt;=",AR70))</f>
        <v>4</v>
      </c>
      <c r="AE70" s="44" t="str">
        <f aca="false">VLOOKUP("Uzbekistan",T,lang,FALSE())</f>
        <v>Uzbekistan</v>
      </c>
      <c r="AF70" s="42" t="n">
        <f aca="false">COUNTIF($S$7:$T$78,"=" &amp; AE70 &amp; "_win")</f>
        <v>0</v>
      </c>
      <c r="AG70" s="42" t="n">
        <f aca="false">COUNTIF($S$7:$T$78,"=" &amp; AE70 &amp; "_draw")</f>
        <v>0</v>
      </c>
      <c r="AH70" s="42" t="n">
        <f aca="false">COUNTIF($S$7:$T$78,"=" &amp; AE70 &amp; "_lose")</f>
        <v>3</v>
      </c>
      <c r="AI70" s="42" t="n">
        <f aca="false">SUMIF($E$7:$E$78,$AE70,$F$7:$F$78) + SUMIF($H$7:$H$78,$AE70,$G$7:$G$78)</f>
        <v>0</v>
      </c>
      <c r="AJ70" s="42" t="n">
        <f aca="false">SUMIF($E$7:$E$78,$AE70,$G$7:$G$78) + SUMIF($H$7:$H$78,$AE70,$F$7:$F$78)</f>
        <v>5</v>
      </c>
      <c r="AL70" s="42" t="n">
        <f aca="false">AI70-AJ70</f>
        <v>-5</v>
      </c>
      <c r="AM70" s="42" t="n">
        <f aca="false">AL70-AL72</f>
        <v>0</v>
      </c>
      <c r="AN70" s="42" t="n">
        <f aca="false">AF70*3+AG70</f>
        <v>0</v>
      </c>
      <c r="AO70" s="42" t="n">
        <f aca="false">AN70/AN72*10+BA70</f>
        <v>0</v>
      </c>
      <c r="AP70" s="42" t="n">
        <f aca="false">AO70*10000000+BI70*100+AM70/AM72*10+AI70/AI72*1++IF(AQ70=0,ROW(),AQ70)/2000000</f>
        <v>0.00073267</v>
      </c>
      <c r="AQ70" s="46" t="n">
        <f aca="false">VLOOKUP(AE70,db_fifarank,2,FALSE())</f>
        <v>1465.34</v>
      </c>
      <c r="AR70" s="45" t="n">
        <f aca="false">AP70/AP72</f>
        <v>8.14077678956668E-012</v>
      </c>
      <c r="AT70" s="46" t="n">
        <f aca="false" t="array" ref="AT70:AT70">SUMPRODUCT(($S$7:$S$78=AE70&amp;"_win")*($U$7:$U$78))+SUMPRODUCT(($T$7:$T$78=AE70&amp;"_win")*($U$7:$U$78))</f>
        <v>0</v>
      </c>
      <c r="AU70" s="46" t="n">
        <f aca="false" t="array" ref="AU70:AU70">SUMPRODUCT(($S$7:$S$78=AE70&amp;"_draw")*($U$7:$U$78))+SUMPRODUCT(($T$7:$T$78=AE70&amp;"_draw")*($U$7:$U$78))</f>
        <v>0</v>
      </c>
      <c r="AV70" s="46" t="n">
        <f aca="false" t="array" ref="AV70:AV70">SUMPRODUCT(($E$7:$E$78=AE70)*($U$7:$U$78)*($F$7:$F$78))+SUMPRODUCT(($H$7:$H$78=AE70)*($U$7:$U$78)*($G$7:$G$78))</f>
        <v>0</v>
      </c>
      <c r="AW70" s="46" t="n">
        <f aca="false" t="array" ref="AW70:AW70">SUMPRODUCT(($E$7:$E$78=AE70)*($U$7:$U$78)*($G$7:$G$78))+SUMPRODUCT(($H$7:$H$78=AE70)*($U$7:$U$78)*($F$7:$F$78))</f>
        <v>0</v>
      </c>
      <c r="AX70" s="46" t="n">
        <f aca="false">AV70-AW70</f>
        <v>0</v>
      </c>
      <c r="AY70" s="46" t="n">
        <f aca="false">AX70-MIN(AX68:AX71)</f>
        <v>0</v>
      </c>
      <c r="AZ70" s="46" t="n">
        <f aca="false">AT70/AT72*1000+AU70/AU72*100+AY70/AY72*10+AV70/AV72</f>
        <v>0</v>
      </c>
      <c r="BA70" s="46" t="n">
        <f aca="false">AZ70/AZ72</f>
        <v>0</v>
      </c>
      <c r="BB70" s="46" t="n">
        <f aca="false" t="array" ref="BB70:BB70">SUMPRODUCT(($S$7:$S$78=AE70&amp;"_win")*($X$7:$X$78))+SUMPRODUCT(($T$7:$T$78=AE70&amp;"_win")*($X$7:$X$78))</f>
        <v>0</v>
      </c>
      <c r="BC70" s="46" t="n">
        <f aca="false" t="array" ref="BC70:BC70">SUMPRODUCT(($S$7:$S$78=AE70&amp;"_draw")*($X$7:$X$78))+SUMPRODUCT(($T$7:$T$78=AE70&amp;"_draw")*($X$7:$X$78))</f>
        <v>0</v>
      </c>
      <c r="BD70" s="46" t="n">
        <f aca="false" t="array" ref="BD70:BD70">SUMPRODUCT(($E$7:$E$78=AE70)*($X$7:$X$78)*($F$7:$F$78))+SUMPRODUCT(($H$7:$H$78=AE70)*($X$7:$X$78)*($G$7:$G$78))</f>
        <v>0</v>
      </c>
      <c r="BE70" s="46" t="n">
        <f aca="false" t="array" ref="BE70:BE70">SUMPRODUCT(($E$7:$E$78=AE70)*($X$7:$X$78)*($G$7:$G$78))+SUMPRODUCT(($H$7:$H$78=AE70)*($X$7:$X$78)*($F$7:$F$78))</f>
        <v>0</v>
      </c>
      <c r="BF70" s="46" t="n">
        <f aca="false">BD70-BE70</f>
        <v>0</v>
      </c>
      <c r="BG70" s="46" t="n">
        <f aca="false">BF70-MIN(BF68:BF71)</f>
        <v>0</v>
      </c>
      <c r="BH70" s="46" t="n">
        <f aca="false">BB70/BB72*1000+BC70/BC72*100+BG70/BG72*10+BD70/BD72</f>
        <v>0</v>
      </c>
      <c r="BI70" s="46" t="n">
        <f aca="false">BH70/BH72</f>
        <v>0</v>
      </c>
      <c r="BK70" s="82" t="n">
        <v>87</v>
      </c>
      <c r="BL70" s="83" t="str">
        <f aca="false">AS68</f>
        <v>Portugal</v>
      </c>
      <c r="BM70" s="84" t="n">
        <v>1</v>
      </c>
      <c r="BN70" s="85"/>
      <c r="BO70" s="86"/>
      <c r="BP70" s="98" t="n">
        <f aca="false">IF(OR(BM70="",BM71="",AND(BN70="",BN71&lt;&gt;""),AND(BN71="",BN70&lt;&gt;""),AND(BO70="",BO71&lt;&gt;""),AND(BO71="",BO70&lt;&gt;"")),"",BM70*1000+BN70*10+BO70)</f>
        <v>1000</v>
      </c>
      <c r="BQ70" s="47"/>
      <c r="BW70" s="47"/>
    </row>
    <row r="71" customFormat="false" ht="14.25" hidden="false" customHeight="true" outlineLevel="0" collapsed="false">
      <c r="A71" s="63" t="n">
        <v>65</v>
      </c>
      <c r="B71" s="64" t="str">
        <f aca="false" t="array" ref="B71:B71">INDEX(T,18+INT(MOD(R71-1,7)),lang)</f>
        <v>Sat</v>
      </c>
      <c r="C71" s="65" t="str">
        <f aca="false" t="array" ref="C71:C71">INDEX(T,24+MONTH(R71),lang) &amp; " " &amp; DAY(R71) &amp; ", " &amp; YEAR(R71)</f>
        <v>Jun 27, 2026</v>
      </c>
      <c r="D71" s="66" t="n">
        <f aca="false">TIME(HOUR(R71),MINUTE(R71),0)</f>
        <v>0.0833333333333333</v>
      </c>
      <c r="E71" s="67" t="str">
        <f aca="false">AE51</f>
        <v>Cape Verde</v>
      </c>
      <c r="F71" s="68" t="n">
        <v>0</v>
      </c>
      <c r="G71" s="69" t="n">
        <v>1</v>
      </c>
      <c r="H71" s="70" t="str">
        <f aca="false">AE52</f>
        <v>Saudi Arabia</v>
      </c>
      <c r="I71" s="102"/>
      <c r="J71" s="79" t="str">
        <f aca="false">VLOOKUP(3,AD68:AN71,2,FALSE())</f>
        <v>DR Congo</v>
      </c>
      <c r="K71" s="80" t="n">
        <f aca="false">L71+M71+N71</f>
        <v>3</v>
      </c>
      <c r="L71" s="80" t="n">
        <f aca="false">VLOOKUP(3,AD68:AN71,3,FALSE())</f>
        <v>1</v>
      </c>
      <c r="M71" s="80" t="n">
        <f aca="false">VLOOKUP(3,AD68:AN71,4,FALSE())</f>
        <v>0</v>
      </c>
      <c r="N71" s="80" t="n">
        <f aca="false">VLOOKUP(3,AD68:AN71,5,FALSE())</f>
        <v>2</v>
      </c>
      <c r="O71" s="80" t="str">
        <f aca="false">VLOOKUP(3,AD68:AN71,6,FALSE()) &amp; " - " &amp; VLOOKUP(3,AD68:AN71,7,FALSE())</f>
        <v>1 - 4</v>
      </c>
      <c r="P71" s="81" t="n">
        <f aca="false">L71*3+M71</f>
        <v>3</v>
      </c>
      <c r="R71" s="42" t="n">
        <f aca="false">DATE(2026,6,26)+TIME(13,0,0)+gmt_delta</f>
        <v>46200.0833333333</v>
      </c>
      <c r="S71" s="43" t="str">
        <f aca="false">IF(OR(F71="",G71=""),"",IF(F71&gt;G71,E71&amp;"_win",IF(F71&lt;G71,E71&amp;"_lose",E71&amp;"_draw")))</f>
        <v>Cape Verde_lose</v>
      </c>
      <c r="T71" s="43" t="str">
        <f aca="false">IF(S71="","",IF(F71&lt;G71,H71&amp;"_win",IF(F71&gt;G71,H71&amp;"_lose",H71&amp;"_draw")))</f>
        <v>Saudi Arabia_win</v>
      </c>
      <c r="U71" s="42" t="n">
        <f aca="false">IF(S71="",0,IF(VLOOKUP(E71,$AE$8:$AN$77,10,FALSE())=VLOOKUP(H71,$AE$8:$AN$77,10,FALSE()),1,0))</f>
        <v>0</v>
      </c>
      <c r="V71" s="42" t="n">
        <f aca="false">U71*F71</f>
        <v>0</v>
      </c>
      <c r="W71" s="42" t="n">
        <f aca="false">U71*G71</f>
        <v>0</v>
      </c>
      <c r="X71" s="42" t="n">
        <f aca="false">IF(S71="",0,IF(VLOOKUP(E71,$AE$8:$AO$77,11,FALSE())=VLOOKUP(H71,$AE$8:$AO$77,11,FALSE()),1,0))</f>
        <v>0</v>
      </c>
      <c r="Y71" s="42" t="n">
        <f aca="false">X71*F71</f>
        <v>0</v>
      </c>
      <c r="Z71" s="42" t="n">
        <f aca="false">X71*G71</f>
        <v>0</v>
      </c>
      <c r="AA71" s="42" t="n">
        <f aca="false">IF(OR(E71=my_team,H71=my_team),1,IF(INT(MATCH(E71,$AE$8:$AE$78,0)/6)=$AA$6,1,0))</f>
        <v>0</v>
      </c>
      <c r="AB71" s="42" t="n">
        <f aca="false">IF(OR(F71="",G71=""),"",IF(F71&gt;G71,1,IF(F71&lt;G71,-1,0)))</f>
        <v>-1</v>
      </c>
      <c r="AD71" s="42" t="n">
        <f aca="false">COUNTIF(AR68:AR71,CONCATENATE("&gt;=",AR71))</f>
        <v>2</v>
      </c>
      <c r="AE71" s="44" t="str">
        <f aca="false">VLOOKUP("Colombia",T,lang,FALSE())</f>
        <v>Colombia</v>
      </c>
      <c r="AF71" s="42" t="n">
        <f aca="false">COUNTIF($S$7:$T$78,"=" &amp; AE71 &amp; "_win")</f>
        <v>2</v>
      </c>
      <c r="AG71" s="42" t="n">
        <f aca="false">COUNTIF($S$7:$T$78,"=" &amp; AE71 &amp; "_draw")</f>
        <v>0</v>
      </c>
      <c r="AH71" s="42" t="n">
        <f aca="false">COUNTIF($S$7:$T$78,"=" &amp; AE71 &amp; "_lose")</f>
        <v>1</v>
      </c>
      <c r="AI71" s="42" t="n">
        <f aca="false">SUMIF($E$7:$E$78,$AE71,$F$7:$F$78) + SUMIF($H$7:$H$78,$AE71,$G$7:$G$78)</f>
        <v>4</v>
      </c>
      <c r="AJ71" s="42" t="n">
        <f aca="false">SUMIF($E$7:$E$78,$AE71,$G$7:$G$78) + SUMIF($H$7:$H$78,$AE71,$F$7:$F$78)</f>
        <v>1</v>
      </c>
      <c r="AL71" s="42" t="n">
        <f aca="false">AI71-AJ71</f>
        <v>3</v>
      </c>
      <c r="AM71" s="42" t="n">
        <f aca="false">AL71-AL72</f>
        <v>8</v>
      </c>
      <c r="AN71" s="42" t="n">
        <f aca="false">AF71*3+AG71</f>
        <v>6</v>
      </c>
      <c r="AO71" s="42" t="n">
        <f aca="false">AN71/AN72*10+BA71</f>
        <v>6</v>
      </c>
      <c r="AP71" s="42" t="n">
        <f aca="false">AO71*10000000+BI71*100+AM71/AM72*10+AI71/AI72*1++IF(AQ71=0,ROW(),AQ71)/2000000</f>
        <v>60000007.9402405</v>
      </c>
      <c r="AQ71" s="46" t="n">
        <f aca="false">VLOOKUP(AE71,db_fifarank,2,FALSE())</f>
        <v>1693.09</v>
      </c>
      <c r="AR71" s="45" t="n">
        <f aca="false">AP71/AP72</f>
        <v>0.666666673964713</v>
      </c>
      <c r="AT71" s="46" t="n">
        <f aca="false" t="array" ref="AT71:AT71">SUMPRODUCT(($S$7:$S$78=AE71&amp;"_win")*($U$7:$U$78))+SUMPRODUCT(($T$7:$T$78=AE71&amp;"_win")*($U$7:$U$78))</f>
        <v>0</v>
      </c>
      <c r="AU71" s="46" t="n">
        <f aca="false" t="array" ref="AU71:AU71">SUMPRODUCT(($S$7:$S$78=AE71&amp;"_draw")*($U$7:$U$78))+SUMPRODUCT(($T$7:$T$78=AE71&amp;"_draw")*($U$7:$U$78))</f>
        <v>0</v>
      </c>
      <c r="AV71" s="46" t="n">
        <f aca="false" t="array" ref="AV71:AV71">SUMPRODUCT(($E$7:$E$78=AE71)*($U$7:$U$78)*($F$7:$F$78))+SUMPRODUCT(($H$7:$H$78=AE71)*($U$7:$U$78)*($G$7:$G$78))</f>
        <v>0</v>
      </c>
      <c r="AW71" s="46" t="n">
        <f aca="false" t="array" ref="AW71:AW71">SUMPRODUCT(($E$7:$E$78=AE71)*($U$7:$U$78)*($G$7:$G$78))+SUMPRODUCT(($H$7:$H$78=AE71)*($U$7:$U$78)*($F$7:$F$78))</f>
        <v>0</v>
      </c>
      <c r="AX71" s="46" t="n">
        <f aca="false">AV71-AW71</f>
        <v>0</v>
      </c>
      <c r="AY71" s="46" t="n">
        <f aca="false">AX71-MIN(AX68:AX71)</f>
        <v>0</v>
      </c>
      <c r="AZ71" s="46" t="n">
        <f aca="false">AT71/AT72*1000+AU71/AU72*100+AY71/AY72*10+AV71/AV72</f>
        <v>0</v>
      </c>
      <c r="BA71" s="46" t="n">
        <f aca="false">AZ71/AZ72</f>
        <v>0</v>
      </c>
      <c r="BB71" s="46" t="n">
        <f aca="false" t="array" ref="BB71:BB71">SUMPRODUCT(($S$7:$S$78=AE71&amp;"_win")*($X$7:$X$78))+SUMPRODUCT(($T$7:$T$78=AE71&amp;"_win")*($X$7:$X$78))</f>
        <v>0</v>
      </c>
      <c r="BC71" s="46" t="n">
        <f aca="false" t="array" ref="BC71:BC71">SUMPRODUCT(($S$7:$S$78=AE71&amp;"_draw")*($X$7:$X$78))+SUMPRODUCT(($T$7:$T$78=AE71&amp;"_draw")*($X$7:$X$78))</f>
        <v>0</v>
      </c>
      <c r="BD71" s="46" t="n">
        <f aca="false" t="array" ref="BD71:BD71">SUMPRODUCT(($E$7:$E$78=AE71)*($X$7:$X$78)*($F$7:$F$78))+SUMPRODUCT(($H$7:$H$78=AE71)*($X$7:$X$78)*($G$7:$G$78))</f>
        <v>0</v>
      </c>
      <c r="BE71" s="46" t="n">
        <f aca="false" t="array" ref="BE71:BE71">SUMPRODUCT(($E$7:$E$78=AE71)*($X$7:$X$78)*($G$7:$G$78))+SUMPRODUCT(($H$7:$H$78=AE71)*($X$7:$X$78)*($F$7:$F$78))</f>
        <v>0</v>
      </c>
      <c r="BF71" s="46" t="n">
        <f aca="false">BD71-BE71</f>
        <v>0</v>
      </c>
      <c r="BG71" s="46" t="n">
        <f aca="false">BF71-MIN(BF68:BF71)</f>
        <v>0</v>
      </c>
      <c r="BH71" s="46" t="n">
        <f aca="false">BB71/BB72*1000+BC71/BC72*100+BG71/BG72*10+BD71/BD72</f>
        <v>0</v>
      </c>
      <c r="BI71" s="46" t="n">
        <f aca="false">BH71/BH72</f>
        <v>0</v>
      </c>
      <c r="BK71" s="82"/>
      <c r="BL71" s="87" t="str">
        <f aca="false">IF(group_round_completed,VLOOKUP('3rd places'!J3,AK80:AS91,9,FALSE()),"3rd Group D/E/I/J/L")</f>
        <v>Panama</v>
      </c>
      <c r="BM71" s="88" t="n">
        <v>0</v>
      </c>
      <c r="BN71" s="89"/>
      <c r="BO71" s="90"/>
      <c r="BP71" s="47" t="n">
        <f aca="false">IF(BP70="","",BM71*1000+BN71*10+BO71)</f>
        <v>0</v>
      </c>
      <c r="BQ71" s="47"/>
    </row>
    <row r="72" customFormat="false" ht="14.25" hidden="false" customHeight="true" outlineLevel="0" collapsed="false">
      <c r="A72" s="63" t="n">
        <v>66</v>
      </c>
      <c r="B72" s="64" t="str">
        <f aca="false" t="array" ref="B72:B72">INDEX(T,18+INT(MOD(R72-1,7)),lang)</f>
        <v>Sat</v>
      </c>
      <c r="C72" s="65" t="str">
        <f aca="false" t="array" ref="C72:C72">INDEX(T,24+MONTH(R72),lang) &amp; " " &amp; DAY(R72) &amp; ", " &amp; YEAR(R72)</f>
        <v>Jun 27, 2026</v>
      </c>
      <c r="D72" s="66" t="n">
        <f aca="false">TIME(HOUR(R72),MINUTE(R72),0)</f>
        <v>0.0833333333333333</v>
      </c>
      <c r="E72" s="67" t="str">
        <f aca="false">AE53</f>
        <v>Uruguay</v>
      </c>
      <c r="F72" s="68" t="n">
        <v>0</v>
      </c>
      <c r="G72" s="69" t="n">
        <v>2</v>
      </c>
      <c r="H72" s="70" t="str">
        <f aca="false">AE50</f>
        <v>Spain</v>
      </c>
      <c r="I72" s="102"/>
      <c r="J72" s="93" t="str">
        <f aca="false">VLOOKUP(4,AD68:AN71,2,FALSE())</f>
        <v>Uzbekistan</v>
      </c>
      <c r="K72" s="94" t="n">
        <f aca="false">L72+M72+N72</f>
        <v>3</v>
      </c>
      <c r="L72" s="94" t="n">
        <f aca="false">VLOOKUP(4,AD68:AN71,3,FALSE())</f>
        <v>0</v>
      </c>
      <c r="M72" s="94" t="n">
        <f aca="false">VLOOKUP(4,AD68:AN71,4,FALSE())</f>
        <v>0</v>
      </c>
      <c r="N72" s="94" t="n">
        <f aca="false">VLOOKUP(4,AD68:AN71,5,FALSE())</f>
        <v>3</v>
      </c>
      <c r="O72" s="94" t="str">
        <f aca="false">VLOOKUP(4,AD68:AN71,6,FALSE()) &amp; " - " &amp; VLOOKUP(4,AD68:AN71,7,FALSE())</f>
        <v>0 - 5</v>
      </c>
      <c r="P72" s="95" t="n">
        <f aca="false">L72*3+M72</f>
        <v>0</v>
      </c>
      <c r="R72" s="42" t="n">
        <f aca="false">DATE(2026,6,26)+TIME(13,0,0)+gmt_delta</f>
        <v>46200.0833333333</v>
      </c>
      <c r="S72" s="43" t="str">
        <f aca="false">IF(OR(F72="",G72=""),"",IF(F72&gt;G72,E72&amp;"_win",IF(F72&lt;G72,E72&amp;"_lose",E72&amp;"_draw")))</f>
        <v>Uruguay_lose</v>
      </c>
      <c r="T72" s="43" t="str">
        <f aca="false">IF(S72="","",IF(F72&lt;G72,H72&amp;"_win",IF(F72&gt;G72,H72&amp;"_lose",H72&amp;"_draw")))</f>
        <v>Spain_win</v>
      </c>
      <c r="U72" s="42" t="n">
        <f aca="false">IF(S72="",0,IF(VLOOKUP(E72,$AE$8:$AN$77,10,FALSE())=VLOOKUP(H72,$AE$8:$AN$77,10,FALSE()),1,0))</f>
        <v>0</v>
      </c>
      <c r="V72" s="42" t="n">
        <f aca="false">U72*F72</f>
        <v>0</v>
      </c>
      <c r="W72" s="42" t="n">
        <f aca="false">U72*G72</f>
        <v>0</v>
      </c>
      <c r="X72" s="42" t="n">
        <f aca="false">IF(S72="",0,IF(VLOOKUP(E72,$AE$8:$AO$77,11,FALSE())=VLOOKUP(H72,$AE$8:$AO$77,11,FALSE()),1,0))</f>
        <v>0</v>
      </c>
      <c r="Y72" s="42" t="n">
        <f aca="false">X72*F72</f>
        <v>0</v>
      </c>
      <c r="Z72" s="42" t="n">
        <f aca="false">X72*G72</f>
        <v>0</v>
      </c>
      <c r="AA72" s="42" t="n">
        <f aca="false">IF(OR(E72=my_team,H72=my_team),1,IF(INT(MATCH(E72,$AE$8:$AE$78,0)/6)=$AA$6,1,0))</f>
        <v>0</v>
      </c>
      <c r="AB72" s="42" t="n">
        <f aca="false">IF(OR(F72="",G72=""),"",IF(F72&gt;G72,1,IF(F72&lt;G72,-1,0)))</f>
        <v>-1</v>
      </c>
      <c r="AF72" s="42" t="n">
        <f aca="false">MAX(AF68:AF71)-MIN(AF68:AF71)+1</f>
        <v>4</v>
      </c>
      <c r="AG72" s="42" t="n">
        <f aca="false">MAX(AG68:AG71)-MIN(AG68:AG71)+1</f>
        <v>1</v>
      </c>
      <c r="AH72" s="42" t="n">
        <f aca="false">MAX(AH68:AH71)-MIN(AH68:AH71)+1</f>
        <v>4</v>
      </c>
      <c r="AI72" s="42" t="n">
        <f aca="false">MAX(AI68:AI71)+1</f>
        <v>6</v>
      </c>
      <c r="AL72" s="42" t="n">
        <f aca="false">MIN(AL68:AL71)</f>
        <v>-5</v>
      </c>
      <c r="AM72" s="42" t="n">
        <f aca="false">MAX(AM68:AM71)+1</f>
        <v>11</v>
      </c>
      <c r="AN72" s="42" t="n">
        <f aca="false">MAX(AN68:AN71)+1</f>
        <v>10</v>
      </c>
      <c r="AO72" s="42" t="n">
        <f aca="false">MAX(AO68:AO71)+1</f>
        <v>10</v>
      </c>
      <c r="AP72" s="42" t="n">
        <f aca="false">MAX(AP68:AP71)+1</f>
        <v>90000010.9251243</v>
      </c>
      <c r="AT72" s="46" t="n">
        <f aca="false">MAX(AT68:AT71)-MIN(AT68:AT71)+1</f>
        <v>1</v>
      </c>
      <c r="AU72" s="46" t="n">
        <f aca="false">MAX(AU68:AU71)-MIN(AU68:AU71)+1</f>
        <v>1</v>
      </c>
      <c r="AV72" s="46" t="n">
        <f aca="false">MAX(AV68:AV71)-MIN(AV68:AV71)+1</f>
        <v>1</v>
      </c>
      <c r="AW72" s="46" t="n">
        <f aca="false">MAX(AW68:AW71)-MIN(AW68:AW71)+1</f>
        <v>1</v>
      </c>
      <c r="AY72" s="46" t="n">
        <f aca="false">MAX(AY68:AY71)-MIN(AY68:AY71)+1</f>
        <v>1</v>
      </c>
      <c r="AZ72" s="46" t="n">
        <f aca="false">MAX(AZ68:AZ71)+1</f>
        <v>1</v>
      </c>
      <c r="BB72" s="46" t="n">
        <f aca="false">MAX(BB68:BB71)-MIN(BB68:BB71)+1</f>
        <v>1</v>
      </c>
      <c r="BC72" s="46" t="n">
        <f aca="false">MAX(BC68:BC71)-MIN(BC68:BC71)+1</f>
        <v>1</v>
      </c>
      <c r="BD72" s="46" t="n">
        <f aca="false">MAX(BD68:BD71)-MIN(BD68:BD71)+1</f>
        <v>1</v>
      </c>
      <c r="BE72" s="46" t="n">
        <f aca="false">MAX(BE68:BE71)-MIN(BE68:BE71)+1</f>
        <v>1</v>
      </c>
      <c r="BG72" s="46" t="n">
        <f aca="false">MAX(BG68:BG71)-MIN(BG68:BG71)+1</f>
        <v>1</v>
      </c>
      <c r="BH72" s="46" t="n">
        <f aca="false">MAX(BH68:BH71)+1</f>
        <v>1</v>
      </c>
    </row>
    <row r="73" customFormat="false" ht="14.25" hidden="false" customHeight="true" outlineLevel="0" collapsed="false">
      <c r="A73" s="63" t="n">
        <v>67</v>
      </c>
      <c r="B73" s="64" t="str">
        <f aca="false" t="array" ref="B73:B73">INDEX(T,18+INT(MOD(R73-1,7)),lang)</f>
        <v>Sat</v>
      </c>
      <c r="C73" s="65" t="str">
        <f aca="false" t="array" ref="C73:C73">INDEX(T,24+MONTH(R73),lang) &amp; " " &amp; DAY(R73) &amp; ", " &amp; YEAR(R73)</f>
        <v>Jun 27, 2026</v>
      </c>
      <c r="D73" s="66" t="n">
        <f aca="false">TIME(HOUR(R73),MINUTE(R73),0)</f>
        <v>0.958333333333333</v>
      </c>
      <c r="E73" s="67" t="str">
        <f aca="false">AE77</f>
        <v>Panama</v>
      </c>
      <c r="F73" s="68" t="n">
        <v>0</v>
      </c>
      <c r="G73" s="69" t="n">
        <v>2</v>
      </c>
      <c r="H73" s="70" t="str">
        <f aca="false">AE74</f>
        <v>England</v>
      </c>
      <c r="I73" s="102"/>
      <c r="J73" s="103"/>
      <c r="K73" s="104"/>
      <c r="L73" s="104"/>
      <c r="M73" s="104"/>
      <c r="N73" s="104"/>
      <c r="O73" s="104"/>
      <c r="P73" s="104"/>
      <c r="R73" s="42" t="n">
        <f aca="false">DATE(2026,6,27)+TIME(10,0,0)+gmt_delta</f>
        <v>46200.9583333333</v>
      </c>
      <c r="S73" s="43" t="str">
        <f aca="false">IF(OR(F73="",G73=""),"",IF(F73&gt;G73,E73&amp;"_win",IF(F73&lt;G73,E73&amp;"_lose",E73&amp;"_draw")))</f>
        <v>Panama_lose</v>
      </c>
      <c r="T73" s="43" t="str">
        <f aca="false">IF(S73="","",IF(F73&lt;G73,H73&amp;"_win",IF(F73&gt;G73,H73&amp;"_lose",H73&amp;"_draw")))</f>
        <v>England_win</v>
      </c>
      <c r="U73" s="42" t="n">
        <f aca="false">IF(S73="",0,IF(VLOOKUP(E73,$AE$8:$AN$77,10,FALSE())=VLOOKUP(H73,$AE$8:$AN$77,10,FALSE()),1,0))</f>
        <v>0</v>
      </c>
      <c r="V73" s="42" t="n">
        <f aca="false">U73*F73</f>
        <v>0</v>
      </c>
      <c r="W73" s="42" t="n">
        <f aca="false">U73*G73</f>
        <v>0</v>
      </c>
      <c r="X73" s="42" t="n">
        <f aca="false">IF(S73="",0,IF(VLOOKUP(E73,$AE$8:$AO$77,11,FALSE())=VLOOKUP(H73,$AE$8:$AO$77,11,FALSE()),1,0))</f>
        <v>0</v>
      </c>
      <c r="Y73" s="42" t="n">
        <f aca="false">X73*F73</f>
        <v>0</v>
      </c>
      <c r="Z73" s="42" t="n">
        <f aca="false">X73*G73</f>
        <v>0</v>
      </c>
      <c r="AA73" s="42" t="n">
        <f aca="false">IF(OR(E73=my_team,H73=my_team),1,IF(INT(MATCH(E73,$AE$8:$AE$78,0)/6)=$AA$6,1,0))</f>
        <v>0</v>
      </c>
      <c r="AB73" s="42" t="n">
        <f aca="false">IF(OR(F73="",G73=""),"",IF(F73&gt;G73,1,IF(F73&lt;G73,-1,0)))</f>
        <v>-1</v>
      </c>
    </row>
    <row r="74" customFormat="false" ht="14.25" hidden="false" customHeight="true" outlineLevel="0" collapsed="false">
      <c r="A74" s="63" t="n">
        <v>68</v>
      </c>
      <c r="B74" s="64" t="str">
        <f aca="false" t="array" ref="B74:B74">INDEX(T,18+INT(MOD(R74-1,7)),lang)</f>
        <v>Sat</v>
      </c>
      <c r="C74" s="65" t="str">
        <f aca="false" t="array" ref="C74:C74">INDEX(T,24+MONTH(R74),lang) &amp; " " &amp; DAY(R74) &amp; ", " &amp; YEAR(R74)</f>
        <v>Jun 27, 2026</v>
      </c>
      <c r="D74" s="66" t="n">
        <f aca="false">TIME(HOUR(R74),MINUTE(R74),0)</f>
        <v>0.958333333333333</v>
      </c>
      <c r="E74" s="67" t="str">
        <f aca="false">AE75</f>
        <v>Croatia</v>
      </c>
      <c r="F74" s="68" t="n">
        <v>2</v>
      </c>
      <c r="G74" s="69" t="n">
        <v>0</v>
      </c>
      <c r="H74" s="70" t="str">
        <f aca="false">AE76</f>
        <v>Ghana</v>
      </c>
      <c r="I74" s="102"/>
      <c r="J74" s="71" t="str">
        <f aca="false" t="array" ref="J74:J74">INDEX(T,9,lang) &amp; " " &amp; "L"</f>
        <v>Group L</v>
      </c>
      <c r="K74" s="72" t="str">
        <f aca="false" t="array" ref="K74:K74">INDEX(T,10,lang)</f>
        <v>PL</v>
      </c>
      <c r="L74" s="72" t="str">
        <f aca="false" t="array" ref="L74:L74">INDEX(T,11,lang)</f>
        <v>W</v>
      </c>
      <c r="M74" s="72" t="str">
        <f aca="false" t="array" ref="M74:M74">INDEX(T,12,lang)</f>
        <v>DRAW</v>
      </c>
      <c r="N74" s="72" t="str">
        <f aca="false" t="array" ref="N74:N74">INDEX(T,13,lang)</f>
        <v>L</v>
      </c>
      <c r="O74" s="72" t="str">
        <f aca="false" t="array" ref="O74:O74">INDEX(T,14,lang)</f>
        <v>GF - GA</v>
      </c>
      <c r="P74" s="73" t="str">
        <f aca="false" t="array" ref="P74:P74">INDEX(T,15,lang)</f>
        <v>PNT</v>
      </c>
      <c r="R74" s="42" t="n">
        <f aca="false">DATE(2026,6,27)+TIME(10,0,0)+gmt_delta</f>
        <v>46200.9583333333</v>
      </c>
      <c r="S74" s="43" t="str">
        <f aca="false">IF(OR(F74="",G74=""),"",IF(F74&gt;G74,E74&amp;"_win",IF(F74&lt;G74,E74&amp;"_lose",E74&amp;"_draw")))</f>
        <v>Croatia_win</v>
      </c>
      <c r="T74" s="43" t="str">
        <f aca="false">IF(S74="","",IF(F74&lt;G74,H74&amp;"_win",IF(F74&gt;G74,H74&amp;"_lose",H74&amp;"_draw")))</f>
        <v>Ghana_lose</v>
      </c>
      <c r="U74" s="42" t="n">
        <f aca="false">IF(S74="",0,IF(VLOOKUP(E74,$AE$8:$AN$77,10,FALSE())=VLOOKUP(H74,$AE$8:$AN$77,10,FALSE()),1,0))</f>
        <v>0</v>
      </c>
      <c r="V74" s="42" t="n">
        <f aca="false">U74*F74</f>
        <v>0</v>
      </c>
      <c r="W74" s="42" t="n">
        <f aca="false">U74*G74</f>
        <v>0</v>
      </c>
      <c r="X74" s="42" t="n">
        <f aca="false">IF(S74="",0,IF(VLOOKUP(E74,$AE$8:$AO$77,11,FALSE())=VLOOKUP(H74,$AE$8:$AO$77,11,FALSE()),1,0))</f>
        <v>0</v>
      </c>
      <c r="Y74" s="42" t="n">
        <f aca="false">X74*F74</f>
        <v>0</v>
      </c>
      <c r="Z74" s="42" t="n">
        <f aca="false">X74*G74</f>
        <v>0</v>
      </c>
      <c r="AA74" s="42" t="n">
        <f aca="false">IF(OR(E74=my_team,H74=my_team),1,IF(INT(MATCH(E74,$AE$8:$AE$78,0)/6)=$AA$6,1,0))</f>
        <v>0</v>
      </c>
      <c r="AB74" s="42" t="n">
        <f aca="false">IF(OR(F74="",G74=""),"",IF(F74&gt;G74,1,IF(F74&lt;G74,-1,0)))</f>
        <v>1</v>
      </c>
      <c r="AD74" s="42" t="n">
        <f aca="false">COUNTIF(AR74:AR77,CONCATENATE("&gt;=",AR74))</f>
        <v>1</v>
      </c>
      <c r="AE74" s="44" t="str">
        <f aca="false">VLOOKUP("England",T,lang,FALSE())</f>
        <v>England</v>
      </c>
      <c r="AF74" s="42" t="n">
        <f aca="false">COUNTIF($S$7:$T$78,"=" &amp; AE74 &amp; "_win")</f>
        <v>3</v>
      </c>
      <c r="AG74" s="42" t="n">
        <f aca="false">COUNTIF($S$7:$T$78,"=" &amp; AE74 &amp; "_draw")</f>
        <v>0</v>
      </c>
      <c r="AH74" s="42" t="n">
        <f aca="false">COUNTIF($S$7:$T$78,"=" &amp; AE74 &amp; "_lose")</f>
        <v>0</v>
      </c>
      <c r="AI74" s="42" t="n">
        <f aca="false">SUMIF($E$7:$E$78,$AE74,$F$7:$F$78) + SUMIF($H$7:$H$78,$AE74,$G$7:$G$78)</f>
        <v>6</v>
      </c>
      <c r="AJ74" s="42" t="n">
        <f aca="false">SUMIF($E$7:$E$78,$AE74,$G$7:$G$78) + SUMIF($H$7:$H$78,$AE74,$F$7:$F$78)</f>
        <v>1</v>
      </c>
      <c r="AL74" s="42" t="n">
        <f aca="false">AI74-AJ74</f>
        <v>5</v>
      </c>
      <c r="AM74" s="42" t="n">
        <f aca="false">AL74-AL78</f>
        <v>10</v>
      </c>
      <c r="AN74" s="42" t="n">
        <f aca="false">AF74*3+AG74</f>
        <v>9</v>
      </c>
      <c r="AO74" s="42" t="n">
        <f aca="false">AN74/AN78*10+BA74</f>
        <v>9</v>
      </c>
      <c r="AP74" s="42" t="n">
        <f aca="false">AO74*10000000+BI74*100+AM74/AM78*10+AI74/AI78*1++IF(AQ74=0,ROW(),AQ74)/2000000</f>
        <v>90000009.9489649</v>
      </c>
      <c r="AQ74" s="46" t="n">
        <f aca="false">VLOOKUP(AE74,db_fifarank,2,FALSE())</f>
        <v>1825.97</v>
      </c>
      <c r="AR74" s="45" t="n">
        <f aca="false">AP74/AP78</f>
        <v>0.99999998888889</v>
      </c>
      <c r="AS74" s="45" t="str">
        <f aca="false">IF(SUM(AF74:AH77)=12,J75,"1L")</f>
        <v>England</v>
      </c>
      <c r="AT74" s="46" t="n">
        <f aca="false" t="array" ref="AT74:AT74">SUMPRODUCT(($S$7:$S$78=AE74&amp;"_win")*($U$7:$U$78))+SUMPRODUCT(($T$7:$T$78=AE74&amp;"_win")*($U$7:$U$78))</f>
        <v>0</v>
      </c>
      <c r="AU74" s="46" t="n">
        <f aca="false" t="array" ref="AU74:AU74">SUMPRODUCT(($S$7:$S$78=AE74&amp;"_draw")*($U$7:$U$78))+SUMPRODUCT(($T$7:$T$78=AE74&amp;"_draw")*($U$7:$U$78))</f>
        <v>0</v>
      </c>
      <c r="AV74" s="46" t="n">
        <f aca="false" t="array" ref="AV74:AV74">SUMPRODUCT(($E$7:$E$78=AE74)*($U$7:$U$78)*($F$7:$F$78))+SUMPRODUCT(($H$7:$H$78=AE74)*($U$7:$U$78)*($G$7:$G$78))</f>
        <v>0</v>
      </c>
      <c r="AW74" s="46" t="n">
        <f aca="false" t="array" ref="AW74:AW74">SUMPRODUCT(($E$7:$E$78=AE74)*($U$7:$U$78)*($G$7:$G$78))+SUMPRODUCT(($H$7:$H$78=AE74)*($U$7:$U$78)*($F$7:$F$78))</f>
        <v>0</v>
      </c>
      <c r="AX74" s="46" t="n">
        <f aca="false">AV74-AW74</f>
        <v>0</v>
      </c>
      <c r="AY74" s="46" t="n">
        <f aca="false">AX74-MIN(AX74:AX77)</f>
        <v>0</v>
      </c>
      <c r="AZ74" s="46" t="n">
        <f aca="false">AT74/AT78*1000+AU74/AU78*100+AY74/AY78*10+AV74/AV78</f>
        <v>0</v>
      </c>
      <c r="BA74" s="46" t="n">
        <f aca="false">AZ74/AZ78</f>
        <v>0</v>
      </c>
      <c r="BB74" s="46" t="n">
        <f aca="false" t="array" ref="BB74:BB74">SUMPRODUCT(($S$7:$S$78=AE74&amp;"_win")*($X$7:$X$78))+SUMPRODUCT(($T$7:$T$78=AE74&amp;"_win")*($X$7:$X$78))</f>
        <v>0</v>
      </c>
      <c r="BC74" s="46" t="n">
        <f aca="false" t="array" ref="BC74:BC74">SUMPRODUCT(($S$7:$S$78=AE74&amp;"_draw")*($X$7:$X$78))+SUMPRODUCT(($T$7:$T$78=AE74&amp;"_draw")*($X$7:$X$78))</f>
        <v>0</v>
      </c>
      <c r="BD74" s="46" t="n">
        <f aca="false" t="array" ref="BD74:BD74">SUMPRODUCT(($E$7:$E$78=AE74)*($X$7:$X$78)*($F$7:$F$78))+SUMPRODUCT(($H$7:$H$78=AE74)*($X$7:$X$78)*($G$7:$G$78))</f>
        <v>0</v>
      </c>
      <c r="BE74" s="46" t="n">
        <f aca="false" t="array" ref="BE74:BE74">SUMPRODUCT(($E$7:$E$78=AE74)*($X$7:$X$78)*($G$7:$G$78))+SUMPRODUCT(($H$7:$H$78=AE74)*($X$7:$X$78)*($F$7:$F$78))</f>
        <v>0</v>
      </c>
      <c r="BF74" s="46" t="n">
        <f aca="false">BD74-BE74</f>
        <v>0</v>
      </c>
      <c r="BG74" s="46" t="n">
        <f aca="false">BF74-MIN(BF74:BF77)</f>
        <v>0</v>
      </c>
      <c r="BH74" s="46" t="n">
        <f aca="false">BB74/BB78*1000+BC74/BC78*100+BG74/BG78*10+BD74/BD78</f>
        <v>0</v>
      </c>
      <c r="BI74" s="46" t="n">
        <f aca="false">BH74/BH78</f>
        <v>0</v>
      </c>
    </row>
    <row r="75" customFormat="false" ht="14.25" hidden="false" customHeight="true" outlineLevel="0" collapsed="false">
      <c r="A75" s="63" t="n">
        <v>69</v>
      </c>
      <c r="B75" s="64" t="str">
        <f aca="false" t="array" ref="B75:B75">INDEX(T,18+INT(MOD(R75-1,7)),lang)</f>
        <v>Sun</v>
      </c>
      <c r="C75" s="65" t="str">
        <f aca="false" t="array" ref="C75:C75">INDEX(T,24+MONTH(R75),lang) &amp; " " &amp; DAY(R75) &amp; ", " &amp; YEAR(R75)</f>
        <v>Jun 28, 2026</v>
      </c>
      <c r="D75" s="66" t="n">
        <f aca="false">TIME(HOUR(R75),MINUTE(R75),0)</f>
        <v>0.166666666666667</v>
      </c>
      <c r="E75" s="67" t="str">
        <f aca="false">AE63</f>
        <v>Algeria</v>
      </c>
      <c r="F75" s="68" t="n">
        <v>0</v>
      </c>
      <c r="G75" s="69" t="n">
        <v>1</v>
      </c>
      <c r="H75" s="70" t="str">
        <f aca="false">AE64</f>
        <v>Austria</v>
      </c>
      <c r="I75" s="102"/>
      <c r="J75" s="75" t="str">
        <f aca="false">VLOOKUP(1,AD74:AN77,2,FALSE())</f>
        <v>England</v>
      </c>
      <c r="K75" s="76" t="n">
        <f aca="false">L75+M75+N75</f>
        <v>3</v>
      </c>
      <c r="L75" s="76" t="n">
        <f aca="false">VLOOKUP(1,AD74:AN77,3,FALSE())</f>
        <v>3</v>
      </c>
      <c r="M75" s="76" t="n">
        <f aca="false">VLOOKUP(1,AD74:AN77,4,FALSE())</f>
        <v>0</v>
      </c>
      <c r="N75" s="76" t="n">
        <f aca="false">VLOOKUP(1,AD74:AN77,5,FALSE())</f>
        <v>0</v>
      </c>
      <c r="O75" s="76" t="str">
        <f aca="false">VLOOKUP(1,AD74:AN77,6,FALSE()) &amp; " - " &amp; VLOOKUP(1,AD74:AN77,7,FALSE())</f>
        <v>6 - 1</v>
      </c>
      <c r="P75" s="77" t="n">
        <f aca="false">L75*3+M75</f>
        <v>9</v>
      </c>
      <c r="R75" s="42" t="n">
        <f aca="false">DATE(2026,6,27)+TIME(15,0,0)+gmt_delta</f>
        <v>46201.1666666667</v>
      </c>
      <c r="S75" s="43" t="str">
        <f aca="false">IF(OR(F75="",G75=""),"",IF(F75&gt;G75,E75&amp;"_win",IF(F75&lt;G75,E75&amp;"_lose",E75&amp;"_draw")))</f>
        <v>Algeria_lose</v>
      </c>
      <c r="T75" s="43" t="str">
        <f aca="false">IF(S75="","",IF(F75&lt;G75,H75&amp;"_win",IF(F75&gt;G75,H75&amp;"_lose",H75&amp;"_draw")))</f>
        <v>Austria_win</v>
      </c>
      <c r="U75" s="42" t="n">
        <f aca="false">IF(S75="",0,IF(VLOOKUP(E75,$AE$8:$AN$77,10,FALSE())=VLOOKUP(H75,$AE$8:$AN$77,10,FALSE()),1,0))</f>
        <v>0</v>
      </c>
      <c r="V75" s="42" t="n">
        <f aca="false">U75*F75</f>
        <v>0</v>
      </c>
      <c r="W75" s="42" t="n">
        <f aca="false">U75*G75</f>
        <v>0</v>
      </c>
      <c r="X75" s="42" t="n">
        <f aca="false">IF(S75="",0,IF(VLOOKUP(E75,$AE$8:$AO$77,11,FALSE())=VLOOKUP(H75,$AE$8:$AO$77,11,FALSE()),1,0))</f>
        <v>0</v>
      </c>
      <c r="Y75" s="42" t="n">
        <f aca="false">X75*F75</f>
        <v>0</v>
      </c>
      <c r="Z75" s="42" t="n">
        <f aca="false">X75*G75</f>
        <v>0</v>
      </c>
      <c r="AA75" s="42" t="n">
        <f aca="false">IF(OR(E75=my_team,H75=my_team),1,IF(INT(MATCH(E75,$AE$8:$AE$78,0)/6)=$AA$6,1,0))</f>
        <v>0</v>
      </c>
      <c r="AB75" s="42" t="n">
        <f aca="false">IF(OR(F75="",G75=""),"",IF(F75&gt;G75,1,IF(F75&lt;G75,-1,0)))</f>
        <v>-1</v>
      </c>
      <c r="AD75" s="42" t="n">
        <f aca="false">COUNTIF(AR74:AR77,CONCATENATE("&gt;=",AR75))</f>
        <v>2</v>
      </c>
      <c r="AE75" s="44" t="str">
        <f aca="false">VLOOKUP("Croatia",T,lang,FALSE())</f>
        <v>Croatia</v>
      </c>
      <c r="AF75" s="42" t="n">
        <f aca="false">COUNTIF($S$7:$T$78,"=" &amp; AE75 &amp; "_win")</f>
        <v>2</v>
      </c>
      <c r="AG75" s="42" t="n">
        <f aca="false">COUNTIF($S$7:$T$78,"=" &amp; AE75 &amp; "_draw")</f>
        <v>0</v>
      </c>
      <c r="AH75" s="42" t="n">
        <f aca="false">COUNTIF($S$7:$T$78,"=" &amp; AE75 &amp; "_lose")</f>
        <v>1</v>
      </c>
      <c r="AI75" s="42" t="n">
        <f aca="false">SUMIF($E$7:$E$78,$AE75,$F$7:$F$78) + SUMIF($H$7:$H$78,$AE75,$G$7:$G$78)</f>
        <v>5</v>
      </c>
      <c r="AJ75" s="42" t="n">
        <f aca="false">SUMIF($E$7:$E$78,$AE75,$G$7:$G$78) + SUMIF($H$7:$H$78,$AE75,$F$7:$F$78)</f>
        <v>3</v>
      </c>
      <c r="AL75" s="42" t="n">
        <f aca="false">AI75-AJ75</f>
        <v>2</v>
      </c>
      <c r="AM75" s="42" t="n">
        <f aca="false">AL75-AL78</f>
        <v>7</v>
      </c>
      <c r="AN75" s="42" t="n">
        <f aca="false">AF75*3+AG75</f>
        <v>6</v>
      </c>
      <c r="AO75" s="42" t="n">
        <f aca="false">AN75/AN78*10+BA75</f>
        <v>6</v>
      </c>
      <c r="AP75" s="42" t="n">
        <f aca="false">AO75*10000000+BI75*100+AM75/AM78*10+AI75/AI78*1++IF(AQ75=0,ROW(),AQ75)/2000000</f>
        <v>60000007.0787806</v>
      </c>
      <c r="AQ75" s="46" t="n">
        <f aca="false">VLOOKUP(AE75,db_fifarank,2,FALSE())</f>
        <v>1717.07</v>
      </c>
      <c r="AR75" s="45" t="n">
        <f aca="false">AP75/AP78</f>
        <v>0.666666664216341</v>
      </c>
      <c r="AS75" s="45" t="str">
        <f aca="false">IF(SUM(AF74:AH77)=12,J76,"2L")</f>
        <v>Croatia</v>
      </c>
      <c r="AT75" s="46" t="n">
        <f aca="false" t="array" ref="AT75:AT75">SUMPRODUCT(($S$7:$S$78=AE75&amp;"_win")*($U$7:$U$78))+SUMPRODUCT(($T$7:$T$78=AE75&amp;"_win")*($U$7:$U$78))</f>
        <v>0</v>
      </c>
      <c r="AU75" s="46" t="n">
        <f aca="false" t="array" ref="AU75:AU75">SUMPRODUCT(($S$7:$S$78=AE75&amp;"_draw")*($U$7:$U$78))+SUMPRODUCT(($T$7:$T$78=AE75&amp;"_draw")*($U$7:$U$78))</f>
        <v>0</v>
      </c>
      <c r="AV75" s="46" t="n">
        <f aca="false" t="array" ref="AV75:AV75">SUMPRODUCT(($E$7:$E$78=AE75)*($U$7:$U$78)*($F$7:$F$78))+SUMPRODUCT(($H$7:$H$78=AE75)*($U$7:$U$78)*($G$7:$G$78))</f>
        <v>0</v>
      </c>
      <c r="AW75" s="46" t="n">
        <f aca="false" t="array" ref="AW75:AW75">SUMPRODUCT(($E$7:$E$78=AE75)*($U$7:$U$78)*($G$7:$G$78))+SUMPRODUCT(($H$7:$H$78=AE75)*($U$7:$U$78)*($F$7:$F$78))</f>
        <v>0</v>
      </c>
      <c r="AX75" s="46" t="n">
        <f aca="false">AV75-AW75</f>
        <v>0</v>
      </c>
      <c r="AY75" s="46" t="n">
        <f aca="false">AX75-MIN(AX74:AX77)</f>
        <v>0</v>
      </c>
      <c r="AZ75" s="46" t="n">
        <f aca="false">AT75/AT78*1000+AU75/AU78*100+AY75/AY78*10+AV75/AV78</f>
        <v>0</v>
      </c>
      <c r="BA75" s="46" t="n">
        <f aca="false">AZ75/AZ78</f>
        <v>0</v>
      </c>
      <c r="BB75" s="46" t="n">
        <f aca="false" t="array" ref="BB75:BB75">SUMPRODUCT(($S$7:$S$78=AE75&amp;"_win")*($X$7:$X$78))+SUMPRODUCT(($T$7:$T$78=AE75&amp;"_win")*($X$7:$X$78))</f>
        <v>0</v>
      </c>
      <c r="BC75" s="46" t="n">
        <f aca="false" t="array" ref="BC75:BC75">SUMPRODUCT(($S$7:$S$78=AE75&amp;"_draw")*($X$7:$X$78))+SUMPRODUCT(($T$7:$T$78=AE75&amp;"_draw")*($X$7:$X$78))</f>
        <v>0</v>
      </c>
      <c r="BD75" s="46" t="n">
        <f aca="false" t="array" ref="BD75:BD75">SUMPRODUCT(($E$7:$E$78=AE75)*($X$7:$X$78)*($F$7:$F$78))+SUMPRODUCT(($H$7:$H$78=AE75)*($X$7:$X$78)*($G$7:$G$78))</f>
        <v>0</v>
      </c>
      <c r="BE75" s="46" t="n">
        <f aca="false" t="array" ref="BE75:BE75">SUMPRODUCT(($E$7:$E$78=AE75)*($X$7:$X$78)*($G$7:$G$78))+SUMPRODUCT(($H$7:$H$78=AE75)*($X$7:$X$78)*($F$7:$F$78))</f>
        <v>0</v>
      </c>
      <c r="BF75" s="46" t="n">
        <f aca="false">BD75-BE75</f>
        <v>0</v>
      </c>
      <c r="BG75" s="46" t="n">
        <f aca="false">BF75-MIN(BF74:BF77)</f>
        <v>0</v>
      </c>
      <c r="BH75" s="46" t="n">
        <f aca="false">BB75/BB78*1000+BC75/BC78*100+BG75/BG78*10+BD75/BD78</f>
        <v>0</v>
      </c>
      <c r="BI75" s="46" t="n">
        <f aca="false">BH75/BH78</f>
        <v>0</v>
      </c>
    </row>
    <row r="76" customFormat="false" ht="14.25" hidden="false" customHeight="true" outlineLevel="0" collapsed="false">
      <c r="A76" s="63" t="n">
        <v>70</v>
      </c>
      <c r="B76" s="64" t="str">
        <f aca="false" t="array" ref="B76:B76">INDEX(T,18+INT(MOD(R76-1,7)),lang)</f>
        <v>Sun</v>
      </c>
      <c r="C76" s="65" t="str">
        <f aca="false" t="array" ref="C76:C76">INDEX(T,24+MONTH(R76),lang) &amp; " " &amp; DAY(R76) &amp; ", " &amp; YEAR(R76)</f>
        <v>Jun 28, 2026</v>
      </c>
      <c r="D76" s="66" t="n">
        <f aca="false">TIME(HOUR(R76),MINUTE(R76),0)</f>
        <v>0.166666666666667</v>
      </c>
      <c r="E76" s="67" t="str">
        <f aca="false">AE65</f>
        <v>Jordan</v>
      </c>
      <c r="F76" s="68" t="n">
        <v>0</v>
      </c>
      <c r="G76" s="69" t="n">
        <v>2</v>
      </c>
      <c r="H76" s="70" t="str">
        <f aca="false">AE62</f>
        <v>Argentina</v>
      </c>
      <c r="I76" s="102"/>
      <c r="J76" s="79" t="str">
        <f aca="false">VLOOKUP(2,AD74:AN77,2,FALSE())</f>
        <v>Croatia</v>
      </c>
      <c r="K76" s="80" t="n">
        <f aca="false">L76+M76+N76</f>
        <v>3</v>
      </c>
      <c r="L76" s="80" t="n">
        <f aca="false">VLOOKUP(2,AD74:AN77,3,FALSE())</f>
        <v>2</v>
      </c>
      <c r="M76" s="80" t="n">
        <f aca="false">VLOOKUP(2,AD74:AN77,4,FALSE())</f>
        <v>0</v>
      </c>
      <c r="N76" s="80" t="n">
        <f aca="false">VLOOKUP(2,AD74:AN77,5,FALSE())</f>
        <v>1</v>
      </c>
      <c r="O76" s="80" t="str">
        <f aca="false">VLOOKUP(2,AD74:AN77,6,FALSE()) &amp; " - " &amp; VLOOKUP(2,AD74:AN77,7,FALSE())</f>
        <v>5 - 3</v>
      </c>
      <c r="P76" s="81" t="n">
        <f aca="false">L76*3+M76</f>
        <v>6</v>
      </c>
      <c r="R76" s="42" t="n">
        <f aca="false">DATE(2026,6,27)+TIME(15,0,0)+gmt_delta</f>
        <v>46201.1666666667</v>
      </c>
      <c r="S76" s="43" t="str">
        <f aca="false">IF(OR(F76="",G76=""),"",IF(F76&gt;G76,E76&amp;"_win",IF(F76&lt;G76,E76&amp;"_lose",E76&amp;"_draw")))</f>
        <v>Jordan_lose</v>
      </c>
      <c r="T76" s="43" t="str">
        <f aca="false">IF(S76="","",IF(F76&lt;G76,H76&amp;"_win",IF(F76&gt;G76,H76&amp;"_lose",H76&amp;"_draw")))</f>
        <v>Argentina_win</v>
      </c>
      <c r="U76" s="42" t="n">
        <f aca="false">IF(S76="",0,IF(VLOOKUP(E76,$AE$8:$AN$77,10,FALSE())=VLOOKUP(H76,$AE$8:$AN$77,10,FALSE()),1,0))</f>
        <v>0</v>
      </c>
      <c r="V76" s="42" t="n">
        <f aca="false">U76*F76</f>
        <v>0</v>
      </c>
      <c r="W76" s="42" t="n">
        <f aca="false">U76*G76</f>
        <v>0</v>
      </c>
      <c r="X76" s="42" t="n">
        <f aca="false">IF(S76="",0,IF(VLOOKUP(E76,$AE$8:$AO$77,11,FALSE())=VLOOKUP(H76,$AE$8:$AO$77,11,FALSE()),1,0))</f>
        <v>0</v>
      </c>
      <c r="Y76" s="42" t="n">
        <f aca="false">X76*F76</f>
        <v>0</v>
      </c>
      <c r="Z76" s="42" t="n">
        <f aca="false">X76*G76</f>
        <v>0</v>
      </c>
      <c r="AA76" s="42" t="n">
        <f aca="false">IF(OR(E76=my_team,H76=my_team),1,IF(INT(MATCH(E76,$AE$8:$AE$78,0)/6)=$AA$6,1,0))</f>
        <v>0</v>
      </c>
      <c r="AB76" s="42" t="n">
        <f aca="false">IF(OR(F76="",G76=""),"",IF(F76&gt;G76,1,IF(F76&lt;G76,-1,0)))</f>
        <v>-1</v>
      </c>
      <c r="AD76" s="42" t="n">
        <f aca="false">COUNTIF(AR74:AR77,CONCATENATE("&gt;=",AR76))</f>
        <v>4</v>
      </c>
      <c r="AE76" s="44" t="str">
        <f aca="false">VLOOKUP("Ghana",T,lang,FALSE())</f>
        <v>Ghana</v>
      </c>
      <c r="AF76" s="42" t="n">
        <f aca="false">COUNTIF($S$7:$T$78,"=" &amp; AE76 &amp; "_win")</f>
        <v>0</v>
      </c>
      <c r="AG76" s="42" t="n">
        <f aca="false">COUNTIF($S$7:$T$78,"=" &amp; AE76 &amp; "_draw")</f>
        <v>0</v>
      </c>
      <c r="AH76" s="42" t="n">
        <f aca="false">COUNTIF($S$7:$T$78,"=" &amp; AE76 &amp; "_lose")</f>
        <v>3</v>
      </c>
      <c r="AI76" s="42" t="n">
        <f aca="false">SUMIF($E$7:$E$78,$AE76,$F$7:$F$78) + SUMIF($H$7:$H$78,$AE76,$G$7:$G$78)</f>
        <v>1</v>
      </c>
      <c r="AJ76" s="42" t="n">
        <f aca="false">SUMIF($E$7:$E$78,$AE76,$G$7:$G$78) + SUMIF($H$7:$H$78,$AE76,$F$7:$F$78)</f>
        <v>6</v>
      </c>
      <c r="AL76" s="42" t="n">
        <f aca="false">AI76-AJ76</f>
        <v>-5</v>
      </c>
      <c r="AM76" s="42" t="n">
        <f aca="false">AL76-AL78</f>
        <v>0</v>
      </c>
      <c r="AN76" s="42" t="n">
        <f aca="false">AF76*3+AG76</f>
        <v>0</v>
      </c>
      <c r="AO76" s="42" t="n">
        <f aca="false">AN76/AN78*10+BA76</f>
        <v>0</v>
      </c>
      <c r="AP76" s="42" t="n">
        <f aca="false">AO76*10000000+BI76*100+AM76/AM78*10+AI76/AI78*1++IF(AQ76=0,ROW(),AQ76)/2000000</f>
        <v>0.143530297857143</v>
      </c>
      <c r="AQ76" s="46" t="n">
        <f aca="false">VLOOKUP(AE76,db_fifarank,2,FALSE())</f>
        <v>1346.31</v>
      </c>
      <c r="AR76" s="45" t="n">
        <f aca="false">AP76/AP78</f>
        <v>1.59478089328825E-009</v>
      </c>
      <c r="AT76" s="46" t="n">
        <f aca="false" t="array" ref="AT76:AT76">SUMPRODUCT(($S$7:$S$78=AE76&amp;"_win")*($U$7:$U$78))+SUMPRODUCT(($T$7:$T$78=AE76&amp;"_win")*($U$7:$U$78))</f>
        <v>0</v>
      </c>
      <c r="AU76" s="46" t="n">
        <f aca="false" t="array" ref="AU76:AU76">SUMPRODUCT(($S$7:$S$78=AE76&amp;"_draw")*($U$7:$U$78))+SUMPRODUCT(($T$7:$T$78=AE76&amp;"_draw")*($U$7:$U$78))</f>
        <v>0</v>
      </c>
      <c r="AV76" s="46" t="n">
        <f aca="false" t="array" ref="AV76:AV76">SUMPRODUCT(($E$7:$E$78=AE76)*($U$7:$U$78)*($F$7:$F$78))+SUMPRODUCT(($H$7:$H$78=AE76)*($U$7:$U$78)*($G$7:$G$78))</f>
        <v>0</v>
      </c>
      <c r="AW76" s="46" t="n">
        <f aca="false" t="array" ref="AW76:AW76">SUMPRODUCT(($E$7:$E$78=AE76)*($U$7:$U$78)*($G$7:$G$78))+SUMPRODUCT(($H$7:$H$78=AE76)*($U$7:$U$78)*($F$7:$F$78))</f>
        <v>0</v>
      </c>
      <c r="AX76" s="46" t="n">
        <f aca="false">AV76-AW76</f>
        <v>0</v>
      </c>
      <c r="AY76" s="46" t="n">
        <f aca="false">AX76-MIN(AX74:AX77)</f>
        <v>0</v>
      </c>
      <c r="AZ76" s="46" t="n">
        <f aca="false">AT76/AT78*1000+AU76/AU78*100+AY76/AY78*10+AV76/AV78</f>
        <v>0</v>
      </c>
      <c r="BA76" s="46" t="n">
        <f aca="false">AZ76/AZ78</f>
        <v>0</v>
      </c>
      <c r="BB76" s="46" t="n">
        <f aca="false" t="array" ref="BB76:BB76">SUMPRODUCT(($S$7:$S$78=AE76&amp;"_win")*($X$7:$X$78))+SUMPRODUCT(($T$7:$T$78=AE76&amp;"_win")*($X$7:$X$78))</f>
        <v>0</v>
      </c>
      <c r="BC76" s="46" t="n">
        <f aca="false" t="array" ref="BC76:BC76">SUMPRODUCT(($S$7:$S$78=AE76&amp;"_draw")*($X$7:$X$78))+SUMPRODUCT(($T$7:$T$78=AE76&amp;"_draw")*($X$7:$X$78))</f>
        <v>0</v>
      </c>
      <c r="BD76" s="46" t="n">
        <f aca="false" t="array" ref="BD76:BD76">SUMPRODUCT(($E$7:$E$78=AE76)*($X$7:$X$78)*($F$7:$F$78))+SUMPRODUCT(($H$7:$H$78=AE76)*($X$7:$X$78)*($G$7:$G$78))</f>
        <v>0</v>
      </c>
      <c r="BE76" s="46" t="n">
        <f aca="false" t="array" ref="BE76:BE76">SUMPRODUCT(($E$7:$E$78=AE76)*($X$7:$X$78)*($G$7:$G$78))+SUMPRODUCT(($H$7:$H$78=AE76)*($X$7:$X$78)*($F$7:$F$78))</f>
        <v>0</v>
      </c>
      <c r="BF76" s="46" t="n">
        <f aca="false">BD76-BE76</f>
        <v>0</v>
      </c>
      <c r="BG76" s="46" t="n">
        <f aca="false">BF76-MIN(BF74:BF77)</f>
        <v>0</v>
      </c>
      <c r="BH76" s="46" t="n">
        <f aca="false">BB76/BB78*1000+BC76/BC78*100+BG76/BG78*10+BD76/BD78</f>
        <v>0</v>
      </c>
      <c r="BI76" s="46" t="n">
        <f aca="false">BH76/BH78</f>
        <v>0</v>
      </c>
    </row>
    <row r="77" customFormat="false" ht="14.25" hidden="false" customHeight="true" outlineLevel="0" collapsed="false">
      <c r="A77" s="63" t="n">
        <v>71</v>
      </c>
      <c r="B77" s="64" t="str">
        <f aca="false" t="array" ref="B77:B77">INDEX(T,18+INT(MOD(R77-1,7)),lang)</f>
        <v>Sun</v>
      </c>
      <c r="C77" s="65" t="str">
        <f aca="false" t="array" ref="C77:C77">INDEX(T,24+MONTH(R77),lang) &amp; " " &amp; DAY(R77) &amp; ", " &amp; YEAR(R77)</f>
        <v>Jun 28, 2026</v>
      </c>
      <c r="D77" s="66" t="n">
        <f aca="false">TIME(HOUR(R77),MINUTE(R77),0)</f>
        <v>0.0625</v>
      </c>
      <c r="E77" s="67" t="str">
        <f aca="false">AE71</f>
        <v>Colombia</v>
      </c>
      <c r="F77" s="68" t="n">
        <v>0</v>
      </c>
      <c r="G77" s="69" t="n">
        <v>1</v>
      </c>
      <c r="H77" s="70" t="str">
        <f aca="false">AE68</f>
        <v>Portugal</v>
      </c>
      <c r="I77" s="102"/>
      <c r="J77" s="79" t="str">
        <f aca="false">VLOOKUP(3,AD74:AN77,2,FALSE())</f>
        <v>Panama</v>
      </c>
      <c r="K77" s="80" t="n">
        <f aca="false">L77+M77+N77</f>
        <v>3</v>
      </c>
      <c r="L77" s="80" t="n">
        <f aca="false">VLOOKUP(3,AD74:AN77,3,FALSE())</f>
        <v>1</v>
      </c>
      <c r="M77" s="80" t="n">
        <f aca="false">VLOOKUP(3,AD74:AN77,4,FALSE())</f>
        <v>0</v>
      </c>
      <c r="N77" s="80" t="n">
        <f aca="false">VLOOKUP(3,AD74:AN77,5,FALSE())</f>
        <v>2</v>
      </c>
      <c r="O77" s="80" t="str">
        <f aca="false">VLOOKUP(3,AD74:AN77,6,FALSE()) &amp; " - " &amp; VLOOKUP(3,AD74:AN77,7,FALSE())</f>
        <v>3 - 5</v>
      </c>
      <c r="P77" s="81" t="n">
        <f aca="false">L77*3+M77</f>
        <v>3</v>
      </c>
      <c r="R77" s="42" t="n">
        <f aca="false">DATE(2026,6,27)+TIME(12,30,0)+gmt_delta</f>
        <v>46201.0625</v>
      </c>
      <c r="S77" s="43" t="str">
        <f aca="false">IF(OR(F77="",G77=""),"",IF(F77&gt;G77,E77&amp;"_win",IF(F77&lt;G77,E77&amp;"_lose",E77&amp;"_draw")))</f>
        <v>Colombia_lose</v>
      </c>
      <c r="T77" s="43" t="str">
        <f aca="false">IF(S77="","",IF(F77&lt;G77,H77&amp;"_win",IF(F77&gt;G77,H77&amp;"_lose",H77&amp;"_draw")))</f>
        <v>Portugal_win</v>
      </c>
      <c r="U77" s="42" t="n">
        <f aca="false">IF(S77="",0,IF(VLOOKUP(E77,$AE$8:$AN$77,10,FALSE())=VLOOKUP(H77,$AE$8:$AN$77,10,FALSE()),1,0))</f>
        <v>0</v>
      </c>
      <c r="V77" s="42" t="n">
        <f aca="false">U77*F77</f>
        <v>0</v>
      </c>
      <c r="W77" s="42" t="n">
        <f aca="false">U77*G77</f>
        <v>0</v>
      </c>
      <c r="X77" s="42" t="n">
        <f aca="false">IF(S77="",0,IF(VLOOKUP(E77,$AE$8:$AO$77,11,FALSE())=VLOOKUP(H77,$AE$8:$AO$77,11,FALSE()),1,0))</f>
        <v>0</v>
      </c>
      <c r="Y77" s="42" t="n">
        <f aca="false">X77*F77</f>
        <v>0</v>
      </c>
      <c r="Z77" s="42" t="n">
        <f aca="false">X77*G77</f>
        <v>0</v>
      </c>
      <c r="AA77" s="42" t="n">
        <f aca="false">IF(OR(E77=my_team,H77=my_team),1,IF(INT(MATCH(E77,$AE$8:$AE$78,0)/6)=$AA$6,1,0))</f>
        <v>0</v>
      </c>
      <c r="AB77" s="42" t="n">
        <f aca="false">IF(OR(F77="",G77=""),"",IF(F77&gt;G77,1,IF(F77&lt;G77,-1,0)))</f>
        <v>-1</v>
      </c>
      <c r="AD77" s="42" t="n">
        <f aca="false">COUNTIF(AR74:AR77,CONCATENATE("&gt;=",AR77))</f>
        <v>3</v>
      </c>
      <c r="AE77" s="44" t="str">
        <f aca="false">VLOOKUP("Panama",T,lang,FALSE())</f>
        <v>Panama</v>
      </c>
      <c r="AF77" s="42" t="n">
        <f aca="false">COUNTIF($S$7:$T$78,"=" &amp; AE77 &amp; "_win")</f>
        <v>1</v>
      </c>
      <c r="AG77" s="42" t="n">
        <f aca="false">COUNTIF($S$7:$T$78,"=" &amp; AE77 &amp; "_draw")</f>
        <v>0</v>
      </c>
      <c r="AH77" s="42" t="n">
        <f aca="false">COUNTIF($S$7:$T$78,"=" &amp; AE77 &amp; "_lose")</f>
        <v>2</v>
      </c>
      <c r="AI77" s="42" t="n">
        <f aca="false">SUMIF($E$7:$E$78,$AE77,$F$7:$F$78) + SUMIF($H$7:$H$78,$AE77,$G$7:$G$78)</f>
        <v>3</v>
      </c>
      <c r="AJ77" s="42" t="n">
        <f aca="false">SUMIF($E$7:$E$78,$AE77,$G$7:$G$78) + SUMIF($H$7:$H$78,$AE77,$F$7:$F$78)</f>
        <v>5</v>
      </c>
      <c r="AL77" s="42" t="n">
        <f aca="false">AI77-AJ77</f>
        <v>-2</v>
      </c>
      <c r="AM77" s="42" t="n">
        <f aca="false">AL77-AL78</f>
        <v>3</v>
      </c>
      <c r="AN77" s="42" t="n">
        <f aca="false">AF77*3+AG77</f>
        <v>3</v>
      </c>
      <c r="AO77" s="42" t="n">
        <f aca="false">AN77/AN78*10+BA77</f>
        <v>3</v>
      </c>
      <c r="AP77" s="42" t="n">
        <f aca="false">AO77*10000000+BI77*100+AM77/AM78*10+AI77/AI78*1++IF(AQ77=0,ROW(),AQ77)/2000000</f>
        <v>30000003.1566145</v>
      </c>
      <c r="AQ77" s="46" t="n">
        <f aca="false">VLOOKUP(AE77,db_fifarank,2,FALSE())</f>
        <v>1540.64</v>
      </c>
      <c r="AR77" s="45" t="n">
        <f aca="false">AP77/AP78</f>
        <v>0.333333327855106</v>
      </c>
      <c r="AT77" s="46" t="n">
        <f aca="false" t="array" ref="AT77:AT77">SUMPRODUCT(($S$7:$S$78=AE77&amp;"_win")*($U$7:$U$78))+SUMPRODUCT(($T$7:$T$78=AE77&amp;"_win")*($U$7:$U$78))</f>
        <v>0</v>
      </c>
      <c r="AU77" s="46" t="n">
        <f aca="false" t="array" ref="AU77:AU77">SUMPRODUCT(($S$7:$S$78=AE77&amp;"_draw")*($U$7:$U$78))+SUMPRODUCT(($T$7:$T$78=AE77&amp;"_draw")*($U$7:$U$78))</f>
        <v>0</v>
      </c>
      <c r="AV77" s="46" t="n">
        <f aca="false" t="array" ref="AV77:AV77">SUMPRODUCT(($E$7:$E$78=AE77)*($U$7:$U$78)*($F$7:$F$78))+SUMPRODUCT(($H$7:$H$78=AE77)*($U$7:$U$78)*($G$7:$G$78))</f>
        <v>0</v>
      </c>
      <c r="AW77" s="46" t="n">
        <f aca="false" t="array" ref="AW77:AW77">SUMPRODUCT(($E$7:$E$78=AE77)*($U$7:$U$78)*($G$7:$G$78))+SUMPRODUCT(($H$7:$H$78=AE77)*($U$7:$U$78)*($F$7:$F$78))</f>
        <v>0</v>
      </c>
      <c r="AX77" s="46" t="n">
        <f aca="false">AV77-AW77</f>
        <v>0</v>
      </c>
      <c r="AY77" s="46" t="n">
        <f aca="false">AX77-MIN(AX74:AX77)</f>
        <v>0</v>
      </c>
      <c r="AZ77" s="46" t="n">
        <f aca="false">AT77/AT78*1000+AU77/AU78*100+AY77/AY78*10+AV77/AV78</f>
        <v>0</v>
      </c>
      <c r="BA77" s="46" t="n">
        <f aca="false">AZ77/AZ78</f>
        <v>0</v>
      </c>
      <c r="BB77" s="46" t="n">
        <f aca="false" t="array" ref="BB77:BB77">SUMPRODUCT(($S$7:$S$78=AE77&amp;"_win")*($X$7:$X$78))+SUMPRODUCT(($T$7:$T$78=AE77&amp;"_win")*($X$7:$X$78))</f>
        <v>0</v>
      </c>
      <c r="BC77" s="46" t="n">
        <f aca="false" t="array" ref="BC77:BC77">SUMPRODUCT(($S$7:$S$78=AE77&amp;"_draw")*($X$7:$X$78))+SUMPRODUCT(($T$7:$T$78=AE77&amp;"_draw")*($X$7:$X$78))</f>
        <v>0</v>
      </c>
      <c r="BD77" s="46" t="n">
        <f aca="false" t="array" ref="BD77:BD77">SUMPRODUCT(($E$7:$E$78=AE77)*($X$7:$X$78)*($F$7:$F$78))+SUMPRODUCT(($H$7:$H$78=AE77)*($X$7:$X$78)*($G$7:$G$78))</f>
        <v>0</v>
      </c>
      <c r="BE77" s="46" t="n">
        <f aca="false" t="array" ref="BE77:BE77">SUMPRODUCT(($E$7:$E$78=AE77)*($X$7:$X$78)*($G$7:$G$78))+SUMPRODUCT(($H$7:$H$78=AE77)*($X$7:$X$78)*($F$7:$F$78))</f>
        <v>0</v>
      </c>
      <c r="BF77" s="46" t="n">
        <f aca="false">BD77-BE77</f>
        <v>0</v>
      </c>
      <c r="BG77" s="46" t="n">
        <f aca="false">BF77-MIN(BF74:BF77)</f>
        <v>0</v>
      </c>
      <c r="BH77" s="46" t="n">
        <f aca="false">BB77/BB78*1000+BC77/BC78*100+BG77/BG78*10+BD77/BD78</f>
        <v>0</v>
      </c>
      <c r="BI77" s="46" t="n">
        <f aca="false">BH77/BH78</f>
        <v>0</v>
      </c>
    </row>
    <row r="78" customFormat="false" ht="14.25" hidden="false" customHeight="true" outlineLevel="0" collapsed="false">
      <c r="A78" s="63" t="n">
        <v>72</v>
      </c>
      <c r="B78" s="64" t="str">
        <f aca="false" t="array" ref="B78:B78">INDEX(T,18+INT(MOD(R78-1,7)),lang)</f>
        <v>Sun</v>
      </c>
      <c r="C78" s="65" t="str">
        <f aca="false" t="array" ref="C78:C78">INDEX(T,24+MONTH(R78),lang) &amp; " " &amp; DAY(R78) &amp; ", " &amp; YEAR(R78)</f>
        <v>Jun 28, 2026</v>
      </c>
      <c r="D78" s="66" t="n">
        <f aca="false">TIME(HOUR(R78),MINUTE(R78),0)</f>
        <v>0.0625</v>
      </c>
      <c r="E78" s="67" t="str">
        <f aca="false">AE69</f>
        <v>DR Congo</v>
      </c>
      <c r="F78" s="68" t="n">
        <v>1</v>
      </c>
      <c r="G78" s="69" t="n">
        <v>0</v>
      </c>
      <c r="H78" s="70" t="str">
        <f aca="false">AE70</f>
        <v>Uzbekistan</v>
      </c>
      <c r="I78" s="102"/>
      <c r="J78" s="93" t="str">
        <f aca="false">VLOOKUP(4,AD74:AN77,2,FALSE())</f>
        <v>Ghana</v>
      </c>
      <c r="K78" s="94" t="n">
        <f aca="false">L78+M78+N78</f>
        <v>3</v>
      </c>
      <c r="L78" s="94" t="n">
        <f aca="false">VLOOKUP(4,AD74:AN77,3,FALSE())</f>
        <v>0</v>
      </c>
      <c r="M78" s="94" t="n">
        <f aca="false">VLOOKUP(4,AD74:AN77,4,FALSE())</f>
        <v>0</v>
      </c>
      <c r="N78" s="94" t="n">
        <f aca="false">VLOOKUP(4,AD74:AN77,5,FALSE())</f>
        <v>3</v>
      </c>
      <c r="O78" s="94" t="str">
        <f aca="false">VLOOKUP(4,AD74:AN77,6,FALSE()) &amp; " - " &amp; VLOOKUP(4,AD74:AN77,7,FALSE())</f>
        <v>1 - 6</v>
      </c>
      <c r="P78" s="95" t="n">
        <f aca="false">L78*3+M78</f>
        <v>0</v>
      </c>
      <c r="R78" s="42" t="n">
        <f aca="false">DATE(2026,6,27)+TIME(12,30,0)+gmt_delta</f>
        <v>46201.0625</v>
      </c>
      <c r="S78" s="43" t="str">
        <f aca="false">IF(OR(F78="",G78=""),"",IF(F78&gt;G78,E78&amp;"_win",IF(F78&lt;G78,E78&amp;"_lose",E78&amp;"_draw")))</f>
        <v>DR Congo_win</v>
      </c>
      <c r="T78" s="43" t="str">
        <f aca="false">IF(S78="","",IF(F78&lt;G78,H78&amp;"_win",IF(F78&gt;G78,H78&amp;"_lose",H78&amp;"_draw")))</f>
        <v>Uzbekistan_lose</v>
      </c>
      <c r="U78" s="42" t="n">
        <f aca="false">IF(S78="",0,IF(VLOOKUP(E78,$AE$8:$AN$77,10,FALSE())=VLOOKUP(H78,$AE$8:$AN$77,10,FALSE()),1,0))</f>
        <v>0</v>
      </c>
      <c r="V78" s="42" t="n">
        <f aca="false">U78*F78</f>
        <v>0</v>
      </c>
      <c r="W78" s="42" t="n">
        <f aca="false">U78*G78</f>
        <v>0</v>
      </c>
      <c r="X78" s="42" t="n">
        <f aca="false">IF(S78="",0,IF(VLOOKUP(E78,$AE$8:$AO$77,11,FALSE())=VLOOKUP(H78,$AE$8:$AO$77,11,FALSE()),1,0))</f>
        <v>0</v>
      </c>
      <c r="Y78" s="42" t="n">
        <f aca="false">X78*F78</f>
        <v>0</v>
      </c>
      <c r="Z78" s="42" t="n">
        <f aca="false">X78*G78</f>
        <v>0</v>
      </c>
      <c r="AA78" s="42" t="n">
        <f aca="false">IF(OR(E78=my_team,H78=my_team),1,IF(INT(MATCH(E78,$AE$8:$AE$78,0)/6)=$AA$6,1,0))</f>
        <v>0</v>
      </c>
      <c r="AB78" s="42" t="n">
        <f aca="false">IF(OR(F78="",G78=""),"",IF(F78&gt;G78,1,IF(F78&lt;G78,-1,0)))</f>
        <v>1</v>
      </c>
      <c r="AF78" s="42" t="n">
        <f aca="false">MAX(AF74:AF77)-MIN(AF74:AF77)+1</f>
        <v>4</v>
      </c>
      <c r="AG78" s="42" t="n">
        <f aca="false">MAX(AG74:AG77)-MIN(AG74:AG77)+1</f>
        <v>1</v>
      </c>
      <c r="AH78" s="42" t="n">
        <f aca="false">MAX(AH74:AH77)-MIN(AH74:AH77)+1</f>
        <v>4</v>
      </c>
      <c r="AI78" s="42" t="n">
        <f aca="false">MAX(AI74:AI77)+1</f>
        <v>7</v>
      </c>
      <c r="AL78" s="42" t="n">
        <f aca="false">MIN(AL74:AL77)</f>
        <v>-5</v>
      </c>
      <c r="AM78" s="42" t="n">
        <f aca="false">MAX(AM74:AM77)+1</f>
        <v>11</v>
      </c>
      <c r="AN78" s="42" t="n">
        <f aca="false">MAX(AN74:AN77)+1</f>
        <v>10</v>
      </c>
      <c r="AO78" s="42" t="n">
        <f aca="false">MAX(AO74:AO77)+1</f>
        <v>10</v>
      </c>
      <c r="AP78" s="42" t="n">
        <f aca="false">MAX(AP74:AP77)+1</f>
        <v>90000010.9489649</v>
      </c>
      <c r="AT78" s="46" t="n">
        <f aca="false">MAX(AT74:AT77)-MIN(AT74:AT77)+1</f>
        <v>1</v>
      </c>
      <c r="AU78" s="46" t="n">
        <f aca="false">MAX(AU74:AU77)-MIN(AU74:AU77)+1</f>
        <v>1</v>
      </c>
      <c r="AV78" s="46" t="n">
        <f aca="false">MAX(AV74:AV77)-MIN(AV74:AV77)+1</f>
        <v>1</v>
      </c>
      <c r="AW78" s="46" t="n">
        <f aca="false">MAX(AW74:AW77)-MIN(AW74:AW77)+1</f>
        <v>1</v>
      </c>
      <c r="AY78" s="46" t="n">
        <f aca="false">MAX(AY74:AY77)-MIN(AY74:AY77)+1</f>
        <v>1</v>
      </c>
      <c r="AZ78" s="46" t="n">
        <f aca="false">MAX(AZ74:AZ77)+1</f>
        <v>1</v>
      </c>
      <c r="BB78" s="46" t="n">
        <f aca="false">MAX(BB74:BB77)-MIN(BB74:BB77)+1</f>
        <v>1</v>
      </c>
      <c r="BC78" s="46" t="n">
        <f aca="false">MAX(BC74:BC77)-MIN(BC74:BC77)+1</f>
        <v>1</v>
      </c>
      <c r="BD78" s="46" t="n">
        <f aca="false">MAX(BD74:BD77)-MIN(BD74:BD77)+1</f>
        <v>1</v>
      </c>
      <c r="BE78" s="46" t="n">
        <f aca="false">MAX(BE74:BE77)-MIN(BE74:BE77)+1</f>
        <v>1</v>
      </c>
      <c r="BG78" s="46" t="n">
        <f aca="false">MAX(BG74:BG77)-MIN(BG74:BG77)+1</f>
        <v>1</v>
      </c>
      <c r="BH78" s="46" t="n">
        <f aca="false">MAX(BH74:BH77)+1</f>
        <v>1</v>
      </c>
    </row>
    <row r="79" customFormat="false" ht="14.25" hidden="false" customHeight="true" outlineLevel="0" collapsed="false">
      <c r="A79" s="107"/>
      <c r="B79" s="107"/>
      <c r="C79" s="107"/>
      <c r="D79" s="107"/>
      <c r="E79" s="108"/>
      <c r="F79" s="109"/>
      <c r="G79" s="109"/>
      <c r="H79" s="110"/>
      <c r="I79" s="102"/>
      <c r="J79" s="103"/>
      <c r="K79" s="104"/>
      <c r="L79" s="104"/>
      <c r="M79" s="104"/>
      <c r="N79" s="104"/>
      <c r="O79" s="104"/>
      <c r="P79" s="104"/>
    </row>
    <row r="80" customFormat="false" ht="15" hidden="false" customHeight="true" outlineLevel="0" collapsed="false">
      <c r="A80" s="107"/>
      <c r="B80" s="107"/>
      <c r="C80" s="107"/>
      <c r="D80" s="107"/>
      <c r="E80" s="108"/>
      <c r="F80" s="109"/>
      <c r="G80" s="109"/>
      <c r="H80" s="110"/>
      <c r="I80" s="102"/>
      <c r="J80" s="111" t="str">
        <f aca="false">"3rd places"</f>
        <v>3rd places</v>
      </c>
      <c r="K80" s="72" t="str">
        <f aca="false" t="array" ref="K80:K80">INDEX(T,10,lang)</f>
        <v>PL</v>
      </c>
      <c r="L80" s="72" t="str">
        <f aca="false" t="array" ref="L80:L80">INDEX(T,11,lang)</f>
        <v>W</v>
      </c>
      <c r="M80" s="72" t="str">
        <f aca="false" t="array" ref="M80:M80">INDEX(T,12,lang)</f>
        <v>DRAW</v>
      </c>
      <c r="N80" s="72" t="str">
        <f aca="false" t="array" ref="N80:N80">INDEX(T,13,lang)</f>
        <v>L</v>
      </c>
      <c r="O80" s="72" t="str">
        <f aca="false" t="array" ref="O80:O80">INDEX(T,14,lang)</f>
        <v>GF - GA</v>
      </c>
      <c r="P80" s="73" t="str">
        <f aca="false" t="array" ref="P80:P80">INDEX(T,15,lang)</f>
        <v>PNT</v>
      </c>
      <c r="AD80" s="42" t="n">
        <f aca="false">COUNTIF($AP$80:$AP$91,CONCATENATE("&gt;=",AP80))</f>
        <v>3</v>
      </c>
      <c r="AE80" s="44" t="str">
        <f aca="false">J11</f>
        <v>Czech Republic</v>
      </c>
      <c r="AF80" s="42" t="n">
        <f aca="false">VLOOKUP($AE80,$AE$8:$AQ$78,2,FALSE())</f>
        <v>1</v>
      </c>
      <c r="AG80" s="42" t="n">
        <f aca="false">VLOOKUP($AE80,$AE$8:$AQ$78,3,FALSE())</f>
        <v>0</v>
      </c>
      <c r="AH80" s="42" t="n">
        <f aca="false">VLOOKUP($AE80,$AE$8:$AQ$78,4,FALSE())</f>
        <v>2</v>
      </c>
      <c r="AI80" s="42" t="n">
        <f aca="false">VLOOKUP($AE80,$AE$8:$AQ$78,5,FALSE())</f>
        <v>3</v>
      </c>
      <c r="AJ80" s="42" t="n">
        <f aca="false">VLOOKUP($AE80,$AE$8:$AQ$78,6,FALSE())</f>
        <v>4</v>
      </c>
      <c r="AK80" s="42" t="s">
        <v>3181</v>
      </c>
      <c r="AL80" s="42" t="n">
        <f aca="false">VLOOKUP($AE80,$AE$8:$AQ$78,8,FALSE())</f>
        <v>-1</v>
      </c>
      <c r="AM80" s="42" t="n">
        <f aca="false">AL80-$AL$92</f>
        <v>2</v>
      </c>
      <c r="AN80" s="42" t="n">
        <f aca="false">VLOOKUP($AE80,$AE$8:$AQ$78,10,FALSE())</f>
        <v>3</v>
      </c>
      <c r="AP80" s="42" t="n">
        <f aca="false">AN80/AN92*10000+AM80/AM92*1000+AI80/AI92*100+IF(AQ80=0,ROW(),AQ80)/2000000</f>
        <v>8075.00075069</v>
      </c>
      <c r="AQ80" s="46" t="n">
        <f aca="false">VLOOKUP($AE80,$AE$8:$AQ$78,13,FALSE())</f>
        <v>1501.38</v>
      </c>
      <c r="AR80" s="45" t="str">
        <f aca="false">IF(AD80&lt;=8,RIGHT(AK80,1),"")</f>
        <v>A</v>
      </c>
      <c r="AS80" s="112" t="str">
        <f aca="false">IF(AD80&lt;=8,AE80,"")</f>
        <v>Czech Republic</v>
      </c>
      <c r="AT80" s="113" t="str">
        <f aca="false">"Ⓐ "&amp;AE80</f>
        <v>Ⓐ Czech Republic</v>
      </c>
    </row>
    <row r="81" customFormat="false" ht="15" hidden="false" customHeight="true" outlineLevel="0" collapsed="false">
      <c r="A81" s="107"/>
      <c r="B81" s="107"/>
      <c r="C81" s="107"/>
      <c r="D81" s="107"/>
      <c r="E81" s="108"/>
      <c r="F81" s="109"/>
      <c r="G81" s="109"/>
      <c r="H81" s="110"/>
      <c r="I81" s="102"/>
      <c r="J81" s="114" t="str">
        <f aca="false">VLOOKUP(1,$AD$80:$AT$91,17,FALSE())</f>
        <v>Ⓖ Egypt</v>
      </c>
      <c r="K81" s="115" t="n">
        <f aca="false">L81+M81+N81</f>
        <v>3</v>
      </c>
      <c r="L81" s="115" t="n">
        <f aca="false">VLOOKUP(1,$AD$80:$AN$91,3,FALSE())</f>
        <v>1</v>
      </c>
      <c r="M81" s="115" t="n">
        <f aca="false">VLOOKUP(1,$AD$80:$AN$91,4,FALSE())</f>
        <v>0</v>
      </c>
      <c r="N81" s="115" t="n">
        <f aca="false">VLOOKUP(1,$AD$80:$AN$91,5,FALSE())</f>
        <v>2</v>
      </c>
      <c r="O81" s="115" t="str">
        <f aca="false">VLOOKUP(1,$AD$80:$AN$91,6,FALSE()) &amp; " - " &amp; VLOOKUP(1,$AD$80:$AN$91,7,FALSE())</f>
        <v>3 - 3</v>
      </c>
      <c r="P81" s="116" t="n">
        <f aca="false">L81*3+M81</f>
        <v>3</v>
      </c>
      <c r="AD81" s="42" t="n">
        <f aca="false">COUNTIF($AP$80:$AP$91,CONCATENATE("&gt;=",AP81))</f>
        <v>4</v>
      </c>
      <c r="AE81" s="44" t="str">
        <f aca="false">J17</f>
        <v>Qatar</v>
      </c>
      <c r="AF81" s="42" t="n">
        <f aca="false">VLOOKUP($AE81,$AE$8:$AQ$78,2,FALSE())</f>
        <v>1</v>
      </c>
      <c r="AG81" s="42" t="n">
        <f aca="false">VLOOKUP($AE81,$AE$8:$AQ$78,3,FALSE())</f>
        <v>0</v>
      </c>
      <c r="AH81" s="42" t="n">
        <f aca="false">VLOOKUP($AE81,$AE$8:$AQ$78,4,FALSE())</f>
        <v>2</v>
      </c>
      <c r="AI81" s="42" t="n">
        <f aca="false">VLOOKUP($AE81,$AE$8:$AQ$78,5,FALSE())</f>
        <v>3</v>
      </c>
      <c r="AJ81" s="42" t="n">
        <f aca="false">VLOOKUP($AE81,$AE$8:$AQ$78,6,FALSE())</f>
        <v>4</v>
      </c>
      <c r="AK81" s="42" t="s">
        <v>3182</v>
      </c>
      <c r="AL81" s="42" t="n">
        <f aca="false">VLOOKUP($AE81,$AE$8:$AQ$78,8,FALSE())</f>
        <v>-1</v>
      </c>
      <c r="AM81" s="42" t="n">
        <f aca="false">AL81-$AL$92</f>
        <v>2</v>
      </c>
      <c r="AN81" s="42" t="n">
        <f aca="false">VLOOKUP($AE81,$AE$8:$AQ$78,10,FALSE())</f>
        <v>3</v>
      </c>
      <c r="AP81" s="42" t="n">
        <f aca="false">AN81/AN92*10000+AM81/AM92*1000+AI81/AI92*100+IF(AQ81=0,ROW(),AQ81)/2000000</f>
        <v>8075.00072748</v>
      </c>
      <c r="AQ81" s="46" t="n">
        <f aca="false">VLOOKUP($AE81,$AE$8:$AQ$78,13,FALSE())</f>
        <v>1454.96</v>
      </c>
      <c r="AR81" s="45" t="str">
        <f aca="false">AR80&amp;IF(AD81&lt;=8,RIGHT(AK81,1),"")</f>
        <v>AB</v>
      </c>
      <c r="AS81" s="112" t="str">
        <f aca="false">IF(AD81&lt;=8,AE81,"")</f>
        <v>Qatar</v>
      </c>
      <c r="AT81" s="113" t="str">
        <f aca="false">"Ⓑ "&amp;AE81</f>
        <v>Ⓑ Qatar</v>
      </c>
    </row>
    <row r="82" customFormat="false" ht="15" hidden="false" customHeight="true" outlineLevel="0" collapsed="false">
      <c r="A82" s="107"/>
      <c r="B82" s="107"/>
      <c r="C82" s="107"/>
      <c r="D82" s="107"/>
      <c r="E82" s="108"/>
      <c r="F82" s="109"/>
      <c r="G82" s="109"/>
      <c r="H82" s="110"/>
      <c r="I82" s="102"/>
      <c r="J82" s="117" t="str">
        <f aca="false">VLOOKUP(2,$AD$80:$AT$91,17,FALSE())</f>
        <v>Ⓔ Ivory Coast</v>
      </c>
      <c r="K82" s="118" t="n">
        <f aca="false">L82+M82+N82</f>
        <v>3</v>
      </c>
      <c r="L82" s="118" t="n">
        <f aca="false">VLOOKUP(2,$AD$80:$AN$91,3,FALSE())</f>
        <v>1</v>
      </c>
      <c r="M82" s="118" t="n">
        <f aca="false">VLOOKUP(2,$AD$80:$AN$91,4,FALSE())</f>
        <v>0</v>
      </c>
      <c r="N82" s="118" t="n">
        <f aca="false">VLOOKUP(2,$AD$80:$AN$91,5,FALSE())</f>
        <v>2</v>
      </c>
      <c r="O82" s="118" t="str">
        <f aca="false">VLOOKUP(2,$AD$80:$AN$91,6,FALSE()) &amp; " - " &amp; VLOOKUP(2,$AD$80:$AN$91,7,FALSE())</f>
        <v>3 - 3</v>
      </c>
      <c r="P82" s="119" t="n">
        <f aca="false">L82*3+M82</f>
        <v>3</v>
      </c>
      <c r="AD82" s="42" t="n">
        <f aca="false">COUNTIF($AP$80:$AP$91,CONCATENATE("&gt;=",AP82))</f>
        <v>10</v>
      </c>
      <c r="AE82" s="44" t="str">
        <f aca="false">J23</f>
        <v>Scotland</v>
      </c>
      <c r="AF82" s="42" t="n">
        <f aca="false">VLOOKUP($AE82,$AE$8:$AQ$78,2,FALSE())</f>
        <v>1</v>
      </c>
      <c r="AG82" s="42" t="n">
        <f aca="false">VLOOKUP($AE82,$AE$8:$AQ$78,3,FALSE())</f>
        <v>0</v>
      </c>
      <c r="AH82" s="42" t="n">
        <f aca="false">VLOOKUP($AE82,$AE$8:$AQ$78,4,FALSE())</f>
        <v>2</v>
      </c>
      <c r="AI82" s="42" t="n">
        <f aca="false">VLOOKUP($AE82,$AE$8:$AQ$78,5,FALSE())</f>
        <v>2</v>
      </c>
      <c r="AJ82" s="42" t="n">
        <f aca="false">VLOOKUP($AE82,$AE$8:$AQ$78,6,FALSE())</f>
        <v>4</v>
      </c>
      <c r="AK82" s="42" t="s">
        <v>3183</v>
      </c>
      <c r="AL82" s="42" t="n">
        <f aca="false">VLOOKUP($AE82,$AE$8:$AQ$78,8,FALSE())</f>
        <v>-2</v>
      </c>
      <c r="AM82" s="42" t="n">
        <f aca="false">AL82-$AL$92</f>
        <v>1</v>
      </c>
      <c r="AN82" s="42" t="n">
        <f aca="false">VLOOKUP($AE82,$AE$8:$AQ$78,10,FALSE())</f>
        <v>3</v>
      </c>
      <c r="AP82" s="42" t="n">
        <f aca="false">AN82/AN92*10000+AM82/AM92*1000+AI82/AI92*100+IF(AQ82=0,ROW(),AQ82)/2000000</f>
        <v>7800.000749175</v>
      </c>
      <c r="AQ82" s="46" t="n">
        <f aca="false">VLOOKUP($AE82,$AE$8:$AQ$78,13,FALSE())</f>
        <v>1498.35</v>
      </c>
      <c r="AR82" s="45" t="str">
        <f aca="false">AR81&amp;IF(AD82&lt;=8,RIGHT(AK82,1),"")</f>
        <v>AB</v>
      </c>
      <c r="AS82" s="112" t="str">
        <f aca="false">IF(AD82&lt;=8,AE82,"")</f>
        <v/>
      </c>
      <c r="AT82" s="113" t="str">
        <f aca="false">"Ⓒ "&amp;AE82</f>
        <v>Ⓒ Scotland</v>
      </c>
    </row>
    <row r="83" customFormat="false" ht="15" hidden="false" customHeight="true" outlineLevel="0" collapsed="false">
      <c r="A83" s="107"/>
      <c r="B83" s="107"/>
      <c r="C83" s="120" t="s">
        <v>3184</v>
      </c>
      <c r="D83" s="120"/>
      <c r="E83" s="120"/>
      <c r="F83" s="120"/>
      <c r="G83" s="120"/>
      <c r="H83" s="110"/>
      <c r="I83" s="102"/>
      <c r="J83" s="117" t="str">
        <f aca="false">VLOOKUP(3,$AD$80:$AT$91,17,FALSE())</f>
        <v>Ⓐ Czech Republic</v>
      </c>
      <c r="K83" s="118" t="n">
        <f aca="false">L83+M83+N83</f>
        <v>3</v>
      </c>
      <c r="L83" s="118" t="n">
        <f aca="false">VLOOKUP(3,$AD$80:$AN$91,3,FALSE())</f>
        <v>1</v>
      </c>
      <c r="M83" s="118" t="n">
        <f aca="false">VLOOKUP(3,$AD$80:$AN$91,4,FALSE())</f>
        <v>0</v>
      </c>
      <c r="N83" s="118" t="n">
        <f aca="false">VLOOKUP(3,$AD$80:$AN$91,5,FALSE())</f>
        <v>2</v>
      </c>
      <c r="O83" s="118" t="str">
        <f aca="false">VLOOKUP(3,$AD$80:$AN$91,6,FALSE()) &amp; " - " &amp; VLOOKUP(3,$AD$80:$AN$91,7,FALSE())</f>
        <v>3 - 4</v>
      </c>
      <c r="P83" s="119" t="n">
        <f aca="false">L83*3+M83</f>
        <v>3</v>
      </c>
      <c r="AD83" s="42" t="n">
        <f aca="false">COUNTIF($AP$80:$AP$91,CONCATENATE("&gt;=",AP83))</f>
        <v>5</v>
      </c>
      <c r="AE83" s="44" t="str">
        <f aca="false">J29</f>
        <v>Australia</v>
      </c>
      <c r="AF83" s="42" t="n">
        <f aca="false">VLOOKUP($AE83,$AE$8:$AQ$78,2,FALSE())</f>
        <v>1</v>
      </c>
      <c r="AG83" s="42" t="n">
        <f aca="false">VLOOKUP($AE83,$AE$8:$AQ$78,3,FALSE())</f>
        <v>0</v>
      </c>
      <c r="AH83" s="42" t="n">
        <f aca="false">VLOOKUP($AE83,$AE$8:$AQ$78,4,FALSE())</f>
        <v>2</v>
      </c>
      <c r="AI83" s="42" t="n">
        <f aca="false">VLOOKUP($AE83,$AE$8:$AQ$78,5,FALSE())</f>
        <v>2</v>
      </c>
      <c r="AJ83" s="42" t="n">
        <f aca="false">VLOOKUP($AE83,$AE$8:$AQ$78,6,FALSE())</f>
        <v>3</v>
      </c>
      <c r="AK83" s="42" t="s">
        <v>3185</v>
      </c>
      <c r="AL83" s="42" t="n">
        <f aca="false">VLOOKUP($AE83,$AE$8:$AQ$78,8,FALSE())</f>
        <v>-1</v>
      </c>
      <c r="AM83" s="42" t="n">
        <f aca="false">AL83-$AL$92</f>
        <v>2</v>
      </c>
      <c r="AN83" s="42" t="n">
        <f aca="false">VLOOKUP($AE83,$AE$8:$AQ$78,10,FALSE())</f>
        <v>3</v>
      </c>
      <c r="AP83" s="42" t="n">
        <f aca="false">AN83/AN92*10000+AM83/AM92*1000+AI83/AI92*100+IF(AQ83=0,ROW(),AQ83)/2000000</f>
        <v>8050.000790335</v>
      </c>
      <c r="AQ83" s="46" t="n">
        <f aca="false">VLOOKUP($AE83,$AE$8:$AQ$78,13,FALSE())</f>
        <v>1580.67</v>
      </c>
      <c r="AR83" s="45" t="str">
        <f aca="false">AR82&amp;IF(AD83&lt;=8,RIGHT(AK83,1),"")</f>
        <v>ABD</v>
      </c>
      <c r="AS83" s="112" t="str">
        <f aca="false">IF(AD83&lt;=8,AE83,"")</f>
        <v>Australia</v>
      </c>
      <c r="AT83" s="113" t="str">
        <f aca="false">"Ⓓ "&amp;AE83</f>
        <v>Ⓓ Australia</v>
      </c>
    </row>
    <row r="84" customFormat="false" ht="15" hidden="false" customHeight="true" outlineLevel="0" collapsed="false">
      <c r="A84" s="107"/>
      <c r="B84" s="107"/>
      <c r="C84" s="120"/>
      <c r="D84" s="120"/>
      <c r="E84" s="120"/>
      <c r="F84" s="120"/>
      <c r="G84" s="120"/>
      <c r="H84" s="110"/>
      <c r="I84" s="102"/>
      <c r="J84" s="117" t="str">
        <f aca="false">VLOOKUP(4,$AD$80:$AT$91,17,FALSE())</f>
        <v>Ⓑ Qatar</v>
      </c>
      <c r="K84" s="118" t="n">
        <f aca="false">L84+M84+N84</f>
        <v>3</v>
      </c>
      <c r="L84" s="118" t="n">
        <f aca="false">VLOOKUP(4,$AD$80:$AN$91,3,FALSE())</f>
        <v>1</v>
      </c>
      <c r="M84" s="118" t="n">
        <f aca="false">VLOOKUP(4,$AD$80:$AN$91,4,FALSE())</f>
        <v>0</v>
      </c>
      <c r="N84" s="118" t="n">
        <f aca="false">VLOOKUP(4,$AD$80:$AN$91,5,FALSE())</f>
        <v>2</v>
      </c>
      <c r="O84" s="118" t="str">
        <f aca="false">VLOOKUP(4,$AD$80:$AN$91,6,FALSE()) &amp; " - " &amp; VLOOKUP(4,$AD$80:$AN$91,7,FALSE())</f>
        <v>3 - 4</v>
      </c>
      <c r="P84" s="119" t="n">
        <f aca="false">L84*3+M84</f>
        <v>3</v>
      </c>
      <c r="R84" s="42" t="n">
        <f aca="false">DATE(2026,12,3)+TIME(4,0,0)+gmt_delta</f>
        <v>46359.7083333333</v>
      </c>
      <c r="S84" s="43" t="str">
        <f aca="false"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43" t="str">
        <f aca="false" t="array" ref="T84:T84">IF(OR(S84="",S84="draw"),INDEX(T,86,lang),S84)</f>
        <v>Germany</v>
      </c>
      <c r="AD84" s="42" t="n">
        <f aca="false">COUNTIF($AP$80:$AP$91,CONCATENATE("&gt;=",AP84))</f>
        <v>2</v>
      </c>
      <c r="AE84" s="44" t="str">
        <f aca="false">J35</f>
        <v>Ivory Coast</v>
      </c>
      <c r="AF84" s="42" t="n">
        <f aca="false">VLOOKUP($AE84,$AE$8:$AQ$78,2,FALSE())</f>
        <v>1</v>
      </c>
      <c r="AG84" s="42" t="n">
        <f aca="false">VLOOKUP($AE84,$AE$8:$AQ$78,3,FALSE())</f>
        <v>0</v>
      </c>
      <c r="AH84" s="42" t="n">
        <f aca="false">VLOOKUP($AE84,$AE$8:$AQ$78,4,FALSE())</f>
        <v>2</v>
      </c>
      <c r="AI84" s="42" t="n">
        <f aca="false">VLOOKUP($AE84,$AE$8:$AQ$78,5,FALSE())</f>
        <v>3</v>
      </c>
      <c r="AJ84" s="42" t="n">
        <f aca="false">VLOOKUP($AE84,$AE$8:$AQ$78,6,FALSE())</f>
        <v>3</v>
      </c>
      <c r="AK84" s="42" t="s">
        <v>3186</v>
      </c>
      <c r="AL84" s="42" t="n">
        <f aca="false">VLOOKUP($AE84,$AE$8:$AQ$78,8,FALSE())</f>
        <v>0</v>
      </c>
      <c r="AM84" s="42" t="n">
        <f aca="false">AL84-$AL$92</f>
        <v>3</v>
      </c>
      <c r="AN84" s="42" t="n">
        <f aca="false">VLOOKUP($AE84,$AE$8:$AQ$78,10,FALSE())</f>
        <v>3</v>
      </c>
      <c r="AP84" s="42" t="n">
        <f aca="false">AN84/AN92*10000+AM84/AM92*1000+AI84/AI92*100+IF(AQ84=0,ROW(),AQ84)/2000000</f>
        <v>8325.00076649</v>
      </c>
      <c r="AQ84" s="46" t="n">
        <f aca="false">VLOOKUP($AE84,$AE$8:$AQ$78,13,FALSE())</f>
        <v>1532.98</v>
      </c>
      <c r="AR84" s="45" t="str">
        <f aca="false">AR83&amp;IF(AD84&lt;=8,RIGHT(AK84,1),"")</f>
        <v>ABDE</v>
      </c>
      <c r="AS84" s="112" t="str">
        <f aca="false">IF(AD84&lt;=8,AE84,"")</f>
        <v>Ivory Coast</v>
      </c>
      <c r="AT84" s="113" t="str">
        <f aca="false">"Ⓔ "&amp;AE84</f>
        <v>Ⓔ Ivory Coast</v>
      </c>
    </row>
    <row r="85" customFormat="false" ht="15" hidden="false" customHeight="true" outlineLevel="0" collapsed="false">
      <c r="A85" s="107"/>
      <c r="B85" s="107"/>
      <c r="C85" s="120"/>
      <c r="D85" s="120"/>
      <c r="E85" s="120"/>
      <c r="F85" s="120"/>
      <c r="G85" s="120"/>
      <c r="H85" s="110"/>
      <c r="I85" s="102"/>
      <c r="J85" s="117" t="str">
        <f aca="false">VLOOKUP(5,$AD$80:$AT$91,17,FALSE())</f>
        <v>Ⓓ Australia</v>
      </c>
      <c r="K85" s="118" t="n">
        <f aca="false">L85+M85+N85</f>
        <v>3</v>
      </c>
      <c r="L85" s="118" t="n">
        <f aca="false">VLOOKUP(5,$AD$80:$AN$91,3,FALSE())</f>
        <v>1</v>
      </c>
      <c r="M85" s="118" t="n">
        <f aca="false">VLOOKUP(5,$AD$80:$AN$91,4,FALSE())</f>
        <v>0</v>
      </c>
      <c r="N85" s="118" t="n">
        <f aca="false">VLOOKUP(5,$AD$80:$AN$91,5,FALSE())</f>
        <v>2</v>
      </c>
      <c r="O85" s="118" t="str">
        <f aca="false">VLOOKUP(5,$AD$80:$AN$91,6,FALSE()) &amp; " - " &amp; VLOOKUP(5,$AD$80:$AN$91,7,FALSE())</f>
        <v>2 - 3</v>
      </c>
      <c r="P85" s="119" t="n">
        <f aca="false">L85*3+M85</f>
        <v>3</v>
      </c>
      <c r="R85" s="42" t="n">
        <f aca="false">DATE(2026,12,3)+TIME(8,0,0)+gmt_delta</f>
        <v>46359.875</v>
      </c>
      <c r="S85" s="43" t="str">
        <f aca="false"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43" t="str">
        <f aca="false" t="array" ref="T85:T85">IF(OR(S85="",S85="draw"),INDEX(T,87,lang),S85)</f>
        <v>France</v>
      </c>
      <c r="AD85" s="42" t="n">
        <f aca="false">COUNTIF($AP$80:$AP$91,CONCATENATE("&gt;=",AP85))</f>
        <v>9</v>
      </c>
      <c r="AE85" s="44" t="str">
        <f aca="false">J41</f>
        <v>Sweden</v>
      </c>
      <c r="AF85" s="42" t="n">
        <f aca="false">VLOOKUP($AE85,$AE$8:$AQ$78,2,FALSE())</f>
        <v>1</v>
      </c>
      <c r="AG85" s="42" t="n">
        <f aca="false">VLOOKUP($AE85,$AE$8:$AQ$78,3,FALSE())</f>
        <v>0</v>
      </c>
      <c r="AH85" s="42" t="n">
        <f aca="false">VLOOKUP($AE85,$AE$8:$AQ$78,4,FALSE())</f>
        <v>2</v>
      </c>
      <c r="AI85" s="42" t="n">
        <f aca="false">VLOOKUP($AE85,$AE$8:$AQ$78,5,FALSE())</f>
        <v>2</v>
      </c>
      <c r="AJ85" s="42" t="n">
        <f aca="false">VLOOKUP($AE85,$AE$8:$AQ$78,6,FALSE())</f>
        <v>4</v>
      </c>
      <c r="AK85" s="42" t="s">
        <v>3187</v>
      </c>
      <c r="AL85" s="42" t="n">
        <f aca="false">VLOOKUP($AE85,$AE$8:$AQ$78,8,FALSE())</f>
        <v>-2</v>
      </c>
      <c r="AM85" s="42" t="n">
        <f aca="false">AL85-$AL$92</f>
        <v>1</v>
      </c>
      <c r="AN85" s="42" t="n">
        <f aca="false">VLOOKUP($AE85,$AE$8:$AQ$78,10,FALSE())</f>
        <v>3</v>
      </c>
      <c r="AP85" s="42" t="n">
        <f aca="false">AN85/AN92*10000+AM85/AM92*1000+AI85/AI92*100+IF(AQ85=0,ROW(),AQ85)/2000000</f>
        <v>7800.000757385</v>
      </c>
      <c r="AQ85" s="46" t="n">
        <f aca="false">VLOOKUP($AE85,$AE$8:$AQ$78,13,FALSE())</f>
        <v>1514.77</v>
      </c>
      <c r="AR85" s="45" t="str">
        <f aca="false">AR84&amp;IF(AD85&lt;=8,RIGHT(AK85,1),"")</f>
        <v>ABDE</v>
      </c>
      <c r="AS85" s="112" t="str">
        <f aca="false">IF(AD85&lt;=8,AE85,"")</f>
        <v/>
      </c>
      <c r="AT85" s="113" t="str">
        <f aca="false">"Ⓕ "&amp;AE85</f>
        <v>Ⓕ Sweden</v>
      </c>
    </row>
    <row r="86" customFormat="false" ht="15" hidden="false" customHeight="true" outlineLevel="0" collapsed="false">
      <c r="A86" s="107"/>
      <c r="B86" s="107"/>
      <c r="C86" s="120"/>
      <c r="D86" s="120"/>
      <c r="E86" s="120"/>
      <c r="F86" s="120"/>
      <c r="G86" s="120"/>
      <c r="H86" s="110"/>
      <c r="I86" s="102"/>
      <c r="J86" s="117" t="str">
        <f aca="false">VLOOKUP(6,$AD$80:$AT$91,17,FALSE())</f>
        <v>Ⓘ Norway</v>
      </c>
      <c r="K86" s="118" t="n">
        <f aca="false">L86+M86+N86</f>
        <v>3</v>
      </c>
      <c r="L86" s="118" t="n">
        <f aca="false">VLOOKUP(6,$AD$80:$AN$91,3,FALSE())</f>
        <v>1</v>
      </c>
      <c r="M86" s="118" t="n">
        <f aca="false">VLOOKUP(6,$AD$80:$AN$91,4,FALSE())</f>
        <v>0</v>
      </c>
      <c r="N86" s="118" t="n">
        <f aca="false">VLOOKUP(6,$AD$80:$AN$91,5,FALSE())</f>
        <v>2</v>
      </c>
      <c r="O86" s="118" t="str">
        <f aca="false">VLOOKUP(6,$AD$80:$AN$91,6,FALSE()) &amp; " - " &amp; VLOOKUP(6,$AD$80:$AN$91,7,FALSE())</f>
        <v>3 - 5</v>
      </c>
      <c r="P86" s="119" t="n">
        <f aca="false">L86*3+M86</f>
        <v>3</v>
      </c>
      <c r="R86" s="42" t="n">
        <f aca="false">DATE(2026,12,4)+TIME(8,0,0)+gmt_delta</f>
        <v>46360.875</v>
      </c>
      <c r="S86" s="43" t="str">
        <f aca="false"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43" t="str">
        <f aca="false" t="array" ref="T86:T86">IF(OR(S86="",S86="draw"),INDEX(T,88,lang),S86)</f>
        <v>Croatia</v>
      </c>
      <c r="AD86" s="42" t="n">
        <f aca="false">COUNTIF($AP$80:$AP$91,CONCATENATE("&gt;=",AP86))</f>
        <v>1</v>
      </c>
      <c r="AE86" s="44" t="str">
        <f aca="false">J47</f>
        <v>Egypt</v>
      </c>
      <c r="AF86" s="42" t="n">
        <f aca="false">VLOOKUP($AE86,$AE$8:$AQ$78,2,FALSE())</f>
        <v>1</v>
      </c>
      <c r="AG86" s="42" t="n">
        <f aca="false">VLOOKUP($AE86,$AE$8:$AQ$78,3,FALSE())</f>
        <v>0</v>
      </c>
      <c r="AH86" s="42" t="n">
        <f aca="false">VLOOKUP($AE86,$AE$8:$AQ$78,4,FALSE())</f>
        <v>2</v>
      </c>
      <c r="AI86" s="42" t="n">
        <f aca="false">VLOOKUP($AE86,$AE$8:$AQ$78,5,FALSE())</f>
        <v>3</v>
      </c>
      <c r="AJ86" s="42" t="n">
        <f aca="false">VLOOKUP($AE86,$AE$8:$AQ$78,6,FALSE())</f>
        <v>3</v>
      </c>
      <c r="AK86" s="42" t="s">
        <v>3188</v>
      </c>
      <c r="AL86" s="42" t="n">
        <f aca="false">VLOOKUP($AE86,$AE$8:$AQ$78,8,FALSE())</f>
        <v>0</v>
      </c>
      <c r="AM86" s="42" t="n">
        <f aca="false">AL86-$AL$92</f>
        <v>3</v>
      </c>
      <c r="AN86" s="42" t="n">
        <f aca="false">VLOOKUP($AE86,$AE$8:$AQ$78,10,FALSE())</f>
        <v>3</v>
      </c>
      <c r="AP86" s="42" t="n">
        <f aca="false">AN86/AN92*10000+AM86/AM92*1000+AI86/AI92*100+IF(AQ86=0,ROW(),AQ86)/2000000</f>
        <v>8325.00078162</v>
      </c>
      <c r="AQ86" s="46" t="n">
        <f aca="false">VLOOKUP($AE86,$AE$8:$AQ$78,13,FALSE())</f>
        <v>1563.24</v>
      </c>
      <c r="AR86" s="45" t="str">
        <f aca="false">AR85&amp;IF(AD86&lt;=8,RIGHT(AK86,1),"")</f>
        <v>ABDEG</v>
      </c>
      <c r="AS86" s="112" t="str">
        <f aca="false">IF(AD86&lt;=8,AE86,"")</f>
        <v>Egypt</v>
      </c>
      <c r="AT86" s="113" t="str">
        <f aca="false">"Ⓖ "&amp;AE86</f>
        <v>Ⓖ Egypt</v>
      </c>
    </row>
    <row r="87" customFormat="false" ht="15" hidden="false" customHeight="true" outlineLevel="0" collapsed="false">
      <c r="A87" s="107"/>
      <c r="B87" s="107"/>
      <c r="C87" s="120"/>
      <c r="D87" s="120"/>
      <c r="E87" s="120"/>
      <c r="F87" s="120"/>
      <c r="G87" s="120"/>
      <c r="H87" s="110"/>
      <c r="I87" s="102"/>
      <c r="J87" s="117" t="str">
        <f aca="false">VLOOKUP(7,$AD$80:$AT$91,17,FALSE())</f>
        <v>Ⓛ Panama</v>
      </c>
      <c r="K87" s="118" t="n">
        <f aca="false">L87+M87+N87</f>
        <v>3</v>
      </c>
      <c r="L87" s="118" t="n">
        <f aca="false">VLOOKUP(7,$AD$80:$AN$91,3,FALSE())</f>
        <v>1</v>
      </c>
      <c r="M87" s="118" t="n">
        <f aca="false">VLOOKUP(7,$AD$80:$AN$91,4,FALSE())</f>
        <v>0</v>
      </c>
      <c r="N87" s="118" t="n">
        <f aca="false">VLOOKUP(7,$AD$80:$AN$91,5,FALSE())</f>
        <v>2</v>
      </c>
      <c r="O87" s="118" t="str">
        <f aca="false">VLOOKUP(7,$AD$80:$AN$91,6,FALSE()) &amp; " - " &amp; VLOOKUP(7,$AD$80:$AN$91,7,FALSE())</f>
        <v>3 - 5</v>
      </c>
      <c r="P87" s="119" t="n">
        <f aca="false">L87*3+M87</f>
        <v>3</v>
      </c>
      <c r="R87" s="42" t="n">
        <f aca="false">DATE(2026,12,4)+TIME(4,0,0)+gmt_delta</f>
        <v>46360.7083333333</v>
      </c>
      <c r="S87" s="43" t="str">
        <f aca="false"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43" t="str">
        <f aca="false" t="array" ref="T87:T87">IF(OR(S87="",S87="draw"),INDEX(T,89,lang),S87)</f>
        <v>Spain</v>
      </c>
      <c r="AD87" s="42" t="n">
        <f aca="false">COUNTIF($AP$80:$AP$91,CONCATENATE("&gt;=",AP87))</f>
        <v>12</v>
      </c>
      <c r="AE87" s="44" t="str">
        <f aca="false">J53</f>
        <v>Saudi Arabia</v>
      </c>
      <c r="AF87" s="42" t="n">
        <f aca="false">VLOOKUP($AE87,$AE$8:$AQ$78,2,FALSE())</f>
        <v>1</v>
      </c>
      <c r="AG87" s="42" t="n">
        <f aca="false">VLOOKUP($AE87,$AE$8:$AQ$78,3,FALSE())</f>
        <v>0</v>
      </c>
      <c r="AH87" s="42" t="n">
        <f aca="false">VLOOKUP($AE87,$AE$8:$AQ$78,4,FALSE())</f>
        <v>2</v>
      </c>
      <c r="AI87" s="42" t="n">
        <f aca="false">VLOOKUP($AE87,$AE$8:$AQ$78,5,FALSE())</f>
        <v>1</v>
      </c>
      <c r="AJ87" s="42" t="n">
        <f aca="false">VLOOKUP($AE87,$AE$8:$AQ$78,6,FALSE())</f>
        <v>4</v>
      </c>
      <c r="AK87" s="42" t="s">
        <v>3189</v>
      </c>
      <c r="AL87" s="42" t="n">
        <f aca="false">VLOOKUP($AE87,$AE$8:$AQ$78,8,FALSE())</f>
        <v>-3</v>
      </c>
      <c r="AM87" s="42" t="n">
        <f aca="false">AL87-$AL$92</f>
        <v>0</v>
      </c>
      <c r="AN87" s="42" t="n">
        <f aca="false">VLOOKUP($AE87,$AE$8:$AQ$78,10,FALSE())</f>
        <v>3</v>
      </c>
      <c r="AP87" s="42" t="n">
        <f aca="false">AN87/AN92*10000+AM87/AM92*1000+AI87/AI92*100+IF(AQ87=0,ROW(),AQ87)/2000000</f>
        <v>7525.000710715</v>
      </c>
      <c r="AQ87" s="46" t="n">
        <f aca="false">VLOOKUP($AE87,$AE$8:$AQ$78,13,FALSE())</f>
        <v>1421.43</v>
      </c>
      <c r="AR87" s="45" t="str">
        <f aca="false">AR86&amp;IF(AD87&lt;=8,RIGHT(AK87,1),"")</f>
        <v>ABDEG</v>
      </c>
      <c r="AS87" s="112" t="str">
        <f aca="false">IF(AD87&lt;=8,AE87,"")</f>
        <v/>
      </c>
      <c r="AT87" s="113" t="str">
        <f aca="false">"Ⓗ "&amp;AE87</f>
        <v>Ⓗ Saudi Arabia</v>
      </c>
    </row>
    <row r="88" customFormat="false" ht="15" hidden="false" customHeight="true" outlineLevel="0" collapsed="false">
      <c r="A88" s="107"/>
      <c r="B88" s="107"/>
      <c r="C88" s="120"/>
      <c r="D88" s="120"/>
      <c r="E88" s="120"/>
      <c r="F88" s="120"/>
      <c r="G88" s="120"/>
      <c r="H88" s="110"/>
      <c r="I88" s="102"/>
      <c r="J88" s="117" t="str">
        <f aca="false">VLOOKUP(8,$AD$80:$AT$91,17,FALSE())</f>
        <v>Ⓙ Algeria</v>
      </c>
      <c r="K88" s="118" t="n">
        <f aca="false">L88+M88+N88</f>
        <v>3</v>
      </c>
      <c r="L88" s="118" t="n">
        <f aca="false">VLOOKUP(8,$AD$80:$AN$91,3,FALSE())</f>
        <v>1</v>
      </c>
      <c r="M88" s="118" t="n">
        <f aca="false">VLOOKUP(8,$AD$80:$AN$91,4,FALSE())</f>
        <v>0</v>
      </c>
      <c r="N88" s="118" t="n">
        <f aca="false">VLOOKUP(8,$AD$80:$AN$91,5,FALSE())</f>
        <v>2</v>
      </c>
      <c r="O88" s="118" t="str">
        <f aca="false">VLOOKUP(8,$AD$80:$AN$91,6,FALSE()) &amp; " - " &amp; VLOOKUP(8,$AD$80:$AN$91,7,FALSE())</f>
        <v>2 - 4</v>
      </c>
      <c r="P88" s="119" t="n">
        <f aca="false">L88*3+M88</f>
        <v>3</v>
      </c>
      <c r="R88" s="42" t="n">
        <f aca="false">DATE(2026,12,5)+TIME(4,0,0)+gmt_delta</f>
        <v>46361.7083333333</v>
      </c>
      <c r="S88" s="43" t="str">
        <f aca="false"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43" t="str">
        <f aca="false" t="array" ref="T88:T88">IF(OR(S88="",S88="draw"),INDEX(T,90,lang),S88)</f>
        <v>Korea Republic</v>
      </c>
      <c r="AD88" s="42" t="n">
        <f aca="false">COUNTIF($AP$80:$AP$91,CONCATENATE("&gt;=",AP88))</f>
        <v>6</v>
      </c>
      <c r="AE88" s="44" t="str">
        <f aca="false">J59</f>
        <v>Norway</v>
      </c>
      <c r="AF88" s="42" t="n">
        <f aca="false">VLOOKUP($AE88,$AE$8:$AQ$78,2,FALSE())</f>
        <v>1</v>
      </c>
      <c r="AG88" s="42" t="n">
        <f aca="false">VLOOKUP($AE88,$AE$8:$AQ$78,3,FALSE())</f>
        <v>0</v>
      </c>
      <c r="AH88" s="42" t="n">
        <f aca="false">VLOOKUP($AE88,$AE$8:$AQ$78,4,FALSE())</f>
        <v>2</v>
      </c>
      <c r="AI88" s="42" t="n">
        <f aca="false">VLOOKUP($AE88,$AE$8:$AQ$78,5,FALSE())</f>
        <v>3</v>
      </c>
      <c r="AJ88" s="42" t="n">
        <f aca="false">VLOOKUP($AE88,$AE$8:$AQ$78,6,FALSE())</f>
        <v>5</v>
      </c>
      <c r="AK88" s="42" t="s">
        <v>3190</v>
      </c>
      <c r="AL88" s="42" t="n">
        <f aca="false">VLOOKUP($AE88,$AE$8:$AQ$78,8,FALSE())</f>
        <v>-2</v>
      </c>
      <c r="AM88" s="42" t="n">
        <f aca="false">AL88-$AL$92</f>
        <v>1</v>
      </c>
      <c r="AN88" s="42" t="n">
        <f aca="false">VLOOKUP($AE88,$AE$8:$AQ$78,10,FALSE())</f>
        <v>3</v>
      </c>
      <c r="AP88" s="42" t="n">
        <f aca="false">AN88/AN92*10000+AM88/AM92*1000+AI88/AI92*100+IF(AQ88=0,ROW(),AQ88)/2000000</f>
        <v>7825.00077547</v>
      </c>
      <c r="AQ88" s="46" t="n">
        <f aca="false">VLOOKUP($AE88,$AE$8:$AQ$78,13,FALSE())</f>
        <v>1550.94</v>
      </c>
      <c r="AR88" s="45" t="str">
        <f aca="false">AR87&amp;IF(AD88&lt;=8,RIGHT(AK88,1),"")</f>
        <v>ABDEGI</v>
      </c>
      <c r="AS88" s="112" t="str">
        <f aca="false">IF(AD88&lt;=8,AE88,"")</f>
        <v>Norway</v>
      </c>
      <c r="AT88" s="113" t="str">
        <f aca="false">"Ⓘ "&amp;AE88</f>
        <v>Ⓘ Norway</v>
      </c>
    </row>
    <row r="89" customFormat="false" ht="15" hidden="false" customHeight="true" outlineLevel="0" collapsed="false">
      <c r="A89" s="107"/>
      <c r="B89" s="107"/>
      <c r="C89" s="107"/>
      <c r="D89" s="107"/>
      <c r="E89" s="108"/>
      <c r="F89" s="109"/>
      <c r="G89" s="109"/>
      <c r="H89" s="110"/>
      <c r="I89" s="102"/>
      <c r="J89" s="121" t="str">
        <f aca="false">VLOOKUP(9,$AD$80:$AT$91,17,FALSE())</f>
        <v>Ⓕ Sweden</v>
      </c>
      <c r="K89" s="122" t="n">
        <f aca="false">L89+M89+N89</f>
        <v>3</v>
      </c>
      <c r="L89" s="122" t="n">
        <f aca="false">VLOOKUP(9,$AD$80:$AN$91,3,FALSE())</f>
        <v>1</v>
      </c>
      <c r="M89" s="122" t="n">
        <f aca="false">VLOOKUP(9,$AD$80:$AN$91,4,FALSE())</f>
        <v>0</v>
      </c>
      <c r="N89" s="122" t="n">
        <f aca="false">VLOOKUP(9,$AD$80:$AN$91,5,FALSE())</f>
        <v>2</v>
      </c>
      <c r="O89" s="122" t="str">
        <f aca="false">VLOOKUP(9,$AD$80:$AN$91,6,FALSE()) &amp; " - " &amp; VLOOKUP(9,$AD$80:$AN$91,7,FALSE())</f>
        <v>2 - 4</v>
      </c>
      <c r="P89" s="123" t="n">
        <f aca="false">L89*3+M89</f>
        <v>3</v>
      </c>
      <c r="R89" s="42" t="n">
        <f aca="false">DATE(2026,12,5)+TIME(8,0,0)+gmt_delta</f>
        <v>46361.875</v>
      </c>
      <c r="S89" s="43" t="str">
        <f aca="false"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43" t="str">
        <f aca="false" t="array" ref="T89:T89">IF(OR(S89="",S89="draw"),INDEX(T,91,lang),S89)</f>
        <v>Netherlands</v>
      </c>
      <c r="AD89" s="42" t="n">
        <f aca="false">COUNTIF($AP$80:$AP$91,CONCATENATE("&gt;=",AP89))</f>
        <v>8</v>
      </c>
      <c r="AE89" s="44" t="str">
        <f aca="false">J65</f>
        <v>Algeria</v>
      </c>
      <c r="AF89" s="42" t="n">
        <f aca="false">VLOOKUP($AE89,$AE$8:$AQ$78,2,FALSE())</f>
        <v>1</v>
      </c>
      <c r="AG89" s="42" t="n">
        <f aca="false">VLOOKUP($AE89,$AE$8:$AQ$78,3,FALSE())</f>
        <v>0</v>
      </c>
      <c r="AH89" s="42" t="n">
        <f aca="false">VLOOKUP($AE89,$AE$8:$AQ$78,4,FALSE())</f>
        <v>2</v>
      </c>
      <c r="AI89" s="42" t="n">
        <f aca="false">VLOOKUP($AE89,$AE$8:$AQ$78,5,FALSE())</f>
        <v>2</v>
      </c>
      <c r="AJ89" s="42" t="n">
        <f aca="false">VLOOKUP($AE89,$AE$8:$AQ$78,6,FALSE())</f>
        <v>4</v>
      </c>
      <c r="AK89" s="42" t="s">
        <v>3191</v>
      </c>
      <c r="AL89" s="42" t="n">
        <f aca="false">VLOOKUP($AE89,$AE$8:$AQ$78,8,FALSE())</f>
        <v>-2</v>
      </c>
      <c r="AM89" s="42" t="n">
        <f aca="false">AL89-$AL$92</f>
        <v>1</v>
      </c>
      <c r="AN89" s="42" t="n">
        <f aca="false">VLOOKUP($AE89,$AE$8:$AQ$78,10,FALSE())</f>
        <v>3</v>
      </c>
      <c r="AP89" s="42" t="n">
        <f aca="false">AN89/AN92*10000+AM89/AM92*1000+AI89/AI92*100+IF(AQ89=0,ROW(),AQ89)/2000000</f>
        <v>7800.00078213</v>
      </c>
      <c r="AQ89" s="46" t="n">
        <f aca="false">VLOOKUP($AE89,$AE$8:$AQ$78,13,FALSE())</f>
        <v>1564.26</v>
      </c>
      <c r="AR89" s="45" t="str">
        <f aca="false">AR88&amp;IF(AD89&lt;=8,RIGHT(AK89,1),"")</f>
        <v>ABDEGIJ</v>
      </c>
      <c r="AS89" s="112" t="str">
        <f aca="false">IF(AD89&lt;=8,AE89,"")</f>
        <v>Algeria</v>
      </c>
      <c r="AT89" s="113" t="str">
        <f aca="false">"Ⓙ "&amp;AE89</f>
        <v>Ⓙ Algeria</v>
      </c>
    </row>
    <row r="90" customFormat="false" ht="15" hidden="false" customHeight="true" outlineLevel="0" collapsed="false">
      <c r="A90" s="107"/>
      <c r="B90" s="107"/>
      <c r="C90" s="107"/>
      <c r="D90" s="107"/>
      <c r="E90" s="108"/>
      <c r="F90" s="109"/>
      <c r="G90" s="109"/>
      <c r="H90" s="110"/>
      <c r="I90" s="102"/>
      <c r="J90" s="121" t="str">
        <f aca="false">VLOOKUP(10,$AD$80:$AT$91,17,FALSE())</f>
        <v>Ⓒ Scotland</v>
      </c>
      <c r="K90" s="122" t="n">
        <f aca="false">L90+M90+N90</f>
        <v>3</v>
      </c>
      <c r="L90" s="122" t="n">
        <f aca="false">VLOOKUP(10,$AD$80:$AN$91,3,FALSE())</f>
        <v>1</v>
      </c>
      <c r="M90" s="122" t="n">
        <f aca="false">VLOOKUP(10,$AD$80:$AN$91,4,FALSE())</f>
        <v>0</v>
      </c>
      <c r="N90" s="122" t="n">
        <f aca="false">VLOOKUP(10,$AD$80:$AN$91,5,FALSE())</f>
        <v>2</v>
      </c>
      <c r="O90" s="122" t="str">
        <f aca="false">VLOOKUP(10,$AD$80:$AN$91,6,FALSE()) &amp; " - " &amp; VLOOKUP(10,$AD$80:$AN$91,7,FALSE())</f>
        <v>2 - 4</v>
      </c>
      <c r="P90" s="123" t="n">
        <f aca="false">L90*3+M90</f>
        <v>3</v>
      </c>
      <c r="R90" s="42" t="n">
        <f aca="false">DATE(2026,12,6)+TIME(4,0,0)+gmt_delta</f>
        <v>46362.7083333333</v>
      </c>
      <c r="S90" s="43" t="str">
        <f aca="false"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43" t="str">
        <f aca="false">IF(OR(S90="",S90="draw"),INDEX(T,92,lang),S90)</f>
        <v>United States</v>
      </c>
      <c r="AD90" s="42" t="n">
        <f aca="false">COUNTIF($AP$80:$AP$91,CONCATENATE("&gt;=",AP90))</f>
        <v>11</v>
      </c>
      <c r="AE90" s="44" t="str">
        <f aca="false">J71</f>
        <v>DR Congo</v>
      </c>
      <c r="AF90" s="42" t="n">
        <f aca="false">VLOOKUP($AE90,$AE$8:$AQ$78,2,FALSE())</f>
        <v>1</v>
      </c>
      <c r="AG90" s="42" t="n">
        <f aca="false">VLOOKUP($AE90,$AE$8:$AQ$78,3,FALSE())</f>
        <v>0</v>
      </c>
      <c r="AH90" s="42" t="n">
        <f aca="false">VLOOKUP($AE90,$AE$8:$AQ$78,4,FALSE())</f>
        <v>2</v>
      </c>
      <c r="AI90" s="42" t="n">
        <f aca="false">VLOOKUP($AE90,$AE$8:$AQ$78,5,FALSE())</f>
        <v>1</v>
      </c>
      <c r="AJ90" s="42" t="n">
        <f aca="false">VLOOKUP($AE90,$AE$8:$AQ$78,6,FALSE())</f>
        <v>4</v>
      </c>
      <c r="AK90" s="42" t="s">
        <v>3192</v>
      </c>
      <c r="AL90" s="42" t="n">
        <f aca="false">VLOOKUP($AE90,$AE$8:$AQ$78,8,FALSE())</f>
        <v>-3</v>
      </c>
      <c r="AM90" s="42" t="n">
        <f aca="false">AL90-$AL$92</f>
        <v>0</v>
      </c>
      <c r="AN90" s="42" t="n">
        <f aca="false">VLOOKUP($AE90,$AE$8:$AQ$78,10,FALSE())</f>
        <v>3</v>
      </c>
      <c r="AP90" s="42" t="n">
        <f aca="false">AN90/AN92*10000+AM90/AM92*1000+AI90/AI92*100+IF(AQ90=0,ROW(),AQ90)/2000000</f>
        <v>7525.000739175</v>
      </c>
      <c r="AQ90" s="46" t="n">
        <f aca="false">VLOOKUP($AE90,$AE$8:$AQ$78,13,FALSE())</f>
        <v>1478.35</v>
      </c>
      <c r="AR90" s="45" t="str">
        <f aca="false">AR89&amp;IF(AD90&lt;=8,RIGHT(AK90,1),"")</f>
        <v>ABDEGIJ</v>
      </c>
      <c r="AS90" s="112" t="str">
        <f aca="false">IF(AD90&lt;=8,AE90,"")</f>
        <v/>
      </c>
      <c r="AT90" s="113" t="str">
        <f aca="false">"Ⓚ "&amp;AE90</f>
        <v>Ⓚ DR Congo</v>
      </c>
    </row>
    <row r="91" customFormat="false" ht="15" hidden="false" customHeight="true" outlineLevel="0" collapsed="false">
      <c r="A91" s="107"/>
      <c r="B91" s="107"/>
      <c r="C91" s="107"/>
      <c r="D91" s="107"/>
      <c r="E91" s="108"/>
      <c r="F91" s="109"/>
      <c r="G91" s="109"/>
      <c r="H91" s="110"/>
      <c r="I91" s="102"/>
      <c r="J91" s="121" t="str">
        <f aca="false">VLOOKUP(11,$AD$80:$AT$91,17,FALSE())</f>
        <v>Ⓚ DR Congo</v>
      </c>
      <c r="K91" s="122" t="n">
        <f aca="false">L91+M91+N91</f>
        <v>3</v>
      </c>
      <c r="L91" s="122" t="n">
        <f aca="false">VLOOKUP(11,$AD$80:$AN$91,3,FALSE())</f>
        <v>1</v>
      </c>
      <c r="M91" s="122" t="n">
        <f aca="false">VLOOKUP(11,$AD$80:$AN$91,4,FALSE())</f>
        <v>0</v>
      </c>
      <c r="N91" s="122" t="n">
        <f aca="false">VLOOKUP(11,$AD$80:$AN$91,5,FALSE())</f>
        <v>2</v>
      </c>
      <c r="O91" s="122" t="str">
        <f aca="false">VLOOKUP(11,$AD$80:$AN$91,6,FALSE()) &amp; " - " &amp; VLOOKUP(11,$AD$80:$AN$91,7,FALSE())</f>
        <v>1 - 4</v>
      </c>
      <c r="P91" s="123" t="n">
        <f aca="false">L91*3+M91</f>
        <v>3</v>
      </c>
      <c r="R91" s="42" t="n">
        <f aca="false">DATE(2026,12,6)+TIME(8,0,0)+gmt_delta</f>
        <v>46362.875</v>
      </c>
      <c r="S91" s="43" t="str">
        <f aca="false"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43" t="str">
        <f aca="false">IF(OR(S91="",S91="draw"),INDEX(T,93,lang),S91)</f>
        <v>Belgium</v>
      </c>
      <c r="AD91" s="42" t="n">
        <f aca="false">COUNTIF($AP$80:$AP$91,CONCATENATE("&gt;=",AP91))</f>
        <v>7</v>
      </c>
      <c r="AE91" s="44" t="str">
        <f aca="false">J77</f>
        <v>Panama</v>
      </c>
      <c r="AF91" s="42" t="n">
        <f aca="false">VLOOKUP($AE91,$AE$8:$AQ$78,2,FALSE())</f>
        <v>1</v>
      </c>
      <c r="AG91" s="42" t="n">
        <f aca="false">VLOOKUP($AE91,$AE$8:$AQ$78,3,FALSE())</f>
        <v>0</v>
      </c>
      <c r="AH91" s="42" t="n">
        <f aca="false">VLOOKUP($AE91,$AE$8:$AQ$78,4,FALSE())</f>
        <v>2</v>
      </c>
      <c r="AI91" s="42" t="n">
        <f aca="false">VLOOKUP($AE91,$AE$8:$AQ$78,5,FALSE())</f>
        <v>3</v>
      </c>
      <c r="AJ91" s="42" t="n">
        <f aca="false">VLOOKUP($AE91,$AE$8:$AQ$78,6,FALSE())</f>
        <v>5</v>
      </c>
      <c r="AK91" s="42" t="s">
        <v>3193</v>
      </c>
      <c r="AL91" s="42" t="n">
        <f aca="false">VLOOKUP($AE91,$AE$8:$AQ$78,8,FALSE())</f>
        <v>-2</v>
      </c>
      <c r="AM91" s="42" t="n">
        <f aca="false">AL91-$AL$92</f>
        <v>1</v>
      </c>
      <c r="AN91" s="42" t="n">
        <f aca="false">VLOOKUP($AE91,$AE$8:$AQ$78,10,FALSE())</f>
        <v>3</v>
      </c>
      <c r="AP91" s="42" t="n">
        <f aca="false">AN91/AN92*10000+AM91/AM92*1000+AI91/AI92*100+IF(AQ91=0,ROW(),AQ91)/2000000</f>
        <v>7825.00077032</v>
      </c>
      <c r="AQ91" s="46" t="n">
        <f aca="false">VLOOKUP($AE91,$AE$8:$AQ$78,13,FALSE())</f>
        <v>1540.64</v>
      </c>
      <c r="AR91" s="45" t="str">
        <f aca="false">AR90&amp;IF(AD91&lt;=8,RIGHT(AK91,1),"")</f>
        <v>ABDEGIJL</v>
      </c>
      <c r="AS91" s="112" t="str">
        <f aca="false">IF(AD91&lt;=8,AE91,"")</f>
        <v>Panama</v>
      </c>
      <c r="AT91" s="113" t="str">
        <f aca="false">"Ⓛ "&amp;AE91</f>
        <v>Ⓛ Panama</v>
      </c>
    </row>
    <row r="92" customFormat="false" ht="15" hidden="false" customHeight="true" outlineLevel="0" collapsed="false">
      <c r="A92" s="107"/>
      <c r="B92" s="107"/>
      <c r="C92" s="107"/>
      <c r="D92" s="107"/>
      <c r="E92" s="108"/>
      <c r="F92" s="109"/>
      <c r="G92" s="109"/>
      <c r="H92" s="110"/>
      <c r="I92" s="102"/>
      <c r="J92" s="124" t="str">
        <f aca="false">VLOOKUP(12,$AD$80:$AT$91,17,FALSE())</f>
        <v>Ⓗ Saudi Arabia</v>
      </c>
      <c r="K92" s="125" t="n">
        <f aca="false">L92+M92+N92</f>
        <v>3</v>
      </c>
      <c r="L92" s="125" t="n">
        <f aca="false">VLOOKUP(12,$AD$80:$AN$91,3,FALSE())</f>
        <v>1</v>
      </c>
      <c r="M92" s="125" t="n">
        <f aca="false">VLOOKUP(12,$AD$80:$AN$91,4,FALSE())</f>
        <v>0</v>
      </c>
      <c r="N92" s="125" t="n">
        <f aca="false">VLOOKUP(12,$AD$80:$AN$91,5,FALSE())</f>
        <v>2</v>
      </c>
      <c r="O92" s="125" t="str">
        <f aca="false">VLOOKUP(12,$AD$80:$AN$91,6,FALSE()) &amp; " - " &amp; VLOOKUP(12,$AD$80:$AN$91,7,FALSE())</f>
        <v>1 - 4</v>
      </c>
      <c r="P92" s="126" t="n">
        <f aca="false">L92*3+M92</f>
        <v>3</v>
      </c>
      <c r="AF92" s="42" t="n">
        <f aca="false">MAX(AF80:AF91)+1</f>
        <v>2</v>
      </c>
      <c r="AG92" s="42" t="n">
        <f aca="false">MAX(AG80:AG91)+1</f>
        <v>1</v>
      </c>
      <c r="AH92" s="42" t="n">
        <f aca="false">MAX(AH80:AH91)+1</f>
        <v>3</v>
      </c>
      <c r="AI92" s="42" t="n">
        <f aca="false">MAX(AI80:AI91)+1</f>
        <v>4</v>
      </c>
      <c r="AJ92" s="42" t="n">
        <f aca="false">MAX(AJ80:AJ91)+1</f>
        <v>6</v>
      </c>
      <c r="AL92" s="42" t="n">
        <f aca="false">MIN(AL80:AL91)</f>
        <v>-3</v>
      </c>
      <c r="AM92" s="42" t="n">
        <f aca="false">MAX(AM80:AM91)+1</f>
        <v>4</v>
      </c>
      <c r="AN92" s="42" t="n">
        <f aca="false">MAX(AN80:AN91)+1</f>
        <v>4</v>
      </c>
      <c r="AS92" s="46" t="n">
        <f aca="false">SUM(K9:K78)=144</f>
        <v>1</v>
      </c>
    </row>
    <row r="93" customFormat="false" ht="14.25" hidden="false" customHeight="true" outlineLevel="0" collapsed="false">
      <c r="A93" s="107"/>
      <c r="B93" s="107"/>
      <c r="C93" s="107"/>
      <c r="D93" s="107"/>
      <c r="E93" s="108"/>
      <c r="F93" s="109"/>
      <c r="G93" s="109"/>
      <c r="H93" s="110"/>
      <c r="I93" s="102"/>
      <c r="J93" s="103"/>
      <c r="K93" s="104"/>
      <c r="L93" s="104"/>
      <c r="M93" s="104"/>
      <c r="N93" s="104"/>
      <c r="O93" s="104"/>
      <c r="P93" s="104"/>
    </row>
    <row r="95" customFormat="false" ht="14.25" hidden="false" customHeight="true" outlineLevel="0" collapsed="false">
      <c r="R95" s="42" t="n">
        <f aca="false">DATE(2026,12,9)+TIME(8,0,0)+gmt_delta</f>
        <v>46365.875</v>
      </c>
      <c r="S95" s="43" t="str">
        <f aca="false"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43" t="str">
        <f aca="false">IF(OR(S95="",S95="draw"),INDEX(T,94,lang),S95)</f>
        <v>France</v>
      </c>
    </row>
    <row r="96" customFormat="false" ht="12.75" hidden="false" customHeight="true" outlineLevel="0" collapsed="false">
      <c r="R96" s="42" t="n">
        <f aca="false">DATE(2026,12,9)+TIME(4,0,0)+gmt_delta</f>
        <v>46365.7083333333</v>
      </c>
      <c r="S96" s="43" t="str">
        <f aca="false"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43" t="str">
        <f aca="false">IF(OR(S96="",S96="draw"),INDEX(T,95,lang),S96)</f>
        <v>Netherlands</v>
      </c>
    </row>
    <row r="97" customFormat="false" ht="12.75" hidden="false" customHeight="true" outlineLevel="0" collapsed="false">
      <c r="R97" s="42" t="n">
        <f aca="false">DATE(2026,12,10)+TIME(8,0,0)+gmt_delta</f>
        <v>46366.875</v>
      </c>
      <c r="S97" s="43" t="str">
        <f aca="false"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43" t="str">
        <f aca="false">IF(OR(S97="",S97="draw"),INDEX(T,96,lang),S97)</f>
        <v>Spain</v>
      </c>
    </row>
    <row r="98" customFormat="false" ht="14.25" hidden="false" customHeight="true" outlineLevel="0" collapsed="false">
      <c r="R98" s="42" t="n">
        <f aca="false">DATE(2026,12,10)+TIME(4,0,0)+gmt_delta</f>
        <v>46366.7083333333</v>
      </c>
      <c r="S98" s="43" t="str">
        <f aca="false"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43" t="str">
        <f aca="false">IF(OR(S98="",S98="draw"),INDEX(T,97,lang),S98)</f>
        <v>Belgium</v>
      </c>
    </row>
    <row r="102" customFormat="false" ht="14.25" hidden="false" customHeight="true" outlineLevel="0" collapsed="false">
      <c r="R102" s="42" t="n">
        <f aca="false">DATE(2026,12,13)+TIME(8,0,0)+gmt_delta</f>
        <v>46369.875</v>
      </c>
      <c r="S102" s="43" t="str">
        <f aca="false"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43" t="str">
        <f aca="false">IF(OR(S102="",S102="draw"),INDEX(T,98,lang),S102)</f>
        <v>France</v>
      </c>
      <c r="U102" s="42" t="str">
        <f aca="false"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42" t="str">
        <f aca="false"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3" t="str">
        <f aca="false">IF(OR(U102="",U102="draw"),INDEX(T,100,lang),U102)</f>
        <v>Netherlands</v>
      </c>
    </row>
    <row r="103" customFormat="false" ht="14.25" hidden="false" customHeight="true" outlineLevel="0" collapsed="false">
      <c r="R103" s="42" t="n">
        <f aca="false">DATE(2026,12,14)+TIME(8,0,0)+gmt_delta</f>
        <v>46370.875</v>
      </c>
      <c r="S103" s="43" t="str">
        <f aca="false"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43" t="str">
        <f aca="false">IF(OR(S103="",S103="draw"),INDEX(T,99,lang),S103)</f>
        <v>Spain</v>
      </c>
      <c r="U103" s="42" t="str">
        <f aca="false"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42" t="str">
        <f aca="false"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3" t="str">
        <f aca="false">IF(OR(U103="",U103="draw"),INDEX(T,101,lang),U103)</f>
        <v>Belgium</v>
      </c>
    </row>
    <row r="107" customFormat="false" ht="14.25" hidden="false" customHeight="true" outlineLevel="0" collapsed="false">
      <c r="R107" s="42" t="n">
        <f aca="false">DATE(2026,12,17)+TIME(8,0,0)+gmt_delta</f>
        <v>46373.875</v>
      </c>
      <c r="T107" s="43" t="e">
        <f aca="false"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customFormat="false" ht="14.25" hidden="false" customHeight="true" outlineLevel="0" collapsed="false">
      <c r="R111" s="42" t="n">
        <f aca="false">DATE(2026,12,18)+TIME(8,0,0)+gmt_delta</f>
        <v>46374.875</v>
      </c>
      <c r="S111" s="43" t="str">
        <f aca="false">IF(OR(CH23="",CH24=""),"",IF(CH23&gt;CH24,CG23,IF(CH23&lt;CH24,CG24,IF(OR(CI23="",CI24=""),"",IF(CI23&gt;CI24,CG23,IF(CI23&lt;CI24,CG24,IF(OR(CJ23="",CJ24=""),"",IF(CJ23&gt;CJ24,CG23,IF(CJ23&lt;CJ24,CG24,"")))))))))</f>
        <v>France</v>
      </c>
      <c r="T111" s="43" t="str">
        <f aca="false">S111</f>
        <v>France</v>
      </c>
    </row>
  </sheetData>
  <sheetProtection algorithmName="SHA-512" hashValue="7nWuIQAsd0NKRlhwUK3tOeNHpTch5B5FULy2gxNNaIdJM5RfhFSMzPcx55y+pmM3d73guUy+p5Y+SvIjJZQRaA==" saltValue="Uw23KnM8csnTioq5H8upCA==" spinCount="100000" sheet="true" objects="true" scenarios="true"/>
  <mergeCells count="45">
    <mergeCell ref="A1:P1"/>
    <mergeCell ref="O3:P3"/>
    <mergeCell ref="A5:H6"/>
    <mergeCell ref="J5:P6"/>
    <mergeCell ref="BK6:BO7"/>
    <mergeCell ref="BR6:BV7"/>
    <mergeCell ref="BY6:CC7"/>
    <mergeCell ref="CF6:CJ7"/>
    <mergeCell ref="BK10:BK11"/>
    <mergeCell ref="BR12:BR13"/>
    <mergeCell ref="BK14:BK15"/>
    <mergeCell ref="BY16:BY17"/>
    <mergeCell ref="BK18:BK19"/>
    <mergeCell ref="BR20:BR21"/>
    <mergeCell ref="BK22:BK23"/>
    <mergeCell ref="CF23:CF24"/>
    <mergeCell ref="BK26:BK27"/>
    <mergeCell ref="BR28:BR29"/>
    <mergeCell ref="BK30:BK31"/>
    <mergeCell ref="BY32:BY33"/>
    <mergeCell ref="CM33:CQ34"/>
    <mergeCell ref="BK34:BK35"/>
    <mergeCell ref="BR36:BR37"/>
    <mergeCell ref="CM37:CM38"/>
    <mergeCell ref="BK38:BK39"/>
    <mergeCell ref="BK42:BK43"/>
    <mergeCell ref="BR44:BR45"/>
    <mergeCell ref="CM44:CQ45"/>
    <mergeCell ref="BK46:BK47"/>
    <mergeCell ref="BY48:BY49"/>
    <mergeCell ref="CM48:CM49"/>
    <mergeCell ref="BK50:BK51"/>
    <mergeCell ref="BR52:BR53"/>
    <mergeCell ref="BK54:BK55"/>
    <mergeCell ref="CF55:CF56"/>
    <mergeCell ref="BK58:BK59"/>
    <mergeCell ref="BR60:BR61"/>
    <mergeCell ref="BK62:BK63"/>
    <mergeCell ref="BY64:BY65"/>
    <mergeCell ref="BK66:BK67"/>
    <mergeCell ref="BR68:BR69"/>
    <mergeCell ref="CE68:CJ69"/>
    <mergeCell ref="CK68:CQ69"/>
    <mergeCell ref="BK70:BK71"/>
    <mergeCell ref="C83:G88"/>
  </mergeCells>
  <conditionalFormatting sqref="CN49">
    <cfRule type="expression" priority="2" aboveAverage="0" equalAverage="0" bottom="0" percent="0" rank="0" text="" dxfId="0">
      <formula>IF(CR48&lt;CR49,1,0)</formula>
    </cfRule>
    <cfRule type="expression" priority="3" aboveAverage="0" equalAverage="0" bottom="0" percent="0" rank="0" text="" dxfId="1">
      <formula>IF(CR48&gt;CR49,1,0)</formula>
    </cfRule>
  </conditionalFormatting>
  <conditionalFormatting sqref="CN48">
    <cfRule type="expression" priority="4" aboveAverage="0" equalAverage="0" bottom="0" percent="0" rank="0" text="" dxfId="1">
      <formula>IF(CR48&lt;CR49,1,0)</formula>
    </cfRule>
    <cfRule type="expression" priority="5" aboveAverage="0" equalAverage="0" bottom="0" percent="0" rank="0" text="" dxfId="0">
      <formula>IF(CR48&gt;CR49,1,0)</formula>
    </cfRule>
  </conditionalFormatting>
  <conditionalFormatting sqref="CO49:CQ49">
    <cfRule type="expression" priority="6" aboveAverage="0" equalAverage="0" bottom="0" percent="0" rank="0" text="" dxfId="2">
      <formula>IF(OR(CO48="",CO49=""),0,IF(CO48&lt;CO49,1,0))</formula>
    </cfRule>
  </conditionalFormatting>
  <conditionalFormatting sqref="CO48:CQ48">
    <cfRule type="expression" priority="7" aboveAverage="0" equalAverage="0" bottom="0" percent="0" rank="0" text="" dxfId="2">
      <formula>IF(OR(CO48="",CO49=""),0,IF(CO48&gt;CO49,1,0))</formula>
    </cfRule>
  </conditionalFormatting>
  <conditionalFormatting sqref="CN38">
    <cfRule type="expression" priority="8" aboveAverage="0" equalAverage="0" bottom="0" percent="0" rank="0" text="" dxfId="0">
      <formula>IF(CR37&lt;CR38,1,0)</formula>
    </cfRule>
    <cfRule type="expression" priority="9" aboveAverage="0" equalAverage="0" bottom="0" percent="0" rank="0" text="" dxfId="1">
      <formula>IF(CR37&gt;CR38,1,0)</formula>
    </cfRule>
  </conditionalFormatting>
  <conditionalFormatting sqref="CN37">
    <cfRule type="expression" priority="10" aboveAverage="0" equalAverage="0" bottom="0" percent="0" rank="0" text="" dxfId="1">
      <formula>IF(CR37&lt;CR38,1,0)</formula>
    </cfRule>
    <cfRule type="expression" priority="11" aboveAverage="0" equalAverage="0" bottom="0" percent="0" rank="0" text="" dxfId="0">
      <formula>IF(CR37&gt;CR38,1,0)</formula>
    </cfRule>
  </conditionalFormatting>
  <conditionalFormatting sqref="CO38:CQ38">
    <cfRule type="expression" priority="12" aboveAverage="0" equalAverage="0" bottom="0" percent="0" rank="0" text="" dxfId="2">
      <formula>IF(OR(CO37="",CO38=""),0,IF(CO37&lt;CO38,1,0))</formula>
    </cfRule>
  </conditionalFormatting>
  <conditionalFormatting sqref="CO37:CQ37">
    <cfRule type="expression" priority="13" aboveAverage="0" equalAverage="0" bottom="0" percent="0" rank="0" text="" dxfId="2">
      <formula>IF(OR(CO37="",CO38=""),0,IF(CO37&gt;CO38,1,0))</formula>
    </cfRule>
  </conditionalFormatting>
  <conditionalFormatting sqref="CG24">
    <cfRule type="expression" priority="14" aboveAverage="0" equalAverage="0" bottom="0" percent="0" rank="0" text="" dxfId="0">
      <formula>IF(CK23&lt;CK24,1,0)</formula>
    </cfRule>
    <cfRule type="expression" priority="15" aboveAverage="0" equalAverage="0" bottom="0" percent="0" rank="0" text="" dxfId="1">
      <formula>IF(CK23&gt;CK24,1,0)</formula>
    </cfRule>
  </conditionalFormatting>
  <conditionalFormatting sqref="CG23">
    <cfRule type="expression" priority="16" aboveAverage="0" equalAverage="0" bottom="0" percent="0" rank="0" text="" dxfId="1">
      <formula>IF(CK23&lt;CK24,1,0)</formula>
    </cfRule>
    <cfRule type="expression" priority="17" aboveAverage="0" equalAverage="0" bottom="0" percent="0" rank="0" text="" dxfId="0">
      <formula>IF(CK23&gt;CK24,1,0)</formula>
    </cfRule>
  </conditionalFormatting>
  <conditionalFormatting sqref="CH24:CJ24">
    <cfRule type="expression" priority="18" aboveAverage="0" equalAverage="0" bottom="0" percent="0" rank="0" text="" dxfId="2">
      <formula>IF(OR(CH23="",CH24=""),0,IF(CH23&lt;CH24,1,0))</formula>
    </cfRule>
  </conditionalFormatting>
  <conditionalFormatting sqref="CH23:CJ23">
    <cfRule type="expression" priority="19" aboveAverage="0" equalAverage="0" bottom="0" percent="0" rank="0" text="" dxfId="2">
      <formula>IF(OR(CH23="",CH24=""),0,IF(CH23&gt;CH24,1,0))</formula>
    </cfRule>
  </conditionalFormatting>
  <conditionalFormatting sqref="CG56">
    <cfRule type="expression" priority="20" aboveAverage="0" equalAverage="0" bottom="0" percent="0" rank="0" text="" dxfId="0">
      <formula>IF(CK55&lt;CK56,1,0)</formula>
    </cfRule>
    <cfRule type="expression" priority="21" aboveAverage="0" equalAverage="0" bottom="0" percent="0" rank="0" text="" dxfId="1">
      <formula>IF(CK55&gt;CK56,1,0)</formula>
    </cfRule>
  </conditionalFormatting>
  <conditionalFormatting sqref="CG55">
    <cfRule type="expression" priority="22" aboveAverage="0" equalAverage="0" bottom="0" percent="0" rank="0" text="" dxfId="1">
      <formula>IF(CK55&lt;CK56,1,0)</formula>
    </cfRule>
    <cfRule type="expression" priority="23" aboveAverage="0" equalAverage="0" bottom="0" percent="0" rank="0" text="" dxfId="0">
      <formula>IF(CK55&gt;CK56,1,0)</formula>
    </cfRule>
  </conditionalFormatting>
  <conditionalFormatting sqref="CH56:CJ56">
    <cfRule type="expression" priority="24" aboveAverage="0" equalAverage="0" bottom="0" percent="0" rank="0" text="" dxfId="2">
      <formula>IF(OR(CH55="",CH56=""),0,IF(CH55&lt;CH56,1,0))</formula>
    </cfRule>
  </conditionalFormatting>
  <conditionalFormatting sqref="CH55:CJ55">
    <cfRule type="expression" priority="25" aboveAverage="0" equalAverage="0" bottom="0" percent="0" rank="0" text="" dxfId="2">
      <formula>IF(OR(CH55="",CH56=""),0,IF(CH55&gt;CH56,1,0))</formula>
    </cfRule>
  </conditionalFormatting>
  <conditionalFormatting sqref="BZ65">
    <cfRule type="expression" priority="26" aboveAverage="0" equalAverage="0" bottom="0" percent="0" rank="0" text="" dxfId="0">
      <formula>IF(CD64&lt;CD65,1,0)</formula>
    </cfRule>
    <cfRule type="expression" priority="27" aboveAverage="0" equalAverage="0" bottom="0" percent="0" rank="0" text="" dxfId="1">
      <formula>IF(CD64&gt;CD65,1,0)</formula>
    </cfRule>
  </conditionalFormatting>
  <conditionalFormatting sqref="BZ64">
    <cfRule type="expression" priority="28" aboveAverage="0" equalAverage="0" bottom="0" percent="0" rank="0" text="" dxfId="1">
      <formula>IF(CD64&lt;CD65,1,0)</formula>
    </cfRule>
    <cfRule type="expression" priority="29" aboveAverage="0" equalAverage="0" bottom="0" percent="0" rank="0" text="" dxfId="0">
      <formula>IF(CD64&gt;CD65,1,0)</formula>
    </cfRule>
  </conditionalFormatting>
  <conditionalFormatting sqref="CA65:CC65">
    <cfRule type="expression" priority="30" aboveAverage="0" equalAverage="0" bottom="0" percent="0" rank="0" text="" dxfId="2">
      <formula>IF(OR(CA64="",CA65=""),0,IF(CA64&lt;CA65,1,0))</formula>
    </cfRule>
  </conditionalFormatting>
  <conditionalFormatting sqref="CA64:CC64">
    <cfRule type="expression" priority="31" aboveAverage="0" equalAverage="0" bottom="0" percent="0" rank="0" text="" dxfId="2">
      <formula>IF(OR(CA64="",CA65=""),0,IF(CA64&gt;CA65,1,0))</formula>
    </cfRule>
  </conditionalFormatting>
  <conditionalFormatting sqref="BZ49">
    <cfRule type="expression" priority="32" aboveAverage="0" equalAverage="0" bottom="0" percent="0" rank="0" text="" dxfId="0">
      <formula>IF(CD48&lt;CD49,1,0)</formula>
    </cfRule>
    <cfRule type="expression" priority="33" aboveAverage="0" equalAverage="0" bottom="0" percent="0" rank="0" text="" dxfId="1">
      <formula>IF(CD48&gt;CD49,1,0)</formula>
    </cfRule>
  </conditionalFormatting>
  <conditionalFormatting sqref="BZ48">
    <cfRule type="expression" priority="34" aboveAverage="0" equalAverage="0" bottom="0" percent="0" rank="0" text="" dxfId="1">
      <formula>IF(CD48&lt;CD49,1,0)</formula>
    </cfRule>
    <cfRule type="expression" priority="35" aboveAverage="0" equalAverage="0" bottom="0" percent="0" rank="0" text="" dxfId="0">
      <formula>IF(CD48&gt;CD49,1,0)</formula>
    </cfRule>
  </conditionalFormatting>
  <conditionalFormatting sqref="CA49:CC49">
    <cfRule type="expression" priority="36" aboveAverage="0" equalAverage="0" bottom="0" percent="0" rank="0" text="" dxfId="2">
      <formula>IF(OR(CA48="",CA49=""),0,IF(CA48&lt;CA49,1,0))</formula>
    </cfRule>
  </conditionalFormatting>
  <conditionalFormatting sqref="CA48:CC48">
    <cfRule type="expression" priority="37" aboveAverage="0" equalAverage="0" bottom="0" percent="0" rank="0" text="" dxfId="2">
      <formula>IF(OR(CA48="",CA49=""),0,IF(CA48&gt;CA49,1,0))</formula>
    </cfRule>
  </conditionalFormatting>
  <conditionalFormatting sqref="BZ33">
    <cfRule type="expression" priority="38" aboveAverage="0" equalAverage="0" bottom="0" percent="0" rank="0" text="" dxfId="0">
      <formula>IF(CD32&lt;CD33,1,0)</formula>
    </cfRule>
    <cfRule type="expression" priority="39" aboveAverage="0" equalAverage="0" bottom="0" percent="0" rank="0" text="" dxfId="1">
      <formula>IF(CD32&gt;CD33,1,0)</formula>
    </cfRule>
  </conditionalFormatting>
  <conditionalFormatting sqref="BZ32">
    <cfRule type="expression" priority="40" aboveAverage="0" equalAverage="0" bottom="0" percent="0" rank="0" text="" dxfId="1">
      <formula>IF(CD32&lt;CD33,1,0)</formula>
    </cfRule>
    <cfRule type="expression" priority="41" aboveAverage="0" equalAverage="0" bottom="0" percent="0" rank="0" text="" dxfId="0">
      <formula>IF(CD32&gt;CD33,1,0)</formula>
    </cfRule>
  </conditionalFormatting>
  <conditionalFormatting sqref="CA33:CC33">
    <cfRule type="expression" priority="42" aboveAverage="0" equalAverage="0" bottom="0" percent="0" rank="0" text="" dxfId="2">
      <formula>IF(OR(CA32="",CA33=""),0,IF(CA32&lt;CA33,1,0))</formula>
    </cfRule>
  </conditionalFormatting>
  <conditionalFormatting sqref="CA32:CC32">
    <cfRule type="expression" priority="43" aboveAverage="0" equalAverage="0" bottom="0" percent="0" rank="0" text="" dxfId="2">
      <formula>IF(OR(CA32="",CA33=""),0,IF(CA32&gt;CA33,1,0))</formula>
    </cfRule>
  </conditionalFormatting>
  <conditionalFormatting sqref="BZ17">
    <cfRule type="expression" priority="44" aboveAverage="0" equalAverage="0" bottom="0" percent="0" rank="0" text="" dxfId="0">
      <formula>IF(CD16&lt;CD17,1,0)</formula>
    </cfRule>
    <cfRule type="expression" priority="45" aboveAverage="0" equalAverage="0" bottom="0" percent="0" rank="0" text="" dxfId="1">
      <formula>IF(CD16&gt;CD17,1,0)</formula>
    </cfRule>
  </conditionalFormatting>
  <conditionalFormatting sqref="BZ16">
    <cfRule type="expression" priority="46" aboveAverage="0" equalAverage="0" bottom="0" percent="0" rank="0" text="" dxfId="1">
      <formula>IF(CD16&lt;CD17,1,0)</formula>
    </cfRule>
    <cfRule type="expression" priority="47" aboveAverage="0" equalAverage="0" bottom="0" percent="0" rank="0" text="" dxfId="0">
      <formula>IF(CD16&gt;CD17,1,0)</formula>
    </cfRule>
  </conditionalFormatting>
  <conditionalFormatting sqref="CA17:CC17">
    <cfRule type="expression" priority="48" aboveAverage="0" equalAverage="0" bottom="0" percent="0" rank="0" text="" dxfId="2">
      <formula>IF(OR(CA16="",CA17=""),0,IF(CA16&lt;CA17,1,0))</formula>
    </cfRule>
  </conditionalFormatting>
  <conditionalFormatting sqref="CA16:CC16">
    <cfRule type="expression" priority="49" aboveAverage="0" equalAverage="0" bottom="0" percent="0" rank="0" text="" dxfId="2">
      <formula>IF(OR(CA16="",CA17=""),0,IF(CA16&gt;CA17,1,0))</formula>
    </cfRule>
  </conditionalFormatting>
  <conditionalFormatting sqref="BS13">
    <cfRule type="expression" priority="50" aboveAverage="0" equalAverage="0" bottom="0" percent="0" rank="0" text="" dxfId="0">
      <formula>IF(BW12&lt;BW13,1,0)</formula>
    </cfRule>
    <cfRule type="expression" priority="51" aboveAverage="0" equalAverage="0" bottom="0" percent="0" rank="0" text="" dxfId="1">
      <formula>IF(BW12&gt;BW13,1,0)</formula>
    </cfRule>
  </conditionalFormatting>
  <conditionalFormatting sqref="BS12">
    <cfRule type="expression" priority="52" aboveAverage="0" equalAverage="0" bottom="0" percent="0" rank="0" text="" dxfId="1">
      <formula>IF(BW12&lt;BW13,1,0)</formula>
    </cfRule>
    <cfRule type="expression" priority="53" aboveAverage="0" equalAverage="0" bottom="0" percent="0" rank="0" text="" dxfId="0">
      <formula>IF(BW12&gt;BW13,1,0)</formula>
    </cfRule>
  </conditionalFormatting>
  <conditionalFormatting sqref="BT13:BV13">
    <cfRule type="expression" priority="54" aboveAverage="0" equalAverage="0" bottom="0" percent="0" rank="0" text="" dxfId="2">
      <formula>IF(OR(BT12="",BT13=""),0,IF(BT12&lt;BT13,1,0))</formula>
    </cfRule>
  </conditionalFormatting>
  <conditionalFormatting sqref="BT12:BV12">
    <cfRule type="expression" priority="55" aboveAverage="0" equalAverage="0" bottom="0" percent="0" rank="0" text="" dxfId="2">
      <formula>IF(OR(BT12="",BT13=""),0,IF(BT12&gt;BT13,1,0))</formula>
    </cfRule>
  </conditionalFormatting>
  <conditionalFormatting sqref="BS21">
    <cfRule type="expression" priority="56" aboveAverage="0" equalAverage="0" bottom="0" percent="0" rank="0" text="" dxfId="0">
      <formula>IF(BW20&lt;BW21,1,0)</formula>
    </cfRule>
    <cfRule type="expression" priority="57" aboveAverage="0" equalAverage="0" bottom="0" percent="0" rank="0" text="" dxfId="1">
      <formula>IF(BW20&gt;BW21,1,0)</formula>
    </cfRule>
  </conditionalFormatting>
  <conditionalFormatting sqref="BS20">
    <cfRule type="expression" priority="58" aboveAverage="0" equalAverage="0" bottom="0" percent="0" rank="0" text="" dxfId="1">
      <formula>IF(BW20&lt;BW21,1,0)</formula>
    </cfRule>
    <cfRule type="expression" priority="59" aboveAverage="0" equalAverage="0" bottom="0" percent="0" rank="0" text="" dxfId="0">
      <formula>IF(BW20&gt;BW21,1,0)</formula>
    </cfRule>
  </conditionalFormatting>
  <conditionalFormatting sqref="BT21:BV21">
    <cfRule type="expression" priority="60" aboveAverage="0" equalAverage="0" bottom="0" percent="0" rank="0" text="" dxfId="2">
      <formula>IF(OR(BT20="",BT21=""),0,IF(BT20&lt;BT21,1,0))</formula>
    </cfRule>
  </conditionalFormatting>
  <conditionalFormatting sqref="BT20:BV20">
    <cfRule type="expression" priority="61" aboveAverage="0" equalAverage="0" bottom="0" percent="0" rank="0" text="" dxfId="2">
      <formula>IF(OR(BT20="",BT21=""),0,IF(BT20&gt;BT21,1,0))</formula>
    </cfRule>
  </conditionalFormatting>
  <conditionalFormatting sqref="BS29">
    <cfRule type="expression" priority="62" aboveAverage="0" equalAverage="0" bottom="0" percent="0" rank="0" text="" dxfId="0">
      <formula>IF(BW28&lt;BW29,1,0)</formula>
    </cfRule>
    <cfRule type="expression" priority="63" aboveAverage="0" equalAverage="0" bottom="0" percent="0" rank="0" text="" dxfId="1">
      <formula>IF(BW28&gt;BW29,1,0)</formula>
    </cfRule>
  </conditionalFormatting>
  <conditionalFormatting sqref="BS28">
    <cfRule type="expression" priority="64" aboveAverage="0" equalAverage="0" bottom="0" percent="0" rank="0" text="" dxfId="1">
      <formula>IF(BW28&lt;BW29,1,0)</formula>
    </cfRule>
    <cfRule type="expression" priority="65" aboveAverage="0" equalAverage="0" bottom="0" percent="0" rank="0" text="" dxfId="0">
      <formula>IF(BW28&gt;BW29,1,0)</formula>
    </cfRule>
  </conditionalFormatting>
  <conditionalFormatting sqref="BT29:BV29">
    <cfRule type="expression" priority="66" aboveAverage="0" equalAverage="0" bottom="0" percent="0" rank="0" text="" dxfId="2">
      <formula>IF(OR(BT28="",BT29=""),0,IF(BT28&lt;BT29,1,0))</formula>
    </cfRule>
  </conditionalFormatting>
  <conditionalFormatting sqref="BT28:BV28">
    <cfRule type="expression" priority="67" aboveAverage="0" equalAverage="0" bottom="0" percent="0" rank="0" text="" dxfId="2">
      <formula>IF(OR(BT28="",BT29=""),0,IF(BT28&gt;BT29,1,0))</formula>
    </cfRule>
  </conditionalFormatting>
  <conditionalFormatting sqref="BS37">
    <cfRule type="expression" priority="68" aboveAverage="0" equalAverage="0" bottom="0" percent="0" rank="0" text="" dxfId="0">
      <formula>IF(BW36&lt;BW37,1,0)</formula>
    </cfRule>
    <cfRule type="expression" priority="69" aboveAverage="0" equalAverage="0" bottom="0" percent="0" rank="0" text="" dxfId="1">
      <formula>IF(BW36&gt;BW37,1,0)</formula>
    </cfRule>
  </conditionalFormatting>
  <conditionalFormatting sqref="BS36">
    <cfRule type="expression" priority="70" aboveAverage="0" equalAverage="0" bottom="0" percent="0" rank="0" text="" dxfId="1">
      <formula>IF(BW36&lt;BW37,1,0)</formula>
    </cfRule>
    <cfRule type="expression" priority="71" aboveAverage="0" equalAverage="0" bottom="0" percent="0" rank="0" text="" dxfId="0">
      <formula>IF(BW36&gt;BW37,1,0)</formula>
    </cfRule>
  </conditionalFormatting>
  <conditionalFormatting sqref="BT37:BV37">
    <cfRule type="expression" priority="72" aboveAverage="0" equalAverage="0" bottom="0" percent="0" rank="0" text="" dxfId="2">
      <formula>IF(OR(BT36="",BT37=""),0,IF(BT36&lt;BT37,1,0))</formula>
    </cfRule>
  </conditionalFormatting>
  <conditionalFormatting sqref="BT36:BV36">
    <cfRule type="expression" priority="73" aboveAverage="0" equalAverage="0" bottom="0" percent="0" rank="0" text="" dxfId="2">
      <formula>IF(OR(BT36="",BT37=""),0,IF(BT36&gt;BT37,1,0))</formula>
    </cfRule>
  </conditionalFormatting>
  <conditionalFormatting sqref="BS45">
    <cfRule type="expression" priority="74" aboveAverage="0" equalAverage="0" bottom="0" percent="0" rank="0" text="" dxfId="0">
      <formula>IF(BW44&lt;BW45,1,0)</formula>
    </cfRule>
    <cfRule type="expression" priority="75" aboveAverage="0" equalAverage="0" bottom="0" percent="0" rank="0" text="" dxfId="1">
      <formula>IF(BW44&gt;BW45,1,0)</formula>
    </cfRule>
  </conditionalFormatting>
  <conditionalFormatting sqref="BS44">
    <cfRule type="expression" priority="76" aboveAverage="0" equalAverage="0" bottom="0" percent="0" rank="0" text="" dxfId="1">
      <formula>IF(BW44&lt;BW45,1,0)</formula>
    </cfRule>
    <cfRule type="expression" priority="77" aboveAverage="0" equalAverage="0" bottom="0" percent="0" rank="0" text="" dxfId="0">
      <formula>IF(BW44&gt;BW45,1,0)</formula>
    </cfRule>
  </conditionalFormatting>
  <conditionalFormatting sqref="BT45:BV45">
    <cfRule type="expression" priority="78" aboveAverage="0" equalAverage="0" bottom="0" percent="0" rank="0" text="" dxfId="2">
      <formula>IF(OR(BT44="",BT45=""),0,IF(BT44&lt;BT45,1,0))</formula>
    </cfRule>
  </conditionalFormatting>
  <conditionalFormatting sqref="BT44:BV44">
    <cfRule type="expression" priority="79" aboveAverage="0" equalAverage="0" bottom="0" percent="0" rank="0" text="" dxfId="2">
      <formula>IF(OR(BT44="",BT45=""),0,IF(BT44&gt;BT45,1,0))</formula>
    </cfRule>
  </conditionalFormatting>
  <conditionalFormatting sqref="BS53">
    <cfRule type="expression" priority="80" aboveAverage="0" equalAverage="0" bottom="0" percent="0" rank="0" text="" dxfId="0">
      <formula>IF(BW52&lt;BW53,1,0)</formula>
    </cfRule>
    <cfRule type="expression" priority="81" aboveAverage="0" equalAverage="0" bottom="0" percent="0" rank="0" text="" dxfId="1">
      <formula>IF(BW52&gt;BW53,1,0)</formula>
    </cfRule>
  </conditionalFormatting>
  <conditionalFormatting sqref="BS52">
    <cfRule type="expression" priority="82" aboveAverage="0" equalAverage="0" bottom="0" percent="0" rank="0" text="" dxfId="1">
      <formula>IF(BW52&lt;BW53,1,0)</formula>
    </cfRule>
    <cfRule type="expression" priority="83" aboveAverage="0" equalAverage="0" bottom="0" percent="0" rank="0" text="" dxfId="0">
      <formula>IF(BW52&gt;BW53,1,0)</formula>
    </cfRule>
  </conditionalFormatting>
  <conditionalFormatting sqref="BT53:BV53">
    <cfRule type="expression" priority="84" aboveAverage="0" equalAverage="0" bottom="0" percent="0" rank="0" text="" dxfId="2">
      <formula>IF(OR(BT52="",BT53=""),0,IF(BT52&lt;BT53,1,0))</formula>
    </cfRule>
  </conditionalFormatting>
  <conditionalFormatting sqref="BT52:BV52">
    <cfRule type="expression" priority="85" aboveAverage="0" equalAverage="0" bottom="0" percent="0" rank="0" text="" dxfId="2">
      <formula>IF(OR(BT52="",BT53=""),0,IF(BT52&gt;BT53,1,0))</formula>
    </cfRule>
  </conditionalFormatting>
  <conditionalFormatting sqref="BS61">
    <cfRule type="expression" priority="86" aboveAverage="0" equalAverage="0" bottom="0" percent="0" rank="0" text="" dxfId="0">
      <formula>IF(BW60&lt;BW61,1,0)</formula>
    </cfRule>
    <cfRule type="expression" priority="87" aboveAverage="0" equalAverage="0" bottom="0" percent="0" rank="0" text="" dxfId="1">
      <formula>IF(BW60&gt;BW61,1,0)</formula>
    </cfRule>
  </conditionalFormatting>
  <conditionalFormatting sqref="BS60">
    <cfRule type="expression" priority="88" aboveAverage="0" equalAverage="0" bottom="0" percent="0" rank="0" text="" dxfId="1">
      <formula>IF(BW60&lt;BW61,1,0)</formula>
    </cfRule>
    <cfRule type="expression" priority="89" aboveAverage="0" equalAverage="0" bottom="0" percent="0" rank="0" text="" dxfId="0">
      <formula>IF(BW60&gt;BW61,1,0)</formula>
    </cfRule>
  </conditionalFormatting>
  <conditionalFormatting sqref="BT61:BV61">
    <cfRule type="expression" priority="90" aboveAverage="0" equalAverage="0" bottom="0" percent="0" rank="0" text="" dxfId="2">
      <formula>IF(OR(BT60="",BT61=""),0,IF(BT60&lt;BT61,1,0))</formula>
    </cfRule>
  </conditionalFormatting>
  <conditionalFormatting sqref="BT60:BV60">
    <cfRule type="expression" priority="91" aboveAverage="0" equalAverage="0" bottom="0" percent="0" rank="0" text="" dxfId="2">
      <formula>IF(OR(BT60="",BT61=""),0,IF(BT60&gt;BT61,1,0))</formula>
    </cfRule>
  </conditionalFormatting>
  <conditionalFormatting sqref="BS69">
    <cfRule type="expression" priority="92" aboveAverage="0" equalAverage="0" bottom="0" percent="0" rank="0" text="" dxfId="0">
      <formula>IF(BW68&lt;BW69,1,0)</formula>
    </cfRule>
    <cfRule type="expression" priority="93" aboveAverage="0" equalAverage="0" bottom="0" percent="0" rank="0" text="" dxfId="1">
      <formula>IF(BW68&gt;BW69,1,0)</formula>
    </cfRule>
  </conditionalFormatting>
  <conditionalFormatting sqref="BS68">
    <cfRule type="expression" priority="94" aboveAverage="0" equalAverage="0" bottom="0" percent="0" rank="0" text="" dxfId="1">
      <formula>IF(BW68&lt;BW69,1,0)</formula>
    </cfRule>
    <cfRule type="expression" priority="95" aboveAverage="0" equalAverage="0" bottom="0" percent="0" rank="0" text="" dxfId="0">
      <formula>IF(BW68&gt;BW69,1,0)</formula>
    </cfRule>
  </conditionalFormatting>
  <conditionalFormatting sqref="BT69:BV69">
    <cfRule type="expression" priority="96" aboveAverage="0" equalAverage="0" bottom="0" percent="0" rank="0" text="" dxfId="2">
      <formula>IF(OR(BT68="",BT69=""),0,IF(BT68&lt;BT69,1,0))</formula>
    </cfRule>
  </conditionalFormatting>
  <conditionalFormatting sqref="BT68:BV68">
    <cfRule type="expression" priority="97" aboveAverage="0" equalAverage="0" bottom="0" percent="0" rank="0" text="" dxfId="2">
      <formula>IF(OR(BT68="",BT69=""),0,IF(BT68&gt;BT69,1,0))</formula>
    </cfRule>
  </conditionalFormatting>
  <conditionalFormatting sqref="BL71">
    <cfRule type="expression" priority="98" aboveAverage="0" equalAverage="0" bottom="0" percent="0" rank="0" text="" dxfId="0">
      <formula>IF(BP70&lt;BP71,1,0)</formula>
    </cfRule>
    <cfRule type="expression" priority="99" aboveAverage="0" equalAverage="0" bottom="0" percent="0" rank="0" text="" dxfId="1">
      <formula>IF(BP70&gt;BP71,1,0)</formula>
    </cfRule>
  </conditionalFormatting>
  <conditionalFormatting sqref="BL70">
    <cfRule type="expression" priority="100" aboveAverage="0" equalAverage="0" bottom="0" percent="0" rank="0" text="" dxfId="1">
      <formula>IF(BP70&lt;BP71,1,0)</formula>
    </cfRule>
    <cfRule type="expression" priority="101" aboveAverage="0" equalAverage="0" bottom="0" percent="0" rank="0" text="" dxfId="0">
      <formula>IF(BP70&gt;BP71,1,0)</formula>
    </cfRule>
  </conditionalFormatting>
  <conditionalFormatting sqref="BM71:BO71">
    <cfRule type="expression" priority="102" aboveAverage="0" equalAverage="0" bottom="0" percent="0" rank="0" text="" dxfId="2">
      <formula>IF(OR(BM70="",BM71=""),0,IF(BM70&lt;BM71,1,0))</formula>
    </cfRule>
  </conditionalFormatting>
  <conditionalFormatting sqref="BM70:BO70">
    <cfRule type="expression" priority="103" aboveAverage="0" equalAverage="0" bottom="0" percent="0" rank="0" text="" dxfId="2">
      <formula>IF(OR(BM70="",BM71=""),0,IF(BM70&gt;BM71,1,0))</formula>
    </cfRule>
  </conditionalFormatting>
  <conditionalFormatting sqref="BL67">
    <cfRule type="expression" priority="104" aboveAverage="0" equalAverage="0" bottom="0" percent="0" rank="0" text="" dxfId="0">
      <formula>IF(BP66&lt;BP67,1,0)</formula>
    </cfRule>
    <cfRule type="expression" priority="105" aboveAverage="0" equalAverage="0" bottom="0" percent="0" rank="0" text="" dxfId="1">
      <formula>IF(BP66&gt;BP67,1,0)</formula>
    </cfRule>
  </conditionalFormatting>
  <conditionalFormatting sqref="BL66">
    <cfRule type="expression" priority="106" aboveAverage="0" equalAverage="0" bottom="0" percent="0" rank="0" text="" dxfId="1">
      <formula>IF(BP66&lt;BP67,1,0)</formula>
    </cfRule>
    <cfRule type="expression" priority="107" aboveAverage="0" equalAverage="0" bottom="0" percent="0" rank="0" text="" dxfId="0">
      <formula>IF(BP66&gt;BP67,1,0)</formula>
    </cfRule>
  </conditionalFormatting>
  <conditionalFormatting sqref="BM67:BO67">
    <cfRule type="expression" priority="108" aboveAverage="0" equalAverage="0" bottom="0" percent="0" rank="0" text="" dxfId="2">
      <formula>IF(OR(BM66="",BM67=""),0,IF(BM66&lt;BM67,1,0))</formula>
    </cfRule>
  </conditionalFormatting>
  <conditionalFormatting sqref="BM66:BO66">
    <cfRule type="expression" priority="109" aboveAverage="0" equalAverage="0" bottom="0" percent="0" rank="0" text="" dxfId="2">
      <formula>IF(OR(BM66="",BM67=""),0,IF(BM66&gt;BM67,1,0))</formula>
    </cfRule>
  </conditionalFormatting>
  <conditionalFormatting sqref="BL63">
    <cfRule type="expression" priority="110" aboveAverage="0" equalAverage="0" bottom="0" percent="0" rank="0" text="" dxfId="0">
      <formula>IF(BP62&lt;BP63,1,0)</formula>
    </cfRule>
    <cfRule type="expression" priority="111" aboveAverage="0" equalAverage="0" bottom="0" percent="0" rank="0" text="" dxfId="1">
      <formula>IF(BP62&gt;BP63,1,0)</formula>
    </cfRule>
  </conditionalFormatting>
  <conditionalFormatting sqref="BL62">
    <cfRule type="expression" priority="112" aboveAverage="0" equalAverage="0" bottom="0" percent="0" rank="0" text="" dxfId="1">
      <formula>IF(BP62&lt;BP63,1,0)</formula>
    </cfRule>
    <cfRule type="expression" priority="113" aboveAverage="0" equalAverage="0" bottom="0" percent="0" rank="0" text="" dxfId="0">
      <formula>IF(BP62&gt;BP63,1,0)</formula>
    </cfRule>
  </conditionalFormatting>
  <conditionalFormatting sqref="BM63:BO63">
    <cfRule type="expression" priority="114" aboveAverage="0" equalAverage="0" bottom="0" percent="0" rank="0" text="" dxfId="2">
      <formula>IF(OR(BM62="",BM63=""),0,IF(BM62&lt;BM63,1,0))</formula>
    </cfRule>
  </conditionalFormatting>
  <conditionalFormatting sqref="BM62:BO62">
    <cfRule type="expression" priority="115" aboveAverage="0" equalAverage="0" bottom="0" percent="0" rank="0" text="" dxfId="2">
      <formula>IF(OR(BM62="",BM63=""),0,IF(BM62&gt;BM63,1,0))</formula>
    </cfRule>
  </conditionalFormatting>
  <conditionalFormatting sqref="BL59">
    <cfRule type="expression" priority="116" aboveAverage="0" equalAverage="0" bottom="0" percent="0" rank="0" text="" dxfId="0">
      <formula>IF(BP58&lt;BP59,1,0)</formula>
    </cfRule>
    <cfRule type="expression" priority="117" aboveAverage="0" equalAverage="0" bottom="0" percent="0" rank="0" text="" dxfId="1">
      <formula>IF(BP58&gt;BP59,1,0)</formula>
    </cfRule>
  </conditionalFormatting>
  <conditionalFormatting sqref="BL58">
    <cfRule type="expression" priority="118" aboveAverage="0" equalAverage="0" bottom="0" percent="0" rank="0" text="" dxfId="1">
      <formula>IF(BP58&lt;BP59,1,0)</formula>
    </cfRule>
    <cfRule type="expression" priority="119" aboveAverage="0" equalAverage="0" bottom="0" percent="0" rank="0" text="" dxfId="0">
      <formula>IF(BP58&gt;BP59,1,0)</formula>
    </cfRule>
  </conditionalFormatting>
  <conditionalFormatting sqref="BM59:BO59">
    <cfRule type="expression" priority="120" aboveAverage="0" equalAverage="0" bottom="0" percent="0" rank="0" text="" dxfId="2">
      <formula>IF(OR(BM58="",BM59=""),0,IF(BM58&lt;BM59,1,0))</formula>
    </cfRule>
  </conditionalFormatting>
  <conditionalFormatting sqref="BM58:BO58">
    <cfRule type="expression" priority="121" aboveAverage="0" equalAverage="0" bottom="0" percent="0" rank="0" text="" dxfId="2">
      <formula>IF(OR(BM58="",BM59=""),0,IF(BM58&gt;BM59,1,0))</formula>
    </cfRule>
  </conditionalFormatting>
  <conditionalFormatting sqref="BL55">
    <cfRule type="expression" priority="122" aboveAverage="0" equalAverage="0" bottom="0" percent="0" rank="0" text="" dxfId="0">
      <formula>IF(BP54&lt;BP55,1,0)</formula>
    </cfRule>
    <cfRule type="expression" priority="123" aboveAverage="0" equalAverage="0" bottom="0" percent="0" rank="0" text="" dxfId="1">
      <formula>IF(BP54&gt;BP55,1,0)</formula>
    </cfRule>
  </conditionalFormatting>
  <conditionalFormatting sqref="BL54">
    <cfRule type="expression" priority="124" aboveAverage="0" equalAverage="0" bottom="0" percent="0" rank="0" text="" dxfId="1">
      <formula>IF(BP54&lt;BP55,1,0)</formula>
    </cfRule>
    <cfRule type="expression" priority="125" aboveAverage="0" equalAverage="0" bottom="0" percent="0" rank="0" text="" dxfId="0">
      <formula>IF(BP54&gt;BP55,1,0)</formula>
    </cfRule>
  </conditionalFormatting>
  <conditionalFormatting sqref="BM55:BO55">
    <cfRule type="expression" priority="126" aboveAverage="0" equalAverage="0" bottom="0" percent="0" rank="0" text="" dxfId="2">
      <formula>IF(OR(BM54="",BM55=""),0,IF(BM54&lt;BM55,1,0))</formula>
    </cfRule>
  </conditionalFormatting>
  <conditionalFormatting sqref="BM54:BO54">
    <cfRule type="expression" priority="127" aboveAverage="0" equalAverage="0" bottom="0" percent="0" rank="0" text="" dxfId="2">
      <formula>IF(OR(BM54="",BM55=""),0,IF(BM54&gt;BM55,1,0))</formula>
    </cfRule>
  </conditionalFormatting>
  <conditionalFormatting sqref="BL51">
    <cfRule type="expression" priority="128" aboveAverage="0" equalAverage="0" bottom="0" percent="0" rank="0" text="" dxfId="0">
      <formula>IF(BP50&lt;BP51,1,0)</formula>
    </cfRule>
    <cfRule type="expression" priority="129" aboveAverage="0" equalAverage="0" bottom="0" percent="0" rank="0" text="" dxfId="1">
      <formula>IF(BP50&gt;BP51,1,0)</formula>
    </cfRule>
  </conditionalFormatting>
  <conditionalFormatting sqref="BL50">
    <cfRule type="expression" priority="130" aboveAverage="0" equalAverage="0" bottom="0" percent="0" rank="0" text="" dxfId="1">
      <formula>IF(BP50&lt;BP51,1,0)</formula>
    </cfRule>
    <cfRule type="expression" priority="131" aboveAverage="0" equalAverage="0" bottom="0" percent="0" rank="0" text="" dxfId="0">
      <formula>IF(BP50&gt;BP51,1,0)</formula>
    </cfRule>
  </conditionalFormatting>
  <conditionalFormatting sqref="BM51:BO51">
    <cfRule type="expression" priority="132" aboveAverage="0" equalAverage="0" bottom="0" percent="0" rank="0" text="" dxfId="2">
      <formula>IF(OR(BM50="",BM51=""),0,IF(BM50&lt;BM51,1,0))</formula>
    </cfRule>
  </conditionalFormatting>
  <conditionalFormatting sqref="BM50:BO50">
    <cfRule type="expression" priority="133" aboveAverage="0" equalAverage="0" bottom="0" percent="0" rank="0" text="" dxfId="2">
      <formula>IF(OR(BM50="",BM51=""),0,IF(BM50&gt;BM51,1,0))</formula>
    </cfRule>
  </conditionalFormatting>
  <conditionalFormatting sqref="BL47">
    <cfRule type="expression" priority="134" aboveAverage="0" equalAverage="0" bottom="0" percent="0" rank="0" text="" dxfId="0">
      <formula>IF(BP46&lt;BP47,1,0)</formula>
    </cfRule>
    <cfRule type="expression" priority="135" aboveAverage="0" equalAverage="0" bottom="0" percent="0" rank="0" text="" dxfId="1">
      <formula>IF(BP46&gt;BP47,1,0)</formula>
    </cfRule>
  </conditionalFormatting>
  <conditionalFormatting sqref="BL46">
    <cfRule type="expression" priority="136" aboveAverage="0" equalAverage="0" bottom="0" percent="0" rank="0" text="" dxfId="1">
      <formula>IF(BP46&lt;BP47,1,0)</formula>
    </cfRule>
    <cfRule type="expression" priority="137" aboveAverage="0" equalAverage="0" bottom="0" percent="0" rank="0" text="" dxfId="0">
      <formula>IF(BP46&gt;BP47,1,0)</formula>
    </cfRule>
  </conditionalFormatting>
  <conditionalFormatting sqref="BM47:BO47">
    <cfRule type="expression" priority="138" aboveAverage="0" equalAverage="0" bottom="0" percent="0" rank="0" text="" dxfId="2">
      <formula>IF(OR(BM46="",BM47=""),0,IF(BM46&lt;BM47,1,0))</formula>
    </cfRule>
  </conditionalFormatting>
  <conditionalFormatting sqref="BM46:BO46">
    <cfRule type="expression" priority="139" aboveAverage="0" equalAverage="0" bottom="0" percent="0" rank="0" text="" dxfId="2">
      <formula>IF(OR(BM46="",BM47=""),0,IF(BM46&gt;BM47,1,0))</formula>
    </cfRule>
  </conditionalFormatting>
  <conditionalFormatting sqref="BL43">
    <cfRule type="expression" priority="140" aboveAverage="0" equalAverage="0" bottom="0" percent="0" rank="0" text="" dxfId="0">
      <formula>IF(BP42&lt;BP43,1,0)</formula>
    </cfRule>
    <cfRule type="expression" priority="141" aboveAverage="0" equalAverage="0" bottom="0" percent="0" rank="0" text="" dxfId="1">
      <formula>IF(BP42&gt;BP43,1,0)</formula>
    </cfRule>
  </conditionalFormatting>
  <conditionalFormatting sqref="BL42">
    <cfRule type="expression" priority="142" aboveAverage="0" equalAverage="0" bottom="0" percent="0" rank="0" text="" dxfId="1">
      <formula>IF(BP42&lt;BP43,1,0)</formula>
    </cfRule>
    <cfRule type="expression" priority="143" aboveAverage="0" equalAverage="0" bottom="0" percent="0" rank="0" text="" dxfId="0">
      <formula>IF(BP42&gt;BP43,1,0)</formula>
    </cfRule>
  </conditionalFormatting>
  <conditionalFormatting sqref="BM43:BO43">
    <cfRule type="expression" priority="144" aboveAverage="0" equalAverage="0" bottom="0" percent="0" rank="0" text="" dxfId="2">
      <formula>IF(OR(BM42="",BM43=""),0,IF(BM42&lt;BM43,1,0))</formula>
    </cfRule>
  </conditionalFormatting>
  <conditionalFormatting sqref="BM42:BO42">
    <cfRule type="expression" priority="145" aboveAverage="0" equalAverage="0" bottom="0" percent="0" rank="0" text="" dxfId="2">
      <formula>IF(OR(BM42="",BM43=""),0,IF(BM42&gt;BM43,1,0))</formula>
    </cfRule>
  </conditionalFormatting>
  <conditionalFormatting sqref="BL39">
    <cfRule type="expression" priority="146" aboveAverage="0" equalAverage="0" bottom="0" percent="0" rank="0" text="" dxfId="0">
      <formula>IF(BP38&lt;BP39,1,0)</formula>
    </cfRule>
    <cfRule type="expression" priority="147" aboveAverage="0" equalAverage="0" bottom="0" percent="0" rank="0" text="" dxfId="1">
      <formula>IF(BP38&gt;BP39,1,0)</formula>
    </cfRule>
  </conditionalFormatting>
  <conditionalFormatting sqref="BL38">
    <cfRule type="expression" priority="148" aboveAverage="0" equalAverage="0" bottom="0" percent="0" rank="0" text="" dxfId="1">
      <formula>IF(BP38&lt;BP39,1,0)</formula>
    </cfRule>
    <cfRule type="expression" priority="149" aboveAverage="0" equalAverage="0" bottom="0" percent="0" rank="0" text="" dxfId="0">
      <formula>IF(BP38&gt;BP39,1,0)</formula>
    </cfRule>
  </conditionalFormatting>
  <conditionalFormatting sqref="BM39:BO39">
    <cfRule type="expression" priority="150" aboveAverage="0" equalAverage="0" bottom="0" percent="0" rank="0" text="" dxfId="2">
      <formula>IF(OR(BM38="",BM39=""),0,IF(BM38&lt;BM39,1,0))</formula>
    </cfRule>
  </conditionalFormatting>
  <conditionalFormatting sqref="BM38:BO38">
    <cfRule type="expression" priority="151" aboveAverage="0" equalAverage="0" bottom="0" percent="0" rank="0" text="" dxfId="2">
      <formula>IF(OR(BM38="",BM39=""),0,IF(BM38&gt;BM39,1,0))</formula>
    </cfRule>
  </conditionalFormatting>
  <conditionalFormatting sqref="BL35">
    <cfRule type="expression" priority="152" aboveAverage="0" equalAverage="0" bottom="0" percent="0" rank="0" text="" dxfId="0">
      <formula>IF(BP34&lt;BP35,1,0)</formula>
    </cfRule>
    <cfRule type="expression" priority="153" aboveAverage="0" equalAverage="0" bottom="0" percent="0" rank="0" text="" dxfId="1">
      <formula>IF(BP34&gt;BP35,1,0)</formula>
    </cfRule>
  </conditionalFormatting>
  <conditionalFormatting sqref="BL34">
    <cfRule type="expression" priority="154" aboveAverage="0" equalAverage="0" bottom="0" percent="0" rank="0" text="" dxfId="1">
      <formula>IF(BP34&lt;BP35,1,0)</formula>
    </cfRule>
    <cfRule type="expression" priority="155" aboveAverage="0" equalAverage="0" bottom="0" percent="0" rank="0" text="" dxfId="0">
      <formula>IF(BP34&gt;BP35,1,0)</formula>
    </cfRule>
  </conditionalFormatting>
  <conditionalFormatting sqref="BM35:BO35">
    <cfRule type="expression" priority="156" aboveAverage="0" equalAverage="0" bottom="0" percent="0" rank="0" text="" dxfId="2">
      <formula>IF(OR(BM34="",BM35=""),0,IF(BM34&lt;BM35,1,0))</formula>
    </cfRule>
  </conditionalFormatting>
  <conditionalFormatting sqref="BM34:BO34">
    <cfRule type="expression" priority="157" aboveAverage="0" equalAverage="0" bottom="0" percent="0" rank="0" text="" dxfId="2">
      <formula>IF(OR(BM34="",BM35=""),0,IF(BM34&gt;BM35,1,0))</formula>
    </cfRule>
  </conditionalFormatting>
  <conditionalFormatting sqref="BL31">
    <cfRule type="expression" priority="158" aboveAverage="0" equalAverage="0" bottom="0" percent="0" rank="0" text="" dxfId="0">
      <formula>IF(BP30&lt;BP31,1,0)</formula>
    </cfRule>
    <cfRule type="expression" priority="159" aboveAverage="0" equalAverage="0" bottom="0" percent="0" rank="0" text="" dxfId="1">
      <formula>IF(BP30&gt;BP31,1,0)</formula>
    </cfRule>
  </conditionalFormatting>
  <conditionalFormatting sqref="BL30">
    <cfRule type="expression" priority="160" aboveAverage="0" equalAverage="0" bottom="0" percent="0" rank="0" text="" dxfId="1">
      <formula>IF(BP30&lt;BP31,1,0)</formula>
    </cfRule>
    <cfRule type="expression" priority="161" aboveAverage="0" equalAverage="0" bottom="0" percent="0" rank="0" text="" dxfId="0">
      <formula>IF(BP30&gt;BP31,1,0)</formula>
    </cfRule>
  </conditionalFormatting>
  <conditionalFormatting sqref="BM31:BO31">
    <cfRule type="expression" priority="162" aboveAverage="0" equalAverage="0" bottom="0" percent="0" rank="0" text="" dxfId="2">
      <formula>IF(OR(BM30="",BM31=""),0,IF(BM30&lt;BM31,1,0))</formula>
    </cfRule>
  </conditionalFormatting>
  <conditionalFormatting sqref="BM30:BO30">
    <cfRule type="expression" priority="163" aboveAverage="0" equalAverage="0" bottom="0" percent="0" rank="0" text="" dxfId="2">
      <formula>IF(OR(BM30="",BM31=""),0,IF(BM30&gt;BM31,1,0))</formula>
    </cfRule>
  </conditionalFormatting>
  <conditionalFormatting sqref="BL27">
    <cfRule type="expression" priority="164" aboveAverage="0" equalAverage="0" bottom="0" percent="0" rank="0" text="" dxfId="0">
      <formula>IF(BP26&lt;BP27,1,0)</formula>
    </cfRule>
    <cfRule type="expression" priority="165" aboveAverage="0" equalAverage="0" bottom="0" percent="0" rank="0" text="" dxfId="1">
      <formula>IF(BP26&gt;BP27,1,0)</formula>
    </cfRule>
  </conditionalFormatting>
  <conditionalFormatting sqref="BL26">
    <cfRule type="expression" priority="166" aboveAverage="0" equalAverage="0" bottom="0" percent="0" rank="0" text="" dxfId="1">
      <formula>IF(BP26&lt;BP27,1,0)</formula>
    </cfRule>
    <cfRule type="expression" priority="167" aboveAverage="0" equalAverage="0" bottom="0" percent="0" rank="0" text="" dxfId="0">
      <formula>IF(BP26&gt;BP27,1,0)</formula>
    </cfRule>
  </conditionalFormatting>
  <conditionalFormatting sqref="BM27:BO27">
    <cfRule type="expression" priority="168" aboveAverage="0" equalAverage="0" bottom="0" percent="0" rank="0" text="" dxfId="2">
      <formula>IF(OR(BM26="",BM27=""),0,IF(BM26&lt;BM27,1,0))</formula>
    </cfRule>
  </conditionalFormatting>
  <conditionalFormatting sqref="BM26:BO26">
    <cfRule type="expression" priority="169" aboveAverage="0" equalAverage="0" bottom="0" percent="0" rank="0" text="" dxfId="2">
      <formula>IF(OR(BM26="",BM27=""),0,IF(BM26&gt;BM27,1,0))</formula>
    </cfRule>
  </conditionalFormatting>
  <conditionalFormatting sqref="BL23">
    <cfRule type="expression" priority="170" aboveAverage="0" equalAverage="0" bottom="0" percent="0" rank="0" text="" dxfId="0">
      <formula>IF(BP22&lt;BP23,1,0)</formula>
    </cfRule>
    <cfRule type="expression" priority="171" aboveAverage="0" equalAverage="0" bottom="0" percent="0" rank="0" text="" dxfId="1">
      <formula>IF(BP22&gt;BP23,1,0)</formula>
    </cfRule>
  </conditionalFormatting>
  <conditionalFormatting sqref="BL22">
    <cfRule type="expression" priority="172" aboveAverage="0" equalAverage="0" bottom="0" percent="0" rank="0" text="" dxfId="1">
      <formula>IF(BP22&lt;BP23,1,0)</formula>
    </cfRule>
    <cfRule type="expression" priority="173" aboveAverage="0" equalAverage="0" bottom="0" percent="0" rank="0" text="" dxfId="0">
      <formula>IF(BP22&gt;BP23,1,0)</formula>
    </cfRule>
  </conditionalFormatting>
  <conditionalFormatting sqref="BM23:BO23">
    <cfRule type="expression" priority="174" aboveAverage="0" equalAverage="0" bottom="0" percent="0" rank="0" text="" dxfId="2">
      <formula>IF(OR(BM22="",BM23=""),0,IF(BM22&lt;BM23,1,0))</formula>
    </cfRule>
  </conditionalFormatting>
  <conditionalFormatting sqref="BM22:BO22">
    <cfRule type="expression" priority="175" aboveAverage="0" equalAverage="0" bottom="0" percent="0" rank="0" text="" dxfId="2">
      <formula>IF(OR(BM22="",BM23=""),0,IF(BM22&gt;BM23,1,0))</formula>
    </cfRule>
  </conditionalFormatting>
  <conditionalFormatting sqref="BL19">
    <cfRule type="expression" priority="176" aboveAverage="0" equalAverage="0" bottom="0" percent="0" rank="0" text="" dxfId="0">
      <formula>IF(BP18&lt;BP19,1,0)</formula>
    </cfRule>
    <cfRule type="expression" priority="177" aboveAverage="0" equalAverage="0" bottom="0" percent="0" rank="0" text="" dxfId="1">
      <formula>IF(BP18&gt;BP19,1,0)</formula>
    </cfRule>
  </conditionalFormatting>
  <conditionalFormatting sqref="BL18">
    <cfRule type="expression" priority="178" aboveAverage="0" equalAverage="0" bottom="0" percent="0" rank="0" text="" dxfId="1">
      <formula>IF(BP18&lt;BP19,1,0)</formula>
    </cfRule>
    <cfRule type="expression" priority="179" aboveAverage="0" equalAverage="0" bottom="0" percent="0" rank="0" text="" dxfId="0">
      <formula>IF(BP18&gt;BP19,1,0)</formula>
    </cfRule>
  </conditionalFormatting>
  <conditionalFormatting sqref="BM19:BO19">
    <cfRule type="expression" priority="180" aboveAverage="0" equalAverage="0" bottom="0" percent="0" rank="0" text="" dxfId="2">
      <formula>IF(OR(BM18="",BM19=""),0,IF(BM18&lt;BM19,1,0))</formula>
    </cfRule>
  </conditionalFormatting>
  <conditionalFormatting sqref="BM18:BO18">
    <cfRule type="expression" priority="181" aboveAverage="0" equalAverage="0" bottom="0" percent="0" rank="0" text="" dxfId="2">
      <formula>IF(OR(BM18="",BM19=""),0,IF(BM18&gt;BM19,1,0))</formula>
    </cfRule>
  </conditionalFormatting>
  <conditionalFormatting sqref="BL15">
    <cfRule type="expression" priority="182" aboveAverage="0" equalAverage="0" bottom="0" percent="0" rank="0" text="" dxfId="0">
      <formula>IF(BP14&lt;BP15,1,0)</formula>
    </cfRule>
    <cfRule type="expression" priority="183" aboveAverage="0" equalAverage="0" bottom="0" percent="0" rank="0" text="" dxfId="1">
      <formula>IF(BP14&gt;BP15,1,0)</formula>
    </cfRule>
  </conditionalFormatting>
  <conditionalFormatting sqref="BL14">
    <cfRule type="expression" priority="184" aboveAverage="0" equalAverage="0" bottom="0" percent="0" rank="0" text="" dxfId="1">
      <formula>IF(BP14&lt;BP15,1,0)</formula>
    </cfRule>
    <cfRule type="expression" priority="185" aboveAverage="0" equalAverage="0" bottom="0" percent="0" rank="0" text="" dxfId="0">
      <formula>IF(BP14&gt;BP15,1,0)</formula>
    </cfRule>
  </conditionalFormatting>
  <conditionalFormatting sqref="BM15:BO15">
    <cfRule type="expression" priority="186" aboveAverage="0" equalAverage="0" bottom="0" percent="0" rank="0" text="" dxfId="2">
      <formula>IF(OR(BM14="",BM15=""),0,IF(BM14&lt;BM15,1,0))</formula>
    </cfRule>
  </conditionalFormatting>
  <conditionalFormatting sqref="BM14:BO14">
    <cfRule type="expression" priority="187" aboveAverage="0" equalAverage="0" bottom="0" percent="0" rank="0" text="" dxfId="2">
      <formula>IF(OR(BM14="",BM15=""),0,IF(BM14&gt;BM15,1,0))</formula>
    </cfRule>
  </conditionalFormatting>
  <conditionalFormatting sqref="BL11">
    <cfRule type="expression" priority="188" aboveAverage="0" equalAverage="0" bottom="0" percent="0" rank="0" text="" dxfId="0">
      <formula>IF(BP10&lt;BP11,1,0)</formula>
    </cfRule>
    <cfRule type="expression" priority="189" aboveAverage="0" equalAverage="0" bottom="0" percent="0" rank="0" text="" dxfId="1">
      <formula>IF(BP10&gt;BP11,1,0)</formula>
    </cfRule>
  </conditionalFormatting>
  <conditionalFormatting sqref="BL10">
    <cfRule type="expression" priority="190" aboveAverage="0" equalAverage="0" bottom="0" percent="0" rank="0" text="" dxfId="1">
      <formula>IF(BP10&lt;BP11,1,0)</formula>
    </cfRule>
    <cfRule type="expression" priority="191" aboveAverage="0" equalAverage="0" bottom="0" percent="0" rank="0" text="" dxfId="0">
      <formula>IF(BP10&gt;BP11,1,0)</formula>
    </cfRule>
  </conditionalFormatting>
  <conditionalFormatting sqref="BM11:BO11">
    <cfRule type="expression" priority="192" aboveAverage="0" equalAverage="0" bottom="0" percent="0" rank="0" text="" dxfId="2">
      <formula>IF(OR(BM10="",BM11=""),0,IF(BM10&lt;BM11,1,0))</formula>
    </cfRule>
  </conditionalFormatting>
  <conditionalFormatting sqref="BM10:BO10">
    <cfRule type="expression" priority="193" aboveAverage="0" equalAverage="0" bottom="0" percent="0" rank="0" text="" dxfId="2">
      <formula>IF(OR(BM10="",BM11=""),0,IF(BM10&gt;BM11,1,0))</formula>
    </cfRule>
  </conditionalFormatting>
  <conditionalFormatting sqref="J75:P75">
    <cfRule type="expression" priority="194" aboveAverage="0" equalAverage="0" bottom="0" percent="0" rank="0" text="" dxfId="3">
      <formula>IF(SUM($K75:$K78)=12,1,0)</formula>
    </cfRule>
  </conditionalFormatting>
  <conditionalFormatting sqref="J76:P76">
    <cfRule type="expression" priority="195" aboveAverage="0" equalAverage="0" bottom="0" percent="0" rank="0" text="" dxfId="4">
      <formula>IF(SUM($K75:$K78)=12,1,0)</formula>
    </cfRule>
  </conditionalFormatting>
  <conditionalFormatting sqref="J78:P79">
    <cfRule type="expression" priority="196" aboveAverage="0" equalAverage="0" bottom="0" percent="0" rank="0" text="" dxfId="5">
      <formula>IF(SUM($K75:$K78)=12,1,0)</formula>
    </cfRule>
  </conditionalFormatting>
  <conditionalFormatting sqref="J77:P77">
    <cfRule type="expression" priority="197" aboveAverage="0" equalAverage="0" bottom="0" percent="0" rank="0" text="" dxfId="5">
      <formula>IF(SUM($K75:$K78)=12,1,0)</formula>
    </cfRule>
  </conditionalFormatting>
  <conditionalFormatting sqref="J69:P69">
    <cfRule type="expression" priority="198" aboveAverage="0" equalAverage="0" bottom="0" percent="0" rank="0" text="" dxfId="3">
      <formula>IF(SUM($K69:$K72)=12,1,0)</formula>
    </cfRule>
  </conditionalFormatting>
  <conditionalFormatting sqref="J70:P70">
    <cfRule type="expression" priority="199" aboveAverage="0" equalAverage="0" bottom="0" percent="0" rank="0" text="" dxfId="4">
      <formula>IF(SUM($K69:$K72)=12,1,0)</formula>
    </cfRule>
  </conditionalFormatting>
  <conditionalFormatting sqref="J72:P73">
    <cfRule type="expression" priority="200" aboveAverage="0" equalAverage="0" bottom="0" percent="0" rank="0" text="" dxfId="5">
      <formula>IF(SUM($K69:$K72)=12,1,0)</formula>
    </cfRule>
  </conditionalFormatting>
  <conditionalFormatting sqref="J71:P71">
    <cfRule type="expression" priority="201" aboveAverage="0" equalAverage="0" bottom="0" percent="0" rank="0" text="" dxfId="5">
      <formula>IF(SUM($K69:$K72)=12,1,0)</formula>
    </cfRule>
  </conditionalFormatting>
  <conditionalFormatting sqref="J63:P63">
    <cfRule type="expression" priority="202" aboveAverage="0" equalAverage="0" bottom="0" percent="0" rank="0" text="" dxfId="3">
      <formula>IF(SUM($K63:$K66)=12,1,0)</formula>
    </cfRule>
  </conditionalFormatting>
  <conditionalFormatting sqref="J64:P64">
    <cfRule type="expression" priority="203" aboveAverage="0" equalAverage="0" bottom="0" percent="0" rank="0" text="" dxfId="4">
      <formula>IF(SUM($K63:$K66)=12,1,0)</formula>
    </cfRule>
  </conditionalFormatting>
  <conditionalFormatting sqref="J66:P67">
    <cfRule type="expression" priority="204" aboveAverage="0" equalAverage="0" bottom="0" percent="0" rank="0" text="" dxfId="5">
      <formula>IF(SUM($K63:$K66)=12,1,0)</formula>
    </cfRule>
  </conditionalFormatting>
  <conditionalFormatting sqref="J65:P65">
    <cfRule type="expression" priority="205" aboveAverage="0" equalAverage="0" bottom="0" percent="0" rank="0" text="" dxfId="5">
      <formula>IF(SUM($K63:$K66)=12,1,0)</formula>
    </cfRule>
  </conditionalFormatting>
  <conditionalFormatting sqref="J57:P57">
    <cfRule type="expression" priority="206" aboveAverage="0" equalAverage="0" bottom="0" percent="0" rank="0" text="" dxfId="3">
      <formula>IF(SUM($K57:$K60)=12,1,0)</formula>
    </cfRule>
  </conditionalFormatting>
  <conditionalFormatting sqref="J58:P58">
    <cfRule type="expression" priority="207" aboveAverage="0" equalAverage="0" bottom="0" percent="0" rank="0" text="" dxfId="4">
      <formula>IF(SUM($K57:$K60)=12,1,0)</formula>
    </cfRule>
  </conditionalFormatting>
  <conditionalFormatting sqref="J60:P61">
    <cfRule type="expression" priority="208" aboveAverage="0" equalAverage="0" bottom="0" percent="0" rank="0" text="" dxfId="5">
      <formula>IF(SUM($K57:$K60)=12,1,0)</formula>
    </cfRule>
  </conditionalFormatting>
  <conditionalFormatting sqref="J59:P59">
    <cfRule type="expression" priority="209" aboveAverage="0" equalAverage="0" bottom="0" percent="0" rank="0" text="" dxfId="5">
      <formula>IF(SUM($K57:$K60)=12,1,0)</formula>
    </cfRule>
  </conditionalFormatting>
  <conditionalFormatting sqref="A7:E78">
    <cfRule type="expression" priority="210" aboveAverage="0" equalAverage="0" bottom="0" percent="0" rank="0" text="" dxfId="6">
      <formula>IF($AA7=1,1,0)</formula>
    </cfRule>
  </conditionalFormatting>
  <conditionalFormatting sqref="H7:H78">
    <cfRule type="expression" priority="211" aboveAverage="0" equalAverage="0" bottom="0" percent="0" rank="0" text="" dxfId="7">
      <formula>IF(AND(AA7=0,AB7=-1),1,0)</formula>
    </cfRule>
    <cfRule type="expression" priority="212" aboveAverage="0" equalAverage="0" bottom="0" percent="0" rank="0" text="" dxfId="8">
      <formula>IF(AND(AA7=1,AB7=-1),1,0)</formula>
    </cfRule>
    <cfRule type="expression" priority="213" aboveAverage="0" equalAverage="0" bottom="0" percent="0" rank="0" text="" dxfId="1">
      <formula>IF(AND(AA7=0,AB7=1),1,0)</formula>
    </cfRule>
    <cfRule type="expression" priority="214" aboveAverage="0" equalAverage="0" bottom="0" percent="0" rank="0" text="" dxfId="9">
      <formula>IF(AND(AA7=1,AB7=1),1,0)</formula>
    </cfRule>
    <cfRule type="expression" priority="215" aboveAverage="0" equalAverage="0" bottom="0" percent="0" rank="0" text="" dxfId="10">
      <formula>IF(AND(AA7=0,AB7=0),1,0)</formula>
    </cfRule>
    <cfRule type="expression" priority="216" aboveAverage="0" equalAverage="0" bottom="0" percent="0" rank="0" text="" dxfId="11">
      <formula>IF(AND(AA7=1,AB7=0),1,0)</formula>
    </cfRule>
    <cfRule type="expression" priority="217" aboveAverage="0" equalAverage="0" bottom="0" percent="0" rank="0" text="" dxfId="6">
      <formula>IF(AND(AA7=1,AB7=""),1,0)</formula>
    </cfRule>
  </conditionalFormatting>
  <conditionalFormatting sqref="E7:E78">
    <cfRule type="expression" priority="218" aboveAverage="0" equalAverage="0" bottom="0" percent="0" rank="0" text="" dxfId="1">
      <formula>IF(AND(AA7=0,AB7=-1),1,0)</formula>
    </cfRule>
    <cfRule type="expression" priority="219" aboveAverage="0" equalAverage="0" bottom="0" percent="0" rank="0" text="" dxfId="9">
      <formula>IF(AND(AA7=1,AB7=-1),1,0)</formula>
    </cfRule>
    <cfRule type="expression" priority="220" aboveAverage="0" equalAverage="0" bottom="0" percent="0" rank="0" text="" dxfId="7">
      <formula>IF(AND(AA7=0,AB7=1),1,0)</formula>
    </cfRule>
    <cfRule type="expression" priority="221" aboveAverage="0" equalAverage="0" bottom="0" percent="0" rank="0" text="" dxfId="8">
      <formula>IF(AND(AA7=1,AB7=1),1,0)</formula>
    </cfRule>
    <cfRule type="expression" priority="222" aboveAverage="0" equalAverage="0" bottom="0" percent="0" rank="0" text="" dxfId="10">
      <formula>IF(AND(AA7=0,AB7=0),1,0)</formula>
    </cfRule>
    <cfRule type="expression" priority="223" aboveAverage="0" equalAverage="0" bottom="0" percent="0" rank="0" text="" dxfId="11">
      <formula>IF(AND(AA7=1,AB7=0),1,0)</formula>
    </cfRule>
  </conditionalFormatting>
  <conditionalFormatting sqref="F7:F78">
    <cfRule type="expression" priority="224" aboveAverage="0" equalAverage="0" bottom="0" percent="0" rank="0" text="" dxfId="2">
      <formula>IF(AND($F7&gt;$G7,ISNUMBER($F7),ISNUMBER($G7)),1,0)</formula>
    </cfRule>
  </conditionalFormatting>
  <conditionalFormatting sqref="G7:G78">
    <cfRule type="expression" priority="225" aboveAverage="0" equalAverage="0" bottom="0" percent="0" rank="0" text="" dxfId="2">
      <formula>IF(AND($F7&lt;$G7,ISNUMBER($F7),ISNUMBER($G7)),1,0)</formula>
    </cfRule>
  </conditionalFormatting>
  <conditionalFormatting sqref="J9:P9 J15:P15 J21:P21 J27:P27 J33:P33 J39:P39 J45:P45 J51:P51">
    <cfRule type="expression" priority="226" aboveAverage="0" equalAverage="0" bottom="0" percent="0" rank="0" text="" dxfId="3">
      <formula>IF(SUM($K9:$K12)=12,1,0)</formula>
    </cfRule>
  </conditionalFormatting>
  <conditionalFormatting sqref="J10:P10 J16:P16 J22:P22 J28:P28 J34:P34 J40:P40 J46:P46 J52:P52">
    <cfRule type="expression" priority="227" aboveAverage="0" equalAverage="0" bottom="0" percent="0" rank="0" text="" dxfId="4">
      <formula>IF(SUM($K9:$K12)=12,1,0)</formula>
    </cfRule>
  </conditionalFormatting>
  <conditionalFormatting sqref="J12:P12 J18:P18 J24:P24 J30:P30 J36:P36 J42:P42 J48:P48 J54:P55">
    <cfRule type="expression" priority="228" aboveAverage="0" equalAverage="0" bottom="0" percent="0" rank="0" text="" dxfId="5">
      <formula>IF(SUM($K9:$K12)=12,1,0)</formula>
    </cfRule>
  </conditionalFormatting>
  <conditionalFormatting sqref="J11:P11 J17:P17 J23:P23 J29:P29 J35:P35 J41:P41 J47:P47 J53:P53">
    <cfRule type="expression" priority="229" aboveAverage="0" equalAverage="0" bottom="0" percent="0" rank="0" text="" dxfId="5">
      <formula>IF(SUM($K9:$K12)=12,1,0)</formula>
    </cfRule>
  </conditionalFormatting>
  <dataValidations count="4">
    <dataValidation allowBlank="true" errorStyle="stop" operator="between" prompt="Regular time result (90 min)" promptTitle="Match results" showDropDown="false" showErrorMessage="true" showInputMessage="true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type="list">
      <formula1>"0,1,2,3,4,5,6,7,8,9,10,11,12,13,14,15,16,17,18,19,20"</formula1>
      <formula2>0</formula2>
    </dataValidation>
    <dataValidation allowBlank="true" errorStyle="stop" operator="between" prompt="Extra-time result (+30 min)" promptTitle="Match result" showDropDown="false" showErrorMessage="true" showInputMessage="true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type="list">
      <formula1>"0,1,2,3,4,5"</formula1>
      <formula2>0</formula2>
    </dataValidation>
    <dataValidation allowBlank="true" errorStyle="stop" operator="between" prompt="Penalties" promptTitle="Match result" showDropDown="false" showErrorMessage="true" showInputMessage="true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type="list">
      <formula1>"0,1,2,3,4,5,6,7,8,9,10,11,12,13,14,15,16,17,18,19,20"</formula1>
      <formula2>0</formula2>
    </dataValidation>
    <dataValidation allowBlank="true" errorStyle="stop" operator="between" showDropDown="false" showErrorMessage="true" showInputMessage="true" sqref="F7:G78" type="list">
      <formula1>"0,1,2,3,4,5,6,7,8,9"</formula1>
      <formula2>0</formula2>
    </dataValidation>
  </dataValidations>
  <hyperlinks>
    <hyperlink ref="O3" location="Settings!C4" display="#Settings!C4"/>
    <hyperlink ref="J5" r:id="rId1" display="Home Page: www.excely.com"/>
    <hyperlink ref="C83" r:id="rId2" display="World Cup 2026&#10;Interactive Schedule Online&#10;www.wallchart.io"/>
  </hyperlinks>
  <printOptions headings="false" gridLines="false" gridLinesSet="true" horizontalCentered="true" verticalCentered="tru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&amp;C&amp;"MS UI Gothic,Regular"&amp;1  •• PROTECTED 関係者外秘#_x005F_x000d_</oddHead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09375" defaultRowHeight="14.25" zeroHeight="false" outlineLevelRow="0" outlineLevelCol="0"/>
  <cols>
    <col collapsed="false" customWidth="true" hidden="false" outlineLevel="0" max="1" min="1" style="127" width="2.44"/>
    <col collapsed="false" customWidth="false" hidden="false" outlineLevel="0" max="2" min="2" style="128" width="9.11"/>
    <col collapsed="false" customWidth="true" hidden="false" outlineLevel="0" max="3" min="3" style="128" width="13.67"/>
    <col collapsed="false" customWidth="true" hidden="false" outlineLevel="0" max="11" min="4" style="128" width="9.44"/>
    <col collapsed="false" customWidth="false" hidden="false" outlineLevel="0" max="16384" min="12" style="127" width="9.11"/>
  </cols>
  <sheetData>
    <row r="1" customFormat="false" ht="8.25" hidden="false" customHeight="true" outlineLevel="0" collapsed="false"/>
    <row r="2" customFormat="false" ht="21" hidden="false" customHeight="true" outlineLevel="0" collapsed="false">
      <c r="B2" s="129" t="s">
        <v>3194</v>
      </c>
    </row>
    <row r="3" customFormat="false" ht="14.25" hidden="false" customHeight="true" outlineLevel="0" collapsed="false">
      <c r="B3" s="130" t="n">
        <f aca="false">MATCH(C3,C6:C500,0)</f>
        <v>342</v>
      </c>
      <c r="C3" s="131" t="str">
        <f aca="false">'2026 World Cup'!AR91</f>
        <v>ABDEGIJL</v>
      </c>
      <c r="D3" s="131" t="str">
        <f aca="false">VLOOKUP($C3,$C$6:$K$500,2,FALSE())</f>
        <v>3E</v>
      </c>
      <c r="E3" s="131" t="str">
        <f aca="false">VLOOKUP($C3,$C$6:$K$500,3,FALSE())</f>
        <v>3J</v>
      </c>
      <c r="F3" s="131" t="str">
        <f aca="false">VLOOKUP($C3,$C$6:$K$500,4,FALSE())</f>
        <v>3B</v>
      </c>
      <c r="G3" s="131" t="str">
        <f aca="false">VLOOKUP($C3,$C$6:$K$500,5,FALSE())</f>
        <v>3D</v>
      </c>
      <c r="H3" s="131" t="str">
        <f aca="false">VLOOKUP($C3,$C$6:$K$500,6,FALSE())</f>
        <v>3A</v>
      </c>
      <c r="I3" s="131" t="str">
        <f aca="false">VLOOKUP($C3,$C$6:$K$500,7,FALSE())</f>
        <v>3G</v>
      </c>
      <c r="J3" s="131" t="str">
        <f aca="false">VLOOKUP($C3,$C$6:$K$500,8,FALSE())</f>
        <v>3L</v>
      </c>
      <c r="K3" s="132" t="str">
        <f aca="false">VLOOKUP($C3,$C$6:$K$500,9,FALSE())</f>
        <v>3I</v>
      </c>
    </row>
    <row r="5" customFormat="false" ht="19.5" hidden="false" customHeight="true" outlineLevel="0" collapsed="false">
      <c r="B5" s="133" t="s">
        <v>3195</v>
      </c>
      <c r="C5" s="134"/>
      <c r="D5" s="135" t="s">
        <v>3196</v>
      </c>
      <c r="E5" s="135" t="s">
        <v>3197</v>
      </c>
      <c r="F5" s="135" t="s">
        <v>3198</v>
      </c>
      <c r="G5" s="135" t="s">
        <v>3199</v>
      </c>
      <c r="H5" s="135" t="s">
        <v>3200</v>
      </c>
      <c r="I5" s="135" t="s">
        <v>3201</v>
      </c>
      <c r="J5" s="135" t="s">
        <v>3202</v>
      </c>
      <c r="K5" s="136" t="s">
        <v>3203</v>
      </c>
    </row>
    <row r="6" customFormat="false" ht="14.25" hidden="false" customHeight="true" outlineLevel="0" collapsed="false">
      <c r="B6" s="137" t="n">
        <v>1</v>
      </c>
      <c r="C6" s="138" t="s">
        <v>3204</v>
      </c>
      <c r="D6" s="138" t="s">
        <v>3186</v>
      </c>
      <c r="E6" s="138" t="s">
        <v>3191</v>
      </c>
      <c r="F6" s="138" t="s">
        <v>3190</v>
      </c>
      <c r="G6" s="138" t="s">
        <v>3187</v>
      </c>
      <c r="H6" s="138" t="s">
        <v>3189</v>
      </c>
      <c r="I6" s="138" t="s">
        <v>3188</v>
      </c>
      <c r="J6" s="138" t="s">
        <v>3193</v>
      </c>
      <c r="K6" s="139" t="s">
        <v>3192</v>
      </c>
    </row>
    <row r="7" customFormat="false" ht="14.25" hidden="false" customHeight="true" outlineLevel="0" collapsed="false">
      <c r="B7" s="137" t="n">
        <v>2</v>
      </c>
      <c r="C7" s="138" t="s">
        <v>3205</v>
      </c>
      <c r="D7" s="138" t="s">
        <v>3189</v>
      </c>
      <c r="E7" s="138" t="s">
        <v>3188</v>
      </c>
      <c r="F7" s="138" t="s">
        <v>3190</v>
      </c>
      <c r="G7" s="138" t="s">
        <v>3185</v>
      </c>
      <c r="H7" s="138" t="s">
        <v>3191</v>
      </c>
      <c r="I7" s="138" t="s">
        <v>3187</v>
      </c>
      <c r="J7" s="138" t="s">
        <v>3193</v>
      </c>
      <c r="K7" s="139" t="s">
        <v>3192</v>
      </c>
    </row>
    <row r="8" customFormat="false" ht="14.25" hidden="false" customHeight="true" outlineLevel="0" collapsed="false">
      <c r="B8" s="137" t="n">
        <v>3</v>
      </c>
      <c r="C8" s="138" t="s">
        <v>3206</v>
      </c>
      <c r="D8" s="138" t="s">
        <v>3186</v>
      </c>
      <c r="E8" s="138" t="s">
        <v>3191</v>
      </c>
      <c r="F8" s="138" t="s">
        <v>3190</v>
      </c>
      <c r="G8" s="138" t="s">
        <v>3185</v>
      </c>
      <c r="H8" s="138" t="s">
        <v>3189</v>
      </c>
      <c r="I8" s="138" t="s">
        <v>3188</v>
      </c>
      <c r="J8" s="138" t="s">
        <v>3193</v>
      </c>
      <c r="K8" s="139" t="s">
        <v>3192</v>
      </c>
    </row>
    <row r="9" customFormat="false" ht="14.25" hidden="false" customHeight="true" outlineLevel="0" collapsed="false">
      <c r="B9" s="137" t="n">
        <v>4</v>
      </c>
      <c r="C9" s="138" t="s">
        <v>3207</v>
      </c>
      <c r="D9" s="138" t="s">
        <v>3186</v>
      </c>
      <c r="E9" s="138" t="s">
        <v>3191</v>
      </c>
      <c r="F9" s="138" t="s">
        <v>3190</v>
      </c>
      <c r="G9" s="138" t="s">
        <v>3185</v>
      </c>
      <c r="H9" s="138" t="s">
        <v>3189</v>
      </c>
      <c r="I9" s="138" t="s">
        <v>3187</v>
      </c>
      <c r="J9" s="138" t="s">
        <v>3193</v>
      </c>
      <c r="K9" s="139" t="s">
        <v>3192</v>
      </c>
    </row>
    <row r="10" customFormat="false" ht="14.25" hidden="false" customHeight="true" outlineLevel="0" collapsed="false">
      <c r="B10" s="137" t="n">
        <v>5</v>
      </c>
      <c r="C10" s="138" t="s">
        <v>3208</v>
      </c>
      <c r="D10" s="138" t="s">
        <v>3186</v>
      </c>
      <c r="E10" s="138" t="s">
        <v>3188</v>
      </c>
      <c r="F10" s="138" t="s">
        <v>3190</v>
      </c>
      <c r="G10" s="138" t="s">
        <v>3185</v>
      </c>
      <c r="H10" s="138" t="s">
        <v>3191</v>
      </c>
      <c r="I10" s="138" t="s">
        <v>3187</v>
      </c>
      <c r="J10" s="138" t="s">
        <v>3193</v>
      </c>
      <c r="K10" s="139" t="s">
        <v>3192</v>
      </c>
    </row>
    <row r="11" customFormat="false" ht="14.25" hidden="false" customHeight="true" outlineLevel="0" collapsed="false">
      <c r="B11" s="137" t="n">
        <v>6</v>
      </c>
      <c r="C11" s="138" t="s">
        <v>3209</v>
      </c>
      <c r="D11" s="138" t="s">
        <v>3186</v>
      </c>
      <c r="E11" s="138" t="s">
        <v>3188</v>
      </c>
      <c r="F11" s="138" t="s">
        <v>3191</v>
      </c>
      <c r="G11" s="138" t="s">
        <v>3185</v>
      </c>
      <c r="H11" s="138" t="s">
        <v>3189</v>
      </c>
      <c r="I11" s="138" t="s">
        <v>3187</v>
      </c>
      <c r="J11" s="138" t="s">
        <v>3193</v>
      </c>
      <c r="K11" s="139" t="s">
        <v>3192</v>
      </c>
    </row>
    <row r="12" customFormat="false" ht="14.25" hidden="false" customHeight="true" outlineLevel="0" collapsed="false">
      <c r="B12" s="137" t="n">
        <v>7</v>
      </c>
      <c r="C12" s="138" t="s">
        <v>3210</v>
      </c>
      <c r="D12" s="138" t="s">
        <v>3186</v>
      </c>
      <c r="E12" s="138" t="s">
        <v>3188</v>
      </c>
      <c r="F12" s="138" t="s">
        <v>3190</v>
      </c>
      <c r="G12" s="138" t="s">
        <v>3185</v>
      </c>
      <c r="H12" s="138" t="s">
        <v>3189</v>
      </c>
      <c r="I12" s="138" t="s">
        <v>3187</v>
      </c>
      <c r="J12" s="138" t="s">
        <v>3193</v>
      </c>
      <c r="K12" s="139" t="s">
        <v>3192</v>
      </c>
    </row>
    <row r="13" customFormat="false" ht="14.25" hidden="false" customHeight="true" outlineLevel="0" collapsed="false">
      <c r="B13" s="137" t="n">
        <v>8</v>
      </c>
      <c r="C13" s="138" t="s">
        <v>3211</v>
      </c>
      <c r="D13" s="138" t="s">
        <v>3186</v>
      </c>
      <c r="E13" s="138" t="s">
        <v>3188</v>
      </c>
      <c r="F13" s="138" t="s">
        <v>3191</v>
      </c>
      <c r="G13" s="138" t="s">
        <v>3185</v>
      </c>
      <c r="H13" s="138" t="s">
        <v>3189</v>
      </c>
      <c r="I13" s="138" t="s">
        <v>3187</v>
      </c>
      <c r="J13" s="138" t="s">
        <v>3193</v>
      </c>
      <c r="K13" s="139" t="s">
        <v>3190</v>
      </c>
    </row>
    <row r="14" customFormat="false" ht="14.25" hidden="false" customHeight="true" outlineLevel="0" collapsed="false">
      <c r="B14" s="137" t="n">
        <v>9</v>
      </c>
      <c r="C14" s="138" t="s">
        <v>3212</v>
      </c>
      <c r="D14" s="138" t="s">
        <v>3186</v>
      </c>
      <c r="E14" s="138" t="s">
        <v>3188</v>
      </c>
      <c r="F14" s="138" t="s">
        <v>3191</v>
      </c>
      <c r="G14" s="138" t="s">
        <v>3185</v>
      </c>
      <c r="H14" s="138" t="s">
        <v>3189</v>
      </c>
      <c r="I14" s="138" t="s">
        <v>3187</v>
      </c>
      <c r="J14" s="138" t="s">
        <v>3190</v>
      </c>
      <c r="K14" s="139" t="s">
        <v>3192</v>
      </c>
    </row>
    <row r="15" customFormat="false" ht="14.25" hidden="false" customHeight="true" outlineLevel="0" collapsed="false">
      <c r="B15" s="137" t="n">
        <v>10</v>
      </c>
      <c r="C15" s="138" t="s">
        <v>3213</v>
      </c>
      <c r="D15" s="138" t="s">
        <v>3189</v>
      </c>
      <c r="E15" s="138" t="s">
        <v>3188</v>
      </c>
      <c r="F15" s="138" t="s">
        <v>3190</v>
      </c>
      <c r="G15" s="138" t="s">
        <v>3183</v>
      </c>
      <c r="H15" s="138" t="s">
        <v>3191</v>
      </c>
      <c r="I15" s="138" t="s">
        <v>3187</v>
      </c>
      <c r="J15" s="138" t="s">
        <v>3193</v>
      </c>
      <c r="K15" s="139" t="s">
        <v>3192</v>
      </c>
    </row>
    <row r="16" customFormat="false" ht="14.25" hidden="false" customHeight="true" outlineLevel="0" collapsed="false">
      <c r="B16" s="137" t="n">
        <v>11</v>
      </c>
      <c r="C16" s="138" t="s">
        <v>3214</v>
      </c>
      <c r="D16" s="138" t="s">
        <v>3186</v>
      </c>
      <c r="E16" s="138" t="s">
        <v>3191</v>
      </c>
      <c r="F16" s="138" t="s">
        <v>3190</v>
      </c>
      <c r="G16" s="138" t="s">
        <v>3183</v>
      </c>
      <c r="H16" s="138" t="s">
        <v>3189</v>
      </c>
      <c r="I16" s="138" t="s">
        <v>3188</v>
      </c>
      <c r="J16" s="138" t="s">
        <v>3193</v>
      </c>
      <c r="K16" s="139" t="s">
        <v>3192</v>
      </c>
    </row>
    <row r="17" customFormat="false" ht="14.25" hidden="false" customHeight="true" outlineLevel="0" collapsed="false">
      <c r="B17" s="137" t="n">
        <v>12</v>
      </c>
      <c r="C17" s="138" t="s">
        <v>3215</v>
      </c>
      <c r="D17" s="138" t="s">
        <v>3186</v>
      </c>
      <c r="E17" s="138" t="s">
        <v>3191</v>
      </c>
      <c r="F17" s="138" t="s">
        <v>3190</v>
      </c>
      <c r="G17" s="138" t="s">
        <v>3183</v>
      </c>
      <c r="H17" s="138" t="s">
        <v>3189</v>
      </c>
      <c r="I17" s="138" t="s">
        <v>3187</v>
      </c>
      <c r="J17" s="138" t="s">
        <v>3193</v>
      </c>
      <c r="K17" s="139" t="s">
        <v>3192</v>
      </c>
    </row>
    <row r="18" customFormat="false" ht="14.25" hidden="false" customHeight="true" outlineLevel="0" collapsed="false">
      <c r="B18" s="137" t="n">
        <v>13</v>
      </c>
      <c r="C18" s="138" t="s">
        <v>3216</v>
      </c>
      <c r="D18" s="138" t="s">
        <v>3186</v>
      </c>
      <c r="E18" s="138" t="s">
        <v>3188</v>
      </c>
      <c r="F18" s="138" t="s">
        <v>3190</v>
      </c>
      <c r="G18" s="138" t="s">
        <v>3183</v>
      </c>
      <c r="H18" s="138" t="s">
        <v>3191</v>
      </c>
      <c r="I18" s="138" t="s">
        <v>3187</v>
      </c>
      <c r="J18" s="138" t="s">
        <v>3193</v>
      </c>
      <c r="K18" s="139" t="s">
        <v>3192</v>
      </c>
    </row>
    <row r="19" customFormat="false" ht="14.25" hidden="false" customHeight="true" outlineLevel="0" collapsed="false">
      <c r="B19" s="137" t="n">
        <v>14</v>
      </c>
      <c r="C19" s="138" t="s">
        <v>3217</v>
      </c>
      <c r="D19" s="138" t="s">
        <v>3186</v>
      </c>
      <c r="E19" s="138" t="s">
        <v>3188</v>
      </c>
      <c r="F19" s="138" t="s">
        <v>3191</v>
      </c>
      <c r="G19" s="138" t="s">
        <v>3183</v>
      </c>
      <c r="H19" s="138" t="s">
        <v>3189</v>
      </c>
      <c r="I19" s="138" t="s">
        <v>3187</v>
      </c>
      <c r="J19" s="138" t="s">
        <v>3193</v>
      </c>
      <c r="K19" s="139" t="s">
        <v>3192</v>
      </c>
    </row>
    <row r="20" customFormat="false" ht="14.25" hidden="false" customHeight="true" outlineLevel="0" collapsed="false">
      <c r="B20" s="137" t="n">
        <v>15</v>
      </c>
      <c r="C20" s="138" t="s">
        <v>3218</v>
      </c>
      <c r="D20" s="138" t="s">
        <v>3186</v>
      </c>
      <c r="E20" s="138" t="s">
        <v>3188</v>
      </c>
      <c r="F20" s="138" t="s">
        <v>3190</v>
      </c>
      <c r="G20" s="138" t="s">
        <v>3183</v>
      </c>
      <c r="H20" s="138" t="s">
        <v>3189</v>
      </c>
      <c r="I20" s="138" t="s">
        <v>3187</v>
      </c>
      <c r="J20" s="138" t="s">
        <v>3193</v>
      </c>
      <c r="K20" s="139" t="s">
        <v>3192</v>
      </c>
    </row>
    <row r="21" customFormat="false" ht="14.25" hidden="false" customHeight="true" outlineLevel="0" collapsed="false">
      <c r="B21" s="137" t="n">
        <v>16</v>
      </c>
      <c r="C21" s="138" t="s">
        <v>3219</v>
      </c>
      <c r="D21" s="138" t="s">
        <v>3186</v>
      </c>
      <c r="E21" s="138" t="s">
        <v>3188</v>
      </c>
      <c r="F21" s="138" t="s">
        <v>3191</v>
      </c>
      <c r="G21" s="138" t="s">
        <v>3183</v>
      </c>
      <c r="H21" s="138" t="s">
        <v>3189</v>
      </c>
      <c r="I21" s="138" t="s">
        <v>3187</v>
      </c>
      <c r="J21" s="138" t="s">
        <v>3193</v>
      </c>
      <c r="K21" s="139" t="s">
        <v>3190</v>
      </c>
    </row>
    <row r="22" customFormat="false" ht="14.25" hidden="false" customHeight="true" outlineLevel="0" collapsed="false">
      <c r="B22" s="137" t="n">
        <v>17</v>
      </c>
      <c r="C22" s="138" t="s">
        <v>3220</v>
      </c>
      <c r="D22" s="138" t="s">
        <v>3186</v>
      </c>
      <c r="E22" s="138" t="s">
        <v>3188</v>
      </c>
      <c r="F22" s="138" t="s">
        <v>3191</v>
      </c>
      <c r="G22" s="138" t="s">
        <v>3183</v>
      </c>
      <c r="H22" s="138" t="s">
        <v>3189</v>
      </c>
      <c r="I22" s="138" t="s">
        <v>3187</v>
      </c>
      <c r="J22" s="138" t="s">
        <v>3190</v>
      </c>
      <c r="K22" s="139" t="s">
        <v>3192</v>
      </c>
    </row>
    <row r="23" customFormat="false" ht="14.25" hidden="false" customHeight="true" outlineLevel="0" collapsed="false">
      <c r="B23" s="137" t="n">
        <v>18</v>
      </c>
      <c r="C23" s="138" t="s">
        <v>3221</v>
      </c>
      <c r="D23" s="138" t="s">
        <v>3189</v>
      </c>
      <c r="E23" s="138" t="s">
        <v>3188</v>
      </c>
      <c r="F23" s="138" t="s">
        <v>3190</v>
      </c>
      <c r="G23" s="138" t="s">
        <v>3183</v>
      </c>
      <c r="H23" s="138" t="s">
        <v>3191</v>
      </c>
      <c r="I23" s="138" t="s">
        <v>3185</v>
      </c>
      <c r="J23" s="138" t="s">
        <v>3193</v>
      </c>
      <c r="K23" s="139" t="s">
        <v>3192</v>
      </c>
    </row>
    <row r="24" customFormat="false" ht="14.25" hidden="false" customHeight="true" outlineLevel="0" collapsed="false">
      <c r="B24" s="137" t="n">
        <v>19</v>
      </c>
      <c r="C24" s="138" t="s">
        <v>3222</v>
      </c>
      <c r="D24" s="138" t="s">
        <v>3183</v>
      </c>
      <c r="E24" s="138" t="s">
        <v>3191</v>
      </c>
      <c r="F24" s="138" t="s">
        <v>3190</v>
      </c>
      <c r="G24" s="138" t="s">
        <v>3185</v>
      </c>
      <c r="H24" s="138" t="s">
        <v>3189</v>
      </c>
      <c r="I24" s="138" t="s">
        <v>3187</v>
      </c>
      <c r="J24" s="138" t="s">
        <v>3193</v>
      </c>
      <c r="K24" s="139" t="s">
        <v>3192</v>
      </c>
    </row>
    <row r="25" customFormat="false" ht="14.25" hidden="false" customHeight="true" outlineLevel="0" collapsed="false">
      <c r="B25" s="137" t="n">
        <v>20</v>
      </c>
      <c r="C25" s="138" t="s">
        <v>3223</v>
      </c>
      <c r="D25" s="138" t="s">
        <v>3183</v>
      </c>
      <c r="E25" s="138" t="s">
        <v>3188</v>
      </c>
      <c r="F25" s="138" t="s">
        <v>3190</v>
      </c>
      <c r="G25" s="138" t="s">
        <v>3185</v>
      </c>
      <c r="H25" s="138" t="s">
        <v>3191</v>
      </c>
      <c r="I25" s="138" t="s">
        <v>3187</v>
      </c>
      <c r="J25" s="138" t="s">
        <v>3193</v>
      </c>
      <c r="K25" s="139" t="s">
        <v>3192</v>
      </c>
    </row>
    <row r="26" customFormat="false" ht="14.25" hidden="false" customHeight="true" outlineLevel="0" collapsed="false">
      <c r="B26" s="137" t="n">
        <v>21</v>
      </c>
      <c r="C26" s="138" t="s">
        <v>3224</v>
      </c>
      <c r="D26" s="138" t="s">
        <v>3183</v>
      </c>
      <c r="E26" s="138" t="s">
        <v>3188</v>
      </c>
      <c r="F26" s="138" t="s">
        <v>3191</v>
      </c>
      <c r="G26" s="138" t="s">
        <v>3185</v>
      </c>
      <c r="H26" s="138" t="s">
        <v>3189</v>
      </c>
      <c r="I26" s="138" t="s">
        <v>3187</v>
      </c>
      <c r="J26" s="138" t="s">
        <v>3193</v>
      </c>
      <c r="K26" s="139" t="s">
        <v>3192</v>
      </c>
    </row>
    <row r="27" customFormat="false" ht="14.25" hidden="false" customHeight="true" outlineLevel="0" collapsed="false">
      <c r="B27" s="137" t="n">
        <v>22</v>
      </c>
      <c r="C27" s="138" t="s">
        <v>3225</v>
      </c>
      <c r="D27" s="138" t="s">
        <v>3183</v>
      </c>
      <c r="E27" s="138" t="s">
        <v>3188</v>
      </c>
      <c r="F27" s="138" t="s">
        <v>3190</v>
      </c>
      <c r="G27" s="138" t="s">
        <v>3185</v>
      </c>
      <c r="H27" s="138" t="s">
        <v>3189</v>
      </c>
      <c r="I27" s="138" t="s">
        <v>3187</v>
      </c>
      <c r="J27" s="138" t="s">
        <v>3193</v>
      </c>
      <c r="K27" s="139" t="s">
        <v>3192</v>
      </c>
    </row>
    <row r="28" customFormat="false" ht="14.25" hidden="false" customHeight="true" outlineLevel="0" collapsed="false">
      <c r="B28" s="137" t="n">
        <v>23</v>
      </c>
      <c r="C28" s="138" t="s">
        <v>3226</v>
      </c>
      <c r="D28" s="138" t="s">
        <v>3183</v>
      </c>
      <c r="E28" s="138" t="s">
        <v>3188</v>
      </c>
      <c r="F28" s="138" t="s">
        <v>3191</v>
      </c>
      <c r="G28" s="138" t="s">
        <v>3185</v>
      </c>
      <c r="H28" s="138" t="s">
        <v>3189</v>
      </c>
      <c r="I28" s="138" t="s">
        <v>3187</v>
      </c>
      <c r="J28" s="138" t="s">
        <v>3193</v>
      </c>
      <c r="K28" s="139" t="s">
        <v>3190</v>
      </c>
    </row>
    <row r="29" customFormat="false" ht="14.25" hidden="false" customHeight="true" outlineLevel="0" collapsed="false">
      <c r="B29" s="137" t="n">
        <v>24</v>
      </c>
      <c r="C29" s="138" t="s">
        <v>3227</v>
      </c>
      <c r="D29" s="138" t="s">
        <v>3183</v>
      </c>
      <c r="E29" s="138" t="s">
        <v>3188</v>
      </c>
      <c r="F29" s="138" t="s">
        <v>3191</v>
      </c>
      <c r="G29" s="138" t="s">
        <v>3185</v>
      </c>
      <c r="H29" s="138" t="s">
        <v>3189</v>
      </c>
      <c r="I29" s="138" t="s">
        <v>3187</v>
      </c>
      <c r="J29" s="138" t="s">
        <v>3190</v>
      </c>
      <c r="K29" s="139" t="s">
        <v>3192</v>
      </c>
    </row>
    <row r="30" customFormat="false" ht="14.25" hidden="false" customHeight="true" outlineLevel="0" collapsed="false">
      <c r="B30" s="137" t="n">
        <v>25</v>
      </c>
      <c r="C30" s="138" t="s">
        <v>3228</v>
      </c>
      <c r="D30" s="138" t="s">
        <v>3186</v>
      </c>
      <c r="E30" s="138" t="s">
        <v>3191</v>
      </c>
      <c r="F30" s="138" t="s">
        <v>3190</v>
      </c>
      <c r="G30" s="138" t="s">
        <v>3183</v>
      </c>
      <c r="H30" s="138" t="s">
        <v>3189</v>
      </c>
      <c r="I30" s="138" t="s">
        <v>3185</v>
      </c>
      <c r="J30" s="138" t="s">
        <v>3193</v>
      </c>
      <c r="K30" s="139" t="s">
        <v>3192</v>
      </c>
    </row>
    <row r="31" customFormat="false" ht="14.25" hidden="false" customHeight="true" outlineLevel="0" collapsed="false">
      <c r="B31" s="137" t="n">
        <v>26</v>
      </c>
      <c r="C31" s="138" t="s">
        <v>3229</v>
      </c>
      <c r="D31" s="138" t="s">
        <v>3186</v>
      </c>
      <c r="E31" s="138" t="s">
        <v>3188</v>
      </c>
      <c r="F31" s="138" t="s">
        <v>3190</v>
      </c>
      <c r="G31" s="138" t="s">
        <v>3183</v>
      </c>
      <c r="H31" s="138" t="s">
        <v>3191</v>
      </c>
      <c r="I31" s="138" t="s">
        <v>3185</v>
      </c>
      <c r="J31" s="138" t="s">
        <v>3193</v>
      </c>
      <c r="K31" s="139" t="s">
        <v>3192</v>
      </c>
    </row>
    <row r="32" customFormat="false" ht="14.25" hidden="false" customHeight="true" outlineLevel="0" collapsed="false">
      <c r="B32" s="137" t="n">
        <v>27</v>
      </c>
      <c r="C32" s="138" t="s">
        <v>3230</v>
      </c>
      <c r="D32" s="138" t="s">
        <v>3186</v>
      </c>
      <c r="E32" s="138" t="s">
        <v>3188</v>
      </c>
      <c r="F32" s="138" t="s">
        <v>3191</v>
      </c>
      <c r="G32" s="138" t="s">
        <v>3183</v>
      </c>
      <c r="H32" s="138" t="s">
        <v>3189</v>
      </c>
      <c r="I32" s="138" t="s">
        <v>3185</v>
      </c>
      <c r="J32" s="138" t="s">
        <v>3193</v>
      </c>
      <c r="K32" s="139" t="s">
        <v>3192</v>
      </c>
    </row>
    <row r="33" customFormat="false" ht="14.25" hidden="false" customHeight="true" outlineLevel="0" collapsed="false">
      <c r="B33" s="137" t="n">
        <v>28</v>
      </c>
      <c r="C33" s="138" t="s">
        <v>3231</v>
      </c>
      <c r="D33" s="138" t="s">
        <v>3186</v>
      </c>
      <c r="E33" s="138" t="s">
        <v>3188</v>
      </c>
      <c r="F33" s="138" t="s">
        <v>3190</v>
      </c>
      <c r="G33" s="138" t="s">
        <v>3183</v>
      </c>
      <c r="H33" s="138" t="s">
        <v>3189</v>
      </c>
      <c r="I33" s="138" t="s">
        <v>3185</v>
      </c>
      <c r="J33" s="138" t="s">
        <v>3193</v>
      </c>
      <c r="K33" s="139" t="s">
        <v>3192</v>
      </c>
    </row>
    <row r="34" customFormat="false" ht="14.25" hidden="false" customHeight="true" outlineLevel="0" collapsed="false">
      <c r="B34" s="137" t="n">
        <v>29</v>
      </c>
      <c r="C34" s="138" t="s">
        <v>3232</v>
      </c>
      <c r="D34" s="138" t="s">
        <v>3186</v>
      </c>
      <c r="E34" s="138" t="s">
        <v>3188</v>
      </c>
      <c r="F34" s="138" t="s">
        <v>3191</v>
      </c>
      <c r="G34" s="138" t="s">
        <v>3183</v>
      </c>
      <c r="H34" s="138" t="s">
        <v>3189</v>
      </c>
      <c r="I34" s="138" t="s">
        <v>3185</v>
      </c>
      <c r="J34" s="138" t="s">
        <v>3193</v>
      </c>
      <c r="K34" s="139" t="s">
        <v>3190</v>
      </c>
    </row>
    <row r="35" customFormat="false" ht="14.25" hidden="false" customHeight="true" outlineLevel="0" collapsed="false">
      <c r="B35" s="137" t="n">
        <v>30</v>
      </c>
      <c r="C35" s="138" t="s">
        <v>3233</v>
      </c>
      <c r="D35" s="138" t="s">
        <v>3186</v>
      </c>
      <c r="E35" s="138" t="s">
        <v>3188</v>
      </c>
      <c r="F35" s="138" t="s">
        <v>3191</v>
      </c>
      <c r="G35" s="138" t="s">
        <v>3183</v>
      </c>
      <c r="H35" s="138" t="s">
        <v>3189</v>
      </c>
      <c r="I35" s="138" t="s">
        <v>3185</v>
      </c>
      <c r="J35" s="138" t="s">
        <v>3190</v>
      </c>
      <c r="K35" s="139" t="s">
        <v>3192</v>
      </c>
    </row>
    <row r="36" customFormat="false" ht="14.25" hidden="false" customHeight="true" outlineLevel="0" collapsed="false">
      <c r="B36" s="137" t="n">
        <v>31</v>
      </c>
      <c r="C36" s="138" t="s">
        <v>3234</v>
      </c>
      <c r="D36" s="138" t="s">
        <v>3183</v>
      </c>
      <c r="E36" s="138" t="s">
        <v>3191</v>
      </c>
      <c r="F36" s="138" t="s">
        <v>3186</v>
      </c>
      <c r="G36" s="138" t="s">
        <v>3185</v>
      </c>
      <c r="H36" s="138" t="s">
        <v>3190</v>
      </c>
      <c r="I36" s="138" t="s">
        <v>3187</v>
      </c>
      <c r="J36" s="138" t="s">
        <v>3193</v>
      </c>
      <c r="K36" s="139" t="s">
        <v>3192</v>
      </c>
    </row>
    <row r="37" customFormat="false" ht="14.25" hidden="false" customHeight="true" outlineLevel="0" collapsed="false">
      <c r="B37" s="137" t="n">
        <v>32</v>
      </c>
      <c r="C37" s="138" t="s">
        <v>3235</v>
      </c>
      <c r="D37" s="138" t="s">
        <v>3183</v>
      </c>
      <c r="E37" s="138" t="s">
        <v>3191</v>
      </c>
      <c r="F37" s="138" t="s">
        <v>3186</v>
      </c>
      <c r="G37" s="138" t="s">
        <v>3185</v>
      </c>
      <c r="H37" s="138" t="s">
        <v>3189</v>
      </c>
      <c r="I37" s="138" t="s">
        <v>3187</v>
      </c>
      <c r="J37" s="138" t="s">
        <v>3193</v>
      </c>
      <c r="K37" s="139" t="s">
        <v>3192</v>
      </c>
    </row>
    <row r="38" customFormat="false" ht="14.25" hidden="false" customHeight="true" outlineLevel="0" collapsed="false">
      <c r="B38" s="137" t="n">
        <v>33</v>
      </c>
      <c r="C38" s="138" t="s">
        <v>3236</v>
      </c>
      <c r="D38" s="138" t="s">
        <v>3183</v>
      </c>
      <c r="E38" s="138" t="s">
        <v>3186</v>
      </c>
      <c r="F38" s="138" t="s">
        <v>3190</v>
      </c>
      <c r="G38" s="138" t="s">
        <v>3185</v>
      </c>
      <c r="H38" s="138" t="s">
        <v>3189</v>
      </c>
      <c r="I38" s="138" t="s">
        <v>3187</v>
      </c>
      <c r="J38" s="138" t="s">
        <v>3193</v>
      </c>
      <c r="K38" s="139" t="s">
        <v>3192</v>
      </c>
    </row>
    <row r="39" customFormat="false" ht="14.25" hidden="false" customHeight="true" outlineLevel="0" collapsed="false">
      <c r="B39" s="137" t="n">
        <v>34</v>
      </c>
      <c r="C39" s="138" t="s">
        <v>3237</v>
      </c>
      <c r="D39" s="138" t="s">
        <v>3183</v>
      </c>
      <c r="E39" s="138" t="s">
        <v>3191</v>
      </c>
      <c r="F39" s="138" t="s">
        <v>3186</v>
      </c>
      <c r="G39" s="138" t="s">
        <v>3185</v>
      </c>
      <c r="H39" s="138" t="s">
        <v>3189</v>
      </c>
      <c r="I39" s="138" t="s">
        <v>3187</v>
      </c>
      <c r="J39" s="138" t="s">
        <v>3193</v>
      </c>
      <c r="K39" s="139" t="s">
        <v>3190</v>
      </c>
    </row>
    <row r="40" customFormat="false" ht="14.25" hidden="false" customHeight="true" outlineLevel="0" collapsed="false">
      <c r="B40" s="137" t="n">
        <v>35</v>
      </c>
      <c r="C40" s="138" t="s">
        <v>3238</v>
      </c>
      <c r="D40" s="138" t="s">
        <v>3183</v>
      </c>
      <c r="E40" s="138" t="s">
        <v>3191</v>
      </c>
      <c r="F40" s="138" t="s">
        <v>3186</v>
      </c>
      <c r="G40" s="138" t="s">
        <v>3185</v>
      </c>
      <c r="H40" s="138" t="s">
        <v>3189</v>
      </c>
      <c r="I40" s="138" t="s">
        <v>3187</v>
      </c>
      <c r="J40" s="138" t="s">
        <v>3190</v>
      </c>
      <c r="K40" s="139" t="s">
        <v>3192</v>
      </c>
    </row>
    <row r="41" customFormat="false" ht="14.25" hidden="false" customHeight="true" outlineLevel="0" collapsed="false">
      <c r="B41" s="137" t="n">
        <v>36</v>
      </c>
      <c r="C41" s="138" t="s">
        <v>3239</v>
      </c>
      <c r="D41" s="138" t="s">
        <v>3183</v>
      </c>
      <c r="E41" s="138" t="s">
        <v>3188</v>
      </c>
      <c r="F41" s="138" t="s">
        <v>3186</v>
      </c>
      <c r="G41" s="138" t="s">
        <v>3185</v>
      </c>
      <c r="H41" s="138" t="s">
        <v>3191</v>
      </c>
      <c r="I41" s="138" t="s">
        <v>3187</v>
      </c>
      <c r="J41" s="138" t="s">
        <v>3193</v>
      </c>
      <c r="K41" s="139" t="s">
        <v>3192</v>
      </c>
    </row>
    <row r="42" customFormat="false" ht="14.25" hidden="false" customHeight="true" outlineLevel="0" collapsed="false">
      <c r="B42" s="137" t="n">
        <v>37</v>
      </c>
      <c r="C42" s="138" t="s">
        <v>3240</v>
      </c>
      <c r="D42" s="138" t="s">
        <v>3183</v>
      </c>
      <c r="E42" s="138" t="s">
        <v>3188</v>
      </c>
      <c r="F42" s="138" t="s">
        <v>3186</v>
      </c>
      <c r="G42" s="138" t="s">
        <v>3185</v>
      </c>
      <c r="H42" s="138" t="s">
        <v>3190</v>
      </c>
      <c r="I42" s="138" t="s">
        <v>3187</v>
      </c>
      <c r="J42" s="138" t="s">
        <v>3193</v>
      </c>
      <c r="K42" s="139" t="s">
        <v>3192</v>
      </c>
    </row>
    <row r="43" customFormat="false" ht="14.25" hidden="false" customHeight="true" outlineLevel="0" collapsed="false">
      <c r="B43" s="137" t="n">
        <v>38</v>
      </c>
      <c r="C43" s="138" t="s">
        <v>3241</v>
      </c>
      <c r="D43" s="138" t="s">
        <v>3183</v>
      </c>
      <c r="E43" s="138" t="s">
        <v>3188</v>
      </c>
      <c r="F43" s="138" t="s">
        <v>3186</v>
      </c>
      <c r="G43" s="138" t="s">
        <v>3185</v>
      </c>
      <c r="H43" s="138" t="s">
        <v>3191</v>
      </c>
      <c r="I43" s="138" t="s">
        <v>3187</v>
      </c>
      <c r="J43" s="138" t="s">
        <v>3193</v>
      </c>
      <c r="K43" s="139" t="s">
        <v>3190</v>
      </c>
    </row>
    <row r="44" customFormat="false" ht="14.25" hidden="false" customHeight="true" outlineLevel="0" collapsed="false">
      <c r="B44" s="137" t="n">
        <v>39</v>
      </c>
      <c r="C44" s="138" t="s">
        <v>3242</v>
      </c>
      <c r="D44" s="138" t="s">
        <v>3183</v>
      </c>
      <c r="E44" s="138" t="s">
        <v>3188</v>
      </c>
      <c r="F44" s="138" t="s">
        <v>3186</v>
      </c>
      <c r="G44" s="138" t="s">
        <v>3185</v>
      </c>
      <c r="H44" s="138" t="s">
        <v>3191</v>
      </c>
      <c r="I44" s="138" t="s">
        <v>3187</v>
      </c>
      <c r="J44" s="138" t="s">
        <v>3190</v>
      </c>
      <c r="K44" s="139" t="s">
        <v>3192</v>
      </c>
    </row>
    <row r="45" customFormat="false" ht="14.25" hidden="false" customHeight="true" outlineLevel="0" collapsed="false">
      <c r="B45" s="137" t="n">
        <v>40</v>
      </c>
      <c r="C45" s="138" t="s">
        <v>3243</v>
      </c>
      <c r="D45" s="138" t="s">
        <v>3183</v>
      </c>
      <c r="E45" s="138" t="s">
        <v>3188</v>
      </c>
      <c r="F45" s="138" t="s">
        <v>3186</v>
      </c>
      <c r="G45" s="138" t="s">
        <v>3185</v>
      </c>
      <c r="H45" s="138" t="s">
        <v>3189</v>
      </c>
      <c r="I45" s="138" t="s">
        <v>3187</v>
      </c>
      <c r="J45" s="138" t="s">
        <v>3193</v>
      </c>
      <c r="K45" s="139" t="s">
        <v>3192</v>
      </c>
    </row>
    <row r="46" customFormat="false" ht="14.25" hidden="false" customHeight="true" outlineLevel="0" collapsed="false">
      <c r="B46" s="137" t="n">
        <v>41</v>
      </c>
      <c r="C46" s="138" t="s">
        <v>3244</v>
      </c>
      <c r="D46" s="138" t="s">
        <v>3183</v>
      </c>
      <c r="E46" s="138" t="s">
        <v>3188</v>
      </c>
      <c r="F46" s="138" t="s">
        <v>3191</v>
      </c>
      <c r="G46" s="138" t="s">
        <v>3185</v>
      </c>
      <c r="H46" s="138" t="s">
        <v>3189</v>
      </c>
      <c r="I46" s="138" t="s">
        <v>3187</v>
      </c>
      <c r="J46" s="138" t="s">
        <v>3193</v>
      </c>
      <c r="K46" s="139" t="s">
        <v>3186</v>
      </c>
    </row>
    <row r="47" customFormat="false" ht="14.25" hidden="false" customHeight="true" outlineLevel="0" collapsed="false">
      <c r="B47" s="137" t="n">
        <v>42</v>
      </c>
      <c r="C47" s="138" t="s">
        <v>3245</v>
      </c>
      <c r="D47" s="138" t="s">
        <v>3183</v>
      </c>
      <c r="E47" s="138" t="s">
        <v>3188</v>
      </c>
      <c r="F47" s="138" t="s">
        <v>3191</v>
      </c>
      <c r="G47" s="138" t="s">
        <v>3185</v>
      </c>
      <c r="H47" s="138" t="s">
        <v>3189</v>
      </c>
      <c r="I47" s="138" t="s">
        <v>3187</v>
      </c>
      <c r="J47" s="138" t="s">
        <v>3186</v>
      </c>
      <c r="K47" s="139" t="s">
        <v>3192</v>
      </c>
    </row>
    <row r="48" customFormat="false" ht="14.25" hidden="false" customHeight="true" outlineLevel="0" collapsed="false">
      <c r="B48" s="137" t="n">
        <v>43</v>
      </c>
      <c r="C48" s="138" t="s">
        <v>3246</v>
      </c>
      <c r="D48" s="138" t="s">
        <v>3183</v>
      </c>
      <c r="E48" s="138" t="s">
        <v>3188</v>
      </c>
      <c r="F48" s="138" t="s">
        <v>3186</v>
      </c>
      <c r="G48" s="138" t="s">
        <v>3185</v>
      </c>
      <c r="H48" s="138" t="s">
        <v>3189</v>
      </c>
      <c r="I48" s="138" t="s">
        <v>3187</v>
      </c>
      <c r="J48" s="138" t="s">
        <v>3193</v>
      </c>
      <c r="K48" s="139" t="s">
        <v>3190</v>
      </c>
    </row>
    <row r="49" customFormat="false" ht="14.25" hidden="false" customHeight="true" outlineLevel="0" collapsed="false">
      <c r="B49" s="137" t="n">
        <v>44</v>
      </c>
      <c r="C49" s="138" t="s">
        <v>3247</v>
      </c>
      <c r="D49" s="138" t="s">
        <v>3183</v>
      </c>
      <c r="E49" s="138" t="s">
        <v>3188</v>
      </c>
      <c r="F49" s="138" t="s">
        <v>3186</v>
      </c>
      <c r="G49" s="138" t="s">
        <v>3185</v>
      </c>
      <c r="H49" s="138" t="s">
        <v>3189</v>
      </c>
      <c r="I49" s="138" t="s">
        <v>3187</v>
      </c>
      <c r="J49" s="138" t="s">
        <v>3190</v>
      </c>
      <c r="K49" s="139" t="s">
        <v>3192</v>
      </c>
    </row>
    <row r="50" customFormat="false" ht="14.25" hidden="false" customHeight="true" outlineLevel="0" collapsed="false">
      <c r="B50" s="137" t="n">
        <v>45</v>
      </c>
      <c r="C50" s="138" t="s">
        <v>3248</v>
      </c>
      <c r="D50" s="138" t="s">
        <v>3183</v>
      </c>
      <c r="E50" s="138" t="s">
        <v>3188</v>
      </c>
      <c r="F50" s="138" t="s">
        <v>3191</v>
      </c>
      <c r="G50" s="138" t="s">
        <v>3185</v>
      </c>
      <c r="H50" s="138" t="s">
        <v>3189</v>
      </c>
      <c r="I50" s="138" t="s">
        <v>3187</v>
      </c>
      <c r="J50" s="138" t="s">
        <v>3186</v>
      </c>
      <c r="K50" s="139" t="s">
        <v>3190</v>
      </c>
    </row>
    <row r="51" customFormat="false" ht="14.25" hidden="false" customHeight="true" outlineLevel="0" collapsed="false">
      <c r="B51" s="137" t="n">
        <v>46</v>
      </c>
      <c r="C51" s="138" t="s">
        <v>3249</v>
      </c>
      <c r="D51" s="138" t="s">
        <v>3189</v>
      </c>
      <c r="E51" s="138" t="s">
        <v>3191</v>
      </c>
      <c r="F51" s="138" t="s">
        <v>3182</v>
      </c>
      <c r="G51" s="138" t="s">
        <v>3187</v>
      </c>
      <c r="H51" s="138" t="s">
        <v>3190</v>
      </c>
      <c r="I51" s="138" t="s">
        <v>3188</v>
      </c>
      <c r="J51" s="138" t="s">
        <v>3193</v>
      </c>
      <c r="K51" s="139" t="s">
        <v>3192</v>
      </c>
    </row>
    <row r="52" customFormat="false" ht="14.25" hidden="false" customHeight="true" outlineLevel="0" collapsed="false">
      <c r="B52" s="137" t="n">
        <v>47</v>
      </c>
      <c r="C52" s="138" t="s">
        <v>3250</v>
      </c>
      <c r="D52" s="138" t="s">
        <v>3186</v>
      </c>
      <c r="E52" s="138" t="s">
        <v>3191</v>
      </c>
      <c r="F52" s="138" t="s">
        <v>3190</v>
      </c>
      <c r="G52" s="138" t="s">
        <v>3182</v>
      </c>
      <c r="H52" s="138" t="s">
        <v>3189</v>
      </c>
      <c r="I52" s="138" t="s">
        <v>3188</v>
      </c>
      <c r="J52" s="138" t="s">
        <v>3193</v>
      </c>
      <c r="K52" s="139" t="s">
        <v>3192</v>
      </c>
    </row>
    <row r="53" customFormat="false" ht="14.25" hidden="false" customHeight="true" outlineLevel="0" collapsed="false">
      <c r="B53" s="137" t="n">
        <v>48</v>
      </c>
      <c r="C53" s="138" t="s">
        <v>3251</v>
      </c>
      <c r="D53" s="138" t="s">
        <v>3186</v>
      </c>
      <c r="E53" s="138" t="s">
        <v>3191</v>
      </c>
      <c r="F53" s="138" t="s">
        <v>3182</v>
      </c>
      <c r="G53" s="138" t="s">
        <v>3187</v>
      </c>
      <c r="H53" s="138" t="s">
        <v>3190</v>
      </c>
      <c r="I53" s="138" t="s">
        <v>3189</v>
      </c>
      <c r="J53" s="138" t="s">
        <v>3193</v>
      </c>
      <c r="K53" s="139" t="s">
        <v>3192</v>
      </c>
    </row>
    <row r="54" customFormat="false" ht="14.25" hidden="false" customHeight="true" outlineLevel="0" collapsed="false">
      <c r="B54" s="137" t="n">
        <v>49</v>
      </c>
      <c r="C54" s="138" t="s">
        <v>3252</v>
      </c>
      <c r="D54" s="138" t="s">
        <v>3186</v>
      </c>
      <c r="E54" s="138" t="s">
        <v>3191</v>
      </c>
      <c r="F54" s="138" t="s">
        <v>3182</v>
      </c>
      <c r="G54" s="138" t="s">
        <v>3187</v>
      </c>
      <c r="H54" s="138" t="s">
        <v>3190</v>
      </c>
      <c r="I54" s="138" t="s">
        <v>3188</v>
      </c>
      <c r="J54" s="138" t="s">
        <v>3193</v>
      </c>
      <c r="K54" s="139" t="s">
        <v>3192</v>
      </c>
    </row>
    <row r="55" customFormat="false" ht="14.25" hidden="false" customHeight="true" outlineLevel="0" collapsed="false">
      <c r="B55" s="137" t="n">
        <v>50</v>
      </c>
      <c r="C55" s="138" t="s">
        <v>3253</v>
      </c>
      <c r="D55" s="138" t="s">
        <v>3186</v>
      </c>
      <c r="E55" s="138" t="s">
        <v>3191</v>
      </c>
      <c r="F55" s="138" t="s">
        <v>3182</v>
      </c>
      <c r="G55" s="138" t="s">
        <v>3187</v>
      </c>
      <c r="H55" s="138" t="s">
        <v>3189</v>
      </c>
      <c r="I55" s="138" t="s">
        <v>3188</v>
      </c>
      <c r="J55" s="138" t="s">
        <v>3193</v>
      </c>
      <c r="K55" s="139" t="s">
        <v>3192</v>
      </c>
    </row>
    <row r="56" customFormat="false" ht="14.25" hidden="false" customHeight="true" outlineLevel="0" collapsed="false">
      <c r="B56" s="137" t="n">
        <v>51</v>
      </c>
      <c r="C56" s="138" t="s">
        <v>3254</v>
      </c>
      <c r="D56" s="138" t="s">
        <v>3186</v>
      </c>
      <c r="E56" s="138" t="s">
        <v>3188</v>
      </c>
      <c r="F56" s="138" t="s">
        <v>3182</v>
      </c>
      <c r="G56" s="138" t="s">
        <v>3187</v>
      </c>
      <c r="H56" s="138" t="s">
        <v>3190</v>
      </c>
      <c r="I56" s="138" t="s">
        <v>3189</v>
      </c>
      <c r="J56" s="138" t="s">
        <v>3193</v>
      </c>
      <c r="K56" s="139" t="s">
        <v>3192</v>
      </c>
    </row>
    <row r="57" customFormat="false" ht="14.25" hidden="false" customHeight="true" outlineLevel="0" collapsed="false">
      <c r="B57" s="137" t="n">
        <v>52</v>
      </c>
      <c r="C57" s="138" t="s">
        <v>3255</v>
      </c>
      <c r="D57" s="138" t="s">
        <v>3186</v>
      </c>
      <c r="E57" s="138" t="s">
        <v>3191</v>
      </c>
      <c r="F57" s="138" t="s">
        <v>3182</v>
      </c>
      <c r="G57" s="138" t="s">
        <v>3187</v>
      </c>
      <c r="H57" s="138" t="s">
        <v>3189</v>
      </c>
      <c r="I57" s="138" t="s">
        <v>3188</v>
      </c>
      <c r="J57" s="138" t="s">
        <v>3193</v>
      </c>
      <c r="K57" s="139" t="s">
        <v>3190</v>
      </c>
    </row>
    <row r="58" customFormat="false" ht="14.25" hidden="false" customHeight="true" outlineLevel="0" collapsed="false">
      <c r="B58" s="137" t="n">
        <v>53</v>
      </c>
      <c r="C58" s="138" t="s">
        <v>3256</v>
      </c>
      <c r="D58" s="138" t="s">
        <v>3186</v>
      </c>
      <c r="E58" s="138" t="s">
        <v>3191</v>
      </c>
      <c r="F58" s="138" t="s">
        <v>3182</v>
      </c>
      <c r="G58" s="138" t="s">
        <v>3187</v>
      </c>
      <c r="H58" s="138" t="s">
        <v>3189</v>
      </c>
      <c r="I58" s="138" t="s">
        <v>3188</v>
      </c>
      <c r="J58" s="138" t="s">
        <v>3190</v>
      </c>
      <c r="K58" s="139" t="s">
        <v>3192</v>
      </c>
    </row>
    <row r="59" customFormat="false" ht="14.25" hidden="false" customHeight="true" outlineLevel="0" collapsed="false">
      <c r="B59" s="137" t="n">
        <v>54</v>
      </c>
      <c r="C59" s="138" t="s">
        <v>3257</v>
      </c>
      <c r="D59" s="138" t="s">
        <v>3189</v>
      </c>
      <c r="E59" s="138" t="s">
        <v>3191</v>
      </c>
      <c r="F59" s="138" t="s">
        <v>3182</v>
      </c>
      <c r="G59" s="138" t="s">
        <v>3185</v>
      </c>
      <c r="H59" s="138" t="s">
        <v>3190</v>
      </c>
      <c r="I59" s="138" t="s">
        <v>3188</v>
      </c>
      <c r="J59" s="138" t="s">
        <v>3193</v>
      </c>
      <c r="K59" s="139" t="s">
        <v>3192</v>
      </c>
    </row>
    <row r="60" customFormat="false" ht="14.25" hidden="false" customHeight="true" outlineLevel="0" collapsed="false">
      <c r="B60" s="137" t="n">
        <v>55</v>
      </c>
      <c r="C60" s="138" t="s">
        <v>3258</v>
      </c>
      <c r="D60" s="138" t="s">
        <v>3189</v>
      </c>
      <c r="E60" s="138" t="s">
        <v>3191</v>
      </c>
      <c r="F60" s="138" t="s">
        <v>3182</v>
      </c>
      <c r="G60" s="138" t="s">
        <v>3185</v>
      </c>
      <c r="H60" s="138" t="s">
        <v>3190</v>
      </c>
      <c r="I60" s="138" t="s">
        <v>3187</v>
      </c>
      <c r="J60" s="138" t="s">
        <v>3193</v>
      </c>
      <c r="K60" s="139" t="s">
        <v>3192</v>
      </c>
    </row>
    <row r="61" customFormat="false" ht="14.25" hidden="false" customHeight="true" outlineLevel="0" collapsed="false">
      <c r="B61" s="137" t="n">
        <v>56</v>
      </c>
      <c r="C61" s="138" t="s">
        <v>3259</v>
      </c>
      <c r="D61" s="138" t="s">
        <v>3190</v>
      </c>
      <c r="E61" s="138" t="s">
        <v>3188</v>
      </c>
      <c r="F61" s="138" t="s">
        <v>3182</v>
      </c>
      <c r="G61" s="138" t="s">
        <v>3185</v>
      </c>
      <c r="H61" s="138" t="s">
        <v>3191</v>
      </c>
      <c r="I61" s="138" t="s">
        <v>3187</v>
      </c>
      <c r="J61" s="138" t="s">
        <v>3193</v>
      </c>
      <c r="K61" s="139" t="s">
        <v>3192</v>
      </c>
    </row>
    <row r="62" customFormat="false" ht="14.25" hidden="false" customHeight="true" outlineLevel="0" collapsed="false">
      <c r="B62" s="137" t="n">
        <v>57</v>
      </c>
      <c r="C62" s="138" t="s">
        <v>3260</v>
      </c>
      <c r="D62" s="138" t="s">
        <v>3189</v>
      </c>
      <c r="E62" s="138" t="s">
        <v>3188</v>
      </c>
      <c r="F62" s="138" t="s">
        <v>3182</v>
      </c>
      <c r="G62" s="138" t="s">
        <v>3185</v>
      </c>
      <c r="H62" s="138" t="s">
        <v>3191</v>
      </c>
      <c r="I62" s="138" t="s">
        <v>3187</v>
      </c>
      <c r="J62" s="138" t="s">
        <v>3193</v>
      </c>
      <c r="K62" s="139" t="s">
        <v>3192</v>
      </c>
    </row>
    <row r="63" customFormat="false" ht="14.25" hidden="false" customHeight="true" outlineLevel="0" collapsed="false">
      <c r="B63" s="137" t="n">
        <v>58</v>
      </c>
      <c r="C63" s="138" t="s">
        <v>3261</v>
      </c>
      <c r="D63" s="138" t="s">
        <v>3189</v>
      </c>
      <c r="E63" s="138" t="s">
        <v>3188</v>
      </c>
      <c r="F63" s="138" t="s">
        <v>3182</v>
      </c>
      <c r="G63" s="138" t="s">
        <v>3185</v>
      </c>
      <c r="H63" s="138" t="s">
        <v>3190</v>
      </c>
      <c r="I63" s="138" t="s">
        <v>3187</v>
      </c>
      <c r="J63" s="138" t="s">
        <v>3193</v>
      </c>
      <c r="K63" s="139" t="s">
        <v>3192</v>
      </c>
    </row>
    <row r="64" customFormat="false" ht="14.25" hidden="false" customHeight="true" outlineLevel="0" collapsed="false">
      <c r="B64" s="137" t="n">
        <v>59</v>
      </c>
      <c r="C64" s="138" t="s">
        <v>3262</v>
      </c>
      <c r="D64" s="138" t="s">
        <v>3189</v>
      </c>
      <c r="E64" s="138" t="s">
        <v>3188</v>
      </c>
      <c r="F64" s="138" t="s">
        <v>3182</v>
      </c>
      <c r="G64" s="138" t="s">
        <v>3185</v>
      </c>
      <c r="H64" s="138" t="s">
        <v>3191</v>
      </c>
      <c r="I64" s="138" t="s">
        <v>3187</v>
      </c>
      <c r="J64" s="138" t="s">
        <v>3193</v>
      </c>
      <c r="K64" s="139" t="s">
        <v>3190</v>
      </c>
    </row>
    <row r="65" customFormat="false" ht="14.25" hidden="false" customHeight="true" outlineLevel="0" collapsed="false">
      <c r="B65" s="137" t="n">
        <v>60</v>
      </c>
      <c r="C65" s="138" t="s">
        <v>3263</v>
      </c>
      <c r="D65" s="138" t="s">
        <v>3189</v>
      </c>
      <c r="E65" s="138" t="s">
        <v>3188</v>
      </c>
      <c r="F65" s="138" t="s">
        <v>3182</v>
      </c>
      <c r="G65" s="138" t="s">
        <v>3185</v>
      </c>
      <c r="H65" s="138" t="s">
        <v>3191</v>
      </c>
      <c r="I65" s="138" t="s">
        <v>3187</v>
      </c>
      <c r="J65" s="138" t="s">
        <v>3190</v>
      </c>
      <c r="K65" s="139" t="s">
        <v>3192</v>
      </c>
    </row>
    <row r="66" customFormat="false" ht="14.25" hidden="false" customHeight="true" outlineLevel="0" collapsed="false">
      <c r="B66" s="137" t="n">
        <v>61</v>
      </c>
      <c r="C66" s="138" t="s">
        <v>3264</v>
      </c>
      <c r="D66" s="138" t="s">
        <v>3186</v>
      </c>
      <c r="E66" s="138" t="s">
        <v>3191</v>
      </c>
      <c r="F66" s="138" t="s">
        <v>3182</v>
      </c>
      <c r="G66" s="138" t="s">
        <v>3185</v>
      </c>
      <c r="H66" s="138" t="s">
        <v>3190</v>
      </c>
      <c r="I66" s="138" t="s">
        <v>3189</v>
      </c>
      <c r="J66" s="138" t="s">
        <v>3193</v>
      </c>
      <c r="K66" s="139" t="s">
        <v>3192</v>
      </c>
    </row>
    <row r="67" customFormat="false" ht="14.25" hidden="false" customHeight="true" outlineLevel="0" collapsed="false">
      <c r="B67" s="137" t="n">
        <v>62</v>
      </c>
      <c r="C67" s="138" t="s">
        <v>3265</v>
      </c>
      <c r="D67" s="138" t="s">
        <v>3186</v>
      </c>
      <c r="E67" s="138" t="s">
        <v>3191</v>
      </c>
      <c r="F67" s="138" t="s">
        <v>3182</v>
      </c>
      <c r="G67" s="138" t="s">
        <v>3185</v>
      </c>
      <c r="H67" s="138" t="s">
        <v>3190</v>
      </c>
      <c r="I67" s="138" t="s">
        <v>3188</v>
      </c>
      <c r="J67" s="138" t="s">
        <v>3193</v>
      </c>
      <c r="K67" s="139" t="s">
        <v>3192</v>
      </c>
    </row>
    <row r="68" customFormat="false" ht="14.25" hidden="false" customHeight="true" outlineLevel="0" collapsed="false">
      <c r="B68" s="137" t="n">
        <v>63</v>
      </c>
      <c r="C68" s="138" t="s">
        <v>3266</v>
      </c>
      <c r="D68" s="138" t="s">
        <v>3186</v>
      </c>
      <c r="E68" s="138" t="s">
        <v>3191</v>
      </c>
      <c r="F68" s="138" t="s">
        <v>3182</v>
      </c>
      <c r="G68" s="138" t="s">
        <v>3185</v>
      </c>
      <c r="H68" s="138" t="s">
        <v>3189</v>
      </c>
      <c r="I68" s="138" t="s">
        <v>3188</v>
      </c>
      <c r="J68" s="138" t="s">
        <v>3193</v>
      </c>
      <c r="K68" s="139" t="s">
        <v>3192</v>
      </c>
    </row>
    <row r="69" customFormat="false" ht="14.25" hidden="false" customHeight="true" outlineLevel="0" collapsed="false">
      <c r="B69" s="137" t="n">
        <v>64</v>
      </c>
      <c r="C69" s="138" t="s">
        <v>3267</v>
      </c>
      <c r="D69" s="138" t="s">
        <v>3186</v>
      </c>
      <c r="E69" s="138" t="s">
        <v>3188</v>
      </c>
      <c r="F69" s="138" t="s">
        <v>3182</v>
      </c>
      <c r="G69" s="138" t="s">
        <v>3185</v>
      </c>
      <c r="H69" s="138" t="s">
        <v>3190</v>
      </c>
      <c r="I69" s="138" t="s">
        <v>3189</v>
      </c>
      <c r="J69" s="138" t="s">
        <v>3193</v>
      </c>
      <c r="K69" s="139" t="s">
        <v>3192</v>
      </c>
    </row>
    <row r="70" customFormat="false" ht="14.25" hidden="false" customHeight="true" outlineLevel="0" collapsed="false">
      <c r="B70" s="137" t="n">
        <v>65</v>
      </c>
      <c r="C70" s="138" t="s">
        <v>3268</v>
      </c>
      <c r="D70" s="138" t="s">
        <v>3186</v>
      </c>
      <c r="E70" s="138" t="s">
        <v>3191</v>
      </c>
      <c r="F70" s="138" t="s">
        <v>3182</v>
      </c>
      <c r="G70" s="138" t="s">
        <v>3185</v>
      </c>
      <c r="H70" s="138" t="s">
        <v>3189</v>
      </c>
      <c r="I70" s="138" t="s">
        <v>3188</v>
      </c>
      <c r="J70" s="138" t="s">
        <v>3193</v>
      </c>
      <c r="K70" s="139" t="s">
        <v>3190</v>
      </c>
    </row>
    <row r="71" customFormat="false" ht="14.25" hidden="false" customHeight="true" outlineLevel="0" collapsed="false">
      <c r="B71" s="137" t="n">
        <v>66</v>
      </c>
      <c r="C71" s="138" t="s">
        <v>3269</v>
      </c>
      <c r="D71" s="138" t="s">
        <v>3186</v>
      </c>
      <c r="E71" s="138" t="s">
        <v>3191</v>
      </c>
      <c r="F71" s="138" t="s">
        <v>3182</v>
      </c>
      <c r="G71" s="138" t="s">
        <v>3185</v>
      </c>
      <c r="H71" s="138" t="s">
        <v>3189</v>
      </c>
      <c r="I71" s="138" t="s">
        <v>3188</v>
      </c>
      <c r="J71" s="138" t="s">
        <v>3190</v>
      </c>
      <c r="K71" s="139" t="s">
        <v>3192</v>
      </c>
    </row>
    <row r="72" customFormat="false" ht="14.25" hidden="false" customHeight="true" outlineLevel="0" collapsed="false">
      <c r="B72" s="137" t="n">
        <v>67</v>
      </c>
      <c r="C72" s="138" t="s">
        <v>3270</v>
      </c>
      <c r="D72" s="138" t="s">
        <v>3186</v>
      </c>
      <c r="E72" s="138" t="s">
        <v>3191</v>
      </c>
      <c r="F72" s="138" t="s">
        <v>3182</v>
      </c>
      <c r="G72" s="138" t="s">
        <v>3185</v>
      </c>
      <c r="H72" s="138" t="s">
        <v>3190</v>
      </c>
      <c r="I72" s="138" t="s">
        <v>3187</v>
      </c>
      <c r="J72" s="138" t="s">
        <v>3193</v>
      </c>
      <c r="K72" s="139" t="s">
        <v>3192</v>
      </c>
    </row>
    <row r="73" customFormat="false" ht="14.25" hidden="false" customHeight="true" outlineLevel="0" collapsed="false">
      <c r="B73" s="137" t="n">
        <v>68</v>
      </c>
      <c r="C73" s="138" t="s">
        <v>3271</v>
      </c>
      <c r="D73" s="138" t="s">
        <v>3186</v>
      </c>
      <c r="E73" s="138" t="s">
        <v>3191</v>
      </c>
      <c r="F73" s="138" t="s">
        <v>3182</v>
      </c>
      <c r="G73" s="138" t="s">
        <v>3185</v>
      </c>
      <c r="H73" s="138" t="s">
        <v>3189</v>
      </c>
      <c r="I73" s="138" t="s">
        <v>3187</v>
      </c>
      <c r="J73" s="138" t="s">
        <v>3193</v>
      </c>
      <c r="K73" s="139" t="s">
        <v>3192</v>
      </c>
    </row>
    <row r="74" customFormat="false" ht="14.25" hidden="false" customHeight="true" outlineLevel="0" collapsed="false">
      <c r="B74" s="137" t="n">
        <v>69</v>
      </c>
      <c r="C74" s="138" t="s">
        <v>3272</v>
      </c>
      <c r="D74" s="138" t="s">
        <v>3186</v>
      </c>
      <c r="E74" s="138" t="s">
        <v>3190</v>
      </c>
      <c r="F74" s="138" t="s">
        <v>3182</v>
      </c>
      <c r="G74" s="138" t="s">
        <v>3185</v>
      </c>
      <c r="H74" s="138" t="s">
        <v>3189</v>
      </c>
      <c r="I74" s="138" t="s">
        <v>3187</v>
      </c>
      <c r="J74" s="138" t="s">
        <v>3193</v>
      </c>
      <c r="K74" s="139" t="s">
        <v>3192</v>
      </c>
    </row>
    <row r="75" customFormat="false" ht="14.25" hidden="false" customHeight="true" outlineLevel="0" collapsed="false">
      <c r="B75" s="137" t="n">
        <v>70</v>
      </c>
      <c r="C75" s="138" t="s">
        <v>3273</v>
      </c>
      <c r="D75" s="138" t="s">
        <v>3186</v>
      </c>
      <c r="E75" s="138" t="s">
        <v>3191</v>
      </c>
      <c r="F75" s="138" t="s">
        <v>3182</v>
      </c>
      <c r="G75" s="138" t="s">
        <v>3185</v>
      </c>
      <c r="H75" s="138" t="s">
        <v>3189</v>
      </c>
      <c r="I75" s="138" t="s">
        <v>3187</v>
      </c>
      <c r="J75" s="138" t="s">
        <v>3193</v>
      </c>
      <c r="K75" s="139" t="s">
        <v>3190</v>
      </c>
    </row>
    <row r="76" customFormat="false" ht="14.25" hidden="false" customHeight="true" outlineLevel="0" collapsed="false">
      <c r="B76" s="137" t="n">
        <v>71</v>
      </c>
      <c r="C76" s="138" t="s">
        <v>3274</v>
      </c>
      <c r="D76" s="138" t="s">
        <v>3186</v>
      </c>
      <c r="E76" s="138" t="s">
        <v>3191</v>
      </c>
      <c r="F76" s="138" t="s">
        <v>3182</v>
      </c>
      <c r="G76" s="138" t="s">
        <v>3185</v>
      </c>
      <c r="H76" s="138" t="s">
        <v>3189</v>
      </c>
      <c r="I76" s="138" t="s">
        <v>3187</v>
      </c>
      <c r="J76" s="138" t="s">
        <v>3190</v>
      </c>
      <c r="K76" s="139" t="s">
        <v>3192</v>
      </c>
    </row>
    <row r="77" customFormat="false" ht="14.25" hidden="false" customHeight="true" outlineLevel="0" collapsed="false">
      <c r="B77" s="137" t="n">
        <v>72</v>
      </c>
      <c r="C77" s="138" t="s">
        <v>3275</v>
      </c>
      <c r="D77" s="138" t="s">
        <v>3186</v>
      </c>
      <c r="E77" s="138" t="s">
        <v>3188</v>
      </c>
      <c r="F77" s="138" t="s">
        <v>3182</v>
      </c>
      <c r="G77" s="138" t="s">
        <v>3185</v>
      </c>
      <c r="H77" s="138" t="s">
        <v>3191</v>
      </c>
      <c r="I77" s="138" t="s">
        <v>3187</v>
      </c>
      <c r="J77" s="138" t="s">
        <v>3193</v>
      </c>
      <c r="K77" s="139" t="s">
        <v>3192</v>
      </c>
    </row>
    <row r="78" customFormat="false" ht="14.25" hidden="false" customHeight="true" outlineLevel="0" collapsed="false">
      <c r="B78" s="137" t="n">
        <v>73</v>
      </c>
      <c r="C78" s="138" t="s">
        <v>3276</v>
      </c>
      <c r="D78" s="138" t="s">
        <v>3186</v>
      </c>
      <c r="E78" s="138" t="s">
        <v>3188</v>
      </c>
      <c r="F78" s="138" t="s">
        <v>3182</v>
      </c>
      <c r="G78" s="138" t="s">
        <v>3185</v>
      </c>
      <c r="H78" s="138" t="s">
        <v>3190</v>
      </c>
      <c r="I78" s="138" t="s">
        <v>3187</v>
      </c>
      <c r="J78" s="138" t="s">
        <v>3193</v>
      </c>
      <c r="K78" s="139" t="s">
        <v>3192</v>
      </c>
    </row>
    <row r="79" customFormat="false" ht="14.25" hidden="false" customHeight="true" outlineLevel="0" collapsed="false">
      <c r="B79" s="137" t="n">
        <v>74</v>
      </c>
      <c r="C79" s="138" t="s">
        <v>3277</v>
      </c>
      <c r="D79" s="138" t="s">
        <v>3186</v>
      </c>
      <c r="E79" s="138" t="s">
        <v>3188</v>
      </c>
      <c r="F79" s="138" t="s">
        <v>3182</v>
      </c>
      <c r="G79" s="138" t="s">
        <v>3185</v>
      </c>
      <c r="H79" s="138" t="s">
        <v>3191</v>
      </c>
      <c r="I79" s="138" t="s">
        <v>3187</v>
      </c>
      <c r="J79" s="138" t="s">
        <v>3193</v>
      </c>
      <c r="K79" s="139" t="s">
        <v>3190</v>
      </c>
    </row>
    <row r="80" customFormat="false" ht="14.25" hidden="false" customHeight="true" outlineLevel="0" collapsed="false">
      <c r="B80" s="137" t="n">
        <v>75</v>
      </c>
      <c r="C80" s="138" t="s">
        <v>3278</v>
      </c>
      <c r="D80" s="138" t="s">
        <v>3186</v>
      </c>
      <c r="E80" s="138" t="s">
        <v>3188</v>
      </c>
      <c r="F80" s="138" t="s">
        <v>3182</v>
      </c>
      <c r="G80" s="138" t="s">
        <v>3185</v>
      </c>
      <c r="H80" s="138" t="s">
        <v>3191</v>
      </c>
      <c r="I80" s="138" t="s">
        <v>3187</v>
      </c>
      <c r="J80" s="138" t="s">
        <v>3190</v>
      </c>
      <c r="K80" s="139" t="s">
        <v>3192</v>
      </c>
    </row>
    <row r="81" customFormat="false" ht="14.25" hidden="false" customHeight="true" outlineLevel="0" collapsed="false">
      <c r="B81" s="137" t="n">
        <v>76</v>
      </c>
      <c r="C81" s="138" t="s">
        <v>3279</v>
      </c>
      <c r="D81" s="138" t="s">
        <v>3186</v>
      </c>
      <c r="E81" s="138" t="s">
        <v>3188</v>
      </c>
      <c r="F81" s="138" t="s">
        <v>3182</v>
      </c>
      <c r="G81" s="138" t="s">
        <v>3185</v>
      </c>
      <c r="H81" s="138" t="s">
        <v>3189</v>
      </c>
      <c r="I81" s="138" t="s">
        <v>3187</v>
      </c>
      <c r="J81" s="138" t="s">
        <v>3193</v>
      </c>
      <c r="K81" s="139" t="s">
        <v>3192</v>
      </c>
    </row>
    <row r="82" customFormat="false" ht="14.25" hidden="false" customHeight="true" outlineLevel="0" collapsed="false">
      <c r="B82" s="137" t="n">
        <v>77</v>
      </c>
      <c r="C82" s="138" t="s">
        <v>3280</v>
      </c>
      <c r="D82" s="138" t="s">
        <v>3189</v>
      </c>
      <c r="E82" s="138" t="s">
        <v>3188</v>
      </c>
      <c r="F82" s="138" t="s">
        <v>3182</v>
      </c>
      <c r="G82" s="138" t="s">
        <v>3185</v>
      </c>
      <c r="H82" s="138" t="s">
        <v>3191</v>
      </c>
      <c r="I82" s="138" t="s">
        <v>3187</v>
      </c>
      <c r="J82" s="138" t="s">
        <v>3193</v>
      </c>
      <c r="K82" s="139" t="s">
        <v>3186</v>
      </c>
    </row>
    <row r="83" customFormat="false" ht="14.25" hidden="false" customHeight="true" outlineLevel="0" collapsed="false">
      <c r="B83" s="137" t="n">
        <v>78</v>
      </c>
      <c r="C83" s="138" t="s">
        <v>3281</v>
      </c>
      <c r="D83" s="138" t="s">
        <v>3189</v>
      </c>
      <c r="E83" s="138" t="s">
        <v>3188</v>
      </c>
      <c r="F83" s="138" t="s">
        <v>3182</v>
      </c>
      <c r="G83" s="138" t="s">
        <v>3185</v>
      </c>
      <c r="H83" s="138" t="s">
        <v>3191</v>
      </c>
      <c r="I83" s="138" t="s">
        <v>3187</v>
      </c>
      <c r="J83" s="138" t="s">
        <v>3186</v>
      </c>
      <c r="K83" s="139" t="s">
        <v>3192</v>
      </c>
    </row>
    <row r="84" customFormat="false" ht="14.25" hidden="false" customHeight="true" outlineLevel="0" collapsed="false">
      <c r="B84" s="137" t="n">
        <v>79</v>
      </c>
      <c r="C84" s="138" t="s">
        <v>3282</v>
      </c>
      <c r="D84" s="138" t="s">
        <v>3186</v>
      </c>
      <c r="E84" s="138" t="s">
        <v>3188</v>
      </c>
      <c r="F84" s="138" t="s">
        <v>3182</v>
      </c>
      <c r="G84" s="138" t="s">
        <v>3185</v>
      </c>
      <c r="H84" s="138" t="s">
        <v>3189</v>
      </c>
      <c r="I84" s="138" t="s">
        <v>3187</v>
      </c>
      <c r="J84" s="138" t="s">
        <v>3193</v>
      </c>
      <c r="K84" s="139" t="s">
        <v>3190</v>
      </c>
    </row>
    <row r="85" customFormat="false" ht="14.25" hidden="false" customHeight="true" outlineLevel="0" collapsed="false">
      <c r="B85" s="137" t="n">
        <v>80</v>
      </c>
      <c r="C85" s="138" t="s">
        <v>3283</v>
      </c>
      <c r="D85" s="138" t="s">
        <v>3186</v>
      </c>
      <c r="E85" s="138" t="s">
        <v>3188</v>
      </c>
      <c r="F85" s="138" t="s">
        <v>3182</v>
      </c>
      <c r="G85" s="138" t="s">
        <v>3185</v>
      </c>
      <c r="H85" s="138" t="s">
        <v>3189</v>
      </c>
      <c r="I85" s="138" t="s">
        <v>3187</v>
      </c>
      <c r="J85" s="138" t="s">
        <v>3190</v>
      </c>
      <c r="K85" s="139" t="s">
        <v>3192</v>
      </c>
    </row>
    <row r="86" customFormat="false" ht="14.25" hidden="false" customHeight="true" outlineLevel="0" collapsed="false">
      <c r="B86" s="137" t="n">
        <v>81</v>
      </c>
      <c r="C86" s="138" t="s">
        <v>3284</v>
      </c>
      <c r="D86" s="138" t="s">
        <v>3189</v>
      </c>
      <c r="E86" s="138" t="s">
        <v>3188</v>
      </c>
      <c r="F86" s="138" t="s">
        <v>3182</v>
      </c>
      <c r="G86" s="138" t="s">
        <v>3185</v>
      </c>
      <c r="H86" s="138" t="s">
        <v>3191</v>
      </c>
      <c r="I86" s="138" t="s">
        <v>3187</v>
      </c>
      <c r="J86" s="138" t="s">
        <v>3186</v>
      </c>
      <c r="K86" s="139" t="s">
        <v>3190</v>
      </c>
    </row>
    <row r="87" customFormat="false" ht="14.25" hidden="false" customHeight="true" outlineLevel="0" collapsed="false">
      <c r="B87" s="137" t="n">
        <v>82</v>
      </c>
      <c r="C87" s="138" t="s">
        <v>3285</v>
      </c>
      <c r="D87" s="138" t="s">
        <v>3189</v>
      </c>
      <c r="E87" s="138" t="s">
        <v>3191</v>
      </c>
      <c r="F87" s="138" t="s">
        <v>3182</v>
      </c>
      <c r="G87" s="138" t="s">
        <v>3183</v>
      </c>
      <c r="H87" s="138" t="s">
        <v>3190</v>
      </c>
      <c r="I87" s="138" t="s">
        <v>3188</v>
      </c>
      <c r="J87" s="138" t="s">
        <v>3193</v>
      </c>
      <c r="K87" s="139" t="s">
        <v>3192</v>
      </c>
    </row>
    <row r="88" customFormat="false" ht="14.25" hidden="false" customHeight="true" outlineLevel="0" collapsed="false">
      <c r="B88" s="137" t="n">
        <v>83</v>
      </c>
      <c r="C88" s="138" t="s">
        <v>3286</v>
      </c>
      <c r="D88" s="138" t="s">
        <v>3189</v>
      </c>
      <c r="E88" s="138" t="s">
        <v>3191</v>
      </c>
      <c r="F88" s="138" t="s">
        <v>3182</v>
      </c>
      <c r="G88" s="138" t="s">
        <v>3183</v>
      </c>
      <c r="H88" s="138" t="s">
        <v>3190</v>
      </c>
      <c r="I88" s="138" t="s">
        <v>3187</v>
      </c>
      <c r="J88" s="138" t="s">
        <v>3193</v>
      </c>
      <c r="K88" s="139" t="s">
        <v>3192</v>
      </c>
    </row>
    <row r="89" customFormat="false" ht="14.25" hidden="false" customHeight="true" outlineLevel="0" collapsed="false">
      <c r="B89" s="137" t="n">
        <v>84</v>
      </c>
      <c r="C89" s="138" t="s">
        <v>3287</v>
      </c>
      <c r="D89" s="138" t="s">
        <v>3190</v>
      </c>
      <c r="E89" s="138" t="s">
        <v>3188</v>
      </c>
      <c r="F89" s="138" t="s">
        <v>3182</v>
      </c>
      <c r="G89" s="138" t="s">
        <v>3183</v>
      </c>
      <c r="H89" s="138" t="s">
        <v>3191</v>
      </c>
      <c r="I89" s="138" t="s">
        <v>3187</v>
      </c>
      <c r="J89" s="138" t="s">
        <v>3193</v>
      </c>
      <c r="K89" s="139" t="s">
        <v>3192</v>
      </c>
    </row>
    <row r="90" customFormat="false" ht="14.25" hidden="false" customHeight="true" outlineLevel="0" collapsed="false">
      <c r="B90" s="137" t="n">
        <v>85</v>
      </c>
      <c r="C90" s="138" t="s">
        <v>3288</v>
      </c>
      <c r="D90" s="138" t="s">
        <v>3189</v>
      </c>
      <c r="E90" s="138" t="s">
        <v>3188</v>
      </c>
      <c r="F90" s="138" t="s">
        <v>3182</v>
      </c>
      <c r="G90" s="138" t="s">
        <v>3183</v>
      </c>
      <c r="H90" s="138" t="s">
        <v>3191</v>
      </c>
      <c r="I90" s="138" t="s">
        <v>3187</v>
      </c>
      <c r="J90" s="138" t="s">
        <v>3193</v>
      </c>
      <c r="K90" s="139" t="s">
        <v>3192</v>
      </c>
    </row>
    <row r="91" customFormat="false" ht="14.25" hidden="false" customHeight="true" outlineLevel="0" collapsed="false">
      <c r="B91" s="137" t="n">
        <v>86</v>
      </c>
      <c r="C91" s="138" t="s">
        <v>3289</v>
      </c>
      <c r="D91" s="138" t="s">
        <v>3189</v>
      </c>
      <c r="E91" s="138" t="s">
        <v>3188</v>
      </c>
      <c r="F91" s="138" t="s">
        <v>3182</v>
      </c>
      <c r="G91" s="138" t="s">
        <v>3183</v>
      </c>
      <c r="H91" s="138" t="s">
        <v>3190</v>
      </c>
      <c r="I91" s="138" t="s">
        <v>3187</v>
      </c>
      <c r="J91" s="138" t="s">
        <v>3193</v>
      </c>
      <c r="K91" s="139" t="s">
        <v>3192</v>
      </c>
    </row>
    <row r="92" customFormat="false" ht="14.25" hidden="false" customHeight="true" outlineLevel="0" collapsed="false">
      <c r="B92" s="137" t="n">
        <v>87</v>
      </c>
      <c r="C92" s="138" t="s">
        <v>3290</v>
      </c>
      <c r="D92" s="138" t="s">
        <v>3189</v>
      </c>
      <c r="E92" s="138" t="s">
        <v>3188</v>
      </c>
      <c r="F92" s="138" t="s">
        <v>3182</v>
      </c>
      <c r="G92" s="138" t="s">
        <v>3183</v>
      </c>
      <c r="H92" s="138" t="s">
        <v>3191</v>
      </c>
      <c r="I92" s="138" t="s">
        <v>3187</v>
      </c>
      <c r="J92" s="138" t="s">
        <v>3193</v>
      </c>
      <c r="K92" s="139" t="s">
        <v>3190</v>
      </c>
    </row>
    <row r="93" customFormat="false" ht="14.25" hidden="false" customHeight="true" outlineLevel="0" collapsed="false">
      <c r="B93" s="137" t="n">
        <v>88</v>
      </c>
      <c r="C93" s="138" t="s">
        <v>3291</v>
      </c>
      <c r="D93" s="138" t="s">
        <v>3189</v>
      </c>
      <c r="E93" s="138" t="s">
        <v>3188</v>
      </c>
      <c r="F93" s="138" t="s">
        <v>3182</v>
      </c>
      <c r="G93" s="138" t="s">
        <v>3183</v>
      </c>
      <c r="H93" s="138" t="s">
        <v>3191</v>
      </c>
      <c r="I93" s="138" t="s">
        <v>3187</v>
      </c>
      <c r="J93" s="138" t="s">
        <v>3190</v>
      </c>
      <c r="K93" s="139" t="s">
        <v>3192</v>
      </c>
    </row>
    <row r="94" customFormat="false" ht="14.25" hidden="false" customHeight="true" outlineLevel="0" collapsed="false">
      <c r="B94" s="137" t="n">
        <v>89</v>
      </c>
      <c r="C94" s="138" t="s">
        <v>3292</v>
      </c>
      <c r="D94" s="138" t="s">
        <v>3186</v>
      </c>
      <c r="E94" s="138" t="s">
        <v>3191</v>
      </c>
      <c r="F94" s="138" t="s">
        <v>3182</v>
      </c>
      <c r="G94" s="138" t="s">
        <v>3183</v>
      </c>
      <c r="H94" s="138" t="s">
        <v>3190</v>
      </c>
      <c r="I94" s="138" t="s">
        <v>3189</v>
      </c>
      <c r="J94" s="138" t="s">
        <v>3193</v>
      </c>
      <c r="K94" s="139" t="s">
        <v>3192</v>
      </c>
    </row>
    <row r="95" customFormat="false" ht="14.25" hidden="false" customHeight="true" outlineLevel="0" collapsed="false">
      <c r="B95" s="137" t="n">
        <v>90</v>
      </c>
      <c r="C95" s="138" t="s">
        <v>3293</v>
      </c>
      <c r="D95" s="138" t="s">
        <v>3186</v>
      </c>
      <c r="E95" s="138" t="s">
        <v>3191</v>
      </c>
      <c r="F95" s="138" t="s">
        <v>3182</v>
      </c>
      <c r="G95" s="138" t="s">
        <v>3183</v>
      </c>
      <c r="H95" s="138" t="s">
        <v>3190</v>
      </c>
      <c r="I95" s="138" t="s">
        <v>3188</v>
      </c>
      <c r="J95" s="138" t="s">
        <v>3193</v>
      </c>
      <c r="K95" s="139" t="s">
        <v>3192</v>
      </c>
    </row>
    <row r="96" customFormat="false" ht="14.25" hidden="false" customHeight="true" outlineLevel="0" collapsed="false">
      <c r="B96" s="137" t="n">
        <v>91</v>
      </c>
      <c r="C96" s="138" t="s">
        <v>3294</v>
      </c>
      <c r="D96" s="138" t="s">
        <v>3186</v>
      </c>
      <c r="E96" s="138" t="s">
        <v>3191</v>
      </c>
      <c r="F96" s="138" t="s">
        <v>3182</v>
      </c>
      <c r="G96" s="138" t="s">
        <v>3183</v>
      </c>
      <c r="H96" s="138" t="s">
        <v>3189</v>
      </c>
      <c r="I96" s="138" t="s">
        <v>3188</v>
      </c>
      <c r="J96" s="138" t="s">
        <v>3193</v>
      </c>
      <c r="K96" s="139" t="s">
        <v>3192</v>
      </c>
    </row>
    <row r="97" customFormat="false" ht="14.25" hidden="false" customHeight="true" outlineLevel="0" collapsed="false">
      <c r="B97" s="137" t="n">
        <v>92</v>
      </c>
      <c r="C97" s="138" t="s">
        <v>3295</v>
      </c>
      <c r="D97" s="138" t="s">
        <v>3186</v>
      </c>
      <c r="E97" s="138" t="s">
        <v>3188</v>
      </c>
      <c r="F97" s="138" t="s">
        <v>3182</v>
      </c>
      <c r="G97" s="138" t="s">
        <v>3183</v>
      </c>
      <c r="H97" s="138" t="s">
        <v>3190</v>
      </c>
      <c r="I97" s="138" t="s">
        <v>3189</v>
      </c>
      <c r="J97" s="138" t="s">
        <v>3193</v>
      </c>
      <c r="K97" s="139" t="s">
        <v>3192</v>
      </c>
    </row>
    <row r="98" customFormat="false" ht="14.25" hidden="false" customHeight="true" outlineLevel="0" collapsed="false">
      <c r="B98" s="137" t="n">
        <v>93</v>
      </c>
      <c r="C98" s="138" t="s">
        <v>3296</v>
      </c>
      <c r="D98" s="138" t="s">
        <v>3186</v>
      </c>
      <c r="E98" s="138" t="s">
        <v>3191</v>
      </c>
      <c r="F98" s="138" t="s">
        <v>3182</v>
      </c>
      <c r="G98" s="138" t="s">
        <v>3183</v>
      </c>
      <c r="H98" s="138" t="s">
        <v>3189</v>
      </c>
      <c r="I98" s="138" t="s">
        <v>3188</v>
      </c>
      <c r="J98" s="138" t="s">
        <v>3193</v>
      </c>
      <c r="K98" s="139" t="s">
        <v>3190</v>
      </c>
    </row>
    <row r="99" customFormat="false" ht="14.25" hidden="false" customHeight="true" outlineLevel="0" collapsed="false">
      <c r="B99" s="137" t="n">
        <v>94</v>
      </c>
      <c r="C99" s="138" t="s">
        <v>3297</v>
      </c>
      <c r="D99" s="138" t="s">
        <v>3186</v>
      </c>
      <c r="E99" s="138" t="s">
        <v>3191</v>
      </c>
      <c r="F99" s="138" t="s">
        <v>3182</v>
      </c>
      <c r="G99" s="138" t="s">
        <v>3183</v>
      </c>
      <c r="H99" s="138" t="s">
        <v>3189</v>
      </c>
      <c r="I99" s="138" t="s">
        <v>3188</v>
      </c>
      <c r="J99" s="138" t="s">
        <v>3190</v>
      </c>
      <c r="K99" s="139" t="s">
        <v>3192</v>
      </c>
    </row>
    <row r="100" customFormat="false" ht="14.25" hidden="false" customHeight="true" outlineLevel="0" collapsed="false">
      <c r="B100" s="137" t="n">
        <v>95</v>
      </c>
      <c r="C100" s="138" t="s">
        <v>3298</v>
      </c>
      <c r="D100" s="138" t="s">
        <v>3186</v>
      </c>
      <c r="E100" s="138" t="s">
        <v>3191</v>
      </c>
      <c r="F100" s="138" t="s">
        <v>3182</v>
      </c>
      <c r="G100" s="138" t="s">
        <v>3183</v>
      </c>
      <c r="H100" s="138" t="s">
        <v>3190</v>
      </c>
      <c r="I100" s="138" t="s">
        <v>3187</v>
      </c>
      <c r="J100" s="138" t="s">
        <v>3193</v>
      </c>
      <c r="K100" s="139" t="s">
        <v>3192</v>
      </c>
    </row>
    <row r="101" customFormat="false" ht="14.25" hidden="false" customHeight="true" outlineLevel="0" collapsed="false">
      <c r="B101" s="137" t="n">
        <v>96</v>
      </c>
      <c r="C101" s="138" t="s">
        <v>3299</v>
      </c>
      <c r="D101" s="138" t="s">
        <v>3186</v>
      </c>
      <c r="E101" s="138" t="s">
        <v>3191</v>
      </c>
      <c r="F101" s="138" t="s">
        <v>3182</v>
      </c>
      <c r="G101" s="138" t="s">
        <v>3183</v>
      </c>
      <c r="H101" s="138" t="s">
        <v>3189</v>
      </c>
      <c r="I101" s="138" t="s">
        <v>3187</v>
      </c>
      <c r="J101" s="138" t="s">
        <v>3193</v>
      </c>
      <c r="K101" s="139" t="s">
        <v>3192</v>
      </c>
    </row>
    <row r="102" customFormat="false" ht="14.25" hidden="false" customHeight="true" outlineLevel="0" collapsed="false">
      <c r="B102" s="137" t="n">
        <v>97</v>
      </c>
      <c r="C102" s="138" t="s">
        <v>3300</v>
      </c>
      <c r="D102" s="138" t="s">
        <v>3186</v>
      </c>
      <c r="E102" s="138" t="s">
        <v>3190</v>
      </c>
      <c r="F102" s="138" t="s">
        <v>3182</v>
      </c>
      <c r="G102" s="138" t="s">
        <v>3183</v>
      </c>
      <c r="H102" s="138" t="s">
        <v>3189</v>
      </c>
      <c r="I102" s="138" t="s">
        <v>3187</v>
      </c>
      <c r="J102" s="138" t="s">
        <v>3193</v>
      </c>
      <c r="K102" s="139" t="s">
        <v>3192</v>
      </c>
    </row>
    <row r="103" customFormat="false" ht="14.25" hidden="false" customHeight="true" outlineLevel="0" collapsed="false">
      <c r="B103" s="137" t="n">
        <v>98</v>
      </c>
      <c r="C103" s="138" t="s">
        <v>3301</v>
      </c>
      <c r="D103" s="138" t="s">
        <v>3186</v>
      </c>
      <c r="E103" s="138" t="s">
        <v>3191</v>
      </c>
      <c r="F103" s="138" t="s">
        <v>3182</v>
      </c>
      <c r="G103" s="138" t="s">
        <v>3183</v>
      </c>
      <c r="H103" s="138" t="s">
        <v>3189</v>
      </c>
      <c r="I103" s="138" t="s">
        <v>3187</v>
      </c>
      <c r="J103" s="138" t="s">
        <v>3193</v>
      </c>
      <c r="K103" s="139" t="s">
        <v>3190</v>
      </c>
    </row>
    <row r="104" customFormat="false" ht="14.25" hidden="false" customHeight="true" outlineLevel="0" collapsed="false">
      <c r="B104" s="137" t="n">
        <v>99</v>
      </c>
      <c r="C104" s="138" t="s">
        <v>3302</v>
      </c>
      <c r="D104" s="138" t="s">
        <v>3186</v>
      </c>
      <c r="E104" s="138" t="s">
        <v>3191</v>
      </c>
      <c r="F104" s="138" t="s">
        <v>3182</v>
      </c>
      <c r="G104" s="138" t="s">
        <v>3183</v>
      </c>
      <c r="H104" s="138" t="s">
        <v>3189</v>
      </c>
      <c r="I104" s="138" t="s">
        <v>3187</v>
      </c>
      <c r="J104" s="138" t="s">
        <v>3190</v>
      </c>
      <c r="K104" s="139" t="s">
        <v>3192</v>
      </c>
    </row>
    <row r="105" customFormat="false" ht="14.25" hidden="false" customHeight="true" outlineLevel="0" collapsed="false">
      <c r="B105" s="137" t="n">
        <v>100</v>
      </c>
      <c r="C105" s="138" t="s">
        <v>3303</v>
      </c>
      <c r="D105" s="138" t="s">
        <v>3186</v>
      </c>
      <c r="E105" s="138" t="s">
        <v>3188</v>
      </c>
      <c r="F105" s="138" t="s">
        <v>3182</v>
      </c>
      <c r="G105" s="138" t="s">
        <v>3183</v>
      </c>
      <c r="H105" s="138" t="s">
        <v>3191</v>
      </c>
      <c r="I105" s="138" t="s">
        <v>3187</v>
      </c>
      <c r="J105" s="138" t="s">
        <v>3193</v>
      </c>
      <c r="K105" s="139" t="s">
        <v>3192</v>
      </c>
    </row>
    <row r="106" customFormat="false" ht="14.25" hidden="false" customHeight="true" outlineLevel="0" collapsed="false">
      <c r="B106" s="137" t="n">
        <v>101</v>
      </c>
      <c r="C106" s="138" t="s">
        <v>3304</v>
      </c>
      <c r="D106" s="138" t="s">
        <v>3186</v>
      </c>
      <c r="E106" s="138" t="s">
        <v>3188</v>
      </c>
      <c r="F106" s="138" t="s">
        <v>3182</v>
      </c>
      <c r="G106" s="138" t="s">
        <v>3183</v>
      </c>
      <c r="H106" s="138" t="s">
        <v>3190</v>
      </c>
      <c r="I106" s="138" t="s">
        <v>3187</v>
      </c>
      <c r="J106" s="138" t="s">
        <v>3193</v>
      </c>
      <c r="K106" s="139" t="s">
        <v>3192</v>
      </c>
    </row>
    <row r="107" customFormat="false" ht="14.25" hidden="false" customHeight="true" outlineLevel="0" collapsed="false">
      <c r="B107" s="137" t="n">
        <v>102</v>
      </c>
      <c r="C107" s="138" t="s">
        <v>3305</v>
      </c>
      <c r="D107" s="138" t="s">
        <v>3186</v>
      </c>
      <c r="E107" s="138" t="s">
        <v>3188</v>
      </c>
      <c r="F107" s="138" t="s">
        <v>3182</v>
      </c>
      <c r="G107" s="138" t="s">
        <v>3183</v>
      </c>
      <c r="H107" s="138" t="s">
        <v>3191</v>
      </c>
      <c r="I107" s="138" t="s">
        <v>3187</v>
      </c>
      <c r="J107" s="138" t="s">
        <v>3193</v>
      </c>
      <c r="K107" s="139" t="s">
        <v>3190</v>
      </c>
    </row>
    <row r="108" customFormat="false" ht="14.25" hidden="false" customHeight="true" outlineLevel="0" collapsed="false">
      <c r="B108" s="137" t="n">
        <v>103</v>
      </c>
      <c r="C108" s="138" t="s">
        <v>3306</v>
      </c>
      <c r="D108" s="138" t="s">
        <v>3186</v>
      </c>
      <c r="E108" s="138" t="s">
        <v>3188</v>
      </c>
      <c r="F108" s="138" t="s">
        <v>3182</v>
      </c>
      <c r="G108" s="138" t="s">
        <v>3183</v>
      </c>
      <c r="H108" s="138" t="s">
        <v>3191</v>
      </c>
      <c r="I108" s="138" t="s">
        <v>3187</v>
      </c>
      <c r="J108" s="138" t="s">
        <v>3190</v>
      </c>
      <c r="K108" s="139" t="s">
        <v>3192</v>
      </c>
    </row>
    <row r="109" customFormat="false" ht="14.25" hidden="false" customHeight="true" outlineLevel="0" collapsed="false">
      <c r="B109" s="137" t="n">
        <v>104</v>
      </c>
      <c r="C109" s="138" t="s">
        <v>3307</v>
      </c>
      <c r="D109" s="138" t="s">
        <v>3186</v>
      </c>
      <c r="E109" s="138" t="s">
        <v>3188</v>
      </c>
      <c r="F109" s="138" t="s">
        <v>3182</v>
      </c>
      <c r="G109" s="138" t="s">
        <v>3183</v>
      </c>
      <c r="H109" s="138" t="s">
        <v>3189</v>
      </c>
      <c r="I109" s="138" t="s">
        <v>3187</v>
      </c>
      <c r="J109" s="138" t="s">
        <v>3193</v>
      </c>
      <c r="K109" s="139" t="s">
        <v>3192</v>
      </c>
    </row>
    <row r="110" customFormat="false" ht="14.25" hidden="false" customHeight="true" outlineLevel="0" collapsed="false">
      <c r="B110" s="137" t="n">
        <v>105</v>
      </c>
      <c r="C110" s="138" t="s">
        <v>3308</v>
      </c>
      <c r="D110" s="138" t="s">
        <v>3189</v>
      </c>
      <c r="E110" s="138" t="s">
        <v>3188</v>
      </c>
      <c r="F110" s="138" t="s">
        <v>3182</v>
      </c>
      <c r="G110" s="138" t="s">
        <v>3183</v>
      </c>
      <c r="H110" s="138" t="s">
        <v>3191</v>
      </c>
      <c r="I110" s="138" t="s">
        <v>3187</v>
      </c>
      <c r="J110" s="138" t="s">
        <v>3193</v>
      </c>
      <c r="K110" s="139" t="s">
        <v>3186</v>
      </c>
    </row>
    <row r="111" customFormat="false" ht="14.25" hidden="false" customHeight="true" outlineLevel="0" collapsed="false">
      <c r="B111" s="137" t="n">
        <v>106</v>
      </c>
      <c r="C111" s="138" t="s">
        <v>3309</v>
      </c>
      <c r="D111" s="138" t="s">
        <v>3189</v>
      </c>
      <c r="E111" s="138" t="s">
        <v>3188</v>
      </c>
      <c r="F111" s="138" t="s">
        <v>3182</v>
      </c>
      <c r="G111" s="138" t="s">
        <v>3183</v>
      </c>
      <c r="H111" s="138" t="s">
        <v>3191</v>
      </c>
      <c r="I111" s="138" t="s">
        <v>3187</v>
      </c>
      <c r="J111" s="138" t="s">
        <v>3186</v>
      </c>
      <c r="K111" s="139" t="s">
        <v>3192</v>
      </c>
    </row>
    <row r="112" customFormat="false" ht="14.25" hidden="false" customHeight="true" outlineLevel="0" collapsed="false">
      <c r="B112" s="137" t="n">
        <v>107</v>
      </c>
      <c r="C112" s="138" t="s">
        <v>3310</v>
      </c>
      <c r="D112" s="138" t="s">
        <v>3186</v>
      </c>
      <c r="E112" s="138" t="s">
        <v>3188</v>
      </c>
      <c r="F112" s="138" t="s">
        <v>3182</v>
      </c>
      <c r="G112" s="138" t="s">
        <v>3183</v>
      </c>
      <c r="H112" s="138" t="s">
        <v>3189</v>
      </c>
      <c r="I112" s="138" t="s">
        <v>3187</v>
      </c>
      <c r="J112" s="138" t="s">
        <v>3193</v>
      </c>
      <c r="K112" s="139" t="s">
        <v>3190</v>
      </c>
    </row>
    <row r="113" customFormat="false" ht="14.25" hidden="false" customHeight="true" outlineLevel="0" collapsed="false">
      <c r="B113" s="137" t="n">
        <v>108</v>
      </c>
      <c r="C113" s="138" t="s">
        <v>3311</v>
      </c>
      <c r="D113" s="138" t="s">
        <v>3186</v>
      </c>
      <c r="E113" s="138" t="s">
        <v>3188</v>
      </c>
      <c r="F113" s="138" t="s">
        <v>3182</v>
      </c>
      <c r="G113" s="138" t="s">
        <v>3183</v>
      </c>
      <c r="H113" s="138" t="s">
        <v>3189</v>
      </c>
      <c r="I113" s="138" t="s">
        <v>3187</v>
      </c>
      <c r="J113" s="138" t="s">
        <v>3190</v>
      </c>
      <c r="K113" s="139" t="s">
        <v>3192</v>
      </c>
    </row>
    <row r="114" customFormat="false" ht="14.25" hidden="false" customHeight="true" outlineLevel="0" collapsed="false">
      <c r="B114" s="137" t="n">
        <v>109</v>
      </c>
      <c r="C114" s="138" t="s">
        <v>3312</v>
      </c>
      <c r="D114" s="138" t="s">
        <v>3189</v>
      </c>
      <c r="E114" s="138" t="s">
        <v>3188</v>
      </c>
      <c r="F114" s="138" t="s">
        <v>3182</v>
      </c>
      <c r="G114" s="138" t="s">
        <v>3183</v>
      </c>
      <c r="H114" s="138" t="s">
        <v>3191</v>
      </c>
      <c r="I114" s="138" t="s">
        <v>3187</v>
      </c>
      <c r="J114" s="138" t="s">
        <v>3186</v>
      </c>
      <c r="K114" s="139" t="s">
        <v>3190</v>
      </c>
    </row>
    <row r="115" customFormat="false" ht="14.25" hidden="false" customHeight="true" outlineLevel="0" collapsed="false">
      <c r="B115" s="137" t="n">
        <v>110</v>
      </c>
      <c r="C115" s="138" t="s">
        <v>3313</v>
      </c>
      <c r="D115" s="138" t="s">
        <v>3189</v>
      </c>
      <c r="E115" s="138" t="s">
        <v>3191</v>
      </c>
      <c r="F115" s="138" t="s">
        <v>3182</v>
      </c>
      <c r="G115" s="138" t="s">
        <v>3183</v>
      </c>
      <c r="H115" s="138" t="s">
        <v>3190</v>
      </c>
      <c r="I115" s="138" t="s">
        <v>3185</v>
      </c>
      <c r="J115" s="138" t="s">
        <v>3193</v>
      </c>
      <c r="K115" s="139" t="s">
        <v>3192</v>
      </c>
    </row>
    <row r="116" customFormat="false" ht="14.25" hidden="false" customHeight="true" outlineLevel="0" collapsed="false">
      <c r="B116" s="137" t="n">
        <v>111</v>
      </c>
      <c r="C116" s="138" t="s">
        <v>3314</v>
      </c>
      <c r="D116" s="138" t="s">
        <v>3190</v>
      </c>
      <c r="E116" s="138" t="s">
        <v>3188</v>
      </c>
      <c r="F116" s="138" t="s">
        <v>3182</v>
      </c>
      <c r="G116" s="138" t="s">
        <v>3183</v>
      </c>
      <c r="H116" s="138" t="s">
        <v>3191</v>
      </c>
      <c r="I116" s="138" t="s">
        <v>3185</v>
      </c>
      <c r="J116" s="138" t="s">
        <v>3193</v>
      </c>
      <c r="K116" s="139" t="s">
        <v>3192</v>
      </c>
    </row>
    <row r="117" customFormat="false" ht="14.25" hidden="false" customHeight="true" outlineLevel="0" collapsed="false">
      <c r="B117" s="137" t="n">
        <v>112</v>
      </c>
      <c r="C117" s="138" t="s">
        <v>3315</v>
      </c>
      <c r="D117" s="138" t="s">
        <v>3189</v>
      </c>
      <c r="E117" s="138" t="s">
        <v>3188</v>
      </c>
      <c r="F117" s="138" t="s">
        <v>3182</v>
      </c>
      <c r="G117" s="138" t="s">
        <v>3183</v>
      </c>
      <c r="H117" s="138" t="s">
        <v>3191</v>
      </c>
      <c r="I117" s="138" t="s">
        <v>3185</v>
      </c>
      <c r="J117" s="138" t="s">
        <v>3193</v>
      </c>
      <c r="K117" s="139" t="s">
        <v>3192</v>
      </c>
    </row>
    <row r="118" customFormat="false" ht="14.25" hidden="false" customHeight="true" outlineLevel="0" collapsed="false">
      <c r="B118" s="137" t="n">
        <v>113</v>
      </c>
      <c r="C118" s="138" t="s">
        <v>3316</v>
      </c>
      <c r="D118" s="138" t="s">
        <v>3189</v>
      </c>
      <c r="E118" s="138" t="s">
        <v>3188</v>
      </c>
      <c r="F118" s="138" t="s">
        <v>3182</v>
      </c>
      <c r="G118" s="138" t="s">
        <v>3183</v>
      </c>
      <c r="H118" s="138" t="s">
        <v>3190</v>
      </c>
      <c r="I118" s="138" t="s">
        <v>3185</v>
      </c>
      <c r="J118" s="138" t="s">
        <v>3193</v>
      </c>
      <c r="K118" s="139" t="s">
        <v>3192</v>
      </c>
    </row>
    <row r="119" customFormat="false" ht="14.25" hidden="false" customHeight="true" outlineLevel="0" collapsed="false">
      <c r="B119" s="137" t="n">
        <v>114</v>
      </c>
      <c r="C119" s="138" t="s">
        <v>3317</v>
      </c>
      <c r="D119" s="138" t="s">
        <v>3189</v>
      </c>
      <c r="E119" s="138" t="s">
        <v>3188</v>
      </c>
      <c r="F119" s="138" t="s">
        <v>3182</v>
      </c>
      <c r="G119" s="138" t="s">
        <v>3183</v>
      </c>
      <c r="H119" s="138" t="s">
        <v>3191</v>
      </c>
      <c r="I119" s="138" t="s">
        <v>3185</v>
      </c>
      <c r="J119" s="138" t="s">
        <v>3193</v>
      </c>
      <c r="K119" s="139" t="s">
        <v>3190</v>
      </c>
    </row>
    <row r="120" customFormat="false" ht="14.25" hidden="false" customHeight="true" outlineLevel="0" collapsed="false">
      <c r="B120" s="137" t="n">
        <v>115</v>
      </c>
      <c r="C120" s="138" t="s">
        <v>3318</v>
      </c>
      <c r="D120" s="138" t="s">
        <v>3189</v>
      </c>
      <c r="E120" s="138" t="s">
        <v>3188</v>
      </c>
      <c r="F120" s="138" t="s">
        <v>3182</v>
      </c>
      <c r="G120" s="138" t="s">
        <v>3183</v>
      </c>
      <c r="H120" s="138" t="s">
        <v>3191</v>
      </c>
      <c r="I120" s="138" t="s">
        <v>3185</v>
      </c>
      <c r="J120" s="138" t="s">
        <v>3190</v>
      </c>
      <c r="K120" s="139" t="s">
        <v>3192</v>
      </c>
    </row>
    <row r="121" customFormat="false" ht="14.25" hidden="false" customHeight="true" outlineLevel="0" collapsed="false">
      <c r="B121" s="137" t="n">
        <v>116</v>
      </c>
      <c r="C121" s="138" t="s">
        <v>3319</v>
      </c>
      <c r="D121" s="138" t="s">
        <v>3183</v>
      </c>
      <c r="E121" s="138" t="s">
        <v>3191</v>
      </c>
      <c r="F121" s="138" t="s">
        <v>3182</v>
      </c>
      <c r="G121" s="138" t="s">
        <v>3185</v>
      </c>
      <c r="H121" s="138" t="s">
        <v>3190</v>
      </c>
      <c r="I121" s="138" t="s">
        <v>3187</v>
      </c>
      <c r="J121" s="138" t="s">
        <v>3193</v>
      </c>
      <c r="K121" s="139" t="s">
        <v>3192</v>
      </c>
    </row>
    <row r="122" customFormat="false" ht="14.25" hidden="false" customHeight="true" outlineLevel="0" collapsed="false">
      <c r="B122" s="137" t="n">
        <v>117</v>
      </c>
      <c r="C122" s="138" t="s">
        <v>3320</v>
      </c>
      <c r="D122" s="138" t="s">
        <v>3183</v>
      </c>
      <c r="E122" s="138" t="s">
        <v>3191</v>
      </c>
      <c r="F122" s="138" t="s">
        <v>3182</v>
      </c>
      <c r="G122" s="138" t="s">
        <v>3185</v>
      </c>
      <c r="H122" s="138" t="s">
        <v>3189</v>
      </c>
      <c r="I122" s="138" t="s">
        <v>3187</v>
      </c>
      <c r="J122" s="138" t="s">
        <v>3193</v>
      </c>
      <c r="K122" s="139" t="s">
        <v>3192</v>
      </c>
    </row>
    <row r="123" customFormat="false" ht="14.25" hidden="false" customHeight="true" outlineLevel="0" collapsed="false">
      <c r="B123" s="137" t="n">
        <v>118</v>
      </c>
      <c r="C123" s="138" t="s">
        <v>3321</v>
      </c>
      <c r="D123" s="138" t="s">
        <v>3183</v>
      </c>
      <c r="E123" s="138" t="s">
        <v>3190</v>
      </c>
      <c r="F123" s="138" t="s">
        <v>3182</v>
      </c>
      <c r="G123" s="138" t="s">
        <v>3185</v>
      </c>
      <c r="H123" s="138" t="s">
        <v>3189</v>
      </c>
      <c r="I123" s="138" t="s">
        <v>3187</v>
      </c>
      <c r="J123" s="138" t="s">
        <v>3193</v>
      </c>
      <c r="K123" s="139" t="s">
        <v>3192</v>
      </c>
    </row>
    <row r="124" customFormat="false" ht="14.25" hidden="false" customHeight="true" outlineLevel="0" collapsed="false">
      <c r="B124" s="137" t="n">
        <v>119</v>
      </c>
      <c r="C124" s="138" t="s">
        <v>3322</v>
      </c>
      <c r="D124" s="138" t="s">
        <v>3183</v>
      </c>
      <c r="E124" s="138" t="s">
        <v>3191</v>
      </c>
      <c r="F124" s="138" t="s">
        <v>3182</v>
      </c>
      <c r="G124" s="138" t="s">
        <v>3185</v>
      </c>
      <c r="H124" s="138" t="s">
        <v>3189</v>
      </c>
      <c r="I124" s="138" t="s">
        <v>3187</v>
      </c>
      <c r="J124" s="138" t="s">
        <v>3193</v>
      </c>
      <c r="K124" s="139" t="s">
        <v>3190</v>
      </c>
    </row>
    <row r="125" customFormat="false" ht="14.25" hidden="false" customHeight="true" outlineLevel="0" collapsed="false">
      <c r="B125" s="137" t="n">
        <v>120</v>
      </c>
      <c r="C125" s="138" t="s">
        <v>3323</v>
      </c>
      <c r="D125" s="138" t="s">
        <v>3183</v>
      </c>
      <c r="E125" s="138" t="s">
        <v>3191</v>
      </c>
      <c r="F125" s="138" t="s">
        <v>3182</v>
      </c>
      <c r="G125" s="138" t="s">
        <v>3185</v>
      </c>
      <c r="H125" s="138" t="s">
        <v>3189</v>
      </c>
      <c r="I125" s="138" t="s">
        <v>3187</v>
      </c>
      <c r="J125" s="138" t="s">
        <v>3190</v>
      </c>
      <c r="K125" s="139" t="s">
        <v>3192</v>
      </c>
    </row>
    <row r="126" customFormat="false" ht="14.25" hidden="false" customHeight="true" outlineLevel="0" collapsed="false">
      <c r="B126" s="137" t="n">
        <v>121</v>
      </c>
      <c r="C126" s="138" t="s">
        <v>3324</v>
      </c>
      <c r="D126" s="138" t="s">
        <v>3183</v>
      </c>
      <c r="E126" s="138" t="s">
        <v>3188</v>
      </c>
      <c r="F126" s="138" t="s">
        <v>3182</v>
      </c>
      <c r="G126" s="138" t="s">
        <v>3185</v>
      </c>
      <c r="H126" s="138" t="s">
        <v>3191</v>
      </c>
      <c r="I126" s="138" t="s">
        <v>3187</v>
      </c>
      <c r="J126" s="138" t="s">
        <v>3193</v>
      </c>
      <c r="K126" s="139" t="s">
        <v>3192</v>
      </c>
    </row>
    <row r="127" customFormat="false" ht="14.25" hidden="false" customHeight="true" outlineLevel="0" collapsed="false">
      <c r="B127" s="137" t="n">
        <v>122</v>
      </c>
      <c r="C127" s="138" t="s">
        <v>3325</v>
      </c>
      <c r="D127" s="138" t="s">
        <v>3183</v>
      </c>
      <c r="E127" s="138" t="s">
        <v>3188</v>
      </c>
      <c r="F127" s="138" t="s">
        <v>3182</v>
      </c>
      <c r="G127" s="138" t="s">
        <v>3185</v>
      </c>
      <c r="H127" s="138" t="s">
        <v>3190</v>
      </c>
      <c r="I127" s="138" t="s">
        <v>3187</v>
      </c>
      <c r="J127" s="138" t="s">
        <v>3193</v>
      </c>
      <c r="K127" s="139" t="s">
        <v>3192</v>
      </c>
    </row>
    <row r="128" customFormat="false" ht="14.25" hidden="false" customHeight="true" outlineLevel="0" collapsed="false">
      <c r="B128" s="137" t="n">
        <v>123</v>
      </c>
      <c r="C128" s="138" t="s">
        <v>3326</v>
      </c>
      <c r="D128" s="138" t="s">
        <v>3183</v>
      </c>
      <c r="E128" s="138" t="s">
        <v>3188</v>
      </c>
      <c r="F128" s="138" t="s">
        <v>3182</v>
      </c>
      <c r="G128" s="138" t="s">
        <v>3185</v>
      </c>
      <c r="H128" s="138" t="s">
        <v>3191</v>
      </c>
      <c r="I128" s="138" t="s">
        <v>3187</v>
      </c>
      <c r="J128" s="138" t="s">
        <v>3193</v>
      </c>
      <c r="K128" s="139" t="s">
        <v>3190</v>
      </c>
    </row>
    <row r="129" customFormat="false" ht="14.25" hidden="false" customHeight="true" outlineLevel="0" collapsed="false">
      <c r="B129" s="137" t="n">
        <v>124</v>
      </c>
      <c r="C129" s="138" t="s">
        <v>3327</v>
      </c>
      <c r="D129" s="138" t="s">
        <v>3183</v>
      </c>
      <c r="E129" s="138" t="s">
        <v>3188</v>
      </c>
      <c r="F129" s="138" t="s">
        <v>3182</v>
      </c>
      <c r="G129" s="138" t="s">
        <v>3185</v>
      </c>
      <c r="H129" s="138" t="s">
        <v>3191</v>
      </c>
      <c r="I129" s="138" t="s">
        <v>3187</v>
      </c>
      <c r="J129" s="138" t="s">
        <v>3190</v>
      </c>
      <c r="K129" s="139" t="s">
        <v>3192</v>
      </c>
    </row>
    <row r="130" customFormat="false" ht="14.25" hidden="false" customHeight="true" outlineLevel="0" collapsed="false">
      <c r="B130" s="137" t="n">
        <v>125</v>
      </c>
      <c r="C130" s="138" t="s">
        <v>3328</v>
      </c>
      <c r="D130" s="138" t="s">
        <v>3183</v>
      </c>
      <c r="E130" s="138" t="s">
        <v>3188</v>
      </c>
      <c r="F130" s="138" t="s">
        <v>3182</v>
      </c>
      <c r="G130" s="138" t="s">
        <v>3185</v>
      </c>
      <c r="H130" s="138" t="s">
        <v>3189</v>
      </c>
      <c r="I130" s="138" t="s">
        <v>3187</v>
      </c>
      <c r="J130" s="138" t="s">
        <v>3193</v>
      </c>
      <c r="K130" s="139" t="s">
        <v>3192</v>
      </c>
    </row>
    <row r="131" customFormat="false" ht="14.25" hidden="false" customHeight="true" outlineLevel="0" collapsed="false">
      <c r="B131" s="137" t="n">
        <v>126</v>
      </c>
      <c r="C131" s="138" t="s">
        <v>3329</v>
      </c>
      <c r="D131" s="138" t="s">
        <v>3183</v>
      </c>
      <c r="E131" s="138" t="s">
        <v>3188</v>
      </c>
      <c r="F131" s="138" t="s">
        <v>3182</v>
      </c>
      <c r="G131" s="138" t="s">
        <v>3185</v>
      </c>
      <c r="H131" s="138" t="s">
        <v>3189</v>
      </c>
      <c r="I131" s="138" t="s">
        <v>3187</v>
      </c>
      <c r="J131" s="138" t="s">
        <v>3193</v>
      </c>
      <c r="K131" s="139" t="s">
        <v>3191</v>
      </c>
    </row>
    <row r="132" customFormat="false" ht="14.25" hidden="false" customHeight="true" outlineLevel="0" collapsed="false">
      <c r="B132" s="137" t="n">
        <v>127</v>
      </c>
      <c r="C132" s="138" t="s">
        <v>3330</v>
      </c>
      <c r="D132" s="138" t="s">
        <v>3189</v>
      </c>
      <c r="E132" s="138" t="s">
        <v>3188</v>
      </c>
      <c r="F132" s="138" t="s">
        <v>3182</v>
      </c>
      <c r="G132" s="138" t="s">
        <v>3183</v>
      </c>
      <c r="H132" s="138" t="s">
        <v>3191</v>
      </c>
      <c r="I132" s="138" t="s">
        <v>3187</v>
      </c>
      <c r="J132" s="138" t="s">
        <v>3185</v>
      </c>
      <c r="K132" s="139" t="s">
        <v>3192</v>
      </c>
    </row>
    <row r="133" customFormat="false" ht="14.25" hidden="false" customHeight="true" outlineLevel="0" collapsed="false">
      <c r="B133" s="137" t="n">
        <v>128</v>
      </c>
      <c r="C133" s="138" t="s">
        <v>3331</v>
      </c>
      <c r="D133" s="138" t="s">
        <v>3183</v>
      </c>
      <c r="E133" s="138" t="s">
        <v>3188</v>
      </c>
      <c r="F133" s="138" t="s">
        <v>3182</v>
      </c>
      <c r="G133" s="138" t="s">
        <v>3185</v>
      </c>
      <c r="H133" s="138" t="s">
        <v>3189</v>
      </c>
      <c r="I133" s="138" t="s">
        <v>3187</v>
      </c>
      <c r="J133" s="138" t="s">
        <v>3193</v>
      </c>
      <c r="K133" s="139" t="s">
        <v>3190</v>
      </c>
    </row>
    <row r="134" customFormat="false" ht="14.25" hidden="false" customHeight="true" outlineLevel="0" collapsed="false">
      <c r="B134" s="137" t="n">
        <v>129</v>
      </c>
      <c r="C134" s="138" t="s">
        <v>3332</v>
      </c>
      <c r="D134" s="138" t="s">
        <v>3183</v>
      </c>
      <c r="E134" s="138" t="s">
        <v>3188</v>
      </c>
      <c r="F134" s="138" t="s">
        <v>3182</v>
      </c>
      <c r="G134" s="138" t="s">
        <v>3185</v>
      </c>
      <c r="H134" s="138" t="s">
        <v>3189</v>
      </c>
      <c r="I134" s="138" t="s">
        <v>3187</v>
      </c>
      <c r="J134" s="138" t="s">
        <v>3190</v>
      </c>
      <c r="K134" s="139" t="s">
        <v>3192</v>
      </c>
    </row>
    <row r="135" customFormat="false" ht="14.25" hidden="false" customHeight="true" outlineLevel="0" collapsed="false">
      <c r="B135" s="137" t="n">
        <v>130</v>
      </c>
      <c r="C135" s="138" t="s">
        <v>3333</v>
      </c>
      <c r="D135" s="138" t="s">
        <v>3189</v>
      </c>
      <c r="E135" s="138" t="s">
        <v>3188</v>
      </c>
      <c r="F135" s="138" t="s">
        <v>3182</v>
      </c>
      <c r="G135" s="138" t="s">
        <v>3183</v>
      </c>
      <c r="H135" s="138" t="s">
        <v>3191</v>
      </c>
      <c r="I135" s="138" t="s">
        <v>3187</v>
      </c>
      <c r="J135" s="138" t="s">
        <v>3185</v>
      </c>
      <c r="K135" s="139" t="s">
        <v>3190</v>
      </c>
    </row>
    <row r="136" customFormat="false" ht="14.25" hidden="false" customHeight="true" outlineLevel="0" collapsed="false">
      <c r="B136" s="137" t="n">
        <v>131</v>
      </c>
      <c r="C136" s="138" t="s">
        <v>3334</v>
      </c>
      <c r="D136" s="138" t="s">
        <v>3186</v>
      </c>
      <c r="E136" s="138" t="s">
        <v>3191</v>
      </c>
      <c r="F136" s="138" t="s">
        <v>3182</v>
      </c>
      <c r="G136" s="138" t="s">
        <v>3183</v>
      </c>
      <c r="H136" s="138" t="s">
        <v>3190</v>
      </c>
      <c r="I136" s="138" t="s">
        <v>3185</v>
      </c>
      <c r="J136" s="138" t="s">
        <v>3193</v>
      </c>
      <c r="K136" s="139" t="s">
        <v>3192</v>
      </c>
    </row>
    <row r="137" customFormat="false" ht="14.25" hidden="false" customHeight="true" outlineLevel="0" collapsed="false">
      <c r="B137" s="137" t="n">
        <v>132</v>
      </c>
      <c r="C137" s="138" t="s">
        <v>3335</v>
      </c>
      <c r="D137" s="138" t="s">
        <v>3186</v>
      </c>
      <c r="E137" s="138" t="s">
        <v>3191</v>
      </c>
      <c r="F137" s="138" t="s">
        <v>3182</v>
      </c>
      <c r="G137" s="138" t="s">
        <v>3183</v>
      </c>
      <c r="H137" s="138" t="s">
        <v>3189</v>
      </c>
      <c r="I137" s="138" t="s">
        <v>3185</v>
      </c>
      <c r="J137" s="138" t="s">
        <v>3193</v>
      </c>
      <c r="K137" s="139" t="s">
        <v>3192</v>
      </c>
    </row>
    <row r="138" customFormat="false" ht="14.25" hidden="false" customHeight="true" outlineLevel="0" collapsed="false">
      <c r="B138" s="137" t="n">
        <v>133</v>
      </c>
      <c r="C138" s="138" t="s">
        <v>3336</v>
      </c>
      <c r="D138" s="138" t="s">
        <v>3186</v>
      </c>
      <c r="E138" s="138" t="s">
        <v>3190</v>
      </c>
      <c r="F138" s="138" t="s">
        <v>3182</v>
      </c>
      <c r="G138" s="138" t="s">
        <v>3183</v>
      </c>
      <c r="H138" s="138" t="s">
        <v>3189</v>
      </c>
      <c r="I138" s="138" t="s">
        <v>3185</v>
      </c>
      <c r="J138" s="138" t="s">
        <v>3193</v>
      </c>
      <c r="K138" s="139" t="s">
        <v>3192</v>
      </c>
    </row>
    <row r="139" customFormat="false" ht="14.25" hidden="false" customHeight="true" outlineLevel="0" collapsed="false">
      <c r="B139" s="137" t="n">
        <v>134</v>
      </c>
      <c r="C139" s="138" t="s">
        <v>3337</v>
      </c>
      <c r="D139" s="138" t="s">
        <v>3186</v>
      </c>
      <c r="E139" s="138" t="s">
        <v>3191</v>
      </c>
      <c r="F139" s="138" t="s">
        <v>3182</v>
      </c>
      <c r="G139" s="138" t="s">
        <v>3183</v>
      </c>
      <c r="H139" s="138" t="s">
        <v>3189</v>
      </c>
      <c r="I139" s="138" t="s">
        <v>3185</v>
      </c>
      <c r="J139" s="138" t="s">
        <v>3193</v>
      </c>
      <c r="K139" s="139" t="s">
        <v>3190</v>
      </c>
    </row>
    <row r="140" customFormat="false" ht="14.25" hidden="false" customHeight="true" outlineLevel="0" collapsed="false">
      <c r="B140" s="137" t="n">
        <v>135</v>
      </c>
      <c r="C140" s="138" t="s">
        <v>3338</v>
      </c>
      <c r="D140" s="138" t="s">
        <v>3186</v>
      </c>
      <c r="E140" s="138" t="s">
        <v>3191</v>
      </c>
      <c r="F140" s="138" t="s">
        <v>3182</v>
      </c>
      <c r="G140" s="138" t="s">
        <v>3183</v>
      </c>
      <c r="H140" s="138" t="s">
        <v>3189</v>
      </c>
      <c r="I140" s="138" t="s">
        <v>3185</v>
      </c>
      <c r="J140" s="138" t="s">
        <v>3190</v>
      </c>
      <c r="K140" s="139" t="s">
        <v>3192</v>
      </c>
    </row>
    <row r="141" customFormat="false" ht="14.25" hidden="false" customHeight="true" outlineLevel="0" collapsed="false">
      <c r="B141" s="137" t="n">
        <v>136</v>
      </c>
      <c r="C141" s="138" t="s">
        <v>3339</v>
      </c>
      <c r="D141" s="138" t="s">
        <v>3186</v>
      </c>
      <c r="E141" s="138" t="s">
        <v>3188</v>
      </c>
      <c r="F141" s="138" t="s">
        <v>3182</v>
      </c>
      <c r="G141" s="138" t="s">
        <v>3183</v>
      </c>
      <c r="H141" s="138" t="s">
        <v>3191</v>
      </c>
      <c r="I141" s="138" t="s">
        <v>3185</v>
      </c>
      <c r="J141" s="138" t="s">
        <v>3193</v>
      </c>
      <c r="K141" s="139" t="s">
        <v>3192</v>
      </c>
    </row>
    <row r="142" customFormat="false" ht="14.25" hidden="false" customHeight="true" outlineLevel="0" collapsed="false">
      <c r="B142" s="137" t="n">
        <v>137</v>
      </c>
      <c r="C142" s="138" t="s">
        <v>3340</v>
      </c>
      <c r="D142" s="138" t="s">
        <v>3186</v>
      </c>
      <c r="E142" s="138" t="s">
        <v>3188</v>
      </c>
      <c r="F142" s="138" t="s">
        <v>3182</v>
      </c>
      <c r="G142" s="138" t="s">
        <v>3183</v>
      </c>
      <c r="H142" s="138" t="s">
        <v>3190</v>
      </c>
      <c r="I142" s="138" t="s">
        <v>3185</v>
      </c>
      <c r="J142" s="138" t="s">
        <v>3193</v>
      </c>
      <c r="K142" s="139" t="s">
        <v>3192</v>
      </c>
    </row>
    <row r="143" customFormat="false" ht="14.25" hidden="false" customHeight="true" outlineLevel="0" collapsed="false">
      <c r="B143" s="137" t="n">
        <v>138</v>
      </c>
      <c r="C143" s="138" t="s">
        <v>3341</v>
      </c>
      <c r="D143" s="138" t="s">
        <v>3186</v>
      </c>
      <c r="E143" s="138" t="s">
        <v>3188</v>
      </c>
      <c r="F143" s="138" t="s">
        <v>3182</v>
      </c>
      <c r="G143" s="138" t="s">
        <v>3183</v>
      </c>
      <c r="H143" s="138" t="s">
        <v>3191</v>
      </c>
      <c r="I143" s="138" t="s">
        <v>3185</v>
      </c>
      <c r="J143" s="138" t="s">
        <v>3193</v>
      </c>
      <c r="K143" s="139" t="s">
        <v>3190</v>
      </c>
    </row>
    <row r="144" customFormat="false" ht="14.25" hidden="false" customHeight="true" outlineLevel="0" collapsed="false">
      <c r="B144" s="137" t="n">
        <v>139</v>
      </c>
      <c r="C144" s="138" t="s">
        <v>3342</v>
      </c>
      <c r="D144" s="138" t="s">
        <v>3186</v>
      </c>
      <c r="E144" s="138" t="s">
        <v>3188</v>
      </c>
      <c r="F144" s="138" t="s">
        <v>3182</v>
      </c>
      <c r="G144" s="138" t="s">
        <v>3183</v>
      </c>
      <c r="H144" s="138" t="s">
        <v>3191</v>
      </c>
      <c r="I144" s="138" t="s">
        <v>3185</v>
      </c>
      <c r="J144" s="138" t="s">
        <v>3190</v>
      </c>
      <c r="K144" s="139" t="s">
        <v>3192</v>
      </c>
    </row>
    <row r="145" customFormat="false" ht="14.25" hidden="false" customHeight="true" outlineLevel="0" collapsed="false">
      <c r="B145" s="137" t="n">
        <v>140</v>
      </c>
      <c r="C145" s="138" t="s">
        <v>3343</v>
      </c>
      <c r="D145" s="138" t="s">
        <v>3186</v>
      </c>
      <c r="E145" s="138" t="s">
        <v>3188</v>
      </c>
      <c r="F145" s="138" t="s">
        <v>3182</v>
      </c>
      <c r="G145" s="138" t="s">
        <v>3183</v>
      </c>
      <c r="H145" s="138" t="s">
        <v>3189</v>
      </c>
      <c r="I145" s="138" t="s">
        <v>3185</v>
      </c>
      <c r="J145" s="138" t="s">
        <v>3193</v>
      </c>
      <c r="K145" s="139" t="s">
        <v>3192</v>
      </c>
    </row>
    <row r="146" customFormat="false" ht="14.25" hidden="false" customHeight="true" outlineLevel="0" collapsed="false">
      <c r="B146" s="137" t="n">
        <v>141</v>
      </c>
      <c r="C146" s="138" t="s">
        <v>3344</v>
      </c>
      <c r="D146" s="138" t="s">
        <v>3189</v>
      </c>
      <c r="E146" s="138" t="s">
        <v>3188</v>
      </c>
      <c r="F146" s="138" t="s">
        <v>3182</v>
      </c>
      <c r="G146" s="138" t="s">
        <v>3183</v>
      </c>
      <c r="H146" s="138" t="s">
        <v>3191</v>
      </c>
      <c r="I146" s="138" t="s">
        <v>3185</v>
      </c>
      <c r="J146" s="138" t="s">
        <v>3193</v>
      </c>
      <c r="K146" s="139" t="s">
        <v>3186</v>
      </c>
    </row>
    <row r="147" customFormat="false" ht="14.25" hidden="false" customHeight="true" outlineLevel="0" collapsed="false">
      <c r="B147" s="137" t="n">
        <v>142</v>
      </c>
      <c r="C147" s="138" t="s">
        <v>3345</v>
      </c>
      <c r="D147" s="138" t="s">
        <v>3189</v>
      </c>
      <c r="E147" s="138" t="s">
        <v>3188</v>
      </c>
      <c r="F147" s="138" t="s">
        <v>3182</v>
      </c>
      <c r="G147" s="138" t="s">
        <v>3183</v>
      </c>
      <c r="H147" s="138" t="s">
        <v>3191</v>
      </c>
      <c r="I147" s="138" t="s">
        <v>3185</v>
      </c>
      <c r="J147" s="138" t="s">
        <v>3186</v>
      </c>
      <c r="K147" s="139" t="s">
        <v>3192</v>
      </c>
    </row>
    <row r="148" customFormat="false" ht="14.25" hidden="false" customHeight="true" outlineLevel="0" collapsed="false">
      <c r="B148" s="137" t="n">
        <v>143</v>
      </c>
      <c r="C148" s="138" t="s">
        <v>3346</v>
      </c>
      <c r="D148" s="138" t="s">
        <v>3186</v>
      </c>
      <c r="E148" s="138" t="s">
        <v>3188</v>
      </c>
      <c r="F148" s="138" t="s">
        <v>3182</v>
      </c>
      <c r="G148" s="138" t="s">
        <v>3183</v>
      </c>
      <c r="H148" s="138" t="s">
        <v>3189</v>
      </c>
      <c r="I148" s="138" t="s">
        <v>3185</v>
      </c>
      <c r="J148" s="138" t="s">
        <v>3193</v>
      </c>
      <c r="K148" s="139" t="s">
        <v>3190</v>
      </c>
    </row>
    <row r="149" customFormat="false" ht="14.25" hidden="false" customHeight="true" outlineLevel="0" collapsed="false">
      <c r="B149" s="137" t="n">
        <v>144</v>
      </c>
      <c r="C149" s="138" t="s">
        <v>3347</v>
      </c>
      <c r="D149" s="138" t="s">
        <v>3186</v>
      </c>
      <c r="E149" s="138" t="s">
        <v>3188</v>
      </c>
      <c r="F149" s="138" t="s">
        <v>3182</v>
      </c>
      <c r="G149" s="138" t="s">
        <v>3183</v>
      </c>
      <c r="H149" s="138" t="s">
        <v>3189</v>
      </c>
      <c r="I149" s="138" t="s">
        <v>3185</v>
      </c>
      <c r="J149" s="138" t="s">
        <v>3190</v>
      </c>
      <c r="K149" s="139" t="s">
        <v>3192</v>
      </c>
    </row>
    <row r="150" customFormat="false" ht="14.25" hidden="false" customHeight="true" outlineLevel="0" collapsed="false">
      <c r="B150" s="137" t="n">
        <v>145</v>
      </c>
      <c r="C150" s="138" t="s">
        <v>3348</v>
      </c>
      <c r="D150" s="138" t="s">
        <v>3189</v>
      </c>
      <c r="E150" s="138" t="s">
        <v>3188</v>
      </c>
      <c r="F150" s="138" t="s">
        <v>3182</v>
      </c>
      <c r="G150" s="138" t="s">
        <v>3183</v>
      </c>
      <c r="H150" s="138" t="s">
        <v>3191</v>
      </c>
      <c r="I150" s="138" t="s">
        <v>3185</v>
      </c>
      <c r="J150" s="138" t="s">
        <v>3186</v>
      </c>
      <c r="K150" s="139" t="s">
        <v>3190</v>
      </c>
    </row>
    <row r="151" customFormat="false" ht="14.25" hidden="false" customHeight="true" outlineLevel="0" collapsed="false">
      <c r="B151" s="137" t="n">
        <v>146</v>
      </c>
      <c r="C151" s="138" t="s">
        <v>3349</v>
      </c>
      <c r="D151" s="138" t="s">
        <v>3183</v>
      </c>
      <c r="E151" s="138" t="s">
        <v>3191</v>
      </c>
      <c r="F151" s="138" t="s">
        <v>3182</v>
      </c>
      <c r="G151" s="138" t="s">
        <v>3185</v>
      </c>
      <c r="H151" s="138" t="s">
        <v>3186</v>
      </c>
      <c r="I151" s="138" t="s">
        <v>3187</v>
      </c>
      <c r="J151" s="138" t="s">
        <v>3193</v>
      </c>
      <c r="K151" s="139" t="s">
        <v>3192</v>
      </c>
    </row>
    <row r="152" customFormat="false" ht="14.25" hidden="false" customHeight="true" outlineLevel="0" collapsed="false">
      <c r="B152" s="137" t="n">
        <v>147</v>
      </c>
      <c r="C152" s="138" t="s">
        <v>3350</v>
      </c>
      <c r="D152" s="138" t="s">
        <v>3183</v>
      </c>
      <c r="E152" s="138" t="s">
        <v>3186</v>
      </c>
      <c r="F152" s="138" t="s">
        <v>3182</v>
      </c>
      <c r="G152" s="138" t="s">
        <v>3185</v>
      </c>
      <c r="H152" s="138" t="s">
        <v>3190</v>
      </c>
      <c r="I152" s="138" t="s">
        <v>3187</v>
      </c>
      <c r="J152" s="138" t="s">
        <v>3193</v>
      </c>
      <c r="K152" s="139" t="s">
        <v>3192</v>
      </c>
    </row>
    <row r="153" customFormat="false" ht="14.25" hidden="false" customHeight="true" outlineLevel="0" collapsed="false">
      <c r="B153" s="137" t="n">
        <v>148</v>
      </c>
      <c r="C153" s="138" t="s">
        <v>3351</v>
      </c>
      <c r="D153" s="138" t="s">
        <v>3183</v>
      </c>
      <c r="E153" s="138" t="s">
        <v>3191</v>
      </c>
      <c r="F153" s="138" t="s">
        <v>3182</v>
      </c>
      <c r="G153" s="138" t="s">
        <v>3185</v>
      </c>
      <c r="H153" s="138" t="s">
        <v>3186</v>
      </c>
      <c r="I153" s="138" t="s">
        <v>3187</v>
      </c>
      <c r="J153" s="138" t="s">
        <v>3193</v>
      </c>
      <c r="K153" s="139" t="s">
        <v>3190</v>
      </c>
    </row>
    <row r="154" customFormat="false" ht="14.25" hidden="false" customHeight="true" outlineLevel="0" collapsed="false">
      <c r="B154" s="137" t="n">
        <v>149</v>
      </c>
      <c r="C154" s="138" t="s">
        <v>3352</v>
      </c>
      <c r="D154" s="138" t="s">
        <v>3183</v>
      </c>
      <c r="E154" s="138" t="s">
        <v>3191</v>
      </c>
      <c r="F154" s="138" t="s">
        <v>3182</v>
      </c>
      <c r="G154" s="138" t="s">
        <v>3185</v>
      </c>
      <c r="H154" s="138" t="s">
        <v>3186</v>
      </c>
      <c r="I154" s="138" t="s">
        <v>3187</v>
      </c>
      <c r="J154" s="138" t="s">
        <v>3190</v>
      </c>
      <c r="K154" s="139" t="s">
        <v>3192</v>
      </c>
    </row>
    <row r="155" customFormat="false" ht="14.25" hidden="false" customHeight="true" outlineLevel="0" collapsed="false">
      <c r="B155" s="137" t="n">
        <v>150</v>
      </c>
      <c r="C155" s="138" t="s">
        <v>3353</v>
      </c>
      <c r="D155" s="138" t="s">
        <v>3183</v>
      </c>
      <c r="E155" s="138" t="s">
        <v>3186</v>
      </c>
      <c r="F155" s="138" t="s">
        <v>3182</v>
      </c>
      <c r="G155" s="138" t="s">
        <v>3185</v>
      </c>
      <c r="H155" s="138" t="s">
        <v>3189</v>
      </c>
      <c r="I155" s="138" t="s">
        <v>3187</v>
      </c>
      <c r="J155" s="138" t="s">
        <v>3193</v>
      </c>
      <c r="K155" s="139" t="s">
        <v>3192</v>
      </c>
    </row>
    <row r="156" customFormat="false" ht="14.25" hidden="false" customHeight="true" outlineLevel="0" collapsed="false">
      <c r="B156" s="137" t="n">
        <v>151</v>
      </c>
      <c r="C156" s="138" t="s">
        <v>3354</v>
      </c>
      <c r="D156" s="138" t="s">
        <v>3183</v>
      </c>
      <c r="E156" s="138" t="s">
        <v>3191</v>
      </c>
      <c r="F156" s="138" t="s">
        <v>3182</v>
      </c>
      <c r="G156" s="138" t="s">
        <v>3185</v>
      </c>
      <c r="H156" s="138" t="s">
        <v>3189</v>
      </c>
      <c r="I156" s="138" t="s">
        <v>3187</v>
      </c>
      <c r="J156" s="138" t="s">
        <v>3193</v>
      </c>
      <c r="K156" s="139" t="s">
        <v>3186</v>
      </c>
    </row>
    <row r="157" customFormat="false" ht="14.25" hidden="false" customHeight="true" outlineLevel="0" collapsed="false">
      <c r="B157" s="137" t="n">
        <v>152</v>
      </c>
      <c r="C157" s="138" t="s">
        <v>3355</v>
      </c>
      <c r="D157" s="138" t="s">
        <v>3183</v>
      </c>
      <c r="E157" s="138" t="s">
        <v>3191</v>
      </c>
      <c r="F157" s="138" t="s">
        <v>3182</v>
      </c>
      <c r="G157" s="138" t="s">
        <v>3185</v>
      </c>
      <c r="H157" s="138" t="s">
        <v>3189</v>
      </c>
      <c r="I157" s="138" t="s">
        <v>3187</v>
      </c>
      <c r="J157" s="138" t="s">
        <v>3186</v>
      </c>
      <c r="K157" s="139" t="s">
        <v>3192</v>
      </c>
    </row>
    <row r="158" customFormat="false" ht="14.25" hidden="false" customHeight="true" outlineLevel="0" collapsed="false">
      <c r="B158" s="137" t="n">
        <v>153</v>
      </c>
      <c r="C158" s="138" t="s">
        <v>3356</v>
      </c>
      <c r="D158" s="138" t="s">
        <v>3183</v>
      </c>
      <c r="E158" s="138" t="s">
        <v>3186</v>
      </c>
      <c r="F158" s="138" t="s">
        <v>3182</v>
      </c>
      <c r="G158" s="138" t="s">
        <v>3185</v>
      </c>
      <c r="H158" s="138" t="s">
        <v>3189</v>
      </c>
      <c r="I158" s="138" t="s">
        <v>3187</v>
      </c>
      <c r="J158" s="138" t="s">
        <v>3193</v>
      </c>
      <c r="K158" s="139" t="s">
        <v>3190</v>
      </c>
    </row>
    <row r="159" customFormat="false" ht="14.25" hidden="false" customHeight="true" outlineLevel="0" collapsed="false">
      <c r="B159" s="137" t="n">
        <v>154</v>
      </c>
      <c r="C159" s="138" t="s">
        <v>3357</v>
      </c>
      <c r="D159" s="138" t="s">
        <v>3183</v>
      </c>
      <c r="E159" s="138" t="s">
        <v>3186</v>
      </c>
      <c r="F159" s="138" t="s">
        <v>3182</v>
      </c>
      <c r="G159" s="138" t="s">
        <v>3185</v>
      </c>
      <c r="H159" s="138" t="s">
        <v>3189</v>
      </c>
      <c r="I159" s="138" t="s">
        <v>3187</v>
      </c>
      <c r="J159" s="138" t="s">
        <v>3190</v>
      </c>
      <c r="K159" s="139" t="s">
        <v>3192</v>
      </c>
    </row>
    <row r="160" customFormat="false" ht="14.25" hidden="false" customHeight="true" outlineLevel="0" collapsed="false">
      <c r="B160" s="137" t="n">
        <v>155</v>
      </c>
      <c r="C160" s="138" t="s">
        <v>3358</v>
      </c>
      <c r="D160" s="138" t="s">
        <v>3183</v>
      </c>
      <c r="E160" s="138" t="s">
        <v>3191</v>
      </c>
      <c r="F160" s="138" t="s">
        <v>3182</v>
      </c>
      <c r="G160" s="138" t="s">
        <v>3185</v>
      </c>
      <c r="H160" s="138" t="s">
        <v>3189</v>
      </c>
      <c r="I160" s="138" t="s">
        <v>3187</v>
      </c>
      <c r="J160" s="138" t="s">
        <v>3186</v>
      </c>
      <c r="K160" s="139" t="s">
        <v>3190</v>
      </c>
    </row>
    <row r="161" customFormat="false" ht="14.25" hidden="false" customHeight="true" outlineLevel="0" collapsed="false">
      <c r="B161" s="137" t="n">
        <v>156</v>
      </c>
      <c r="C161" s="138" t="s">
        <v>3359</v>
      </c>
      <c r="D161" s="138" t="s">
        <v>3183</v>
      </c>
      <c r="E161" s="138" t="s">
        <v>3188</v>
      </c>
      <c r="F161" s="138" t="s">
        <v>3182</v>
      </c>
      <c r="G161" s="138" t="s">
        <v>3185</v>
      </c>
      <c r="H161" s="138" t="s">
        <v>3186</v>
      </c>
      <c r="I161" s="138" t="s">
        <v>3187</v>
      </c>
      <c r="J161" s="138" t="s">
        <v>3193</v>
      </c>
      <c r="K161" s="139" t="s">
        <v>3192</v>
      </c>
    </row>
    <row r="162" customFormat="false" ht="14.25" hidden="false" customHeight="true" outlineLevel="0" collapsed="false">
      <c r="B162" s="137" t="n">
        <v>157</v>
      </c>
      <c r="C162" s="138" t="s">
        <v>3360</v>
      </c>
      <c r="D162" s="138" t="s">
        <v>3183</v>
      </c>
      <c r="E162" s="138" t="s">
        <v>3188</v>
      </c>
      <c r="F162" s="138" t="s">
        <v>3182</v>
      </c>
      <c r="G162" s="138" t="s">
        <v>3185</v>
      </c>
      <c r="H162" s="138" t="s">
        <v>3191</v>
      </c>
      <c r="I162" s="138" t="s">
        <v>3187</v>
      </c>
      <c r="J162" s="138" t="s">
        <v>3193</v>
      </c>
      <c r="K162" s="139" t="s">
        <v>3186</v>
      </c>
    </row>
    <row r="163" customFormat="false" ht="14.25" hidden="false" customHeight="true" outlineLevel="0" collapsed="false">
      <c r="B163" s="137" t="n">
        <v>158</v>
      </c>
      <c r="C163" s="138" t="s">
        <v>3361</v>
      </c>
      <c r="D163" s="138" t="s">
        <v>3183</v>
      </c>
      <c r="E163" s="138" t="s">
        <v>3188</v>
      </c>
      <c r="F163" s="138" t="s">
        <v>3182</v>
      </c>
      <c r="G163" s="138" t="s">
        <v>3185</v>
      </c>
      <c r="H163" s="138" t="s">
        <v>3191</v>
      </c>
      <c r="I163" s="138" t="s">
        <v>3187</v>
      </c>
      <c r="J163" s="138" t="s">
        <v>3186</v>
      </c>
      <c r="K163" s="139" t="s">
        <v>3192</v>
      </c>
    </row>
    <row r="164" customFormat="false" ht="14.25" hidden="false" customHeight="true" outlineLevel="0" collapsed="false">
      <c r="B164" s="137" t="n">
        <v>159</v>
      </c>
      <c r="C164" s="138" t="s">
        <v>3362</v>
      </c>
      <c r="D164" s="138" t="s">
        <v>3183</v>
      </c>
      <c r="E164" s="138" t="s">
        <v>3188</v>
      </c>
      <c r="F164" s="138" t="s">
        <v>3182</v>
      </c>
      <c r="G164" s="138" t="s">
        <v>3185</v>
      </c>
      <c r="H164" s="138" t="s">
        <v>3186</v>
      </c>
      <c r="I164" s="138" t="s">
        <v>3187</v>
      </c>
      <c r="J164" s="138" t="s">
        <v>3193</v>
      </c>
      <c r="K164" s="139" t="s">
        <v>3190</v>
      </c>
    </row>
    <row r="165" customFormat="false" ht="14.25" hidden="false" customHeight="true" outlineLevel="0" collapsed="false">
      <c r="B165" s="137" t="n">
        <v>160</v>
      </c>
      <c r="C165" s="138" t="s">
        <v>3363</v>
      </c>
      <c r="D165" s="138" t="s">
        <v>3183</v>
      </c>
      <c r="E165" s="138" t="s">
        <v>3188</v>
      </c>
      <c r="F165" s="138" t="s">
        <v>3182</v>
      </c>
      <c r="G165" s="138" t="s">
        <v>3185</v>
      </c>
      <c r="H165" s="138" t="s">
        <v>3186</v>
      </c>
      <c r="I165" s="138" t="s">
        <v>3187</v>
      </c>
      <c r="J165" s="138" t="s">
        <v>3190</v>
      </c>
      <c r="K165" s="139" t="s">
        <v>3192</v>
      </c>
    </row>
    <row r="166" customFormat="false" ht="14.25" hidden="false" customHeight="true" outlineLevel="0" collapsed="false">
      <c r="B166" s="137" t="n">
        <v>161</v>
      </c>
      <c r="C166" s="138" t="s">
        <v>3364</v>
      </c>
      <c r="D166" s="138" t="s">
        <v>3183</v>
      </c>
      <c r="E166" s="138" t="s">
        <v>3188</v>
      </c>
      <c r="F166" s="138" t="s">
        <v>3182</v>
      </c>
      <c r="G166" s="138" t="s">
        <v>3185</v>
      </c>
      <c r="H166" s="138" t="s">
        <v>3191</v>
      </c>
      <c r="I166" s="138" t="s">
        <v>3187</v>
      </c>
      <c r="J166" s="138" t="s">
        <v>3186</v>
      </c>
      <c r="K166" s="139" t="s">
        <v>3190</v>
      </c>
    </row>
    <row r="167" customFormat="false" ht="14.25" hidden="false" customHeight="true" outlineLevel="0" collapsed="false">
      <c r="B167" s="137" t="n">
        <v>162</v>
      </c>
      <c r="C167" s="138" t="s">
        <v>3365</v>
      </c>
      <c r="D167" s="138" t="s">
        <v>3183</v>
      </c>
      <c r="E167" s="138" t="s">
        <v>3188</v>
      </c>
      <c r="F167" s="138" t="s">
        <v>3182</v>
      </c>
      <c r="G167" s="138" t="s">
        <v>3185</v>
      </c>
      <c r="H167" s="138" t="s">
        <v>3189</v>
      </c>
      <c r="I167" s="138" t="s">
        <v>3187</v>
      </c>
      <c r="J167" s="138" t="s">
        <v>3193</v>
      </c>
      <c r="K167" s="139" t="s">
        <v>3186</v>
      </c>
    </row>
    <row r="168" customFormat="false" ht="14.25" hidden="false" customHeight="true" outlineLevel="0" collapsed="false">
      <c r="B168" s="137" t="n">
        <v>163</v>
      </c>
      <c r="C168" s="138" t="s">
        <v>3366</v>
      </c>
      <c r="D168" s="138" t="s">
        <v>3183</v>
      </c>
      <c r="E168" s="138" t="s">
        <v>3188</v>
      </c>
      <c r="F168" s="138" t="s">
        <v>3182</v>
      </c>
      <c r="G168" s="138" t="s">
        <v>3185</v>
      </c>
      <c r="H168" s="138" t="s">
        <v>3189</v>
      </c>
      <c r="I168" s="138" t="s">
        <v>3187</v>
      </c>
      <c r="J168" s="138" t="s">
        <v>3186</v>
      </c>
      <c r="K168" s="139" t="s">
        <v>3192</v>
      </c>
    </row>
    <row r="169" customFormat="false" ht="14.25" hidden="false" customHeight="true" outlineLevel="0" collapsed="false">
      <c r="B169" s="137" t="n">
        <v>164</v>
      </c>
      <c r="C169" s="138" t="s">
        <v>3367</v>
      </c>
      <c r="D169" s="138" t="s">
        <v>3189</v>
      </c>
      <c r="E169" s="138" t="s">
        <v>3188</v>
      </c>
      <c r="F169" s="138" t="s">
        <v>3182</v>
      </c>
      <c r="G169" s="138" t="s">
        <v>3183</v>
      </c>
      <c r="H169" s="138" t="s">
        <v>3191</v>
      </c>
      <c r="I169" s="138" t="s">
        <v>3187</v>
      </c>
      <c r="J169" s="138" t="s">
        <v>3185</v>
      </c>
      <c r="K169" s="139" t="s">
        <v>3186</v>
      </c>
    </row>
    <row r="170" customFormat="false" ht="14.25" hidden="false" customHeight="true" outlineLevel="0" collapsed="false">
      <c r="B170" s="137" t="n">
        <v>165</v>
      </c>
      <c r="C170" s="138" t="s">
        <v>3368</v>
      </c>
      <c r="D170" s="138" t="s">
        <v>3183</v>
      </c>
      <c r="E170" s="138" t="s">
        <v>3188</v>
      </c>
      <c r="F170" s="138" t="s">
        <v>3182</v>
      </c>
      <c r="G170" s="138" t="s">
        <v>3185</v>
      </c>
      <c r="H170" s="138" t="s">
        <v>3189</v>
      </c>
      <c r="I170" s="138" t="s">
        <v>3187</v>
      </c>
      <c r="J170" s="138" t="s">
        <v>3186</v>
      </c>
      <c r="K170" s="139" t="s">
        <v>3190</v>
      </c>
    </row>
    <row r="171" customFormat="false" ht="14.25" hidden="false" customHeight="true" outlineLevel="0" collapsed="false">
      <c r="B171" s="137" t="n">
        <v>166</v>
      </c>
      <c r="C171" s="138" t="s">
        <v>3369</v>
      </c>
      <c r="D171" s="138" t="s">
        <v>3189</v>
      </c>
      <c r="E171" s="138" t="s">
        <v>3191</v>
      </c>
      <c r="F171" s="138" t="s">
        <v>3190</v>
      </c>
      <c r="G171" s="138" t="s">
        <v>3187</v>
      </c>
      <c r="H171" s="138" t="s">
        <v>3181</v>
      </c>
      <c r="I171" s="138" t="s">
        <v>3188</v>
      </c>
      <c r="J171" s="138" t="s">
        <v>3193</v>
      </c>
      <c r="K171" s="139" t="s">
        <v>3192</v>
      </c>
    </row>
    <row r="172" customFormat="false" ht="14.25" hidden="false" customHeight="true" outlineLevel="0" collapsed="false">
      <c r="B172" s="137" t="n">
        <v>167</v>
      </c>
      <c r="C172" s="138" t="s">
        <v>3370</v>
      </c>
      <c r="D172" s="138" t="s">
        <v>3186</v>
      </c>
      <c r="E172" s="138" t="s">
        <v>3191</v>
      </c>
      <c r="F172" s="138" t="s">
        <v>3190</v>
      </c>
      <c r="G172" s="138" t="s">
        <v>3181</v>
      </c>
      <c r="H172" s="138" t="s">
        <v>3189</v>
      </c>
      <c r="I172" s="138" t="s">
        <v>3188</v>
      </c>
      <c r="J172" s="138" t="s">
        <v>3193</v>
      </c>
      <c r="K172" s="139" t="s">
        <v>3192</v>
      </c>
    </row>
    <row r="173" customFormat="false" ht="14.25" hidden="false" customHeight="true" outlineLevel="0" collapsed="false">
      <c r="B173" s="137" t="n">
        <v>168</v>
      </c>
      <c r="C173" s="138" t="s">
        <v>3371</v>
      </c>
      <c r="D173" s="138" t="s">
        <v>3186</v>
      </c>
      <c r="E173" s="138" t="s">
        <v>3191</v>
      </c>
      <c r="F173" s="138" t="s">
        <v>3190</v>
      </c>
      <c r="G173" s="138" t="s">
        <v>3187</v>
      </c>
      <c r="H173" s="138" t="s">
        <v>3181</v>
      </c>
      <c r="I173" s="138" t="s">
        <v>3189</v>
      </c>
      <c r="J173" s="138" t="s">
        <v>3193</v>
      </c>
      <c r="K173" s="139" t="s">
        <v>3192</v>
      </c>
    </row>
    <row r="174" customFormat="false" ht="14.25" hidden="false" customHeight="true" outlineLevel="0" collapsed="false">
      <c r="B174" s="137" t="n">
        <v>169</v>
      </c>
      <c r="C174" s="138" t="s">
        <v>3372</v>
      </c>
      <c r="D174" s="138" t="s">
        <v>3186</v>
      </c>
      <c r="E174" s="138" t="s">
        <v>3191</v>
      </c>
      <c r="F174" s="138" t="s">
        <v>3190</v>
      </c>
      <c r="G174" s="138" t="s">
        <v>3187</v>
      </c>
      <c r="H174" s="138" t="s">
        <v>3181</v>
      </c>
      <c r="I174" s="138" t="s">
        <v>3188</v>
      </c>
      <c r="J174" s="138" t="s">
        <v>3193</v>
      </c>
      <c r="K174" s="139" t="s">
        <v>3192</v>
      </c>
    </row>
    <row r="175" customFormat="false" ht="14.25" hidden="false" customHeight="true" outlineLevel="0" collapsed="false">
      <c r="B175" s="137" t="n">
        <v>170</v>
      </c>
      <c r="C175" s="138" t="s">
        <v>3373</v>
      </c>
      <c r="D175" s="138" t="s">
        <v>3186</v>
      </c>
      <c r="E175" s="138" t="s">
        <v>3188</v>
      </c>
      <c r="F175" s="138" t="s">
        <v>3191</v>
      </c>
      <c r="G175" s="138" t="s">
        <v>3187</v>
      </c>
      <c r="H175" s="138" t="s">
        <v>3181</v>
      </c>
      <c r="I175" s="138" t="s">
        <v>3189</v>
      </c>
      <c r="J175" s="138" t="s">
        <v>3193</v>
      </c>
      <c r="K175" s="139" t="s">
        <v>3192</v>
      </c>
    </row>
    <row r="176" customFormat="false" ht="14.25" hidden="false" customHeight="true" outlineLevel="0" collapsed="false">
      <c r="B176" s="137" t="n">
        <v>171</v>
      </c>
      <c r="C176" s="138" t="s">
        <v>3374</v>
      </c>
      <c r="D176" s="138" t="s">
        <v>3186</v>
      </c>
      <c r="E176" s="138" t="s">
        <v>3188</v>
      </c>
      <c r="F176" s="138" t="s">
        <v>3190</v>
      </c>
      <c r="G176" s="138" t="s">
        <v>3187</v>
      </c>
      <c r="H176" s="138" t="s">
        <v>3181</v>
      </c>
      <c r="I176" s="138" t="s">
        <v>3189</v>
      </c>
      <c r="J176" s="138" t="s">
        <v>3193</v>
      </c>
      <c r="K176" s="139" t="s">
        <v>3192</v>
      </c>
    </row>
    <row r="177" customFormat="false" ht="14.25" hidden="false" customHeight="true" outlineLevel="0" collapsed="false">
      <c r="B177" s="137" t="n">
        <v>172</v>
      </c>
      <c r="C177" s="138" t="s">
        <v>3375</v>
      </c>
      <c r="D177" s="138" t="s">
        <v>3186</v>
      </c>
      <c r="E177" s="138" t="s">
        <v>3188</v>
      </c>
      <c r="F177" s="138" t="s">
        <v>3191</v>
      </c>
      <c r="G177" s="138" t="s">
        <v>3187</v>
      </c>
      <c r="H177" s="138" t="s">
        <v>3181</v>
      </c>
      <c r="I177" s="138" t="s">
        <v>3189</v>
      </c>
      <c r="J177" s="138" t="s">
        <v>3193</v>
      </c>
      <c r="K177" s="139" t="s">
        <v>3190</v>
      </c>
    </row>
    <row r="178" customFormat="false" ht="14.25" hidden="false" customHeight="true" outlineLevel="0" collapsed="false">
      <c r="B178" s="137" t="n">
        <v>173</v>
      </c>
      <c r="C178" s="138" t="s">
        <v>3376</v>
      </c>
      <c r="D178" s="138" t="s">
        <v>3186</v>
      </c>
      <c r="E178" s="138" t="s">
        <v>3188</v>
      </c>
      <c r="F178" s="138" t="s">
        <v>3191</v>
      </c>
      <c r="G178" s="138" t="s">
        <v>3187</v>
      </c>
      <c r="H178" s="138" t="s">
        <v>3181</v>
      </c>
      <c r="I178" s="138" t="s">
        <v>3189</v>
      </c>
      <c r="J178" s="138" t="s">
        <v>3190</v>
      </c>
      <c r="K178" s="139" t="s">
        <v>3192</v>
      </c>
    </row>
    <row r="179" customFormat="false" ht="14.25" hidden="false" customHeight="true" outlineLevel="0" collapsed="false">
      <c r="B179" s="137" t="n">
        <v>174</v>
      </c>
      <c r="C179" s="138" t="s">
        <v>3377</v>
      </c>
      <c r="D179" s="138" t="s">
        <v>3189</v>
      </c>
      <c r="E179" s="138" t="s">
        <v>3191</v>
      </c>
      <c r="F179" s="138" t="s">
        <v>3190</v>
      </c>
      <c r="G179" s="138" t="s">
        <v>3185</v>
      </c>
      <c r="H179" s="138" t="s">
        <v>3181</v>
      </c>
      <c r="I179" s="138" t="s">
        <v>3188</v>
      </c>
      <c r="J179" s="138" t="s">
        <v>3193</v>
      </c>
      <c r="K179" s="139" t="s">
        <v>3192</v>
      </c>
    </row>
    <row r="180" customFormat="false" ht="14.25" hidden="false" customHeight="true" outlineLevel="0" collapsed="false">
      <c r="B180" s="137" t="n">
        <v>175</v>
      </c>
      <c r="C180" s="138" t="s">
        <v>3378</v>
      </c>
      <c r="D180" s="138" t="s">
        <v>3189</v>
      </c>
      <c r="E180" s="138" t="s">
        <v>3191</v>
      </c>
      <c r="F180" s="138" t="s">
        <v>3190</v>
      </c>
      <c r="G180" s="138" t="s">
        <v>3185</v>
      </c>
      <c r="H180" s="138" t="s">
        <v>3181</v>
      </c>
      <c r="I180" s="138" t="s">
        <v>3187</v>
      </c>
      <c r="J180" s="138" t="s">
        <v>3193</v>
      </c>
      <c r="K180" s="139" t="s">
        <v>3192</v>
      </c>
    </row>
    <row r="181" customFormat="false" ht="14.25" hidden="false" customHeight="true" outlineLevel="0" collapsed="false">
      <c r="B181" s="137" t="n">
        <v>176</v>
      </c>
      <c r="C181" s="138" t="s">
        <v>3379</v>
      </c>
      <c r="D181" s="138" t="s">
        <v>3190</v>
      </c>
      <c r="E181" s="138" t="s">
        <v>3188</v>
      </c>
      <c r="F181" s="138" t="s">
        <v>3191</v>
      </c>
      <c r="G181" s="138" t="s">
        <v>3185</v>
      </c>
      <c r="H181" s="138" t="s">
        <v>3181</v>
      </c>
      <c r="I181" s="138" t="s">
        <v>3187</v>
      </c>
      <c r="J181" s="138" t="s">
        <v>3193</v>
      </c>
      <c r="K181" s="139" t="s">
        <v>3192</v>
      </c>
    </row>
    <row r="182" customFormat="false" ht="14.25" hidden="false" customHeight="true" outlineLevel="0" collapsed="false">
      <c r="B182" s="137" t="n">
        <v>177</v>
      </c>
      <c r="C182" s="138" t="s">
        <v>3380</v>
      </c>
      <c r="D182" s="138" t="s">
        <v>3189</v>
      </c>
      <c r="E182" s="138" t="s">
        <v>3188</v>
      </c>
      <c r="F182" s="138" t="s">
        <v>3191</v>
      </c>
      <c r="G182" s="138" t="s">
        <v>3185</v>
      </c>
      <c r="H182" s="138" t="s">
        <v>3181</v>
      </c>
      <c r="I182" s="138" t="s">
        <v>3187</v>
      </c>
      <c r="J182" s="138" t="s">
        <v>3193</v>
      </c>
      <c r="K182" s="139" t="s">
        <v>3192</v>
      </c>
    </row>
    <row r="183" customFormat="false" ht="14.25" hidden="false" customHeight="true" outlineLevel="0" collapsed="false">
      <c r="B183" s="137" t="n">
        <v>178</v>
      </c>
      <c r="C183" s="138" t="s">
        <v>3381</v>
      </c>
      <c r="D183" s="138" t="s">
        <v>3189</v>
      </c>
      <c r="E183" s="138" t="s">
        <v>3188</v>
      </c>
      <c r="F183" s="138" t="s">
        <v>3190</v>
      </c>
      <c r="G183" s="138" t="s">
        <v>3185</v>
      </c>
      <c r="H183" s="138" t="s">
        <v>3181</v>
      </c>
      <c r="I183" s="138" t="s">
        <v>3187</v>
      </c>
      <c r="J183" s="138" t="s">
        <v>3193</v>
      </c>
      <c r="K183" s="139" t="s">
        <v>3192</v>
      </c>
    </row>
    <row r="184" customFormat="false" ht="14.25" hidden="false" customHeight="true" outlineLevel="0" collapsed="false">
      <c r="B184" s="137" t="n">
        <v>179</v>
      </c>
      <c r="C184" s="138" t="s">
        <v>3382</v>
      </c>
      <c r="D184" s="138" t="s">
        <v>3189</v>
      </c>
      <c r="E184" s="138" t="s">
        <v>3188</v>
      </c>
      <c r="F184" s="138" t="s">
        <v>3191</v>
      </c>
      <c r="G184" s="138" t="s">
        <v>3185</v>
      </c>
      <c r="H184" s="138" t="s">
        <v>3181</v>
      </c>
      <c r="I184" s="138" t="s">
        <v>3187</v>
      </c>
      <c r="J184" s="138" t="s">
        <v>3193</v>
      </c>
      <c r="K184" s="139" t="s">
        <v>3190</v>
      </c>
    </row>
    <row r="185" customFormat="false" ht="14.25" hidden="false" customHeight="true" outlineLevel="0" collapsed="false">
      <c r="B185" s="137" t="n">
        <v>180</v>
      </c>
      <c r="C185" s="138" t="s">
        <v>3383</v>
      </c>
      <c r="D185" s="138" t="s">
        <v>3189</v>
      </c>
      <c r="E185" s="138" t="s">
        <v>3188</v>
      </c>
      <c r="F185" s="138" t="s">
        <v>3191</v>
      </c>
      <c r="G185" s="138" t="s">
        <v>3185</v>
      </c>
      <c r="H185" s="138" t="s">
        <v>3181</v>
      </c>
      <c r="I185" s="138" t="s">
        <v>3187</v>
      </c>
      <c r="J185" s="138" t="s">
        <v>3190</v>
      </c>
      <c r="K185" s="139" t="s">
        <v>3192</v>
      </c>
    </row>
    <row r="186" customFormat="false" ht="14.25" hidden="false" customHeight="true" outlineLevel="0" collapsed="false">
      <c r="B186" s="137" t="n">
        <v>181</v>
      </c>
      <c r="C186" s="138" t="s">
        <v>3384</v>
      </c>
      <c r="D186" s="138" t="s">
        <v>3186</v>
      </c>
      <c r="E186" s="138" t="s">
        <v>3191</v>
      </c>
      <c r="F186" s="138" t="s">
        <v>3190</v>
      </c>
      <c r="G186" s="138" t="s">
        <v>3185</v>
      </c>
      <c r="H186" s="138" t="s">
        <v>3181</v>
      </c>
      <c r="I186" s="138" t="s">
        <v>3189</v>
      </c>
      <c r="J186" s="138" t="s">
        <v>3193</v>
      </c>
      <c r="K186" s="139" t="s">
        <v>3192</v>
      </c>
    </row>
    <row r="187" customFormat="false" ht="14.25" hidden="false" customHeight="true" outlineLevel="0" collapsed="false">
      <c r="B187" s="137" t="n">
        <v>182</v>
      </c>
      <c r="C187" s="138" t="s">
        <v>3385</v>
      </c>
      <c r="D187" s="138" t="s">
        <v>3186</v>
      </c>
      <c r="E187" s="138" t="s">
        <v>3191</v>
      </c>
      <c r="F187" s="138" t="s">
        <v>3190</v>
      </c>
      <c r="G187" s="138" t="s">
        <v>3185</v>
      </c>
      <c r="H187" s="138" t="s">
        <v>3181</v>
      </c>
      <c r="I187" s="138" t="s">
        <v>3188</v>
      </c>
      <c r="J187" s="138" t="s">
        <v>3193</v>
      </c>
      <c r="K187" s="139" t="s">
        <v>3192</v>
      </c>
    </row>
    <row r="188" customFormat="false" ht="14.25" hidden="false" customHeight="true" outlineLevel="0" collapsed="false">
      <c r="B188" s="137" t="n">
        <v>183</v>
      </c>
      <c r="C188" s="138" t="s">
        <v>3386</v>
      </c>
      <c r="D188" s="138" t="s">
        <v>3186</v>
      </c>
      <c r="E188" s="138" t="s">
        <v>3188</v>
      </c>
      <c r="F188" s="138" t="s">
        <v>3191</v>
      </c>
      <c r="G188" s="138" t="s">
        <v>3185</v>
      </c>
      <c r="H188" s="138" t="s">
        <v>3181</v>
      </c>
      <c r="I188" s="138" t="s">
        <v>3189</v>
      </c>
      <c r="J188" s="138" t="s">
        <v>3193</v>
      </c>
      <c r="K188" s="139" t="s">
        <v>3192</v>
      </c>
    </row>
    <row r="189" customFormat="false" ht="14.25" hidden="false" customHeight="true" outlineLevel="0" collapsed="false">
      <c r="B189" s="137" t="n">
        <v>184</v>
      </c>
      <c r="C189" s="138" t="s">
        <v>3387</v>
      </c>
      <c r="D189" s="138" t="s">
        <v>3186</v>
      </c>
      <c r="E189" s="138" t="s">
        <v>3188</v>
      </c>
      <c r="F189" s="138" t="s">
        <v>3190</v>
      </c>
      <c r="G189" s="138" t="s">
        <v>3185</v>
      </c>
      <c r="H189" s="138" t="s">
        <v>3181</v>
      </c>
      <c r="I189" s="138" t="s">
        <v>3189</v>
      </c>
      <c r="J189" s="138" t="s">
        <v>3193</v>
      </c>
      <c r="K189" s="139" t="s">
        <v>3192</v>
      </c>
    </row>
    <row r="190" customFormat="false" ht="14.25" hidden="false" customHeight="true" outlineLevel="0" collapsed="false">
      <c r="B190" s="137" t="n">
        <v>185</v>
      </c>
      <c r="C190" s="138" t="s">
        <v>3388</v>
      </c>
      <c r="D190" s="138" t="s">
        <v>3186</v>
      </c>
      <c r="E190" s="138" t="s">
        <v>3188</v>
      </c>
      <c r="F190" s="138" t="s">
        <v>3191</v>
      </c>
      <c r="G190" s="138" t="s">
        <v>3185</v>
      </c>
      <c r="H190" s="138" t="s">
        <v>3181</v>
      </c>
      <c r="I190" s="138" t="s">
        <v>3189</v>
      </c>
      <c r="J190" s="138" t="s">
        <v>3193</v>
      </c>
      <c r="K190" s="139" t="s">
        <v>3190</v>
      </c>
    </row>
    <row r="191" customFormat="false" ht="14.25" hidden="false" customHeight="true" outlineLevel="0" collapsed="false">
      <c r="B191" s="137" t="n">
        <v>186</v>
      </c>
      <c r="C191" s="138" t="s">
        <v>3389</v>
      </c>
      <c r="D191" s="138" t="s">
        <v>3186</v>
      </c>
      <c r="E191" s="138" t="s">
        <v>3188</v>
      </c>
      <c r="F191" s="138" t="s">
        <v>3191</v>
      </c>
      <c r="G191" s="138" t="s">
        <v>3185</v>
      </c>
      <c r="H191" s="138" t="s">
        <v>3181</v>
      </c>
      <c r="I191" s="138" t="s">
        <v>3189</v>
      </c>
      <c r="J191" s="138" t="s">
        <v>3190</v>
      </c>
      <c r="K191" s="139" t="s">
        <v>3192</v>
      </c>
    </row>
    <row r="192" customFormat="false" ht="14.25" hidden="false" customHeight="true" outlineLevel="0" collapsed="false">
      <c r="B192" s="137" t="n">
        <v>187</v>
      </c>
      <c r="C192" s="138" t="s">
        <v>3390</v>
      </c>
      <c r="D192" s="138" t="s">
        <v>3186</v>
      </c>
      <c r="E192" s="138" t="s">
        <v>3191</v>
      </c>
      <c r="F192" s="138" t="s">
        <v>3190</v>
      </c>
      <c r="G192" s="138" t="s">
        <v>3185</v>
      </c>
      <c r="H192" s="138" t="s">
        <v>3181</v>
      </c>
      <c r="I192" s="138" t="s">
        <v>3187</v>
      </c>
      <c r="J192" s="138" t="s">
        <v>3193</v>
      </c>
      <c r="K192" s="139" t="s">
        <v>3192</v>
      </c>
    </row>
    <row r="193" customFormat="false" ht="14.25" hidden="false" customHeight="true" outlineLevel="0" collapsed="false">
      <c r="B193" s="137" t="n">
        <v>188</v>
      </c>
      <c r="C193" s="138" t="s">
        <v>3391</v>
      </c>
      <c r="D193" s="138" t="s">
        <v>3189</v>
      </c>
      <c r="E193" s="138" t="s">
        <v>3191</v>
      </c>
      <c r="F193" s="138" t="s">
        <v>3186</v>
      </c>
      <c r="G193" s="138" t="s">
        <v>3185</v>
      </c>
      <c r="H193" s="138" t="s">
        <v>3181</v>
      </c>
      <c r="I193" s="138" t="s">
        <v>3187</v>
      </c>
      <c r="J193" s="138" t="s">
        <v>3193</v>
      </c>
      <c r="K193" s="139" t="s">
        <v>3192</v>
      </c>
    </row>
    <row r="194" customFormat="false" ht="14.25" hidden="false" customHeight="true" outlineLevel="0" collapsed="false">
      <c r="B194" s="137" t="n">
        <v>189</v>
      </c>
      <c r="C194" s="138" t="s">
        <v>3392</v>
      </c>
      <c r="D194" s="138" t="s">
        <v>3189</v>
      </c>
      <c r="E194" s="138" t="s">
        <v>3186</v>
      </c>
      <c r="F194" s="138" t="s">
        <v>3190</v>
      </c>
      <c r="G194" s="138" t="s">
        <v>3185</v>
      </c>
      <c r="H194" s="138" t="s">
        <v>3181</v>
      </c>
      <c r="I194" s="138" t="s">
        <v>3187</v>
      </c>
      <c r="J194" s="138" t="s">
        <v>3193</v>
      </c>
      <c r="K194" s="139" t="s">
        <v>3192</v>
      </c>
    </row>
    <row r="195" customFormat="false" ht="14.25" hidden="false" customHeight="true" outlineLevel="0" collapsed="false">
      <c r="B195" s="137" t="n">
        <v>190</v>
      </c>
      <c r="C195" s="138" t="s">
        <v>3393</v>
      </c>
      <c r="D195" s="138" t="s">
        <v>3189</v>
      </c>
      <c r="E195" s="138" t="s">
        <v>3191</v>
      </c>
      <c r="F195" s="138" t="s">
        <v>3186</v>
      </c>
      <c r="G195" s="138" t="s">
        <v>3185</v>
      </c>
      <c r="H195" s="138" t="s">
        <v>3181</v>
      </c>
      <c r="I195" s="138" t="s">
        <v>3187</v>
      </c>
      <c r="J195" s="138" t="s">
        <v>3193</v>
      </c>
      <c r="K195" s="139" t="s">
        <v>3190</v>
      </c>
    </row>
    <row r="196" customFormat="false" ht="14.25" hidden="false" customHeight="true" outlineLevel="0" collapsed="false">
      <c r="B196" s="137" t="n">
        <v>191</v>
      </c>
      <c r="C196" s="138" t="s">
        <v>3394</v>
      </c>
      <c r="D196" s="138" t="s">
        <v>3189</v>
      </c>
      <c r="E196" s="138" t="s">
        <v>3191</v>
      </c>
      <c r="F196" s="138" t="s">
        <v>3186</v>
      </c>
      <c r="G196" s="138" t="s">
        <v>3185</v>
      </c>
      <c r="H196" s="138" t="s">
        <v>3181</v>
      </c>
      <c r="I196" s="138" t="s">
        <v>3187</v>
      </c>
      <c r="J196" s="138" t="s">
        <v>3190</v>
      </c>
      <c r="K196" s="139" t="s">
        <v>3192</v>
      </c>
    </row>
    <row r="197" customFormat="false" ht="14.25" hidden="false" customHeight="true" outlineLevel="0" collapsed="false">
      <c r="B197" s="137" t="n">
        <v>192</v>
      </c>
      <c r="C197" s="138" t="s">
        <v>3395</v>
      </c>
      <c r="D197" s="138" t="s">
        <v>3186</v>
      </c>
      <c r="E197" s="138" t="s">
        <v>3188</v>
      </c>
      <c r="F197" s="138" t="s">
        <v>3191</v>
      </c>
      <c r="G197" s="138" t="s">
        <v>3185</v>
      </c>
      <c r="H197" s="138" t="s">
        <v>3181</v>
      </c>
      <c r="I197" s="138" t="s">
        <v>3187</v>
      </c>
      <c r="J197" s="138" t="s">
        <v>3193</v>
      </c>
      <c r="K197" s="139" t="s">
        <v>3192</v>
      </c>
    </row>
    <row r="198" customFormat="false" ht="14.25" hidden="false" customHeight="true" outlineLevel="0" collapsed="false">
      <c r="B198" s="137" t="n">
        <v>193</v>
      </c>
      <c r="C198" s="138" t="s">
        <v>3396</v>
      </c>
      <c r="D198" s="138" t="s">
        <v>3186</v>
      </c>
      <c r="E198" s="138" t="s">
        <v>3188</v>
      </c>
      <c r="F198" s="138" t="s">
        <v>3190</v>
      </c>
      <c r="G198" s="138" t="s">
        <v>3185</v>
      </c>
      <c r="H198" s="138" t="s">
        <v>3181</v>
      </c>
      <c r="I198" s="138" t="s">
        <v>3187</v>
      </c>
      <c r="J198" s="138" t="s">
        <v>3193</v>
      </c>
      <c r="K198" s="139" t="s">
        <v>3192</v>
      </c>
    </row>
    <row r="199" customFormat="false" ht="14.25" hidden="false" customHeight="true" outlineLevel="0" collapsed="false">
      <c r="B199" s="137" t="n">
        <v>194</v>
      </c>
      <c r="C199" s="138" t="s">
        <v>3397</v>
      </c>
      <c r="D199" s="138" t="s">
        <v>3186</v>
      </c>
      <c r="E199" s="138" t="s">
        <v>3188</v>
      </c>
      <c r="F199" s="138" t="s">
        <v>3191</v>
      </c>
      <c r="G199" s="138" t="s">
        <v>3185</v>
      </c>
      <c r="H199" s="138" t="s">
        <v>3181</v>
      </c>
      <c r="I199" s="138" t="s">
        <v>3187</v>
      </c>
      <c r="J199" s="138" t="s">
        <v>3193</v>
      </c>
      <c r="K199" s="139" t="s">
        <v>3190</v>
      </c>
    </row>
    <row r="200" customFormat="false" ht="14.25" hidden="false" customHeight="true" outlineLevel="0" collapsed="false">
      <c r="B200" s="137" t="n">
        <v>195</v>
      </c>
      <c r="C200" s="138" t="s">
        <v>3398</v>
      </c>
      <c r="D200" s="138" t="s">
        <v>3186</v>
      </c>
      <c r="E200" s="138" t="s">
        <v>3188</v>
      </c>
      <c r="F200" s="138" t="s">
        <v>3191</v>
      </c>
      <c r="G200" s="138" t="s">
        <v>3185</v>
      </c>
      <c r="H200" s="138" t="s">
        <v>3181</v>
      </c>
      <c r="I200" s="138" t="s">
        <v>3187</v>
      </c>
      <c r="J200" s="138" t="s">
        <v>3190</v>
      </c>
      <c r="K200" s="139" t="s">
        <v>3192</v>
      </c>
    </row>
    <row r="201" customFormat="false" ht="14.25" hidden="false" customHeight="true" outlineLevel="0" collapsed="false">
      <c r="B201" s="137" t="n">
        <v>196</v>
      </c>
      <c r="C201" s="138" t="s">
        <v>3399</v>
      </c>
      <c r="D201" s="138" t="s">
        <v>3189</v>
      </c>
      <c r="E201" s="138" t="s">
        <v>3188</v>
      </c>
      <c r="F201" s="138" t="s">
        <v>3186</v>
      </c>
      <c r="G201" s="138" t="s">
        <v>3185</v>
      </c>
      <c r="H201" s="138" t="s">
        <v>3181</v>
      </c>
      <c r="I201" s="138" t="s">
        <v>3187</v>
      </c>
      <c r="J201" s="138" t="s">
        <v>3193</v>
      </c>
      <c r="K201" s="139" t="s">
        <v>3192</v>
      </c>
    </row>
    <row r="202" customFormat="false" ht="14.25" hidden="false" customHeight="true" outlineLevel="0" collapsed="false">
      <c r="B202" s="137" t="n">
        <v>197</v>
      </c>
      <c r="C202" s="138" t="s">
        <v>3400</v>
      </c>
      <c r="D202" s="138" t="s">
        <v>3189</v>
      </c>
      <c r="E202" s="138" t="s">
        <v>3188</v>
      </c>
      <c r="F202" s="138" t="s">
        <v>3191</v>
      </c>
      <c r="G202" s="138" t="s">
        <v>3185</v>
      </c>
      <c r="H202" s="138" t="s">
        <v>3181</v>
      </c>
      <c r="I202" s="138" t="s">
        <v>3187</v>
      </c>
      <c r="J202" s="138" t="s">
        <v>3193</v>
      </c>
      <c r="K202" s="139" t="s">
        <v>3186</v>
      </c>
    </row>
    <row r="203" customFormat="false" ht="14.25" hidden="false" customHeight="true" outlineLevel="0" collapsed="false">
      <c r="B203" s="137" t="n">
        <v>198</v>
      </c>
      <c r="C203" s="138" t="s">
        <v>3401</v>
      </c>
      <c r="D203" s="138" t="s">
        <v>3189</v>
      </c>
      <c r="E203" s="138" t="s">
        <v>3188</v>
      </c>
      <c r="F203" s="138" t="s">
        <v>3191</v>
      </c>
      <c r="G203" s="138" t="s">
        <v>3185</v>
      </c>
      <c r="H203" s="138" t="s">
        <v>3181</v>
      </c>
      <c r="I203" s="138" t="s">
        <v>3187</v>
      </c>
      <c r="J203" s="138" t="s">
        <v>3186</v>
      </c>
      <c r="K203" s="139" t="s">
        <v>3192</v>
      </c>
    </row>
    <row r="204" customFormat="false" ht="14.25" hidden="false" customHeight="true" outlineLevel="0" collapsed="false">
      <c r="B204" s="137" t="n">
        <v>199</v>
      </c>
      <c r="C204" s="138" t="s">
        <v>3402</v>
      </c>
      <c r="D204" s="138" t="s">
        <v>3189</v>
      </c>
      <c r="E204" s="138" t="s">
        <v>3188</v>
      </c>
      <c r="F204" s="138" t="s">
        <v>3186</v>
      </c>
      <c r="G204" s="138" t="s">
        <v>3185</v>
      </c>
      <c r="H204" s="138" t="s">
        <v>3181</v>
      </c>
      <c r="I204" s="138" t="s">
        <v>3187</v>
      </c>
      <c r="J204" s="138" t="s">
        <v>3193</v>
      </c>
      <c r="K204" s="139" t="s">
        <v>3190</v>
      </c>
    </row>
    <row r="205" customFormat="false" ht="14.25" hidden="false" customHeight="true" outlineLevel="0" collapsed="false">
      <c r="B205" s="137" t="n">
        <v>200</v>
      </c>
      <c r="C205" s="138" t="s">
        <v>3403</v>
      </c>
      <c r="D205" s="138" t="s">
        <v>3189</v>
      </c>
      <c r="E205" s="138" t="s">
        <v>3188</v>
      </c>
      <c r="F205" s="138" t="s">
        <v>3186</v>
      </c>
      <c r="G205" s="138" t="s">
        <v>3185</v>
      </c>
      <c r="H205" s="138" t="s">
        <v>3181</v>
      </c>
      <c r="I205" s="138" t="s">
        <v>3187</v>
      </c>
      <c r="J205" s="138" t="s">
        <v>3190</v>
      </c>
      <c r="K205" s="139" t="s">
        <v>3192</v>
      </c>
    </row>
    <row r="206" customFormat="false" ht="14.25" hidden="false" customHeight="true" outlineLevel="0" collapsed="false">
      <c r="B206" s="137" t="n">
        <v>201</v>
      </c>
      <c r="C206" s="138" t="s">
        <v>3404</v>
      </c>
      <c r="D206" s="138" t="s">
        <v>3189</v>
      </c>
      <c r="E206" s="138" t="s">
        <v>3188</v>
      </c>
      <c r="F206" s="138" t="s">
        <v>3191</v>
      </c>
      <c r="G206" s="138" t="s">
        <v>3185</v>
      </c>
      <c r="H206" s="138" t="s">
        <v>3181</v>
      </c>
      <c r="I206" s="138" t="s">
        <v>3187</v>
      </c>
      <c r="J206" s="138" t="s">
        <v>3186</v>
      </c>
      <c r="K206" s="139" t="s">
        <v>3190</v>
      </c>
    </row>
    <row r="207" customFormat="false" ht="14.25" hidden="false" customHeight="true" outlineLevel="0" collapsed="false">
      <c r="B207" s="137" t="n">
        <v>202</v>
      </c>
      <c r="C207" s="138" t="s">
        <v>3405</v>
      </c>
      <c r="D207" s="138" t="s">
        <v>3189</v>
      </c>
      <c r="E207" s="138" t="s">
        <v>3191</v>
      </c>
      <c r="F207" s="138" t="s">
        <v>3190</v>
      </c>
      <c r="G207" s="138" t="s">
        <v>3183</v>
      </c>
      <c r="H207" s="138" t="s">
        <v>3181</v>
      </c>
      <c r="I207" s="138" t="s">
        <v>3188</v>
      </c>
      <c r="J207" s="138" t="s">
        <v>3193</v>
      </c>
      <c r="K207" s="139" t="s">
        <v>3192</v>
      </c>
    </row>
    <row r="208" customFormat="false" ht="14.25" hidden="false" customHeight="true" outlineLevel="0" collapsed="false">
      <c r="B208" s="137" t="n">
        <v>203</v>
      </c>
      <c r="C208" s="138" t="s">
        <v>3406</v>
      </c>
      <c r="D208" s="138" t="s">
        <v>3189</v>
      </c>
      <c r="E208" s="138" t="s">
        <v>3191</v>
      </c>
      <c r="F208" s="138" t="s">
        <v>3190</v>
      </c>
      <c r="G208" s="138" t="s">
        <v>3183</v>
      </c>
      <c r="H208" s="138" t="s">
        <v>3181</v>
      </c>
      <c r="I208" s="138" t="s">
        <v>3187</v>
      </c>
      <c r="J208" s="138" t="s">
        <v>3193</v>
      </c>
      <c r="K208" s="139" t="s">
        <v>3192</v>
      </c>
    </row>
    <row r="209" customFormat="false" ht="14.25" hidden="false" customHeight="true" outlineLevel="0" collapsed="false">
      <c r="B209" s="137" t="n">
        <v>204</v>
      </c>
      <c r="C209" s="138" t="s">
        <v>3407</v>
      </c>
      <c r="D209" s="138" t="s">
        <v>3190</v>
      </c>
      <c r="E209" s="138" t="s">
        <v>3188</v>
      </c>
      <c r="F209" s="138" t="s">
        <v>3191</v>
      </c>
      <c r="G209" s="138" t="s">
        <v>3183</v>
      </c>
      <c r="H209" s="138" t="s">
        <v>3181</v>
      </c>
      <c r="I209" s="138" t="s">
        <v>3187</v>
      </c>
      <c r="J209" s="138" t="s">
        <v>3193</v>
      </c>
      <c r="K209" s="139" t="s">
        <v>3192</v>
      </c>
    </row>
    <row r="210" customFormat="false" ht="14.25" hidden="false" customHeight="true" outlineLevel="0" collapsed="false">
      <c r="B210" s="137" t="n">
        <v>205</v>
      </c>
      <c r="C210" s="138" t="s">
        <v>3408</v>
      </c>
      <c r="D210" s="138" t="s">
        <v>3189</v>
      </c>
      <c r="E210" s="138" t="s">
        <v>3188</v>
      </c>
      <c r="F210" s="138" t="s">
        <v>3191</v>
      </c>
      <c r="G210" s="138" t="s">
        <v>3183</v>
      </c>
      <c r="H210" s="138" t="s">
        <v>3181</v>
      </c>
      <c r="I210" s="138" t="s">
        <v>3187</v>
      </c>
      <c r="J210" s="138" t="s">
        <v>3193</v>
      </c>
      <c r="K210" s="139" t="s">
        <v>3192</v>
      </c>
    </row>
    <row r="211" customFormat="false" ht="14.25" hidden="false" customHeight="true" outlineLevel="0" collapsed="false">
      <c r="B211" s="137" t="n">
        <v>206</v>
      </c>
      <c r="C211" s="138" t="s">
        <v>3409</v>
      </c>
      <c r="D211" s="138" t="s">
        <v>3189</v>
      </c>
      <c r="E211" s="138" t="s">
        <v>3188</v>
      </c>
      <c r="F211" s="138" t="s">
        <v>3190</v>
      </c>
      <c r="G211" s="138" t="s">
        <v>3183</v>
      </c>
      <c r="H211" s="138" t="s">
        <v>3181</v>
      </c>
      <c r="I211" s="138" t="s">
        <v>3187</v>
      </c>
      <c r="J211" s="138" t="s">
        <v>3193</v>
      </c>
      <c r="K211" s="139" t="s">
        <v>3192</v>
      </c>
    </row>
    <row r="212" customFormat="false" ht="14.25" hidden="false" customHeight="true" outlineLevel="0" collapsed="false">
      <c r="B212" s="137" t="n">
        <v>207</v>
      </c>
      <c r="C212" s="138" t="s">
        <v>3410</v>
      </c>
      <c r="D212" s="138" t="s">
        <v>3189</v>
      </c>
      <c r="E212" s="138" t="s">
        <v>3188</v>
      </c>
      <c r="F212" s="138" t="s">
        <v>3191</v>
      </c>
      <c r="G212" s="138" t="s">
        <v>3183</v>
      </c>
      <c r="H212" s="138" t="s">
        <v>3181</v>
      </c>
      <c r="I212" s="138" t="s">
        <v>3187</v>
      </c>
      <c r="J212" s="138" t="s">
        <v>3193</v>
      </c>
      <c r="K212" s="139" t="s">
        <v>3190</v>
      </c>
    </row>
    <row r="213" customFormat="false" ht="14.25" hidden="false" customHeight="true" outlineLevel="0" collapsed="false">
      <c r="B213" s="137" t="n">
        <v>208</v>
      </c>
      <c r="C213" s="138" t="s">
        <v>3411</v>
      </c>
      <c r="D213" s="138" t="s">
        <v>3189</v>
      </c>
      <c r="E213" s="138" t="s">
        <v>3188</v>
      </c>
      <c r="F213" s="138" t="s">
        <v>3191</v>
      </c>
      <c r="G213" s="138" t="s">
        <v>3183</v>
      </c>
      <c r="H213" s="138" t="s">
        <v>3181</v>
      </c>
      <c r="I213" s="138" t="s">
        <v>3187</v>
      </c>
      <c r="J213" s="138" t="s">
        <v>3190</v>
      </c>
      <c r="K213" s="139" t="s">
        <v>3192</v>
      </c>
    </row>
    <row r="214" customFormat="false" ht="14.25" hidden="false" customHeight="true" outlineLevel="0" collapsed="false">
      <c r="B214" s="137" t="n">
        <v>209</v>
      </c>
      <c r="C214" s="138" t="s">
        <v>3412</v>
      </c>
      <c r="D214" s="138" t="s">
        <v>3186</v>
      </c>
      <c r="E214" s="138" t="s">
        <v>3191</v>
      </c>
      <c r="F214" s="138" t="s">
        <v>3190</v>
      </c>
      <c r="G214" s="138" t="s">
        <v>3183</v>
      </c>
      <c r="H214" s="138" t="s">
        <v>3181</v>
      </c>
      <c r="I214" s="138" t="s">
        <v>3189</v>
      </c>
      <c r="J214" s="138" t="s">
        <v>3193</v>
      </c>
      <c r="K214" s="139" t="s">
        <v>3192</v>
      </c>
    </row>
    <row r="215" customFormat="false" ht="14.25" hidden="false" customHeight="true" outlineLevel="0" collapsed="false">
      <c r="B215" s="137" t="n">
        <v>210</v>
      </c>
      <c r="C215" s="138" t="s">
        <v>3413</v>
      </c>
      <c r="D215" s="138" t="s">
        <v>3186</v>
      </c>
      <c r="E215" s="138" t="s">
        <v>3191</v>
      </c>
      <c r="F215" s="138" t="s">
        <v>3190</v>
      </c>
      <c r="G215" s="138" t="s">
        <v>3183</v>
      </c>
      <c r="H215" s="138" t="s">
        <v>3181</v>
      </c>
      <c r="I215" s="138" t="s">
        <v>3188</v>
      </c>
      <c r="J215" s="138" t="s">
        <v>3193</v>
      </c>
      <c r="K215" s="139" t="s">
        <v>3192</v>
      </c>
    </row>
    <row r="216" customFormat="false" ht="14.25" hidden="false" customHeight="true" outlineLevel="0" collapsed="false">
      <c r="B216" s="137" t="n">
        <v>211</v>
      </c>
      <c r="C216" s="138" t="s">
        <v>3414</v>
      </c>
      <c r="D216" s="138" t="s">
        <v>3186</v>
      </c>
      <c r="E216" s="138" t="s">
        <v>3188</v>
      </c>
      <c r="F216" s="138" t="s">
        <v>3191</v>
      </c>
      <c r="G216" s="138" t="s">
        <v>3183</v>
      </c>
      <c r="H216" s="138" t="s">
        <v>3181</v>
      </c>
      <c r="I216" s="138" t="s">
        <v>3189</v>
      </c>
      <c r="J216" s="138" t="s">
        <v>3193</v>
      </c>
      <c r="K216" s="139" t="s">
        <v>3192</v>
      </c>
    </row>
    <row r="217" customFormat="false" ht="14.25" hidden="false" customHeight="true" outlineLevel="0" collapsed="false">
      <c r="B217" s="137" t="n">
        <v>212</v>
      </c>
      <c r="C217" s="138" t="s">
        <v>3415</v>
      </c>
      <c r="D217" s="138" t="s">
        <v>3186</v>
      </c>
      <c r="E217" s="138" t="s">
        <v>3188</v>
      </c>
      <c r="F217" s="138" t="s">
        <v>3190</v>
      </c>
      <c r="G217" s="138" t="s">
        <v>3183</v>
      </c>
      <c r="H217" s="138" t="s">
        <v>3181</v>
      </c>
      <c r="I217" s="138" t="s">
        <v>3189</v>
      </c>
      <c r="J217" s="138" t="s">
        <v>3193</v>
      </c>
      <c r="K217" s="139" t="s">
        <v>3192</v>
      </c>
    </row>
    <row r="218" customFormat="false" ht="14.25" hidden="false" customHeight="true" outlineLevel="0" collapsed="false">
      <c r="B218" s="137" t="n">
        <v>213</v>
      </c>
      <c r="C218" s="138" t="s">
        <v>3416</v>
      </c>
      <c r="D218" s="138" t="s">
        <v>3186</v>
      </c>
      <c r="E218" s="138" t="s">
        <v>3188</v>
      </c>
      <c r="F218" s="138" t="s">
        <v>3191</v>
      </c>
      <c r="G218" s="138" t="s">
        <v>3183</v>
      </c>
      <c r="H218" s="138" t="s">
        <v>3181</v>
      </c>
      <c r="I218" s="138" t="s">
        <v>3189</v>
      </c>
      <c r="J218" s="138" t="s">
        <v>3193</v>
      </c>
      <c r="K218" s="139" t="s">
        <v>3190</v>
      </c>
    </row>
    <row r="219" customFormat="false" ht="14.25" hidden="false" customHeight="true" outlineLevel="0" collapsed="false">
      <c r="B219" s="137" t="n">
        <v>214</v>
      </c>
      <c r="C219" s="138" t="s">
        <v>3417</v>
      </c>
      <c r="D219" s="138" t="s">
        <v>3186</v>
      </c>
      <c r="E219" s="138" t="s">
        <v>3188</v>
      </c>
      <c r="F219" s="138" t="s">
        <v>3191</v>
      </c>
      <c r="G219" s="138" t="s">
        <v>3183</v>
      </c>
      <c r="H219" s="138" t="s">
        <v>3181</v>
      </c>
      <c r="I219" s="138" t="s">
        <v>3189</v>
      </c>
      <c r="J219" s="138" t="s">
        <v>3190</v>
      </c>
      <c r="K219" s="139" t="s">
        <v>3192</v>
      </c>
    </row>
    <row r="220" customFormat="false" ht="14.25" hidden="false" customHeight="true" outlineLevel="0" collapsed="false">
      <c r="B220" s="137" t="n">
        <v>215</v>
      </c>
      <c r="C220" s="138" t="s">
        <v>3418</v>
      </c>
      <c r="D220" s="138" t="s">
        <v>3186</v>
      </c>
      <c r="E220" s="138" t="s">
        <v>3191</v>
      </c>
      <c r="F220" s="138" t="s">
        <v>3190</v>
      </c>
      <c r="G220" s="138" t="s">
        <v>3183</v>
      </c>
      <c r="H220" s="138" t="s">
        <v>3181</v>
      </c>
      <c r="I220" s="138" t="s">
        <v>3187</v>
      </c>
      <c r="J220" s="138" t="s">
        <v>3193</v>
      </c>
      <c r="K220" s="139" t="s">
        <v>3192</v>
      </c>
    </row>
    <row r="221" customFormat="false" ht="14.25" hidden="false" customHeight="true" outlineLevel="0" collapsed="false">
      <c r="B221" s="137" t="n">
        <v>216</v>
      </c>
      <c r="C221" s="138" t="s">
        <v>3419</v>
      </c>
      <c r="D221" s="138" t="s">
        <v>3189</v>
      </c>
      <c r="E221" s="138" t="s">
        <v>3191</v>
      </c>
      <c r="F221" s="138" t="s">
        <v>3186</v>
      </c>
      <c r="G221" s="138" t="s">
        <v>3183</v>
      </c>
      <c r="H221" s="138" t="s">
        <v>3181</v>
      </c>
      <c r="I221" s="138" t="s">
        <v>3187</v>
      </c>
      <c r="J221" s="138" t="s">
        <v>3193</v>
      </c>
      <c r="K221" s="139" t="s">
        <v>3192</v>
      </c>
    </row>
    <row r="222" customFormat="false" ht="14.25" hidden="false" customHeight="true" outlineLevel="0" collapsed="false">
      <c r="B222" s="137" t="n">
        <v>217</v>
      </c>
      <c r="C222" s="138" t="s">
        <v>3420</v>
      </c>
      <c r="D222" s="138" t="s">
        <v>3189</v>
      </c>
      <c r="E222" s="138" t="s">
        <v>3186</v>
      </c>
      <c r="F222" s="138" t="s">
        <v>3190</v>
      </c>
      <c r="G222" s="138" t="s">
        <v>3183</v>
      </c>
      <c r="H222" s="138" t="s">
        <v>3181</v>
      </c>
      <c r="I222" s="138" t="s">
        <v>3187</v>
      </c>
      <c r="J222" s="138" t="s">
        <v>3193</v>
      </c>
      <c r="K222" s="139" t="s">
        <v>3192</v>
      </c>
    </row>
    <row r="223" customFormat="false" ht="14.25" hidden="false" customHeight="true" outlineLevel="0" collapsed="false">
      <c r="B223" s="137" t="n">
        <v>218</v>
      </c>
      <c r="C223" s="138" t="s">
        <v>3421</v>
      </c>
      <c r="D223" s="138" t="s">
        <v>3189</v>
      </c>
      <c r="E223" s="138" t="s">
        <v>3191</v>
      </c>
      <c r="F223" s="138" t="s">
        <v>3186</v>
      </c>
      <c r="G223" s="138" t="s">
        <v>3183</v>
      </c>
      <c r="H223" s="138" t="s">
        <v>3181</v>
      </c>
      <c r="I223" s="138" t="s">
        <v>3187</v>
      </c>
      <c r="J223" s="138" t="s">
        <v>3193</v>
      </c>
      <c r="K223" s="139" t="s">
        <v>3190</v>
      </c>
    </row>
    <row r="224" customFormat="false" ht="14.25" hidden="false" customHeight="true" outlineLevel="0" collapsed="false">
      <c r="B224" s="137" t="n">
        <v>219</v>
      </c>
      <c r="C224" s="138" t="s">
        <v>3422</v>
      </c>
      <c r="D224" s="138" t="s">
        <v>3189</v>
      </c>
      <c r="E224" s="138" t="s">
        <v>3191</v>
      </c>
      <c r="F224" s="138" t="s">
        <v>3186</v>
      </c>
      <c r="G224" s="138" t="s">
        <v>3183</v>
      </c>
      <c r="H224" s="138" t="s">
        <v>3181</v>
      </c>
      <c r="I224" s="138" t="s">
        <v>3187</v>
      </c>
      <c r="J224" s="138" t="s">
        <v>3190</v>
      </c>
      <c r="K224" s="139" t="s">
        <v>3192</v>
      </c>
    </row>
    <row r="225" customFormat="false" ht="14.25" hidden="false" customHeight="true" outlineLevel="0" collapsed="false">
      <c r="B225" s="137" t="n">
        <v>220</v>
      </c>
      <c r="C225" s="138" t="s">
        <v>3423</v>
      </c>
      <c r="D225" s="138" t="s">
        <v>3186</v>
      </c>
      <c r="E225" s="138" t="s">
        <v>3188</v>
      </c>
      <c r="F225" s="138" t="s">
        <v>3191</v>
      </c>
      <c r="G225" s="138" t="s">
        <v>3183</v>
      </c>
      <c r="H225" s="138" t="s">
        <v>3181</v>
      </c>
      <c r="I225" s="138" t="s">
        <v>3187</v>
      </c>
      <c r="J225" s="138" t="s">
        <v>3193</v>
      </c>
      <c r="K225" s="139" t="s">
        <v>3192</v>
      </c>
    </row>
    <row r="226" customFormat="false" ht="14.25" hidden="false" customHeight="true" outlineLevel="0" collapsed="false">
      <c r="B226" s="137" t="n">
        <v>221</v>
      </c>
      <c r="C226" s="138" t="s">
        <v>3424</v>
      </c>
      <c r="D226" s="138" t="s">
        <v>3186</v>
      </c>
      <c r="E226" s="138" t="s">
        <v>3188</v>
      </c>
      <c r="F226" s="138" t="s">
        <v>3190</v>
      </c>
      <c r="G226" s="138" t="s">
        <v>3183</v>
      </c>
      <c r="H226" s="138" t="s">
        <v>3181</v>
      </c>
      <c r="I226" s="138" t="s">
        <v>3187</v>
      </c>
      <c r="J226" s="138" t="s">
        <v>3193</v>
      </c>
      <c r="K226" s="139" t="s">
        <v>3192</v>
      </c>
    </row>
    <row r="227" customFormat="false" ht="14.25" hidden="false" customHeight="true" outlineLevel="0" collapsed="false">
      <c r="B227" s="137" t="n">
        <v>222</v>
      </c>
      <c r="C227" s="138" t="s">
        <v>3425</v>
      </c>
      <c r="D227" s="138" t="s">
        <v>3186</v>
      </c>
      <c r="E227" s="138" t="s">
        <v>3188</v>
      </c>
      <c r="F227" s="138" t="s">
        <v>3191</v>
      </c>
      <c r="G227" s="138" t="s">
        <v>3183</v>
      </c>
      <c r="H227" s="138" t="s">
        <v>3181</v>
      </c>
      <c r="I227" s="138" t="s">
        <v>3187</v>
      </c>
      <c r="J227" s="138" t="s">
        <v>3193</v>
      </c>
      <c r="K227" s="139" t="s">
        <v>3190</v>
      </c>
    </row>
    <row r="228" customFormat="false" ht="14.25" hidden="false" customHeight="true" outlineLevel="0" collapsed="false">
      <c r="B228" s="137" t="n">
        <v>223</v>
      </c>
      <c r="C228" s="138" t="s">
        <v>3426</v>
      </c>
      <c r="D228" s="138" t="s">
        <v>3186</v>
      </c>
      <c r="E228" s="138" t="s">
        <v>3188</v>
      </c>
      <c r="F228" s="138" t="s">
        <v>3191</v>
      </c>
      <c r="G228" s="138" t="s">
        <v>3183</v>
      </c>
      <c r="H228" s="138" t="s">
        <v>3181</v>
      </c>
      <c r="I228" s="138" t="s">
        <v>3187</v>
      </c>
      <c r="J228" s="138" t="s">
        <v>3190</v>
      </c>
      <c r="K228" s="139" t="s">
        <v>3192</v>
      </c>
    </row>
    <row r="229" customFormat="false" ht="14.25" hidden="false" customHeight="true" outlineLevel="0" collapsed="false">
      <c r="B229" s="137" t="n">
        <v>224</v>
      </c>
      <c r="C229" s="138" t="s">
        <v>3427</v>
      </c>
      <c r="D229" s="138" t="s">
        <v>3189</v>
      </c>
      <c r="E229" s="138" t="s">
        <v>3188</v>
      </c>
      <c r="F229" s="138" t="s">
        <v>3186</v>
      </c>
      <c r="G229" s="138" t="s">
        <v>3183</v>
      </c>
      <c r="H229" s="138" t="s">
        <v>3181</v>
      </c>
      <c r="I229" s="138" t="s">
        <v>3187</v>
      </c>
      <c r="J229" s="138" t="s">
        <v>3193</v>
      </c>
      <c r="K229" s="139" t="s">
        <v>3192</v>
      </c>
    </row>
    <row r="230" customFormat="false" ht="14.25" hidden="false" customHeight="true" outlineLevel="0" collapsed="false">
      <c r="B230" s="137" t="n">
        <v>225</v>
      </c>
      <c r="C230" s="138" t="s">
        <v>3428</v>
      </c>
      <c r="D230" s="138" t="s">
        <v>3189</v>
      </c>
      <c r="E230" s="138" t="s">
        <v>3188</v>
      </c>
      <c r="F230" s="138" t="s">
        <v>3191</v>
      </c>
      <c r="G230" s="138" t="s">
        <v>3183</v>
      </c>
      <c r="H230" s="138" t="s">
        <v>3181</v>
      </c>
      <c r="I230" s="138" t="s">
        <v>3187</v>
      </c>
      <c r="J230" s="138" t="s">
        <v>3193</v>
      </c>
      <c r="K230" s="139" t="s">
        <v>3186</v>
      </c>
    </row>
    <row r="231" customFormat="false" ht="14.25" hidden="false" customHeight="true" outlineLevel="0" collapsed="false">
      <c r="B231" s="137" t="n">
        <v>226</v>
      </c>
      <c r="C231" s="138" t="s">
        <v>3429</v>
      </c>
      <c r="D231" s="138" t="s">
        <v>3189</v>
      </c>
      <c r="E231" s="138" t="s">
        <v>3188</v>
      </c>
      <c r="F231" s="138" t="s">
        <v>3191</v>
      </c>
      <c r="G231" s="138" t="s">
        <v>3183</v>
      </c>
      <c r="H231" s="138" t="s">
        <v>3181</v>
      </c>
      <c r="I231" s="138" t="s">
        <v>3187</v>
      </c>
      <c r="J231" s="138" t="s">
        <v>3186</v>
      </c>
      <c r="K231" s="139" t="s">
        <v>3192</v>
      </c>
    </row>
    <row r="232" customFormat="false" ht="14.25" hidden="false" customHeight="true" outlineLevel="0" collapsed="false">
      <c r="B232" s="137" t="n">
        <v>227</v>
      </c>
      <c r="C232" s="138" t="s">
        <v>3430</v>
      </c>
      <c r="D232" s="138" t="s">
        <v>3189</v>
      </c>
      <c r="E232" s="138" t="s">
        <v>3188</v>
      </c>
      <c r="F232" s="138" t="s">
        <v>3186</v>
      </c>
      <c r="G232" s="138" t="s">
        <v>3183</v>
      </c>
      <c r="H232" s="138" t="s">
        <v>3181</v>
      </c>
      <c r="I232" s="138" t="s">
        <v>3187</v>
      </c>
      <c r="J232" s="138" t="s">
        <v>3193</v>
      </c>
      <c r="K232" s="139" t="s">
        <v>3190</v>
      </c>
    </row>
    <row r="233" customFormat="false" ht="14.25" hidden="false" customHeight="true" outlineLevel="0" collapsed="false">
      <c r="B233" s="137" t="n">
        <v>228</v>
      </c>
      <c r="C233" s="138" t="s">
        <v>3431</v>
      </c>
      <c r="D233" s="138" t="s">
        <v>3189</v>
      </c>
      <c r="E233" s="138" t="s">
        <v>3188</v>
      </c>
      <c r="F233" s="138" t="s">
        <v>3186</v>
      </c>
      <c r="G233" s="138" t="s">
        <v>3183</v>
      </c>
      <c r="H233" s="138" t="s">
        <v>3181</v>
      </c>
      <c r="I233" s="138" t="s">
        <v>3187</v>
      </c>
      <c r="J233" s="138" t="s">
        <v>3190</v>
      </c>
      <c r="K233" s="139" t="s">
        <v>3192</v>
      </c>
    </row>
    <row r="234" customFormat="false" ht="14.25" hidden="false" customHeight="true" outlineLevel="0" collapsed="false">
      <c r="B234" s="137" t="n">
        <v>229</v>
      </c>
      <c r="C234" s="138" t="s">
        <v>3432</v>
      </c>
      <c r="D234" s="138" t="s">
        <v>3189</v>
      </c>
      <c r="E234" s="138" t="s">
        <v>3188</v>
      </c>
      <c r="F234" s="138" t="s">
        <v>3191</v>
      </c>
      <c r="G234" s="138" t="s">
        <v>3183</v>
      </c>
      <c r="H234" s="138" t="s">
        <v>3181</v>
      </c>
      <c r="I234" s="138" t="s">
        <v>3187</v>
      </c>
      <c r="J234" s="138" t="s">
        <v>3186</v>
      </c>
      <c r="K234" s="139" t="s">
        <v>3190</v>
      </c>
    </row>
    <row r="235" customFormat="false" ht="14.25" hidden="false" customHeight="true" outlineLevel="0" collapsed="false">
      <c r="B235" s="137" t="n">
        <v>230</v>
      </c>
      <c r="C235" s="138" t="s">
        <v>3433</v>
      </c>
      <c r="D235" s="138" t="s">
        <v>3189</v>
      </c>
      <c r="E235" s="138" t="s">
        <v>3191</v>
      </c>
      <c r="F235" s="138" t="s">
        <v>3190</v>
      </c>
      <c r="G235" s="138" t="s">
        <v>3183</v>
      </c>
      <c r="H235" s="138" t="s">
        <v>3181</v>
      </c>
      <c r="I235" s="138" t="s">
        <v>3185</v>
      </c>
      <c r="J235" s="138" t="s">
        <v>3193</v>
      </c>
      <c r="K235" s="139" t="s">
        <v>3192</v>
      </c>
    </row>
    <row r="236" customFormat="false" ht="14.25" hidden="false" customHeight="true" outlineLevel="0" collapsed="false">
      <c r="B236" s="137" t="n">
        <v>231</v>
      </c>
      <c r="C236" s="138" t="s">
        <v>3434</v>
      </c>
      <c r="D236" s="138" t="s">
        <v>3190</v>
      </c>
      <c r="E236" s="138" t="s">
        <v>3188</v>
      </c>
      <c r="F236" s="138" t="s">
        <v>3191</v>
      </c>
      <c r="G236" s="138" t="s">
        <v>3183</v>
      </c>
      <c r="H236" s="138" t="s">
        <v>3181</v>
      </c>
      <c r="I236" s="138" t="s">
        <v>3185</v>
      </c>
      <c r="J236" s="138" t="s">
        <v>3193</v>
      </c>
      <c r="K236" s="139" t="s">
        <v>3192</v>
      </c>
    </row>
    <row r="237" customFormat="false" ht="14.25" hidden="false" customHeight="true" outlineLevel="0" collapsed="false">
      <c r="B237" s="137" t="n">
        <v>232</v>
      </c>
      <c r="C237" s="138" t="s">
        <v>3435</v>
      </c>
      <c r="D237" s="138" t="s">
        <v>3189</v>
      </c>
      <c r="E237" s="138" t="s">
        <v>3188</v>
      </c>
      <c r="F237" s="138" t="s">
        <v>3191</v>
      </c>
      <c r="G237" s="138" t="s">
        <v>3183</v>
      </c>
      <c r="H237" s="138" t="s">
        <v>3181</v>
      </c>
      <c r="I237" s="138" t="s">
        <v>3185</v>
      </c>
      <c r="J237" s="138" t="s">
        <v>3193</v>
      </c>
      <c r="K237" s="139" t="s">
        <v>3192</v>
      </c>
    </row>
    <row r="238" customFormat="false" ht="14.25" hidden="false" customHeight="true" outlineLevel="0" collapsed="false">
      <c r="B238" s="137" t="n">
        <v>233</v>
      </c>
      <c r="C238" s="138" t="s">
        <v>3436</v>
      </c>
      <c r="D238" s="138" t="s">
        <v>3189</v>
      </c>
      <c r="E238" s="138" t="s">
        <v>3188</v>
      </c>
      <c r="F238" s="138" t="s">
        <v>3190</v>
      </c>
      <c r="G238" s="138" t="s">
        <v>3183</v>
      </c>
      <c r="H238" s="138" t="s">
        <v>3181</v>
      </c>
      <c r="I238" s="138" t="s">
        <v>3185</v>
      </c>
      <c r="J238" s="138" t="s">
        <v>3193</v>
      </c>
      <c r="K238" s="139" t="s">
        <v>3192</v>
      </c>
    </row>
    <row r="239" customFormat="false" ht="14.25" hidden="false" customHeight="true" outlineLevel="0" collapsed="false">
      <c r="B239" s="137" t="n">
        <v>234</v>
      </c>
      <c r="C239" s="138" t="s">
        <v>3437</v>
      </c>
      <c r="D239" s="138" t="s">
        <v>3189</v>
      </c>
      <c r="E239" s="138" t="s">
        <v>3188</v>
      </c>
      <c r="F239" s="138" t="s">
        <v>3191</v>
      </c>
      <c r="G239" s="138" t="s">
        <v>3183</v>
      </c>
      <c r="H239" s="138" t="s">
        <v>3181</v>
      </c>
      <c r="I239" s="138" t="s">
        <v>3185</v>
      </c>
      <c r="J239" s="138" t="s">
        <v>3193</v>
      </c>
      <c r="K239" s="139" t="s">
        <v>3190</v>
      </c>
    </row>
    <row r="240" customFormat="false" ht="14.25" hidden="false" customHeight="true" outlineLevel="0" collapsed="false">
      <c r="B240" s="137" t="n">
        <v>235</v>
      </c>
      <c r="C240" s="138" t="s">
        <v>3438</v>
      </c>
      <c r="D240" s="138" t="s">
        <v>3189</v>
      </c>
      <c r="E240" s="138" t="s">
        <v>3188</v>
      </c>
      <c r="F240" s="138" t="s">
        <v>3191</v>
      </c>
      <c r="G240" s="138" t="s">
        <v>3183</v>
      </c>
      <c r="H240" s="138" t="s">
        <v>3181</v>
      </c>
      <c r="I240" s="138" t="s">
        <v>3185</v>
      </c>
      <c r="J240" s="138" t="s">
        <v>3190</v>
      </c>
      <c r="K240" s="139" t="s">
        <v>3192</v>
      </c>
    </row>
    <row r="241" customFormat="false" ht="14.25" hidden="false" customHeight="true" outlineLevel="0" collapsed="false">
      <c r="B241" s="137" t="n">
        <v>236</v>
      </c>
      <c r="C241" s="138" t="s">
        <v>3439</v>
      </c>
      <c r="D241" s="138" t="s">
        <v>3183</v>
      </c>
      <c r="E241" s="138" t="s">
        <v>3191</v>
      </c>
      <c r="F241" s="138" t="s">
        <v>3190</v>
      </c>
      <c r="G241" s="138" t="s">
        <v>3185</v>
      </c>
      <c r="H241" s="138" t="s">
        <v>3181</v>
      </c>
      <c r="I241" s="138" t="s">
        <v>3187</v>
      </c>
      <c r="J241" s="138" t="s">
        <v>3193</v>
      </c>
      <c r="K241" s="139" t="s">
        <v>3192</v>
      </c>
    </row>
    <row r="242" customFormat="false" ht="14.25" hidden="false" customHeight="true" outlineLevel="0" collapsed="false">
      <c r="B242" s="137" t="n">
        <v>237</v>
      </c>
      <c r="C242" s="138" t="s">
        <v>3440</v>
      </c>
      <c r="D242" s="138" t="s">
        <v>3189</v>
      </c>
      <c r="E242" s="138" t="s">
        <v>3191</v>
      </c>
      <c r="F242" s="138" t="s">
        <v>3187</v>
      </c>
      <c r="G242" s="138" t="s">
        <v>3183</v>
      </c>
      <c r="H242" s="138" t="s">
        <v>3181</v>
      </c>
      <c r="I242" s="138" t="s">
        <v>3185</v>
      </c>
      <c r="J242" s="138" t="s">
        <v>3193</v>
      </c>
      <c r="K242" s="139" t="s">
        <v>3192</v>
      </c>
    </row>
    <row r="243" customFormat="false" ht="14.25" hidden="false" customHeight="true" outlineLevel="0" collapsed="false">
      <c r="B243" s="137" t="n">
        <v>238</v>
      </c>
      <c r="C243" s="138" t="s">
        <v>3441</v>
      </c>
      <c r="D243" s="138" t="s">
        <v>3189</v>
      </c>
      <c r="E243" s="138" t="s">
        <v>3187</v>
      </c>
      <c r="F243" s="138" t="s">
        <v>3190</v>
      </c>
      <c r="G243" s="138" t="s">
        <v>3183</v>
      </c>
      <c r="H243" s="138" t="s">
        <v>3181</v>
      </c>
      <c r="I243" s="138" t="s">
        <v>3185</v>
      </c>
      <c r="J243" s="138" t="s">
        <v>3193</v>
      </c>
      <c r="K243" s="139" t="s">
        <v>3192</v>
      </c>
    </row>
    <row r="244" customFormat="false" ht="14.25" hidden="false" customHeight="true" outlineLevel="0" collapsed="false">
      <c r="B244" s="137" t="n">
        <v>239</v>
      </c>
      <c r="C244" s="138" t="s">
        <v>3442</v>
      </c>
      <c r="D244" s="138" t="s">
        <v>3189</v>
      </c>
      <c r="E244" s="138" t="s">
        <v>3191</v>
      </c>
      <c r="F244" s="138" t="s">
        <v>3187</v>
      </c>
      <c r="G244" s="138" t="s">
        <v>3183</v>
      </c>
      <c r="H244" s="138" t="s">
        <v>3181</v>
      </c>
      <c r="I244" s="138" t="s">
        <v>3185</v>
      </c>
      <c r="J244" s="138" t="s">
        <v>3193</v>
      </c>
      <c r="K244" s="139" t="s">
        <v>3190</v>
      </c>
    </row>
    <row r="245" customFormat="false" ht="14.25" hidden="false" customHeight="true" outlineLevel="0" collapsed="false">
      <c r="B245" s="137" t="n">
        <v>240</v>
      </c>
      <c r="C245" s="138" t="s">
        <v>3443</v>
      </c>
      <c r="D245" s="138" t="s">
        <v>3189</v>
      </c>
      <c r="E245" s="138" t="s">
        <v>3191</v>
      </c>
      <c r="F245" s="138" t="s">
        <v>3187</v>
      </c>
      <c r="G245" s="138" t="s">
        <v>3183</v>
      </c>
      <c r="H245" s="138" t="s">
        <v>3181</v>
      </c>
      <c r="I245" s="138" t="s">
        <v>3185</v>
      </c>
      <c r="J245" s="138" t="s">
        <v>3190</v>
      </c>
      <c r="K245" s="139" t="s">
        <v>3192</v>
      </c>
    </row>
    <row r="246" customFormat="false" ht="14.25" hidden="false" customHeight="true" outlineLevel="0" collapsed="false">
      <c r="B246" s="137" t="n">
        <v>241</v>
      </c>
      <c r="C246" s="138" t="s">
        <v>3444</v>
      </c>
      <c r="D246" s="138" t="s">
        <v>3183</v>
      </c>
      <c r="E246" s="138" t="s">
        <v>3188</v>
      </c>
      <c r="F246" s="138" t="s">
        <v>3191</v>
      </c>
      <c r="G246" s="138" t="s">
        <v>3185</v>
      </c>
      <c r="H246" s="138" t="s">
        <v>3181</v>
      </c>
      <c r="I246" s="138" t="s">
        <v>3187</v>
      </c>
      <c r="J246" s="138" t="s">
        <v>3193</v>
      </c>
      <c r="K246" s="139" t="s">
        <v>3192</v>
      </c>
    </row>
    <row r="247" customFormat="false" ht="14.25" hidden="false" customHeight="true" outlineLevel="0" collapsed="false">
      <c r="B247" s="137" t="n">
        <v>242</v>
      </c>
      <c r="C247" s="138" t="s">
        <v>3445</v>
      </c>
      <c r="D247" s="138" t="s">
        <v>3183</v>
      </c>
      <c r="E247" s="138" t="s">
        <v>3188</v>
      </c>
      <c r="F247" s="138" t="s">
        <v>3190</v>
      </c>
      <c r="G247" s="138" t="s">
        <v>3185</v>
      </c>
      <c r="H247" s="138" t="s">
        <v>3181</v>
      </c>
      <c r="I247" s="138" t="s">
        <v>3187</v>
      </c>
      <c r="J247" s="138" t="s">
        <v>3193</v>
      </c>
      <c r="K247" s="139" t="s">
        <v>3192</v>
      </c>
    </row>
    <row r="248" customFormat="false" ht="14.25" hidden="false" customHeight="true" outlineLevel="0" collapsed="false">
      <c r="B248" s="137" t="n">
        <v>243</v>
      </c>
      <c r="C248" s="138" t="s">
        <v>3446</v>
      </c>
      <c r="D248" s="138" t="s">
        <v>3183</v>
      </c>
      <c r="E248" s="138" t="s">
        <v>3188</v>
      </c>
      <c r="F248" s="138" t="s">
        <v>3191</v>
      </c>
      <c r="G248" s="138" t="s">
        <v>3185</v>
      </c>
      <c r="H248" s="138" t="s">
        <v>3181</v>
      </c>
      <c r="I248" s="138" t="s">
        <v>3187</v>
      </c>
      <c r="J248" s="138" t="s">
        <v>3193</v>
      </c>
      <c r="K248" s="139" t="s">
        <v>3190</v>
      </c>
    </row>
    <row r="249" customFormat="false" ht="14.25" hidden="false" customHeight="true" outlineLevel="0" collapsed="false">
      <c r="B249" s="137" t="n">
        <v>244</v>
      </c>
      <c r="C249" s="138" t="s">
        <v>3447</v>
      </c>
      <c r="D249" s="138" t="s">
        <v>3183</v>
      </c>
      <c r="E249" s="138" t="s">
        <v>3188</v>
      </c>
      <c r="F249" s="138" t="s">
        <v>3191</v>
      </c>
      <c r="G249" s="138" t="s">
        <v>3185</v>
      </c>
      <c r="H249" s="138" t="s">
        <v>3181</v>
      </c>
      <c r="I249" s="138" t="s">
        <v>3187</v>
      </c>
      <c r="J249" s="138" t="s">
        <v>3190</v>
      </c>
      <c r="K249" s="139" t="s">
        <v>3192</v>
      </c>
    </row>
    <row r="250" customFormat="false" ht="14.25" hidden="false" customHeight="true" outlineLevel="0" collapsed="false">
      <c r="B250" s="137" t="n">
        <v>245</v>
      </c>
      <c r="C250" s="138" t="s">
        <v>3448</v>
      </c>
      <c r="D250" s="138" t="s">
        <v>3189</v>
      </c>
      <c r="E250" s="138" t="s">
        <v>3188</v>
      </c>
      <c r="F250" s="138" t="s">
        <v>3187</v>
      </c>
      <c r="G250" s="138" t="s">
        <v>3183</v>
      </c>
      <c r="H250" s="138" t="s">
        <v>3181</v>
      </c>
      <c r="I250" s="138" t="s">
        <v>3185</v>
      </c>
      <c r="J250" s="138" t="s">
        <v>3193</v>
      </c>
      <c r="K250" s="139" t="s">
        <v>3192</v>
      </c>
    </row>
    <row r="251" customFormat="false" ht="14.25" hidden="false" customHeight="true" outlineLevel="0" collapsed="false">
      <c r="B251" s="137" t="n">
        <v>246</v>
      </c>
      <c r="C251" s="138" t="s">
        <v>3449</v>
      </c>
      <c r="D251" s="138" t="s">
        <v>3183</v>
      </c>
      <c r="E251" s="138" t="s">
        <v>3188</v>
      </c>
      <c r="F251" s="138" t="s">
        <v>3191</v>
      </c>
      <c r="G251" s="138" t="s">
        <v>3185</v>
      </c>
      <c r="H251" s="138" t="s">
        <v>3181</v>
      </c>
      <c r="I251" s="138" t="s">
        <v>3187</v>
      </c>
      <c r="J251" s="138" t="s">
        <v>3193</v>
      </c>
      <c r="K251" s="139" t="s">
        <v>3189</v>
      </c>
    </row>
    <row r="252" customFormat="false" ht="14.25" hidden="false" customHeight="true" outlineLevel="0" collapsed="false">
      <c r="B252" s="137" t="n">
        <v>247</v>
      </c>
      <c r="C252" s="138" t="s">
        <v>3450</v>
      </c>
      <c r="D252" s="138" t="s">
        <v>3189</v>
      </c>
      <c r="E252" s="138" t="s">
        <v>3188</v>
      </c>
      <c r="F252" s="138" t="s">
        <v>3191</v>
      </c>
      <c r="G252" s="138" t="s">
        <v>3183</v>
      </c>
      <c r="H252" s="138" t="s">
        <v>3181</v>
      </c>
      <c r="I252" s="138" t="s">
        <v>3187</v>
      </c>
      <c r="J252" s="138" t="s">
        <v>3185</v>
      </c>
      <c r="K252" s="139" t="s">
        <v>3192</v>
      </c>
    </row>
    <row r="253" customFormat="false" ht="14.25" hidden="false" customHeight="true" outlineLevel="0" collapsed="false">
      <c r="B253" s="137" t="n">
        <v>248</v>
      </c>
      <c r="C253" s="138" t="s">
        <v>3451</v>
      </c>
      <c r="D253" s="138" t="s">
        <v>3189</v>
      </c>
      <c r="E253" s="138" t="s">
        <v>3188</v>
      </c>
      <c r="F253" s="138" t="s">
        <v>3187</v>
      </c>
      <c r="G253" s="138" t="s">
        <v>3183</v>
      </c>
      <c r="H253" s="138" t="s">
        <v>3181</v>
      </c>
      <c r="I253" s="138" t="s">
        <v>3185</v>
      </c>
      <c r="J253" s="138" t="s">
        <v>3193</v>
      </c>
      <c r="K253" s="139" t="s">
        <v>3190</v>
      </c>
    </row>
    <row r="254" customFormat="false" ht="14.25" hidden="false" customHeight="true" outlineLevel="0" collapsed="false">
      <c r="B254" s="137" t="n">
        <v>249</v>
      </c>
      <c r="C254" s="138" t="s">
        <v>3452</v>
      </c>
      <c r="D254" s="138" t="s">
        <v>3189</v>
      </c>
      <c r="E254" s="138" t="s">
        <v>3188</v>
      </c>
      <c r="F254" s="138" t="s">
        <v>3187</v>
      </c>
      <c r="G254" s="138" t="s">
        <v>3183</v>
      </c>
      <c r="H254" s="138" t="s">
        <v>3181</v>
      </c>
      <c r="I254" s="138" t="s">
        <v>3185</v>
      </c>
      <c r="J254" s="138" t="s">
        <v>3190</v>
      </c>
      <c r="K254" s="139" t="s">
        <v>3192</v>
      </c>
    </row>
    <row r="255" customFormat="false" ht="14.25" hidden="false" customHeight="true" outlineLevel="0" collapsed="false">
      <c r="B255" s="137" t="n">
        <v>250</v>
      </c>
      <c r="C255" s="138" t="s">
        <v>3453</v>
      </c>
      <c r="D255" s="138" t="s">
        <v>3189</v>
      </c>
      <c r="E255" s="138" t="s">
        <v>3188</v>
      </c>
      <c r="F255" s="138" t="s">
        <v>3191</v>
      </c>
      <c r="G255" s="138" t="s">
        <v>3183</v>
      </c>
      <c r="H255" s="138" t="s">
        <v>3181</v>
      </c>
      <c r="I255" s="138" t="s">
        <v>3187</v>
      </c>
      <c r="J255" s="138" t="s">
        <v>3185</v>
      </c>
      <c r="K255" s="139" t="s">
        <v>3190</v>
      </c>
    </row>
    <row r="256" customFormat="false" ht="14.25" hidden="false" customHeight="true" outlineLevel="0" collapsed="false">
      <c r="B256" s="137" t="n">
        <v>251</v>
      </c>
      <c r="C256" s="138" t="s">
        <v>3454</v>
      </c>
      <c r="D256" s="138" t="s">
        <v>3186</v>
      </c>
      <c r="E256" s="138" t="s">
        <v>3191</v>
      </c>
      <c r="F256" s="138" t="s">
        <v>3190</v>
      </c>
      <c r="G256" s="138" t="s">
        <v>3183</v>
      </c>
      <c r="H256" s="138" t="s">
        <v>3181</v>
      </c>
      <c r="I256" s="138" t="s">
        <v>3185</v>
      </c>
      <c r="J256" s="138" t="s">
        <v>3193</v>
      </c>
      <c r="K256" s="139" t="s">
        <v>3192</v>
      </c>
    </row>
    <row r="257" customFormat="false" ht="14.25" hidden="false" customHeight="true" outlineLevel="0" collapsed="false">
      <c r="B257" s="137" t="n">
        <v>252</v>
      </c>
      <c r="C257" s="138" t="s">
        <v>3455</v>
      </c>
      <c r="D257" s="138" t="s">
        <v>3189</v>
      </c>
      <c r="E257" s="138" t="s">
        <v>3191</v>
      </c>
      <c r="F257" s="138" t="s">
        <v>3186</v>
      </c>
      <c r="G257" s="138" t="s">
        <v>3183</v>
      </c>
      <c r="H257" s="138" t="s">
        <v>3181</v>
      </c>
      <c r="I257" s="138" t="s">
        <v>3185</v>
      </c>
      <c r="J257" s="138" t="s">
        <v>3193</v>
      </c>
      <c r="K257" s="139" t="s">
        <v>3192</v>
      </c>
    </row>
    <row r="258" customFormat="false" ht="14.25" hidden="false" customHeight="true" outlineLevel="0" collapsed="false">
      <c r="B258" s="137" t="n">
        <v>253</v>
      </c>
      <c r="C258" s="138" t="s">
        <v>3456</v>
      </c>
      <c r="D258" s="138" t="s">
        <v>3189</v>
      </c>
      <c r="E258" s="138" t="s">
        <v>3186</v>
      </c>
      <c r="F258" s="138" t="s">
        <v>3190</v>
      </c>
      <c r="G258" s="138" t="s">
        <v>3183</v>
      </c>
      <c r="H258" s="138" t="s">
        <v>3181</v>
      </c>
      <c r="I258" s="138" t="s">
        <v>3185</v>
      </c>
      <c r="J258" s="138" t="s">
        <v>3193</v>
      </c>
      <c r="K258" s="139" t="s">
        <v>3192</v>
      </c>
    </row>
    <row r="259" customFormat="false" ht="14.25" hidden="false" customHeight="true" outlineLevel="0" collapsed="false">
      <c r="B259" s="137" t="n">
        <v>254</v>
      </c>
      <c r="C259" s="138" t="s">
        <v>3457</v>
      </c>
      <c r="D259" s="138" t="s">
        <v>3189</v>
      </c>
      <c r="E259" s="138" t="s">
        <v>3191</v>
      </c>
      <c r="F259" s="138" t="s">
        <v>3186</v>
      </c>
      <c r="G259" s="138" t="s">
        <v>3183</v>
      </c>
      <c r="H259" s="138" t="s">
        <v>3181</v>
      </c>
      <c r="I259" s="138" t="s">
        <v>3185</v>
      </c>
      <c r="J259" s="138" t="s">
        <v>3193</v>
      </c>
      <c r="K259" s="139" t="s">
        <v>3190</v>
      </c>
    </row>
    <row r="260" customFormat="false" ht="14.25" hidden="false" customHeight="true" outlineLevel="0" collapsed="false">
      <c r="B260" s="137" t="n">
        <v>255</v>
      </c>
      <c r="C260" s="138" t="s">
        <v>3458</v>
      </c>
      <c r="D260" s="138" t="s">
        <v>3189</v>
      </c>
      <c r="E260" s="138" t="s">
        <v>3191</v>
      </c>
      <c r="F260" s="138" t="s">
        <v>3186</v>
      </c>
      <c r="G260" s="138" t="s">
        <v>3183</v>
      </c>
      <c r="H260" s="138" t="s">
        <v>3181</v>
      </c>
      <c r="I260" s="138" t="s">
        <v>3185</v>
      </c>
      <c r="J260" s="138" t="s">
        <v>3190</v>
      </c>
      <c r="K260" s="139" t="s">
        <v>3192</v>
      </c>
    </row>
    <row r="261" customFormat="false" ht="14.25" hidden="false" customHeight="true" outlineLevel="0" collapsed="false">
      <c r="B261" s="137" t="n">
        <v>256</v>
      </c>
      <c r="C261" s="138" t="s">
        <v>3459</v>
      </c>
      <c r="D261" s="138" t="s">
        <v>3186</v>
      </c>
      <c r="E261" s="138" t="s">
        <v>3188</v>
      </c>
      <c r="F261" s="138" t="s">
        <v>3191</v>
      </c>
      <c r="G261" s="138" t="s">
        <v>3183</v>
      </c>
      <c r="H261" s="138" t="s">
        <v>3181</v>
      </c>
      <c r="I261" s="138" t="s">
        <v>3185</v>
      </c>
      <c r="J261" s="138" t="s">
        <v>3193</v>
      </c>
      <c r="K261" s="139" t="s">
        <v>3192</v>
      </c>
    </row>
    <row r="262" customFormat="false" ht="14.25" hidden="false" customHeight="true" outlineLevel="0" collapsed="false">
      <c r="B262" s="137" t="n">
        <v>257</v>
      </c>
      <c r="C262" s="138" t="s">
        <v>3460</v>
      </c>
      <c r="D262" s="138" t="s">
        <v>3186</v>
      </c>
      <c r="E262" s="138" t="s">
        <v>3188</v>
      </c>
      <c r="F262" s="138" t="s">
        <v>3190</v>
      </c>
      <c r="G262" s="138" t="s">
        <v>3183</v>
      </c>
      <c r="H262" s="138" t="s">
        <v>3181</v>
      </c>
      <c r="I262" s="138" t="s">
        <v>3185</v>
      </c>
      <c r="J262" s="138" t="s">
        <v>3193</v>
      </c>
      <c r="K262" s="139" t="s">
        <v>3192</v>
      </c>
    </row>
    <row r="263" customFormat="false" ht="14.25" hidden="false" customHeight="true" outlineLevel="0" collapsed="false">
      <c r="B263" s="137" t="n">
        <v>258</v>
      </c>
      <c r="C263" s="138" t="s">
        <v>3461</v>
      </c>
      <c r="D263" s="138" t="s">
        <v>3186</v>
      </c>
      <c r="E263" s="138" t="s">
        <v>3188</v>
      </c>
      <c r="F263" s="138" t="s">
        <v>3191</v>
      </c>
      <c r="G263" s="138" t="s">
        <v>3183</v>
      </c>
      <c r="H263" s="138" t="s">
        <v>3181</v>
      </c>
      <c r="I263" s="138" t="s">
        <v>3185</v>
      </c>
      <c r="J263" s="138" t="s">
        <v>3193</v>
      </c>
      <c r="K263" s="139" t="s">
        <v>3190</v>
      </c>
    </row>
    <row r="264" customFormat="false" ht="14.25" hidden="false" customHeight="true" outlineLevel="0" collapsed="false">
      <c r="B264" s="137" t="n">
        <v>259</v>
      </c>
      <c r="C264" s="138" t="s">
        <v>3462</v>
      </c>
      <c r="D264" s="138" t="s">
        <v>3186</v>
      </c>
      <c r="E264" s="138" t="s">
        <v>3188</v>
      </c>
      <c r="F264" s="138" t="s">
        <v>3191</v>
      </c>
      <c r="G264" s="138" t="s">
        <v>3183</v>
      </c>
      <c r="H264" s="138" t="s">
        <v>3181</v>
      </c>
      <c r="I264" s="138" t="s">
        <v>3185</v>
      </c>
      <c r="J264" s="138" t="s">
        <v>3190</v>
      </c>
      <c r="K264" s="139" t="s">
        <v>3192</v>
      </c>
    </row>
    <row r="265" customFormat="false" ht="14.25" hidden="false" customHeight="true" outlineLevel="0" collapsed="false">
      <c r="B265" s="137" t="n">
        <v>260</v>
      </c>
      <c r="C265" s="138" t="s">
        <v>3463</v>
      </c>
      <c r="D265" s="138" t="s">
        <v>3189</v>
      </c>
      <c r="E265" s="138" t="s">
        <v>3188</v>
      </c>
      <c r="F265" s="138" t="s">
        <v>3186</v>
      </c>
      <c r="G265" s="138" t="s">
        <v>3183</v>
      </c>
      <c r="H265" s="138" t="s">
        <v>3181</v>
      </c>
      <c r="I265" s="138" t="s">
        <v>3185</v>
      </c>
      <c r="J265" s="138" t="s">
        <v>3193</v>
      </c>
      <c r="K265" s="139" t="s">
        <v>3192</v>
      </c>
    </row>
    <row r="266" customFormat="false" ht="14.25" hidden="false" customHeight="true" outlineLevel="0" collapsed="false">
      <c r="B266" s="137" t="n">
        <v>261</v>
      </c>
      <c r="C266" s="138" t="s">
        <v>3464</v>
      </c>
      <c r="D266" s="138" t="s">
        <v>3189</v>
      </c>
      <c r="E266" s="138" t="s">
        <v>3188</v>
      </c>
      <c r="F266" s="138" t="s">
        <v>3191</v>
      </c>
      <c r="G266" s="138" t="s">
        <v>3183</v>
      </c>
      <c r="H266" s="138" t="s">
        <v>3181</v>
      </c>
      <c r="I266" s="138" t="s">
        <v>3185</v>
      </c>
      <c r="J266" s="138" t="s">
        <v>3193</v>
      </c>
      <c r="K266" s="139" t="s">
        <v>3186</v>
      </c>
    </row>
    <row r="267" customFormat="false" ht="14.25" hidden="false" customHeight="true" outlineLevel="0" collapsed="false">
      <c r="B267" s="137" t="n">
        <v>262</v>
      </c>
      <c r="C267" s="138" t="s">
        <v>3465</v>
      </c>
      <c r="D267" s="138" t="s">
        <v>3189</v>
      </c>
      <c r="E267" s="138" t="s">
        <v>3188</v>
      </c>
      <c r="F267" s="138" t="s">
        <v>3191</v>
      </c>
      <c r="G267" s="138" t="s">
        <v>3183</v>
      </c>
      <c r="H267" s="138" t="s">
        <v>3181</v>
      </c>
      <c r="I267" s="138" t="s">
        <v>3185</v>
      </c>
      <c r="J267" s="138" t="s">
        <v>3186</v>
      </c>
      <c r="K267" s="139" t="s">
        <v>3192</v>
      </c>
    </row>
    <row r="268" customFormat="false" ht="14.25" hidden="false" customHeight="true" outlineLevel="0" collapsed="false">
      <c r="B268" s="137" t="n">
        <v>263</v>
      </c>
      <c r="C268" s="138" t="s">
        <v>3466</v>
      </c>
      <c r="D268" s="138" t="s">
        <v>3189</v>
      </c>
      <c r="E268" s="138" t="s">
        <v>3188</v>
      </c>
      <c r="F268" s="138" t="s">
        <v>3186</v>
      </c>
      <c r="G268" s="138" t="s">
        <v>3183</v>
      </c>
      <c r="H268" s="138" t="s">
        <v>3181</v>
      </c>
      <c r="I268" s="138" t="s">
        <v>3185</v>
      </c>
      <c r="J268" s="138" t="s">
        <v>3193</v>
      </c>
      <c r="K268" s="139" t="s">
        <v>3190</v>
      </c>
    </row>
    <row r="269" customFormat="false" ht="14.25" hidden="false" customHeight="true" outlineLevel="0" collapsed="false">
      <c r="B269" s="137" t="n">
        <v>264</v>
      </c>
      <c r="C269" s="138" t="s">
        <v>3467</v>
      </c>
      <c r="D269" s="138" t="s">
        <v>3189</v>
      </c>
      <c r="E269" s="138" t="s">
        <v>3188</v>
      </c>
      <c r="F269" s="138" t="s">
        <v>3186</v>
      </c>
      <c r="G269" s="138" t="s">
        <v>3183</v>
      </c>
      <c r="H269" s="138" t="s">
        <v>3181</v>
      </c>
      <c r="I269" s="138" t="s">
        <v>3185</v>
      </c>
      <c r="J269" s="138" t="s">
        <v>3190</v>
      </c>
      <c r="K269" s="139" t="s">
        <v>3192</v>
      </c>
    </row>
    <row r="270" customFormat="false" ht="14.25" hidden="false" customHeight="true" outlineLevel="0" collapsed="false">
      <c r="B270" s="137" t="n">
        <v>265</v>
      </c>
      <c r="C270" s="138" t="s">
        <v>3468</v>
      </c>
      <c r="D270" s="138" t="s">
        <v>3189</v>
      </c>
      <c r="E270" s="138" t="s">
        <v>3188</v>
      </c>
      <c r="F270" s="138" t="s">
        <v>3191</v>
      </c>
      <c r="G270" s="138" t="s">
        <v>3183</v>
      </c>
      <c r="H270" s="138" t="s">
        <v>3181</v>
      </c>
      <c r="I270" s="138" t="s">
        <v>3185</v>
      </c>
      <c r="J270" s="138" t="s">
        <v>3186</v>
      </c>
      <c r="K270" s="139" t="s">
        <v>3190</v>
      </c>
    </row>
    <row r="271" customFormat="false" ht="14.25" hidden="false" customHeight="true" outlineLevel="0" collapsed="false">
      <c r="B271" s="137" t="n">
        <v>266</v>
      </c>
      <c r="C271" s="138" t="s">
        <v>3469</v>
      </c>
      <c r="D271" s="138" t="s">
        <v>3183</v>
      </c>
      <c r="E271" s="138" t="s">
        <v>3191</v>
      </c>
      <c r="F271" s="138" t="s">
        <v>3186</v>
      </c>
      <c r="G271" s="138" t="s">
        <v>3185</v>
      </c>
      <c r="H271" s="138" t="s">
        <v>3181</v>
      </c>
      <c r="I271" s="138" t="s">
        <v>3187</v>
      </c>
      <c r="J271" s="138" t="s">
        <v>3193</v>
      </c>
      <c r="K271" s="139" t="s">
        <v>3192</v>
      </c>
    </row>
    <row r="272" customFormat="false" ht="14.25" hidden="false" customHeight="true" outlineLevel="0" collapsed="false">
      <c r="B272" s="137" t="n">
        <v>267</v>
      </c>
      <c r="C272" s="138" t="s">
        <v>3470</v>
      </c>
      <c r="D272" s="138" t="s">
        <v>3183</v>
      </c>
      <c r="E272" s="138" t="s">
        <v>3186</v>
      </c>
      <c r="F272" s="138" t="s">
        <v>3190</v>
      </c>
      <c r="G272" s="138" t="s">
        <v>3185</v>
      </c>
      <c r="H272" s="138" t="s">
        <v>3181</v>
      </c>
      <c r="I272" s="138" t="s">
        <v>3187</v>
      </c>
      <c r="J272" s="138" t="s">
        <v>3193</v>
      </c>
      <c r="K272" s="139" t="s">
        <v>3192</v>
      </c>
    </row>
    <row r="273" customFormat="false" ht="14.25" hidden="false" customHeight="true" outlineLevel="0" collapsed="false">
      <c r="B273" s="137" t="n">
        <v>268</v>
      </c>
      <c r="C273" s="138" t="s">
        <v>3471</v>
      </c>
      <c r="D273" s="138" t="s">
        <v>3183</v>
      </c>
      <c r="E273" s="138" t="s">
        <v>3191</v>
      </c>
      <c r="F273" s="138" t="s">
        <v>3186</v>
      </c>
      <c r="G273" s="138" t="s">
        <v>3185</v>
      </c>
      <c r="H273" s="138" t="s">
        <v>3181</v>
      </c>
      <c r="I273" s="138" t="s">
        <v>3187</v>
      </c>
      <c r="J273" s="138" t="s">
        <v>3193</v>
      </c>
      <c r="K273" s="139" t="s">
        <v>3190</v>
      </c>
    </row>
    <row r="274" customFormat="false" ht="14.25" hidden="false" customHeight="true" outlineLevel="0" collapsed="false">
      <c r="B274" s="137" t="n">
        <v>269</v>
      </c>
      <c r="C274" s="138" t="s">
        <v>3472</v>
      </c>
      <c r="D274" s="138" t="s">
        <v>3183</v>
      </c>
      <c r="E274" s="138" t="s">
        <v>3191</v>
      </c>
      <c r="F274" s="138" t="s">
        <v>3186</v>
      </c>
      <c r="G274" s="138" t="s">
        <v>3185</v>
      </c>
      <c r="H274" s="138" t="s">
        <v>3181</v>
      </c>
      <c r="I274" s="138" t="s">
        <v>3187</v>
      </c>
      <c r="J274" s="138" t="s">
        <v>3190</v>
      </c>
      <c r="K274" s="139" t="s">
        <v>3192</v>
      </c>
    </row>
    <row r="275" customFormat="false" ht="14.25" hidden="false" customHeight="true" outlineLevel="0" collapsed="false">
      <c r="B275" s="137" t="n">
        <v>270</v>
      </c>
      <c r="C275" s="138" t="s">
        <v>3473</v>
      </c>
      <c r="D275" s="138" t="s">
        <v>3189</v>
      </c>
      <c r="E275" s="138" t="s">
        <v>3186</v>
      </c>
      <c r="F275" s="138" t="s">
        <v>3187</v>
      </c>
      <c r="G275" s="138" t="s">
        <v>3183</v>
      </c>
      <c r="H275" s="138" t="s">
        <v>3181</v>
      </c>
      <c r="I275" s="138" t="s">
        <v>3185</v>
      </c>
      <c r="J275" s="138" t="s">
        <v>3193</v>
      </c>
      <c r="K275" s="139" t="s">
        <v>3192</v>
      </c>
    </row>
    <row r="276" customFormat="false" ht="14.25" hidden="false" customHeight="true" outlineLevel="0" collapsed="false">
      <c r="B276" s="137" t="n">
        <v>271</v>
      </c>
      <c r="C276" s="138" t="s">
        <v>3474</v>
      </c>
      <c r="D276" s="138" t="s">
        <v>3189</v>
      </c>
      <c r="E276" s="138" t="s">
        <v>3191</v>
      </c>
      <c r="F276" s="138" t="s">
        <v>3187</v>
      </c>
      <c r="G276" s="138" t="s">
        <v>3183</v>
      </c>
      <c r="H276" s="138" t="s">
        <v>3181</v>
      </c>
      <c r="I276" s="138" t="s">
        <v>3185</v>
      </c>
      <c r="J276" s="138" t="s">
        <v>3193</v>
      </c>
      <c r="K276" s="139" t="s">
        <v>3186</v>
      </c>
    </row>
    <row r="277" customFormat="false" ht="14.25" hidden="false" customHeight="true" outlineLevel="0" collapsed="false">
      <c r="B277" s="137" t="n">
        <v>272</v>
      </c>
      <c r="C277" s="138" t="s">
        <v>3475</v>
      </c>
      <c r="D277" s="138" t="s">
        <v>3189</v>
      </c>
      <c r="E277" s="138" t="s">
        <v>3191</v>
      </c>
      <c r="F277" s="138" t="s">
        <v>3186</v>
      </c>
      <c r="G277" s="138" t="s">
        <v>3183</v>
      </c>
      <c r="H277" s="138" t="s">
        <v>3181</v>
      </c>
      <c r="I277" s="138" t="s">
        <v>3187</v>
      </c>
      <c r="J277" s="138" t="s">
        <v>3185</v>
      </c>
      <c r="K277" s="139" t="s">
        <v>3192</v>
      </c>
    </row>
    <row r="278" customFormat="false" ht="14.25" hidden="false" customHeight="true" outlineLevel="0" collapsed="false">
      <c r="B278" s="137" t="n">
        <v>273</v>
      </c>
      <c r="C278" s="138" t="s">
        <v>3476</v>
      </c>
      <c r="D278" s="138" t="s">
        <v>3189</v>
      </c>
      <c r="E278" s="138" t="s">
        <v>3186</v>
      </c>
      <c r="F278" s="138" t="s">
        <v>3187</v>
      </c>
      <c r="G278" s="138" t="s">
        <v>3183</v>
      </c>
      <c r="H278" s="138" t="s">
        <v>3181</v>
      </c>
      <c r="I278" s="138" t="s">
        <v>3185</v>
      </c>
      <c r="J278" s="138" t="s">
        <v>3193</v>
      </c>
      <c r="K278" s="139" t="s">
        <v>3190</v>
      </c>
    </row>
    <row r="279" customFormat="false" ht="14.25" hidden="false" customHeight="true" outlineLevel="0" collapsed="false">
      <c r="B279" s="137" t="n">
        <v>274</v>
      </c>
      <c r="C279" s="138" t="s">
        <v>3477</v>
      </c>
      <c r="D279" s="138" t="s">
        <v>3189</v>
      </c>
      <c r="E279" s="138" t="s">
        <v>3186</v>
      </c>
      <c r="F279" s="138" t="s">
        <v>3187</v>
      </c>
      <c r="G279" s="138" t="s">
        <v>3183</v>
      </c>
      <c r="H279" s="138" t="s">
        <v>3181</v>
      </c>
      <c r="I279" s="138" t="s">
        <v>3185</v>
      </c>
      <c r="J279" s="138" t="s">
        <v>3190</v>
      </c>
      <c r="K279" s="139" t="s">
        <v>3192</v>
      </c>
    </row>
    <row r="280" customFormat="false" ht="14.25" hidden="false" customHeight="true" outlineLevel="0" collapsed="false">
      <c r="B280" s="137" t="n">
        <v>275</v>
      </c>
      <c r="C280" s="138" t="s">
        <v>3478</v>
      </c>
      <c r="D280" s="138" t="s">
        <v>3189</v>
      </c>
      <c r="E280" s="138" t="s">
        <v>3191</v>
      </c>
      <c r="F280" s="138" t="s">
        <v>3186</v>
      </c>
      <c r="G280" s="138" t="s">
        <v>3183</v>
      </c>
      <c r="H280" s="138" t="s">
        <v>3181</v>
      </c>
      <c r="I280" s="138" t="s">
        <v>3187</v>
      </c>
      <c r="J280" s="138" t="s">
        <v>3185</v>
      </c>
      <c r="K280" s="139" t="s">
        <v>3190</v>
      </c>
    </row>
    <row r="281" customFormat="false" ht="14.25" hidden="false" customHeight="true" outlineLevel="0" collapsed="false">
      <c r="B281" s="137" t="n">
        <v>276</v>
      </c>
      <c r="C281" s="138" t="s">
        <v>3479</v>
      </c>
      <c r="D281" s="138" t="s">
        <v>3183</v>
      </c>
      <c r="E281" s="138" t="s">
        <v>3188</v>
      </c>
      <c r="F281" s="138" t="s">
        <v>3186</v>
      </c>
      <c r="G281" s="138" t="s">
        <v>3185</v>
      </c>
      <c r="H281" s="138" t="s">
        <v>3181</v>
      </c>
      <c r="I281" s="138" t="s">
        <v>3187</v>
      </c>
      <c r="J281" s="138" t="s">
        <v>3193</v>
      </c>
      <c r="K281" s="139" t="s">
        <v>3192</v>
      </c>
    </row>
    <row r="282" customFormat="false" ht="14.25" hidden="false" customHeight="true" outlineLevel="0" collapsed="false">
      <c r="B282" s="137" t="n">
        <v>277</v>
      </c>
      <c r="C282" s="138" t="s">
        <v>3480</v>
      </c>
      <c r="D282" s="138" t="s">
        <v>3183</v>
      </c>
      <c r="E282" s="138" t="s">
        <v>3188</v>
      </c>
      <c r="F282" s="138" t="s">
        <v>3191</v>
      </c>
      <c r="G282" s="138" t="s">
        <v>3185</v>
      </c>
      <c r="H282" s="138" t="s">
        <v>3181</v>
      </c>
      <c r="I282" s="138" t="s">
        <v>3187</v>
      </c>
      <c r="J282" s="138" t="s">
        <v>3193</v>
      </c>
      <c r="K282" s="139" t="s">
        <v>3186</v>
      </c>
    </row>
    <row r="283" customFormat="false" ht="14.25" hidden="false" customHeight="true" outlineLevel="0" collapsed="false">
      <c r="B283" s="137" t="n">
        <v>278</v>
      </c>
      <c r="C283" s="138" t="s">
        <v>3481</v>
      </c>
      <c r="D283" s="138" t="s">
        <v>3183</v>
      </c>
      <c r="E283" s="138" t="s">
        <v>3188</v>
      </c>
      <c r="F283" s="138" t="s">
        <v>3191</v>
      </c>
      <c r="G283" s="138" t="s">
        <v>3185</v>
      </c>
      <c r="H283" s="138" t="s">
        <v>3181</v>
      </c>
      <c r="I283" s="138" t="s">
        <v>3187</v>
      </c>
      <c r="J283" s="138" t="s">
        <v>3186</v>
      </c>
      <c r="K283" s="139" t="s">
        <v>3192</v>
      </c>
    </row>
    <row r="284" customFormat="false" ht="14.25" hidden="false" customHeight="true" outlineLevel="0" collapsed="false">
      <c r="B284" s="137" t="n">
        <v>279</v>
      </c>
      <c r="C284" s="138" t="s">
        <v>3482</v>
      </c>
      <c r="D284" s="138" t="s">
        <v>3183</v>
      </c>
      <c r="E284" s="138" t="s">
        <v>3188</v>
      </c>
      <c r="F284" s="138" t="s">
        <v>3186</v>
      </c>
      <c r="G284" s="138" t="s">
        <v>3185</v>
      </c>
      <c r="H284" s="138" t="s">
        <v>3181</v>
      </c>
      <c r="I284" s="138" t="s">
        <v>3187</v>
      </c>
      <c r="J284" s="138" t="s">
        <v>3193</v>
      </c>
      <c r="K284" s="139" t="s">
        <v>3190</v>
      </c>
    </row>
    <row r="285" customFormat="false" ht="14.25" hidden="false" customHeight="true" outlineLevel="0" collapsed="false">
      <c r="B285" s="137" t="n">
        <v>280</v>
      </c>
      <c r="C285" s="138" t="s">
        <v>3483</v>
      </c>
      <c r="D285" s="138" t="s">
        <v>3183</v>
      </c>
      <c r="E285" s="138" t="s">
        <v>3188</v>
      </c>
      <c r="F285" s="138" t="s">
        <v>3186</v>
      </c>
      <c r="G285" s="138" t="s">
        <v>3185</v>
      </c>
      <c r="H285" s="138" t="s">
        <v>3181</v>
      </c>
      <c r="I285" s="138" t="s">
        <v>3187</v>
      </c>
      <c r="J285" s="138" t="s">
        <v>3190</v>
      </c>
      <c r="K285" s="139" t="s">
        <v>3192</v>
      </c>
    </row>
    <row r="286" customFormat="false" ht="14.25" hidden="false" customHeight="true" outlineLevel="0" collapsed="false">
      <c r="B286" s="137" t="n">
        <v>281</v>
      </c>
      <c r="C286" s="138" t="s">
        <v>3484</v>
      </c>
      <c r="D286" s="138" t="s">
        <v>3183</v>
      </c>
      <c r="E286" s="138" t="s">
        <v>3188</v>
      </c>
      <c r="F286" s="138" t="s">
        <v>3191</v>
      </c>
      <c r="G286" s="138" t="s">
        <v>3185</v>
      </c>
      <c r="H286" s="138" t="s">
        <v>3181</v>
      </c>
      <c r="I286" s="138" t="s">
        <v>3187</v>
      </c>
      <c r="J286" s="138" t="s">
        <v>3186</v>
      </c>
      <c r="K286" s="139" t="s">
        <v>3190</v>
      </c>
    </row>
    <row r="287" customFormat="false" ht="14.25" hidden="false" customHeight="true" outlineLevel="0" collapsed="false">
      <c r="B287" s="137" t="n">
        <v>282</v>
      </c>
      <c r="C287" s="138" t="s">
        <v>3485</v>
      </c>
      <c r="D287" s="138" t="s">
        <v>3189</v>
      </c>
      <c r="E287" s="138" t="s">
        <v>3188</v>
      </c>
      <c r="F287" s="138" t="s">
        <v>3187</v>
      </c>
      <c r="G287" s="138" t="s">
        <v>3183</v>
      </c>
      <c r="H287" s="138" t="s">
        <v>3181</v>
      </c>
      <c r="I287" s="138" t="s">
        <v>3185</v>
      </c>
      <c r="J287" s="138" t="s">
        <v>3193</v>
      </c>
      <c r="K287" s="139" t="s">
        <v>3186</v>
      </c>
    </row>
    <row r="288" customFormat="false" ht="14.25" hidden="false" customHeight="true" outlineLevel="0" collapsed="false">
      <c r="B288" s="137" t="n">
        <v>283</v>
      </c>
      <c r="C288" s="138" t="s">
        <v>3486</v>
      </c>
      <c r="D288" s="138" t="s">
        <v>3189</v>
      </c>
      <c r="E288" s="138" t="s">
        <v>3188</v>
      </c>
      <c r="F288" s="138" t="s">
        <v>3186</v>
      </c>
      <c r="G288" s="138" t="s">
        <v>3183</v>
      </c>
      <c r="H288" s="138" t="s">
        <v>3181</v>
      </c>
      <c r="I288" s="138" t="s">
        <v>3187</v>
      </c>
      <c r="J288" s="138" t="s">
        <v>3185</v>
      </c>
      <c r="K288" s="139" t="s">
        <v>3192</v>
      </c>
    </row>
    <row r="289" customFormat="false" ht="14.25" hidden="false" customHeight="true" outlineLevel="0" collapsed="false">
      <c r="B289" s="137" t="n">
        <v>284</v>
      </c>
      <c r="C289" s="138" t="s">
        <v>3487</v>
      </c>
      <c r="D289" s="138" t="s">
        <v>3189</v>
      </c>
      <c r="E289" s="138" t="s">
        <v>3188</v>
      </c>
      <c r="F289" s="138" t="s">
        <v>3191</v>
      </c>
      <c r="G289" s="138" t="s">
        <v>3183</v>
      </c>
      <c r="H289" s="138" t="s">
        <v>3181</v>
      </c>
      <c r="I289" s="138" t="s">
        <v>3187</v>
      </c>
      <c r="J289" s="138" t="s">
        <v>3185</v>
      </c>
      <c r="K289" s="139" t="s">
        <v>3186</v>
      </c>
    </row>
    <row r="290" customFormat="false" ht="14.25" hidden="false" customHeight="true" outlineLevel="0" collapsed="false">
      <c r="B290" s="137" t="n">
        <v>285</v>
      </c>
      <c r="C290" s="138" t="s">
        <v>3488</v>
      </c>
      <c r="D290" s="138" t="s">
        <v>3189</v>
      </c>
      <c r="E290" s="138" t="s">
        <v>3188</v>
      </c>
      <c r="F290" s="138" t="s">
        <v>3186</v>
      </c>
      <c r="G290" s="138" t="s">
        <v>3183</v>
      </c>
      <c r="H290" s="138" t="s">
        <v>3181</v>
      </c>
      <c r="I290" s="138" t="s">
        <v>3187</v>
      </c>
      <c r="J290" s="138" t="s">
        <v>3185</v>
      </c>
      <c r="K290" s="139" t="s">
        <v>3190</v>
      </c>
    </row>
    <row r="291" customFormat="false" ht="14.25" hidden="false" customHeight="true" outlineLevel="0" collapsed="false">
      <c r="B291" s="137" t="n">
        <v>286</v>
      </c>
      <c r="C291" s="138" t="s">
        <v>3489</v>
      </c>
      <c r="D291" s="138" t="s">
        <v>3189</v>
      </c>
      <c r="E291" s="138" t="s">
        <v>3191</v>
      </c>
      <c r="F291" s="138" t="s">
        <v>3182</v>
      </c>
      <c r="G291" s="138" t="s">
        <v>3181</v>
      </c>
      <c r="H291" s="138" t="s">
        <v>3190</v>
      </c>
      <c r="I291" s="138" t="s">
        <v>3188</v>
      </c>
      <c r="J291" s="138" t="s">
        <v>3193</v>
      </c>
      <c r="K291" s="139" t="s">
        <v>3192</v>
      </c>
    </row>
    <row r="292" customFormat="false" ht="14.25" hidden="false" customHeight="true" outlineLevel="0" collapsed="false">
      <c r="B292" s="137" t="n">
        <v>287</v>
      </c>
      <c r="C292" s="138" t="s">
        <v>3490</v>
      </c>
      <c r="D292" s="138" t="s">
        <v>3189</v>
      </c>
      <c r="E292" s="138" t="s">
        <v>3191</v>
      </c>
      <c r="F292" s="138" t="s">
        <v>3182</v>
      </c>
      <c r="G292" s="138" t="s">
        <v>3181</v>
      </c>
      <c r="H292" s="138" t="s">
        <v>3190</v>
      </c>
      <c r="I292" s="138" t="s">
        <v>3187</v>
      </c>
      <c r="J292" s="138" t="s">
        <v>3193</v>
      </c>
      <c r="K292" s="139" t="s">
        <v>3192</v>
      </c>
    </row>
    <row r="293" customFormat="false" ht="14.25" hidden="false" customHeight="true" outlineLevel="0" collapsed="false">
      <c r="B293" s="137" t="n">
        <v>288</v>
      </c>
      <c r="C293" s="138" t="s">
        <v>3491</v>
      </c>
      <c r="D293" s="138" t="s">
        <v>3190</v>
      </c>
      <c r="E293" s="138" t="s">
        <v>3191</v>
      </c>
      <c r="F293" s="138" t="s">
        <v>3182</v>
      </c>
      <c r="G293" s="138" t="s">
        <v>3187</v>
      </c>
      <c r="H293" s="138" t="s">
        <v>3181</v>
      </c>
      <c r="I293" s="138" t="s">
        <v>3188</v>
      </c>
      <c r="J293" s="138" t="s">
        <v>3193</v>
      </c>
      <c r="K293" s="139" t="s">
        <v>3192</v>
      </c>
    </row>
    <row r="294" customFormat="false" ht="14.25" hidden="false" customHeight="true" outlineLevel="0" collapsed="false">
      <c r="B294" s="137" t="n">
        <v>289</v>
      </c>
      <c r="C294" s="138" t="s">
        <v>3492</v>
      </c>
      <c r="D294" s="138" t="s">
        <v>3189</v>
      </c>
      <c r="E294" s="138" t="s">
        <v>3191</v>
      </c>
      <c r="F294" s="138" t="s">
        <v>3182</v>
      </c>
      <c r="G294" s="138" t="s">
        <v>3187</v>
      </c>
      <c r="H294" s="138" t="s">
        <v>3181</v>
      </c>
      <c r="I294" s="138" t="s">
        <v>3188</v>
      </c>
      <c r="J294" s="138" t="s">
        <v>3193</v>
      </c>
      <c r="K294" s="139" t="s">
        <v>3192</v>
      </c>
    </row>
    <row r="295" customFormat="false" ht="14.25" hidden="false" customHeight="true" outlineLevel="0" collapsed="false">
      <c r="B295" s="137" t="n">
        <v>290</v>
      </c>
      <c r="C295" s="138" t="s">
        <v>3493</v>
      </c>
      <c r="D295" s="138" t="s">
        <v>3189</v>
      </c>
      <c r="E295" s="138" t="s">
        <v>3188</v>
      </c>
      <c r="F295" s="138" t="s">
        <v>3182</v>
      </c>
      <c r="G295" s="138" t="s">
        <v>3181</v>
      </c>
      <c r="H295" s="138" t="s">
        <v>3190</v>
      </c>
      <c r="I295" s="138" t="s">
        <v>3187</v>
      </c>
      <c r="J295" s="138" t="s">
        <v>3193</v>
      </c>
      <c r="K295" s="139" t="s">
        <v>3192</v>
      </c>
    </row>
    <row r="296" customFormat="false" ht="14.25" hidden="false" customHeight="true" outlineLevel="0" collapsed="false">
      <c r="B296" s="137" t="n">
        <v>291</v>
      </c>
      <c r="C296" s="138" t="s">
        <v>3494</v>
      </c>
      <c r="D296" s="138" t="s">
        <v>3189</v>
      </c>
      <c r="E296" s="138" t="s">
        <v>3191</v>
      </c>
      <c r="F296" s="138" t="s">
        <v>3182</v>
      </c>
      <c r="G296" s="138" t="s">
        <v>3187</v>
      </c>
      <c r="H296" s="138" t="s">
        <v>3181</v>
      </c>
      <c r="I296" s="138" t="s">
        <v>3188</v>
      </c>
      <c r="J296" s="138" t="s">
        <v>3193</v>
      </c>
      <c r="K296" s="139" t="s">
        <v>3190</v>
      </c>
    </row>
    <row r="297" customFormat="false" ht="14.25" hidden="false" customHeight="true" outlineLevel="0" collapsed="false">
      <c r="B297" s="137" t="n">
        <v>292</v>
      </c>
      <c r="C297" s="138" t="s">
        <v>3495</v>
      </c>
      <c r="D297" s="138" t="s">
        <v>3189</v>
      </c>
      <c r="E297" s="138" t="s">
        <v>3191</v>
      </c>
      <c r="F297" s="138" t="s">
        <v>3182</v>
      </c>
      <c r="G297" s="138" t="s">
        <v>3187</v>
      </c>
      <c r="H297" s="138" t="s">
        <v>3181</v>
      </c>
      <c r="I297" s="138" t="s">
        <v>3188</v>
      </c>
      <c r="J297" s="138" t="s">
        <v>3190</v>
      </c>
      <c r="K297" s="139" t="s">
        <v>3192</v>
      </c>
    </row>
    <row r="298" customFormat="false" ht="14.25" hidden="false" customHeight="true" outlineLevel="0" collapsed="false">
      <c r="B298" s="137" t="n">
        <v>293</v>
      </c>
      <c r="C298" s="138" t="s">
        <v>3496</v>
      </c>
      <c r="D298" s="138" t="s">
        <v>3186</v>
      </c>
      <c r="E298" s="138" t="s">
        <v>3191</v>
      </c>
      <c r="F298" s="138" t="s">
        <v>3182</v>
      </c>
      <c r="G298" s="138" t="s">
        <v>3181</v>
      </c>
      <c r="H298" s="138" t="s">
        <v>3190</v>
      </c>
      <c r="I298" s="138" t="s">
        <v>3189</v>
      </c>
      <c r="J298" s="138" t="s">
        <v>3193</v>
      </c>
      <c r="K298" s="139" t="s">
        <v>3192</v>
      </c>
    </row>
    <row r="299" customFormat="false" ht="14.25" hidden="false" customHeight="true" outlineLevel="0" collapsed="false">
      <c r="B299" s="137" t="n">
        <v>294</v>
      </c>
      <c r="C299" s="138" t="s">
        <v>3497</v>
      </c>
      <c r="D299" s="138" t="s">
        <v>3186</v>
      </c>
      <c r="E299" s="138" t="s">
        <v>3191</v>
      </c>
      <c r="F299" s="138" t="s">
        <v>3182</v>
      </c>
      <c r="G299" s="138" t="s">
        <v>3181</v>
      </c>
      <c r="H299" s="138" t="s">
        <v>3190</v>
      </c>
      <c r="I299" s="138" t="s">
        <v>3188</v>
      </c>
      <c r="J299" s="138" t="s">
        <v>3193</v>
      </c>
      <c r="K299" s="139" t="s">
        <v>3192</v>
      </c>
    </row>
    <row r="300" customFormat="false" ht="14.25" hidden="false" customHeight="true" outlineLevel="0" collapsed="false">
      <c r="B300" s="137" t="n">
        <v>295</v>
      </c>
      <c r="C300" s="138" t="s">
        <v>3498</v>
      </c>
      <c r="D300" s="138" t="s">
        <v>3186</v>
      </c>
      <c r="E300" s="138" t="s">
        <v>3191</v>
      </c>
      <c r="F300" s="138" t="s">
        <v>3182</v>
      </c>
      <c r="G300" s="138" t="s">
        <v>3181</v>
      </c>
      <c r="H300" s="138" t="s">
        <v>3189</v>
      </c>
      <c r="I300" s="138" t="s">
        <v>3188</v>
      </c>
      <c r="J300" s="138" t="s">
        <v>3193</v>
      </c>
      <c r="K300" s="139" t="s">
        <v>3192</v>
      </c>
    </row>
    <row r="301" customFormat="false" ht="14.25" hidden="false" customHeight="true" outlineLevel="0" collapsed="false">
      <c r="B301" s="137" t="n">
        <v>296</v>
      </c>
      <c r="C301" s="138" t="s">
        <v>3499</v>
      </c>
      <c r="D301" s="138" t="s">
        <v>3186</v>
      </c>
      <c r="E301" s="138" t="s">
        <v>3188</v>
      </c>
      <c r="F301" s="138" t="s">
        <v>3182</v>
      </c>
      <c r="G301" s="138" t="s">
        <v>3181</v>
      </c>
      <c r="H301" s="138" t="s">
        <v>3190</v>
      </c>
      <c r="I301" s="138" t="s">
        <v>3189</v>
      </c>
      <c r="J301" s="138" t="s">
        <v>3193</v>
      </c>
      <c r="K301" s="139" t="s">
        <v>3192</v>
      </c>
    </row>
    <row r="302" customFormat="false" ht="14.25" hidden="false" customHeight="true" outlineLevel="0" collapsed="false">
      <c r="B302" s="137" t="n">
        <v>297</v>
      </c>
      <c r="C302" s="138" t="s">
        <v>3500</v>
      </c>
      <c r="D302" s="138" t="s">
        <v>3186</v>
      </c>
      <c r="E302" s="138" t="s">
        <v>3191</v>
      </c>
      <c r="F302" s="138" t="s">
        <v>3182</v>
      </c>
      <c r="G302" s="138" t="s">
        <v>3181</v>
      </c>
      <c r="H302" s="138" t="s">
        <v>3189</v>
      </c>
      <c r="I302" s="138" t="s">
        <v>3188</v>
      </c>
      <c r="J302" s="138" t="s">
        <v>3193</v>
      </c>
      <c r="K302" s="139" t="s">
        <v>3190</v>
      </c>
    </row>
    <row r="303" customFormat="false" ht="14.25" hidden="false" customHeight="true" outlineLevel="0" collapsed="false">
      <c r="B303" s="137" t="n">
        <v>298</v>
      </c>
      <c r="C303" s="138" t="s">
        <v>3501</v>
      </c>
      <c r="D303" s="138" t="s">
        <v>3186</v>
      </c>
      <c r="E303" s="138" t="s">
        <v>3191</v>
      </c>
      <c r="F303" s="138" t="s">
        <v>3182</v>
      </c>
      <c r="G303" s="138" t="s">
        <v>3181</v>
      </c>
      <c r="H303" s="138" t="s">
        <v>3189</v>
      </c>
      <c r="I303" s="138" t="s">
        <v>3188</v>
      </c>
      <c r="J303" s="138" t="s">
        <v>3190</v>
      </c>
      <c r="K303" s="139" t="s">
        <v>3192</v>
      </c>
    </row>
    <row r="304" customFormat="false" ht="14.25" hidden="false" customHeight="true" outlineLevel="0" collapsed="false">
      <c r="B304" s="137" t="n">
        <v>299</v>
      </c>
      <c r="C304" s="138" t="s">
        <v>3502</v>
      </c>
      <c r="D304" s="138" t="s">
        <v>3186</v>
      </c>
      <c r="E304" s="138" t="s">
        <v>3191</v>
      </c>
      <c r="F304" s="138" t="s">
        <v>3182</v>
      </c>
      <c r="G304" s="138" t="s">
        <v>3181</v>
      </c>
      <c r="H304" s="138" t="s">
        <v>3190</v>
      </c>
      <c r="I304" s="138" t="s">
        <v>3187</v>
      </c>
      <c r="J304" s="138" t="s">
        <v>3193</v>
      </c>
      <c r="K304" s="139" t="s">
        <v>3192</v>
      </c>
    </row>
    <row r="305" customFormat="false" ht="14.25" hidden="false" customHeight="true" outlineLevel="0" collapsed="false">
      <c r="B305" s="137" t="n">
        <v>300</v>
      </c>
      <c r="C305" s="138" t="s">
        <v>3503</v>
      </c>
      <c r="D305" s="138" t="s">
        <v>3186</v>
      </c>
      <c r="E305" s="138" t="s">
        <v>3191</v>
      </c>
      <c r="F305" s="138" t="s">
        <v>3182</v>
      </c>
      <c r="G305" s="138" t="s">
        <v>3187</v>
      </c>
      <c r="H305" s="138" t="s">
        <v>3181</v>
      </c>
      <c r="I305" s="138" t="s">
        <v>3189</v>
      </c>
      <c r="J305" s="138" t="s">
        <v>3193</v>
      </c>
      <c r="K305" s="139" t="s">
        <v>3192</v>
      </c>
    </row>
    <row r="306" customFormat="false" ht="14.25" hidden="false" customHeight="true" outlineLevel="0" collapsed="false">
      <c r="B306" s="137" t="n">
        <v>301</v>
      </c>
      <c r="C306" s="138" t="s">
        <v>3504</v>
      </c>
      <c r="D306" s="138" t="s">
        <v>3186</v>
      </c>
      <c r="E306" s="138" t="s">
        <v>3190</v>
      </c>
      <c r="F306" s="138" t="s">
        <v>3182</v>
      </c>
      <c r="G306" s="138" t="s">
        <v>3187</v>
      </c>
      <c r="H306" s="138" t="s">
        <v>3181</v>
      </c>
      <c r="I306" s="138" t="s">
        <v>3189</v>
      </c>
      <c r="J306" s="138" t="s">
        <v>3193</v>
      </c>
      <c r="K306" s="139" t="s">
        <v>3192</v>
      </c>
    </row>
    <row r="307" customFormat="false" ht="14.25" hidden="false" customHeight="true" outlineLevel="0" collapsed="false">
      <c r="B307" s="137" t="n">
        <v>302</v>
      </c>
      <c r="C307" s="138" t="s">
        <v>3505</v>
      </c>
      <c r="D307" s="138" t="s">
        <v>3186</v>
      </c>
      <c r="E307" s="138" t="s">
        <v>3191</v>
      </c>
      <c r="F307" s="138" t="s">
        <v>3182</v>
      </c>
      <c r="G307" s="138" t="s">
        <v>3187</v>
      </c>
      <c r="H307" s="138" t="s">
        <v>3181</v>
      </c>
      <c r="I307" s="138" t="s">
        <v>3189</v>
      </c>
      <c r="J307" s="138" t="s">
        <v>3193</v>
      </c>
      <c r="K307" s="139" t="s">
        <v>3190</v>
      </c>
    </row>
    <row r="308" customFormat="false" ht="14.25" hidden="false" customHeight="true" outlineLevel="0" collapsed="false">
      <c r="B308" s="137" t="n">
        <v>303</v>
      </c>
      <c r="C308" s="138" t="s">
        <v>3506</v>
      </c>
      <c r="D308" s="138" t="s">
        <v>3186</v>
      </c>
      <c r="E308" s="138" t="s">
        <v>3191</v>
      </c>
      <c r="F308" s="138" t="s">
        <v>3182</v>
      </c>
      <c r="G308" s="138" t="s">
        <v>3187</v>
      </c>
      <c r="H308" s="138" t="s">
        <v>3181</v>
      </c>
      <c r="I308" s="138" t="s">
        <v>3189</v>
      </c>
      <c r="J308" s="138" t="s">
        <v>3190</v>
      </c>
      <c r="K308" s="139" t="s">
        <v>3192</v>
      </c>
    </row>
    <row r="309" customFormat="false" ht="14.25" hidden="false" customHeight="true" outlineLevel="0" collapsed="false">
      <c r="B309" s="137" t="n">
        <v>304</v>
      </c>
      <c r="C309" s="138" t="s">
        <v>3507</v>
      </c>
      <c r="D309" s="138" t="s">
        <v>3186</v>
      </c>
      <c r="E309" s="138" t="s">
        <v>3191</v>
      </c>
      <c r="F309" s="138" t="s">
        <v>3182</v>
      </c>
      <c r="G309" s="138" t="s">
        <v>3187</v>
      </c>
      <c r="H309" s="138" t="s">
        <v>3181</v>
      </c>
      <c r="I309" s="138" t="s">
        <v>3188</v>
      </c>
      <c r="J309" s="138" t="s">
        <v>3193</v>
      </c>
      <c r="K309" s="139" t="s">
        <v>3192</v>
      </c>
    </row>
    <row r="310" customFormat="false" ht="14.25" hidden="false" customHeight="true" outlineLevel="0" collapsed="false">
      <c r="B310" s="137" t="n">
        <v>305</v>
      </c>
      <c r="C310" s="138" t="s">
        <v>3508</v>
      </c>
      <c r="D310" s="138" t="s">
        <v>3186</v>
      </c>
      <c r="E310" s="138" t="s">
        <v>3188</v>
      </c>
      <c r="F310" s="138" t="s">
        <v>3182</v>
      </c>
      <c r="G310" s="138" t="s">
        <v>3181</v>
      </c>
      <c r="H310" s="138" t="s">
        <v>3190</v>
      </c>
      <c r="I310" s="138" t="s">
        <v>3187</v>
      </c>
      <c r="J310" s="138" t="s">
        <v>3193</v>
      </c>
      <c r="K310" s="139" t="s">
        <v>3192</v>
      </c>
    </row>
    <row r="311" customFormat="false" ht="14.25" hidden="false" customHeight="true" outlineLevel="0" collapsed="false">
      <c r="B311" s="137" t="n">
        <v>306</v>
      </c>
      <c r="C311" s="138" t="s">
        <v>3509</v>
      </c>
      <c r="D311" s="138" t="s">
        <v>3186</v>
      </c>
      <c r="E311" s="138" t="s">
        <v>3191</v>
      </c>
      <c r="F311" s="138" t="s">
        <v>3182</v>
      </c>
      <c r="G311" s="138" t="s">
        <v>3187</v>
      </c>
      <c r="H311" s="138" t="s">
        <v>3181</v>
      </c>
      <c r="I311" s="138" t="s">
        <v>3188</v>
      </c>
      <c r="J311" s="138" t="s">
        <v>3193</v>
      </c>
      <c r="K311" s="139" t="s">
        <v>3190</v>
      </c>
    </row>
    <row r="312" customFormat="false" ht="14.25" hidden="false" customHeight="true" outlineLevel="0" collapsed="false">
      <c r="B312" s="137" t="n">
        <v>307</v>
      </c>
      <c r="C312" s="138" t="s">
        <v>3510</v>
      </c>
      <c r="D312" s="138" t="s">
        <v>3186</v>
      </c>
      <c r="E312" s="138" t="s">
        <v>3191</v>
      </c>
      <c r="F312" s="138" t="s">
        <v>3182</v>
      </c>
      <c r="G312" s="138" t="s">
        <v>3187</v>
      </c>
      <c r="H312" s="138" t="s">
        <v>3181</v>
      </c>
      <c r="I312" s="138" t="s">
        <v>3188</v>
      </c>
      <c r="J312" s="138" t="s">
        <v>3190</v>
      </c>
      <c r="K312" s="139" t="s">
        <v>3192</v>
      </c>
    </row>
    <row r="313" customFormat="false" ht="14.25" hidden="false" customHeight="true" outlineLevel="0" collapsed="false">
      <c r="B313" s="137" t="n">
        <v>308</v>
      </c>
      <c r="C313" s="138" t="s">
        <v>3511</v>
      </c>
      <c r="D313" s="138" t="s">
        <v>3186</v>
      </c>
      <c r="E313" s="138" t="s">
        <v>3188</v>
      </c>
      <c r="F313" s="138" t="s">
        <v>3182</v>
      </c>
      <c r="G313" s="138" t="s">
        <v>3187</v>
      </c>
      <c r="H313" s="138" t="s">
        <v>3181</v>
      </c>
      <c r="I313" s="138" t="s">
        <v>3189</v>
      </c>
      <c r="J313" s="138" t="s">
        <v>3193</v>
      </c>
      <c r="K313" s="139" t="s">
        <v>3192</v>
      </c>
    </row>
    <row r="314" customFormat="false" ht="14.25" hidden="false" customHeight="true" outlineLevel="0" collapsed="false">
      <c r="B314" s="137" t="n">
        <v>309</v>
      </c>
      <c r="C314" s="138" t="s">
        <v>3512</v>
      </c>
      <c r="D314" s="138" t="s">
        <v>3189</v>
      </c>
      <c r="E314" s="138" t="s">
        <v>3191</v>
      </c>
      <c r="F314" s="138" t="s">
        <v>3182</v>
      </c>
      <c r="G314" s="138" t="s">
        <v>3187</v>
      </c>
      <c r="H314" s="138" t="s">
        <v>3181</v>
      </c>
      <c r="I314" s="138" t="s">
        <v>3188</v>
      </c>
      <c r="J314" s="138" t="s">
        <v>3193</v>
      </c>
      <c r="K314" s="139" t="s">
        <v>3186</v>
      </c>
    </row>
    <row r="315" customFormat="false" ht="14.25" hidden="false" customHeight="true" outlineLevel="0" collapsed="false">
      <c r="B315" s="137" t="n">
        <v>310</v>
      </c>
      <c r="C315" s="138" t="s">
        <v>3513</v>
      </c>
      <c r="D315" s="138" t="s">
        <v>3189</v>
      </c>
      <c r="E315" s="138" t="s">
        <v>3191</v>
      </c>
      <c r="F315" s="138" t="s">
        <v>3182</v>
      </c>
      <c r="G315" s="138" t="s">
        <v>3187</v>
      </c>
      <c r="H315" s="138" t="s">
        <v>3181</v>
      </c>
      <c r="I315" s="138" t="s">
        <v>3188</v>
      </c>
      <c r="J315" s="138" t="s">
        <v>3186</v>
      </c>
      <c r="K315" s="139" t="s">
        <v>3192</v>
      </c>
    </row>
    <row r="316" customFormat="false" ht="14.25" hidden="false" customHeight="true" outlineLevel="0" collapsed="false">
      <c r="B316" s="137" t="n">
        <v>311</v>
      </c>
      <c r="C316" s="138" t="s">
        <v>3514</v>
      </c>
      <c r="D316" s="138" t="s">
        <v>3186</v>
      </c>
      <c r="E316" s="138" t="s">
        <v>3188</v>
      </c>
      <c r="F316" s="138" t="s">
        <v>3182</v>
      </c>
      <c r="G316" s="138" t="s">
        <v>3187</v>
      </c>
      <c r="H316" s="138" t="s">
        <v>3181</v>
      </c>
      <c r="I316" s="138" t="s">
        <v>3189</v>
      </c>
      <c r="J316" s="138" t="s">
        <v>3193</v>
      </c>
      <c r="K316" s="139" t="s">
        <v>3190</v>
      </c>
    </row>
    <row r="317" customFormat="false" ht="14.25" hidden="false" customHeight="true" outlineLevel="0" collapsed="false">
      <c r="B317" s="137" t="n">
        <v>312</v>
      </c>
      <c r="C317" s="138" t="s">
        <v>3515</v>
      </c>
      <c r="D317" s="138" t="s">
        <v>3186</v>
      </c>
      <c r="E317" s="138" t="s">
        <v>3188</v>
      </c>
      <c r="F317" s="138" t="s">
        <v>3182</v>
      </c>
      <c r="G317" s="138" t="s">
        <v>3187</v>
      </c>
      <c r="H317" s="138" t="s">
        <v>3181</v>
      </c>
      <c r="I317" s="138" t="s">
        <v>3189</v>
      </c>
      <c r="J317" s="138" t="s">
        <v>3190</v>
      </c>
      <c r="K317" s="139" t="s">
        <v>3192</v>
      </c>
    </row>
    <row r="318" customFormat="false" ht="14.25" hidden="false" customHeight="true" outlineLevel="0" collapsed="false">
      <c r="B318" s="137" t="n">
        <v>313</v>
      </c>
      <c r="C318" s="138" t="s">
        <v>3516</v>
      </c>
      <c r="D318" s="138" t="s">
        <v>3189</v>
      </c>
      <c r="E318" s="138" t="s">
        <v>3191</v>
      </c>
      <c r="F318" s="138" t="s">
        <v>3182</v>
      </c>
      <c r="G318" s="138" t="s">
        <v>3187</v>
      </c>
      <c r="H318" s="138" t="s">
        <v>3181</v>
      </c>
      <c r="I318" s="138" t="s">
        <v>3188</v>
      </c>
      <c r="J318" s="138" t="s">
        <v>3186</v>
      </c>
      <c r="K318" s="139" t="s">
        <v>3190</v>
      </c>
    </row>
    <row r="319" customFormat="false" ht="14.25" hidden="false" customHeight="true" outlineLevel="0" collapsed="false">
      <c r="B319" s="137" t="n">
        <v>314</v>
      </c>
      <c r="C319" s="138" t="s">
        <v>3517</v>
      </c>
      <c r="D319" s="138" t="s">
        <v>3190</v>
      </c>
      <c r="E319" s="138" t="s">
        <v>3191</v>
      </c>
      <c r="F319" s="138" t="s">
        <v>3182</v>
      </c>
      <c r="G319" s="138" t="s">
        <v>3185</v>
      </c>
      <c r="H319" s="138" t="s">
        <v>3181</v>
      </c>
      <c r="I319" s="138" t="s">
        <v>3189</v>
      </c>
      <c r="J319" s="138" t="s">
        <v>3193</v>
      </c>
      <c r="K319" s="139" t="s">
        <v>3192</v>
      </c>
    </row>
    <row r="320" customFormat="false" ht="14.25" hidden="false" customHeight="true" outlineLevel="0" collapsed="false">
      <c r="B320" s="137" t="n">
        <v>315</v>
      </c>
      <c r="C320" s="138" t="s">
        <v>3518</v>
      </c>
      <c r="D320" s="138" t="s">
        <v>3190</v>
      </c>
      <c r="E320" s="138" t="s">
        <v>3191</v>
      </c>
      <c r="F320" s="138" t="s">
        <v>3182</v>
      </c>
      <c r="G320" s="138" t="s">
        <v>3185</v>
      </c>
      <c r="H320" s="138" t="s">
        <v>3181</v>
      </c>
      <c r="I320" s="138" t="s">
        <v>3188</v>
      </c>
      <c r="J320" s="138" t="s">
        <v>3193</v>
      </c>
      <c r="K320" s="139" t="s">
        <v>3192</v>
      </c>
    </row>
    <row r="321" customFormat="false" ht="14.25" hidden="false" customHeight="true" outlineLevel="0" collapsed="false">
      <c r="B321" s="137" t="n">
        <v>316</v>
      </c>
      <c r="C321" s="138" t="s">
        <v>3519</v>
      </c>
      <c r="D321" s="138" t="s">
        <v>3189</v>
      </c>
      <c r="E321" s="138" t="s">
        <v>3191</v>
      </c>
      <c r="F321" s="138" t="s">
        <v>3182</v>
      </c>
      <c r="G321" s="138" t="s">
        <v>3185</v>
      </c>
      <c r="H321" s="138" t="s">
        <v>3181</v>
      </c>
      <c r="I321" s="138" t="s">
        <v>3188</v>
      </c>
      <c r="J321" s="138" t="s">
        <v>3193</v>
      </c>
      <c r="K321" s="139" t="s">
        <v>3192</v>
      </c>
    </row>
    <row r="322" customFormat="false" ht="14.25" hidden="false" customHeight="true" outlineLevel="0" collapsed="false">
      <c r="B322" s="137" t="n">
        <v>317</v>
      </c>
      <c r="C322" s="138" t="s">
        <v>3520</v>
      </c>
      <c r="D322" s="138" t="s">
        <v>3190</v>
      </c>
      <c r="E322" s="138" t="s">
        <v>3188</v>
      </c>
      <c r="F322" s="138" t="s">
        <v>3182</v>
      </c>
      <c r="G322" s="138" t="s">
        <v>3185</v>
      </c>
      <c r="H322" s="138" t="s">
        <v>3181</v>
      </c>
      <c r="I322" s="138" t="s">
        <v>3189</v>
      </c>
      <c r="J322" s="138" t="s">
        <v>3193</v>
      </c>
      <c r="K322" s="139" t="s">
        <v>3192</v>
      </c>
    </row>
    <row r="323" customFormat="false" ht="14.25" hidden="false" customHeight="true" outlineLevel="0" collapsed="false">
      <c r="B323" s="137" t="n">
        <v>318</v>
      </c>
      <c r="C323" s="138" t="s">
        <v>3521</v>
      </c>
      <c r="D323" s="138" t="s">
        <v>3189</v>
      </c>
      <c r="E323" s="138" t="s">
        <v>3191</v>
      </c>
      <c r="F323" s="138" t="s">
        <v>3182</v>
      </c>
      <c r="G323" s="138" t="s">
        <v>3185</v>
      </c>
      <c r="H323" s="138" t="s">
        <v>3181</v>
      </c>
      <c r="I323" s="138" t="s">
        <v>3188</v>
      </c>
      <c r="J323" s="138" t="s">
        <v>3193</v>
      </c>
      <c r="K323" s="139" t="s">
        <v>3190</v>
      </c>
    </row>
    <row r="324" customFormat="false" ht="14.25" hidden="false" customHeight="true" outlineLevel="0" collapsed="false">
      <c r="B324" s="137" t="n">
        <v>319</v>
      </c>
      <c r="C324" s="138" t="s">
        <v>3522</v>
      </c>
      <c r="D324" s="138" t="s">
        <v>3189</v>
      </c>
      <c r="E324" s="138" t="s">
        <v>3191</v>
      </c>
      <c r="F324" s="138" t="s">
        <v>3182</v>
      </c>
      <c r="G324" s="138" t="s">
        <v>3185</v>
      </c>
      <c r="H324" s="138" t="s">
        <v>3181</v>
      </c>
      <c r="I324" s="138" t="s">
        <v>3188</v>
      </c>
      <c r="J324" s="138" t="s">
        <v>3190</v>
      </c>
      <c r="K324" s="139" t="s">
        <v>3192</v>
      </c>
    </row>
    <row r="325" customFormat="false" ht="14.25" hidden="false" customHeight="true" outlineLevel="0" collapsed="false">
      <c r="B325" s="137" t="n">
        <v>320</v>
      </c>
      <c r="C325" s="138" t="s">
        <v>3523</v>
      </c>
      <c r="D325" s="138" t="s">
        <v>3190</v>
      </c>
      <c r="E325" s="138" t="s">
        <v>3191</v>
      </c>
      <c r="F325" s="138" t="s">
        <v>3182</v>
      </c>
      <c r="G325" s="138" t="s">
        <v>3185</v>
      </c>
      <c r="H325" s="138" t="s">
        <v>3181</v>
      </c>
      <c r="I325" s="138" t="s">
        <v>3187</v>
      </c>
      <c r="J325" s="138" t="s">
        <v>3193</v>
      </c>
      <c r="K325" s="139" t="s">
        <v>3192</v>
      </c>
    </row>
    <row r="326" customFormat="false" ht="14.25" hidden="false" customHeight="true" outlineLevel="0" collapsed="false">
      <c r="B326" s="137" t="n">
        <v>321</v>
      </c>
      <c r="C326" s="138" t="s">
        <v>3524</v>
      </c>
      <c r="D326" s="138" t="s">
        <v>3189</v>
      </c>
      <c r="E326" s="138" t="s">
        <v>3191</v>
      </c>
      <c r="F326" s="138" t="s">
        <v>3182</v>
      </c>
      <c r="G326" s="138" t="s">
        <v>3185</v>
      </c>
      <c r="H326" s="138" t="s">
        <v>3181</v>
      </c>
      <c r="I326" s="138" t="s">
        <v>3187</v>
      </c>
      <c r="J326" s="138" t="s">
        <v>3193</v>
      </c>
      <c r="K326" s="139" t="s">
        <v>3192</v>
      </c>
    </row>
    <row r="327" customFormat="false" ht="14.25" hidden="false" customHeight="true" outlineLevel="0" collapsed="false">
      <c r="B327" s="137" t="n">
        <v>322</v>
      </c>
      <c r="C327" s="138" t="s">
        <v>3525</v>
      </c>
      <c r="D327" s="138" t="s">
        <v>3189</v>
      </c>
      <c r="E327" s="138" t="s">
        <v>3190</v>
      </c>
      <c r="F327" s="138" t="s">
        <v>3182</v>
      </c>
      <c r="G327" s="138" t="s">
        <v>3185</v>
      </c>
      <c r="H327" s="138" t="s">
        <v>3181</v>
      </c>
      <c r="I327" s="138" t="s">
        <v>3187</v>
      </c>
      <c r="J327" s="138" t="s">
        <v>3193</v>
      </c>
      <c r="K327" s="139" t="s">
        <v>3192</v>
      </c>
    </row>
    <row r="328" customFormat="false" ht="14.25" hidden="false" customHeight="true" outlineLevel="0" collapsed="false">
      <c r="B328" s="137" t="n">
        <v>323</v>
      </c>
      <c r="C328" s="138" t="s">
        <v>3526</v>
      </c>
      <c r="D328" s="138" t="s">
        <v>3189</v>
      </c>
      <c r="E328" s="138" t="s">
        <v>3191</v>
      </c>
      <c r="F328" s="138" t="s">
        <v>3182</v>
      </c>
      <c r="G328" s="138" t="s">
        <v>3185</v>
      </c>
      <c r="H328" s="138" t="s">
        <v>3181</v>
      </c>
      <c r="I328" s="138" t="s">
        <v>3187</v>
      </c>
      <c r="J328" s="138" t="s">
        <v>3193</v>
      </c>
      <c r="K328" s="139" t="s">
        <v>3190</v>
      </c>
    </row>
    <row r="329" customFormat="false" ht="14.25" hidden="false" customHeight="true" outlineLevel="0" collapsed="false">
      <c r="B329" s="137" t="n">
        <v>324</v>
      </c>
      <c r="C329" s="138" t="s">
        <v>3527</v>
      </c>
      <c r="D329" s="138" t="s">
        <v>3189</v>
      </c>
      <c r="E329" s="138" t="s">
        <v>3191</v>
      </c>
      <c r="F329" s="138" t="s">
        <v>3182</v>
      </c>
      <c r="G329" s="138" t="s">
        <v>3185</v>
      </c>
      <c r="H329" s="138" t="s">
        <v>3181</v>
      </c>
      <c r="I329" s="138" t="s">
        <v>3187</v>
      </c>
      <c r="J329" s="138" t="s">
        <v>3190</v>
      </c>
      <c r="K329" s="139" t="s">
        <v>3192</v>
      </c>
    </row>
    <row r="330" customFormat="false" ht="14.25" hidden="false" customHeight="true" outlineLevel="0" collapsed="false">
      <c r="B330" s="137" t="n">
        <v>325</v>
      </c>
      <c r="C330" s="138" t="s">
        <v>3528</v>
      </c>
      <c r="D330" s="138" t="s">
        <v>3187</v>
      </c>
      <c r="E330" s="138" t="s">
        <v>3191</v>
      </c>
      <c r="F330" s="138" t="s">
        <v>3182</v>
      </c>
      <c r="G330" s="138" t="s">
        <v>3185</v>
      </c>
      <c r="H330" s="138" t="s">
        <v>3181</v>
      </c>
      <c r="I330" s="138" t="s">
        <v>3188</v>
      </c>
      <c r="J330" s="138" t="s">
        <v>3193</v>
      </c>
      <c r="K330" s="139" t="s">
        <v>3192</v>
      </c>
    </row>
    <row r="331" customFormat="false" ht="14.25" hidden="false" customHeight="true" outlineLevel="0" collapsed="false">
      <c r="B331" s="137" t="n">
        <v>326</v>
      </c>
      <c r="C331" s="138" t="s">
        <v>3529</v>
      </c>
      <c r="D331" s="138" t="s">
        <v>3190</v>
      </c>
      <c r="E331" s="138" t="s">
        <v>3188</v>
      </c>
      <c r="F331" s="138" t="s">
        <v>3182</v>
      </c>
      <c r="G331" s="138" t="s">
        <v>3185</v>
      </c>
      <c r="H331" s="138" t="s">
        <v>3181</v>
      </c>
      <c r="I331" s="138" t="s">
        <v>3187</v>
      </c>
      <c r="J331" s="138" t="s">
        <v>3193</v>
      </c>
      <c r="K331" s="139" t="s">
        <v>3192</v>
      </c>
    </row>
    <row r="332" customFormat="false" ht="14.25" hidden="false" customHeight="true" outlineLevel="0" collapsed="false">
      <c r="B332" s="137" t="n">
        <v>327</v>
      </c>
      <c r="C332" s="138" t="s">
        <v>3530</v>
      </c>
      <c r="D332" s="138" t="s">
        <v>3187</v>
      </c>
      <c r="E332" s="138" t="s">
        <v>3191</v>
      </c>
      <c r="F332" s="138" t="s">
        <v>3182</v>
      </c>
      <c r="G332" s="138" t="s">
        <v>3185</v>
      </c>
      <c r="H332" s="138" t="s">
        <v>3181</v>
      </c>
      <c r="I332" s="138" t="s">
        <v>3188</v>
      </c>
      <c r="J332" s="138" t="s">
        <v>3193</v>
      </c>
      <c r="K332" s="139" t="s">
        <v>3190</v>
      </c>
    </row>
    <row r="333" customFormat="false" ht="14.25" hidden="false" customHeight="true" outlineLevel="0" collapsed="false">
      <c r="B333" s="137" t="n">
        <v>328</v>
      </c>
      <c r="C333" s="138" t="s">
        <v>3531</v>
      </c>
      <c r="D333" s="138" t="s">
        <v>3187</v>
      </c>
      <c r="E333" s="138" t="s">
        <v>3191</v>
      </c>
      <c r="F333" s="138" t="s">
        <v>3182</v>
      </c>
      <c r="G333" s="138" t="s">
        <v>3185</v>
      </c>
      <c r="H333" s="138" t="s">
        <v>3181</v>
      </c>
      <c r="I333" s="138" t="s">
        <v>3188</v>
      </c>
      <c r="J333" s="138" t="s">
        <v>3190</v>
      </c>
      <c r="K333" s="139" t="s">
        <v>3192</v>
      </c>
    </row>
    <row r="334" customFormat="false" ht="14.25" hidden="false" customHeight="true" outlineLevel="0" collapsed="false">
      <c r="B334" s="137" t="n">
        <v>329</v>
      </c>
      <c r="C334" s="138" t="s">
        <v>3532</v>
      </c>
      <c r="D334" s="138" t="s">
        <v>3189</v>
      </c>
      <c r="E334" s="138" t="s">
        <v>3188</v>
      </c>
      <c r="F334" s="138" t="s">
        <v>3182</v>
      </c>
      <c r="G334" s="138" t="s">
        <v>3185</v>
      </c>
      <c r="H334" s="138" t="s">
        <v>3181</v>
      </c>
      <c r="I334" s="138" t="s">
        <v>3187</v>
      </c>
      <c r="J334" s="138" t="s">
        <v>3193</v>
      </c>
      <c r="K334" s="139" t="s">
        <v>3192</v>
      </c>
    </row>
    <row r="335" customFormat="false" ht="14.25" hidden="false" customHeight="true" outlineLevel="0" collapsed="false">
      <c r="B335" s="137" t="n">
        <v>330</v>
      </c>
      <c r="C335" s="138" t="s">
        <v>3533</v>
      </c>
      <c r="D335" s="138" t="s">
        <v>3189</v>
      </c>
      <c r="E335" s="138" t="s">
        <v>3188</v>
      </c>
      <c r="F335" s="138" t="s">
        <v>3182</v>
      </c>
      <c r="G335" s="138" t="s">
        <v>3185</v>
      </c>
      <c r="H335" s="138" t="s">
        <v>3181</v>
      </c>
      <c r="I335" s="138" t="s">
        <v>3187</v>
      </c>
      <c r="J335" s="138" t="s">
        <v>3193</v>
      </c>
      <c r="K335" s="139" t="s">
        <v>3191</v>
      </c>
    </row>
    <row r="336" customFormat="false" ht="14.25" hidden="false" customHeight="true" outlineLevel="0" collapsed="false">
      <c r="B336" s="137" t="n">
        <v>331</v>
      </c>
      <c r="C336" s="138" t="s">
        <v>3534</v>
      </c>
      <c r="D336" s="138" t="s">
        <v>3189</v>
      </c>
      <c r="E336" s="138" t="s">
        <v>3188</v>
      </c>
      <c r="F336" s="138" t="s">
        <v>3182</v>
      </c>
      <c r="G336" s="138" t="s">
        <v>3185</v>
      </c>
      <c r="H336" s="138" t="s">
        <v>3181</v>
      </c>
      <c r="I336" s="138" t="s">
        <v>3187</v>
      </c>
      <c r="J336" s="138" t="s">
        <v>3191</v>
      </c>
      <c r="K336" s="139" t="s">
        <v>3192</v>
      </c>
    </row>
    <row r="337" customFormat="false" ht="14.25" hidden="false" customHeight="true" outlineLevel="0" collapsed="false">
      <c r="B337" s="137" t="n">
        <v>332</v>
      </c>
      <c r="C337" s="138" t="s">
        <v>3535</v>
      </c>
      <c r="D337" s="138" t="s">
        <v>3189</v>
      </c>
      <c r="E337" s="138" t="s">
        <v>3188</v>
      </c>
      <c r="F337" s="138" t="s">
        <v>3182</v>
      </c>
      <c r="G337" s="138" t="s">
        <v>3185</v>
      </c>
      <c r="H337" s="138" t="s">
        <v>3181</v>
      </c>
      <c r="I337" s="138" t="s">
        <v>3187</v>
      </c>
      <c r="J337" s="138" t="s">
        <v>3193</v>
      </c>
      <c r="K337" s="139" t="s">
        <v>3190</v>
      </c>
    </row>
    <row r="338" customFormat="false" ht="14.25" hidden="false" customHeight="true" outlineLevel="0" collapsed="false">
      <c r="B338" s="137" t="n">
        <v>333</v>
      </c>
      <c r="C338" s="138" t="s">
        <v>3536</v>
      </c>
      <c r="D338" s="138" t="s">
        <v>3189</v>
      </c>
      <c r="E338" s="138" t="s">
        <v>3188</v>
      </c>
      <c r="F338" s="138" t="s">
        <v>3182</v>
      </c>
      <c r="G338" s="138" t="s">
        <v>3185</v>
      </c>
      <c r="H338" s="138" t="s">
        <v>3181</v>
      </c>
      <c r="I338" s="138" t="s">
        <v>3187</v>
      </c>
      <c r="J338" s="138" t="s">
        <v>3190</v>
      </c>
      <c r="K338" s="139" t="s">
        <v>3192</v>
      </c>
    </row>
    <row r="339" customFormat="false" ht="14.25" hidden="false" customHeight="true" outlineLevel="0" collapsed="false">
      <c r="B339" s="137" t="n">
        <v>334</v>
      </c>
      <c r="C339" s="138" t="s">
        <v>3537</v>
      </c>
      <c r="D339" s="138" t="s">
        <v>3189</v>
      </c>
      <c r="E339" s="138" t="s">
        <v>3188</v>
      </c>
      <c r="F339" s="138" t="s">
        <v>3182</v>
      </c>
      <c r="G339" s="138" t="s">
        <v>3185</v>
      </c>
      <c r="H339" s="138" t="s">
        <v>3181</v>
      </c>
      <c r="I339" s="138" t="s">
        <v>3187</v>
      </c>
      <c r="J339" s="138" t="s">
        <v>3190</v>
      </c>
      <c r="K339" s="139" t="s">
        <v>3191</v>
      </c>
    </row>
    <row r="340" customFormat="false" ht="14.25" hidden="false" customHeight="true" outlineLevel="0" collapsed="false">
      <c r="B340" s="137" t="n">
        <v>335</v>
      </c>
      <c r="C340" s="138" t="s">
        <v>3538</v>
      </c>
      <c r="D340" s="138" t="s">
        <v>3186</v>
      </c>
      <c r="E340" s="138" t="s">
        <v>3191</v>
      </c>
      <c r="F340" s="138" t="s">
        <v>3182</v>
      </c>
      <c r="G340" s="138" t="s">
        <v>3181</v>
      </c>
      <c r="H340" s="138" t="s">
        <v>3190</v>
      </c>
      <c r="I340" s="138" t="s">
        <v>3185</v>
      </c>
      <c r="J340" s="138" t="s">
        <v>3193</v>
      </c>
      <c r="K340" s="139" t="s">
        <v>3192</v>
      </c>
    </row>
    <row r="341" customFormat="false" ht="14.25" hidden="false" customHeight="true" outlineLevel="0" collapsed="false">
      <c r="B341" s="137" t="n">
        <v>336</v>
      </c>
      <c r="C341" s="138" t="s">
        <v>3539</v>
      </c>
      <c r="D341" s="138" t="s">
        <v>3186</v>
      </c>
      <c r="E341" s="138" t="s">
        <v>3191</v>
      </c>
      <c r="F341" s="138" t="s">
        <v>3182</v>
      </c>
      <c r="G341" s="138" t="s">
        <v>3185</v>
      </c>
      <c r="H341" s="138" t="s">
        <v>3181</v>
      </c>
      <c r="I341" s="138" t="s">
        <v>3189</v>
      </c>
      <c r="J341" s="138" t="s">
        <v>3193</v>
      </c>
      <c r="K341" s="139" t="s">
        <v>3192</v>
      </c>
    </row>
    <row r="342" customFormat="false" ht="14.25" hidden="false" customHeight="true" outlineLevel="0" collapsed="false">
      <c r="B342" s="137" t="n">
        <v>337</v>
      </c>
      <c r="C342" s="138" t="s">
        <v>3540</v>
      </c>
      <c r="D342" s="138" t="s">
        <v>3186</v>
      </c>
      <c r="E342" s="138" t="s">
        <v>3190</v>
      </c>
      <c r="F342" s="138" t="s">
        <v>3182</v>
      </c>
      <c r="G342" s="138" t="s">
        <v>3185</v>
      </c>
      <c r="H342" s="138" t="s">
        <v>3181</v>
      </c>
      <c r="I342" s="138" t="s">
        <v>3189</v>
      </c>
      <c r="J342" s="138" t="s">
        <v>3193</v>
      </c>
      <c r="K342" s="139" t="s">
        <v>3192</v>
      </c>
    </row>
    <row r="343" customFormat="false" ht="14.25" hidden="false" customHeight="true" outlineLevel="0" collapsed="false">
      <c r="B343" s="137" t="n">
        <v>338</v>
      </c>
      <c r="C343" s="138" t="s">
        <v>3541</v>
      </c>
      <c r="D343" s="138" t="s">
        <v>3186</v>
      </c>
      <c r="E343" s="138" t="s">
        <v>3191</v>
      </c>
      <c r="F343" s="138" t="s">
        <v>3182</v>
      </c>
      <c r="G343" s="138" t="s">
        <v>3185</v>
      </c>
      <c r="H343" s="138" t="s">
        <v>3181</v>
      </c>
      <c r="I343" s="138" t="s">
        <v>3189</v>
      </c>
      <c r="J343" s="138" t="s">
        <v>3193</v>
      </c>
      <c r="K343" s="139" t="s">
        <v>3190</v>
      </c>
    </row>
    <row r="344" customFormat="false" ht="14.25" hidden="false" customHeight="true" outlineLevel="0" collapsed="false">
      <c r="B344" s="137" t="n">
        <v>339</v>
      </c>
      <c r="C344" s="138" t="s">
        <v>3542</v>
      </c>
      <c r="D344" s="138" t="s">
        <v>3186</v>
      </c>
      <c r="E344" s="138" t="s">
        <v>3191</v>
      </c>
      <c r="F344" s="138" t="s">
        <v>3182</v>
      </c>
      <c r="G344" s="138" t="s">
        <v>3185</v>
      </c>
      <c r="H344" s="138" t="s">
        <v>3181</v>
      </c>
      <c r="I344" s="138" t="s">
        <v>3189</v>
      </c>
      <c r="J344" s="138" t="s">
        <v>3190</v>
      </c>
      <c r="K344" s="139" t="s">
        <v>3192</v>
      </c>
    </row>
    <row r="345" customFormat="false" ht="14.25" hidden="false" customHeight="true" outlineLevel="0" collapsed="false">
      <c r="B345" s="137" t="n">
        <v>340</v>
      </c>
      <c r="C345" s="138" t="s">
        <v>3543</v>
      </c>
      <c r="D345" s="138" t="s">
        <v>3186</v>
      </c>
      <c r="E345" s="138" t="s">
        <v>3191</v>
      </c>
      <c r="F345" s="138" t="s">
        <v>3182</v>
      </c>
      <c r="G345" s="138" t="s">
        <v>3185</v>
      </c>
      <c r="H345" s="138" t="s">
        <v>3181</v>
      </c>
      <c r="I345" s="138" t="s">
        <v>3188</v>
      </c>
      <c r="J345" s="138" t="s">
        <v>3193</v>
      </c>
      <c r="K345" s="139" t="s">
        <v>3192</v>
      </c>
    </row>
    <row r="346" customFormat="false" ht="14.25" hidden="false" customHeight="true" outlineLevel="0" collapsed="false">
      <c r="B346" s="137" t="n">
        <v>341</v>
      </c>
      <c r="C346" s="138" t="s">
        <v>3544</v>
      </c>
      <c r="D346" s="138" t="s">
        <v>3186</v>
      </c>
      <c r="E346" s="138" t="s">
        <v>3188</v>
      </c>
      <c r="F346" s="138" t="s">
        <v>3182</v>
      </c>
      <c r="G346" s="138" t="s">
        <v>3181</v>
      </c>
      <c r="H346" s="138" t="s">
        <v>3190</v>
      </c>
      <c r="I346" s="138" t="s">
        <v>3185</v>
      </c>
      <c r="J346" s="138" t="s">
        <v>3193</v>
      </c>
      <c r="K346" s="139" t="s">
        <v>3192</v>
      </c>
    </row>
    <row r="347" customFormat="false" ht="14.25" hidden="false" customHeight="true" outlineLevel="0" collapsed="false">
      <c r="B347" s="137" t="n">
        <v>342</v>
      </c>
      <c r="C347" s="138" t="s">
        <v>3545</v>
      </c>
      <c r="D347" s="138" t="s">
        <v>3186</v>
      </c>
      <c r="E347" s="138" t="s">
        <v>3191</v>
      </c>
      <c r="F347" s="138" t="s">
        <v>3182</v>
      </c>
      <c r="G347" s="138" t="s">
        <v>3185</v>
      </c>
      <c r="H347" s="138" t="s">
        <v>3181</v>
      </c>
      <c r="I347" s="138" t="s">
        <v>3188</v>
      </c>
      <c r="J347" s="138" t="s">
        <v>3193</v>
      </c>
      <c r="K347" s="139" t="s">
        <v>3190</v>
      </c>
    </row>
    <row r="348" customFormat="false" ht="14.25" hidden="false" customHeight="true" outlineLevel="0" collapsed="false">
      <c r="B348" s="137" t="n">
        <v>343</v>
      </c>
      <c r="C348" s="138" t="s">
        <v>3546</v>
      </c>
      <c r="D348" s="138" t="s">
        <v>3186</v>
      </c>
      <c r="E348" s="138" t="s">
        <v>3191</v>
      </c>
      <c r="F348" s="138" t="s">
        <v>3182</v>
      </c>
      <c r="G348" s="138" t="s">
        <v>3185</v>
      </c>
      <c r="H348" s="138" t="s">
        <v>3181</v>
      </c>
      <c r="I348" s="138" t="s">
        <v>3188</v>
      </c>
      <c r="J348" s="138" t="s">
        <v>3190</v>
      </c>
      <c r="K348" s="139" t="s">
        <v>3192</v>
      </c>
    </row>
    <row r="349" customFormat="false" ht="14.25" hidden="false" customHeight="true" outlineLevel="0" collapsed="false">
      <c r="B349" s="137" t="n">
        <v>344</v>
      </c>
      <c r="C349" s="138" t="s">
        <v>3547</v>
      </c>
      <c r="D349" s="138" t="s">
        <v>3186</v>
      </c>
      <c r="E349" s="138" t="s">
        <v>3188</v>
      </c>
      <c r="F349" s="138" t="s">
        <v>3182</v>
      </c>
      <c r="G349" s="138" t="s">
        <v>3185</v>
      </c>
      <c r="H349" s="138" t="s">
        <v>3181</v>
      </c>
      <c r="I349" s="138" t="s">
        <v>3189</v>
      </c>
      <c r="J349" s="138" t="s">
        <v>3193</v>
      </c>
      <c r="K349" s="139" t="s">
        <v>3192</v>
      </c>
    </row>
    <row r="350" customFormat="false" ht="14.25" hidden="false" customHeight="true" outlineLevel="0" collapsed="false">
      <c r="B350" s="137" t="n">
        <v>345</v>
      </c>
      <c r="C350" s="138" t="s">
        <v>3548</v>
      </c>
      <c r="D350" s="138" t="s">
        <v>3189</v>
      </c>
      <c r="E350" s="138" t="s">
        <v>3191</v>
      </c>
      <c r="F350" s="138" t="s">
        <v>3182</v>
      </c>
      <c r="G350" s="138" t="s">
        <v>3185</v>
      </c>
      <c r="H350" s="138" t="s">
        <v>3181</v>
      </c>
      <c r="I350" s="138" t="s">
        <v>3188</v>
      </c>
      <c r="J350" s="138" t="s">
        <v>3193</v>
      </c>
      <c r="K350" s="139" t="s">
        <v>3186</v>
      </c>
    </row>
    <row r="351" customFormat="false" ht="14.25" hidden="false" customHeight="true" outlineLevel="0" collapsed="false">
      <c r="B351" s="137" t="n">
        <v>346</v>
      </c>
      <c r="C351" s="138" t="s">
        <v>3549</v>
      </c>
      <c r="D351" s="138" t="s">
        <v>3189</v>
      </c>
      <c r="E351" s="138" t="s">
        <v>3191</v>
      </c>
      <c r="F351" s="138" t="s">
        <v>3182</v>
      </c>
      <c r="G351" s="138" t="s">
        <v>3185</v>
      </c>
      <c r="H351" s="138" t="s">
        <v>3181</v>
      </c>
      <c r="I351" s="138" t="s">
        <v>3188</v>
      </c>
      <c r="J351" s="138" t="s">
        <v>3186</v>
      </c>
      <c r="K351" s="139" t="s">
        <v>3192</v>
      </c>
    </row>
    <row r="352" customFormat="false" ht="14.25" hidden="false" customHeight="true" outlineLevel="0" collapsed="false">
      <c r="B352" s="137" t="n">
        <v>347</v>
      </c>
      <c r="C352" s="138" t="s">
        <v>3550</v>
      </c>
      <c r="D352" s="138" t="s">
        <v>3186</v>
      </c>
      <c r="E352" s="138" t="s">
        <v>3188</v>
      </c>
      <c r="F352" s="138" t="s">
        <v>3182</v>
      </c>
      <c r="G352" s="138" t="s">
        <v>3185</v>
      </c>
      <c r="H352" s="138" t="s">
        <v>3181</v>
      </c>
      <c r="I352" s="138" t="s">
        <v>3189</v>
      </c>
      <c r="J352" s="138" t="s">
        <v>3193</v>
      </c>
      <c r="K352" s="139" t="s">
        <v>3190</v>
      </c>
    </row>
    <row r="353" customFormat="false" ht="14.25" hidden="false" customHeight="true" outlineLevel="0" collapsed="false">
      <c r="B353" s="137" t="n">
        <v>348</v>
      </c>
      <c r="C353" s="138" t="s">
        <v>3551</v>
      </c>
      <c r="D353" s="138" t="s">
        <v>3186</v>
      </c>
      <c r="E353" s="138" t="s">
        <v>3188</v>
      </c>
      <c r="F353" s="138" t="s">
        <v>3182</v>
      </c>
      <c r="G353" s="138" t="s">
        <v>3185</v>
      </c>
      <c r="H353" s="138" t="s">
        <v>3181</v>
      </c>
      <c r="I353" s="138" t="s">
        <v>3189</v>
      </c>
      <c r="J353" s="138" t="s">
        <v>3190</v>
      </c>
      <c r="K353" s="139" t="s">
        <v>3192</v>
      </c>
    </row>
    <row r="354" customFormat="false" ht="14.25" hidden="false" customHeight="true" outlineLevel="0" collapsed="false">
      <c r="B354" s="137" t="n">
        <v>349</v>
      </c>
      <c r="C354" s="138" t="s">
        <v>3552</v>
      </c>
      <c r="D354" s="138" t="s">
        <v>3189</v>
      </c>
      <c r="E354" s="138" t="s">
        <v>3191</v>
      </c>
      <c r="F354" s="138" t="s">
        <v>3182</v>
      </c>
      <c r="G354" s="138" t="s">
        <v>3185</v>
      </c>
      <c r="H354" s="138" t="s">
        <v>3181</v>
      </c>
      <c r="I354" s="138" t="s">
        <v>3188</v>
      </c>
      <c r="J354" s="138" t="s">
        <v>3186</v>
      </c>
      <c r="K354" s="139" t="s">
        <v>3190</v>
      </c>
    </row>
    <row r="355" customFormat="false" ht="14.25" hidden="false" customHeight="true" outlineLevel="0" collapsed="false">
      <c r="B355" s="137" t="n">
        <v>350</v>
      </c>
      <c r="C355" s="138" t="s">
        <v>3553</v>
      </c>
      <c r="D355" s="138" t="s">
        <v>3186</v>
      </c>
      <c r="E355" s="138" t="s">
        <v>3191</v>
      </c>
      <c r="F355" s="138" t="s">
        <v>3182</v>
      </c>
      <c r="G355" s="138" t="s">
        <v>3185</v>
      </c>
      <c r="H355" s="138" t="s">
        <v>3181</v>
      </c>
      <c r="I355" s="138" t="s">
        <v>3187</v>
      </c>
      <c r="J355" s="138" t="s">
        <v>3193</v>
      </c>
      <c r="K355" s="139" t="s">
        <v>3192</v>
      </c>
    </row>
    <row r="356" customFormat="false" ht="14.25" hidden="false" customHeight="true" outlineLevel="0" collapsed="false">
      <c r="B356" s="137" t="n">
        <v>351</v>
      </c>
      <c r="C356" s="138" t="s">
        <v>3554</v>
      </c>
      <c r="D356" s="138" t="s">
        <v>3186</v>
      </c>
      <c r="E356" s="138" t="s">
        <v>3190</v>
      </c>
      <c r="F356" s="138" t="s">
        <v>3182</v>
      </c>
      <c r="G356" s="138" t="s">
        <v>3185</v>
      </c>
      <c r="H356" s="138" t="s">
        <v>3181</v>
      </c>
      <c r="I356" s="138" t="s">
        <v>3187</v>
      </c>
      <c r="J356" s="138" t="s">
        <v>3193</v>
      </c>
      <c r="K356" s="139" t="s">
        <v>3192</v>
      </c>
    </row>
    <row r="357" customFormat="false" ht="14.25" hidden="false" customHeight="true" outlineLevel="0" collapsed="false">
      <c r="B357" s="137" t="n">
        <v>352</v>
      </c>
      <c r="C357" s="138" t="s">
        <v>3555</v>
      </c>
      <c r="D357" s="138" t="s">
        <v>3186</v>
      </c>
      <c r="E357" s="138" t="s">
        <v>3191</v>
      </c>
      <c r="F357" s="138" t="s">
        <v>3182</v>
      </c>
      <c r="G357" s="138" t="s">
        <v>3185</v>
      </c>
      <c r="H357" s="138" t="s">
        <v>3181</v>
      </c>
      <c r="I357" s="138" t="s">
        <v>3187</v>
      </c>
      <c r="J357" s="138" t="s">
        <v>3193</v>
      </c>
      <c r="K357" s="139" t="s">
        <v>3190</v>
      </c>
    </row>
    <row r="358" customFormat="false" ht="14.25" hidden="false" customHeight="true" outlineLevel="0" collapsed="false">
      <c r="B358" s="137" t="n">
        <v>353</v>
      </c>
      <c r="C358" s="138" t="s">
        <v>3556</v>
      </c>
      <c r="D358" s="138" t="s">
        <v>3186</v>
      </c>
      <c r="E358" s="138" t="s">
        <v>3191</v>
      </c>
      <c r="F358" s="138" t="s">
        <v>3182</v>
      </c>
      <c r="G358" s="138" t="s">
        <v>3185</v>
      </c>
      <c r="H358" s="138" t="s">
        <v>3181</v>
      </c>
      <c r="I358" s="138" t="s">
        <v>3187</v>
      </c>
      <c r="J358" s="138" t="s">
        <v>3190</v>
      </c>
      <c r="K358" s="139" t="s">
        <v>3192</v>
      </c>
    </row>
    <row r="359" customFormat="false" ht="14.25" hidden="false" customHeight="true" outlineLevel="0" collapsed="false">
      <c r="B359" s="137" t="n">
        <v>354</v>
      </c>
      <c r="C359" s="138" t="s">
        <v>3557</v>
      </c>
      <c r="D359" s="138" t="s">
        <v>3189</v>
      </c>
      <c r="E359" s="138" t="s">
        <v>3186</v>
      </c>
      <c r="F359" s="138" t="s">
        <v>3182</v>
      </c>
      <c r="G359" s="138" t="s">
        <v>3185</v>
      </c>
      <c r="H359" s="138" t="s">
        <v>3181</v>
      </c>
      <c r="I359" s="138" t="s">
        <v>3187</v>
      </c>
      <c r="J359" s="138" t="s">
        <v>3193</v>
      </c>
      <c r="K359" s="139" t="s">
        <v>3192</v>
      </c>
    </row>
    <row r="360" customFormat="false" ht="14.25" hidden="false" customHeight="true" outlineLevel="0" collapsed="false">
      <c r="B360" s="137" t="n">
        <v>355</v>
      </c>
      <c r="C360" s="138" t="s">
        <v>3558</v>
      </c>
      <c r="D360" s="138" t="s">
        <v>3189</v>
      </c>
      <c r="E360" s="138" t="s">
        <v>3191</v>
      </c>
      <c r="F360" s="138" t="s">
        <v>3182</v>
      </c>
      <c r="G360" s="138" t="s">
        <v>3185</v>
      </c>
      <c r="H360" s="138" t="s">
        <v>3181</v>
      </c>
      <c r="I360" s="138" t="s">
        <v>3187</v>
      </c>
      <c r="J360" s="138" t="s">
        <v>3193</v>
      </c>
      <c r="K360" s="139" t="s">
        <v>3186</v>
      </c>
    </row>
    <row r="361" customFormat="false" ht="14.25" hidden="false" customHeight="true" outlineLevel="0" collapsed="false">
      <c r="B361" s="137" t="n">
        <v>356</v>
      </c>
      <c r="C361" s="138" t="s">
        <v>3559</v>
      </c>
      <c r="D361" s="138" t="s">
        <v>3189</v>
      </c>
      <c r="E361" s="138" t="s">
        <v>3191</v>
      </c>
      <c r="F361" s="138" t="s">
        <v>3182</v>
      </c>
      <c r="G361" s="138" t="s">
        <v>3185</v>
      </c>
      <c r="H361" s="138" t="s">
        <v>3181</v>
      </c>
      <c r="I361" s="138" t="s">
        <v>3187</v>
      </c>
      <c r="J361" s="138" t="s">
        <v>3186</v>
      </c>
      <c r="K361" s="139" t="s">
        <v>3192</v>
      </c>
    </row>
    <row r="362" customFormat="false" ht="14.25" hidden="false" customHeight="true" outlineLevel="0" collapsed="false">
      <c r="B362" s="137" t="n">
        <v>357</v>
      </c>
      <c r="C362" s="138" t="s">
        <v>3560</v>
      </c>
      <c r="D362" s="138" t="s">
        <v>3189</v>
      </c>
      <c r="E362" s="138" t="s">
        <v>3186</v>
      </c>
      <c r="F362" s="138" t="s">
        <v>3182</v>
      </c>
      <c r="G362" s="138" t="s">
        <v>3185</v>
      </c>
      <c r="H362" s="138" t="s">
        <v>3181</v>
      </c>
      <c r="I362" s="138" t="s">
        <v>3187</v>
      </c>
      <c r="J362" s="138" t="s">
        <v>3193</v>
      </c>
      <c r="K362" s="139" t="s">
        <v>3190</v>
      </c>
    </row>
    <row r="363" customFormat="false" ht="14.25" hidden="false" customHeight="true" outlineLevel="0" collapsed="false">
      <c r="B363" s="137" t="n">
        <v>358</v>
      </c>
      <c r="C363" s="138" t="s">
        <v>3561</v>
      </c>
      <c r="D363" s="138" t="s">
        <v>3189</v>
      </c>
      <c r="E363" s="138" t="s">
        <v>3186</v>
      </c>
      <c r="F363" s="138" t="s">
        <v>3182</v>
      </c>
      <c r="G363" s="138" t="s">
        <v>3185</v>
      </c>
      <c r="H363" s="138" t="s">
        <v>3181</v>
      </c>
      <c r="I363" s="138" t="s">
        <v>3187</v>
      </c>
      <c r="J363" s="138" t="s">
        <v>3190</v>
      </c>
      <c r="K363" s="139" t="s">
        <v>3192</v>
      </c>
    </row>
    <row r="364" customFormat="false" ht="14.25" hidden="false" customHeight="true" outlineLevel="0" collapsed="false">
      <c r="B364" s="137" t="n">
        <v>359</v>
      </c>
      <c r="C364" s="138" t="s">
        <v>3562</v>
      </c>
      <c r="D364" s="138" t="s">
        <v>3189</v>
      </c>
      <c r="E364" s="138" t="s">
        <v>3191</v>
      </c>
      <c r="F364" s="138" t="s">
        <v>3182</v>
      </c>
      <c r="G364" s="138" t="s">
        <v>3185</v>
      </c>
      <c r="H364" s="138" t="s">
        <v>3181</v>
      </c>
      <c r="I364" s="138" t="s">
        <v>3187</v>
      </c>
      <c r="J364" s="138" t="s">
        <v>3186</v>
      </c>
      <c r="K364" s="139" t="s">
        <v>3190</v>
      </c>
    </row>
    <row r="365" customFormat="false" ht="14.25" hidden="false" customHeight="true" outlineLevel="0" collapsed="false">
      <c r="B365" s="137" t="n">
        <v>360</v>
      </c>
      <c r="C365" s="138" t="s">
        <v>3563</v>
      </c>
      <c r="D365" s="138" t="s">
        <v>3186</v>
      </c>
      <c r="E365" s="138" t="s">
        <v>3188</v>
      </c>
      <c r="F365" s="138" t="s">
        <v>3182</v>
      </c>
      <c r="G365" s="138" t="s">
        <v>3185</v>
      </c>
      <c r="H365" s="138" t="s">
        <v>3181</v>
      </c>
      <c r="I365" s="138" t="s">
        <v>3187</v>
      </c>
      <c r="J365" s="138" t="s">
        <v>3193</v>
      </c>
      <c r="K365" s="139" t="s">
        <v>3192</v>
      </c>
    </row>
    <row r="366" customFormat="false" ht="14.25" hidden="false" customHeight="true" outlineLevel="0" collapsed="false">
      <c r="B366" s="137" t="n">
        <v>361</v>
      </c>
      <c r="C366" s="138" t="s">
        <v>3564</v>
      </c>
      <c r="D366" s="138" t="s">
        <v>3186</v>
      </c>
      <c r="E366" s="138" t="s">
        <v>3188</v>
      </c>
      <c r="F366" s="138" t="s">
        <v>3182</v>
      </c>
      <c r="G366" s="138" t="s">
        <v>3185</v>
      </c>
      <c r="H366" s="138" t="s">
        <v>3181</v>
      </c>
      <c r="I366" s="138" t="s">
        <v>3187</v>
      </c>
      <c r="J366" s="138" t="s">
        <v>3193</v>
      </c>
      <c r="K366" s="139" t="s">
        <v>3191</v>
      </c>
    </row>
    <row r="367" customFormat="false" ht="14.25" hidden="false" customHeight="true" outlineLevel="0" collapsed="false">
      <c r="B367" s="137" t="n">
        <v>362</v>
      </c>
      <c r="C367" s="138" t="s">
        <v>3565</v>
      </c>
      <c r="D367" s="138" t="s">
        <v>3186</v>
      </c>
      <c r="E367" s="138" t="s">
        <v>3188</v>
      </c>
      <c r="F367" s="138" t="s">
        <v>3182</v>
      </c>
      <c r="G367" s="138" t="s">
        <v>3185</v>
      </c>
      <c r="H367" s="138" t="s">
        <v>3181</v>
      </c>
      <c r="I367" s="138" t="s">
        <v>3187</v>
      </c>
      <c r="J367" s="138" t="s">
        <v>3191</v>
      </c>
      <c r="K367" s="139" t="s">
        <v>3192</v>
      </c>
    </row>
    <row r="368" customFormat="false" ht="14.25" hidden="false" customHeight="true" outlineLevel="0" collapsed="false">
      <c r="B368" s="137" t="n">
        <v>363</v>
      </c>
      <c r="C368" s="138" t="s">
        <v>3566</v>
      </c>
      <c r="D368" s="138" t="s">
        <v>3186</v>
      </c>
      <c r="E368" s="138" t="s">
        <v>3188</v>
      </c>
      <c r="F368" s="138" t="s">
        <v>3182</v>
      </c>
      <c r="G368" s="138" t="s">
        <v>3185</v>
      </c>
      <c r="H368" s="138" t="s">
        <v>3181</v>
      </c>
      <c r="I368" s="138" t="s">
        <v>3187</v>
      </c>
      <c r="J368" s="138" t="s">
        <v>3193</v>
      </c>
      <c r="K368" s="139" t="s">
        <v>3190</v>
      </c>
    </row>
    <row r="369" customFormat="false" ht="14.25" hidden="false" customHeight="true" outlineLevel="0" collapsed="false">
      <c r="B369" s="137" t="n">
        <v>364</v>
      </c>
      <c r="C369" s="138" t="s">
        <v>3567</v>
      </c>
      <c r="D369" s="138" t="s">
        <v>3186</v>
      </c>
      <c r="E369" s="138" t="s">
        <v>3188</v>
      </c>
      <c r="F369" s="138" t="s">
        <v>3182</v>
      </c>
      <c r="G369" s="138" t="s">
        <v>3185</v>
      </c>
      <c r="H369" s="138" t="s">
        <v>3181</v>
      </c>
      <c r="I369" s="138" t="s">
        <v>3187</v>
      </c>
      <c r="J369" s="138" t="s">
        <v>3190</v>
      </c>
      <c r="K369" s="139" t="s">
        <v>3192</v>
      </c>
    </row>
    <row r="370" customFormat="false" ht="14.25" hidden="false" customHeight="true" outlineLevel="0" collapsed="false">
      <c r="B370" s="137" t="n">
        <v>365</v>
      </c>
      <c r="C370" s="138" t="s">
        <v>3568</v>
      </c>
      <c r="D370" s="138" t="s">
        <v>3186</v>
      </c>
      <c r="E370" s="138" t="s">
        <v>3188</v>
      </c>
      <c r="F370" s="138" t="s">
        <v>3182</v>
      </c>
      <c r="G370" s="138" t="s">
        <v>3185</v>
      </c>
      <c r="H370" s="138" t="s">
        <v>3181</v>
      </c>
      <c r="I370" s="138" t="s">
        <v>3187</v>
      </c>
      <c r="J370" s="138" t="s">
        <v>3190</v>
      </c>
      <c r="K370" s="139" t="s">
        <v>3191</v>
      </c>
    </row>
    <row r="371" customFormat="false" ht="14.25" hidden="false" customHeight="true" outlineLevel="0" collapsed="false">
      <c r="B371" s="137" t="n">
        <v>366</v>
      </c>
      <c r="C371" s="138" t="s">
        <v>3569</v>
      </c>
      <c r="D371" s="138" t="s">
        <v>3189</v>
      </c>
      <c r="E371" s="138" t="s">
        <v>3188</v>
      </c>
      <c r="F371" s="138" t="s">
        <v>3182</v>
      </c>
      <c r="G371" s="138" t="s">
        <v>3185</v>
      </c>
      <c r="H371" s="138" t="s">
        <v>3181</v>
      </c>
      <c r="I371" s="138" t="s">
        <v>3187</v>
      </c>
      <c r="J371" s="138" t="s">
        <v>3193</v>
      </c>
      <c r="K371" s="139" t="s">
        <v>3186</v>
      </c>
    </row>
    <row r="372" customFormat="false" ht="14.25" hidden="false" customHeight="true" outlineLevel="0" collapsed="false">
      <c r="B372" s="137" t="n">
        <v>367</v>
      </c>
      <c r="C372" s="138" t="s">
        <v>3570</v>
      </c>
      <c r="D372" s="138" t="s">
        <v>3189</v>
      </c>
      <c r="E372" s="138" t="s">
        <v>3188</v>
      </c>
      <c r="F372" s="138" t="s">
        <v>3182</v>
      </c>
      <c r="G372" s="138" t="s">
        <v>3185</v>
      </c>
      <c r="H372" s="138" t="s">
        <v>3181</v>
      </c>
      <c r="I372" s="138" t="s">
        <v>3187</v>
      </c>
      <c r="J372" s="138" t="s">
        <v>3186</v>
      </c>
      <c r="K372" s="139" t="s">
        <v>3192</v>
      </c>
    </row>
    <row r="373" customFormat="false" ht="14.25" hidden="false" customHeight="true" outlineLevel="0" collapsed="false">
      <c r="B373" s="137" t="n">
        <v>368</v>
      </c>
      <c r="C373" s="138" t="s">
        <v>3571</v>
      </c>
      <c r="D373" s="138" t="s">
        <v>3189</v>
      </c>
      <c r="E373" s="138" t="s">
        <v>3188</v>
      </c>
      <c r="F373" s="138" t="s">
        <v>3182</v>
      </c>
      <c r="G373" s="138" t="s">
        <v>3185</v>
      </c>
      <c r="H373" s="138" t="s">
        <v>3181</v>
      </c>
      <c r="I373" s="138" t="s">
        <v>3187</v>
      </c>
      <c r="J373" s="138" t="s">
        <v>3186</v>
      </c>
      <c r="K373" s="139" t="s">
        <v>3191</v>
      </c>
    </row>
    <row r="374" customFormat="false" ht="14.25" hidden="false" customHeight="true" outlineLevel="0" collapsed="false">
      <c r="B374" s="137" t="n">
        <v>369</v>
      </c>
      <c r="C374" s="138" t="s">
        <v>3572</v>
      </c>
      <c r="D374" s="138" t="s">
        <v>3189</v>
      </c>
      <c r="E374" s="138" t="s">
        <v>3188</v>
      </c>
      <c r="F374" s="138" t="s">
        <v>3182</v>
      </c>
      <c r="G374" s="138" t="s">
        <v>3185</v>
      </c>
      <c r="H374" s="138" t="s">
        <v>3181</v>
      </c>
      <c r="I374" s="138" t="s">
        <v>3187</v>
      </c>
      <c r="J374" s="138" t="s">
        <v>3186</v>
      </c>
      <c r="K374" s="139" t="s">
        <v>3190</v>
      </c>
    </row>
    <row r="375" customFormat="false" ht="14.25" hidden="false" customHeight="true" outlineLevel="0" collapsed="false">
      <c r="B375" s="137" t="n">
        <v>370</v>
      </c>
      <c r="C375" s="138" t="s">
        <v>3573</v>
      </c>
      <c r="D375" s="138" t="s">
        <v>3190</v>
      </c>
      <c r="E375" s="138" t="s">
        <v>3191</v>
      </c>
      <c r="F375" s="138" t="s">
        <v>3182</v>
      </c>
      <c r="G375" s="138" t="s">
        <v>3183</v>
      </c>
      <c r="H375" s="138" t="s">
        <v>3181</v>
      </c>
      <c r="I375" s="138" t="s">
        <v>3189</v>
      </c>
      <c r="J375" s="138" t="s">
        <v>3193</v>
      </c>
      <c r="K375" s="139" t="s">
        <v>3192</v>
      </c>
    </row>
    <row r="376" customFormat="false" ht="14.25" hidden="false" customHeight="true" outlineLevel="0" collapsed="false">
      <c r="B376" s="137" t="n">
        <v>371</v>
      </c>
      <c r="C376" s="138" t="s">
        <v>3574</v>
      </c>
      <c r="D376" s="138" t="s">
        <v>3190</v>
      </c>
      <c r="E376" s="138" t="s">
        <v>3191</v>
      </c>
      <c r="F376" s="138" t="s">
        <v>3182</v>
      </c>
      <c r="G376" s="138" t="s">
        <v>3183</v>
      </c>
      <c r="H376" s="138" t="s">
        <v>3181</v>
      </c>
      <c r="I376" s="138" t="s">
        <v>3188</v>
      </c>
      <c r="J376" s="138" t="s">
        <v>3193</v>
      </c>
      <c r="K376" s="139" t="s">
        <v>3192</v>
      </c>
    </row>
    <row r="377" customFormat="false" ht="14.25" hidden="false" customHeight="true" outlineLevel="0" collapsed="false">
      <c r="B377" s="137" t="n">
        <v>372</v>
      </c>
      <c r="C377" s="138" t="s">
        <v>3575</v>
      </c>
      <c r="D377" s="138" t="s">
        <v>3189</v>
      </c>
      <c r="E377" s="138" t="s">
        <v>3191</v>
      </c>
      <c r="F377" s="138" t="s">
        <v>3182</v>
      </c>
      <c r="G377" s="138" t="s">
        <v>3183</v>
      </c>
      <c r="H377" s="138" t="s">
        <v>3181</v>
      </c>
      <c r="I377" s="138" t="s">
        <v>3188</v>
      </c>
      <c r="J377" s="138" t="s">
        <v>3193</v>
      </c>
      <c r="K377" s="139" t="s">
        <v>3192</v>
      </c>
    </row>
    <row r="378" customFormat="false" ht="14.25" hidden="false" customHeight="true" outlineLevel="0" collapsed="false">
      <c r="B378" s="137" t="n">
        <v>373</v>
      </c>
      <c r="C378" s="138" t="s">
        <v>3576</v>
      </c>
      <c r="D378" s="138" t="s">
        <v>3190</v>
      </c>
      <c r="E378" s="138" t="s">
        <v>3188</v>
      </c>
      <c r="F378" s="138" t="s">
        <v>3182</v>
      </c>
      <c r="G378" s="138" t="s">
        <v>3183</v>
      </c>
      <c r="H378" s="138" t="s">
        <v>3181</v>
      </c>
      <c r="I378" s="138" t="s">
        <v>3189</v>
      </c>
      <c r="J378" s="138" t="s">
        <v>3193</v>
      </c>
      <c r="K378" s="139" t="s">
        <v>3192</v>
      </c>
    </row>
    <row r="379" customFormat="false" ht="14.25" hidden="false" customHeight="true" outlineLevel="0" collapsed="false">
      <c r="B379" s="137" t="n">
        <v>374</v>
      </c>
      <c r="C379" s="138" t="s">
        <v>3577</v>
      </c>
      <c r="D379" s="138" t="s">
        <v>3189</v>
      </c>
      <c r="E379" s="138" t="s">
        <v>3191</v>
      </c>
      <c r="F379" s="138" t="s">
        <v>3182</v>
      </c>
      <c r="G379" s="138" t="s">
        <v>3183</v>
      </c>
      <c r="H379" s="138" t="s">
        <v>3181</v>
      </c>
      <c r="I379" s="138" t="s">
        <v>3188</v>
      </c>
      <c r="J379" s="138" t="s">
        <v>3193</v>
      </c>
      <c r="K379" s="139" t="s">
        <v>3190</v>
      </c>
    </row>
    <row r="380" customFormat="false" ht="14.25" hidden="false" customHeight="true" outlineLevel="0" collapsed="false">
      <c r="B380" s="137" t="n">
        <v>375</v>
      </c>
      <c r="C380" s="138" t="s">
        <v>3578</v>
      </c>
      <c r="D380" s="138" t="s">
        <v>3189</v>
      </c>
      <c r="E380" s="138" t="s">
        <v>3191</v>
      </c>
      <c r="F380" s="138" t="s">
        <v>3182</v>
      </c>
      <c r="G380" s="138" t="s">
        <v>3183</v>
      </c>
      <c r="H380" s="138" t="s">
        <v>3181</v>
      </c>
      <c r="I380" s="138" t="s">
        <v>3188</v>
      </c>
      <c r="J380" s="138" t="s">
        <v>3190</v>
      </c>
      <c r="K380" s="139" t="s">
        <v>3192</v>
      </c>
    </row>
    <row r="381" customFormat="false" ht="14.25" hidden="false" customHeight="true" outlineLevel="0" collapsed="false">
      <c r="B381" s="137" t="n">
        <v>376</v>
      </c>
      <c r="C381" s="138" t="s">
        <v>3579</v>
      </c>
      <c r="D381" s="138" t="s">
        <v>3190</v>
      </c>
      <c r="E381" s="138" t="s">
        <v>3191</v>
      </c>
      <c r="F381" s="138" t="s">
        <v>3182</v>
      </c>
      <c r="G381" s="138" t="s">
        <v>3183</v>
      </c>
      <c r="H381" s="138" t="s">
        <v>3181</v>
      </c>
      <c r="I381" s="138" t="s">
        <v>3187</v>
      </c>
      <c r="J381" s="138" t="s">
        <v>3193</v>
      </c>
      <c r="K381" s="139" t="s">
        <v>3192</v>
      </c>
    </row>
    <row r="382" customFormat="false" ht="14.25" hidden="false" customHeight="true" outlineLevel="0" collapsed="false">
      <c r="B382" s="137" t="n">
        <v>377</v>
      </c>
      <c r="C382" s="138" t="s">
        <v>3580</v>
      </c>
      <c r="D382" s="138" t="s">
        <v>3189</v>
      </c>
      <c r="E382" s="138" t="s">
        <v>3191</v>
      </c>
      <c r="F382" s="138" t="s">
        <v>3182</v>
      </c>
      <c r="G382" s="138" t="s">
        <v>3183</v>
      </c>
      <c r="H382" s="138" t="s">
        <v>3181</v>
      </c>
      <c r="I382" s="138" t="s">
        <v>3187</v>
      </c>
      <c r="J382" s="138" t="s">
        <v>3193</v>
      </c>
      <c r="K382" s="139" t="s">
        <v>3192</v>
      </c>
    </row>
    <row r="383" customFormat="false" ht="14.25" hidden="false" customHeight="true" outlineLevel="0" collapsed="false">
      <c r="B383" s="137" t="n">
        <v>378</v>
      </c>
      <c r="C383" s="138" t="s">
        <v>3581</v>
      </c>
      <c r="D383" s="138" t="s">
        <v>3189</v>
      </c>
      <c r="E383" s="138" t="s">
        <v>3190</v>
      </c>
      <c r="F383" s="138" t="s">
        <v>3182</v>
      </c>
      <c r="G383" s="138" t="s">
        <v>3183</v>
      </c>
      <c r="H383" s="138" t="s">
        <v>3181</v>
      </c>
      <c r="I383" s="138" t="s">
        <v>3187</v>
      </c>
      <c r="J383" s="138" t="s">
        <v>3193</v>
      </c>
      <c r="K383" s="139" t="s">
        <v>3192</v>
      </c>
    </row>
    <row r="384" customFormat="false" ht="14.25" hidden="false" customHeight="true" outlineLevel="0" collapsed="false">
      <c r="B384" s="137" t="n">
        <v>379</v>
      </c>
      <c r="C384" s="138" t="s">
        <v>3582</v>
      </c>
      <c r="D384" s="138" t="s">
        <v>3189</v>
      </c>
      <c r="E384" s="138" t="s">
        <v>3191</v>
      </c>
      <c r="F384" s="138" t="s">
        <v>3182</v>
      </c>
      <c r="G384" s="138" t="s">
        <v>3183</v>
      </c>
      <c r="H384" s="138" t="s">
        <v>3181</v>
      </c>
      <c r="I384" s="138" t="s">
        <v>3187</v>
      </c>
      <c r="J384" s="138" t="s">
        <v>3193</v>
      </c>
      <c r="K384" s="139" t="s">
        <v>3190</v>
      </c>
    </row>
    <row r="385" customFormat="false" ht="14.25" hidden="false" customHeight="true" outlineLevel="0" collapsed="false">
      <c r="B385" s="137" t="n">
        <v>380</v>
      </c>
      <c r="C385" s="138" t="s">
        <v>3583</v>
      </c>
      <c r="D385" s="138" t="s">
        <v>3189</v>
      </c>
      <c r="E385" s="138" t="s">
        <v>3191</v>
      </c>
      <c r="F385" s="138" t="s">
        <v>3182</v>
      </c>
      <c r="G385" s="138" t="s">
        <v>3183</v>
      </c>
      <c r="H385" s="138" t="s">
        <v>3181</v>
      </c>
      <c r="I385" s="138" t="s">
        <v>3187</v>
      </c>
      <c r="J385" s="138" t="s">
        <v>3190</v>
      </c>
      <c r="K385" s="139" t="s">
        <v>3192</v>
      </c>
    </row>
    <row r="386" customFormat="false" ht="14.25" hidden="false" customHeight="true" outlineLevel="0" collapsed="false">
      <c r="B386" s="137" t="n">
        <v>381</v>
      </c>
      <c r="C386" s="138" t="s">
        <v>3584</v>
      </c>
      <c r="D386" s="138" t="s">
        <v>3183</v>
      </c>
      <c r="E386" s="138" t="s">
        <v>3191</v>
      </c>
      <c r="F386" s="138" t="s">
        <v>3182</v>
      </c>
      <c r="G386" s="138" t="s">
        <v>3187</v>
      </c>
      <c r="H386" s="138" t="s">
        <v>3181</v>
      </c>
      <c r="I386" s="138" t="s">
        <v>3188</v>
      </c>
      <c r="J386" s="138" t="s">
        <v>3193</v>
      </c>
      <c r="K386" s="139" t="s">
        <v>3192</v>
      </c>
    </row>
    <row r="387" customFormat="false" ht="14.25" hidden="false" customHeight="true" outlineLevel="0" collapsed="false">
      <c r="B387" s="137" t="n">
        <v>382</v>
      </c>
      <c r="C387" s="138" t="s">
        <v>3585</v>
      </c>
      <c r="D387" s="138" t="s">
        <v>3190</v>
      </c>
      <c r="E387" s="138" t="s">
        <v>3188</v>
      </c>
      <c r="F387" s="138" t="s">
        <v>3182</v>
      </c>
      <c r="G387" s="138" t="s">
        <v>3183</v>
      </c>
      <c r="H387" s="138" t="s">
        <v>3181</v>
      </c>
      <c r="I387" s="138" t="s">
        <v>3187</v>
      </c>
      <c r="J387" s="138" t="s">
        <v>3193</v>
      </c>
      <c r="K387" s="139" t="s">
        <v>3192</v>
      </c>
    </row>
    <row r="388" customFormat="false" ht="14.25" hidden="false" customHeight="true" outlineLevel="0" collapsed="false">
      <c r="B388" s="137" t="n">
        <v>383</v>
      </c>
      <c r="C388" s="138" t="s">
        <v>3586</v>
      </c>
      <c r="D388" s="138" t="s">
        <v>3183</v>
      </c>
      <c r="E388" s="138" t="s">
        <v>3191</v>
      </c>
      <c r="F388" s="138" t="s">
        <v>3182</v>
      </c>
      <c r="G388" s="138" t="s">
        <v>3187</v>
      </c>
      <c r="H388" s="138" t="s">
        <v>3181</v>
      </c>
      <c r="I388" s="138" t="s">
        <v>3188</v>
      </c>
      <c r="J388" s="138" t="s">
        <v>3193</v>
      </c>
      <c r="K388" s="139" t="s">
        <v>3190</v>
      </c>
    </row>
    <row r="389" customFormat="false" ht="14.25" hidden="false" customHeight="true" outlineLevel="0" collapsed="false">
      <c r="B389" s="137" t="n">
        <v>384</v>
      </c>
      <c r="C389" s="138" t="s">
        <v>3587</v>
      </c>
      <c r="D389" s="138" t="s">
        <v>3183</v>
      </c>
      <c r="E389" s="138" t="s">
        <v>3191</v>
      </c>
      <c r="F389" s="138" t="s">
        <v>3182</v>
      </c>
      <c r="G389" s="138" t="s">
        <v>3187</v>
      </c>
      <c r="H389" s="138" t="s">
        <v>3181</v>
      </c>
      <c r="I389" s="138" t="s">
        <v>3188</v>
      </c>
      <c r="J389" s="138" t="s">
        <v>3190</v>
      </c>
      <c r="K389" s="139" t="s">
        <v>3192</v>
      </c>
    </row>
    <row r="390" customFormat="false" ht="14.25" hidden="false" customHeight="true" outlineLevel="0" collapsed="false">
      <c r="B390" s="137" t="n">
        <v>385</v>
      </c>
      <c r="C390" s="138" t="s">
        <v>3588</v>
      </c>
      <c r="D390" s="138" t="s">
        <v>3189</v>
      </c>
      <c r="E390" s="138" t="s">
        <v>3188</v>
      </c>
      <c r="F390" s="138" t="s">
        <v>3182</v>
      </c>
      <c r="G390" s="138" t="s">
        <v>3183</v>
      </c>
      <c r="H390" s="138" t="s">
        <v>3181</v>
      </c>
      <c r="I390" s="138" t="s">
        <v>3187</v>
      </c>
      <c r="J390" s="138" t="s">
        <v>3193</v>
      </c>
      <c r="K390" s="139" t="s">
        <v>3192</v>
      </c>
    </row>
    <row r="391" customFormat="false" ht="14.25" hidden="false" customHeight="true" outlineLevel="0" collapsed="false">
      <c r="B391" s="137" t="n">
        <v>386</v>
      </c>
      <c r="C391" s="138" t="s">
        <v>3589</v>
      </c>
      <c r="D391" s="138" t="s">
        <v>3189</v>
      </c>
      <c r="E391" s="138" t="s">
        <v>3188</v>
      </c>
      <c r="F391" s="138" t="s">
        <v>3182</v>
      </c>
      <c r="G391" s="138" t="s">
        <v>3183</v>
      </c>
      <c r="H391" s="138" t="s">
        <v>3181</v>
      </c>
      <c r="I391" s="138" t="s">
        <v>3187</v>
      </c>
      <c r="J391" s="138" t="s">
        <v>3193</v>
      </c>
      <c r="K391" s="139" t="s">
        <v>3191</v>
      </c>
    </row>
    <row r="392" customFormat="false" ht="14.25" hidden="false" customHeight="true" outlineLevel="0" collapsed="false">
      <c r="B392" s="137" t="n">
        <v>387</v>
      </c>
      <c r="C392" s="138" t="s">
        <v>3590</v>
      </c>
      <c r="D392" s="138" t="s">
        <v>3189</v>
      </c>
      <c r="E392" s="138" t="s">
        <v>3188</v>
      </c>
      <c r="F392" s="138" t="s">
        <v>3182</v>
      </c>
      <c r="G392" s="138" t="s">
        <v>3183</v>
      </c>
      <c r="H392" s="138" t="s">
        <v>3181</v>
      </c>
      <c r="I392" s="138" t="s">
        <v>3187</v>
      </c>
      <c r="J392" s="138" t="s">
        <v>3191</v>
      </c>
      <c r="K392" s="139" t="s">
        <v>3192</v>
      </c>
    </row>
    <row r="393" customFormat="false" ht="14.25" hidden="false" customHeight="true" outlineLevel="0" collapsed="false">
      <c r="B393" s="137" t="n">
        <v>388</v>
      </c>
      <c r="C393" s="138" t="s">
        <v>3591</v>
      </c>
      <c r="D393" s="138" t="s">
        <v>3189</v>
      </c>
      <c r="E393" s="138" t="s">
        <v>3188</v>
      </c>
      <c r="F393" s="138" t="s">
        <v>3182</v>
      </c>
      <c r="G393" s="138" t="s">
        <v>3183</v>
      </c>
      <c r="H393" s="138" t="s">
        <v>3181</v>
      </c>
      <c r="I393" s="138" t="s">
        <v>3187</v>
      </c>
      <c r="J393" s="138" t="s">
        <v>3193</v>
      </c>
      <c r="K393" s="139" t="s">
        <v>3190</v>
      </c>
    </row>
    <row r="394" customFormat="false" ht="14.25" hidden="false" customHeight="true" outlineLevel="0" collapsed="false">
      <c r="B394" s="137" t="n">
        <v>389</v>
      </c>
      <c r="C394" s="138" t="s">
        <v>3592</v>
      </c>
      <c r="D394" s="138" t="s">
        <v>3189</v>
      </c>
      <c r="E394" s="138" t="s">
        <v>3188</v>
      </c>
      <c r="F394" s="138" t="s">
        <v>3182</v>
      </c>
      <c r="G394" s="138" t="s">
        <v>3183</v>
      </c>
      <c r="H394" s="138" t="s">
        <v>3181</v>
      </c>
      <c r="I394" s="138" t="s">
        <v>3187</v>
      </c>
      <c r="J394" s="138" t="s">
        <v>3190</v>
      </c>
      <c r="K394" s="139" t="s">
        <v>3192</v>
      </c>
    </row>
    <row r="395" customFormat="false" ht="14.25" hidden="false" customHeight="true" outlineLevel="0" collapsed="false">
      <c r="B395" s="137" t="n">
        <v>390</v>
      </c>
      <c r="C395" s="138" t="s">
        <v>3593</v>
      </c>
      <c r="D395" s="138" t="s">
        <v>3189</v>
      </c>
      <c r="E395" s="138" t="s">
        <v>3188</v>
      </c>
      <c r="F395" s="138" t="s">
        <v>3182</v>
      </c>
      <c r="G395" s="138" t="s">
        <v>3183</v>
      </c>
      <c r="H395" s="138" t="s">
        <v>3181</v>
      </c>
      <c r="I395" s="138" t="s">
        <v>3187</v>
      </c>
      <c r="J395" s="138" t="s">
        <v>3190</v>
      </c>
      <c r="K395" s="139" t="s">
        <v>3191</v>
      </c>
    </row>
    <row r="396" customFormat="false" ht="14.25" hidden="false" customHeight="true" outlineLevel="0" collapsed="false">
      <c r="B396" s="137" t="n">
        <v>391</v>
      </c>
      <c r="C396" s="138" t="s">
        <v>3594</v>
      </c>
      <c r="D396" s="138" t="s">
        <v>3186</v>
      </c>
      <c r="E396" s="138" t="s">
        <v>3191</v>
      </c>
      <c r="F396" s="138" t="s">
        <v>3182</v>
      </c>
      <c r="G396" s="138" t="s">
        <v>3181</v>
      </c>
      <c r="H396" s="138" t="s">
        <v>3190</v>
      </c>
      <c r="I396" s="138" t="s">
        <v>3183</v>
      </c>
      <c r="J396" s="138" t="s">
        <v>3193</v>
      </c>
      <c r="K396" s="139" t="s">
        <v>3192</v>
      </c>
    </row>
    <row r="397" customFormat="false" ht="14.25" hidden="false" customHeight="true" outlineLevel="0" collapsed="false">
      <c r="B397" s="137" t="n">
        <v>392</v>
      </c>
      <c r="C397" s="138" t="s">
        <v>3595</v>
      </c>
      <c r="D397" s="138" t="s">
        <v>3186</v>
      </c>
      <c r="E397" s="138" t="s">
        <v>3191</v>
      </c>
      <c r="F397" s="138" t="s">
        <v>3182</v>
      </c>
      <c r="G397" s="138" t="s">
        <v>3183</v>
      </c>
      <c r="H397" s="138" t="s">
        <v>3181</v>
      </c>
      <c r="I397" s="138" t="s">
        <v>3189</v>
      </c>
      <c r="J397" s="138" t="s">
        <v>3193</v>
      </c>
      <c r="K397" s="139" t="s">
        <v>3192</v>
      </c>
    </row>
    <row r="398" customFormat="false" ht="14.25" hidden="false" customHeight="true" outlineLevel="0" collapsed="false">
      <c r="B398" s="137" t="n">
        <v>393</v>
      </c>
      <c r="C398" s="138" t="s">
        <v>3596</v>
      </c>
      <c r="D398" s="138" t="s">
        <v>3186</v>
      </c>
      <c r="E398" s="138" t="s">
        <v>3190</v>
      </c>
      <c r="F398" s="138" t="s">
        <v>3182</v>
      </c>
      <c r="G398" s="138" t="s">
        <v>3183</v>
      </c>
      <c r="H398" s="138" t="s">
        <v>3181</v>
      </c>
      <c r="I398" s="138" t="s">
        <v>3189</v>
      </c>
      <c r="J398" s="138" t="s">
        <v>3193</v>
      </c>
      <c r="K398" s="139" t="s">
        <v>3192</v>
      </c>
    </row>
    <row r="399" customFormat="false" ht="14.25" hidden="false" customHeight="true" outlineLevel="0" collapsed="false">
      <c r="B399" s="137" t="n">
        <v>394</v>
      </c>
      <c r="C399" s="138" t="s">
        <v>3597</v>
      </c>
      <c r="D399" s="138" t="s">
        <v>3186</v>
      </c>
      <c r="E399" s="138" t="s">
        <v>3191</v>
      </c>
      <c r="F399" s="138" t="s">
        <v>3182</v>
      </c>
      <c r="G399" s="138" t="s">
        <v>3183</v>
      </c>
      <c r="H399" s="138" t="s">
        <v>3181</v>
      </c>
      <c r="I399" s="138" t="s">
        <v>3189</v>
      </c>
      <c r="J399" s="138" t="s">
        <v>3193</v>
      </c>
      <c r="K399" s="139" t="s">
        <v>3190</v>
      </c>
    </row>
    <row r="400" customFormat="false" ht="14.25" hidden="false" customHeight="true" outlineLevel="0" collapsed="false">
      <c r="B400" s="137" t="n">
        <v>395</v>
      </c>
      <c r="C400" s="138" t="s">
        <v>3598</v>
      </c>
      <c r="D400" s="138" t="s">
        <v>3186</v>
      </c>
      <c r="E400" s="138" t="s">
        <v>3191</v>
      </c>
      <c r="F400" s="138" t="s">
        <v>3182</v>
      </c>
      <c r="G400" s="138" t="s">
        <v>3183</v>
      </c>
      <c r="H400" s="138" t="s">
        <v>3181</v>
      </c>
      <c r="I400" s="138" t="s">
        <v>3189</v>
      </c>
      <c r="J400" s="138" t="s">
        <v>3190</v>
      </c>
      <c r="K400" s="139" t="s">
        <v>3192</v>
      </c>
    </row>
    <row r="401" customFormat="false" ht="14.25" hidden="false" customHeight="true" outlineLevel="0" collapsed="false">
      <c r="B401" s="137" t="n">
        <v>396</v>
      </c>
      <c r="C401" s="138" t="s">
        <v>3599</v>
      </c>
      <c r="D401" s="138" t="s">
        <v>3186</v>
      </c>
      <c r="E401" s="138" t="s">
        <v>3191</v>
      </c>
      <c r="F401" s="138" t="s">
        <v>3182</v>
      </c>
      <c r="G401" s="138" t="s">
        <v>3183</v>
      </c>
      <c r="H401" s="138" t="s">
        <v>3181</v>
      </c>
      <c r="I401" s="138" t="s">
        <v>3188</v>
      </c>
      <c r="J401" s="138" t="s">
        <v>3193</v>
      </c>
      <c r="K401" s="139" t="s">
        <v>3192</v>
      </c>
    </row>
    <row r="402" customFormat="false" ht="14.25" hidden="false" customHeight="true" outlineLevel="0" collapsed="false">
      <c r="B402" s="137" t="n">
        <v>397</v>
      </c>
      <c r="C402" s="138" t="s">
        <v>3600</v>
      </c>
      <c r="D402" s="138" t="s">
        <v>3186</v>
      </c>
      <c r="E402" s="138" t="s">
        <v>3188</v>
      </c>
      <c r="F402" s="138" t="s">
        <v>3182</v>
      </c>
      <c r="G402" s="138" t="s">
        <v>3181</v>
      </c>
      <c r="H402" s="138" t="s">
        <v>3190</v>
      </c>
      <c r="I402" s="138" t="s">
        <v>3183</v>
      </c>
      <c r="J402" s="138" t="s">
        <v>3193</v>
      </c>
      <c r="K402" s="139" t="s">
        <v>3192</v>
      </c>
    </row>
    <row r="403" customFormat="false" ht="14.25" hidden="false" customHeight="true" outlineLevel="0" collapsed="false">
      <c r="B403" s="137" t="n">
        <v>398</v>
      </c>
      <c r="C403" s="138" t="s">
        <v>3601</v>
      </c>
      <c r="D403" s="138" t="s">
        <v>3186</v>
      </c>
      <c r="E403" s="138" t="s">
        <v>3191</v>
      </c>
      <c r="F403" s="138" t="s">
        <v>3182</v>
      </c>
      <c r="G403" s="138" t="s">
        <v>3183</v>
      </c>
      <c r="H403" s="138" t="s">
        <v>3181</v>
      </c>
      <c r="I403" s="138" t="s">
        <v>3188</v>
      </c>
      <c r="J403" s="138" t="s">
        <v>3193</v>
      </c>
      <c r="K403" s="139" t="s">
        <v>3190</v>
      </c>
    </row>
    <row r="404" customFormat="false" ht="14.25" hidden="false" customHeight="true" outlineLevel="0" collapsed="false">
      <c r="B404" s="137" t="n">
        <v>399</v>
      </c>
      <c r="C404" s="138" t="s">
        <v>3602</v>
      </c>
      <c r="D404" s="138" t="s">
        <v>3186</v>
      </c>
      <c r="E404" s="138" t="s">
        <v>3191</v>
      </c>
      <c r="F404" s="138" t="s">
        <v>3182</v>
      </c>
      <c r="G404" s="138" t="s">
        <v>3183</v>
      </c>
      <c r="H404" s="138" t="s">
        <v>3181</v>
      </c>
      <c r="I404" s="138" t="s">
        <v>3188</v>
      </c>
      <c r="J404" s="138" t="s">
        <v>3190</v>
      </c>
      <c r="K404" s="139" t="s">
        <v>3192</v>
      </c>
    </row>
    <row r="405" customFormat="false" ht="14.25" hidden="false" customHeight="true" outlineLevel="0" collapsed="false">
      <c r="B405" s="137" t="n">
        <v>400</v>
      </c>
      <c r="C405" s="138" t="s">
        <v>3603</v>
      </c>
      <c r="D405" s="138" t="s">
        <v>3186</v>
      </c>
      <c r="E405" s="138" t="s">
        <v>3188</v>
      </c>
      <c r="F405" s="138" t="s">
        <v>3182</v>
      </c>
      <c r="G405" s="138" t="s">
        <v>3183</v>
      </c>
      <c r="H405" s="138" t="s">
        <v>3181</v>
      </c>
      <c r="I405" s="138" t="s">
        <v>3189</v>
      </c>
      <c r="J405" s="138" t="s">
        <v>3193</v>
      </c>
      <c r="K405" s="139" t="s">
        <v>3192</v>
      </c>
    </row>
    <row r="406" customFormat="false" ht="14.25" hidden="false" customHeight="true" outlineLevel="0" collapsed="false">
      <c r="B406" s="137" t="n">
        <v>401</v>
      </c>
      <c r="C406" s="138" t="s">
        <v>3604</v>
      </c>
      <c r="D406" s="138" t="s">
        <v>3189</v>
      </c>
      <c r="E406" s="138" t="s">
        <v>3191</v>
      </c>
      <c r="F406" s="138" t="s">
        <v>3182</v>
      </c>
      <c r="G406" s="138" t="s">
        <v>3183</v>
      </c>
      <c r="H406" s="138" t="s">
        <v>3181</v>
      </c>
      <c r="I406" s="138" t="s">
        <v>3188</v>
      </c>
      <c r="J406" s="138" t="s">
        <v>3193</v>
      </c>
      <c r="K406" s="139" t="s">
        <v>3186</v>
      </c>
    </row>
    <row r="407" customFormat="false" ht="14.25" hidden="false" customHeight="true" outlineLevel="0" collapsed="false">
      <c r="B407" s="137" t="n">
        <v>402</v>
      </c>
      <c r="C407" s="138" t="s">
        <v>3605</v>
      </c>
      <c r="D407" s="138" t="s">
        <v>3189</v>
      </c>
      <c r="E407" s="138" t="s">
        <v>3191</v>
      </c>
      <c r="F407" s="138" t="s">
        <v>3182</v>
      </c>
      <c r="G407" s="138" t="s">
        <v>3183</v>
      </c>
      <c r="H407" s="138" t="s">
        <v>3181</v>
      </c>
      <c r="I407" s="138" t="s">
        <v>3188</v>
      </c>
      <c r="J407" s="138" t="s">
        <v>3186</v>
      </c>
      <c r="K407" s="139" t="s">
        <v>3192</v>
      </c>
    </row>
    <row r="408" customFormat="false" ht="14.25" hidden="false" customHeight="true" outlineLevel="0" collapsed="false">
      <c r="B408" s="137" t="n">
        <v>403</v>
      </c>
      <c r="C408" s="138" t="s">
        <v>3606</v>
      </c>
      <c r="D408" s="138" t="s">
        <v>3186</v>
      </c>
      <c r="E408" s="138" t="s">
        <v>3188</v>
      </c>
      <c r="F408" s="138" t="s">
        <v>3182</v>
      </c>
      <c r="G408" s="138" t="s">
        <v>3183</v>
      </c>
      <c r="H408" s="138" t="s">
        <v>3181</v>
      </c>
      <c r="I408" s="138" t="s">
        <v>3189</v>
      </c>
      <c r="J408" s="138" t="s">
        <v>3193</v>
      </c>
      <c r="K408" s="139" t="s">
        <v>3190</v>
      </c>
    </row>
    <row r="409" customFormat="false" ht="14.25" hidden="false" customHeight="true" outlineLevel="0" collapsed="false">
      <c r="B409" s="137" t="n">
        <v>404</v>
      </c>
      <c r="C409" s="138" t="s">
        <v>3607</v>
      </c>
      <c r="D409" s="138" t="s">
        <v>3186</v>
      </c>
      <c r="E409" s="138" t="s">
        <v>3188</v>
      </c>
      <c r="F409" s="138" t="s">
        <v>3182</v>
      </c>
      <c r="G409" s="138" t="s">
        <v>3183</v>
      </c>
      <c r="H409" s="138" t="s">
        <v>3181</v>
      </c>
      <c r="I409" s="138" t="s">
        <v>3189</v>
      </c>
      <c r="J409" s="138" t="s">
        <v>3190</v>
      </c>
      <c r="K409" s="139" t="s">
        <v>3192</v>
      </c>
    </row>
    <row r="410" customFormat="false" ht="14.25" hidden="false" customHeight="true" outlineLevel="0" collapsed="false">
      <c r="B410" s="137" t="n">
        <v>405</v>
      </c>
      <c r="C410" s="138" t="s">
        <v>3608</v>
      </c>
      <c r="D410" s="138" t="s">
        <v>3189</v>
      </c>
      <c r="E410" s="138" t="s">
        <v>3191</v>
      </c>
      <c r="F410" s="138" t="s">
        <v>3182</v>
      </c>
      <c r="G410" s="138" t="s">
        <v>3183</v>
      </c>
      <c r="H410" s="138" t="s">
        <v>3181</v>
      </c>
      <c r="I410" s="138" t="s">
        <v>3188</v>
      </c>
      <c r="J410" s="138" t="s">
        <v>3186</v>
      </c>
      <c r="K410" s="139" t="s">
        <v>3190</v>
      </c>
    </row>
    <row r="411" customFormat="false" ht="14.25" hidden="false" customHeight="true" outlineLevel="0" collapsed="false">
      <c r="B411" s="137" t="n">
        <v>406</v>
      </c>
      <c r="C411" s="138" t="s">
        <v>3609</v>
      </c>
      <c r="D411" s="138" t="s">
        <v>3186</v>
      </c>
      <c r="E411" s="138" t="s">
        <v>3191</v>
      </c>
      <c r="F411" s="138" t="s">
        <v>3182</v>
      </c>
      <c r="G411" s="138" t="s">
        <v>3183</v>
      </c>
      <c r="H411" s="138" t="s">
        <v>3181</v>
      </c>
      <c r="I411" s="138" t="s">
        <v>3187</v>
      </c>
      <c r="J411" s="138" t="s">
        <v>3193</v>
      </c>
      <c r="K411" s="139" t="s">
        <v>3192</v>
      </c>
    </row>
    <row r="412" customFormat="false" ht="14.25" hidden="false" customHeight="true" outlineLevel="0" collapsed="false">
      <c r="B412" s="137" t="n">
        <v>407</v>
      </c>
      <c r="C412" s="138" t="s">
        <v>3610</v>
      </c>
      <c r="D412" s="138" t="s">
        <v>3186</v>
      </c>
      <c r="E412" s="138" t="s">
        <v>3190</v>
      </c>
      <c r="F412" s="138" t="s">
        <v>3182</v>
      </c>
      <c r="G412" s="138" t="s">
        <v>3183</v>
      </c>
      <c r="H412" s="138" t="s">
        <v>3181</v>
      </c>
      <c r="I412" s="138" t="s">
        <v>3187</v>
      </c>
      <c r="J412" s="138" t="s">
        <v>3193</v>
      </c>
      <c r="K412" s="139" t="s">
        <v>3192</v>
      </c>
    </row>
    <row r="413" customFormat="false" ht="14.25" hidden="false" customHeight="true" outlineLevel="0" collapsed="false">
      <c r="B413" s="137" t="n">
        <v>408</v>
      </c>
      <c r="C413" s="138" t="s">
        <v>3611</v>
      </c>
      <c r="D413" s="138" t="s">
        <v>3186</v>
      </c>
      <c r="E413" s="138" t="s">
        <v>3191</v>
      </c>
      <c r="F413" s="138" t="s">
        <v>3182</v>
      </c>
      <c r="G413" s="138" t="s">
        <v>3183</v>
      </c>
      <c r="H413" s="138" t="s">
        <v>3181</v>
      </c>
      <c r="I413" s="138" t="s">
        <v>3187</v>
      </c>
      <c r="J413" s="138" t="s">
        <v>3193</v>
      </c>
      <c r="K413" s="139" t="s">
        <v>3190</v>
      </c>
    </row>
    <row r="414" customFormat="false" ht="14.25" hidden="false" customHeight="true" outlineLevel="0" collapsed="false">
      <c r="B414" s="137" t="n">
        <v>409</v>
      </c>
      <c r="C414" s="138" t="s">
        <v>3612</v>
      </c>
      <c r="D414" s="138" t="s">
        <v>3186</v>
      </c>
      <c r="E414" s="138" t="s">
        <v>3191</v>
      </c>
      <c r="F414" s="138" t="s">
        <v>3182</v>
      </c>
      <c r="G414" s="138" t="s">
        <v>3183</v>
      </c>
      <c r="H414" s="138" t="s">
        <v>3181</v>
      </c>
      <c r="I414" s="138" t="s">
        <v>3187</v>
      </c>
      <c r="J414" s="138" t="s">
        <v>3190</v>
      </c>
      <c r="K414" s="139" t="s">
        <v>3192</v>
      </c>
    </row>
    <row r="415" customFormat="false" ht="14.25" hidden="false" customHeight="true" outlineLevel="0" collapsed="false">
      <c r="B415" s="137" t="n">
        <v>410</v>
      </c>
      <c r="C415" s="138" t="s">
        <v>3613</v>
      </c>
      <c r="D415" s="138" t="s">
        <v>3189</v>
      </c>
      <c r="E415" s="138" t="s">
        <v>3186</v>
      </c>
      <c r="F415" s="138" t="s">
        <v>3182</v>
      </c>
      <c r="G415" s="138" t="s">
        <v>3183</v>
      </c>
      <c r="H415" s="138" t="s">
        <v>3181</v>
      </c>
      <c r="I415" s="138" t="s">
        <v>3187</v>
      </c>
      <c r="J415" s="138" t="s">
        <v>3193</v>
      </c>
      <c r="K415" s="139" t="s">
        <v>3192</v>
      </c>
    </row>
    <row r="416" customFormat="false" ht="14.25" hidden="false" customHeight="true" outlineLevel="0" collapsed="false">
      <c r="B416" s="137" t="n">
        <v>411</v>
      </c>
      <c r="C416" s="138" t="s">
        <v>3614</v>
      </c>
      <c r="D416" s="138" t="s">
        <v>3189</v>
      </c>
      <c r="E416" s="138" t="s">
        <v>3191</v>
      </c>
      <c r="F416" s="138" t="s">
        <v>3182</v>
      </c>
      <c r="G416" s="138" t="s">
        <v>3183</v>
      </c>
      <c r="H416" s="138" t="s">
        <v>3181</v>
      </c>
      <c r="I416" s="138" t="s">
        <v>3187</v>
      </c>
      <c r="J416" s="138" t="s">
        <v>3193</v>
      </c>
      <c r="K416" s="139" t="s">
        <v>3186</v>
      </c>
    </row>
    <row r="417" customFormat="false" ht="14.25" hidden="false" customHeight="true" outlineLevel="0" collapsed="false">
      <c r="B417" s="137" t="n">
        <v>412</v>
      </c>
      <c r="C417" s="138" t="s">
        <v>3615</v>
      </c>
      <c r="D417" s="138" t="s">
        <v>3189</v>
      </c>
      <c r="E417" s="138" t="s">
        <v>3191</v>
      </c>
      <c r="F417" s="138" t="s">
        <v>3182</v>
      </c>
      <c r="G417" s="138" t="s">
        <v>3183</v>
      </c>
      <c r="H417" s="138" t="s">
        <v>3181</v>
      </c>
      <c r="I417" s="138" t="s">
        <v>3187</v>
      </c>
      <c r="J417" s="138" t="s">
        <v>3186</v>
      </c>
      <c r="K417" s="139" t="s">
        <v>3192</v>
      </c>
    </row>
    <row r="418" customFormat="false" ht="14.25" hidden="false" customHeight="true" outlineLevel="0" collapsed="false">
      <c r="B418" s="137" t="n">
        <v>413</v>
      </c>
      <c r="C418" s="138" t="s">
        <v>3616</v>
      </c>
      <c r="D418" s="138" t="s">
        <v>3189</v>
      </c>
      <c r="E418" s="138" t="s">
        <v>3186</v>
      </c>
      <c r="F418" s="138" t="s">
        <v>3182</v>
      </c>
      <c r="G418" s="138" t="s">
        <v>3183</v>
      </c>
      <c r="H418" s="138" t="s">
        <v>3181</v>
      </c>
      <c r="I418" s="138" t="s">
        <v>3187</v>
      </c>
      <c r="J418" s="138" t="s">
        <v>3193</v>
      </c>
      <c r="K418" s="139" t="s">
        <v>3190</v>
      </c>
    </row>
    <row r="419" customFormat="false" ht="14.25" hidden="false" customHeight="true" outlineLevel="0" collapsed="false">
      <c r="B419" s="137" t="n">
        <v>414</v>
      </c>
      <c r="C419" s="138" t="s">
        <v>3617</v>
      </c>
      <c r="D419" s="138" t="s">
        <v>3189</v>
      </c>
      <c r="E419" s="138" t="s">
        <v>3186</v>
      </c>
      <c r="F419" s="138" t="s">
        <v>3182</v>
      </c>
      <c r="G419" s="138" t="s">
        <v>3183</v>
      </c>
      <c r="H419" s="138" t="s">
        <v>3181</v>
      </c>
      <c r="I419" s="138" t="s">
        <v>3187</v>
      </c>
      <c r="J419" s="138" t="s">
        <v>3190</v>
      </c>
      <c r="K419" s="139" t="s">
        <v>3192</v>
      </c>
    </row>
    <row r="420" customFormat="false" ht="14.25" hidden="false" customHeight="true" outlineLevel="0" collapsed="false">
      <c r="B420" s="137" t="n">
        <v>415</v>
      </c>
      <c r="C420" s="138" t="s">
        <v>3618</v>
      </c>
      <c r="D420" s="138" t="s">
        <v>3189</v>
      </c>
      <c r="E420" s="138" t="s">
        <v>3191</v>
      </c>
      <c r="F420" s="138" t="s">
        <v>3182</v>
      </c>
      <c r="G420" s="138" t="s">
        <v>3183</v>
      </c>
      <c r="H420" s="138" t="s">
        <v>3181</v>
      </c>
      <c r="I420" s="138" t="s">
        <v>3187</v>
      </c>
      <c r="J420" s="138" t="s">
        <v>3186</v>
      </c>
      <c r="K420" s="139" t="s">
        <v>3190</v>
      </c>
    </row>
    <row r="421" customFormat="false" ht="14.25" hidden="false" customHeight="true" outlineLevel="0" collapsed="false">
      <c r="B421" s="137" t="n">
        <v>416</v>
      </c>
      <c r="C421" s="138" t="s">
        <v>3619</v>
      </c>
      <c r="D421" s="138" t="s">
        <v>3186</v>
      </c>
      <c r="E421" s="138" t="s">
        <v>3188</v>
      </c>
      <c r="F421" s="138" t="s">
        <v>3182</v>
      </c>
      <c r="G421" s="138" t="s">
        <v>3183</v>
      </c>
      <c r="H421" s="138" t="s">
        <v>3181</v>
      </c>
      <c r="I421" s="138" t="s">
        <v>3187</v>
      </c>
      <c r="J421" s="138" t="s">
        <v>3193</v>
      </c>
      <c r="K421" s="139" t="s">
        <v>3192</v>
      </c>
    </row>
    <row r="422" customFormat="false" ht="14.25" hidden="false" customHeight="true" outlineLevel="0" collapsed="false">
      <c r="B422" s="137" t="n">
        <v>417</v>
      </c>
      <c r="C422" s="138" t="s">
        <v>3620</v>
      </c>
      <c r="D422" s="138" t="s">
        <v>3186</v>
      </c>
      <c r="E422" s="138" t="s">
        <v>3188</v>
      </c>
      <c r="F422" s="138" t="s">
        <v>3182</v>
      </c>
      <c r="G422" s="138" t="s">
        <v>3183</v>
      </c>
      <c r="H422" s="138" t="s">
        <v>3181</v>
      </c>
      <c r="I422" s="138" t="s">
        <v>3187</v>
      </c>
      <c r="J422" s="138" t="s">
        <v>3193</v>
      </c>
      <c r="K422" s="139" t="s">
        <v>3191</v>
      </c>
    </row>
    <row r="423" customFormat="false" ht="14.25" hidden="false" customHeight="true" outlineLevel="0" collapsed="false">
      <c r="B423" s="137" t="n">
        <v>418</v>
      </c>
      <c r="C423" s="138" t="s">
        <v>3621</v>
      </c>
      <c r="D423" s="138" t="s">
        <v>3186</v>
      </c>
      <c r="E423" s="138" t="s">
        <v>3188</v>
      </c>
      <c r="F423" s="138" t="s">
        <v>3182</v>
      </c>
      <c r="G423" s="138" t="s">
        <v>3183</v>
      </c>
      <c r="H423" s="138" t="s">
        <v>3181</v>
      </c>
      <c r="I423" s="138" t="s">
        <v>3187</v>
      </c>
      <c r="J423" s="138" t="s">
        <v>3191</v>
      </c>
      <c r="K423" s="139" t="s">
        <v>3192</v>
      </c>
    </row>
    <row r="424" customFormat="false" ht="14.25" hidden="false" customHeight="true" outlineLevel="0" collapsed="false">
      <c r="B424" s="137" t="n">
        <v>419</v>
      </c>
      <c r="C424" s="138" t="s">
        <v>3622</v>
      </c>
      <c r="D424" s="138" t="s">
        <v>3186</v>
      </c>
      <c r="E424" s="138" t="s">
        <v>3188</v>
      </c>
      <c r="F424" s="138" t="s">
        <v>3182</v>
      </c>
      <c r="G424" s="138" t="s">
        <v>3183</v>
      </c>
      <c r="H424" s="138" t="s">
        <v>3181</v>
      </c>
      <c r="I424" s="138" t="s">
        <v>3187</v>
      </c>
      <c r="J424" s="138" t="s">
        <v>3193</v>
      </c>
      <c r="K424" s="139" t="s">
        <v>3190</v>
      </c>
    </row>
    <row r="425" customFormat="false" ht="14.25" hidden="false" customHeight="true" outlineLevel="0" collapsed="false">
      <c r="B425" s="137" t="n">
        <v>420</v>
      </c>
      <c r="C425" s="138" t="s">
        <v>3623</v>
      </c>
      <c r="D425" s="138" t="s">
        <v>3186</v>
      </c>
      <c r="E425" s="138" t="s">
        <v>3188</v>
      </c>
      <c r="F425" s="138" t="s">
        <v>3182</v>
      </c>
      <c r="G425" s="138" t="s">
        <v>3183</v>
      </c>
      <c r="H425" s="138" t="s">
        <v>3181</v>
      </c>
      <c r="I425" s="138" t="s">
        <v>3187</v>
      </c>
      <c r="J425" s="138" t="s">
        <v>3190</v>
      </c>
      <c r="K425" s="139" t="s">
        <v>3192</v>
      </c>
    </row>
    <row r="426" customFormat="false" ht="14.25" hidden="false" customHeight="true" outlineLevel="0" collapsed="false">
      <c r="B426" s="137" t="n">
        <v>421</v>
      </c>
      <c r="C426" s="138" t="s">
        <v>3624</v>
      </c>
      <c r="D426" s="138" t="s">
        <v>3186</v>
      </c>
      <c r="E426" s="138" t="s">
        <v>3188</v>
      </c>
      <c r="F426" s="138" t="s">
        <v>3182</v>
      </c>
      <c r="G426" s="138" t="s">
        <v>3183</v>
      </c>
      <c r="H426" s="138" t="s">
        <v>3181</v>
      </c>
      <c r="I426" s="138" t="s">
        <v>3187</v>
      </c>
      <c r="J426" s="138" t="s">
        <v>3190</v>
      </c>
      <c r="K426" s="139" t="s">
        <v>3191</v>
      </c>
    </row>
    <row r="427" customFormat="false" ht="14.25" hidden="false" customHeight="true" outlineLevel="0" collapsed="false">
      <c r="B427" s="137" t="n">
        <v>422</v>
      </c>
      <c r="C427" s="138" t="s">
        <v>3625</v>
      </c>
      <c r="D427" s="138" t="s">
        <v>3189</v>
      </c>
      <c r="E427" s="138" t="s">
        <v>3188</v>
      </c>
      <c r="F427" s="138" t="s">
        <v>3182</v>
      </c>
      <c r="G427" s="138" t="s">
        <v>3183</v>
      </c>
      <c r="H427" s="138" t="s">
        <v>3181</v>
      </c>
      <c r="I427" s="138" t="s">
        <v>3187</v>
      </c>
      <c r="J427" s="138" t="s">
        <v>3193</v>
      </c>
      <c r="K427" s="139" t="s">
        <v>3186</v>
      </c>
    </row>
    <row r="428" customFormat="false" ht="14.25" hidden="false" customHeight="true" outlineLevel="0" collapsed="false">
      <c r="B428" s="137" t="n">
        <v>423</v>
      </c>
      <c r="C428" s="138" t="s">
        <v>3626</v>
      </c>
      <c r="D428" s="138" t="s">
        <v>3189</v>
      </c>
      <c r="E428" s="138" t="s">
        <v>3188</v>
      </c>
      <c r="F428" s="138" t="s">
        <v>3182</v>
      </c>
      <c r="G428" s="138" t="s">
        <v>3183</v>
      </c>
      <c r="H428" s="138" t="s">
        <v>3181</v>
      </c>
      <c r="I428" s="138" t="s">
        <v>3187</v>
      </c>
      <c r="J428" s="138" t="s">
        <v>3186</v>
      </c>
      <c r="K428" s="139" t="s">
        <v>3192</v>
      </c>
    </row>
    <row r="429" customFormat="false" ht="14.25" hidden="false" customHeight="true" outlineLevel="0" collapsed="false">
      <c r="B429" s="137" t="n">
        <v>424</v>
      </c>
      <c r="C429" s="138" t="s">
        <v>3627</v>
      </c>
      <c r="D429" s="138" t="s">
        <v>3189</v>
      </c>
      <c r="E429" s="138" t="s">
        <v>3188</v>
      </c>
      <c r="F429" s="138" t="s">
        <v>3182</v>
      </c>
      <c r="G429" s="138" t="s">
        <v>3183</v>
      </c>
      <c r="H429" s="138" t="s">
        <v>3181</v>
      </c>
      <c r="I429" s="138" t="s">
        <v>3187</v>
      </c>
      <c r="J429" s="138" t="s">
        <v>3186</v>
      </c>
      <c r="K429" s="139" t="s">
        <v>3191</v>
      </c>
    </row>
    <row r="430" customFormat="false" ht="14.25" hidden="false" customHeight="true" outlineLevel="0" collapsed="false">
      <c r="B430" s="137" t="n">
        <v>425</v>
      </c>
      <c r="C430" s="138" t="s">
        <v>3628</v>
      </c>
      <c r="D430" s="138" t="s">
        <v>3189</v>
      </c>
      <c r="E430" s="138" t="s">
        <v>3188</v>
      </c>
      <c r="F430" s="138" t="s">
        <v>3182</v>
      </c>
      <c r="G430" s="138" t="s">
        <v>3183</v>
      </c>
      <c r="H430" s="138" t="s">
        <v>3181</v>
      </c>
      <c r="I430" s="138" t="s">
        <v>3187</v>
      </c>
      <c r="J430" s="138" t="s">
        <v>3186</v>
      </c>
      <c r="K430" s="139" t="s">
        <v>3190</v>
      </c>
    </row>
    <row r="431" customFormat="false" ht="14.25" hidden="false" customHeight="true" outlineLevel="0" collapsed="false">
      <c r="B431" s="137" t="n">
        <v>426</v>
      </c>
      <c r="C431" s="138" t="s">
        <v>3629</v>
      </c>
      <c r="D431" s="138" t="s">
        <v>3190</v>
      </c>
      <c r="E431" s="138" t="s">
        <v>3191</v>
      </c>
      <c r="F431" s="138" t="s">
        <v>3182</v>
      </c>
      <c r="G431" s="138" t="s">
        <v>3183</v>
      </c>
      <c r="H431" s="138" t="s">
        <v>3181</v>
      </c>
      <c r="I431" s="138" t="s">
        <v>3185</v>
      </c>
      <c r="J431" s="138" t="s">
        <v>3193</v>
      </c>
      <c r="K431" s="139" t="s">
        <v>3192</v>
      </c>
    </row>
    <row r="432" customFormat="false" ht="14.25" hidden="false" customHeight="true" outlineLevel="0" collapsed="false">
      <c r="B432" s="137" t="n">
        <v>427</v>
      </c>
      <c r="C432" s="138" t="s">
        <v>3630</v>
      </c>
      <c r="D432" s="138" t="s">
        <v>3189</v>
      </c>
      <c r="E432" s="138" t="s">
        <v>3191</v>
      </c>
      <c r="F432" s="138" t="s">
        <v>3182</v>
      </c>
      <c r="G432" s="138" t="s">
        <v>3183</v>
      </c>
      <c r="H432" s="138" t="s">
        <v>3181</v>
      </c>
      <c r="I432" s="138" t="s">
        <v>3185</v>
      </c>
      <c r="J432" s="138" t="s">
        <v>3193</v>
      </c>
      <c r="K432" s="139" t="s">
        <v>3192</v>
      </c>
    </row>
    <row r="433" customFormat="false" ht="14.25" hidden="false" customHeight="true" outlineLevel="0" collapsed="false">
      <c r="B433" s="137" t="n">
        <v>428</v>
      </c>
      <c r="C433" s="138" t="s">
        <v>3631</v>
      </c>
      <c r="D433" s="138" t="s">
        <v>3189</v>
      </c>
      <c r="E433" s="138" t="s">
        <v>3190</v>
      </c>
      <c r="F433" s="138" t="s">
        <v>3182</v>
      </c>
      <c r="G433" s="138" t="s">
        <v>3183</v>
      </c>
      <c r="H433" s="138" t="s">
        <v>3181</v>
      </c>
      <c r="I433" s="138" t="s">
        <v>3185</v>
      </c>
      <c r="J433" s="138" t="s">
        <v>3193</v>
      </c>
      <c r="K433" s="139" t="s">
        <v>3192</v>
      </c>
    </row>
    <row r="434" customFormat="false" ht="14.25" hidden="false" customHeight="true" outlineLevel="0" collapsed="false">
      <c r="B434" s="137" t="n">
        <v>429</v>
      </c>
      <c r="C434" s="138" t="s">
        <v>3632</v>
      </c>
      <c r="D434" s="138" t="s">
        <v>3189</v>
      </c>
      <c r="E434" s="138" t="s">
        <v>3191</v>
      </c>
      <c r="F434" s="138" t="s">
        <v>3182</v>
      </c>
      <c r="G434" s="138" t="s">
        <v>3183</v>
      </c>
      <c r="H434" s="138" t="s">
        <v>3181</v>
      </c>
      <c r="I434" s="138" t="s">
        <v>3185</v>
      </c>
      <c r="J434" s="138" t="s">
        <v>3193</v>
      </c>
      <c r="K434" s="139" t="s">
        <v>3190</v>
      </c>
    </row>
    <row r="435" customFormat="false" ht="14.25" hidden="false" customHeight="true" outlineLevel="0" collapsed="false">
      <c r="B435" s="137" t="n">
        <v>430</v>
      </c>
      <c r="C435" s="138" t="s">
        <v>3633</v>
      </c>
      <c r="D435" s="138" t="s">
        <v>3189</v>
      </c>
      <c r="E435" s="138" t="s">
        <v>3191</v>
      </c>
      <c r="F435" s="138" t="s">
        <v>3182</v>
      </c>
      <c r="G435" s="138" t="s">
        <v>3183</v>
      </c>
      <c r="H435" s="138" t="s">
        <v>3181</v>
      </c>
      <c r="I435" s="138" t="s">
        <v>3185</v>
      </c>
      <c r="J435" s="138" t="s">
        <v>3190</v>
      </c>
      <c r="K435" s="139" t="s">
        <v>3192</v>
      </c>
    </row>
    <row r="436" customFormat="false" ht="14.25" hidden="false" customHeight="true" outlineLevel="0" collapsed="false">
      <c r="B436" s="137" t="n">
        <v>431</v>
      </c>
      <c r="C436" s="138" t="s">
        <v>3634</v>
      </c>
      <c r="D436" s="138" t="s">
        <v>3183</v>
      </c>
      <c r="E436" s="138" t="s">
        <v>3191</v>
      </c>
      <c r="F436" s="138" t="s">
        <v>3182</v>
      </c>
      <c r="G436" s="138" t="s">
        <v>3185</v>
      </c>
      <c r="H436" s="138" t="s">
        <v>3181</v>
      </c>
      <c r="I436" s="138" t="s">
        <v>3188</v>
      </c>
      <c r="J436" s="138" t="s">
        <v>3193</v>
      </c>
      <c r="K436" s="139" t="s">
        <v>3192</v>
      </c>
    </row>
    <row r="437" customFormat="false" ht="14.25" hidden="false" customHeight="true" outlineLevel="0" collapsed="false">
      <c r="B437" s="137" t="n">
        <v>432</v>
      </c>
      <c r="C437" s="138" t="s">
        <v>3635</v>
      </c>
      <c r="D437" s="138" t="s">
        <v>3190</v>
      </c>
      <c r="E437" s="138" t="s">
        <v>3188</v>
      </c>
      <c r="F437" s="138" t="s">
        <v>3182</v>
      </c>
      <c r="G437" s="138" t="s">
        <v>3183</v>
      </c>
      <c r="H437" s="138" t="s">
        <v>3181</v>
      </c>
      <c r="I437" s="138" t="s">
        <v>3185</v>
      </c>
      <c r="J437" s="138" t="s">
        <v>3193</v>
      </c>
      <c r="K437" s="139" t="s">
        <v>3192</v>
      </c>
    </row>
    <row r="438" customFormat="false" ht="14.25" hidden="false" customHeight="true" outlineLevel="0" collapsed="false">
      <c r="B438" s="137" t="n">
        <v>433</v>
      </c>
      <c r="C438" s="138" t="s">
        <v>3636</v>
      </c>
      <c r="D438" s="138" t="s">
        <v>3183</v>
      </c>
      <c r="E438" s="138" t="s">
        <v>3191</v>
      </c>
      <c r="F438" s="138" t="s">
        <v>3182</v>
      </c>
      <c r="G438" s="138" t="s">
        <v>3185</v>
      </c>
      <c r="H438" s="138" t="s">
        <v>3181</v>
      </c>
      <c r="I438" s="138" t="s">
        <v>3188</v>
      </c>
      <c r="J438" s="138" t="s">
        <v>3193</v>
      </c>
      <c r="K438" s="139" t="s">
        <v>3190</v>
      </c>
    </row>
    <row r="439" customFormat="false" ht="14.25" hidden="false" customHeight="true" outlineLevel="0" collapsed="false">
      <c r="B439" s="137" t="n">
        <v>434</v>
      </c>
      <c r="C439" s="138" t="s">
        <v>3637</v>
      </c>
      <c r="D439" s="138" t="s">
        <v>3183</v>
      </c>
      <c r="E439" s="138" t="s">
        <v>3191</v>
      </c>
      <c r="F439" s="138" t="s">
        <v>3182</v>
      </c>
      <c r="G439" s="138" t="s">
        <v>3185</v>
      </c>
      <c r="H439" s="138" t="s">
        <v>3181</v>
      </c>
      <c r="I439" s="138" t="s">
        <v>3188</v>
      </c>
      <c r="J439" s="138" t="s">
        <v>3190</v>
      </c>
      <c r="K439" s="139" t="s">
        <v>3192</v>
      </c>
    </row>
    <row r="440" customFormat="false" ht="14.25" hidden="false" customHeight="true" outlineLevel="0" collapsed="false">
      <c r="B440" s="137" t="n">
        <v>435</v>
      </c>
      <c r="C440" s="138" t="s">
        <v>3638</v>
      </c>
      <c r="D440" s="138" t="s">
        <v>3189</v>
      </c>
      <c r="E440" s="138" t="s">
        <v>3188</v>
      </c>
      <c r="F440" s="138" t="s">
        <v>3182</v>
      </c>
      <c r="G440" s="138" t="s">
        <v>3183</v>
      </c>
      <c r="H440" s="138" t="s">
        <v>3181</v>
      </c>
      <c r="I440" s="138" t="s">
        <v>3185</v>
      </c>
      <c r="J440" s="138" t="s">
        <v>3193</v>
      </c>
      <c r="K440" s="139" t="s">
        <v>3192</v>
      </c>
    </row>
    <row r="441" customFormat="false" ht="14.25" hidden="false" customHeight="true" outlineLevel="0" collapsed="false">
      <c r="B441" s="137" t="n">
        <v>436</v>
      </c>
      <c r="C441" s="138" t="s">
        <v>3639</v>
      </c>
      <c r="D441" s="138" t="s">
        <v>3189</v>
      </c>
      <c r="E441" s="138" t="s">
        <v>3188</v>
      </c>
      <c r="F441" s="138" t="s">
        <v>3182</v>
      </c>
      <c r="G441" s="138" t="s">
        <v>3183</v>
      </c>
      <c r="H441" s="138" t="s">
        <v>3181</v>
      </c>
      <c r="I441" s="138" t="s">
        <v>3185</v>
      </c>
      <c r="J441" s="138" t="s">
        <v>3193</v>
      </c>
      <c r="K441" s="139" t="s">
        <v>3191</v>
      </c>
    </row>
    <row r="442" customFormat="false" ht="14.25" hidden="false" customHeight="true" outlineLevel="0" collapsed="false">
      <c r="B442" s="137" t="n">
        <v>437</v>
      </c>
      <c r="C442" s="138" t="s">
        <v>3640</v>
      </c>
      <c r="D442" s="138" t="s">
        <v>3189</v>
      </c>
      <c r="E442" s="138" t="s">
        <v>3188</v>
      </c>
      <c r="F442" s="138" t="s">
        <v>3182</v>
      </c>
      <c r="G442" s="138" t="s">
        <v>3183</v>
      </c>
      <c r="H442" s="138" t="s">
        <v>3181</v>
      </c>
      <c r="I442" s="138" t="s">
        <v>3185</v>
      </c>
      <c r="J442" s="138" t="s">
        <v>3191</v>
      </c>
      <c r="K442" s="139" t="s">
        <v>3192</v>
      </c>
    </row>
    <row r="443" customFormat="false" ht="14.25" hidden="false" customHeight="true" outlineLevel="0" collapsed="false">
      <c r="B443" s="137" t="n">
        <v>438</v>
      </c>
      <c r="C443" s="138" t="s">
        <v>3641</v>
      </c>
      <c r="D443" s="138" t="s">
        <v>3189</v>
      </c>
      <c r="E443" s="138" t="s">
        <v>3188</v>
      </c>
      <c r="F443" s="138" t="s">
        <v>3182</v>
      </c>
      <c r="G443" s="138" t="s">
        <v>3183</v>
      </c>
      <c r="H443" s="138" t="s">
        <v>3181</v>
      </c>
      <c r="I443" s="138" t="s">
        <v>3185</v>
      </c>
      <c r="J443" s="138" t="s">
        <v>3193</v>
      </c>
      <c r="K443" s="139" t="s">
        <v>3190</v>
      </c>
    </row>
    <row r="444" customFormat="false" ht="14.25" hidden="false" customHeight="true" outlineLevel="0" collapsed="false">
      <c r="B444" s="137" t="n">
        <v>439</v>
      </c>
      <c r="C444" s="138" t="s">
        <v>3642</v>
      </c>
      <c r="D444" s="138" t="s">
        <v>3189</v>
      </c>
      <c r="E444" s="138" t="s">
        <v>3188</v>
      </c>
      <c r="F444" s="138" t="s">
        <v>3182</v>
      </c>
      <c r="G444" s="138" t="s">
        <v>3183</v>
      </c>
      <c r="H444" s="138" t="s">
        <v>3181</v>
      </c>
      <c r="I444" s="138" t="s">
        <v>3185</v>
      </c>
      <c r="J444" s="138" t="s">
        <v>3190</v>
      </c>
      <c r="K444" s="139" t="s">
        <v>3192</v>
      </c>
    </row>
    <row r="445" customFormat="false" ht="14.25" hidden="false" customHeight="true" outlineLevel="0" collapsed="false">
      <c r="B445" s="137" t="n">
        <v>440</v>
      </c>
      <c r="C445" s="138" t="s">
        <v>3643</v>
      </c>
      <c r="D445" s="138" t="s">
        <v>3189</v>
      </c>
      <c r="E445" s="138" t="s">
        <v>3188</v>
      </c>
      <c r="F445" s="138" t="s">
        <v>3182</v>
      </c>
      <c r="G445" s="138" t="s">
        <v>3183</v>
      </c>
      <c r="H445" s="138" t="s">
        <v>3181</v>
      </c>
      <c r="I445" s="138" t="s">
        <v>3185</v>
      </c>
      <c r="J445" s="138" t="s">
        <v>3190</v>
      </c>
      <c r="K445" s="139" t="s">
        <v>3191</v>
      </c>
    </row>
    <row r="446" customFormat="false" ht="14.25" hidden="false" customHeight="true" outlineLevel="0" collapsed="false">
      <c r="B446" s="137" t="n">
        <v>441</v>
      </c>
      <c r="C446" s="138" t="s">
        <v>3644</v>
      </c>
      <c r="D446" s="138" t="s">
        <v>3183</v>
      </c>
      <c r="E446" s="138" t="s">
        <v>3191</v>
      </c>
      <c r="F446" s="138" t="s">
        <v>3182</v>
      </c>
      <c r="G446" s="138" t="s">
        <v>3185</v>
      </c>
      <c r="H446" s="138" t="s">
        <v>3181</v>
      </c>
      <c r="I446" s="138" t="s">
        <v>3187</v>
      </c>
      <c r="J446" s="138" t="s">
        <v>3193</v>
      </c>
      <c r="K446" s="139" t="s">
        <v>3192</v>
      </c>
    </row>
    <row r="447" customFormat="false" ht="14.25" hidden="false" customHeight="true" outlineLevel="0" collapsed="false">
      <c r="B447" s="137" t="n">
        <v>442</v>
      </c>
      <c r="C447" s="138" t="s">
        <v>3645</v>
      </c>
      <c r="D447" s="138" t="s">
        <v>3183</v>
      </c>
      <c r="E447" s="138" t="s">
        <v>3190</v>
      </c>
      <c r="F447" s="138" t="s">
        <v>3182</v>
      </c>
      <c r="G447" s="138" t="s">
        <v>3185</v>
      </c>
      <c r="H447" s="138" t="s">
        <v>3181</v>
      </c>
      <c r="I447" s="138" t="s">
        <v>3187</v>
      </c>
      <c r="J447" s="138" t="s">
        <v>3193</v>
      </c>
      <c r="K447" s="139" t="s">
        <v>3192</v>
      </c>
    </row>
    <row r="448" customFormat="false" ht="14.25" hidden="false" customHeight="true" outlineLevel="0" collapsed="false">
      <c r="B448" s="137" t="n">
        <v>443</v>
      </c>
      <c r="C448" s="138" t="s">
        <v>3646</v>
      </c>
      <c r="D448" s="138" t="s">
        <v>3183</v>
      </c>
      <c r="E448" s="138" t="s">
        <v>3191</v>
      </c>
      <c r="F448" s="138" t="s">
        <v>3182</v>
      </c>
      <c r="G448" s="138" t="s">
        <v>3185</v>
      </c>
      <c r="H448" s="138" t="s">
        <v>3181</v>
      </c>
      <c r="I448" s="138" t="s">
        <v>3187</v>
      </c>
      <c r="J448" s="138" t="s">
        <v>3193</v>
      </c>
      <c r="K448" s="139" t="s">
        <v>3190</v>
      </c>
    </row>
    <row r="449" customFormat="false" ht="14.25" hidden="false" customHeight="true" outlineLevel="0" collapsed="false">
      <c r="B449" s="137" t="n">
        <v>444</v>
      </c>
      <c r="C449" s="138" t="s">
        <v>3647</v>
      </c>
      <c r="D449" s="138" t="s">
        <v>3183</v>
      </c>
      <c r="E449" s="138" t="s">
        <v>3191</v>
      </c>
      <c r="F449" s="138" t="s">
        <v>3182</v>
      </c>
      <c r="G449" s="138" t="s">
        <v>3185</v>
      </c>
      <c r="H449" s="138" t="s">
        <v>3181</v>
      </c>
      <c r="I449" s="138" t="s">
        <v>3187</v>
      </c>
      <c r="J449" s="138" t="s">
        <v>3190</v>
      </c>
      <c r="K449" s="139" t="s">
        <v>3192</v>
      </c>
    </row>
    <row r="450" customFormat="false" ht="14.25" hidden="false" customHeight="true" outlineLevel="0" collapsed="false">
      <c r="B450" s="137" t="n">
        <v>445</v>
      </c>
      <c r="C450" s="138" t="s">
        <v>3648</v>
      </c>
      <c r="D450" s="138" t="s">
        <v>3189</v>
      </c>
      <c r="E450" s="138" t="s">
        <v>3187</v>
      </c>
      <c r="F450" s="138" t="s">
        <v>3182</v>
      </c>
      <c r="G450" s="138" t="s">
        <v>3183</v>
      </c>
      <c r="H450" s="138" t="s">
        <v>3181</v>
      </c>
      <c r="I450" s="138" t="s">
        <v>3185</v>
      </c>
      <c r="J450" s="138" t="s">
        <v>3193</v>
      </c>
      <c r="K450" s="139" t="s">
        <v>3192</v>
      </c>
    </row>
    <row r="451" customFormat="false" ht="14.25" hidden="false" customHeight="true" outlineLevel="0" collapsed="false">
      <c r="B451" s="137" t="n">
        <v>446</v>
      </c>
      <c r="C451" s="138" t="s">
        <v>3649</v>
      </c>
      <c r="D451" s="138" t="s">
        <v>3183</v>
      </c>
      <c r="E451" s="138" t="s">
        <v>3191</v>
      </c>
      <c r="F451" s="138" t="s">
        <v>3182</v>
      </c>
      <c r="G451" s="138" t="s">
        <v>3185</v>
      </c>
      <c r="H451" s="138" t="s">
        <v>3181</v>
      </c>
      <c r="I451" s="138" t="s">
        <v>3187</v>
      </c>
      <c r="J451" s="138" t="s">
        <v>3193</v>
      </c>
      <c r="K451" s="139" t="s">
        <v>3189</v>
      </c>
    </row>
    <row r="452" customFormat="false" ht="14.25" hidden="false" customHeight="true" outlineLevel="0" collapsed="false">
      <c r="B452" s="137" t="n">
        <v>447</v>
      </c>
      <c r="C452" s="138" t="s">
        <v>3650</v>
      </c>
      <c r="D452" s="138" t="s">
        <v>3189</v>
      </c>
      <c r="E452" s="138" t="s">
        <v>3191</v>
      </c>
      <c r="F452" s="138" t="s">
        <v>3182</v>
      </c>
      <c r="G452" s="138" t="s">
        <v>3183</v>
      </c>
      <c r="H452" s="138" t="s">
        <v>3181</v>
      </c>
      <c r="I452" s="138" t="s">
        <v>3187</v>
      </c>
      <c r="J452" s="138" t="s">
        <v>3185</v>
      </c>
      <c r="K452" s="139" t="s">
        <v>3192</v>
      </c>
    </row>
    <row r="453" customFormat="false" ht="14.25" hidden="false" customHeight="true" outlineLevel="0" collapsed="false">
      <c r="B453" s="137" t="n">
        <v>448</v>
      </c>
      <c r="C453" s="138" t="s">
        <v>3651</v>
      </c>
      <c r="D453" s="138" t="s">
        <v>3189</v>
      </c>
      <c r="E453" s="138" t="s">
        <v>3187</v>
      </c>
      <c r="F453" s="138" t="s">
        <v>3182</v>
      </c>
      <c r="G453" s="138" t="s">
        <v>3183</v>
      </c>
      <c r="H453" s="138" t="s">
        <v>3181</v>
      </c>
      <c r="I453" s="138" t="s">
        <v>3185</v>
      </c>
      <c r="J453" s="138" t="s">
        <v>3193</v>
      </c>
      <c r="K453" s="139" t="s">
        <v>3190</v>
      </c>
    </row>
    <row r="454" customFormat="false" ht="14.25" hidden="false" customHeight="true" outlineLevel="0" collapsed="false">
      <c r="B454" s="137" t="n">
        <v>449</v>
      </c>
      <c r="C454" s="138" t="s">
        <v>3652</v>
      </c>
      <c r="D454" s="138" t="s">
        <v>3189</v>
      </c>
      <c r="E454" s="138" t="s">
        <v>3187</v>
      </c>
      <c r="F454" s="138" t="s">
        <v>3182</v>
      </c>
      <c r="G454" s="138" t="s">
        <v>3183</v>
      </c>
      <c r="H454" s="138" t="s">
        <v>3181</v>
      </c>
      <c r="I454" s="138" t="s">
        <v>3185</v>
      </c>
      <c r="J454" s="138" t="s">
        <v>3190</v>
      </c>
      <c r="K454" s="139" t="s">
        <v>3192</v>
      </c>
    </row>
    <row r="455" customFormat="false" ht="14.25" hidden="false" customHeight="true" outlineLevel="0" collapsed="false">
      <c r="B455" s="137" t="n">
        <v>450</v>
      </c>
      <c r="C455" s="138" t="s">
        <v>3653</v>
      </c>
      <c r="D455" s="138" t="s">
        <v>3189</v>
      </c>
      <c r="E455" s="138" t="s">
        <v>3191</v>
      </c>
      <c r="F455" s="138" t="s">
        <v>3182</v>
      </c>
      <c r="G455" s="138" t="s">
        <v>3183</v>
      </c>
      <c r="H455" s="138" t="s">
        <v>3181</v>
      </c>
      <c r="I455" s="138" t="s">
        <v>3187</v>
      </c>
      <c r="J455" s="138" t="s">
        <v>3185</v>
      </c>
      <c r="K455" s="139" t="s">
        <v>3190</v>
      </c>
    </row>
    <row r="456" customFormat="false" ht="14.25" hidden="false" customHeight="true" outlineLevel="0" collapsed="false">
      <c r="B456" s="137" t="n">
        <v>451</v>
      </c>
      <c r="C456" s="138" t="s">
        <v>3654</v>
      </c>
      <c r="D456" s="138" t="s">
        <v>3183</v>
      </c>
      <c r="E456" s="138" t="s">
        <v>3188</v>
      </c>
      <c r="F456" s="138" t="s">
        <v>3182</v>
      </c>
      <c r="G456" s="138" t="s">
        <v>3185</v>
      </c>
      <c r="H456" s="138" t="s">
        <v>3181</v>
      </c>
      <c r="I456" s="138" t="s">
        <v>3187</v>
      </c>
      <c r="J456" s="138" t="s">
        <v>3193</v>
      </c>
      <c r="K456" s="139" t="s">
        <v>3192</v>
      </c>
    </row>
    <row r="457" customFormat="false" ht="14.25" hidden="false" customHeight="true" outlineLevel="0" collapsed="false">
      <c r="B457" s="137" t="n">
        <v>452</v>
      </c>
      <c r="C457" s="138" t="s">
        <v>3655</v>
      </c>
      <c r="D457" s="138" t="s">
        <v>3183</v>
      </c>
      <c r="E457" s="138" t="s">
        <v>3188</v>
      </c>
      <c r="F457" s="138" t="s">
        <v>3182</v>
      </c>
      <c r="G457" s="138" t="s">
        <v>3185</v>
      </c>
      <c r="H457" s="138" t="s">
        <v>3181</v>
      </c>
      <c r="I457" s="138" t="s">
        <v>3187</v>
      </c>
      <c r="J457" s="138" t="s">
        <v>3193</v>
      </c>
      <c r="K457" s="139" t="s">
        <v>3191</v>
      </c>
    </row>
    <row r="458" customFormat="false" ht="14.25" hidden="false" customHeight="true" outlineLevel="0" collapsed="false">
      <c r="B458" s="137" t="n">
        <v>453</v>
      </c>
      <c r="C458" s="138" t="s">
        <v>3656</v>
      </c>
      <c r="D458" s="138" t="s">
        <v>3183</v>
      </c>
      <c r="E458" s="138" t="s">
        <v>3188</v>
      </c>
      <c r="F458" s="138" t="s">
        <v>3182</v>
      </c>
      <c r="G458" s="138" t="s">
        <v>3185</v>
      </c>
      <c r="H458" s="138" t="s">
        <v>3181</v>
      </c>
      <c r="I458" s="138" t="s">
        <v>3187</v>
      </c>
      <c r="J458" s="138" t="s">
        <v>3191</v>
      </c>
      <c r="K458" s="139" t="s">
        <v>3192</v>
      </c>
    </row>
    <row r="459" customFormat="false" ht="14.25" hidden="false" customHeight="true" outlineLevel="0" collapsed="false">
      <c r="B459" s="137" t="n">
        <v>454</v>
      </c>
      <c r="C459" s="138" t="s">
        <v>3657</v>
      </c>
      <c r="D459" s="138" t="s">
        <v>3183</v>
      </c>
      <c r="E459" s="138" t="s">
        <v>3188</v>
      </c>
      <c r="F459" s="138" t="s">
        <v>3182</v>
      </c>
      <c r="G459" s="138" t="s">
        <v>3185</v>
      </c>
      <c r="H459" s="138" t="s">
        <v>3181</v>
      </c>
      <c r="I459" s="138" t="s">
        <v>3187</v>
      </c>
      <c r="J459" s="138" t="s">
        <v>3193</v>
      </c>
      <c r="K459" s="139" t="s">
        <v>3190</v>
      </c>
    </row>
    <row r="460" customFormat="false" ht="14.25" hidden="false" customHeight="true" outlineLevel="0" collapsed="false">
      <c r="B460" s="137" t="n">
        <v>455</v>
      </c>
      <c r="C460" s="138" t="s">
        <v>3658</v>
      </c>
      <c r="D460" s="138" t="s">
        <v>3183</v>
      </c>
      <c r="E460" s="138" t="s">
        <v>3188</v>
      </c>
      <c r="F460" s="138" t="s">
        <v>3182</v>
      </c>
      <c r="G460" s="138" t="s">
        <v>3185</v>
      </c>
      <c r="H460" s="138" t="s">
        <v>3181</v>
      </c>
      <c r="I460" s="138" t="s">
        <v>3187</v>
      </c>
      <c r="J460" s="138" t="s">
        <v>3190</v>
      </c>
      <c r="K460" s="139" t="s">
        <v>3192</v>
      </c>
    </row>
    <row r="461" customFormat="false" ht="14.25" hidden="false" customHeight="true" outlineLevel="0" collapsed="false">
      <c r="B461" s="137" t="n">
        <v>456</v>
      </c>
      <c r="C461" s="138" t="s">
        <v>3659</v>
      </c>
      <c r="D461" s="138" t="s">
        <v>3183</v>
      </c>
      <c r="E461" s="138" t="s">
        <v>3188</v>
      </c>
      <c r="F461" s="138" t="s">
        <v>3182</v>
      </c>
      <c r="G461" s="138" t="s">
        <v>3185</v>
      </c>
      <c r="H461" s="138" t="s">
        <v>3181</v>
      </c>
      <c r="I461" s="138" t="s">
        <v>3187</v>
      </c>
      <c r="J461" s="138" t="s">
        <v>3190</v>
      </c>
      <c r="K461" s="139" t="s">
        <v>3191</v>
      </c>
    </row>
    <row r="462" customFormat="false" ht="14.25" hidden="false" customHeight="true" outlineLevel="0" collapsed="false">
      <c r="B462" s="137" t="n">
        <v>457</v>
      </c>
      <c r="C462" s="138" t="s">
        <v>3660</v>
      </c>
      <c r="D462" s="138" t="s">
        <v>3183</v>
      </c>
      <c r="E462" s="138" t="s">
        <v>3188</v>
      </c>
      <c r="F462" s="138" t="s">
        <v>3182</v>
      </c>
      <c r="G462" s="138" t="s">
        <v>3185</v>
      </c>
      <c r="H462" s="138" t="s">
        <v>3181</v>
      </c>
      <c r="I462" s="138" t="s">
        <v>3187</v>
      </c>
      <c r="J462" s="138" t="s">
        <v>3193</v>
      </c>
      <c r="K462" s="139" t="s">
        <v>3189</v>
      </c>
    </row>
    <row r="463" customFormat="false" ht="14.25" hidden="false" customHeight="true" outlineLevel="0" collapsed="false">
      <c r="B463" s="137" t="n">
        <v>458</v>
      </c>
      <c r="C463" s="138" t="s">
        <v>3661</v>
      </c>
      <c r="D463" s="138" t="s">
        <v>3189</v>
      </c>
      <c r="E463" s="138" t="s">
        <v>3188</v>
      </c>
      <c r="F463" s="138" t="s">
        <v>3182</v>
      </c>
      <c r="G463" s="138" t="s">
        <v>3183</v>
      </c>
      <c r="H463" s="138" t="s">
        <v>3181</v>
      </c>
      <c r="I463" s="138" t="s">
        <v>3187</v>
      </c>
      <c r="J463" s="138" t="s">
        <v>3185</v>
      </c>
      <c r="K463" s="139" t="s">
        <v>3192</v>
      </c>
    </row>
    <row r="464" customFormat="false" ht="14.25" hidden="false" customHeight="true" outlineLevel="0" collapsed="false">
      <c r="B464" s="137" t="n">
        <v>459</v>
      </c>
      <c r="C464" s="138" t="s">
        <v>3662</v>
      </c>
      <c r="D464" s="138" t="s">
        <v>3189</v>
      </c>
      <c r="E464" s="138" t="s">
        <v>3188</v>
      </c>
      <c r="F464" s="138" t="s">
        <v>3182</v>
      </c>
      <c r="G464" s="138" t="s">
        <v>3183</v>
      </c>
      <c r="H464" s="138" t="s">
        <v>3181</v>
      </c>
      <c r="I464" s="138" t="s">
        <v>3187</v>
      </c>
      <c r="J464" s="138" t="s">
        <v>3185</v>
      </c>
      <c r="K464" s="139" t="s">
        <v>3191</v>
      </c>
    </row>
    <row r="465" customFormat="false" ht="14.25" hidden="false" customHeight="true" outlineLevel="0" collapsed="false">
      <c r="B465" s="137" t="n">
        <v>460</v>
      </c>
      <c r="C465" s="138" t="s">
        <v>3663</v>
      </c>
      <c r="D465" s="138" t="s">
        <v>3189</v>
      </c>
      <c r="E465" s="138" t="s">
        <v>3188</v>
      </c>
      <c r="F465" s="138" t="s">
        <v>3182</v>
      </c>
      <c r="G465" s="138" t="s">
        <v>3183</v>
      </c>
      <c r="H465" s="138" t="s">
        <v>3181</v>
      </c>
      <c r="I465" s="138" t="s">
        <v>3187</v>
      </c>
      <c r="J465" s="138" t="s">
        <v>3185</v>
      </c>
      <c r="K465" s="139" t="s">
        <v>3190</v>
      </c>
    </row>
    <row r="466" customFormat="false" ht="14.25" hidden="false" customHeight="true" outlineLevel="0" collapsed="false">
      <c r="B466" s="137" t="n">
        <v>461</v>
      </c>
      <c r="C466" s="138" t="s">
        <v>3664</v>
      </c>
      <c r="D466" s="138" t="s">
        <v>3186</v>
      </c>
      <c r="E466" s="138" t="s">
        <v>3191</v>
      </c>
      <c r="F466" s="138" t="s">
        <v>3182</v>
      </c>
      <c r="G466" s="138" t="s">
        <v>3183</v>
      </c>
      <c r="H466" s="138" t="s">
        <v>3181</v>
      </c>
      <c r="I466" s="138" t="s">
        <v>3185</v>
      </c>
      <c r="J466" s="138" t="s">
        <v>3193</v>
      </c>
      <c r="K466" s="139" t="s">
        <v>3192</v>
      </c>
    </row>
    <row r="467" customFormat="false" ht="14.25" hidden="false" customHeight="true" outlineLevel="0" collapsed="false">
      <c r="B467" s="137" t="n">
        <v>462</v>
      </c>
      <c r="C467" s="138" t="s">
        <v>3665</v>
      </c>
      <c r="D467" s="138" t="s">
        <v>3186</v>
      </c>
      <c r="E467" s="138" t="s">
        <v>3190</v>
      </c>
      <c r="F467" s="138" t="s">
        <v>3182</v>
      </c>
      <c r="G467" s="138" t="s">
        <v>3183</v>
      </c>
      <c r="H467" s="138" t="s">
        <v>3181</v>
      </c>
      <c r="I467" s="138" t="s">
        <v>3185</v>
      </c>
      <c r="J467" s="138" t="s">
        <v>3193</v>
      </c>
      <c r="K467" s="139" t="s">
        <v>3192</v>
      </c>
    </row>
    <row r="468" customFormat="false" ht="14.25" hidden="false" customHeight="true" outlineLevel="0" collapsed="false">
      <c r="B468" s="137" t="n">
        <v>463</v>
      </c>
      <c r="C468" s="138" t="s">
        <v>3666</v>
      </c>
      <c r="D468" s="138" t="s">
        <v>3186</v>
      </c>
      <c r="E468" s="138" t="s">
        <v>3191</v>
      </c>
      <c r="F468" s="138" t="s">
        <v>3182</v>
      </c>
      <c r="G468" s="138" t="s">
        <v>3183</v>
      </c>
      <c r="H468" s="138" t="s">
        <v>3181</v>
      </c>
      <c r="I468" s="138" t="s">
        <v>3185</v>
      </c>
      <c r="J468" s="138" t="s">
        <v>3193</v>
      </c>
      <c r="K468" s="139" t="s">
        <v>3190</v>
      </c>
    </row>
    <row r="469" customFormat="false" ht="14.25" hidden="false" customHeight="true" outlineLevel="0" collapsed="false">
      <c r="B469" s="137" t="n">
        <v>464</v>
      </c>
      <c r="C469" s="138" t="s">
        <v>3667</v>
      </c>
      <c r="D469" s="138" t="s">
        <v>3186</v>
      </c>
      <c r="E469" s="138" t="s">
        <v>3191</v>
      </c>
      <c r="F469" s="138" t="s">
        <v>3182</v>
      </c>
      <c r="G469" s="138" t="s">
        <v>3183</v>
      </c>
      <c r="H469" s="138" t="s">
        <v>3181</v>
      </c>
      <c r="I469" s="138" t="s">
        <v>3185</v>
      </c>
      <c r="J469" s="138" t="s">
        <v>3190</v>
      </c>
      <c r="K469" s="139" t="s">
        <v>3192</v>
      </c>
    </row>
    <row r="470" customFormat="false" ht="14.25" hidden="false" customHeight="true" outlineLevel="0" collapsed="false">
      <c r="B470" s="137" t="n">
        <v>465</v>
      </c>
      <c r="C470" s="138" t="s">
        <v>3668</v>
      </c>
      <c r="D470" s="138" t="s">
        <v>3189</v>
      </c>
      <c r="E470" s="138" t="s">
        <v>3186</v>
      </c>
      <c r="F470" s="138" t="s">
        <v>3182</v>
      </c>
      <c r="G470" s="138" t="s">
        <v>3183</v>
      </c>
      <c r="H470" s="138" t="s">
        <v>3181</v>
      </c>
      <c r="I470" s="138" t="s">
        <v>3185</v>
      </c>
      <c r="J470" s="138" t="s">
        <v>3193</v>
      </c>
      <c r="K470" s="139" t="s">
        <v>3192</v>
      </c>
    </row>
    <row r="471" customFormat="false" ht="14.25" hidden="false" customHeight="true" outlineLevel="0" collapsed="false">
      <c r="B471" s="137" t="n">
        <v>466</v>
      </c>
      <c r="C471" s="138" t="s">
        <v>3669</v>
      </c>
      <c r="D471" s="138" t="s">
        <v>3189</v>
      </c>
      <c r="E471" s="138" t="s">
        <v>3191</v>
      </c>
      <c r="F471" s="138" t="s">
        <v>3182</v>
      </c>
      <c r="G471" s="138" t="s">
        <v>3183</v>
      </c>
      <c r="H471" s="138" t="s">
        <v>3181</v>
      </c>
      <c r="I471" s="138" t="s">
        <v>3185</v>
      </c>
      <c r="J471" s="138" t="s">
        <v>3193</v>
      </c>
      <c r="K471" s="139" t="s">
        <v>3186</v>
      </c>
    </row>
    <row r="472" customFormat="false" ht="14.25" hidden="false" customHeight="true" outlineLevel="0" collapsed="false">
      <c r="B472" s="137" t="n">
        <v>467</v>
      </c>
      <c r="C472" s="138" t="s">
        <v>3670</v>
      </c>
      <c r="D472" s="138" t="s">
        <v>3189</v>
      </c>
      <c r="E472" s="138" t="s">
        <v>3191</v>
      </c>
      <c r="F472" s="138" t="s">
        <v>3182</v>
      </c>
      <c r="G472" s="138" t="s">
        <v>3183</v>
      </c>
      <c r="H472" s="138" t="s">
        <v>3181</v>
      </c>
      <c r="I472" s="138" t="s">
        <v>3185</v>
      </c>
      <c r="J472" s="138" t="s">
        <v>3186</v>
      </c>
      <c r="K472" s="139" t="s">
        <v>3192</v>
      </c>
    </row>
    <row r="473" customFormat="false" ht="14.25" hidden="false" customHeight="true" outlineLevel="0" collapsed="false">
      <c r="B473" s="137" t="n">
        <v>468</v>
      </c>
      <c r="C473" s="138" t="s">
        <v>3671</v>
      </c>
      <c r="D473" s="138" t="s">
        <v>3189</v>
      </c>
      <c r="E473" s="138" t="s">
        <v>3186</v>
      </c>
      <c r="F473" s="138" t="s">
        <v>3182</v>
      </c>
      <c r="G473" s="138" t="s">
        <v>3183</v>
      </c>
      <c r="H473" s="138" t="s">
        <v>3181</v>
      </c>
      <c r="I473" s="138" t="s">
        <v>3185</v>
      </c>
      <c r="J473" s="138" t="s">
        <v>3193</v>
      </c>
      <c r="K473" s="139" t="s">
        <v>3190</v>
      </c>
    </row>
    <row r="474" customFormat="false" ht="14.25" hidden="false" customHeight="true" outlineLevel="0" collapsed="false">
      <c r="B474" s="137" t="n">
        <v>469</v>
      </c>
      <c r="C474" s="138" t="s">
        <v>3672</v>
      </c>
      <c r="D474" s="138" t="s">
        <v>3189</v>
      </c>
      <c r="E474" s="138" t="s">
        <v>3186</v>
      </c>
      <c r="F474" s="138" t="s">
        <v>3182</v>
      </c>
      <c r="G474" s="138" t="s">
        <v>3183</v>
      </c>
      <c r="H474" s="138" t="s">
        <v>3181</v>
      </c>
      <c r="I474" s="138" t="s">
        <v>3185</v>
      </c>
      <c r="J474" s="138" t="s">
        <v>3190</v>
      </c>
      <c r="K474" s="139" t="s">
        <v>3192</v>
      </c>
    </row>
    <row r="475" customFormat="false" ht="14.25" hidden="false" customHeight="true" outlineLevel="0" collapsed="false">
      <c r="B475" s="137" t="n">
        <v>470</v>
      </c>
      <c r="C475" s="138" t="s">
        <v>3673</v>
      </c>
      <c r="D475" s="138" t="s">
        <v>3189</v>
      </c>
      <c r="E475" s="138" t="s">
        <v>3191</v>
      </c>
      <c r="F475" s="138" t="s">
        <v>3182</v>
      </c>
      <c r="G475" s="138" t="s">
        <v>3183</v>
      </c>
      <c r="H475" s="138" t="s">
        <v>3181</v>
      </c>
      <c r="I475" s="138" t="s">
        <v>3185</v>
      </c>
      <c r="J475" s="138" t="s">
        <v>3186</v>
      </c>
      <c r="K475" s="139" t="s">
        <v>3190</v>
      </c>
    </row>
    <row r="476" customFormat="false" ht="14.25" hidden="false" customHeight="true" outlineLevel="0" collapsed="false">
      <c r="B476" s="137" t="n">
        <v>471</v>
      </c>
      <c r="C476" s="138" t="s">
        <v>3674</v>
      </c>
      <c r="D476" s="138" t="s">
        <v>3186</v>
      </c>
      <c r="E476" s="138" t="s">
        <v>3188</v>
      </c>
      <c r="F476" s="138" t="s">
        <v>3182</v>
      </c>
      <c r="G476" s="138" t="s">
        <v>3183</v>
      </c>
      <c r="H476" s="138" t="s">
        <v>3181</v>
      </c>
      <c r="I476" s="138" t="s">
        <v>3185</v>
      </c>
      <c r="J476" s="138" t="s">
        <v>3193</v>
      </c>
      <c r="K476" s="139" t="s">
        <v>3192</v>
      </c>
    </row>
    <row r="477" customFormat="false" ht="14.25" hidden="false" customHeight="true" outlineLevel="0" collapsed="false">
      <c r="B477" s="137" t="n">
        <v>472</v>
      </c>
      <c r="C477" s="138" t="s">
        <v>3675</v>
      </c>
      <c r="D477" s="138" t="s">
        <v>3186</v>
      </c>
      <c r="E477" s="138" t="s">
        <v>3188</v>
      </c>
      <c r="F477" s="138" t="s">
        <v>3182</v>
      </c>
      <c r="G477" s="138" t="s">
        <v>3183</v>
      </c>
      <c r="H477" s="138" t="s">
        <v>3181</v>
      </c>
      <c r="I477" s="138" t="s">
        <v>3185</v>
      </c>
      <c r="J477" s="138" t="s">
        <v>3193</v>
      </c>
      <c r="K477" s="139" t="s">
        <v>3191</v>
      </c>
    </row>
    <row r="478" customFormat="false" ht="14.25" hidden="false" customHeight="true" outlineLevel="0" collapsed="false">
      <c r="B478" s="137" t="n">
        <v>473</v>
      </c>
      <c r="C478" s="138" t="s">
        <v>3676</v>
      </c>
      <c r="D478" s="138" t="s">
        <v>3186</v>
      </c>
      <c r="E478" s="138" t="s">
        <v>3188</v>
      </c>
      <c r="F478" s="138" t="s">
        <v>3182</v>
      </c>
      <c r="G478" s="138" t="s">
        <v>3183</v>
      </c>
      <c r="H478" s="138" t="s">
        <v>3181</v>
      </c>
      <c r="I478" s="138" t="s">
        <v>3185</v>
      </c>
      <c r="J478" s="138" t="s">
        <v>3191</v>
      </c>
      <c r="K478" s="139" t="s">
        <v>3192</v>
      </c>
    </row>
    <row r="479" customFormat="false" ht="14.25" hidden="false" customHeight="true" outlineLevel="0" collapsed="false">
      <c r="B479" s="137" t="n">
        <v>474</v>
      </c>
      <c r="C479" s="138" t="s">
        <v>3677</v>
      </c>
      <c r="D479" s="138" t="s">
        <v>3186</v>
      </c>
      <c r="E479" s="138" t="s">
        <v>3188</v>
      </c>
      <c r="F479" s="138" t="s">
        <v>3182</v>
      </c>
      <c r="G479" s="138" t="s">
        <v>3183</v>
      </c>
      <c r="H479" s="138" t="s">
        <v>3181</v>
      </c>
      <c r="I479" s="138" t="s">
        <v>3185</v>
      </c>
      <c r="J479" s="138" t="s">
        <v>3193</v>
      </c>
      <c r="K479" s="139" t="s">
        <v>3190</v>
      </c>
    </row>
    <row r="480" customFormat="false" ht="14.25" hidden="false" customHeight="true" outlineLevel="0" collapsed="false">
      <c r="B480" s="137" t="n">
        <v>475</v>
      </c>
      <c r="C480" s="138" t="s">
        <v>3678</v>
      </c>
      <c r="D480" s="138" t="s">
        <v>3186</v>
      </c>
      <c r="E480" s="138" t="s">
        <v>3188</v>
      </c>
      <c r="F480" s="138" t="s">
        <v>3182</v>
      </c>
      <c r="G480" s="138" t="s">
        <v>3183</v>
      </c>
      <c r="H480" s="138" t="s">
        <v>3181</v>
      </c>
      <c r="I480" s="138" t="s">
        <v>3185</v>
      </c>
      <c r="J480" s="138" t="s">
        <v>3190</v>
      </c>
      <c r="K480" s="139" t="s">
        <v>3192</v>
      </c>
    </row>
    <row r="481" customFormat="false" ht="14.25" hidden="false" customHeight="true" outlineLevel="0" collapsed="false">
      <c r="B481" s="137" t="n">
        <v>476</v>
      </c>
      <c r="C481" s="138" t="s">
        <v>3679</v>
      </c>
      <c r="D481" s="138" t="s">
        <v>3186</v>
      </c>
      <c r="E481" s="138" t="s">
        <v>3188</v>
      </c>
      <c r="F481" s="138" t="s">
        <v>3182</v>
      </c>
      <c r="G481" s="138" t="s">
        <v>3183</v>
      </c>
      <c r="H481" s="138" t="s">
        <v>3181</v>
      </c>
      <c r="I481" s="138" t="s">
        <v>3185</v>
      </c>
      <c r="J481" s="138" t="s">
        <v>3190</v>
      </c>
      <c r="K481" s="139" t="s">
        <v>3191</v>
      </c>
    </row>
    <row r="482" customFormat="false" ht="14.25" hidden="false" customHeight="true" outlineLevel="0" collapsed="false">
      <c r="B482" s="137" t="n">
        <v>477</v>
      </c>
      <c r="C482" s="138" t="s">
        <v>3680</v>
      </c>
      <c r="D482" s="138" t="s">
        <v>3189</v>
      </c>
      <c r="E482" s="138" t="s">
        <v>3188</v>
      </c>
      <c r="F482" s="138" t="s">
        <v>3182</v>
      </c>
      <c r="G482" s="138" t="s">
        <v>3183</v>
      </c>
      <c r="H482" s="138" t="s">
        <v>3181</v>
      </c>
      <c r="I482" s="138" t="s">
        <v>3185</v>
      </c>
      <c r="J482" s="138" t="s">
        <v>3193</v>
      </c>
      <c r="K482" s="139" t="s">
        <v>3186</v>
      </c>
    </row>
    <row r="483" customFormat="false" ht="14.25" hidden="false" customHeight="true" outlineLevel="0" collapsed="false">
      <c r="B483" s="137" t="n">
        <v>478</v>
      </c>
      <c r="C483" s="138" t="s">
        <v>3681</v>
      </c>
      <c r="D483" s="138" t="s">
        <v>3189</v>
      </c>
      <c r="E483" s="138" t="s">
        <v>3188</v>
      </c>
      <c r="F483" s="138" t="s">
        <v>3182</v>
      </c>
      <c r="G483" s="138" t="s">
        <v>3183</v>
      </c>
      <c r="H483" s="138" t="s">
        <v>3181</v>
      </c>
      <c r="I483" s="138" t="s">
        <v>3185</v>
      </c>
      <c r="J483" s="138" t="s">
        <v>3186</v>
      </c>
      <c r="K483" s="139" t="s">
        <v>3192</v>
      </c>
    </row>
    <row r="484" customFormat="false" ht="14.25" hidden="false" customHeight="true" outlineLevel="0" collapsed="false">
      <c r="B484" s="137" t="n">
        <v>479</v>
      </c>
      <c r="C484" s="138" t="s">
        <v>3682</v>
      </c>
      <c r="D484" s="138" t="s">
        <v>3189</v>
      </c>
      <c r="E484" s="138" t="s">
        <v>3188</v>
      </c>
      <c r="F484" s="138" t="s">
        <v>3182</v>
      </c>
      <c r="G484" s="138" t="s">
        <v>3183</v>
      </c>
      <c r="H484" s="138" t="s">
        <v>3181</v>
      </c>
      <c r="I484" s="138" t="s">
        <v>3185</v>
      </c>
      <c r="J484" s="138" t="s">
        <v>3186</v>
      </c>
      <c r="K484" s="139" t="s">
        <v>3191</v>
      </c>
    </row>
    <row r="485" customFormat="false" ht="14.25" hidden="false" customHeight="true" outlineLevel="0" collapsed="false">
      <c r="B485" s="137" t="n">
        <v>480</v>
      </c>
      <c r="C485" s="138" t="s">
        <v>3683</v>
      </c>
      <c r="D485" s="138" t="s">
        <v>3189</v>
      </c>
      <c r="E485" s="138" t="s">
        <v>3188</v>
      </c>
      <c r="F485" s="138" t="s">
        <v>3182</v>
      </c>
      <c r="G485" s="138" t="s">
        <v>3183</v>
      </c>
      <c r="H485" s="138" t="s">
        <v>3181</v>
      </c>
      <c r="I485" s="138" t="s">
        <v>3185</v>
      </c>
      <c r="J485" s="138" t="s">
        <v>3186</v>
      </c>
      <c r="K485" s="139" t="s">
        <v>3190</v>
      </c>
    </row>
    <row r="486" customFormat="false" ht="14.25" hidden="false" customHeight="true" outlineLevel="0" collapsed="false">
      <c r="B486" s="137" t="n">
        <v>481</v>
      </c>
      <c r="C486" s="138" t="s">
        <v>3684</v>
      </c>
      <c r="D486" s="138" t="s">
        <v>3183</v>
      </c>
      <c r="E486" s="138" t="s">
        <v>3186</v>
      </c>
      <c r="F486" s="138" t="s">
        <v>3182</v>
      </c>
      <c r="G486" s="138" t="s">
        <v>3185</v>
      </c>
      <c r="H486" s="138" t="s">
        <v>3181</v>
      </c>
      <c r="I486" s="138" t="s">
        <v>3187</v>
      </c>
      <c r="J486" s="138" t="s">
        <v>3193</v>
      </c>
      <c r="K486" s="139" t="s">
        <v>3192</v>
      </c>
    </row>
    <row r="487" customFormat="false" ht="14.25" hidden="false" customHeight="true" outlineLevel="0" collapsed="false">
      <c r="B487" s="137" t="n">
        <v>482</v>
      </c>
      <c r="C487" s="138" t="s">
        <v>3685</v>
      </c>
      <c r="D487" s="138" t="s">
        <v>3183</v>
      </c>
      <c r="E487" s="138" t="s">
        <v>3191</v>
      </c>
      <c r="F487" s="138" t="s">
        <v>3182</v>
      </c>
      <c r="G487" s="138" t="s">
        <v>3185</v>
      </c>
      <c r="H487" s="138" t="s">
        <v>3181</v>
      </c>
      <c r="I487" s="138" t="s">
        <v>3187</v>
      </c>
      <c r="J487" s="138" t="s">
        <v>3193</v>
      </c>
      <c r="K487" s="139" t="s">
        <v>3186</v>
      </c>
    </row>
    <row r="488" customFormat="false" ht="14.25" hidden="false" customHeight="true" outlineLevel="0" collapsed="false">
      <c r="B488" s="137" t="n">
        <v>483</v>
      </c>
      <c r="C488" s="138" t="s">
        <v>3686</v>
      </c>
      <c r="D488" s="138" t="s">
        <v>3183</v>
      </c>
      <c r="E488" s="138" t="s">
        <v>3191</v>
      </c>
      <c r="F488" s="138" t="s">
        <v>3182</v>
      </c>
      <c r="G488" s="138" t="s">
        <v>3185</v>
      </c>
      <c r="H488" s="138" t="s">
        <v>3181</v>
      </c>
      <c r="I488" s="138" t="s">
        <v>3187</v>
      </c>
      <c r="J488" s="138" t="s">
        <v>3186</v>
      </c>
      <c r="K488" s="139" t="s">
        <v>3192</v>
      </c>
    </row>
    <row r="489" customFormat="false" ht="14.25" hidden="false" customHeight="true" outlineLevel="0" collapsed="false">
      <c r="B489" s="137" t="n">
        <v>484</v>
      </c>
      <c r="C489" s="138" t="s">
        <v>3687</v>
      </c>
      <c r="D489" s="138" t="s">
        <v>3183</v>
      </c>
      <c r="E489" s="138" t="s">
        <v>3186</v>
      </c>
      <c r="F489" s="138" t="s">
        <v>3182</v>
      </c>
      <c r="G489" s="138" t="s">
        <v>3185</v>
      </c>
      <c r="H489" s="138" t="s">
        <v>3181</v>
      </c>
      <c r="I489" s="138" t="s">
        <v>3187</v>
      </c>
      <c r="J489" s="138" t="s">
        <v>3193</v>
      </c>
      <c r="K489" s="139" t="s">
        <v>3190</v>
      </c>
    </row>
    <row r="490" customFormat="false" ht="14.25" hidden="false" customHeight="true" outlineLevel="0" collapsed="false">
      <c r="B490" s="137" t="n">
        <v>485</v>
      </c>
      <c r="C490" s="138" t="s">
        <v>3688</v>
      </c>
      <c r="D490" s="138" t="s">
        <v>3183</v>
      </c>
      <c r="E490" s="138" t="s">
        <v>3186</v>
      </c>
      <c r="F490" s="138" t="s">
        <v>3182</v>
      </c>
      <c r="G490" s="138" t="s">
        <v>3185</v>
      </c>
      <c r="H490" s="138" t="s">
        <v>3181</v>
      </c>
      <c r="I490" s="138" t="s">
        <v>3187</v>
      </c>
      <c r="J490" s="138" t="s">
        <v>3190</v>
      </c>
      <c r="K490" s="139" t="s">
        <v>3192</v>
      </c>
    </row>
    <row r="491" customFormat="false" ht="14.25" hidden="false" customHeight="true" outlineLevel="0" collapsed="false">
      <c r="B491" s="137" t="n">
        <v>486</v>
      </c>
      <c r="C491" s="138" t="s">
        <v>3689</v>
      </c>
      <c r="D491" s="138" t="s">
        <v>3183</v>
      </c>
      <c r="E491" s="138" t="s">
        <v>3191</v>
      </c>
      <c r="F491" s="138" t="s">
        <v>3182</v>
      </c>
      <c r="G491" s="138" t="s">
        <v>3185</v>
      </c>
      <c r="H491" s="138" t="s">
        <v>3181</v>
      </c>
      <c r="I491" s="138" t="s">
        <v>3187</v>
      </c>
      <c r="J491" s="138" t="s">
        <v>3186</v>
      </c>
      <c r="K491" s="139" t="s">
        <v>3190</v>
      </c>
    </row>
    <row r="492" customFormat="false" ht="14.25" hidden="false" customHeight="true" outlineLevel="0" collapsed="false">
      <c r="B492" s="137" t="n">
        <v>487</v>
      </c>
      <c r="C492" s="138" t="s">
        <v>3690</v>
      </c>
      <c r="D492" s="138" t="s">
        <v>3189</v>
      </c>
      <c r="E492" s="138" t="s">
        <v>3187</v>
      </c>
      <c r="F492" s="138" t="s">
        <v>3182</v>
      </c>
      <c r="G492" s="138" t="s">
        <v>3183</v>
      </c>
      <c r="H492" s="138" t="s">
        <v>3181</v>
      </c>
      <c r="I492" s="138" t="s">
        <v>3185</v>
      </c>
      <c r="J492" s="138" t="s">
        <v>3193</v>
      </c>
      <c r="K492" s="139" t="s">
        <v>3186</v>
      </c>
    </row>
    <row r="493" customFormat="false" ht="14.25" hidden="false" customHeight="true" outlineLevel="0" collapsed="false">
      <c r="B493" s="137" t="n">
        <v>488</v>
      </c>
      <c r="C493" s="138" t="s">
        <v>3691</v>
      </c>
      <c r="D493" s="138" t="s">
        <v>3189</v>
      </c>
      <c r="E493" s="138" t="s">
        <v>3186</v>
      </c>
      <c r="F493" s="138" t="s">
        <v>3182</v>
      </c>
      <c r="G493" s="138" t="s">
        <v>3183</v>
      </c>
      <c r="H493" s="138" t="s">
        <v>3181</v>
      </c>
      <c r="I493" s="138" t="s">
        <v>3187</v>
      </c>
      <c r="J493" s="138" t="s">
        <v>3185</v>
      </c>
      <c r="K493" s="139" t="s">
        <v>3192</v>
      </c>
    </row>
    <row r="494" customFormat="false" ht="14.25" hidden="false" customHeight="true" outlineLevel="0" collapsed="false">
      <c r="B494" s="137" t="n">
        <v>489</v>
      </c>
      <c r="C494" s="138" t="s">
        <v>3692</v>
      </c>
      <c r="D494" s="138" t="s">
        <v>3189</v>
      </c>
      <c r="E494" s="138" t="s">
        <v>3191</v>
      </c>
      <c r="F494" s="138" t="s">
        <v>3182</v>
      </c>
      <c r="G494" s="138" t="s">
        <v>3183</v>
      </c>
      <c r="H494" s="138" t="s">
        <v>3181</v>
      </c>
      <c r="I494" s="138" t="s">
        <v>3187</v>
      </c>
      <c r="J494" s="138" t="s">
        <v>3185</v>
      </c>
      <c r="K494" s="139" t="s">
        <v>3186</v>
      </c>
    </row>
    <row r="495" customFormat="false" ht="14.25" hidden="false" customHeight="true" outlineLevel="0" collapsed="false">
      <c r="B495" s="137" t="n">
        <v>490</v>
      </c>
      <c r="C495" s="138" t="s">
        <v>3693</v>
      </c>
      <c r="D495" s="138" t="s">
        <v>3189</v>
      </c>
      <c r="E495" s="138" t="s">
        <v>3186</v>
      </c>
      <c r="F495" s="138" t="s">
        <v>3182</v>
      </c>
      <c r="G495" s="138" t="s">
        <v>3183</v>
      </c>
      <c r="H495" s="138" t="s">
        <v>3181</v>
      </c>
      <c r="I495" s="138" t="s">
        <v>3187</v>
      </c>
      <c r="J495" s="138" t="s">
        <v>3185</v>
      </c>
      <c r="K495" s="139" t="s">
        <v>3190</v>
      </c>
    </row>
    <row r="496" customFormat="false" ht="14.25" hidden="false" customHeight="true" outlineLevel="0" collapsed="false">
      <c r="B496" s="137" t="n">
        <v>491</v>
      </c>
      <c r="C496" s="138" t="s">
        <v>3694</v>
      </c>
      <c r="D496" s="138" t="s">
        <v>3183</v>
      </c>
      <c r="E496" s="138" t="s">
        <v>3188</v>
      </c>
      <c r="F496" s="138" t="s">
        <v>3182</v>
      </c>
      <c r="G496" s="138" t="s">
        <v>3185</v>
      </c>
      <c r="H496" s="138" t="s">
        <v>3181</v>
      </c>
      <c r="I496" s="138" t="s">
        <v>3187</v>
      </c>
      <c r="J496" s="138" t="s">
        <v>3193</v>
      </c>
      <c r="K496" s="139" t="s">
        <v>3186</v>
      </c>
    </row>
    <row r="497" customFormat="false" ht="14.25" hidden="false" customHeight="true" outlineLevel="0" collapsed="false">
      <c r="B497" s="137" t="n">
        <v>492</v>
      </c>
      <c r="C497" s="138" t="s">
        <v>3695</v>
      </c>
      <c r="D497" s="138" t="s">
        <v>3183</v>
      </c>
      <c r="E497" s="138" t="s">
        <v>3188</v>
      </c>
      <c r="F497" s="138" t="s">
        <v>3182</v>
      </c>
      <c r="G497" s="138" t="s">
        <v>3185</v>
      </c>
      <c r="H497" s="138" t="s">
        <v>3181</v>
      </c>
      <c r="I497" s="138" t="s">
        <v>3187</v>
      </c>
      <c r="J497" s="138" t="s">
        <v>3186</v>
      </c>
      <c r="K497" s="139" t="s">
        <v>3192</v>
      </c>
    </row>
    <row r="498" customFormat="false" ht="14.25" hidden="false" customHeight="true" outlineLevel="0" collapsed="false">
      <c r="B498" s="137" t="n">
        <v>493</v>
      </c>
      <c r="C498" s="138" t="s">
        <v>3696</v>
      </c>
      <c r="D498" s="138" t="s">
        <v>3183</v>
      </c>
      <c r="E498" s="138" t="s">
        <v>3188</v>
      </c>
      <c r="F498" s="138" t="s">
        <v>3182</v>
      </c>
      <c r="G498" s="138" t="s">
        <v>3185</v>
      </c>
      <c r="H498" s="138" t="s">
        <v>3181</v>
      </c>
      <c r="I498" s="138" t="s">
        <v>3187</v>
      </c>
      <c r="J498" s="138" t="s">
        <v>3186</v>
      </c>
      <c r="K498" s="139" t="s">
        <v>3191</v>
      </c>
    </row>
    <row r="499" customFormat="false" ht="14.25" hidden="false" customHeight="true" outlineLevel="0" collapsed="false">
      <c r="B499" s="137" t="n">
        <v>494</v>
      </c>
      <c r="C499" s="138" t="s">
        <v>3697</v>
      </c>
      <c r="D499" s="138" t="s">
        <v>3183</v>
      </c>
      <c r="E499" s="138" t="s">
        <v>3188</v>
      </c>
      <c r="F499" s="138" t="s">
        <v>3182</v>
      </c>
      <c r="G499" s="138" t="s">
        <v>3185</v>
      </c>
      <c r="H499" s="138" t="s">
        <v>3181</v>
      </c>
      <c r="I499" s="138" t="s">
        <v>3187</v>
      </c>
      <c r="J499" s="138" t="s">
        <v>3186</v>
      </c>
      <c r="K499" s="139" t="s">
        <v>3190</v>
      </c>
    </row>
    <row r="500" customFormat="false" ht="14.25" hidden="false" customHeight="true" outlineLevel="0" collapsed="false">
      <c r="B500" s="140" t="n">
        <v>495</v>
      </c>
      <c r="C500" s="141" t="s">
        <v>3698</v>
      </c>
      <c r="D500" s="141" t="s">
        <v>3189</v>
      </c>
      <c r="E500" s="141" t="s">
        <v>3188</v>
      </c>
      <c r="F500" s="141" t="s">
        <v>3182</v>
      </c>
      <c r="G500" s="141" t="s">
        <v>3183</v>
      </c>
      <c r="H500" s="141" t="s">
        <v>3181</v>
      </c>
      <c r="I500" s="141" t="s">
        <v>3187</v>
      </c>
      <c r="J500" s="141" t="s">
        <v>3185</v>
      </c>
      <c r="K500" s="142" t="s">
        <v>3186</v>
      </c>
    </row>
  </sheetData>
  <sheetProtection algorithmName="SHA-512" hashValue="FHkYqE1KRwpfItahAI+PyAqIEBFe00md94UJlKhZTc+gRAXJFkEcgG7Y1df/LdUR9P3ECUX8c0kHSRxbShUUkw==" saltValue="QVZA9U78x70/ucRI9CHkdw==" spinCount="100000" sheet="true" objects="true" scenarios="true"/>
  <conditionalFormatting sqref="B6:K500">
    <cfRule type="expression" priority="2" aboveAverage="0" equalAverage="0" bottom="0" percent="0" rank="0" text="" dxfId="12">
      <formula>IF($B$3=$B6,1,0)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Gothic,Regular"&amp;1  •• PROTECTED 関係者外秘#_x005F_x000d_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Sports</cp:category>
  <dcterms:created xsi:type="dcterms:W3CDTF">2017-12-27T19:32:51Z</dcterms:created>
  <dc:creator>Denys Kozyr</dc:creator>
  <dc:description/>
  <cp:keywords>fifa world cup schedule spreadsheet</cp:keywords>
  <dc:language>en-US</dc:language>
  <cp:lastModifiedBy>Alvaro Burgos Garcia (TES)</cp:lastModifiedBy>
  <dcterms:modified xsi:type="dcterms:W3CDTF">2026-06-01T07:19:17Z</dcterms:modified>
  <cp:revision>0</cp:revision>
  <dc:subject/>
  <dc:title>2026 FIFA World Cup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ActionId">
    <vt:lpwstr>7e1e2821-f159-4a45-a6fd-dc2600bf83ac</vt:lpwstr>
  </property>
  <property fmtid="{D5CDD505-2E9C-101B-9397-08002B2CF9AE}" pid="3" name="MSIP_Label_d9544d3e-f761-46b2-881e-fd08f3b12f65_ContentBits">
    <vt:lpwstr>1</vt:lpwstr>
  </property>
  <property fmtid="{D5CDD505-2E9C-101B-9397-08002B2CF9AE}" pid="4" name="MSIP_Label_d9544d3e-f761-46b2-881e-fd08f3b12f65_Enabled">
    <vt:lpwstr>true</vt:lpwstr>
  </property>
  <property fmtid="{D5CDD505-2E9C-101B-9397-08002B2CF9AE}" pid="5" name="MSIP_Label_d9544d3e-f761-46b2-881e-fd08f3b12f65_Method">
    <vt:lpwstr>Standard</vt:lpwstr>
  </property>
  <property fmtid="{D5CDD505-2E9C-101B-9397-08002B2CF9AE}" pid="6" name="MSIP_Label_d9544d3e-f761-46b2-881e-fd08f3b12f65_Name">
    <vt:lpwstr>Protected</vt:lpwstr>
  </property>
  <property fmtid="{D5CDD505-2E9C-101B-9397-08002B2CF9AE}" pid="7" name="MSIP_Label_d9544d3e-f761-46b2-881e-fd08f3b12f65_SetDate">
    <vt:lpwstr>2026-05-30T09:47:54Z</vt:lpwstr>
  </property>
  <property fmtid="{D5CDD505-2E9C-101B-9397-08002B2CF9AE}" pid="8" name="MSIP_Label_d9544d3e-f761-46b2-881e-fd08f3b12f65_SiteId">
    <vt:lpwstr>52b742d1-3dc2-47ac-bf03-609c83d9df9f</vt:lpwstr>
  </property>
  <property fmtid="{D5CDD505-2E9C-101B-9397-08002B2CF9AE}" pid="9" name="MSIP_Label_d9544d3e-f761-46b2-881e-fd08f3b12f65_Tag">
    <vt:lpwstr>10, 3, 0, 1</vt:lpwstr>
  </property>
</Properties>
</file>