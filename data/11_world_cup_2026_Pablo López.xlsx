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ron\Downloads\"/>
    </mc:Choice>
  </mc:AlternateContent>
  <xr:revisionPtr revIDLastSave="0" documentId="13_ncr:1_{E77A6662-BC81-4B49-9BDD-9331A5E6C881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S27" i="3"/>
  <c r="S74" i="3"/>
  <c r="T74" i="3" s="1"/>
  <c r="S28" i="3"/>
  <c r="S51" i="3"/>
  <c r="S30" i="3"/>
  <c r="T30" i="3" s="1"/>
  <c r="S78" i="3"/>
  <c r="S26" i="3"/>
  <c r="S75" i="3"/>
  <c r="T75" i="3" s="1"/>
  <c r="S25" i="3"/>
  <c r="T25" i="3" s="1"/>
  <c r="S49" i="3"/>
  <c r="T49" i="3" s="1"/>
  <c r="S68" i="3"/>
  <c r="T68" i="3" s="1"/>
  <c r="S23" i="3"/>
  <c r="S48" i="3"/>
  <c r="S43" i="3"/>
  <c r="S19" i="3"/>
  <c r="S20" i="3"/>
  <c r="T20" i="3" s="1"/>
  <c r="S44" i="3"/>
  <c r="T44" i="3" s="1"/>
  <c r="S46" i="3"/>
  <c r="S21" i="3"/>
  <c r="S45" i="3"/>
  <c r="T45" i="3" s="1"/>
  <c r="S18" i="3"/>
  <c r="T18" i="3" s="1"/>
  <c r="S63" i="3"/>
  <c r="T63" i="3" s="1"/>
  <c r="S17" i="3"/>
  <c r="T17" i="3" s="1"/>
  <c r="S41" i="3"/>
  <c r="S15" i="3"/>
  <c r="T15" i="3" s="1"/>
  <c r="S61" i="3"/>
  <c r="T61" i="3" s="1"/>
  <c r="S16" i="3"/>
  <c r="S39" i="3"/>
  <c r="T39" i="3" s="1"/>
  <c r="S66" i="3"/>
  <c r="T66" i="3" s="1"/>
  <c r="S10" i="3"/>
  <c r="T10" i="3" s="1"/>
  <c r="S37" i="3"/>
  <c r="S11" i="3"/>
  <c r="T11" i="3" s="1"/>
  <c r="S56" i="3"/>
  <c r="T56" i="3" s="1"/>
  <c r="S13" i="3"/>
  <c r="T13" i="3" s="1"/>
  <c r="S32" i="3"/>
  <c r="T32" i="3" s="1"/>
  <c r="S14" i="3"/>
  <c r="T14" i="3" s="1"/>
  <c r="S8" i="3"/>
  <c r="S9" i="3"/>
  <c r="T9" i="3" s="1"/>
  <c r="S33" i="3"/>
  <c r="S60" i="3"/>
  <c r="T60" i="3" s="1"/>
  <c r="S34" i="3"/>
  <c r="T34" i="3" s="1"/>
  <c r="S29" i="3"/>
  <c r="T29" i="3" s="1"/>
  <c r="S53" i="3"/>
  <c r="S35" i="3"/>
  <c r="S7" i="3"/>
  <c r="T7" i="3" s="1"/>
  <c r="S22" i="3"/>
  <c r="T12" i="3"/>
  <c r="S24" i="3"/>
  <c r="S69" i="3"/>
  <c r="S58" i="3"/>
  <c r="S31" i="3"/>
  <c r="S59" i="3"/>
  <c r="S71" i="3"/>
  <c r="S52" i="3"/>
  <c r="S73" i="3"/>
  <c r="T27" i="3"/>
  <c r="T28" i="3"/>
  <c r="T51" i="3"/>
  <c r="S54" i="3"/>
  <c r="S77" i="3"/>
  <c r="T78" i="3"/>
  <c r="S50" i="3"/>
  <c r="S76" i="3"/>
  <c r="T26" i="3"/>
  <c r="S47" i="3"/>
  <c r="S67" i="3"/>
  <c r="T23" i="3"/>
  <c r="T48" i="3"/>
  <c r="T43" i="3"/>
  <c r="S72" i="3"/>
  <c r="T19" i="3"/>
  <c r="T46" i="3"/>
  <c r="S70" i="3"/>
  <c r="T21" i="3"/>
  <c r="S42" i="3"/>
  <c r="S64" i="3"/>
  <c r="T41" i="3"/>
  <c r="S40" i="3"/>
  <c r="S62" i="3"/>
  <c r="T16" i="3"/>
  <c r="S38" i="3"/>
  <c r="S65" i="3"/>
  <c r="T37" i="3"/>
  <c r="S55" i="3"/>
  <c r="S57" i="3"/>
  <c r="T8" i="3"/>
  <c r="T33" i="3"/>
  <c r="T53" i="3"/>
  <c r="S36" i="3"/>
  <c r="T35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12" i="3" l="1"/>
  <c r="AR8" i="3" s="1"/>
  <c r="AP36" i="3"/>
  <c r="AR32" i="3" s="1"/>
  <c r="AP72" i="3"/>
  <c r="AR68" i="3" s="1"/>
  <c r="AP30" i="3"/>
  <c r="AR26" i="3" s="1"/>
  <c r="AP78" i="3"/>
  <c r="AR74" i="3" s="1"/>
  <c r="AP24" i="3"/>
  <c r="AR20" i="3" s="1"/>
  <c r="AR58" i="3"/>
  <c r="AD58" i="3" s="1"/>
  <c r="AR59" i="3"/>
  <c r="AR56" i="3"/>
  <c r="AD57" i="3" s="1"/>
  <c r="AP42" i="3"/>
  <c r="AR38" i="3" s="1"/>
  <c r="AP66" i="3"/>
  <c r="AR62" i="3" s="1"/>
  <c r="AP48" i="3"/>
  <c r="AR44" i="3" s="1"/>
  <c r="AP18" i="3"/>
  <c r="AR14" i="3" s="1"/>
  <c r="AP54" i="3"/>
  <c r="AR50" i="3" s="1"/>
  <c r="AR33" i="3"/>
  <c r="AR34" i="3" l="1"/>
  <c r="AR35" i="3"/>
  <c r="AR28" i="3"/>
  <c r="AR9" i="3"/>
  <c r="AR11" i="3"/>
  <c r="AD11" i="3" s="1"/>
  <c r="AR10" i="3"/>
  <c r="AD9" i="3" s="1"/>
  <c r="AR21" i="3"/>
  <c r="AR22" i="3"/>
  <c r="AR75" i="3"/>
  <c r="AR76" i="3"/>
  <c r="AR77" i="3"/>
  <c r="AD77" i="3" s="1"/>
  <c r="AR65" i="3"/>
  <c r="AR40" i="3"/>
  <c r="AR41" i="3"/>
  <c r="AR29" i="3"/>
  <c r="AR69" i="3"/>
  <c r="AR70" i="3"/>
  <c r="AR71" i="3"/>
  <c r="AR27" i="3"/>
  <c r="AR23" i="3"/>
  <c r="AD22" i="3" s="1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AD75" i="3"/>
  <c r="AD33" i="3"/>
  <c r="AD32" i="3"/>
  <c r="AD34" i="3"/>
  <c r="AD35" i="3"/>
  <c r="AD8" i="3" l="1"/>
  <c r="AD10" i="3"/>
  <c r="AD44" i="3"/>
  <c r="AD62" i="3"/>
  <c r="M58" i="3"/>
  <c r="AD28" i="3"/>
  <c r="AD15" i="3"/>
  <c r="AD74" i="3"/>
  <c r="N75" i="3" s="1"/>
  <c r="AD70" i="3"/>
  <c r="AD76" i="3"/>
  <c r="M78" i="3" s="1"/>
  <c r="AD41" i="3"/>
  <c r="AD68" i="3"/>
  <c r="N69" i="3" s="1"/>
  <c r="AD27" i="3"/>
  <c r="AD53" i="3"/>
  <c r="L58" i="3"/>
  <c r="AD47" i="3"/>
  <c r="L59" i="3"/>
  <c r="N58" i="3"/>
  <c r="AD29" i="3"/>
  <c r="AD20" i="3"/>
  <c r="O21" i="3" s="1"/>
  <c r="AD71" i="3"/>
  <c r="M59" i="3"/>
  <c r="O60" i="3"/>
  <c r="AD63" i="3"/>
  <c r="L65" i="3" s="1"/>
  <c r="AD21" i="3"/>
  <c r="AD26" i="3"/>
  <c r="AD14" i="3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O59" i="3"/>
  <c r="AD45" i="3"/>
  <c r="O46" i="3" s="1"/>
  <c r="AD40" i="3"/>
  <c r="AD52" i="3"/>
  <c r="AD38" i="3"/>
  <c r="J39" i="3" s="1"/>
  <c r="AS38" i="3" s="1"/>
  <c r="BL22" i="3" s="1"/>
  <c r="AD50" i="3"/>
  <c r="L51" i="3" s="1"/>
  <c r="N59" i="3"/>
  <c r="AD17" i="3"/>
  <c r="J12" i="3"/>
  <c r="N12" i="3"/>
  <c r="O9" i="3"/>
  <c r="N9" i="3"/>
  <c r="O12" i="3"/>
  <c r="M9" i="3"/>
  <c r="L12" i="3"/>
  <c r="M12" i="3"/>
  <c r="J9" i="3"/>
  <c r="AS8" i="3" s="1"/>
  <c r="BL50" i="3" s="1"/>
  <c r="L9" i="3"/>
  <c r="L11" i="3"/>
  <c r="M10" i="3"/>
  <c r="N10" i="3"/>
  <c r="O11" i="3"/>
  <c r="J11" i="3"/>
  <c r="AE80" i="3" s="1"/>
  <c r="AQ80" i="3" s="1"/>
  <c r="L10" i="3"/>
  <c r="O10" i="3"/>
  <c r="N11" i="3"/>
  <c r="M11" i="3"/>
  <c r="J10" i="3"/>
  <c r="AS9" i="3" s="1"/>
  <c r="BL18" i="3" s="1"/>
  <c r="M21" i="3"/>
  <c r="J36" i="3"/>
  <c r="J35" i="3"/>
  <c r="AE84" i="3" s="1"/>
  <c r="AQ84" i="3" s="1"/>
  <c r="J34" i="3"/>
  <c r="AS33" i="3" s="1"/>
  <c r="BL46" i="3" s="1"/>
  <c r="J33" i="3"/>
  <c r="AS32" i="3" s="1"/>
  <c r="BL10" i="3" s="1"/>
  <c r="N33" i="3"/>
  <c r="L33" i="3"/>
  <c r="O33" i="3"/>
  <c r="M33" i="3"/>
  <c r="M35" i="3"/>
  <c r="L36" i="3"/>
  <c r="O34" i="3"/>
  <c r="O35" i="3"/>
  <c r="L34" i="3"/>
  <c r="O36" i="3"/>
  <c r="L35" i="3"/>
  <c r="M36" i="3"/>
  <c r="N35" i="3"/>
  <c r="M34" i="3"/>
  <c r="N36" i="3"/>
  <c r="N34" i="3"/>
  <c r="J45" i="3"/>
  <c r="AS44" i="3" s="1"/>
  <c r="BL38" i="3" s="1"/>
  <c r="M45" i="3"/>
  <c r="N45" i="3"/>
  <c r="L45" i="3"/>
  <c r="O45" i="3"/>
  <c r="L63" i="3"/>
  <c r="M63" i="3"/>
  <c r="N63" i="3"/>
  <c r="O63" i="3"/>
  <c r="J63" i="3"/>
  <c r="AS62" i="3" s="1"/>
  <c r="BL58" i="3" s="1"/>
  <c r="BS60" i="3" s="1"/>
  <c r="BZ64" i="3" s="1"/>
  <c r="L75" i="3"/>
  <c r="O75" i="3"/>
  <c r="M75" i="3"/>
  <c r="N76" i="3"/>
  <c r="M76" i="3"/>
  <c r="L76" i="3"/>
  <c r="O76" i="3"/>
  <c r="J76" i="3"/>
  <c r="AS75" i="3" s="1"/>
  <c r="BL27" i="3" s="1"/>
  <c r="N77" i="3" l="1"/>
  <c r="M77" i="3"/>
  <c r="N78" i="3"/>
  <c r="J78" i="3"/>
  <c r="J75" i="3"/>
  <c r="AS74" i="3" s="1"/>
  <c r="BL54" i="3" s="1"/>
  <c r="J65" i="3"/>
  <c r="AE89" i="3" s="1"/>
  <c r="AQ89" i="3" s="1"/>
  <c r="M22" i="3"/>
  <c r="M65" i="3"/>
  <c r="J77" i="3"/>
  <c r="AE91" i="3" s="1"/>
  <c r="AQ91" i="3" s="1"/>
  <c r="O65" i="3"/>
  <c r="O77" i="3"/>
  <c r="L77" i="3"/>
  <c r="O78" i="3"/>
  <c r="L78" i="3"/>
  <c r="J69" i="3"/>
  <c r="AS68" i="3" s="1"/>
  <c r="BL70" i="3" s="1"/>
  <c r="L69" i="3"/>
  <c r="P58" i="3"/>
  <c r="L17" i="3"/>
  <c r="L46" i="3"/>
  <c r="O69" i="3"/>
  <c r="M69" i="3"/>
  <c r="J24" i="3"/>
  <c r="O72" i="3"/>
  <c r="L29" i="3"/>
  <c r="N22" i="3"/>
  <c r="N65" i="3"/>
  <c r="N46" i="3"/>
  <c r="N21" i="3"/>
  <c r="L21" i="3"/>
  <c r="P21" i="3" s="1"/>
  <c r="J21" i="3"/>
  <c r="AS20" i="3" s="1"/>
  <c r="BL42" i="3" s="1"/>
  <c r="BS44" i="3" s="1"/>
  <c r="BZ48" i="3" s="1"/>
  <c r="L47" i="3"/>
  <c r="N47" i="3"/>
  <c r="O24" i="3"/>
  <c r="M48" i="3"/>
  <c r="J46" i="3"/>
  <c r="AS45" i="3" s="1"/>
  <c r="BL63" i="3" s="1"/>
  <c r="M47" i="3"/>
  <c r="N24" i="3"/>
  <c r="L72" i="3"/>
  <c r="L22" i="3"/>
  <c r="M46" i="3"/>
  <c r="M24" i="3"/>
  <c r="O23" i="3"/>
  <c r="O71" i="3"/>
  <c r="O47" i="3"/>
  <c r="L24" i="3"/>
  <c r="O66" i="3"/>
  <c r="M39" i="3"/>
  <c r="L39" i="3"/>
  <c r="N72" i="3"/>
  <c r="M72" i="3"/>
  <c r="J48" i="3"/>
  <c r="K58" i="3"/>
  <c r="O40" i="3"/>
  <c r="M71" i="3"/>
  <c r="O48" i="3"/>
  <c r="N39" i="3"/>
  <c r="N71" i="3"/>
  <c r="L71" i="3"/>
  <c r="L48" i="3"/>
  <c r="J71" i="3"/>
  <c r="AE90" i="3" s="1"/>
  <c r="AQ90" i="3" s="1"/>
  <c r="J72" i="3"/>
  <c r="S91" i="3"/>
  <c r="T91" i="3" s="1" a="1"/>
  <c r="T91" i="3" s="1"/>
  <c r="BS37" i="3"/>
  <c r="M40" i="3"/>
  <c r="O39" i="3"/>
  <c r="M64" i="3"/>
  <c r="J51" i="3"/>
  <c r="AS50" i="3" s="1"/>
  <c r="BL30" i="3" s="1"/>
  <c r="BS29" i="3" s="1"/>
  <c r="M54" i="3"/>
  <c r="J66" i="3"/>
  <c r="L64" i="3"/>
  <c r="M51" i="3"/>
  <c r="P51" i="3" s="1"/>
  <c r="L66" i="3"/>
  <c r="J40" i="3"/>
  <c r="AS39" i="3" s="1"/>
  <c r="BL43" i="3" s="1"/>
  <c r="L54" i="3"/>
  <c r="O51" i="3"/>
  <c r="M41" i="3"/>
  <c r="N54" i="3"/>
  <c r="N40" i="3"/>
  <c r="N66" i="3"/>
  <c r="M66" i="3"/>
  <c r="J52" i="3"/>
  <c r="AS51" i="3" s="1"/>
  <c r="BL59" i="3" s="1"/>
  <c r="O64" i="3"/>
  <c r="J64" i="3"/>
  <c r="AS63" i="3" s="1"/>
  <c r="BL31" i="3" s="1"/>
  <c r="N64" i="3"/>
  <c r="N51" i="3"/>
  <c r="L40" i="3"/>
  <c r="P59" i="3"/>
  <c r="K57" i="3"/>
  <c r="L70" i="3"/>
  <c r="S86" i="3"/>
  <c r="T86" i="3" s="1" a="1"/>
  <c r="T86" i="3" s="1"/>
  <c r="BS28" i="3"/>
  <c r="S89" i="3"/>
  <c r="T89" i="3" s="1" a="1"/>
  <c r="T89" i="3" s="1"/>
  <c r="BS21" i="3"/>
  <c r="N48" i="3"/>
  <c r="J47" i="3"/>
  <c r="AE86" i="3" s="1"/>
  <c r="AQ86" i="3" s="1"/>
  <c r="O22" i="3"/>
  <c r="J22" i="3"/>
  <c r="AS21" i="3" s="1"/>
  <c r="BL23" i="3" s="1"/>
  <c r="AJ88" i="3"/>
  <c r="S88" i="3"/>
  <c r="T88" i="3" s="1" a="1"/>
  <c r="T88" i="3" s="1"/>
  <c r="BS20" i="3"/>
  <c r="AI88" i="3"/>
  <c r="AN88" i="3"/>
  <c r="K59" i="3"/>
  <c r="O70" i="3"/>
  <c r="N53" i="3"/>
  <c r="J70" i="3"/>
  <c r="AS69" i="3" s="1"/>
  <c r="BL26" i="3" s="1"/>
  <c r="N70" i="3"/>
  <c r="O29" i="3"/>
  <c r="M70" i="3"/>
  <c r="M42" i="3"/>
  <c r="N30" i="3"/>
  <c r="M27" i="3"/>
  <c r="N18" i="3"/>
  <c r="L15" i="3"/>
  <c r="AT88" i="3"/>
  <c r="M16" i="3"/>
  <c r="M29" i="3"/>
  <c r="O18" i="3"/>
  <c r="N29" i="3"/>
  <c r="M17" i="3"/>
  <c r="J41" i="3"/>
  <c r="AE85" i="3" s="1"/>
  <c r="AQ85" i="3" s="1"/>
  <c r="O30" i="3"/>
  <c r="J27" i="3"/>
  <c r="AS26" i="3" s="1"/>
  <c r="BL34" i="3" s="1"/>
  <c r="L16" i="3"/>
  <c r="O42" i="3"/>
  <c r="M28" i="3"/>
  <c r="J28" i="3"/>
  <c r="AS27" i="3" s="1"/>
  <c r="BL62" i="3" s="1"/>
  <c r="BS61" i="3" s="1"/>
  <c r="J18" i="3"/>
  <c r="AG88" i="3"/>
  <c r="O17" i="3"/>
  <c r="O27" i="3"/>
  <c r="M30" i="3"/>
  <c r="J29" i="3"/>
  <c r="AE83" i="3" s="1"/>
  <c r="AQ83" i="3" s="1"/>
  <c r="O16" i="3"/>
  <c r="AF88" i="3"/>
  <c r="N17" i="3"/>
  <c r="L18" i="3"/>
  <c r="N28" i="3"/>
  <c r="O28" i="3"/>
  <c r="J30" i="3"/>
  <c r="N16" i="3"/>
  <c r="L42" i="3"/>
  <c r="L28" i="3"/>
  <c r="M18" i="3"/>
  <c r="L27" i="3"/>
  <c r="J16" i="3"/>
  <c r="AS15" i="3" s="1"/>
  <c r="BL19" i="3" s="1"/>
  <c r="O54" i="3"/>
  <c r="L23" i="3"/>
  <c r="L30" i="3"/>
  <c r="J42" i="3"/>
  <c r="N27" i="3"/>
  <c r="N52" i="3"/>
  <c r="P57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P75" i="3"/>
  <c r="AF91" i="3"/>
  <c r="AG91" i="3"/>
  <c r="AH91" i="3"/>
  <c r="AI91" i="3"/>
  <c r="AJ91" i="3"/>
  <c r="AL91" i="3"/>
  <c r="AN91" i="3"/>
  <c r="AT91" i="3"/>
  <c r="P77" i="3"/>
  <c r="K77" i="3"/>
  <c r="K78" i="3"/>
  <c r="P78" i="3"/>
  <c r="P76" i="3"/>
  <c r="K76" i="3"/>
  <c r="K75" i="3"/>
  <c r="AH90" i="3"/>
  <c r="P72" i="3"/>
  <c r="P69" i="3"/>
  <c r="AF89" i="3"/>
  <c r="AG89" i="3"/>
  <c r="AH89" i="3"/>
  <c r="AI89" i="3"/>
  <c r="AJ89" i="3"/>
  <c r="AL89" i="3"/>
  <c r="AN89" i="3"/>
  <c r="AT89" i="3"/>
  <c r="P65" i="3"/>
  <c r="K65" i="3"/>
  <c r="P63" i="3"/>
  <c r="K63" i="3"/>
  <c r="K45" i="3"/>
  <c r="P45" i="3"/>
  <c r="P35" i="3"/>
  <c r="K35" i="3"/>
  <c r="P34" i="3"/>
  <c r="K34" i="3"/>
  <c r="P36" i="3"/>
  <c r="K36" i="3"/>
  <c r="P33" i="3"/>
  <c r="K33" i="3"/>
  <c r="AF84" i="3"/>
  <c r="AG84" i="3"/>
  <c r="AH84" i="3"/>
  <c r="AI84" i="3"/>
  <c r="AJ84" i="3"/>
  <c r="AL84" i="3"/>
  <c r="AN84" i="3"/>
  <c r="AT84" i="3"/>
  <c r="K10" i="3"/>
  <c r="P10" i="3"/>
  <c r="AF80" i="3"/>
  <c r="AG80" i="3"/>
  <c r="AH80" i="3"/>
  <c r="AI80" i="3"/>
  <c r="AJ80" i="3"/>
  <c r="AL80" i="3"/>
  <c r="AN80" i="3"/>
  <c r="AT80" i="3"/>
  <c r="P11" i="3"/>
  <c r="K11" i="3"/>
  <c r="P9" i="3"/>
  <c r="K9" i="3"/>
  <c r="P12" i="3"/>
  <c r="K12" i="3"/>
  <c r="K22" i="3" l="1"/>
  <c r="K69" i="3"/>
  <c r="P46" i="3"/>
  <c r="K21" i="3"/>
  <c r="P17" i="3"/>
  <c r="P22" i="3"/>
  <c r="P47" i="3"/>
  <c r="K46" i="3"/>
  <c r="S98" i="3"/>
  <c r="T98" i="3" s="1" a="1"/>
  <c r="T98" i="3" s="1"/>
  <c r="BZ33" i="3"/>
  <c r="U103" i="3" s="1"/>
  <c r="AC103" i="3" s="1" a="1"/>
  <c r="AC103" i="3" s="1"/>
  <c r="K47" i="3"/>
  <c r="S97" i="3"/>
  <c r="T97" i="3" s="1" a="1"/>
  <c r="T97" i="3" s="1"/>
  <c r="BZ32" i="3"/>
  <c r="BZ17" i="3"/>
  <c r="U102" i="3" s="1"/>
  <c r="AC102" i="3" s="1" a="1"/>
  <c r="AC102" i="3" s="1"/>
  <c r="S96" i="3"/>
  <c r="T96" i="3" s="1" a="1"/>
  <c r="T96" i="3" s="1"/>
  <c r="P39" i="3"/>
  <c r="P64" i="3"/>
  <c r="K51" i="3"/>
  <c r="P28" i="3"/>
  <c r="K71" i="3"/>
  <c r="K24" i="3"/>
  <c r="AH86" i="3"/>
  <c r="AG86" i="3"/>
  <c r="K53" i="3"/>
  <c r="P71" i="3"/>
  <c r="P24" i="3"/>
  <c r="K64" i="3"/>
  <c r="P54" i="3"/>
  <c r="P15" i="3"/>
  <c r="AF81" i="3"/>
  <c r="AN81" i="3"/>
  <c r="AL81" i="3"/>
  <c r="AJ81" i="3"/>
  <c r="S87" i="3"/>
  <c r="T87" i="3" s="1" a="1"/>
  <c r="T87" i="3" s="1"/>
  <c r="K72" i="3"/>
  <c r="P66" i="3"/>
  <c r="AH81" i="3"/>
  <c r="AF87" i="3"/>
  <c r="AT81" i="3"/>
  <c r="AI81" i="3"/>
  <c r="AG81" i="3"/>
  <c r="K39" i="3"/>
  <c r="AT90" i="3"/>
  <c r="AI90" i="3"/>
  <c r="P40" i="3"/>
  <c r="AG90" i="3"/>
  <c r="K48" i="3"/>
  <c r="K29" i="3"/>
  <c r="AF86" i="3"/>
  <c r="AN90" i="3"/>
  <c r="AL90" i="3"/>
  <c r="AJ90" i="3"/>
  <c r="AN86" i="3"/>
  <c r="AF90" i="3"/>
  <c r="P29" i="3"/>
  <c r="AL86" i="3"/>
  <c r="P48" i="3"/>
  <c r="AT86" i="3"/>
  <c r="AJ86" i="3"/>
  <c r="AI86" i="3"/>
  <c r="K15" i="3"/>
  <c r="P16" i="3"/>
  <c r="K54" i="3"/>
  <c r="K40" i="3"/>
  <c r="P41" i="3"/>
  <c r="P70" i="3"/>
  <c r="S90" i="3"/>
  <c r="T90" i="3" s="1" a="1"/>
  <c r="T90" i="3" s="1"/>
  <c r="BS36" i="3"/>
  <c r="AH82" i="3"/>
  <c r="AG82" i="3"/>
  <c r="AI82" i="3"/>
  <c r="K66" i="3"/>
  <c r="K42" i="3"/>
  <c r="K16" i="3"/>
  <c r="P23" i="3"/>
  <c r="K27" i="3"/>
  <c r="P18" i="3"/>
  <c r="K28" i="3"/>
  <c r="P52" i="3"/>
  <c r="K30" i="3"/>
  <c r="AF82" i="3"/>
  <c r="P42" i="3"/>
  <c r="AN82" i="3"/>
  <c r="AT82" i="3"/>
  <c r="AJ82" i="3"/>
  <c r="AI85" i="3"/>
  <c r="AT87" i="3"/>
  <c r="AN87" i="3"/>
  <c r="AT83" i="3"/>
  <c r="AL87" i="3"/>
  <c r="AJ87" i="3"/>
  <c r="AH87" i="3"/>
  <c r="K70" i="3"/>
  <c r="AG87" i="3"/>
  <c r="AH85" i="3"/>
  <c r="AL83" i="3"/>
  <c r="P30" i="3"/>
  <c r="AG85" i="3"/>
  <c r="AJ83" i="3"/>
  <c r="AF85" i="3"/>
  <c r="K17" i="3"/>
  <c r="AI83" i="3"/>
  <c r="K41" i="3"/>
  <c r="AH83" i="3"/>
  <c r="P53" i="3"/>
  <c r="AN83" i="3"/>
  <c r="AG83" i="3"/>
  <c r="AF83" i="3"/>
  <c r="K18" i="3"/>
  <c r="AT85" i="3"/>
  <c r="AN85" i="3"/>
  <c r="P27" i="3"/>
  <c r="AL85" i="3"/>
  <c r="AJ85" i="3"/>
  <c r="K23" i="3"/>
  <c r="AL82" i="3"/>
  <c r="AI87" i="3"/>
  <c r="K52" i="3"/>
  <c r="S103" i="3" l="1"/>
  <c r="T103" i="3" s="1" a="1"/>
  <c r="T103" i="3" s="1"/>
  <c r="CG24" i="3"/>
  <c r="S111" i="3" s="1"/>
  <c r="T111" i="3" s="1"/>
  <c r="AJ92" i="3"/>
  <c r="AF92" i="3"/>
  <c r="AG92" i="3"/>
  <c r="AN92" i="3"/>
  <c r="AI92" i="3"/>
  <c r="AL92" i="3"/>
  <c r="AM88" i="3" s="1"/>
  <c r="AS92" i="3"/>
  <c r="AH92" i="3"/>
  <c r="AM83" i="3"/>
  <c r="AM91" i="3"/>
  <c r="AM90" i="3" l="1"/>
  <c r="AM82" i="3"/>
  <c r="AM89" i="3"/>
  <c r="AM84" i="3"/>
  <c r="AM85" i="3"/>
  <c r="AM86" i="3"/>
  <c r="AM87" i="3"/>
  <c r="AM81" i="3"/>
  <c r="AM80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AP91" i="3"/>
  <c r="AP85" i="3"/>
  <c r="AP86" i="3"/>
  <c r="AP83" i="3"/>
  <c r="AP82" i="3"/>
  <c r="AP90" i="3"/>
  <c r="AP89" i="3"/>
  <c r="AP84" i="3"/>
  <c r="AP88" i="3"/>
  <c r="AP81" i="3"/>
  <c r="AP80" i="3"/>
  <c r="CN37" i="3" l="1"/>
  <c r="CK68" i="3" s="1"/>
  <c r="CN48" i="3"/>
  <c r="AD89" i="3"/>
  <c r="AS89" i="3" s="1"/>
  <c r="AD82" i="3"/>
  <c r="AS82" i="3" s="1"/>
  <c r="AD86" i="3"/>
  <c r="AS86" i="3" s="1"/>
  <c r="AD85" i="3"/>
  <c r="AS85" i="3" s="1"/>
  <c r="AD88" i="3"/>
  <c r="AS88" i="3" s="1"/>
  <c r="AD90" i="3"/>
  <c r="AS90" i="3" s="1"/>
  <c r="AD87" i="3"/>
  <c r="AS87" i="3" s="1"/>
  <c r="AD81" i="3"/>
  <c r="AS81" i="3" s="1"/>
  <c r="AD83" i="3"/>
  <c r="AS83" i="3" s="1"/>
  <c r="AD91" i="3"/>
  <c r="AS91" i="3" s="1"/>
  <c r="AD80" i="3"/>
  <c r="N84" i="3" s="1"/>
  <c r="AD84" i="3"/>
  <c r="AS84" i="3" s="1"/>
  <c r="AS80" i="3" l="1"/>
  <c r="J83" i="3"/>
  <c r="O87" i="3"/>
  <c r="J84" i="3"/>
  <c r="L87" i="3"/>
  <c r="L86" i="3"/>
  <c r="O92" i="3"/>
  <c r="O83" i="3"/>
  <c r="J86" i="3"/>
  <c r="L82" i="3"/>
  <c r="J89" i="3"/>
  <c r="M90" i="3"/>
  <c r="M91" i="3"/>
  <c r="N82" i="3"/>
  <c r="L91" i="3"/>
  <c r="M86" i="3"/>
  <c r="O86" i="3"/>
  <c r="O85" i="3"/>
  <c r="L92" i="3"/>
  <c r="M89" i="3"/>
  <c r="M84" i="3"/>
  <c r="P84" i="3" s="1"/>
  <c r="O81" i="3"/>
  <c r="L90" i="3"/>
  <c r="N86" i="3"/>
  <c r="J85" i="3"/>
  <c r="N88" i="3"/>
  <c r="J81" i="3"/>
  <c r="L84" i="3"/>
  <c r="M82" i="3"/>
  <c r="N85" i="3"/>
  <c r="N89" i="3"/>
  <c r="O90" i="3"/>
  <c r="L89" i="3"/>
  <c r="O89" i="3"/>
  <c r="L88" i="3"/>
  <c r="N92" i="3"/>
  <c r="N90" i="3"/>
  <c r="M85" i="3"/>
  <c r="L85" i="3"/>
  <c r="P85" i="3" s="1"/>
  <c r="M83" i="3"/>
  <c r="L81" i="3"/>
  <c r="M87" i="3"/>
  <c r="N87" i="3"/>
  <c r="M92" i="3"/>
  <c r="M88" i="3"/>
  <c r="O88" i="3"/>
  <c r="J90" i="3"/>
  <c r="J87" i="3"/>
  <c r="J82" i="3"/>
  <c r="O91" i="3"/>
  <c r="O84" i="3"/>
  <c r="N91" i="3"/>
  <c r="M81" i="3"/>
  <c r="O82" i="3"/>
  <c r="J88" i="3"/>
  <c r="J91" i="3"/>
  <c r="N83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N81" i="3"/>
  <c r="L83" i="3"/>
  <c r="J92" i="3"/>
  <c r="P88" i="3" l="1"/>
  <c r="K85" i="3"/>
  <c r="P91" i="3"/>
  <c r="K83" i="3"/>
  <c r="P90" i="3"/>
  <c r="K88" i="3"/>
  <c r="K89" i="3"/>
  <c r="K87" i="3"/>
  <c r="K82" i="3"/>
  <c r="K84" i="3"/>
  <c r="K91" i="3"/>
  <c r="K86" i="3"/>
  <c r="P83" i="3"/>
  <c r="K90" i="3"/>
  <c r="K92" i="3"/>
  <c r="K81" i="3"/>
  <c r="P81" i="3"/>
  <c r="B3" i="4"/>
  <c r="D3" i="4"/>
  <c r="BL51" i="3" s="1"/>
  <c r="G3" i="4"/>
  <c r="BL11" i="3" s="1"/>
  <c r="P87" i="3"/>
  <c r="P92" i="3"/>
  <c r="H3" i="4"/>
  <c r="BL39" i="3" s="1"/>
  <c r="E3" i="4"/>
  <c r="BL67" i="3" s="1"/>
  <c r="P82" i="3"/>
  <c r="P89" i="3"/>
  <c r="P86" i="3"/>
  <c r="I3" i="4"/>
  <c r="BL15" i="3" s="1"/>
  <c r="J3" i="4"/>
  <c r="BL71" i="3" s="1"/>
  <c r="K3" i="4"/>
  <c r="BL55" i="3" s="1"/>
  <c r="BS53" i="3"/>
  <c r="BS52" i="3"/>
  <c r="BZ49" i="3" s="1"/>
  <c r="CG55" i="3" s="1"/>
  <c r="CN49" i="3" s="1"/>
  <c r="BS69" i="3"/>
  <c r="BZ65" i="3" s="1"/>
  <c r="CG56" i="3" s="1"/>
  <c r="CN38" i="3" s="1"/>
  <c r="BS6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<sst xmlns="http://schemas.openxmlformats.org/spreadsheetml/2006/main" count="9785" uniqueCount="3699">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</sst>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4.4" x14ac:dyDescent="0.3"/>
  <cols>
    <col min="1" max="1" width="24.109375" bestFit="1" customWidth="1"/>
    <col min="2" max="42" width="14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">
      <c r="A145" s="1"/>
    </row>
    <row r="146" spans="1:42" x14ac:dyDescent="0.3">
      <c r="A146" s="1"/>
    </row>
    <row r="147" spans="1:42" x14ac:dyDescent="0.3">
      <c r="A147" s="1"/>
    </row>
    <row r="148" spans="1:42" x14ac:dyDescent="0.3">
      <c r="A148" s="1"/>
    </row>
    <row r="149" spans="1:42" x14ac:dyDescent="0.3">
      <c r="A149" s="1"/>
    </row>
    <row r="150" spans="1:42" x14ac:dyDescent="0.3">
      <c r="A150" s="1"/>
    </row>
    <row r="151" spans="1:42" x14ac:dyDescent="0.3">
      <c r="A151" s="1"/>
    </row>
    <row r="152" spans="1:42" x14ac:dyDescent="0.3">
      <c r="A152" s="1"/>
    </row>
    <row r="153" spans="1:42" x14ac:dyDescent="0.3">
      <c r="A153" s="1"/>
    </row>
    <row r="154" spans="1:42" x14ac:dyDescent="0.3">
      <c r="A154" s="1"/>
    </row>
    <row r="155" spans="1:42" x14ac:dyDescent="0.3">
      <c r="A155" s="1"/>
    </row>
    <row r="156" spans="1:42" x14ac:dyDescent="0.3">
      <c r="A156" s="1"/>
    </row>
    <row r="157" spans="1:42" x14ac:dyDescent="0.3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baseColWidth="10" defaultColWidth="9.109375" defaultRowHeight="14.4" x14ac:dyDescent="0.3"/>
  <cols>
    <col min="1" max="1" width="1.109375" style="10" customWidth="1"/>
    <col min="2" max="2" width="18.88671875" style="10" bestFit="1" customWidth="1"/>
    <col min="3" max="3" width="20.33203125" style="10" customWidth="1"/>
    <col min="4" max="4" width="9.109375" style="10"/>
    <col min="5" max="5" width="1.109375" style="10" customWidth="1"/>
    <col min="6" max="6" width="9.109375" style="10"/>
    <col min="7" max="7" width="27.5546875" style="10" bestFit="1" customWidth="1"/>
    <col min="8" max="8" width="2.6640625" style="10" customWidth="1"/>
    <col min="9" max="9" width="1.109375" style="10" customWidth="1"/>
    <col min="10" max="16384" width="9.109375" style="10"/>
  </cols>
  <sheetData>
    <row r="1" spans="2:27" ht="7.5" customHeight="1" x14ac:dyDescent="0.3"/>
    <row r="2" spans="2:27" ht="16.2" thickBot="1" x14ac:dyDescent="0.35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3">
      <c r="B3" s="42"/>
      <c r="C3" s="43"/>
      <c r="D3" s="44"/>
      <c r="F3" s="42"/>
      <c r="G3" s="43"/>
      <c r="H3" s="44"/>
    </row>
    <row r="4" spans="2:27" x14ac:dyDescent="0.3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3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3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3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3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3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3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3">
      <c r="B11" s="54"/>
      <c r="C11" s="43"/>
      <c r="D11" s="44"/>
      <c r="F11" s="51"/>
      <c r="G11" s="52"/>
      <c r="H11" s="53"/>
    </row>
    <row r="12" spans="2:27" ht="15" customHeight="1" x14ac:dyDescent="0.3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3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3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3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3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3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6" x14ac:dyDescent="0.3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3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3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3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3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3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3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3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3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3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3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3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3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3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3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3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3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3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3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3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3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3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3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3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3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3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3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3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3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3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3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3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3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3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3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3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3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3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3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3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3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3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3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3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3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3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3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3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3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3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3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3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3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3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3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Q31" zoomScaleNormal="100" workbookViewId="0">
      <selection activeCell="CO39" sqref="CO39"/>
    </sheetView>
  </sheetViews>
  <sheetFormatPr baseColWidth="10" defaultColWidth="9.109375" defaultRowHeight="14.4" x14ac:dyDescent="0.3"/>
  <cols>
    <col min="1" max="1" width="4.88671875" style="3" customWidth="1"/>
    <col min="2" max="2" width="6.109375" style="3" customWidth="1"/>
    <col min="3" max="3" width="11.6640625" style="3" bestFit="1" customWidth="1"/>
    <col min="4" max="4" width="9" style="4" customWidth="1"/>
    <col min="5" max="5" width="22.5546875" style="5" customWidth="1"/>
    <col min="6" max="7" width="4.33203125" style="6" customWidth="1"/>
    <col min="8" max="8" width="22.5546875" style="7" customWidth="1"/>
    <col min="9" max="9" width="3.44140625" style="2" customWidth="1"/>
    <col min="10" max="10" width="19.44140625" style="8" customWidth="1"/>
    <col min="11" max="14" width="5.44140625" style="9" customWidth="1"/>
    <col min="15" max="15" width="7.6640625" style="9" customWidth="1"/>
    <col min="16" max="16" width="6.6640625" style="9" customWidth="1"/>
    <col min="17" max="17" width="3.44140625" style="68" customWidth="1"/>
    <col min="18" max="18" width="15.44140625" style="123" hidden="1" customWidth="1"/>
    <col min="19" max="20" width="16" style="127" hidden="1" customWidth="1"/>
    <col min="21" max="28" width="4" style="123" hidden="1" customWidth="1"/>
    <col min="29" max="29" width="4.33203125" style="124" hidden="1" customWidth="1"/>
    <col min="30" max="30" width="5.44140625" style="123" hidden="1" customWidth="1"/>
    <col min="31" max="31" width="13.44140625" style="124" hidden="1" customWidth="1"/>
    <col min="32" max="36" width="5.44140625" style="123" hidden="1" customWidth="1"/>
    <col min="37" max="39" width="6" style="123" hidden="1" customWidth="1"/>
    <col min="40" max="40" width="5.44140625" style="123" hidden="1" customWidth="1"/>
    <col min="41" max="42" width="6" style="123" hidden="1" customWidth="1"/>
    <col min="43" max="43" width="7.109375" style="125" hidden="1" customWidth="1"/>
    <col min="44" max="44" width="10" style="125" hidden="1" customWidth="1"/>
    <col min="45" max="45" width="15.33203125" style="125" hidden="1" customWidth="1"/>
    <col min="46" max="50" width="4.6640625" style="126" hidden="1" customWidth="1"/>
    <col min="51" max="51" width="9.109375" style="125" hidden="1" customWidth="1"/>
    <col min="52" max="61" width="9.109375" style="126" hidden="1" customWidth="1"/>
    <col min="62" max="62" width="9.109375" style="112" hidden="1" customWidth="1"/>
    <col min="63" max="63" width="3.33203125" style="2" customWidth="1"/>
    <col min="64" max="64" width="19.6640625" style="2" customWidth="1"/>
    <col min="65" max="67" width="3" style="2" customWidth="1"/>
    <col min="68" max="69" width="2" style="111" customWidth="1"/>
    <col min="70" max="70" width="3.33203125" style="2" customWidth="1"/>
    <col min="71" max="71" width="19.6640625" style="2" customWidth="1"/>
    <col min="72" max="74" width="3" style="2" customWidth="1"/>
    <col min="75" max="76" width="2" style="111" customWidth="1"/>
    <col min="77" max="77" width="4" style="2" customWidth="1"/>
    <col min="78" max="78" width="19.6640625" style="2" customWidth="1"/>
    <col min="79" max="81" width="3" style="2" customWidth="1"/>
    <col min="82" max="83" width="2" style="111" customWidth="1"/>
    <col min="84" max="84" width="3.88671875" style="2" customWidth="1"/>
    <col min="85" max="85" width="19.6640625" style="2" customWidth="1"/>
    <col min="86" max="88" width="3" style="2" customWidth="1"/>
    <col min="89" max="90" width="2" style="111" customWidth="1"/>
    <col min="91" max="91" width="3.6640625" style="2" customWidth="1"/>
    <col min="92" max="92" width="19.6640625" style="2" customWidth="1"/>
    <col min="93" max="95" width="3" style="2" customWidth="1"/>
    <col min="96" max="96" width="2" style="111" customWidth="1"/>
    <col min="97" max="16384" width="9.109375" style="2"/>
  </cols>
  <sheetData>
    <row r="1" spans="1:95" ht="46.2" x14ac:dyDescent="0.3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3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3"/>
    <row r="5" spans="1:95" x14ac:dyDescent="0.3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3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3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0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3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2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Republic_win</v>
      </c>
      <c r="T8" s="127" t="str">
        <f t="shared" si="2"/>
        <v>Czech Republic_lose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1</v>
      </c>
      <c r="AD8" s="123">
        <f>COUNTIF(AR8:AR11,CONCATENATE("&gt;=",AR8))</f>
        <v>2</v>
      </c>
      <c r="AE8" s="124" t="str">
        <f>VLOOKUP("Mexico",T,lang,FALSE)</f>
        <v>Mexico</v>
      </c>
      <c r="AF8" s="123">
        <f>COUNTIF($S$7:$T$78,"=" &amp; AE8 &amp; "_win")</f>
        <v>2</v>
      </c>
      <c r="AG8" s="123">
        <f>COUNTIF($S$7:$T$78,"=" &amp; AE8 &amp; "_draw")</f>
        <v>1</v>
      </c>
      <c r="AH8" s="123">
        <f>COUNTIF($S$7:$T$78,"=" &amp; AE8 &amp; "_lose")</f>
        <v>0</v>
      </c>
      <c r="AI8" s="123">
        <f>SUMIF($E$7:$E$78,$AE8,$F$7:$F$78) + SUMIF($H$7:$H$78,$AE8,$G$7:$G$78)</f>
        <v>4</v>
      </c>
      <c r="AJ8" s="123">
        <f>SUMIF($E$7:$E$78,$AE8,$G$7:$G$78) + SUMIF($H$7:$H$78,$AE8,$F$7:$F$78)</f>
        <v>1</v>
      </c>
      <c r="AL8" s="123">
        <f>AI8-AJ8</f>
        <v>3</v>
      </c>
      <c r="AM8" s="123">
        <f>AL8-AL12</f>
        <v>9</v>
      </c>
      <c r="AN8" s="123">
        <f>AF8*3+AG8</f>
        <v>7</v>
      </c>
      <c r="AO8" s="123">
        <f>AN8/AN12*10+BA8</f>
        <v>9.7305825242718456</v>
      </c>
      <c r="AP8" s="123">
        <f>AO8*10000000+BI8*100+AM8/AM12*10+AI8/AI12*1++IF(AQ8=0,ROW(),AQ8)/2000000</f>
        <v>97305932.968478069</v>
      </c>
      <c r="AQ8" s="126">
        <f>VLOOKUP(AE8,db_fifarank,2,FALSE)</f>
        <v>1681.03</v>
      </c>
      <c r="AR8" s="125">
        <f>AP8/AP12</f>
        <v>0.99999998801079826</v>
      </c>
      <c r="AS8" s="125" t="str">
        <f>IF(SUM(AF8:AH11)=12,J9,"1A")</f>
        <v>Korea Republic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1</v>
      </c>
      <c r="AV8" s="126" cm="1">
        <f t="array" ref="AV8">SUMPRODUCT(($E$7:$E$78=AE8)*($U$7:$U$78)*($F$7:$F$78))+SUMPRODUCT(($H$7:$H$78=AE8)*($U$7:$U$78)*($G$7:$G$78))</f>
        <v>1</v>
      </c>
      <c r="AW8" s="126" cm="1">
        <f t="array" ref="AW8">SUMPRODUCT(($E$7:$E$78=AE8)*($U$7:$U$78)*($G$7:$G$78))+SUMPRODUCT(($H$7:$H$78=AE8)*($U$7:$U$78)*($F$7:$F$78))</f>
        <v>1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50.5</v>
      </c>
      <c r="BA8" s="126">
        <f>AZ8/AZ12</f>
        <v>0.98058252427184467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1</v>
      </c>
      <c r="BD8" s="126" cm="1">
        <f t="array" ref="BD8">SUMPRODUCT(($E$7:$E$78=AE8)*($X$7:$X$78)*($F$7:$F$78))+SUMPRODUCT(($H$7:$H$78=AE8)*($X$7:$X$78)*($G$7:$G$78))</f>
        <v>1</v>
      </c>
      <c r="BE8" s="126" cm="1">
        <f t="array" ref="BE8">SUMPRODUCT(($E$7:$E$78=AE8)*($X$7:$X$78)*($G$7:$G$78))+SUMPRODUCT(($H$7:$H$78=AE8)*($X$7:$X$78)*($F$7:$F$78))</f>
        <v>1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50.5</v>
      </c>
      <c r="BI8" s="126">
        <f>BH8/BH12</f>
        <v>0.98058252427184467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3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1</v>
      </c>
      <c r="G9" s="20">
        <v>1</v>
      </c>
      <c r="H9" s="80" t="str">
        <f>AE15</f>
        <v>Bosnia and Herzegovina</v>
      </c>
      <c r="J9" s="30" t="str">
        <f>VLOOKUP(1,AD8:AN11,2,FALSE)</f>
        <v>Korea Republic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5 - 2</v>
      </c>
      <c r="P9" s="32">
        <f>L9*3+M9</f>
        <v>7</v>
      </c>
      <c r="R9" s="123">
        <f>DATE(2026,6,12)+TIME(8,0,0)+gmt_delta</f>
        <v>46185.875</v>
      </c>
      <c r="S9" s="127" t="str">
        <f t="shared" si="1"/>
        <v>Canada_draw</v>
      </c>
      <c r="T9" s="127" t="str">
        <f t="shared" si="2"/>
        <v>Bosnia and Herzegovina_draw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0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0</v>
      </c>
      <c r="AH9" s="123">
        <f>COUNTIF($S$7:$T$78,"=" &amp; AE9 &amp; "_lose")</f>
        <v>3</v>
      </c>
      <c r="AI9" s="123">
        <f>SUMIF($E$7:$E$78,$AE9,$F$7:$F$78) + SUMIF($H$7:$H$78,$AE9,$G$7:$G$78)</f>
        <v>0</v>
      </c>
      <c r="AJ9" s="123">
        <f>SUMIF($E$7:$E$78,$AE9,$G$7:$G$78) + SUMIF($H$7:$H$78,$AE9,$F$7:$F$78)</f>
        <v>6</v>
      </c>
      <c r="AL9" s="123">
        <f>AI9-AJ9</f>
        <v>-6</v>
      </c>
      <c r="AM9" s="123">
        <f>AL9-AL12</f>
        <v>0</v>
      </c>
      <c r="AN9" s="123">
        <f>AF9*3+AG9</f>
        <v>0</v>
      </c>
      <c r="AO9" s="123">
        <f>AN9/AN12*10+BA9</f>
        <v>0</v>
      </c>
      <c r="AP9" s="123">
        <f>AO9*10000000+BI9*100+AM9/AM12*10+AI9/AI12*1++IF(AQ9=0,ROW(),AQ9)/2000000</f>
        <v>7.1486499999999997E-4</v>
      </c>
      <c r="AQ9" s="126">
        <f>VLOOKUP(AE9,db_fifarank,2,FALSE)</f>
        <v>1429.73</v>
      </c>
      <c r="AR9" s="125">
        <f>AP9/AP12</f>
        <v>7.3465714743305265E-12</v>
      </c>
      <c r="AS9" s="125" t="str">
        <f>IF(SUM(AF8:AH11)=12,J10,"2A")</f>
        <v>Mexico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3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2</v>
      </c>
      <c r="G10" s="20">
        <v>1</v>
      </c>
      <c r="H10" s="80" t="str">
        <f>AE27</f>
        <v>Paraguay</v>
      </c>
      <c r="J10" s="33" t="str">
        <f>VLOOKUP(2,AD8:AN11,2,FALSE)</f>
        <v>Mexico</v>
      </c>
      <c r="K10" s="23">
        <f>L10+M10+N10</f>
        <v>3</v>
      </c>
      <c r="L10" s="23">
        <f>VLOOKUP(2,AD8:AN11,3,FALSE)</f>
        <v>2</v>
      </c>
      <c r="M10" s="23">
        <f>VLOOKUP(2,AD8:AN11,4,FALSE)</f>
        <v>1</v>
      </c>
      <c r="N10" s="23">
        <f>VLOOKUP(2,AD8:AN11,5,FALSE)</f>
        <v>0</v>
      </c>
      <c r="O10" s="23" t="str">
        <f>VLOOKUP(2,AD8:AN11,6,FALSE) &amp; " - " &amp; VLOOKUP(2,AD8:AN11,7,FALSE)</f>
        <v>4 - 1</v>
      </c>
      <c r="P10" s="34">
        <f>L10*3+M10</f>
        <v>7</v>
      </c>
      <c r="R10" s="123">
        <f>DATE(2026,6,12)+TIME(14,0,0)+gmt_delta</f>
        <v>46186.125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1</v>
      </c>
      <c r="AE10" s="124" t="str">
        <f>VLOOKUP("Korea Republic",T,lang,FALSE)</f>
        <v>Korea Republic</v>
      </c>
      <c r="AF10" s="123">
        <f>COUNTIF($S$7:$T$78,"=" &amp; AE10 &amp; "_win")</f>
        <v>2</v>
      </c>
      <c r="AG10" s="123">
        <f>COUNTIF($S$7:$T$78,"=" &amp; AE10 &amp; "_draw")</f>
        <v>1</v>
      </c>
      <c r="AH10" s="123">
        <f>COUNTIF($S$7:$T$78,"=" &amp; AE10 &amp; "_lose")</f>
        <v>0</v>
      </c>
      <c r="AI10" s="123">
        <f>SUMIF($E$7:$E$78,$AE10,$F$7:$F$78) + SUMIF($H$7:$H$78,$AE10,$G$7:$G$78)</f>
        <v>5</v>
      </c>
      <c r="AJ10" s="123">
        <f>SUMIF($E$7:$E$78,$AE10,$G$7:$G$78) + SUMIF($H$7:$H$78,$AE10,$F$7:$F$78)</f>
        <v>2</v>
      </c>
      <c r="AL10" s="123">
        <f>AI10-AJ10</f>
        <v>3</v>
      </c>
      <c r="AM10" s="123">
        <f>AL10-AL12</f>
        <v>9</v>
      </c>
      <c r="AN10" s="123">
        <f>AF10*3+AG10</f>
        <v>7</v>
      </c>
      <c r="AO10" s="123">
        <f>AN10/AN12*10+BA10</f>
        <v>9.7305825242718456</v>
      </c>
      <c r="AP10" s="123">
        <f>AO10*10000000+BI10*100+AM10/AM12*10+AI10/AI12*1++IF(AQ10=0,ROW(),AQ10)/2000000</f>
        <v>97305933.135098547</v>
      </c>
      <c r="AQ10" s="126">
        <f>VLOOKUP(AE10,db_fifarank,2,FALSE)</f>
        <v>1588.66</v>
      </c>
      <c r="AR10" s="125">
        <f>AP10/AP12</f>
        <v>0.99999998972313442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1</v>
      </c>
      <c r="AV10" s="126" cm="1">
        <f t="array" ref="AV10">SUMPRODUCT(($E$7:$E$78=AE10)*($U$7:$U$78)*($F$7:$F$78))+SUMPRODUCT(($H$7:$H$78=AE10)*($U$7:$U$78)*($G$7:$G$78))</f>
        <v>1</v>
      </c>
      <c r="AW10" s="126" cm="1">
        <f t="array" ref="AW10">SUMPRODUCT(($E$7:$E$78=AE10)*($U$7:$U$78)*($G$7:$G$78))+SUMPRODUCT(($H$7:$H$78=AE10)*($U$7:$U$78)*($F$7:$F$78))</f>
        <v>1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50.5</v>
      </c>
      <c r="BA10" s="126">
        <f>AZ10/AZ12</f>
        <v>0.98058252427184467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1</v>
      </c>
      <c r="BD10" s="126" cm="1">
        <f t="array" ref="BD10">SUMPRODUCT(($E$7:$E$78=AE10)*($X$7:$X$78)*($F$7:$F$78))+SUMPRODUCT(($H$7:$H$78=AE10)*($X$7:$X$78)*($G$7:$G$78))</f>
        <v>1</v>
      </c>
      <c r="BE10" s="126" cm="1">
        <f t="array" ref="BE10">SUMPRODUCT(($E$7:$E$78=AE10)*($X$7:$X$78)*($G$7:$G$78))+SUMPRODUCT(($H$7:$H$78=AE10)*($X$7:$X$78)*($F$7:$F$78))</f>
        <v>1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50.5</v>
      </c>
      <c r="BI10" s="126">
        <f>BH10/BH12</f>
        <v>0.98058252427184467</v>
      </c>
      <c r="BK10" s="131">
        <v>74</v>
      </c>
      <c r="BL10" s="24" t="str">
        <f>AS32</f>
        <v>Germany</v>
      </c>
      <c r="BM10" s="61">
        <v>1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1000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3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2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0</v>
      </c>
      <c r="N11" s="23">
        <f>VLOOKUP(3,AD8:AN11,5,FALSE)</f>
        <v>2</v>
      </c>
      <c r="O11" s="23" t="str">
        <f>VLOOKUP(3,AD8:AN11,6,FALSE) &amp; " - " &amp; VLOOKUP(3,AD8:AN11,7,FALSE)</f>
        <v>3 - 3</v>
      </c>
      <c r="P11" s="34">
        <f>L11*3+M11</f>
        <v>3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0</v>
      </c>
      <c r="AH11" s="123">
        <f>COUNTIF($S$7:$T$78,"=" &amp; AE11 &amp; "_lose")</f>
        <v>2</v>
      </c>
      <c r="AI11" s="123">
        <f>SUMIF($E$7:$E$78,$AE11,$F$7:$F$78) + SUMIF($H$7:$H$78,$AE11,$G$7:$G$78)</f>
        <v>3</v>
      </c>
      <c r="AJ11" s="123">
        <f>SUMIF($E$7:$E$78,$AE11,$G$7:$G$78) + SUMIF($H$7:$H$78,$AE11,$F$7:$F$78)</f>
        <v>3</v>
      </c>
      <c r="AL11" s="123">
        <f>AI11-AJ11</f>
        <v>0</v>
      </c>
      <c r="AM11" s="123">
        <f>AL11-AL12</f>
        <v>6</v>
      </c>
      <c r="AN11" s="123">
        <f>AF11*3+AG11</f>
        <v>3</v>
      </c>
      <c r="AO11" s="123">
        <f>AN11/AN12*10+BA11</f>
        <v>3.75</v>
      </c>
      <c r="AP11" s="123">
        <f>AO11*10000000+BI11*100+AM11/AM12*10+AI11/AI12*1++IF(AQ11=0,ROW(),AQ11)/2000000</f>
        <v>37500006.500750691</v>
      </c>
      <c r="AQ11" s="126">
        <f>VLOOKUP(AE11,db_fifarank,2,FALSE)</f>
        <v>1501.38</v>
      </c>
      <c r="AR11" s="125">
        <f>AP11/AP12</f>
        <v>0.38538252403688011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Scotland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3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1</v>
      </c>
      <c r="G12" s="20">
        <v>1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3</v>
      </c>
      <c r="O12" s="36" t="str">
        <f>VLOOKUP(4,AD8:AN11,6,FALSE) &amp; " - " &amp; VLOOKUP(4,AD8:AN11,7,FALSE)</f>
        <v>0 - 6</v>
      </c>
      <c r="P12" s="37">
        <f>L12*3+M12</f>
        <v>0</v>
      </c>
      <c r="R12" s="123">
        <f>DATE(2026,6,13)+TIME(17,0,0)+gmt_delta</f>
        <v>46187.25</v>
      </c>
      <c r="S12" s="127" t="str">
        <f t="shared" si="1"/>
        <v>Australia_draw</v>
      </c>
      <c r="T12" s="127" t="str">
        <f t="shared" si="2"/>
        <v>Turkey_draw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0</v>
      </c>
      <c r="AF12" s="123">
        <f t="shared" ref="AF12:AH12" si="12">MAX(AF8:AF11)-MIN(AF8:AF11)+1</f>
        <v>3</v>
      </c>
      <c r="AG12" s="123">
        <f t="shared" si="12"/>
        <v>2</v>
      </c>
      <c r="AH12" s="123">
        <f t="shared" si="12"/>
        <v>4</v>
      </c>
      <c r="AI12" s="123">
        <f>MAX(AI8:AI11)+1</f>
        <v>6</v>
      </c>
      <c r="AL12" s="123">
        <f>MIN(AL8:AL11)</f>
        <v>-6</v>
      </c>
      <c r="AM12" s="123">
        <f>MAX(AM8:AM11)+1</f>
        <v>10</v>
      </c>
      <c r="AN12" s="123">
        <f>MAX(AN8:AN11)+1</f>
        <v>8</v>
      </c>
      <c r="AO12" s="123">
        <f>MAX(AO8:AO11)+1</f>
        <v>10.730582524271846</v>
      </c>
      <c r="AP12" s="123">
        <f>MAX(AP8:AP11)+1</f>
        <v>97305934.135098547</v>
      </c>
      <c r="AT12" s="126">
        <f>MAX(AT8:AT11)-MIN(AT8:AT11)+1</f>
        <v>1</v>
      </c>
      <c r="AU12" s="126">
        <f>MAX(AU8:AU11)-MIN(AU8:AU11)+1</f>
        <v>2</v>
      </c>
      <c r="AV12" s="126">
        <f>MAX(AV8:AV11)-MIN(AV8:AV11)+1</f>
        <v>2</v>
      </c>
      <c r="AW12" s="126">
        <f>MAX(AW8:AW11)-MIN(AW8:AW11)+1</f>
        <v>2</v>
      </c>
      <c r="AY12" s="126">
        <f>MAX(AY8:AY11)-MIN(AY8:AY11)+1</f>
        <v>1</v>
      </c>
      <c r="AZ12" s="126">
        <f>MAX(AZ8:AZ11)+1</f>
        <v>51.5</v>
      </c>
      <c r="BB12" s="126">
        <f>MAX(BB8:BB11)-MIN(BB8:BB11)+1</f>
        <v>1</v>
      </c>
      <c r="BC12" s="126">
        <f>MAX(BC8:BC11)-MIN(BC8:BC11)+1</f>
        <v>2</v>
      </c>
      <c r="BD12" s="126">
        <f>MAX(BD8:BD11)-MIN(BD8:BD11)+1</f>
        <v>2</v>
      </c>
      <c r="BE12" s="126">
        <f>MAX(BE8:BE11)-MIN(BE8:BE11)+1</f>
        <v>2</v>
      </c>
      <c r="BG12" s="126">
        <f>MAX(BG8:BG11)-MIN(BG8:BG11)+1</f>
        <v>1</v>
      </c>
      <c r="BH12" s="126">
        <f>MAX(BH8:BH11)+1</f>
        <v>51.5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0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3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3</v>
      </c>
      <c r="G13" s="20">
        <v>0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1</v>
      </c>
      <c r="BU13" s="64"/>
      <c r="BV13" s="27"/>
      <c r="BW13" s="113">
        <f>IF(BW12="","",BT13*1000+BU13*10+BV13)</f>
        <v>1000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3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1</v>
      </c>
      <c r="AG14" s="123">
        <f>COUNTIF($S$7:$T$78,"=" &amp; AE14 &amp; "_draw")</f>
        <v>2</v>
      </c>
      <c r="AH14" s="123">
        <f>COUNTIF($S$7:$T$78,"=" &amp; AE14 &amp; "_lose")</f>
        <v>0</v>
      </c>
      <c r="AI14" s="123">
        <f>SUMIF($E$7:$E$78,$AE14,$F$7:$F$78) + SUMIF($H$7:$H$78,$AE14,$G$7:$G$78)</f>
        <v>4</v>
      </c>
      <c r="AJ14" s="123">
        <f>SUMIF($E$7:$E$78,$AE14,$G$7:$G$78) + SUMIF($H$7:$H$78,$AE14,$F$7:$F$78)</f>
        <v>3</v>
      </c>
      <c r="AL14" s="123">
        <f>AI14-AJ14</f>
        <v>1</v>
      </c>
      <c r="AM14" s="123">
        <f>AL14-AL18</f>
        <v>4</v>
      </c>
      <c r="AN14" s="123">
        <f>AF14*3+AG14</f>
        <v>5</v>
      </c>
      <c r="AO14" s="123">
        <f>AN14/AN18*10+BA14</f>
        <v>6.25</v>
      </c>
      <c r="AP14" s="123">
        <f>AO14*10000000+BI14*100+AM14/AM18*10+AI14/AI18*1++IF(AQ14=0,ROW(),AQ14)/2000000</f>
        <v>62500005.667444907</v>
      </c>
      <c r="AQ14" s="126">
        <f>VLOOKUP(AE14,db_fifarank,2,FALSE)</f>
        <v>1556.48</v>
      </c>
      <c r="AR14" s="125">
        <f>AP14/AP18</f>
        <v>0.71428569265522579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1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1000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3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1</v>
      </c>
      <c r="G15" s="20">
        <v>1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5 - 1</v>
      </c>
      <c r="P15" s="32">
        <f>L15*3+M15</f>
        <v>7</v>
      </c>
      <c r="R15" s="123">
        <f>DATE(2026,6,14)+TIME(12,0,0)+gmt_delta</f>
        <v>46188.041666666664</v>
      </c>
      <c r="S15" s="127" t="str">
        <f t="shared" si="1"/>
        <v>Ivory Coast_draw</v>
      </c>
      <c r="T15" s="127" t="str">
        <f t="shared" si="2"/>
        <v>Ecuador_draw</v>
      </c>
      <c r="U15" s="123">
        <f t="shared" si="8"/>
        <v>1</v>
      </c>
      <c r="V15" s="123">
        <f t="shared" si="3"/>
        <v>1</v>
      </c>
      <c r="W15" s="123">
        <f t="shared" si="4"/>
        <v>1</v>
      </c>
      <c r="X15" s="123">
        <f t="shared" si="9"/>
        <v>1</v>
      </c>
      <c r="Y15" s="123">
        <f t="shared" si="10"/>
        <v>1</v>
      </c>
      <c r="Z15" s="123">
        <f t="shared" si="11"/>
        <v>1</v>
      </c>
      <c r="AA15" s="123">
        <f t="shared" si="5"/>
        <v>0</v>
      </c>
      <c r="AB15" s="123">
        <f t="shared" si="6"/>
        <v>0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0</v>
      </c>
      <c r="AG15" s="123">
        <f>COUNTIF($S$7:$T$78,"=" &amp; AE15 &amp; "_draw")</f>
        <v>2</v>
      </c>
      <c r="AH15" s="123">
        <f>COUNTIF($S$7:$T$78,"=" &amp; AE15 &amp; "_lose")</f>
        <v>1</v>
      </c>
      <c r="AI15" s="123">
        <f>SUMIF($E$7:$E$78,$AE15,$F$7:$F$78) + SUMIF($H$7:$H$78,$AE15,$G$7:$G$78)</f>
        <v>2</v>
      </c>
      <c r="AJ15" s="123">
        <f>SUMIF($E$7:$E$78,$AE15,$G$7:$G$78) + SUMIF($H$7:$H$78,$AE15,$F$7:$F$78)</f>
        <v>4</v>
      </c>
      <c r="AL15" s="123">
        <f>AI15-AJ15</f>
        <v>-2</v>
      </c>
      <c r="AM15" s="123">
        <f>AL15-AL18</f>
        <v>1</v>
      </c>
      <c r="AN15" s="123">
        <f>AF15*3+AG15</f>
        <v>2</v>
      </c>
      <c r="AO15" s="123">
        <f>AN15/AN18*10+BA15</f>
        <v>2.5</v>
      </c>
      <c r="AP15" s="123">
        <f>AO15*10000000+BI15*100+AM15/AM18*10+AI15/AI18*1++IF(AQ15=0,ROW(),AQ15)/2000000</f>
        <v>25000001.584026251</v>
      </c>
      <c r="AQ15" s="126">
        <f>VLOOKUP(AE15,db_fifarank,2,FALSE)</f>
        <v>1385.84</v>
      </c>
      <c r="AR15" s="125">
        <f>AP15/AP18</f>
        <v>0.28571426925692883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Australia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3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3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1</v>
      </c>
      <c r="M16" s="23">
        <f>VLOOKUP(2,AD14:AN17,4,FALSE)</f>
        <v>2</v>
      </c>
      <c r="N16" s="23">
        <f>VLOOKUP(2,AD14:AN17,5,FALSE)</f>
        <v>0</v>
      </c>
      <c r="O16" s="23" t="str">
        <f>VLOOKUP(2,AD14:AN17,6,FALSE) &amp; " - " &amp; VLOOKUP(2,AD14:AN17,7,FALSE)</f>
        <v>4 - 3</v>
      </c>
      <c r="P16" s="34">
        <f>L16*3+M16</f>
        <v>5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1</v>
      </c>
      <c r="AH16" s="123">
        <f>COUNTIF($S$7:$T$78,"=" &amp; AE16 &amp; "_lose")</f>
        <v>2</v>
      </c>
      <c r="AI16" s="123">
        <f>SUMIF($E$7:$E$78,$AE16,$F$7:$F$78) + SUMIF($H$7:$H$78,$AE16,$G$7:$G$78)</f>
        <v>2</v>
      </c>
      <c r="AJ16" s="123">
        <f>SUMIF($E$7:$E$78,$AE16,$G$7:$G$78) + SUMIF($H$7:$H$78,$AE16,$F$7:$F$78)</f>
        <v>5</v>
      </c>
      <c r="AL16" s="123">
        <f>AI16-AJ16</f>
        <v>-3</v>
      </c>
      <c r="AM16" s="123">
        <f>AL16-AL18</f>
        <v>0</v>
      </c>
      <c r="AN16" s="123">
        <f>AF16*3+AG16</f>
        <v>1</v>
      </c>
      <c r="AO16" s="123">
        <f>AN16/AN18*10+BA16</f>
        <v>1.25</v>
      </c>
      <c r="AP16" s="123">
        <f>AO16*10000000+BI16*100+AM16/AM18*10+AI16/AI18*1++IF(AQ16=0,ROW(),AQ16)/2000000</f>
        <v>12500000.334060814</v>
      </c>
      <c r="AQ16" s="126">
        <f>VLOOKUP(AE16,db_fifarank,2,FALSE)</f>
        <v>1454.96</v>
      </c>
      <c r="AR16" s="125">
        <f>AP16/AP18</f>
        <v>0.14285712939472434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1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1000</v>
      </c>
      <c r="CE16" s="112"/>
      <c r="CF16" s="21"/>
      <c r="CG16" s="21"/>
      <c r="CH16" s="21"/>
      <c r="CI16" s="21"/>
    </row>
    <row r="17" spans="1:95" x14ac:dyDescent="0.3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2</v>
      </c>
      <c r="G17" s="20">
        <v>0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0</v>
      </c>
      <c r="M17" s="23">
        <f>VLOOKUP(3,AD14:AN17,4,FALSE)</f>
        <v>2</v>
      </c>
      <c r="N17" s="23">
        <f>VLOOKUP(3,AD14:AN17,5,FALSE)</f>
        <v>1</v>
      </c>
      <c r="O17" s="23" t="str">
        <f>VLOOKUP(3,AD14:AN17,6,FALSE) &amp; " - " &amp; VLOOKUP(3,AD14:AN17,7,FALSE)</f>
        <v>2 - 4</v>
      </c>
      <c r="P17" s="34">
        <f>L17*3+M17</f>
        <v>2</v>
      </c>
      <c r="R17" s="123">
        <f>DATE(2026,6,14)+TIME(9,0,0)+gmt_delta</f>
        <v>46187.916666666664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2</v>
      </c>
      <c r="AG17" s="123">
        <f>COUNTIF($S$7:$T$78,"=" &amp; AE17 &amp; "_draw")</f>
        <v>1</v>
      </c>
      <c r="AH17" s="123">
        <f>COUNTIF($S$7:$T$78,"=" &amp; AE17 &amp; "_lose")</f>
        <v>0</v>
      </c>
      <c r="AI17" s="123">
        <f>SUMIF($E$7:$E$78,$AE17,$F$7:$F$78) + SUMIF($H$7:$H$78,$AE17,$G$7:$G$78)</f>
        <v>5</v>
      </c>
      <c r="AJ17" s="123">
        <f>SUMIF($E$7:$E$78,$AE17,$G$7:$G$78) + SUMIF($H$7:$H$78,$AE17,$F$7:$F$78)</f>
        <v>1</v>
      </c>
      <c r="AL17" s="123">
        <f>AI17-AJ17</f>
        <v>4</v>
      </c>
      <c r="AM17" s="123">
        <f>AL17-AL18</f>
        <v>7</v>
      </c>
      <c r="AN17" s="123">
        <f>AF17*3+AG17</f>
        <v>7</v>
      </c>
      <c r="AO17" s="123">
        <f>AN17/AN18*10+BA17</f>
        <v>8.75</v>
      </c>
      <c r="AP17" s="123">
        <f>AO17*10000000+BI17*100+AM17/AM18*10+AI17/AI18*1++IF(AQ17=0,ROW(),AQ17)/2000000</f>
        <v>87500009.584158033</v>
      </c>
      <c r="AQ17" s="126">
        <f>VLOOKUP(AE17,db_fifarank,2,FALSE)</f>
        <v>1649.4</v>
      </c>
      <c r="AR17" s="125">
        <f>AP17/AP18</f>
        <v>0.99999998857142991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Netherlands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3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1</v>
      </c>
      <c r="G18" s="20">
        <v>1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1</v>
      </c>
      <c r="N18" s="36">
        <f>VLOOKUP(4,AD14:AN17,5,FALSE)</f>
        <v>2</v>
      </c>
      <c r="O18" s="36" t="str">
        <f>VLOOKUP(4,AD14:AN17,6,FALSE) &amp; " - " &amp; VLOOKUP(4,AD14:AN17,7,FALSE)</f>
        <v>2 - 5</v>
      </c>
      <c r="P18" s="37">
        <f>L18*3+M18</f>
        <v>1</v>
      </c>
      <c r="R18" s="123">
        <f>DATE(2026,6,14)+TIME(15,0,0)+gmt_delta</f>
        <v>46188.166666666664</v>
      </c>
      <c r="S18" s="127" t="str">
        <f t="shared" si="1"/>
        <v>Sweden_draw</v>
      </c>
      <c r="T18" s="127" t="str">
        <f t="shared" si="2"/>
        <v>Tunisia_draw</v>
      </c>
      <c r="U18" s="123">
        <f t="shared" si="8"/>
        <v>1</v>
      </c>
      <c r="V18" s="123">
        <f t="shared" si="3"/>
        <v>1</v>
      </c>
      <c r="W18" s="123">
        <f t="shared" si="4"/>
        <v>1</v>
      </c>
      <c r="X18" s="123">
        <f t="shared" si="9"/>
        <v>1</v>
      </c>
      <c r="Y18" s="123">
        <f t="shared" si="10"/>
        <v>1</v>
      </c>
      <c r="Z18" s="123">
        <f t="shared" si="11"/>
        <v>1</v>
      </c>
      <c r="AA18" s="123">
        <f t="shared" si="5"/>
        <v>0</v>
      </c>
      <c r="AB18" s="123">
        <f t="shared" si="6"/>
        <v>0</v>
      </c>
      <c r="AF18" s="123">
        <f t="shared" ref="AF18:AH18" si="13">MAX(AF14:AF17)-MIN(AF14:AF17)+1</f>
        <v>3</v>
      </c>
      <c r="AG18" s="123">
        <f t="shared" si="13"/>
        <v>2</v>
      </c>
      <c r="AH18" s="123">
        <f t="shared" si="13"/>
        <v>3</v>
      </c>
      <c r="AI18" s="123">
        <f>MAX(AI14:AI17)+1</f>
        <v>6</v>
      </c>
      <c r="AL18" s="123">
        <f>MIN(AL14:AL17)</f>
        <v>-3</v>
      </c>
      <c r="AM18" s="123">
        <f>MAX(AM14:AM17)+1</f>
        <v>8</v>
      </c>
      <c r="AN18" s="123">
        <f>MAX(AN14:AN17)+1</f>
        <v>8</v>
      </c>
      <c r="AO18" s="123">
        <f>MAX(AO14:AO17)+1</f>
        <v>9.75</v>
      </c>
      <c r="AP18" s="123">
        <f>MAX(AP14:AP17)+1</f>
        <v>87500010.584158033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31">
        <v>73</v>
      </c>
      <c r="BL18" s="24" t="str">
        <f>AS9</f>
        <v>Mexico</v>
      </c>
      <c r="BM18" s="61">
        <v>1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1000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3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0</v>
      </c>
      <c r="G19" s="20">
        <v>2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Canada</v>
      </c>
      <c r="BM19" s="62">
        <v>0</v>
      </c>
      <c r="BN19" s="64"/>
      <c r="BO19" s="27"/>
      <c r="BP19" s="113">
        <f>IF(BP18="","",BM19*1000+BN19*10+BO19)</f>
        <v>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3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3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8</v>
      </c>
      <c r="AJ20" s="123">
        <f>SUMIF($E$7:$E$78,$AE20,$G$7:$G$78) + SUMIF($H$7:$H$78,$AE20,$F$7:$F$78)</f>
        <v>0</v>
      </c>
      <c r="AL20" s="123">
        <f>AI20-AJ20</f>
        <v>8</v>
      </c>
      <c r="AM20" s="123">
        <f>AL20-AL24</f>
        <v>15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90000010.26476948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Mexico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3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1</v>
      </c>
      <c r="G21" s="20">
        <v>1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8 - 0</v>
      </c>
      <c r="P21" s="32">
        <f>L21*3+M21</f>
        <v>9</v>
      </c>
      <c r="R21" s="123">
        <f>DATE(2026,6,15)+TIME(14,0,0)+gmt_delta</f>
        <v>46189.125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4</v>
      </c>
      <c r="AJ21" s="123">
        <f>SUMIF($E$7:$E$78,$AE21,$G$7:$G$78) + SUMIF($H$7:$H$78,$AE21,$F$7:$F$78)</f>
        <v>4</v>
      </c>
      <c r="AL21" s="123">
        <f>AI21-AJ21</f>
        <v>0</v>
      </c>
      <c r="AM21" s="123">
        <f>AL21-AL24</f>
        <v>7</v>
      </c>
      <c r="AN21" s="123">
        <f>AF21*3+AG21</f>
        <v>6</v>
      </c>
      <c r="AO21" s="123">
        <f>AN21/AN24*10+BA21</f>
        <v>6</v>
      </c>
      <c r="AP21" s="123">
        <f>AO21*10000000+BI21*100+AM21/AM24*10+AI21/AI24*1++IF(AQ21=0,ROW(),AQ21)/2000000</f>
        <v>60000004.820322379</v>
      </c>
      <c r="AQ21" s="126">
        <f>VLOOKUP(AE21,db_fifarank,2,FALSE)</f>
        <v>1755.87</v>
      </c>
      <c r="AR21" s="125">
        <f>AP21/AP24</f>
        <v>0.66666663678307103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Netherlands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3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2</v>
      </c>
      <c r="G22" s="20">
        <v>0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4 - 4</v>
      </c>
      <c r="P22" s="34">
        <f>L22*3+M22</f>
        <v>6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7</v>
      </c>
      <c r="AL22" s="123">
        <f>AI22-AJ22</f>
        <v>-7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7.176165768468298E-12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1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1000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3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2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3 - 4</v>
      </c>
      <c r="P23" s="34">
        <f>L23*3+M23</f>
        <v>3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3</v>
      </c>
      <c r="AJ23" s="123">
        <f>SUMIF($E$7:$E$78,$AE23,$G$7:$G$78) + SUMIF($H$7:$H$78,$AE23,$F$7:$F$78)</f>
        <v>4</v>
      </c>
      <c r="AL23" s="123">
        <f>AI23-AJ23</f>
        <v>-1</v>
      </c>
      <c r="AM23" s="123">
        <f>AL23-AL24</f>
        <v>6</v>
      </c>
      <c r="AN23" s="123">
        <f>AF23*3+AG23</f>
        <v>3</v>
      </c>
      <c r="AO23" s="123">
        <f>AN23/AN24*10+BA23</f>
        <v>3</v>
      </c>
      <c r="AP23" s="123">
        <f>AO23*10000000+BI23*100+AM23/AM24*10+AI23/AI24*1++IF(AQ23=0,ROW(),AQ23)/2000000</f>
        <v>30000004.084082507</v>
      </c>
      <c r="AQ23" s="126">
        <f>VLOOKUP(AE23,db_fifarank,2,FALSE)</f>
        <v>1498.35</v>
      </c>
      <c r="AR23" s="125">
        <f>AP23/AP24</f>
        <v>0.33333333699065892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Morocco</v>
      </c>
      <c r="BM23" s="62">
        <v>0</v>
      </c>
      <c r="BN23" s="64"/>
      <c r="BO23" s="27"/>
      <c r="BP23" s="112">
        <f>IF(BP22="","",BM23*1000+BN23*10+BO23)</f>
        <v>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0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0</v>
      </c>
    </row>
    <row r="24" spans="1:95" x14ac:dyDescent="0.3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0 - 7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1</v>
      </c>
      <c r="AH24" s="123">
        <f t="shared" si="14"/>
        <v>4</v>
      </c>
      <c r="AI24" s="123">
        <f>MAX(AI20:AI23)+1</f>
        <v>9</v>
      </c>
      <c r="AL24" s="123">
        <f>MIN(AL20:AL23)</f>
        <v>-7</v>
      </c>
      <c r="AM24" s="123">
        <f>MAX(AM20:AM23)+1</f>
        <v>16</v>
      </c>
      <c r="AN24" s="123">
        <f>MAX(AN20:AN23)+1</f>
        <v>10</v>
      </c>
      <c r="AO24" s="123">
        <f>MAX(AO20:AO23)+1</f>
        <v>10</v>
      </c>
      <c r="AP24" s="123">
        <f>MAX(AP20:AP23)+1</f>
        <v>90000011.26476948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1</v>
      </c>
      <c r="CI24" s="64"/>
      <c r="CJ24" s="27"/>
      <c r="CK24" s="113">
        <f>IF(CK23="","",CH24*1000+CI24*10+CJ24)</f>
        <v>1000</v>
      </c>
    </row>
    <row r="25" spans="1:95" x14ac:dyDescent="0.3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3</v>
      </c>
      <c r="G25" s="20">
        <v>0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3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1</v>
      </c>
      <c r="AE26" s="124" t="str">
        <f>VLOOKUP("United States",T,lang,FALSE)</f>
        <v>United States</v>
      </c>
      <c r="AF26" s="123">
        <f>COUNTIF($S$7:$T$78,"=" &amp; AE26 &amp; "_win")</f>
        <v>2</v>
      </c>
      <c r="AG26" s="123">
        <f>COUNTIF($S$7:$T$78,"=" &amp; AE26 &amp; "_draw")</f>
        <v>1</v>
      </c>
      <c r="AH26" s="123">
        <f>COUNTIF($S$7:$T$78,"=" &amp; AE26 &amp; "_lose")</f>
        <v>0</v>
      </c>
      <c r="AI26" s="123">
        <f>SUMIF($E$7:$E$78,$AE26,$F$7:$F$78) + SUMIF($H$7:$H$78,$AE26,$G$7:$G$78)</f>
        <v>5</v>
      </c>
      <c r="AJ26" s="123">
        <f>SUMIF($E$7:$E$78,$AE26,$G$7:$G$78) + SUMIF($H$7:$H$78,$AE26,$F$7:$F$78)</f>
        <v>3</v>
      </c>
      <c r="AL26" s="123">
        <f>AI26-AJ26</f>
        <v>2</v>
      </c>
      <c r="AM26" s="123">
        <f>AL26-AL30</f>
        <v>4</v>
      </c>
      <c r="AN26" s="123">
        <f>AF26*3+AG26</f>
        <v>7</v>
      </c>
      <c r="AO26" s="123">
        <f>AN26/AN30*10+BA26</f>
        <v>8.75</v>
      </c>
      <c r="AP26" s="123">
        <f>AO26*10000000+BI26*100+AM26/AM30*10+AI26/AI30*1++IF(AQ26=0,ROW(),AQ26)/2000000</f>
        <v>87500008.834169894</v>
      </c>
      <c r="AQ26" s="126">
        <f>VLOOKUP(AE26,db_fifarank,2,FALSE)</f>
        <v>1673.13</v>
      </c>
      <c r="AR26" s="125">
        <f>AP26/AP30</f>
        <v>0.99999998857142991</v>
      </c>
      <c r="AS26" s="125" t="str">
        <f>IF(SUM(AF26:AH29)=12,J27,"1D")</f>
        <v>United States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0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3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1</v>
      </c>
      <c r="G27" s="20">
        <v>1</v>
      </c>
      <c r="H27" s="80" t="str">
        <f>AE77</f>
        <v>Panama</v>
      </c>
      <c r="J27" s="30" t="str">
        <f>VLOOKUP(1,AD26:AN29,2,FALSE)</f>
        <v>United States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5 - 3</v>
      </c>
      <c r="P27" s="32">
        <f>L27*3+M27</f>
        <v>7</v>
      </c>
      <c r="R27" s="123">
        <f>DATE(2026,6,17)+TIME(12,0,0)+gmt_delta</f>
        <v>46191.041666666664</v>
      </c>
      <c r="S27" s="127" t="str">
        <f t="shared" si="1"/>
        <v>Ghana_draw</v>
      </c>
      <c r="T27" s="127" t="str">
        <f t="shared" si="2"/>
        <v>Panama_draw</v>
      </c>
      <c r="U27" s="123">
        <f t="shared" si="8"/>
        <v>1</v>
      </c>
      <c r="V27" s="123">
        <f t="shared" si="3"/>
        <v>1</v>
      </c>
      <c r="W27" s="123">
        <f t="shared" si="4"/>
        <v>1</v>
      </c>
      <c r="X27" s="123">
        <f t="shared" si="9"/>
        <v>1</v>
      </c>
      <c r="Y27" s="123">
        <f t="shared" si="10"/>
        <v>1</v>
      </c>
      <c r="Z27" s="123">
        <f t="shared" si="11"/>
        <v>1</v>
      </c>
      <c r="AA27" s="123">
        <f t="shared" si="5"/>
        <v>0</v>
      </c>
      <c r="AB27" s="123">
        <f t="shared" si="6"/>
        <v>0</v>
      </c>
      <c r="AD27" s="123">
        <f>COUNTIF(AR26:AR29,CONCATENATE("&gt;=",AR27))</f>
        <v>4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1</v>
      </c>
      <c r="AH27" s="123">
        <f>COUNTIF($S$7:$T$78,"=" &amp; AE27 &amp; "_lose")</f>
        <v>2</v>
      </c>
      <c r="AI27" s="123">
        <f>SUMIF($E$7:$E$78,$AE27,$F$7:$F$78) + SUMIF($H$7:$H$78,$AE27,$G$7:$G$78)</f>
        <v>3</v>
      </c>
      <c r="AJ27" s="123">
        <f>SUMIF($E$7:$E$78,$AE27,$G$7:$G$78) + SUMIF($H$7:$H$78,$AE27,$F$7:$F$78)</f>
        <v>5</v>
      </c>
      <c r="AL27" s="123">
        <f>AI27-AJ27</f>
        <v>-2</v>
      </c>
      <c r="AM27" s="123">
        <f>AL27-AL30</f>
        <v>0</v>
      </c>
      <c r="AN27" s="123">
        <f>AF27*3+AG27</f>
        <v>1</v>
      </c>
      <c r="AO27" s="123">
        <f>AN27/AN30*10+BA27</f>
        <v>1.25</v>
      </c>
      <c r="AP27" s="123">
        <f>AO27*10000000+BI27*100+AM27/AM30*10+AI27/AI30*1++IF(AQ27=0,ROW(),AQ27)/2000000</f>
        <v>12500000.500751751</v>
      </c>
      <c r="AQ27" s="126">
        <f>VLOOKUP(AE27,db_fifarank,2,FALSE)</f>
        <v>1503.5</v>
      </c>
      <c r="AR27" s="125">
        <f>AP27/AP30</f>
        <v>0.14285713252423357</v>
      </c>
      <c r="AS27" s="125" t="str">
        <f>IF(SUM(AF26:AH29)=12,J28,"2D")</f>
        <v>Turkey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Croatia</v>
      </c>
      <c r="BM27" s="62">
        <v>1</v>
      </c>
      <c r="BN27" s="64"/>
      <c r="BO27" s="27"/>
      <c r="BP27" s="113">
        <f>IF(BP26="","",BM27*1000+BN27*10+BO27)</f>
        <v>1000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3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2</v>
      </c>
      <c r="G28" s="20">
        <v>0</v>
      </c>
      <c r="H28" s="80" t="str">
        <f>AE75</f>
        <v>Croatia</v>
      </c>
      <c r="J28" s="33" t="str">
        <f>VLOOKUP(2,AD26:AN29,2,FALSE)</f>
        <v>Turkey</v>
      </c>
      <c r="K28" s="23">
        <f>L28+M28+N28</f>
        <v>3</v>
      </c>
      <c r="L28" s="23">
        <f>VLOOKUP(2,AD26:AN29,3,FALSE)</f>
        <v>1</v>
      </c>
      <c r="M28" s="23">
        <f>VLOOKUP(2,AD26:AN29,4,FALSE)</f>
        <v>1</v>
      </c>
      <c r="N28" s="23">
        <f>VLOOKUP(2,AD26:AN29,5,FALSE)</f>
        <v>1</v>
      </c>
      <c r="O28" s="23" t="str">
        <f>VLOOKUP(2,AD26:AN29,6,FALSE) &amp; " - " &amp; VLOOKUP(2,AD26:AN29,7,FALSE)</f>
        <v>4 - 4</v>
      </c>
      <c r="P28" s="34">
        <f>L28*3+M28</f>
        <v>4</v>
      </c>
      <c r="R28" s="123">
        <f>DATE(2026,6,17)+TIME(9,0,0)+gmt_delta</f>
        <v>46190.916666666664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3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3</v>
      </c>
      <c r="AH28" s="123">
        <f>COUNTIF($S$7:$T$78,"=" &amp; AE28 &amp; "_lose")</f>
        <v>0</v>
      </c>
      <c r="AI28" s="123">
        <f>SUMIF($E$7:$E$78,$AE28,$F$7:$F$78) + SUMIF($H$7:$H$78,$AE28,$G$7:$G$78)</f>
        <v>3</v>
      </c>
      <c r="AJ28" s="123">
        <f>SUMIF($E$7:$E$78,$AE28,$G$7:$G$78) + SUMIF($H$7:$H$78,$AE28,$F$7:$F$78)</f>
        <v>3</v>
      </c>
      <c r="AL28" s="123">
        <f>AI28-AJ28</f>
        <v>0</v>
      </c>
      <c r="AM28" s="123">
        <f>AL28-AL30</f>
        <v>2</v>
      </c>
      <c r="AN28" s="123">
        <f>AF28*3+AG28</f>
        <v>3</v>
      </c>
      <c r="AO28" s="123">
        <f>AN28/AN30*10+BA28</f>
        <v>3.75</v>
      </c>
      <c r="AP28" s="123">
        <f>AO28*10000000+BI28*100+AM28/AM30*10+AI28/AI30*1++IF(AQ28=0,ROW(),AQ28)/2000000</f>
        <v>37500004.500790335</v>
      </c>
      <c r="AQ28" s="126">
        <f>VLOOKUP(AE28,db_fifarank,2,FALSE)</f>
        <v>1580.67</v>
      </c>
      <c r="AR28" s="125">
        <f>AP28/AP30</f>
        <v>0.42857143184166929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Croatia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3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2</v>
      </c>
      <c r="G29" s="20">
        <v>0</v>
      </c>
      <c r="H29" s="80" t="str">
        <f>AE69</f>
        <v>DR Congo</v>
      </c>
      <c r="J29" s="33" t="str">
        <f>VLOOKUP(3,AD26:AN29,2,FALSE)</f>
        <v>Australia</v>
      </c>
      <c r="K29" s="23">
        <f>L29+M29+N29</f>
        <v>3</v>
      </c>
      <c r="L29" s="23">
        <f>VLOOKUP(3,AD26:AN29,3,FALSE)</f>
        <v>0</v>
      </c>
      <c r="M29" s="23">
        <f>VLOOKUP(3,AD26:AN29,4,FALSE)</f>
        <v>3</v>
      </c>
      <c r="N29" s="23">
        <f>VLOOKUP(3,AD26:AN29,5,FALSE)</f>
        <v>0</v>
      </c>
      <c r="O29" s="23" t="str">
        <f>VLOOKUP(3,AD26:AN29,6,FALSE) &amp; " - " &amp; VLOOKUP(3,AD26:AN29,7,FALSE)</f>
        <v>3 - 3</v>
      </c>
      <c r="P29" s="34">
        <f>L29*3+M29</f>
        <v>3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2</v>
      </c>
      <c r="AE29" s="124" t="str">
        <f>VLOOKUP("Turkey",T,lang,FALSE)</f>
        <v>Turkey</v>
      </c>
      <c r="AF29" s="123">
        <f>COUNTIF($S$7:$T$78,"=" &amp; AE29 &amp; "_win")</f>
        <v>1</v>
      </c>
      <c r="AG29" s="123">
        <f>COUNTIF($S$7:$T$78,"=" &amp; AE29 &amp; "_draw")</f>
        <v>1</v>
      </c>
      <c r="AH29" s="123">
        <f>COUNTIF($S$7:$T$78,"=" &amp; AE29 &amp; "_lose")</f>
        <v>1</v>
      </c>
      <c r="AI29" s="123">
        <f>SUMIF($E$7:$E$78,$AE29,$F$7:$F$78) + SUMIF($H$7:$H$78,$AE29,$G$7:$G$78)</f>
        <v>4</v>
      </c>
      <c r="AJ29" s="123">
        <f>SUMIF($E$7:$E$78,$AE29,$G$7:$G$78) + SUMIF($H$7:$H$78,$AE29,$F$7:$F$78)</f>
        <v>4</v>
      </c>
      <c r="AL29" s="123">
        <f>AI29-AJ29</f>
        <v>0</v>
      </c>
      <c r="AM29" s="123">
        <f>AL29-AL30</f>
        <v>2</v>
      </c>
      <c r="AN29" s="123">
        <f>AF29*3+AG29</f>
        <v>4</v>
      </c>
      <c r="AO29" s="123">
        <f>AN29/AN30*10+BA29</f>
        <v>5</v>
      </c>
      <c r="AP29" s="123">
        <f>AO29*10000000+BI29*100+AM29/AM30*10+AI29/AI30*1++IF(AQ29=0,ROW(),AQ29)/2000000</f>
        <v>50000004.667466186</v>
      </c>
      <c r="AQ29" s="126">
        <f>VLOOKUP(AE29,db_fifarank,2,FALSE)</f>
        <v>1599.04</v>
      </c>
      <c r="AR29" s="125">
        <f>AP29/AP30</f>
        <v>0.57142856054789304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3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Paraguay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3 - 5</v>
      </c>
      <c r="P30" s="37">
        <f>L30*3+M30</f>
        <v>1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3</v>
      </c>
      <c r="AH30" s="123">
        <f t="shared" si="15"/>
        <v>3</v>
      </c>
      <c r="AI30" s="123">
        <f>MAX(AI26:AI29)+1</f>
        <v>6</v>
      </c>
      <c r="AL30" s="123">
        <f>MIN(AL26:AL29)</f>
        <v>-2</v>
      </c>
      <c r="AM30" s="123">
        <f>MAX(AM26:AM29)+1</f>
        <v>5</v>
      </c>
      <c r="AN30" s="123">
        <f>MAX(AN26:AN29)+1</f>
        <v>8</v>
      </c>
      <c r="AO30" s="123">
        <f>MAX(AO26:AO29)+1</f>
        <v>9.75</v>
      </c>
      <c r="AP30" s="123">
        <f>MAX(AP26:AP29)+1</f>
        <v>87500009.834169894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31">
        <v>84</v>
      </c>
      <c r="BL30" s="24" t="str">
        <f>AS50</f>
        <v>Spain</v>
      </c>
      <c r="BM30" s="61">
        <v>1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1000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3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2</v>
      </c>
      <c r="G31" s="20">
        <v>0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3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3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2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7</v>
      </c>
      <c r="AJ32" s="123">
        <f>SUMIF($E$7:$E$78,$AE32,$G$7:$G$78) + SUMIF($H$7:$H$78,$AE32,$F$7:$F$78)</f>
        <v>2</v>
      </c>
      <c r="AL32" s="123">
        <f>AI32-AJ32</f>
        <v>5</v>
      </c>
      <c r="AM32" s="123">
        <f>AL32-AL36</f>
        <v>11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90000010.042531863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 x14ac:dyDescent="0.3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2</v>
      </c>
      <c r="G33" s="20">
        <v>1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7 - 2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6</v>
      </c>
      <c r="AL33" s="123">
        <f>AI33-AJ33</f>
        <v>-6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7.1924991175177707E-12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Belgium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3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1</v>
      </c>
      <c r="G34" s="20">
        <v>1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1</v>
      </c>
      <c r="M34" s="23">
        <f>VLOOKUP(2,AD32:AN35,4,FALSE)</f>
        <v>1</v>
      </c>
      <c r="N34" s="23">
        <f>VLOOKUP(2,AD32:AN35,5,FALSE)</f>
        <v>1</v>
      </c>
      <c r="O34" s="23" t="str">
        <f>VLOOKUP(2,AD32:AN35,6,FALSE) &amp; " - " &amp; VLOOKUP(2,AD32:AN35,7,FALSE)</f>
        <v>4 - 3</v>
      </c>
      <c r="P34" s="34">
        <f>L34*3+M34</f>
        <v>4</v>
      </c>
      <c r="R34" s="123">
        <f>DATE(2026,6,18)+TIME(14,0,0)+gmt_delta</f>
        <v>46192.125</v>
      </c>
      <c r="S34" s="127" t="str">
        <f t="shared" si="1"/>
        <v>Mexico_draw</v>
      </c>
      <c r="T34" s="127" t="str">
        <f t="shared" si="2"/>
        <v>Korea Republic_draw</v>
      </c>
      <c r="U34" s="123">
        <f t="shared" si="8"/>
        <v>1</v>
      </c>
      <c r="V34" s="123">
        <f t="shared" si="3"/>
        <v>1</v>
      </c>
      <c r="W34" s="123">
        <f t="shared" si="4"/>
        <v>1</v>
      </c>
      <c r="X34" s="123">
        <f t="shared" si="9"/>
        <v>1</v>
      </c>
      <c r="Y34" s="123">
        <f t="shared" si="10"/>
        <v>1</v>
      </c>
      <c r="Z34" s="123">
        <f t="shared" si="11"/>
        <v>1</v>
      </c>
      <c r="AA34" s="123">
        <f t="shared" si="5"/>
        <v>0</v>
      </c>
      <c r="AB34" s="123">
        <f t="shared" si="6"/>
        <v>0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1</v>
      </c>
      <c r="AH34" s="123">
        <f>COUNTIF($S$7:$T$78,"=" &amp; AE34 &amp; "_lose")</f>
        <v>1</v>
      </c>
      <c r="AI34" s="123">
        <f>SUMIF($E$7:$E$78,$AE34,$F$7:$F$78) + SUMIF($H$7:$H$78,$AE34,$G$7:$G$78)</f>
        <v>3</v>
      </c>
      <c r="AJ34" s="123">
        <f>SUMIF($E$7:$E$78,$AE34,$G$7:$G$78) + SUMIF($H$7:$H$78,$AE34,$F$7:$F$78)</f>
        <v>3</v>
      </c>
      <c r="AL34" s="123">
        <f>AI34-AJ34</f>
        <v>0</v>
      </c>
      <c r="AM34" s="123">
        <f>AL34-AL36</f>
        <v>6</v>
      </c>
      <c r="AN34" s="123">
        <f>AF34*3+AG34</f>
        <v>4</v>
      </c>
      <c r="AO34" s="123">
        <f>AN34/AN36*10+BA34</f>
        <v>4.9805825242718447</v>
      </c>
      <c r="AP34" s="123">
        <f>AO34*10000000+BI34*100+AM34/AM36*10+AI34/AI36*1++IF(AQ34=0,ROW(),AQ34)/2000000</f>
        <v>49805928.676737361</v>
      </c>
      <c r="AQ34" s="126">
        <f>VLOOKUP(AE34,db_fifarank,2,FALSE)</f>
        <v>1532.98</v>
      </c>
      <c r="AR34" s="125">
        <f>AP34/AP36</f>
        <v>0.55339913962010812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1</v>
      </c>
      <c r="AV34" s="126" cm="1">
        <f t="array" ref="AV34">SUMPRODUCT(($E$7:$E$78=AE34)*($U$7:$U$78)*($F$7:$F$78))+SUMPRODUCT(($H$7:$H$78=AE34)*($U$7:$U$78)*($G$7:$G$78))</f>
        <v>1</v>
      </c>
      <c r="AW34" s="126" cm="1">
        <f t="array" ref="AW34">SUMPRODUCT(($E$7:$E$78=AE34)*($U$7:$U$78)*($G$7:$G$78))+SUMPRODUCT(($H$7:$H$78=AE34)*($U$7:$U$78)*($F$7:$F$78))</f>
        <v>1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50.5</v>
      </c>
      <c r="BA34" s="126">
        <f>AZ34/AZ36</f>
        <v>0.98058252427184467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1</v>
      </c>
      <c r="BD34" s="126" cm="1">
        <f t="array" ref="BD34">SUMPRODUCT(($E$7:$E$78=AE34)*($X$7:$X$78)*($F$7:$F$78))+SUMPRODUCT(($H$7:$H$78=AE34)*($X$7:$X$78)*($G$7:$G$78))</f>
        <v>1</v>
      </c>
      <c r="BE34" s="126" cm="1">
        <f t="array" ref="BE34">SUMPRODUCT(($E$7:$E$78=AE34)*($X$7:$X$78)*($G$7:$G$78))+SUMPRODUCT(($H$7:$H$78=AE34)*($X$7:$X$78)*($F$7:$F$78))</f>
        <v>1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50.5</v>
      </c>
      <c r="BI34" s="126">
        <f>BH34/BH36</f>
        <v>0.98058252427184467</v>
      </c>
      <c r="BK34" s="131">
        <v>81</v>
      </c>
      <c r="BL34" s="24" t="str">
        <f>AS26</f>
        <v>United States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3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3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1</v>
      </c>
      <c r="N35" s="23">
        <f>VLOOKUP(3,AD32:AN35,5,FALSE)</f>
        <v>1</v>
      </c>
      <c r="O35" s="23" t="str">
        <f>VLOOKUP(3,AD32:AN35,6,FALSE) &amp; " - " &amp; VLOOKUP(3,AD32:AN35,7,FALSE)</f>
        <v>3 - 3</v>
      </c>
      <c r="P35" s="34">
        <f>L35*3+M35</f>
        <v>4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1</v>
      </c>
      <c r="AH35" s="123">
        <f>COUNTIF($S$7:$T$78,"=" &amp; AE35 &amp; "_lose")</f>
        <v>1</v>
      </c>
      <c r="AI35" s="123">
        <f>SUMIF($E$7:$E$78,$AE35,$F$7:$F$78) + SUMIF($H$7:$H$78,$AE35,$G$7:$G$78)</f>
        <v>4</v>
      </c>
      <c r="AJ35" s="123">
        <f>SUMIF($E$7:$E$78,$AE35,$G$7:$G$78) + SUMIF($H$7:$H$78,$AE35,$F$7:$F$78)</f>
        <v>3</v>
      </c>
      <c r="AL35" s="123">
        <f>AI35-AJ35</f>
        <v>1</v>
      </c>
      <c r="AM35" s="123">
        <f>AL35-AL36</f>
        <v>7</v>
      </c>
      <c r="AN35" s="123">
        <f>AF35*3+AG35</f>
        <v>4</v>
      </c>
      <c r="AO35" s="123">
        <f>AN35/AN36*10+BA35</f>
        <v>4.9805825242718447</v>
      </c>
      <c r="AP35" s="123">
        <f>AO35*10000000+BI35*100+AM35/AM36*10+AI35/AI36*1++IF(AQ35=0,ROW(),AQ35)/2000000</f>
        <v>49805929.635101594</v>
      </c>
      <c r="AQ35" s="126">
        <f>VLOOKUP(AE35,db_fifarank,2,FALSE)</f>
        <v>1594.78</v>
      </c>
      <c r="AR35" s="125">
        <f>AP35/AP36</f>
        <v>0.55339915026859832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1</v>
      </c>
      <c r="AV35" s="126" cm="1">
        <f t="array" ref="AV35">SUMPRODUCT(($E$7:$E$78=AE35)*($U$7:$U$78)*($F$7:$F$78))+SUMPRODUCT(($H$7:$H$78=AE35)*($U$7:$U$78)*($G$7:$G$78))</f>
        <v>1</v>
      </c>
      <c r="AW35" s="126" cm="1">
        <f t="array" ref="AW35">SUMPRODUCT(($E$7:$E$78=AE35)*($U$7:$U$78)*($G$7:$G$78))+SUMPRODUCT(($H$7:$H$78=AE35)*($U$7:$U$78)*($F$7:$F$78))</f>
        <v>1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50.5</v>
      </c>
      <c r="BA35" s="126">
        <f>AZ35/AZ36</f>
        <v>0.98058252427184467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1</v>
      </c>
      <c r="BD35" s="126" cm="1">
        <f t="array" ref="BD35">SUMPRODUCT(($E$7:$E$78=AE35)*($X$7:$X$78)*($F$7:$F$78))+SUMPRODUCT(($H$7:$H$78=AE35)*($X$7:$X$78)*($G$7:$G$78))</f>
        <v>1</v>
      </c>
      <c r="BE35" s="126" cm="1">
        <f t="array" ref="BE35">SUMPRODUCT(($E$7:$E$78=AE35)*($X$7:$X$78)*($G$7:$G$78))+SUMPRODUCT(($H$7:$H$78=AE35)*($X$7:$X$78)*($F$7:$F$78))</f>
        <v>1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50.5</v>
      </c>
      <c r="BI35" s="126">
        <f>BH35/BH36</f>
        <v>0.98058252427184467</v>
      </c>
      <c r="BK35" s="132"/>
      <c r="BL35" s="26" t="str">
        <f>IF(group_round_completed,VLOOKUP('3rd places'!F3,AK80:AS91,9,FALSE),"3rd Group B/E/F/I/J")</f>
        <v>Bosnia and Herzegovina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3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1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0 - 6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2</v>
      </c>
      <c r="AH36" s="123">
        <f t="shared" si="16"/>
        <v>4</v>
      </c>
      <c r="AI36" s="123">
        <f>MAX(AI32:AI35)+1</f>
        <v>8</v>
      </c>
      <c r="AL36" s="123">
        <f>MIN(AL32:AL35)</f>
        <v>-6</v>
      </c>
      <c r="AM36" s="123">
        <f>MAX(AM32:AM35)+1</f>
        <v>12</v>
      </c>
      <c r="AN36" s="123">
        <f>MAX(AN32:AN35)+1</f>
        <v>10</v>
      </c>
      <c r="AO36" s="123">
        <f>MAX(AO32:AO35)+1</f>
        <v>10</v>
      </c>
      <c r="AP36" s="123">
        <f>MAX(AP32:AP35)+1</f>
        <v>90000011.042531863</v>
      </c>
      <c r="AT36" s="126">
        <f>MAX(AT32:AT35)-MIN(AT32:AT35)+1</f>
        <v>1</v>
      </c>
      <c r="AU36" s="126">
        <f>MAX(AU32:AU35)-MIN(AU32:AU35)+1</f>
        <v>2</v>
      </c>
      <c r="AV36" s="126">
        <f>MAX(AV32:AV35)-MIN(AV32:AV35)+1</f>
        <v>2</v>
      </c>
      <c r="AW36" s="126">
        <f>MAX(AW32:AW35)-MIN(AW32:AW35)+1</f>
        <v>2</v>
      </c>
      <c r="AY36" s="126">
        <f>MAX(AY32:AY35)-MIN(AY32:AY35)+1</f>
        <v>1</v>
      </c>
      <c r="AZ36" s="126">
        <f>MAX(AZ32:AZ35)+1</f>
        <v>51.5</v>
      </c>
      <c r="BB36" s="126">
        <f>MAX(BB32:BB35)-MIN(BB32:BB35)+1</f>
        <v>1</v>
      </c>
      <c r="BC36" s="126">
        <f>MAX(BC32:BC35)-MIN(BC32:BC35)+1</f>
        <v>2</v>
      </c>
      <c r="BD36" s="126">
        <f>MAX(BD32:BD35)-MIN(BD32:BD35)+1</f>
        <v>2</v>
      </c>
      <c r="BE36" s="126">
        <f>MAX(BE32:BE35)-MIN(BE32:BE35)+1</f>
        <v>2</v>
      </c>
      <c r="BG36" s="126">
        <f>MAX(BG32:BG35)-MIN(BG32:BG35)+1</f>
        <v>1</v>
      </c>
      <c r="BH36" s="126">
        <f>MAX(BH32:BH35)+1</f>
        <v>51.5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United States</v>
      </c>
      <c r="BT36" s="61">
        <v>0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3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1</v>
      </c>
      <c r="G37" s="20">
        <v>1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States_draw</v>
      </c>
      <c r="T37" s="127" t="str">
        <f t="shared" si="2"/>
        <v>Australia_draw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0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Belgium</v>
      </c>
      <c r="BT37" s="62">
        <v>1</v>
      </c>
      <c r="BU37" s="64"/>
      <c r="BV37" s="27"/>
      <c r="BW37" s="112">
        <f>IF(BW36="","",BT37*1000+BU37*10+BV37)</f>
        <v>1000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Spain</v>
      </c>
      <c r="CO37" s="61">
        <v>1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1000</v>
      </c>
    </row>
    <row r="38" spans="1:96" x14ac:dyDescent="0.3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2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6</v>
      </c>
      <c r="AJ38" s="123">
        <f>SUMIF($E$7:$E$78,$AE38,$G$7:$G$78) + SUMIF($H$7:$H$78,$AE38,$F$7:$F$78)</f>
        <v>1</v>
      </c>
      <c r="AL38" s="123">
        <f>AI38-AJ38</f>
        <v>5</v>
      </c>
      <c r="AM38" s="123">
        <f>AL38-AL42</f>
        <v>9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90000009.858021781</v>
      </c>
      <c r="AQ38" s="126">
        <f>VLOOKUP(AE38,db_fifarank,2,FALSE)</f>
        <v>1757.87</v>
      </c>
      <c r="AR38" s="125">
        <f>AP38/AP42</f>
        <v>0.99999998888889019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1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1000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Argentina</v>
      </c>
      <c r="CO38" s="62">
        <v>0</v>
      </c>
      <c r="CP38" s="64"/>
      <c r="CQ38" s="27"/>
      <c r="CR38" s="111">
        <f>IF(CR37="","",CO38*1000+CP38*10+CQ38)</f>
        <v>0</v>
      </c>
    </row>
    <row r="39" spans="1:96" x14ac:dyDescent="0.3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2</v>
      </c>
      <c r="G39" s="20">
        <v>1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6 - 1</v>
      </c>
      <c r="P39" s="32">
        <f>L39*3+M39</f>
        <v>9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2</v>
      </c>
      <c r="AG39" s="123">
        <f>COUNTIF($S$7:$T$78,"=" &amp; AE39 &amp; "_draw")</f>
        <v>0</v>
      </c>
      <c r="AH39" s="123">
        <f>COUNTIF($S$7:$T$78,"=" &amp; AE39 &amp; "_lose")</f>
        <v>1</v>
      </c>
      <c r="AI39" s="123">
        <f>SUMIF($E$7:$E$78,$AE39,$F$7:$F$78) + SUMIF($H$7:$H$78,$AE39,$G$7:$G$78)</f>
        <v>4</v>
      </c>
      <c r="AJ39" s="123">
        <f>SUMIF($E$7:$E$78,$AE39,$G$7:$G$78) + SUMIF($H$7:$H$78,$AE39,$F$7:$F$78)</f>
        <v>3</v>
      </c>
      <c r="AL39" s="123">
        <f>AI39-AJ39</f>
        <v>1</v>
      </c>
      <c r="AM39" s="123">
        <f>AL39-AL42</f>
        <v>5</v>
      </c>
      <c r="AN39" s="123">
        <f>AF39*3+AG39</f>
        <v>6</v>
      </c>
      <c r="AO39" s="123">
        <f>AN39/AN42*10+BA39</f>
        <v>6</v>
      </c>
      <c r="AP39" s="123">
        <f>AO39*10000000+BI39*100+AM39/AM42*10+AI39/AI42*1++IF(AQ39=0,ROW(),AQ39)/2000000</f>
        <v>60000005.572258793</v>
      </c>
      <c r="AQ39" s="126">
        <f>VLOOKUP(AE39,db_fifarank,2,FALSE)</f>
        <v>1660.43</v>
      </c>
      <c r="AR39" s="125">
        <f>AP39/AP42</f>
        <v>0.66666664815086452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Czech Republic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3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2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2</v>
      </c>
      <c r="M40" s="23">
        <f>VLOOKUP(2,AD38:AN41,4,FALSE)</f>
        <v>0</v>
      </c>
      <c r="N40" s="23">
        <f>VLOOKUP(2,AD38:AN41,5,FALSE)</f>
        <v>1</v>
      </c>
      <c r="O40" s="23" t="str">
        <f>VLOOKUP(2,AD38:AN41,6,FALSE) &amp; " - " &amp; VLOOKUP(2,AD38:AN41,7,FALSE)</f>
        <v>4 - 3</v>
      </c>
      <c r="P40" s="34">
        <f>L40*3+M40</f>
        <v>6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0</v>
      </c>
      <c r="AG40" s="123">
        <f>COUNTIF($S$7:$T$78,"=" &amp; AE40 &amp; "_draw")</f>
        <v>1</v>
      </c>
      <c r="AH40" s="123">
        <f>COUNTIF($S$7:$T$78,"=" &amp; AE40 &amp; "_lose")</f>
        <v>2</v>
      </c>
      <c r="AI40" s="123">
        <f>SUMIF($E$7:$E$78,$AE40,$F$7:$F$78) + SUMIF($H$7:$H$78,$AE40,$G$7:$G$78)</f>
        <v>3</v>
      </c>
      <c r="AJ40" s="123">
        <f>SUMIF($E$7:$E$78,$AE40,$G$7:$G$78) + SUMIF($H$7:$H$78,$AE40,$F$7:$F$78)</f>
        <v>5</v>
      </c>
      <c r="AL40" s="123">
        <f>AI40-AJ40</f>
        <v>-2</v>
      </c>
      <c r="AM40" s="123">
        <f>AL40-AL42</f>
        <v>2</v>
      </c>
      <c r="AN40" s="123">
        <f>AF40*3+AG40</f>
        <v>1</v>
      </c>
      <c r="AO40" s="123">
        <f>AN40/AN42*10+BA40</f>
        <v>1.9805825242718447</v>
      </c>
      <c r="AP40" s="123">
        <f>AO40*10000000+BI40*100+AM40/AM42*10+AI40/AI42*1++IF(AQ40=0,ROW(),AQ40)/2000000</f>
        <v>19805925.730299689</v>
      </c>
      <c r="AQ40" s="126">
        <f>VLOOKUP(AE40,db_fifarank,2,FALSE)</f>
        <v>1514.77</v>
      </c>
      <c r="AR40" s="125">
        <f>AP40/AP42</f>
        <v>0.22006581489800309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1</v>
      </c>
      <c r="AV40" s="126" cm="1">
        <f t="array" ref="AV40">SUMPRODUCT(($E$7:$E$78=AE40)*($U$7:$U$78)*($F$7:$F$78))+SUMPRODUCT(($H$7:$H$78=AE40)*($U$7:$U$78)*($G$7:$G$78))</f>
        <v>1</v>
      </c>
      <c r="AW40" s="126" cm="1">
        <f t="array" ref="AW40">SUMPRODUCT(($E$7:$E$78=AE40)*($U$7:$U$78)*($G$7:$G$78))+SUMPRODUCT(($H$7:$H$78=AE40)*($U$7:$U$78)*($F$7:$F$78))</f>
        <v>1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50.5</v>
      </c>
      <c r="BA40" s="126">
        <f>AZ40/AZ42</f>
        <v>0.98058252427184467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1</v>
      </c>
      <c r="BD40" s="126" cm="1">
        <f t="array" ref="BD40">SUMPRODUCT(($E$7:$E$78=AE40)*($X$7:$X$78)*($F$7:$F$78))+SUMPRODUCT(($H$7:$H$78=AE40)*($X$7:$X$78)*($G$7:$G$78))</f>
        <v>1</v>
      </c>
      <c r="BE40" s="126" cm="1">
        <f t="array" ref="BE40">SUMPRODUCT(($E$7:$E$78=AE40)*($X$7:$X$78)*($G$7:$G$78))+SUMPRODUCT(($H$7:$H$78=AE40)*($X$7:$X$78)*($F$7:$F$78))</f>
        <v>1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50.5</v>
      </c>
      <c r="BI40" s="126">
        <f>BH40/BH42</f>
        <v>0.98058252427184467</v>
      </c>
      <c r="CK40" s="114"/>
      <c r="CL40" s="112"/>
    </row>
    <row r="41" spans="1:96" x14ac:dyDescent="0.3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2</v>
      </c>
      <c r="G41" s="20">
        <v>1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0</v>
      </c>
      <c r="M41" s="23">
        <f>VLOOKUP(3,AD38:AN41,4,FALSE)</f>
        <v>1</v>
      </c>
      <c r="N41" s="23">
        <f>VLOOKUP(3,AD38:AN41,5,FALSE)</f>
        <v>2</v>
      </c>
      <c r="O41" s="23" t="str">
        <f>VLOOKUP(3,AD38:AN41,6,FALSE) &amp; " - " &amp; VLOOKUP(3,AD38:AN41,7,FALSE)</f>
        <v>3 - 5</v>
      </c>
      <c r="P41" s="34">
        <f>L41*3+M41</f>
        <v>1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1</v>
      </c>
      <c r="AH41" s="123">
        <f>COUNTIF($S$7:$T$78,"=" &amp; AE41 &amp; "_lose")</f>
        <v>2</v>
      </c>
      <c r="AI41" s="123">
        <f>SUMIF($E$7:$E$78,$AE41,$F$7:$F$78) + SUMIF($H$7:$H$78,$AE41,$G$7:$G$78)</f>
        <v>1</v>
      </c>
      <c r="AJ41" s="123">
        <f>SUMIF($E$7:$E$78,$AE41,$G$7:$G$78) + SUMIF($H$7:$H$78,$AE41,$F$7:$F$78)</f>
        <v>5</v>
      </c>
      <c r="AL41" s="123">
        <f>AI41-AJ41</f>
        <v>-4</v>
      </c>
      <c r="AM41" s="123">
        <f>AL41-AL42</f>
        <v>0</v>
      </c>
      <c r="AN41" s="123">
        <f>AF41*3+AG41</f>
        <v>1</v>
      </c>
      <c r="AO41" s="123">
        <f>AN41/AN42*10+BA41</f>
        <v>1.9805825242718447</v>
      </c>
      <c r="AP41" s="123">
        <f>AO41*10000000+BI41*100+AM41/AM42*10+AI41/AI42*1++IF(AQ41=0,ROW(),AQ41)/2000000</f>
        <v>19805923.444569543</v>
      </c>
      <c r="AQ41" s="126">
        <f>VLOOKUP(AE41,db_fifarank,2,FALSE)</f>
        <v>1483.05</v>
      </c>
      <c r="AR41" s="125">
        <f>AP41/AP42</f>
        <v>0.22006578950100453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1</v>
      </c>
      <c r="AV41" s="126" cm="1">
        <f t="array" ref="AV41">SUMPRODUCT(($E$7:$E$78=AE41)*($U$7:$U$78)*($F$7:$F$78))+SUMPRODUCT(($H$7:$H$78=AE41)*($U$7:$U$78)*($G$7:$G$78))</f>
        <v>1</v>
      </c>
      <c r="AW41" s="126" cm="1">
        <f t="array" ref="AW41">SUMPRODUCT(($E$7:$E$78=AE41)*($U$7:$U$78)*($G$7:$G$78))+SUMPRODUCT(($H$7:$H$78=AE41)*($U$7:$U$78)*($F$7:$F$78))</f>
        <v>1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50.5</v>
      </c>
      <c r="BA41" s="126">
        <f>AZ41/AZ42</f>
        <v>0.98058252427184467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1</v>
      </c>
      <c r="BD41" s="126" cm="1">
        <f t="array" ref="BD41">SUMPRODUCT(($E$7:$E$78=AE41)*($X$7:$X$78)*($F$7:$F$78))+SUMPRODUCT(($H$7:$H$78=AE41)*($X$7:$X$78)*($G$7:$G$78))</f>
        <v>1</v>
      </c>
      <c r="BE41" s="126" cm="1">
        <f t="array" ref="BE41">SUMPRODUCT(($E$7:$E$78=AE41)*($X$7:$X$78)*($G$7:$G$78))+SUMPRODUCT(($H$7:$H$78=AE41)*($X$7:$X$78)*($F$7:$F$78))</f>
        <v>1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50.5</v>
      </c>
      <c r="BI41" s="126">
        <f>BH41/BH42</f>
        <v>0.98058252427184467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3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0</v>
      </c>
      <c r="G42" s="20">
        <v>2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1</v>
      </c>
      <c r="N42" s="36">
        <f>VLOOKUP(4,AD38:AN41,5,FALSE)</f>
        <v>2</v>
      </c>
      <c r="O42" s="36" t="str">
        <f>VLOOKUP(4,AD38:AN41,6,FALSE) &amp; " - " &amp; VLOOKUP(4,AD38:AN41,7,FALSE)</f>
        <v>1 - 5</v>
      </c>
      <c r="P42" s="37">
        <f>L42*3+M42</f>
        <v>1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4</v>
      </c>
      <c r="AG42" s="123">
        <f t="shared" si="18"/>
        <v>2</v>
      </c>
      <c r="AH42" s="123">
        <f t="shared" si="18"/>
        <v>3</v>
      </c>
      <c r="AI42" s="123">
        <f>MAX(AI38:AI41)+1</f>
        <v>7</v>
      </c>
      <c r="AL42" s="123">
        <f>MIN(AL38:AL41)</f>
        <v>-4</v>
      </c>
      <c r="AM42" s="123">
        <f>MAX(AM38:AM41)+1</f>
        <v>10</v>
      </c>
      <c r="AN42" s="123">
        <f>MAX(AN38:AN41)+1</f>
        <v>10</v>
      </c>
      <c r="AO42" s="123">
        <f>MAX(AO38:AO41)+1</f>
        <v>10</v>
      </c>
      <c r="AP42" s="123">
        <f>MAX(AP38:AP41)+1</f>
        <v>90000010.858021781</v>
      </c>
      <c r="AT42" s="126">
        <f>MAX(AT38:AT41)-MIN(AT38:AT41)+1</f>
        <v>1</v>
      </c>
      <c r="AU42" s="126">
        <f>MAX(AU38:AU41)-MIN(AU38:AU41)+1</f>
        <v>2</v>
      </c>
      <c r="AV42" s="126">
        <f>MAX(AV38:AV41)-MIN(AV38:AV41)+1</f>
        <v>2</v>
      </c>
      <c r="AW42" s="126">
        <f>MAX(AW38:AW41)-MIN(AW38:AW41)+1</f>
        <v>2</v>
      </c>
      <c r="AY42" s="126">
        <f>MAX(AY38:AY41)-MIN(AY38:AY41)+1</f>
        <v>1</v>
      </c>
      <c r="AZ42" s="126">
        <f>MAX(AZ38:AZ41)+1</f>
        <v>51.5</v>
      </c>
      <c r="BB42" s="126">
        <f>MAX(BB38:BB41)-MIN(BB38:BB41)+1</f>
        <v>1</v>
      </c>
      <c r="BC42" s="126">
        <f>MAX(BC38:BC41)-MIN(BC38:BC41)+1</f>
        <v>2</v>
      </c>
      <c r="BD42" s="126">
        <f>MAX(BD38:BD41)-MIN(BD38:BD41)+1</f>
        <v>2</v>
      </c>
      <c r="BE42" s="126">
        <f>MAX(BE38:BE41)-MIN(BE38:BE41)+1</f>
        <v>2</v>
      </c>
      <c r="BG42" s="126">
        <f>MAX(BG38:BG41)-MIN(BG38:BG41)+1</f>
        <v>1</v>
      </c>
      <c r="BH42" s="126">
        <f>MAX(BH38:BH41)+1</f>
        <v>51.5</v>
      </c>
      <c r="BK42" s="131">
        <v>76</v>
      </c>
      <c r="BL42" s="24" t="str">
        <f>AS20</f>
        <v>Brazil</v>
      </c>
      <c r="BM42" s="61">
        <v>1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1000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3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2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Japan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3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2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7</v>
      </c>
      <c r="AJ44" s="123">
        <f>SUMIF($E$7:$E$78,$AE44,$G$7:$G$78) + SUMIF($H$7:$H$78,$AE44,$F$7:$F$78)</f>
        <v>1</v>
      </c>
      <c r="AL44" s="123">
        <f>AI44-AJ44</f>
        <v>6</v>
      </c>
      <c r="AM44" s="123">
        <f>AL44-AL48</f>
        <v>11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90000010.042534024</v>
      </c>
      <c r="AQ44" s="126">
        <f>VLOOKUP(AE44,db_fifarank,2,FALSE)</f>
        <v>1734.71</v>
      </c>
      <c r="AR44" s="125">
        <f>AP44/AP48</f>
        <v>0.9999999888888903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1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1000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3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2</v>
      </c>
      <c r="G45" s="20">
        <v>1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7 - 1</v>
      </c>
      <c r="P45" s="32">
        <f>L45*3+M45</f>
        <v>9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1</v>
      </c>
      <c r="AG45" s="123">
        <f>COUNTIF($S$7:$T$78,"=" &amp; AE45 &amp; "_draw")</f>
        <v>1</v>
      </c>
      <c r="AH45" s="123">
        <f>COUNTIF($S$7:$T$78,"=" &amp; AE45 &amp; "_lose")</f>
        <v>1</v>
      </c>
      <c r="AI45" s="123">
        <f>SUMIF($E$7:$E$78,$AE45,$F$7:$F$78) + SUMIF($H$7:$H$78,$AE45,$G$7:$G$78)</f>
        <v>3</v>
      </c>
      <c r="AJ45" s="123">
        <f>SUMIF($E$7:$E$78,$AE45,$G$7:$G$78) + SUMIF($H$7:$H$78,$AE45,$F$7:$F$78)</f>
        <v>3</v>
      </c>
      <c r="AL45" s="123">
        <f>AI45-AJ45</f>
        <v>0</v>
      </c>
      <c r="AM45" s="123">
        <f>AL45-AL48</f>
        <v>5</v>
      </c>
      <c r="AN45" s="123">
        <f>AF45*3+AG45</f>
        <v>4</v>
      </c>
      <c r="AO45" s="123">
        <f>AN45/AN48*10+BA45</f>
        <v>4</v>
      </c>
      <c r="AP45" s="123">
        <f>AO45*10000000+BI45*100+AM45/AM48*10+AI45/AI48*1++IF(AQ45=0,ROW(),AQ45)/2000000</f>
        <v>40000004.542448282</v>
      </c>
      <c r="AQ45" s="126">
        <f>VLOOKUP(AE45,db_fifarank,2,FALSE)</f>
        <v>1563.24</v>
      </c>
      <c r="AR45" s="125">
        <f>AP45/AP48</f>
        <v>0.44444444038506031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Norway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36"/>
      <c r="CN45" s="137"/>
      <c r="CO45" s="137"/>
      <c r="CP45" s="137"/>
      <c r="CQ45" s="138"/>
    </row>
    <row r="46" spans="1:96" x14ac:dyDescent="0.3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0</v>
      </c>
      <c r="G46" s="20">
        <v>2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1</v>
      </c>
      <c r="M46" s="23">
        <f>VLOOKUP(2,AD44:AN47,4,FALSE)</f>
        <v>1</v>
      </c>
      <c r="N46" s="23">
        <f>VLOOKUP(2,AD44:AN47,5,FALSE)</f>
        <v>1</v>
      </c>
      <c r="O46" s="23" t="str">
        <f>VLOOKUP(2,AD44:AN47,6,FALSE) &amp; " - " &amp; VLOOKUP(2,AD44:AN47,7,FALSE)</f>
        <v>3 - 3</v>
      </c>
      <c r="P46" s="34">
        <f>L46*3+M46</f>
        <v>4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2</v>
      </c>
      <c r="AH46" s="123">
        <f>COUNTIF($S$7:$T$78,"=" &amp; AE46 &amp; "_lose")</f>
        <v>1</v>
      </c>
      <c r="AI46" s="123">
        <f>SUMIF($E$7:$E$78,$AE46,$F$7:$F$78) + SUMIF($H$7:$H$78,$AE46,$G$7:$G$78)</f>
        <v>3</v>
      </c>
      <c r="AJ46" s="123">
        <f>SUMIF($E$7:$E$78,$AE46,$G$7:$G$78) + SUMIF($H$7:$H$78,$AE46,$F$7:$F$78)</f>
        <v>4</v>
      </c>
      <c r="AL46" s="123">
        <f>AI46-AJ46</f>
        <v>-1</v>
      </c>
      <c r="AM46" s="123">
        <f>AL46-AL48</f>
        <v>4</v>
      </c>
      <c r="AN46" s="123">
        <f>AF46*3+AG46</f>
        <v>2</v>
      </c>
      <c r="AO46" s="123">
        <f>AN46/AN48*10+BA46</f>
        <v>2</v>
      </c>
      <c r="AP46" s="123">
        <f>AO46*10000000+BI46*100+AM46/AM48*10+AI46/AI48*1++IF(AQ46=0,ROW(),AQ46)/2000000</f>
        <v>20000003.709140982</v>
      </c>
      <c r="AQ46" s="126">
        <f>VLOOKUP(AE46,db_fifarank,2,FALSE)</f>
        <v>1615.3</v>
      </c>
      <c r="AR46" s="125">
        <f>AP46/AP48</f>
        <v>0.222222236169382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31">
        <v>78</v>
      </c>
      <c r="BL46" s="24" t="str">
        <f>AS33</f>
        <v>Ecuador</v>
      </c>
      <c r="BM46" s="61">
        <v>0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3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2</v>
      </c>
      <c r="G47" s="20">
        <v>1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0</v>
      </c>
      <c r="M47" s="23">
        <f>VLOOKUP(3,AD44:AN47,4,FALSE)</f>
        <v>2</v>
      </c>
      <c r="N47" s="23">
        <f>VLOOKUP(3,AD44:AN47,5,FALSE)</f>
        <v>1</v>
      </c>
      <c r="O47" s="23" t="str">
        <f>VLOOKUP(3,AD44:AN47,6,FALSE) &amp; " - " &amp; VLOOKUP(3,AD44:AN47,7,FALSE)</f>
        <v>3 - 4</v>
      </c>
      <c r="P47" s="34">
        <f>L47*3+M47</f>
        <v>2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Norway_win</v>
      </c>
      <c r="T47" s="127" t="str">
        <f t="shared" ref="T47:T78" si="20">IF(S47="","",IF(F47&lt;G47,H47&amp;"_win",IF(F47&gt;G47,H47&amp;"_lose",H47&amp;"_draw")))</f>
        <v>Senegal_lose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1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1</v>
      </c>
      <c r="AH47" s="123">
        <f>COUNTIF($S$7:$T$78,"=" &amp; AE47 &amp; "_lose")</f>
        <v>2</v>
      </c>
      <c r="AI47" s="123">
        <f>SUMIF($E$7:$E$78,$AE47,$F$7:$F$78) + SUMIF($H$7:$H$78,$AE47,$G$7:$G$78)</f>
        <v>1</v>
      </c>
      <c r="AJ47" s="123">
        <f>SUMIF($E$7:$E$78,$AE47,$G$7:$G$78) + SUMIF($H$7:$H$78,$AE47,$F$7:$F$78)</f>
        <v>6</v>
      </c>
      <c r="AL47" s="123">
        <f>AI47-AJ47</f>
        <v>-5</v>
      </c>
      <c r="AM47" s="123">
        <f>AL47-AL48</f>
        <v>0</v>
      </c>
      <c r="AN47" s="123">
        <f>AF47*3+AG47</f>
        <v>1</v>
      </c>
      <c r="AO47" s="123">
        <f>AN47/AN48*10+BA47</f>
        <v>1</v>
      </c>
      <c r="AP47" s="123">
        <f>AO47*10000000+BI47*100+AM47/AM48*10+AI47/AI48*1++IF(AQ47=0,ROW(),AQ47)/2000000</f>
        <v>10000000.125640785</v>
      </c>
      <c r="AQ47" s="126">
        <f>VLOOKUP(AE47,db_fifarank,2,FALSE)</f>
        <v>1281.57</v>
      </c>
      <c r="AR47" s="125">
        <f>AP47/AP48</f>
        <v>0.11111109887436328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32"/>
      <c r="BL47" s="26" t="str">
        <f>AS57</f>
        <v>Norway</v>
      </c>
      <c r="BM47" s="62">
        <v>1</v>
      </c>
      <c r="BN47" s="64"/>
      <c r="BO47" s="27"/>
      <c r="BP47" s="112">
        <f>IF(BP46="","",BM47*1000+BN47*10+BO47)</f>
        <v>1000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3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3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1 - 6</v>
      </c>
      <c r="P48" s="37">
        <f>L48*3+M48</f>
        <v>1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3</v>
      </c>
      <c r="AH48" s="123">
        <f t="shared" si="24"/>
        <v>3</v>
      </c>
      <c r="AI48" s="123">
        <f>MAX(AI44:AI47)+1</f>
        <v>8</v>
      </c>
      <c r="AL48" s="123">
        <f>MIN(AL44:AL47)</f>
        <v>-5</v>
      </c>
      <c r="AM48" s="123">
        <f>MAX(AM44:AM47)+1</f>
        <v>12</v>
      </c>
      <c r="AN48" s="123">
        <f>MAX(AN44:AN47)+1</f>
        <v>10</v>
      </c>
      <c r="AO48" s="123">
        <f>MAX(AO44:AO47)+1</f>
        <v>10</v>
      </c>
      <c r="AP48" s="123">
        <f>MAX(AP44:AP47)+1</f>
        <v>90000011.042534024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1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1000</v>
      </c>
      <c r="CK48" s="114"/>
      <c r="CL48" s="112"/>
      <c r="CM48" s="131">
        <v>103</v>
      </c>
      <c r="CN48" s="24" t="str">
        <f>IF(CK23&gt;CK24,CG24,IF(CK23&lt;CK24,CG23,""))</f>
        <v>France</v>
      </c>
      <c r="CO48" s="61"/>
      <c r="CP48" s="63"/>
      <c r="CQ48" s="25"/>
      <c r="CR48" s="111" t="str">
        <f>IF(OR(CO48="",CO49="",AND(CP48="",CP49&lt;&gt;""),AND(CP49="",CP48&lt;&gt;""),AND(CQ48="",CQ49&lt;&gt;""),AND(CQ49="",CQ48&lt;&gt;"")),"",CO48*1000+CP48*10+CQ48)</f>
        <v/>
      </c>
    </row>
    <row r="49" spans="1:96" x14ac:dyDescent="0.3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2</v>
      </c>
      <c r="G49" s="20">
        <v>0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0</v>
      </c>
      <c r="CB49" s="64"/>
      <c r="CC49" s="27"/>
      <c r="CD49" s="113">
        <f>IF(CD48="","",CA49*1000+CB49*10+CC49)</f>
        <v>0</v>
      </c>
      <c r="CK49" s="114"/>
      <c r="CL49" s="115"/>
      <c r="CM49" s="132"/>
      <c r="CN49" s="26" t="str">
        <f>IF(CK55&gt;CK56,CG56,IF(CK55&lt;CK56,CG55,""))</f>
        <v>Brazil</v>
      </c>
      <c r="CO49" s="62"/>
      <c r="CP49" s="64"/>
      <c r="CQ49" s="27"/>
      <c r="CR49" s="111" t="str">
        <f>IF(CR48="","",CO49*1000+CP49*10+CQ49)</f>
        <v/>
      </c>
    </row>
    <row r="50" spans="1:96" x14ac:dyDescent="0.3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1</v>
      </c>
      <c r="G50" s="20">
        <v>1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Jordan_draw</v>
      </c>
      <c r="T50" s="127" t="str">
        <f t="shared" si="20"/>
        <v>Algeria_draw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0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7</v>
      </c>
      <c r="AJ50" s="123">
        <f>SUMIF($E$7:$E$78,$AE50,$G$7:$G$78) + SUMIF($H$7:$H$78,$AE50,$F$7:$F$78)</f>
        <v>1</v>
      </c>
      <c r="AL50" s="123">
        <f>AI50-AJ50</f>
        <v>6</v>
      </c>
      <c r="AM50" s="123">
        <f>AL50-AL54</f>
        <v>11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90000010.042604879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Korea Republic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3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3</v>
      </c>
      <c r="G51" s="20">
        <v>1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7 - 1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1</v>
      </c>
      <c r="AH51" s="123">
        <f>COUNTIF($S$7:$T$78,"=" &amp; AE51 &amp; "_lose")</f>
        <v>2</v>
      </c>
      <c r="AI51" s="123">
        <f>SUMIF($E$7:$E$78,$AE51,$F$7:$F$78) + SUMIF($H$7:$H$78,$AE51,$G$7:$G$78)</f>
        <v>1</v>
      </c>
      <c r="AJ51" s="123">
        <f>SUMIF($E$7:$E$78,$AE51,$G$7:$G$78) + SUMIF($H$7:$H$78,$AE51,$F$7:$F$78)</f>
        <v>6</v>
      </c>
      <c r="AL51" s="123">
        <f>AI51-AJ51</f>
        <v>-5</v>
      </c>
      <c r="AM51" s="123">
        <f>AL51-AL54</f>
        <v>0</v>
      </c>
      <c r="AN51" s="123">
        <f>AF51*3+AG51</f>
        <v>1</v>
      </c>
      <c r="AO51" s="123">
        <f>AN51/AN54*10+BA51</f>
        <v>1.9805825242718447</v>
      </c>
      <c r="AP51" s="123">
        <f>AO51*10000000+BI51*100+AM51/AM54*10+AI51/AI54*1++IF(AQ51=0,ROW(),AQ51)/2000000</f>
        <v>19805923.42665394</v>
      </c>
      <c r="AQ51" s="126">
        <f>VLOOKUP(AE51,db_fifarank,2,FALSE)</f>
        <v>1366.13</v>
      </c>
      <c r="AR51" s="125">
        <f>AP51/AP54</f>
        <v>0.22006578885060429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1</v>
      </c>
      <c r="AV51" s="126" cm="1">
        <f t="array" ref="AV51">SUMPRODUCT(($E$7:$E$78=AE51)*($U$7:$U$78)*($F$7:$F$78))+SUMPRODUCT(($H$7:$H$78=AE51)*($U$7:$U$78)*($G$7:$G$78))</f>
        <v>1</v>
      </c>
      <c r="AW51" s="126" cm="1">
        <f t="array" ref="AW51">SUMPRODUCT(($E$7:$E$78=AE51)*($U$7:$U$78)*($G$7:$G$78))+SUMPRODUCT(($H$7:$H$78=AE51)*($U$7:$U$78)*($F$7:$F$78))</f>
        <v>1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50.5</v>
      </c>
      <c r="BA51" s="126">
        <f>AZ51/AZ54</f>
        <v>0.98058252427184467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1</v>
      </c>
      <c r="BD51" s="126" cm="1">
        <f t="array" ref="BD51">SUMPRODUCT(($E$7:$E$78=AE51)*($X$7:$X$78)*($F$7:$F$78))+SUMPRODUCT(($H$7:$H$78=AE51)*($X$7:$X$78)*($G$7:$G$78))</f>
        <v>1</v>
      </c>
      <c r="BE51" s="126" cm="1">
        <f t="array" ref="BE51">SUMPRODUCT(($E$7:$E$78=AE51)*($X$7:$X$78)*($G$7:$G$78))+SUMPRODUCT(($H$7:$H$78=AE51)*($X$7:$X$78)*($F$7:$F$78))</f>
        <v>1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50.5</v>
      </c>
      <c r="BI51" s="126">
        <f>BH51/BH54</f>
        <v>0.98058252427184467</v>
      </c>
      <c r="BK51" s="132"/>
      <c r="BL51" s="26" t="str">
        <f>IF(group_round_completed,VLOOKUP('3rd places'!D3,AK80:AS91,9,FALSE),"3rd Group C/E/F/H/I")</f>
        <v>Ivory Coast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3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0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5 - 2</v>
      </c>
      <c r="P52" s="34">
        <f>L52*3+M52</f>
        <v>6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1</v>
      </c>
      <c r="AH52" s="123">
        <f>COUNTIF($S$7:$T$78,"=" &amp; AE52 &amp; "_lose")</f>
        <v>2</v>
      </c>
      <c r="AI52" s="123">
        <f>SUMIF($E$7:$E$78,$AE52,$F$7:$F$78) + SUMIF($H$7:$H$78,$AE52,$G$7:$G$78)</f>
        <v>1</v>
      </c>
      <c r="AJ52" s="123">
        <f>SUMIF($E$7:$E$78,$AE52,$G$7:$G$78) + SUMIF($H$7:$H$78,$AE52,$F$7:$F$78)</f>
        <v>5</v>
      </c>
      <c r="AL52" s="123">
        <f>AI52-AJ52</f>
        <v>-4</v>
      </c>
      <c r="AM52" s="123">
        <f>AL52-AL54</f>
        <v>1</v>
      </c>
      <c r="AN52" s="123">
        <f>AF52*3+AG52</f>
        <v>1</v>
      </c>
      <c r="AO52" s="123">
        <f>AN52/AN54*10+BA52</f>
        <v>1.9805825242718447</v>
      </c>
      <c r="AP52" s="123">
        <f>AO52*10000000+BI52*100+AM52/AM54*10+AI52/AI54*1++IF(AQ52=0,ROW(),AQ52)/2000000</f>
        <v>19805924.260014921</v>
      </c>
      <c r="AQ52" s="126">
        <f>VLOOKUP(AE52,db_fifarank,2,FALSE)</f>
        <v>1421.43</v>
      </c>
      <c r="AR52" s="125">
        <f>AP52/AP54</f>
        <v>0.22006579811016963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1</v>
      </c>
      <c r="AV52" s="126" cm="1">
        <f t="array" ref="AV52">SUMPRODUCT(($E$7:$E$78=AE52)*($U$7:$U$78)*($F$7:$F$78))+SUMPRODUCT(($H$7:$H$78=AE52)*($U$7:$U$78)*($G$7:$G$78))</f>
        <v>1</v>
      </c>
      <c r="AW52" s="126" cm="1">
        <f t="array" ref="AW52">SUMPRODUCT(($E$7:$E$78=AE52)*($U$7:$U$78)*($G$7:$G$78))+SUMPRODUCT(($H$7:$H$78=AE52)*($U$7:$U$78)*($F$7:$F$78))</f>
        <v>1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50.5</v>
      </c>
      <c r="BA52" s="126">
        <f>AZ52/AZ54</f>
        <v>0.98058252427184467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1</v>
      </c>
      <c r="BD52" s="126" cm="1">
        <f t="array" ref="BD52">SUMPRODUCT(($E$7:$E$78=AE52)*($X$7:$X$78)*($F$7:$F$78))+SUMPRODUCT(($H$7:$H$78=AE52)*($X$7:$X$78)*($G$7:$G$78))</f>
        <v>1</v>
      </c>
      <c r="BE52" s="126" cm="1">
        <f t="array" ref="BE52">SUMPRODUCT(($E$7:$E$78=AE52)*($X$7:$X$78)*($G$7:$G$78))+SUMPRODUCT(($H$7:$H$78=AE52)*($X$7:$X$78)*($F$7:$F$78))</f>
        <v>1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50.5</v>
      </c>
      <c r="BI52" s="126">
        <f>BH52/BH54</f>
        <v>0.98058252427184467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Korea Republic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3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2</v>
      </c>
      <c r="G53" s="20">
        <v>1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0</v>
      </c>
      <c r="M53" s="23">
        <f>VLOOKUP(3,AD50:AN53,4,FALSE)</f>
        <v>1</v>
      </c>
      <c r="N53" s="23">
        <f>VLOOKUP(3,AD50:AN53,5,FALSE)</f>
        <v>2</v>
      </c>
      <c r="O53" s="23" t="str">
        <f>VLOOKUP(3,AD50:AN53,6,FALSE) &amp; " - " &amp; VLOOKUP(3,AD50:AN53,7,FALSE)</f>
        <v>1 - 5</v>
      </c>
      <c r="P53" s="34">
        <f>L53*3+M53</f>
        <v>1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5</v>
      </c>
      <c r="AJ53" s="123">
        <f>SUMIF($E$7:$E$78,$AE53,$G$7:$G$78) + SUMIF($H$7:$H$78,$AE53,$F$7:$F$78)</f>
        <v>2</v>
      </c>
      <c r="AL53" s="123">
        <f>AI53-AJ53</f>
        <v>3</v>
      </c>
      <c r="AM53" s="123">
        <f>AL53-AL54</f>
        <v>8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60000007.2925032</v>
      </c>
      <c r="AQ53" s="126">
        <f>VLOOKUP(AE53,db_fifarank,2,FALSE)</f>
        <v>1673.07</v>
      </c>
      <c r="AR53" s="125">
        <f>AP53/AP54</f>
        <v>0.66666666589740697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England</v>
      </c>
      <c r="BT53" s="62">
        <v>1</v>
      </c>
      <c r="BU53" s="64"/>
      <c r="BV53" s="27"/>
      <c r="BW53" s="112">
        <f>IF(BW52="","",BT53*1000+BU53*10+BV53)</f>
        <v>1000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3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2</v>
      </c>
      <c r="G54" s="20">
        <v>1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1</v>
      </c>
      <c r="N54" s="36">
        <f>VLOOKUP(4,AD50:AN53,5,FALSE)</f>
        <v>2</v>
      </c>
      <c r="O54" s="36" t="str">
        <f>VLOOKUP(4,AD50:AN53,6,FALSE) &amp; " - " &amp; VLOOKUP(4,AD50:AN53,7,FALSE)</f>
        <v>1 - 6</v>
      </c>
      <c r="P54" s="37">
        <f>L54*3+M54</f>
        <v>1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2</v>
      </c>
      <c r="AH54" s="123">
        <f t="shared" si="25"/>
        <v>3</v>
      </c>
      <c r="AI54" s="123">
        <f>MAX(AI50:AI53)+1</f>
        <v>8</v>
      </c>
      <c r="AL54" s="123">
        <f>MIN(AL50:AL53)</f>
        <v>-5</v>
      </c>
      <c r="AM54" s="123">
        <f>MAX(AM50:AM53)+1</f>
        <v>12</v>
      </c>
      <c r="AN54" s="123">
        <f>MAX(AN50:AN53)+1</f>
        <v>10</v>
      </c>
      <c r="AO54" s="123">
        <f>MAX(AO50:AO53)+1</f>
        <v>10</v>
      </c>
      <c r="AP54" s="123">
        <f>MAX(AP50:AP53)+1</f>
        <v>90000011.042604879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2</v>
      </c>
      <c r="AW54" s="126">
        <f>MAX(AW50:AW53)-MIN(AW50:AW53)+1</f>
        <v>2</v>
      </c>
      <c r="AY54" s="126">
        <f>MAX(AY50:AY53)-MIN(AY50:AY53)+1</f>
        <v>1</v>
      </c>
      <c r="AZ54" s="126">
        <f>MAX(AZ50:AZ53)+1</f>
        <v>51.5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2</v>
      </c>
      <c r="BE54" s="126">
        <f>MAX(BE50:BE53)-MIN(BE50:BE53)+1</f>
        <v>2</v>
      </c>
      <c r="BG54" s="126">
        <f>MAX(BG50:BG53)-MIN(BG50:BG53)+1</f>
        <v>1</v>
      </c>
      <c r="BH54" s="126">
        <f>MAX(BH50:BH53)+1</f>
        <v>51.5</v>
      </c>
      <c r="BK54" s="131">
        <v>80</v>
      </c>
      <c r="BL54" s="24" t="str">
        <f>AS74</f>
        <v>England</v>
      </c>
      <c r="BM54" s="61">
        <v>1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1000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3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0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Algeria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Brazil</v>
      </c>
      <c r="CH55" s="61">
        <v>0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0</v>
      </c>
      <c r="CL55" s="112"/>
    </row>
    <row r="56" spans="1:96" x14ac:dyDescent="0.3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2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7</v>
      </c>
      <c r="AJ56" s="123">
        <f>SUMIF($E$7:$E$78,$AE56,$G$7:$G$78) + SUMIF($H$7:$H$78,$AE56,$F$7:$F$78)</f>
        <v>2</v>
      </c>
      <c r="AL56" s="123">
        <f>AI56-AJ56</f>
        <v>5</v>
      </c>
      <c r="AM56" s="123">
        <f>AL56-AL60</f>
        <v>12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90000010.106707886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Argentina</v>
      </c>
      <c r="CH56" s="62">
        <v>1</v>
      </c>
      <c r="CI56" s="64"/>
      <c r="CJ56" s="27"/>
      <c r="CK56" s="112">
        <f>IF(CK55="","",CH56*1000+CI56*10+CJ56)</f>
        <v>1000</v>
      </c>
      <c r="CL56" s="112"/>
    </row>
    <row r="57" spans="1:96" x14ac:dyDescent="0.3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1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7 - 2</v>
      </c>
      <c r="P57" s="32">
        <f>L57*3+M57</f>
        <v>9</v>
      </c>
      <c r="R57" s="123">
        <f>DATE(2026,6,24)+TIME(8,0,0)+gmt_delta</f>
        <v>46197.875</v>
      </c>
      <c r="S57" s="127" t="str">
        <f t="shared" si="19"/>
        <v>Switzerland_draw</v>
      </c>
      <c r="T57" s="127" t="str">
        <f t="shared" si="20"/>
        <v>Canada_draw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0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0</v>
      </c>
      <c r="AH57" s="123">
        <f>COUNTIF($S$7:$T$78,"=" &amp; AE57 &amp; "_lose")</f>
        <v>2</v>
      </c>
      <c r="AI57" s="123">
        <f>SUMIF($E$7:$E$78,$AE57,$F$7:$F$78) + SUMIF($H$7:$H$78,$AE57,$G$7:$G$78)</f>
        <v>4</v>
      </c>
      <c r="AJ57" s="123">
        <f>SUMIF($E$7:$E$78,$AE57,$G$7:$G$78) + SUMIF($H$7:$H$78,$AE57,$F$7:$F$78)</f>
        <v>4</v>
      </c>
      <c r="AL57" s="123">
        <f>AI57-AJ57</f>
        <v>0</v>
      </c>
      <c r="AM57" s="123">
        <f>AL57-AL60</f>
        <v>7</v>
      </c>
      <c r="AN57" s="123">
        <f>AF57*3+AG57</f>
        <v>3</v>
      </c>
      <c r="AO57" s="123">
        <f>AN57/AN60*10+BA57</f>
        <v>3</v>
      </c>
      <c r="AP57" s="123">
        <f>AO57*10000000+BI57*100+AM57/AM60*10+AI57/AI60*1++IF(AQ57=0,ROW(),AQ57)/2000000</f>
        <v>30000005.885459878</v>
      </c>
      <c r="AQ57" s="126">
        <f>VLOOKUP(AE57,db_fifarank,2,FALSE)</f>
        <v>1688.99</v>
      </c>
      <c r="AR57" s="125">
        <f>AP57/AP60</f>
        <v>0.33333335759137384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3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1</v>
      </c>
      <c r="G58" s="20">
        <v>1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5 - 3</v>
      </c>
      <c r="P58" s="34">
        <f>L58*3+M58</f>
        <v>6</v>
      </c>
      <c r="R58" s="123">
        <f>DATE(2026,6,24)+TIME(8,0,0)+gmt_delta</f>
        <v>46197.875</v>
      </c>
      <c r="S58" s="127" t="str">
        <f t="shared" si="19"/>
        <v>Bosnia and Herzegovina_draw</v>
      </c>
      <c r="T58" s="127" t="str">
        <f t="shared" si="20"/>
        <v>Qatar_draw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0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0</v>
      </c>
      <c r="AJ58" s="123">
        <f>SUMIF($E$7:$E$78,$AE58,$G$7:$G$78) + SUMIF($H$7:$H$78,$AE58,$F$7:$F$78)</f>
        <v>7</v>
      </c>
      <c r="AL58" s="123">
        <f>AI58-AJ58</f>
        <v>-7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7.2357000000000009E-4</v>
      </c>
      <c r="AQ58" s="126">
        <f>VLOOKUP(AE58,db_fifarank,2,FALSE)</f>
        <v>1447.14</v>
      </c>
      <c r="AR58" s="125">
        <f>AP58/AP60</f>
        <v>8.0396656745086876E-12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1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1000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3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0</v>
      </c>
      <c r="G59" s="20">
        <v>1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4 - 4</v>
      </c>
      <c r="P59" s="34">
        <f>L59*3+M59</f>
        <v>3</v>
      </c>
      <c r="R59" s="123">
        <f>DATE(2026,6,24)+TIME(14,0,0)+gmt_delta</f>
        <v>46198.125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2</v>
      </c>
      <c r="AG59" s="123">
        <f>COUNTIF($S$7:$T$78,"=" &amp; AE59 &amp; "_draw")</f>
        <v>0</v>
      </c>
      <c r="AH59" s="123">
        <f>COUNTIF($S$7:$T$78,"=" &amp; AE59 &amp; "_lose")</f>
        <v>1</v>
      </c>
      <c r="AI59" s="123">
        <f>SUMIF($E$7:$E$78,$AE59,$F$7:$F$78) + SUMIF($H$7:$H$78,$AE59,$G$7:$G$78)</f>
        <v>5</v>
      </c>
      <c r="AJ59" s="123">
        <f>SUMIF($E$7:$E$78,$AE59,$G$7:$G$78) + SUMIF($H$7:$H$78,$AE59,$F$7:$F$78)</f>
        <v>3</v>
      </c>
      <c r="AL59" s="123">
        <f>AI59-AJ59</f>
        <v>2</v>
      </c>
      <c r="AM59" s="123">
        <f>AL59-AL60</f>
        <v>9</v>
      </c>
      <c r="AN59" s="123">
        <f>AF59*3+AG59</f>
        <v>6</v>
      </c>
      <c r="AO59" s="123">
        <f>AN59/AN60*10+BA59</f>
        <v>6</v>
      </c>
      <c r="AP59" s="123">
        <f>AO59*10000000+BI59*100+AM59/AM60*10+AI59/AI60*1++IF(AQ59=0,ROW(),AQ59)/2000000</f>
        <v>60000007.548852392</v>
      </c>
      <c r="AQ59" s="126">
        <f>VLOOKUP(AE59,db_fifarank,2,FALSE)</f>
        <v>1550.94</v>
      </c>
      <c r="AR59" s="125">
        <f>AP59/AP60</f>
        <v>0.66666666827089394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32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3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0</v>
      </c>
      <c r="G60" s="20">
        <v>2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0 - 7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4</v>
      </c>
      <c r="AG60" s="123">
        <f t="shared" si="27"/>
        <v>1</v>
      </c>
      <c r="AH60" s="123">
        <f t="shared" si="27"/>
        <v>4</v>
      </c>
      <c r="AI60" s="123">
        <f>MAX(AI56:AI59)+1</f>
        <v>8</v>
      </c>
      <c r="AL60" s="123">
        <f>MIN(AL56:AL59)</f>
        <v>-7</v>
      </c>
      <c r="AM60" s="123">
        <f>MAX(AM56:AM59)+1</f>
        <v>13</v>
      </c>
      <c r="AN60" s="123">
        <f>MAX(AN56:AN59)+1</f>
        <v>10</v>
      </c>
      <c r="AO60" s="123">
        <f>MAX(AO56:AO59)+1</f>
        <v>10</v>
      </c>
      <c r="AP60" s="123">
        <f>MAX(AP56:AP59)+1</f>
        <v>90000011.106707886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 x14ac:dyDescent="0.3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0</v>
      </c>
      <c r="G61" s="20">
        <v>1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Turkey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3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1</v>
      </c>
      <c r="G62" s="20">
        <v>2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7</v>
      </c>
      <c r="AJ62" s="123">
        <f>SUMIF($E$7:$E$78,$AE62,$G$7:$G$78) + SUMIF($H$7:$H$78,$AE62,$F$7:$F$78)</f>
        <v>0</v>
      </c>
      <c r="AL62" s="123">
        <f>AI62-AJ62</f>
        <v>7</v>
      </c>
      <c r="AM62" s="123">
        <f>AL62-AL66</f>
        <v>11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90000010.042604089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Turkey</v>
      </c>
      <c r="BM62" s="61">
        <v>1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1000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3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2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7 - 0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0</v>
      </c>
      <c r="AG63" s="123">
        <f>COUNTIF($S$7:$T$78,"=" &amp; AE63 &amp; "_draw")</f>
        <v>2</v>
      </c>
      <c r="AH63" s="123">
        <f>COUNTIF($S$7:$T$78,"=" &amp; AE63 &amp; "_lose")</f>
        <v>1</v>
      </c>
      <c r="AI63" s="123">
        <f>SUMIF($E$7:$E$78,$AE63,$F$7:$F$78) + SUMIF($H$7:$H$78,$AE63,$G$7:$G$78)</f>
        <v>2</v>
      </c>
      <c r="AJ63" s="123">
        <f>SUMIF($E$7:$E$78,$AE63,$G$7:$G$78) + SUMIF($H$7:$H$78,$AE63,$F$7:$F$78)</f>
        <v>5</v>
      </c>
      <c r="AL63" s="123">
        <f>AI63-AJ63</f>
        <v>-3</v>
      </c>
      <c r="AM63" s="123">
        <f>AL63-AL66</f>
        <v>1</v>
      </c>
      <c r="AN63" s="123">
        <f>AF63*3+AG63</f>
        <v>2</v>
      </c>
      <c r="AO63" s="123">
        <f>AN63/AN66*10+BA63</f>
        <v>2</v>
      </c>
      <c r="AP63" s="123">
        <f>AO63*10000000+BI63*100+AM63/AM66*10+AI63/AI66*1++IF(AQ63=0,ROW(),AQ63)/2000000</f>
        <v>20000001.084115461</v>
      </c>
      <c r="AQ63" s="126">
        <f>VLOOKUP(AE63,db_fifarank,2,FALSE)</f>
        <v>1564.26</v>
      </c>
      <c r="AR63" s="125">
        <f>AP63/AP66</f>
        <v>0.22222220700226233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32"/>
      <c r="BL63" s="26" t="str">
        <f>AS45</f>
        <v>Egypt</v>
      </c>
      <c r="BM63" s="62">
        <v>0</v>
      </c>
      <c r="BN63" s="64"/>
      <c r="BO63" s="27"/>
      <c r="BP63" s="112">
        <f>IF(BP62="","",BM63*1000+BN63*10+BO63)</f>
        <v>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3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0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1</v>
      </c>
      <c r="M64" s="23">
        <f>VLOOKUP(2,AD62:AN65,4,FALSE)</f>
        <v>1</v>
      </c>
      <c r="N64" s="23">
        <f>VLOOKUP(2,AD62:AN65,5,FALSE)</f>
        <v>1</v>
      </c>
      <c r="O64" s="23" t="str">
        <f>VLOOKUP(2,AD62:AN65,6,FALSE) &amp; " - " &amp; VLOOKUP(2,AD62:AN65,7,FALSE)</f>
        <v>3 - 3</v>
      </c>
      <c r="P64" s="34">
        <f>L64*3+M64</f>
        <v>4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1</v>
      </c>
      <c r="AH64" s="123">
        <f>COUNTIF($S$7:$T$78,"=" &amp; AE64 &amp; "_lose")</f>
        <v>1</v>
      </c>
      <c r="AI64" s="123">
        <f>SUMIF($E$7:$E$78,$AE64,$F$7:$F$78) + SUMIF($H$7:$H$78,$AE64,$G$7:$G$78)</f>
        <v>3</v>
      </c>
      <c r="AJ64" s="123">
        <f>SUMIF($E$7:$E$78,$AE64,$G$7:$G$78) + SUMIF($H$7:$H$78,$AE64,$F$7:$F$78)</f>
        <v>3</v>
      </c>
      <c r="AL64" s="123">
        <f>AI64-AJ64</f>
        <v>0</v>
      </c>
      <c r="AM64" s="123">
        <f>AL64-AL66</f>
        <v>4</v>
      </c>
      <c r="AN64" s="123">
        <f>AF64*3+AG64</f>
        <v>4</v>
      </c>
      <c r="AO64" s="123">
        <f>AN64/AN66*10+BA64</f>
        <v>4</v>
      </c>
      <c r="AP64" s="123">
        <f>AO64*10000000+BI64*100+AM64/AM66*10+AI64/AI66*1++IF(AQ64=0,ROW(),AQ64)/2000000</f>
        <v>40000003.709130064</v>
      </c>
      <c r="AQ64" s="126">
        <f>VLOOKUP(AE64,db_fifarank,2,FALSE)</f>
        <v>1593.45</v>
      </c>
      <c r="AR64" s="125">
        <f>AP64/AP66</f>
        <v>0.44444443112562415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1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1000</v>
      </c>
    </row>
    <row r="65" spans="1:95" x14ac:dyDescent="0.3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1</v>
      </c>
      <c r="G65" s="20">
        <v>2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0</v>
      </c>
      <c r="M65" s="23">
        <f>VLOOKUP(3,AD62:AN65,4,FALSE)</f>
        <v>2</v>
      </c>
      <c r="N65" s="23">
        <f>VLOOKUP(3,AD62:AN65,5,FALSE)</f>
        <v>1</v>
      </c>
      <c r="O65" s="23" t="str">
        <f>VLOOKUP(3,AD62:AN65,6,FALSE) &amp; " - " &amp; VLOOKUP(3,AD62:AN65,7,FALSE)</f>
        <v>2 - 5</v>
      </c>
      <c r="P65" s="34">
        <f>L65*3+M65</f>
        <v>2</v>
      </c>
      <c r="R65" s="123">
        <f>DATE(2026,6,25)+TIME(15,0,0)+gmt_delta</f>
        <v>46199.166666666664</v>
      </c>
      <c r="S65" s="127" t="str">
        <f t="shared" si="19"/>
        <v>Turkey_lose</v>
      </c>
      <c r="T65" s="127" t="str">
        <f t="shared" si="20"/>
        <v>United States_win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-1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1</v>
      </c>
      <c r="AH65" s="123">
        <f>COUNTIF($S$7:$T$78,"=" &amp; AE65 &amp; "_lose")</f>
        <v>2</v>
      </c>
      <c r="AI65" s="123">
        <f>SUMIF($E$7:$E$78,$AE65,$F$7:$F$78) + SUMIF($H$7:$H$78,$AE65,$G$7:$G$78)</f>
        <v>1</v>
      </c>
      <c r="AJ65" s="123">
        <f>SUMIF($E$7:$E$78,$AE65,$G$7:$G$78) + SUMIF($H$7:$H$78,$AE65,$F$7:$F$78)</f>
        <v>5</v>
      </c>
      <c r="AL65" s="123">
        <f>AI65-AJ65</f>
        <v>-4</v>
      </c>
      <c r="AM65" s="123">
        <f>AL65-AL66</f>
        <v>0</v>
      </c>
      <c r="AN65" s="123">
        <f>AF65*3+AG65</f>
        <v>1</v>
      </c>
      <c r="AO65" s="123">
        <f>AN65/AN66*10+BA65</f>
        <v>1</v>
      </c>
      <c r="AP65" s="123">
        <f>AO65*10000000+BI65*100+AM65/AM66*10+AI65/AI66*1++IF(AQ65=0,ROW(),AQ65)/2000000</f>
        <v>10000000.125695726</v>
      </c>
      <c r="AQ65" s="126">
        <f>VLOOKUP(AE65,db_fifarank,2,FALSE)</f>
        <v>1391.45</v>
      </c>
      <c r="AR65" s="125">
        <f>AP65/AP66</f>
        <v>0.11111109887488724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0</v>
      </c>
      <c r="CB65" s="64"/>
      <c r="CC65" s="27"/>
      <c r="CD65" s="112">
        <f>IF(CD64="","",CA65*1000+CB65*10+CC65)</f>
        <v>0</v>
      </c>
    </row>
    <row r="66" spans="1:95" x14ac:dyDescent="0.3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1</v>
      </c>
      <c r="G66" s="20">
        <v>1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1</v>
      </c>
      <c r="N66" s="36">
        <f>VLOOKUP(4,AD62:AN65,5,FALSE)</f>
        <v>2</v>
      </c>
      <c r="O66" s="36" t="str">
        <f>VLOOKUP(4,AD62:AN65,6,FALSE) &amp; " - " &amp; VLOOKUP(4,AD62:AN65,7,FALSE)</f>
        <v>1 - 5</v>
      </c>
      <c r="P66" s="37">
        <f>L66*3+M66</f>
        <v>1</v>
      </c>
      <c r="R66" s="123">
        <f>DATE(2026,6,25)+TIME(15,0,0)+gmt_delta</f>
        <v>46199.166666666664</v>
      </c>
      <c r="S66" s="127" t="str">
        <f t="shared" si="19"/>
        <v>Paraguay_draw</v>
      </c>
      <c r="T66" s="127" t="str">
        <f t="shared" si="20"/>
        <v>Australia_draw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0</v>
      </c>
      <c r="AF66" s="123">
        <f t="shared" ref="AF66:AH66" si="28">MAX(AF62:AF65)-MIN(AF62:AF65)+1</f>
        <v>4</v>
      </c>
      <c r="AG66" s="123">
        <f t="shared" si="28"/>
        <v>3</v>
      </c>
      <c r="AH66" s="123">
        <f t="shared" si="28"/>
        <v>3</v>
      </c>
      <c r="AI66" s="123">
        <f>MAX(AI62:AI65)+1</f>
        <v>8</v>
      </c>
      <c r="AL66" s="123">
        <f>MIN(AL62:AL65)</f>
        <v>-4</v>
      </c>
      <c r="AM66" s="123">
        <f>MAX(AM62:AM65)+1</f>
        <v>12</v>
      </c>
      <c r="AN66" s="123">
        <f>MAX(AN62:AN65)+1</f>
        <v>10</v>
      </c>
      <c r="AO66" s="123">
        <f>MAX(AO62:AO65)+1</f>
        <v>10</v>
      </c>
      <c r="AP66" s="123">
        <f>MAX(AP62:AP65)+1</f>
        <v>90000011.042604089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31">
        <v>85</v>
      </c>
      <c r="BL66" s="24" t="str">
        <f>AS14</f>
        <v>Switzerland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3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1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Iran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3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2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6</v>
      </c>
      <c r="AJ68" s="123">
        <f>SUMIF($E$7:$E$78,$AE68,$G$7:$G$78) + SUMIF($H$7:$H$78,$AE68,$F$7:$F$78)</f>
        <v>2</v>
      </c>
      <c r="AL68" s="123">
        <f>AI68-AJ68</f>
        <v>4</v>
      </c>
      <c r="AM68" s="123">
        <f>AL68-AL72</f>
        <v>7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90000009.608024761</v>
      </c>
      <c r="AQ68" s="126">
        <f>VLOOKUP(AE68,db_fifarank,2,FALSE)</f>
        <v>1763.83</v>
      </c>
      <c r="AR68" s="125">
        <f>AP68/AP72</f>
        <v>0.99999998888889019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Switzerland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Spain</v>
      </c>
      <c r="CL68" s="153"/>
      <c r="CM68" s="153"/>
      <c r="CN68" s="153"/>
      <c r="CO68" s="153"/>
      <c r="CP68" s="153"/>
      <c r="CQ68" s="153"/>
    </row>
    <row r="69" spans="1:95" x14ac:dyDescent="0.3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1</v>
      </c>
      <c r="G69" s="20">
        <v>1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6 - 2</v>
      </c>
      <c r="P69" s="32">
        <f>L69*3+M69</f>
        <v>9</v>
      </c>
      <c r="R69" s="123">
        <f>DATE(2026,6,26)+TIME(16,0,0)+gmt_delta</f>
        <v>46200.208333333328</v>
      </c>
      <c r="S69" s="127" t="str">
        <f t="shared" si="19"/>
        <v>Egypt_draw</v>
      </c>
      <c r="T69" s="127" t="str">
        <f t="shared" si="20"/>
        <v>Iran_draw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0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2</v>
      </c>
      <c r="AJ69" s="123">
        <f>SUMIF($E$7:$E$78,$AE69,$G$7:$G$78) + SUMIF($H$7:$H$78,$AE69,$F$7:$F$78)</f>
        <v>5</v>
      </c>
      <c r="AL69" s="123">
        <f>AI69-AJ69</f>
        <v>-3</v>
      </c>
      <c r="AM69" s="123">
        <f>AL69-AL72</f>
        <v>0</v>
      </c>
      <c r="AN69" s="123">
        <f>AF69*3+AG69</f>
        <v>1</v>
      </c>
      <c r="AO69" s="123">
        <f>AN69/AN72*10+BA69</f>
        <v>1.9805825242718447</v>
      </c>
      <c r="AP69" s="123">
        <f>AO69*10000000+BI69*100+AM69/AM72*10+AI69/AI72*1++IF(AQ69=0,ROW(),AQ69)/2000000</f>
        <v>19805923.587424338</v>
      </c>
      <c r="AQ69" s="126">
        <f>VLOOKUP(AE69,db_fifarank,2,FALSE)</f>
        <v>1478.35</v>
      </c>
      <c r="AR69" s="125">
        <f>AP69/AP72</f>
        <v>0.22006579169956633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1</v>
      </c>
      <c r="AW69" s="126" cm="1">
        <f t="array" ref="AW69">SUMPRODUCT(($E$7:$E$78=AE69)*($U$7:$U$78)*($G$7:$G$78))+SUMPRODUCT(($H$7:$H$78=AE69)*($U$7:$U$78)*($F$7:$F$78))</f>
        <v>1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50.5</v>
      </c>
      <c r="BA69" s="126">
        <f>AZ69/AZ72</f>
        <v>0.98058252427184467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1</v>
      </c>
      <c r="BE69" s="126" cm="1">
        <f t="array" ref="BE69">SUMPRODUCT(($E$7:$E$78=AE69)*($X$7:$X$78)*($G$7:$G$78))+SUMPRODUCT(($H$7:$H$78=AE69)*($X$7:$X$78)*($F$7:$F$78))</f>
        <v>1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50.5</v>
      </c>
      <c r="BI69" s="126">
        <f>BH69/BH72</f>
        <v>0.98058252427184467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1</v>
      </c>
      <c r="BU69" s="64"/>
      <c r="BV69" s="27"/>
      <c r="BW69" s="112">
        <f>IF(BW68="","",BT69*1000+BU69*10+BV69)</f>
        <v>1000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3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3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5 - 3</v>
      </c>
      <c r="P70" s="34">
        <f>L70*3+M70</f>
        <v>6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2</v>
      </c>
      <c r="AJ70" s="123">
        <f>SUMIF($E$7:$E$78,$AE70,$G$7:$G$78) + SUMIF($H$7:$H$78,$AE70,$F$7:$F$78)</f>
        <v>5</v>
      </c>
      <c r="AL70" s="123">
        <f>AI70-AJ70</f>
        <v>-3</v>
      </c>
      <c r="AM70" s="123">
        <f>AL70-AL72</f>
        <v>0</v>
      </c>
      <c r="AN70" s="123">
        <f>AF70*3+AG70</f>
        <v>1</v>
      </c>
      <c r="AO70" s="123">
        <f>AN70/AN72*10+BA70</f>
        <v>1.9805825242718447</v>
      </c>
      <c r="AP70" s="123">
        <f>AO70*10000000+BI70*100+AM70/AM72*10+AI70/AI72*1++IF(AQ70=0,ROW(),AQ70)/2000000</f>
        <v>19805923.587417834</v>
      </c>
      <c r="AQ70" s="126">
        <f>VLOOKUP(AE70,db_fifarank,2,FALSE)</f>
        <v>1465.34</v>
      </c>
      <c r="AR70" s="125">
        <f>AP70/AP72</f>
        <v>0.22006579169949406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1</v>
      </c>
      <c r="AW70" s="126" cm="1">
        <f t="array" ref="AW70">SUMPRODUCT(($E$7:$E$78=AE70)*($U$7:$U$78)*($G$7:$G$78))+SUMPRODUCT(($H$7:$H$78=AE70)*($U$7:$U$78)*($F$7:$F$78))</f>
        <v>1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50.5</v>
      </c>
      <c r="BA70" s="126">
        <f>AZ70/AZ72</f>
        <v>0.98058252427184467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1</v>
      </c>
      <c r="BE70" s="126" cm="1">
        <f t="array" ref="BE70">SUMPRODUCT(($E$7:$E$78=AE70)*($X$7:$X$78)*($G$7:$G$78))+SUMPRODUCT(($H$7:$H$78=AE70)*($X$7:$X$78)*($F$7:$F$78))</f>
        <v>1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50.5</v>
      </c>
      <c r="BI70" s="126">
        <f>BH70/BH72</f>
        <v>0.98058252427184467</v>
      </c>
      <c r="BK70" s="131">
        <v>87</v>
      </c>
      <c r="BL70" s="24" t="str">
        <f>AS68</f>
        <v>Portugal</v>
      </c>
      <c r="BM70" s="61">
        <v>1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1000</v>
      </c>
      <c r="BQ70" s="112"/>
      <c r="BW70" s="112"/>
    </row>
    <row r="71" spans="1:95" x14ac:dyDescent="0.3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1</v>
      </c>
      <c r="G71" s="20">
        <v>1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2 - 5</v>
      </c>
      <c r="P71" s="34">
        <f>L71*3+M71</f>
        <v>1</v>
      </c>
      <c r="R71" s="123">
        <f>DATE(2026,6,26)+TIME(13,0,0)+gmt_delta</f>
        <v>46200.083333333328</v>
      </c>
      <c r="S71" s="127" t="str">
        <f t="shared" si="19"/>
        <v>Cape Verde_draw</v>
      </c>
      <c r="T71" s="127" t="str">
        <f t="shared" si="20"/>
        <v>Saudi Arabia_draw</v>
      </c>
      <c r="U71" s="123">
        <f t="shared" si="8"/>
        <v>1</v>
      </c>
      <c r="V71" s="123">
        <f t="shared" si="21"/>
        <v>1</v>
      </c>
      <c r="W71" s="123">
        <f t="shared" si="22"/>
        <v>1</v>
      </c>
      <c r="X71" s="123">
        <f t="shared" si="9"/>
        <v>1</v>
      </c>
      <c r="Y71" s="123">
        <f t="shared" si="10"/>
        <v>1</v>
      </c>
      <c r="Z71" s="123">
        <f t="shared" si="11"/>
        <v>1</v>
      </c>
      <c r="AA71" s="123">
        <f t="shared" ref="AA71:AA78" si="29">IF(OR(E71=my_team,H71=my_team),1,IF(INT(MATCH(E71,$AE$8:$AE$78,0)/6)=$AA$6,1,0))</f>
        <v>0</v>
      </c>
      <c r="AB71" s="123">
        <f t="shared" si="23"/>
        <v>0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5</v>
      </c>
      <c r="AJ71" s="123">
        <f>SUMIF($E$7:$E$78,$AE71,$G$7:$G$78) + SUMIF($H$7:$H$78,$AE71,$F$7:$F$78)</f>
        <v>3</v>
      </c>
      <c r="AL71" s="123">
        <f>AI71-AJ71</f>
        <v>2</v>
      </c>
      <c r="AM71" s="123">
        <f>AL71-AL72</f>
        <v>5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60000006.965132259</v>
      </c>
      <c r="AQ71" s="126">
        <f>VLOOKUP(AE71,db_fifarank,2,FALSE)</f>
        <v>1693.09</v>
      </c>
      <c r="AR71" s="125">
        <f>AP71/AP72</f>
        <v>0.66666666547906406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32"/>
      <c r="BL71" s="26" t="str">
        <f>IF(group_round_completed,VLOOKUP('3rd places'!J3,AK80:AS91,9,FALSE),"3rd Group D/E/I/J/L")</f>
        <v>Senegal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3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1</v>
      </c>
      <c r="G72" s="20">
        <v>2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2 - 5</v>
      </c>
      <c r="P72" s="37">
        <f>L72*3+M72</f>
        <v>1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2</v>
      </c>
      <c r="AH72" s="123">
        <f t="shared" si="35"/>
        <v>3</v>
      </c>
      <c r="AI72" s="123">
        <f>MAX(AI68:AI71)+1</f>
        <v>7</v>
      </c>
      <c r="AL72" s="123">
        <f>MIN(AL68:AL71)</f>
        <v>-3</v>
      </c>
      <c r="AM72" s="123">
        <f>MAX(AM68:AM71)+1</f>
        <v>8</v>
      </c>
      <c r="AN72" s="123">
        <f>MAX(AN68:AN71)+1</f>
        <v>10</v>
      </c>
      <c r="AO72" s="123">
        <f>MAX(AO68:AO71)+1</f>
        <v>10</v>
      </c>
      <c r="AP72" s="123">
        <f>MAX(AP68:AP71)+1</f>
        <v>90000010.608024761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2</v>
      </c>
      <c r="AW72" s="126">
        <f>MAX(AW68:AW71)-MIN(AW68:AW71)+1</f>
        <v>2</v>
      </c>
      <c r="AY72" s="126">
        <f>MAX(AY68:AY71)-MIN(AY68:AY71)+1</f>
        <v>1</v>
      </c>
      <c r="AZ72" s="126">
        <f>MAX(AZ68:AZ71)+1</f>
        <v>51.5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2</v>
      </c>
      <c r="BE72" s="126">
        <f>MAX(BE68:BE71)-MIN(BE68:BE71)+1</f>
        <v>2</v>
      </c>
      <c r="BG72" s="126">
        <f>MAX(BG68:BG71)-MIN(BG68:BG71)+1</f>
        <v>1</v>
      </c>
      <c r="BH72" s="126">
        <f>MAX(BH68:BH71)+1</f>
        <v>51.5</v>
      </c>
    </row>
    <row r="73" spans="1:95" x14ac:dyDescent="0.3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3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3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2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8</v>
      </c>
      <c r="AJ74" s="123">
        <f>SUMIF($E$7:$E$78,$AE74,$G$7:$G$78) + SUMIF($H$7:$H$78,$AE74,$F$7:$F$78)</f>
        <v>1</v>
      </c>
      <c r="AL74" s="123">
        <f>AI74-AJ74</f>
        <v>7</v>
      </c>
      <c r="AM74" s="123">
        <f>AL74-AL78</f>
        <v>12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90000010.120571107</v>
      </c>
      <c r="AQ74" s="126">
        <f>VLOOKUP(AE74,db_fifarank,2,FALSE)</f>
        <v>1825.97</v>
      </c>
      <c r="AR74" s="125">
        <f>AP74/AP78</f>
        <v>0.9999999888888903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3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1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8 - 1</v>
      </c>
      <c r="P75" s="32">
        <f>L75*3+M75</f>
        <v>9</v>
      </c>
      <c r="R75" s="123">
        <f>DATE(2026,6,27)+TIME(15,0,0)+gmt_delta</f>
        <v>46201.166666666664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0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0</v>
      </c>
      <c r="AH75" s="123">
        <f>COUNTIF($S$7:$T$78,"=" &amp; AE75 &amp; "_lose")</f>
        <v>1</v>
      </c>
      <c r="AI75" s="123">
        <f>SUMIF($E$7:$E$78,$AE75,$F$7:$F$78) + SUMIF($H$7:$H$78,$AE75,$G$7:$G$78)</f>
        <v>4</v>
      </c>
      <c r="AJ75" s="123">
        <f>SUMIF($E$7:$E$78,$AE75,$G$7:$G$78) + SUMIF($H$7:$H$78,$AE75,$F$7:$F$78)</f>
        <v>3</v>
      </c>
      <c r="AL75" s="123">
        <f>AI75-AJ75</f>
        <v>1</v>
      </c>
      <c r="AM75" s="123">
        <f>AL75-AL78</f>
        <v>6</v>
      </c>
      <c r="AN75" s="123">
        <f>AF75*3+AG75</f>
        <v>6</v>
      </c>
      <c r="AO75" s="123">
        <f>AN75/AN78*10+BA75</f>
        <v>6</v>
      </c>
      <c r="AP75" s="123">
        <f>AO75*10000000+BI75*100+AM75/AM78*10+AI75/AI78*1++IF(AQ75=0,ROW(),AQ75)/2000000</f>
        <v>60000005.060687602</v>
      </c>
      <c r="AQ75" s="126">
        <f>VLOOKUP(AE75,db_fifarank,2,FALSE)</f>
        <v>1717.07</v>
      </c>
      <c r="AR75" s="125">
        <f>AP75/AP78</f>
        <v>0.66666664052193136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3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2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4 - 3</v>
      </c>
      <c r="P76" s="34">
        <f>L76*3+M76</f>
        <v>6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0</v>
      </c>
      <c r="AG76" s="123">
        <f>COUNTIF($S$7:$T$78,"=" &amp; AE76 &amp; "_draw")</f>
        <v>1</v>
      </c>
      <c r="AH76" s="123">
        <f>COUNTIF($S$7:$T$78,"=" &amp; AE76 &amp; "_lose")</f>
        <v>2</v>
      </c>
      <c r="AI76" s="123">
        <f>SUMIF($E$7:$E$78,$AE76,$F$7:$F$78) + SUMIF($H$7:$H$78,$AE76,$G$7:$G$78)</f>
        <v>3</v>
      </c>
      <c r="AJ76" s="123">
        <f>SUMIF($E$7:$E$78,$AE76,$G$7:$G$78) + SUMIF($H$7:$H$78,$AE76,$F$7:$F$78)</f>
        <v>6</v>
      </c>
      <c r="AL76" s="123">
        <f>AI76-AJ76</f>
        <v>-3</v>
      </c>
      <c r="AM76" s="123">
        <f>AL76-AL78</f>
        <v>2</v>
      </c>
      <c r="AN76" s="123">
        <f>AF76*3+AG76</f>
        <v>1</v>
      </c>
      <c r="AO76" s="123">
        <f>AN76/AN78*10+BA76</f>
        <v>1.9805825242718447</v>
      </c>
      <c r="AP76" s="123">
        <f>AO76*10000000+BI76*100+AM76/AM78*10+AI76/AI78*1++IF(AQ76=0,ROW(),AQ76)/2000000</f>
        <v>19805925.173438903</v>
      </c>
      <c r="AQ76" s="126">
        <f>VLOOKUP(AE76,db_fifarank,2,FALSE)</f>
        <v>1346.31</v>
      </c>
      <c r="AR76" s="125">
        <f>AP76/AP78</f>
        <v>0.22006580806868262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1</v>
      </c>
      <c r="AV76" s="126" cm="1">
        <f t="array" ref="AV76">SUMPRODUCT(($E$7:$E$78=AE76)*($U$7:$U$78)*($F$7:$F$78))+SUMPRODUCT(($H$7:$H$78=AE76)*($U$7:$U$78)*($G$7:$G$78))</f>
        <v>1</v>
      </c>
      <c r="AW76" s="126" cm="1">
        <f t="array" ref="AW76">SUMPRODUCT(($E$7:$E$78=AE76)*($U$7:$U$78)*($G$7:$G$78))+SUMPRODUCT(($H$7:$H$78=AE76)*($U$7:$U$78)*($F$7:$F$78))</f>
        <v>1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50.5</v>
      </c>
      <c r="BA76" s="126">
        <f>AZ76/AZ78</f>
        <v>0.98058252427184467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1</v>
      </c>
      <c r="BD76" s="126" cm="1">
        <f t="array" ref="BD76">SUMPRODUCT(($E$7:$E$78=AE76)*($X$7:$X$78)*($F$7:$F$78))+SUMPRODUCT(($H$7:$H$78=AE76)*($X$7:$X$78)*($G$7:$G$78))</f>
        <v>1</v>
      </c>
      <c r="BE76" s="126" cm="1">
        <f t="array" ref="BE76">SUMPRODUCT(($E$7:$E$78=AE76)*($X$7:$X$78)*($G$7:$G$78))+SUMPRODUCT(($H$7:$H$78=AE76)*($X$7:$X$78)*($F$7:$F$78))</f>
        <v>1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50.5</v>
      </c>
      <c r="BI76" s="126">
        <f>BH76/BH78</f>
        <v>0.98058252427184467</v>
      </c>
    </row>
    <row r="77" spans="1:95" x14ac:dyDescent="0.3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1</v>
      </c>
      <c r="G77" s="20">
        <v>2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0</v>
      </c>
      <c r="M77" s="23">
        <f>VLOOKUP(3,AD74:AN77,4,FALSE)</f>
        <v>1</v>
      </c>
      <c r="N77" s="23">
        <f>VLOOKUP(3,AD74:AN77,5,FALSE)</f>
        <v>2</v>
      </c>
      <c r="O77" s="23" t="str">
        <f>VLOOKUP(3,AD74:AN77,6,FALSE) &amp; " - " &amp; VLOOKUP(3,AD74:AN77,7,FALSE)</f>
        <v>3 - 6</v>
      </c>
      <c r="P77" s="34">
        <f>L77*3+M77</f>
        <v>1</v>
      </c>
      <c r="R77" s="123">
        <f>DATE(2026,6,27)+TIME(12,30,0)+gmt_delta</f>
        <v>46201.0625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1</v>
      </c>
      <c r="AH77" s="123">
        <f>COUNTIF($S$7:$T$78,"=" &amp; AE77 &amp; "_lose")</f>
        <v>2</v>
      </c>
      <c r="AI77" s="123">
        <f>SUMIF($E$7:$E$78,$AE77,$F$7:$F$78) + SUMIF($H$7:$H$78,$AE77,$G$7:$G$78)</f>
        <v>1</v>
      </c>
      <c r="AJ77" s="123">
        <f>SUMIF($E$7:$E$78,$AE77,$G$7:$G$78) + SUMIF($H$7:$H$78,$AE77,$F$7:$F$78)</f>
        <v>6</v>
      </c>
      <c r="AL77" s="123">
        <f>AI77-AJ77</f>
        <v>-5</v>
      </c>
      <c r="AM77" s="123">
        <f>AL77-AL78</f>
        <v>0</v>
      </c>
      <c r="AN77" s="123">
        <f>AF77*3+AG77</f>
        <v>1</v>
      </c>
      <c r="AO77" s="123">
        <f>AN77/AN78*10+BA77</f>
        <v>1.9805825242718447</v>
      </c>
      <c r="AP77" s="123">
        <f>AO77*10000000+BI77*100+AM77/AM78*10+AI77/AI78*1++IF(AQ77=0,ROW(),AQ77)/2000000</f>
        <v>19805923.412852306</v>
      </c>
      <c r="AQ77" s="126">
        <f>VLOOKUP(AE77,db_fifarank,2,FALSE)</f>
        <v>1540.64</v>
      </c>
      <c r="AR77" s="125">
        <f>AP77/AP78</f>
        <v>0.22006578850661174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1</v>
      </c>
      <c r="AV77" s="126" cm="1">
        <f t="array" ref="AV77">SUMPRODUCT(($E$7:$E$78=AE77)*($U$7:$U$78)*($F$7:$F$78))+SUMPRODUCT(($H$7:$H$78=AE77)*($U$7:$U$78)*($G$7:$G$78))</f>
        <v>1</v>
      </c>
      <c r="AW77" s="126" cm="1">
        <f t="array" ref="AW77">SUMPRODUCT(($E$7:$E$78=AE77)*($U$7:$U$78)*($G$7:$G$78))+SUMPRODUCT(($H$7:$H$78=AE77)*($U$7:$U$78)*($F$7:$F$78))</f>
        <v>1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50.5</v>
      </c>
      <c r="BA77" s="126">
        <f>AZ77/AZ78</f>
        <v>0.98058252427184467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1</v>
      </c>
      <c r="BD77" s="126" cm="1">
        <f t="array" ref="BD77">SUMPRODUCT(($E$7:$E$78=AE77)*($X$7:$X$78)*($F$7:$F$78))+SUMPRODUCT(($H$7:$H$78=AE77)*($X$7:$X$78)*($G$7:$G$78))</f>
        <v>1</v>
      </c>
      <c r="BE77" s="126" cm="1">
        <f t="array" ref="BE77">SUMPRODUCT(($E$7:$E$78=AE77)*($X$7:$X$78)*($G$7:$G$78))+SUMPRODUCT(($H$7:$H$78=AE77)*($X$7:$X$78)*($F$7:$F$78))</f>
        <v>1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50.5</v>
      </c>
      <c r="BI77" s="126">
        <f>BH77/BH78</f>
        <v>0.98058252427184467</v>
      </c>
    </row>
    <row r="78" spans="1:95" x14ac:dyDescent="0.3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1</v>
      </c>
      <c r="G78" s="20">
        <v>1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1</v>
      </c>
      <c r="N78" s="36">
        <f>VLOOKUP(4,AD74:AN77,5,FALSE)</f>
        <v>2</v>
      </c>
      <c r="O78" s="36" t="str">
        <f>VLOOKUP(4,AD74:AN77,6,FALSE) &amp; " - " &amp; VLOOKUP(4,AD74:AN77,7,FALSE)</f>
        <v>1 - 6</v>
      </c>
      <c r="P78" s="37">
        <f>L78*3+M78</f>
        <v>1</v>
      </c>
      <c r="R78" s="123">
        <f>DATE(2026,6,27)+TIME(12,30,0)+gmt_delta</f>
        <v>46201.0625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1</v>
      </c>
      <c r="W78" s="123">
        <f t="shared" si="22"/>
        <v>1</v>
      </c>
      <c r="X78" s="123">
        <f t="shared" si="32"/>
        <v>1</v>
      </c>
      <c r="Y78" s="123">
        <f t="shared" si="33"/>
        <v>1</v>
      </c>
      <c r="Z78" s="123">
        <f t="shared" si="34"/>
        <v>1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4</v>
      </c>
      <c r="AG78" s="123">
        <f t="shared" si="36"/>
        <v>2</v>
      </c>
      <c r="AH78" s="123">
        <f t="shared" si="36"/>
        <v>3</v>
      </c>
      <c r="AI78" s="123">
        <f>MAX(AI74:AI77)+1</f>
        <v>9</v>
      </c>
      <c r="AL78" s="123">
        <f>MIN(AL74:AL77)</f>
        <v>-5</v>
      </c>
      <c r="AM78" s="123">
        <f>MAX(AM74:AM77)+1</f>
        <v>13</v>
      </c>
      <c r="AN78" s="123">
        <f>MAX(AN74:AN77)+1</f>
        <v>10</v>
      </c>
      <c r="AO78" s="123">
        <f>MAX(AO74:AO77)+1</f>
        <v>10</v>
      </c>
      <c r="AP78" s="123">
        <f>MAX(AP74:AP77)+1</f>
        <v>90000011.120571107</v>
      </c>
      <c r="AT78" s="126">
        <f>MAX(AT74:AT77)-MIN(AT74:AT77)+1</f>
        <v>1</v>
      </c>
      <c r="AU78" s="126">
        <f>MAX(AU74:AU77)-MIN(AU74:AU77)+1</f>
        <v>2</v>
      </c>
      <c r="AV78" s="126">
        <f>MAX(AV74:AV77)-MIN(AV74:AV77)+1</f>
        <v>2</v>
      </c>
      <c r="AW78" s="126">
        <f>MAX(AW74:AW77)-MIN(AW74:AW77)+1</f>
        <v>2</v>
      </c>
      <c r="AY78" s="126">
        <f>MAX(AY74:AY77)-MIN(AY74:AY77)+1</f>
        <v>1</v>
      </c>
      <c r="AZ78" s="126">
        <f>MAX(AZ74:AZ77)+1</f>
        <v>51.5</v>
      </c>
      <c r="BB78" s="126">
        <f>MAX(BB74:BB77)-MIN(BB74:BB77)+1</f>
        <v>1</v>
      </c>
      <c r="BC78" s="126">
        <f>MAX(BC74:BC77)-MIN(BC74:BC77)+1</f>
        <v>2</v>
      </c>
      <c r="BD78" s="126">
        <f>MAX(BD74:BD77)-MIN(BD74:BD77)+1</f>
        <v>2</v>
      </c>
      <c r="BE78" s="126">
        <f>MAX(BE74:BE77)-MIN(BE74:BE77)+1</f>
        <v>2</v>
      </c>
      <c r="BG78" s="126">
        <f>MAX(BG74:BG77)-MIN(BG74:BG77)+1</f>
        <v>1</v>
      </c>
      <c r="BH78" s="126">
        <f>MAX(BH74:BH77)+1</f>
        <v>51.5</v>
      </c>
    </row>
    <row r="79" spans="1:95" x14ac:dyDescent="0.3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3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4</v>
      </c>
      <c r="AE80" s="124" t="str">
        <f>J11</f>
        <v>Czech Republic</v>
      </c>
      <c r="AF80" s="123">
        <f>VLOOKUP($AE80,$AE$8:$AQ$78,2,FALSE)</f>
        <v>1</v>
      </c>
      <c r="AG80" s="123">
        <f>VLOOKUP($AE80,$AE$8:$AQ$78,3,FALSE)</f>
        <v>0</v>
      </c>
      <c r="AH80" s="123">
        <f>VLOOKUP($AE80,$AE$8:$AQ$78,4,FALSE)</f>
        <v>2</v>
      </c>
      <c r="AI80" s="123">
        <f>VLOOKUP($AE80,$AE$8:$AQ$78,5,FALSE)</f>
        <v>3</v>
      </c>
      <c r="AJ80" s="123">
        <f>VLOOKUP($AE80,$AE$8:$AQ$78,6,FALSE)</f>
        <v>3</v>
      </c>
      <c r="AK80" s="123" t="s">
        <v>3180</v>
      </c>
      <c r="AL80" s="123">
        <f>VLOOKUP($AE80,$AE$8:$AQ$78,8,FALSE)</f>
        <v>0</v>
      </c>
      <c r="AM80" s="123">
        <f>AL80-$AL$92</f>
        <v>4</v>
      </c>
      <c r="AN80" s="123">
        <f>VLOOKUP($AE80,$AE$8:$AQ$78,10,FALSE)</f>
        <v>3</v>
      </c>
      <c r="AP80" s="123">
        <f>AN80/AN92*10000+AM80/AM92*1000+AI80/AI92*100+IF(AQ80=0,ROW(),AQ80)/2000000</f>
        <v>6860.0007506900001</v>
      </c>
      <c r="AQ80" s="126">
        <f t="shared" ref="AQ80:AQ91" si="37">VLOOKUP($AE80,$AE$8:$AQ$78,13,FALSE)</f>
        <v>1501.38</v>
      </c>
      <c r="AR80" s="125" t="str">
        <f>IF(AD80&lt;=8,RIGHT(AK80,1),"")</f>
        <v>A</v>
      </c>
      <c r="AS80" s="129" t="str">
        <f>IF(AD80&lt;=8,AE80,"")</f>
        <v>Czech Republic</v>
      </c>
      <c r="AT80" s="130" t="str">
        <f>"Ⓐ "&amp;AE80</f>
        <v>Ⓐ Czech Republic</v>
      </c>
    </row>
    <row r="81" spans="1:46" ht="15" customHeight="1" x14ac:dyDescent="0.3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Ⓔ Ivory Coast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3 - 3</v>
      </c>
      <c r="P81" s="98">
        <f>L81*3+M81</f>
        <v>4</v>
      </c>
      <c r="AD81" s="123">
        <f t="shared" ref="AD81:AD91" si="38">COUNTIF($AP$80:$AP$91,CONCATENATE("&gt;=",AP81))</f>
        <v>7</v>
      </c>
      <c r="AE81" s="124" t="str">
        <f>J17</f>
        <v>Bosnia and Herzegovina</v>
      </c>
      <c r="AF81" s="123">
        <f t="shared" ref="AF81:AF91" si="39">VLOOKUP($AE81,$AE$8:$AQ$78,2,FALSE)</f>
        <v>0</v>
      </c>
      <c r="AG81" s="123">
        <f>VLOOKUP($AE81,$AE$8:$AQ$78,3,FALSE)</f>
        <v>2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2</v>
      </c>
      <c r="AJ81" s="123">
        <f t="shared" ref="AJ81:AJ90" si="42">VLOOKUP($AE81,$AE$8:$AQ$78,6,FALSE)</f>
        <v>4</v>
      </c>
      <c r="AK81" s="123" t="s">
        <v>3181</v>
      </c>
      <c r="AL81" s="123">
        <f t="shared" ref="AL81:AL90" si="43">VLOOKUP($AE81,$AE$8:$AQ$78,8,FALSE)</f>
        <v>-2</v>
      </c>
      <c r="AM81" s="123">
        <f t="shared" ref="AM81:AM91" si="44">AL81-$AL$92</f>
        <v>2</v>
      </c>
      <c r="AN81" s="123">
        <f t="shared" ref="AN81:AN90" si="45">VLOOKUP($AE81,$AE$8:$AQ$78,10,FALSE)</f>
        <v>2</v>
      </c>
      <c r="AP81" s="123">
        <f>AN81/AN92*10000+AM81/AM92*1000+AI81/AI92*100+IF(AQ81=0,ROW(),AQ81)/2000000</f>
        <v>4440.0006929199999</v>
      </c>
      <c r="AQ81" s="126">
        <f t="shared" si="37"/>
        <v>1385.84</v>
      </c>
      <c r="AR81" s="125" t="str">
        <f>AR80&amp;IF(AD81&lt;=8,RIGHT(AK81,1),"")</f>
        <v>AB</v>
      </c>
      <c r="AS81" s="129" t="str">
        <f t="shared" ref="AS81:AS91" si="46">IF(AD81&lt;=8,AE81,"")</f>
        <v>Bosnia and Herzegovina</v>
      </c>
      <c r="AT81" s="130" t="str">
        <f>"Ⓑ "&amp;AE81</f>
        <v>Ⓑ Bosnia and Herzegovina</v>
      </c>
    </row>
    <row r="82" spans="1:46" ht="15" customHeight="1" x14ac:dyDescent="0.3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Ⓘ Senegal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0</v>
      </c>
      <c r="N82" s="100">
        <f>VLOOKUP(2,$AD$80:$AN$91,5,FALSE)</f>
        <v>2</v>
      </c>
      <c r="O82" s="100" t="str">
        <f>VLOOKUP(2,$AD$80:$AN$91,6,FALSE) &amp; " - " &amp; VLOOKUP(2,$AD$80:$AN$91,7,FALSE)</f>
        <v>4 - 4</v>
      </c>
      <c r="P82" s="101">
        <f t="shared" ref="P82:P92" si="48">L82*3+M82</f>
        <v>3</v>
      </c>
      <c r="AD82" s="123">
        <f t="shared" si="38"/>
        <v>5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3</v>
      </c>
      <c r="AJ82" s="123">
        <f t="shared" si="42"/>
        <v>4</v>
      </c>
      <c r="AK82" s="123" t="s">
        <v>3182</v>
      </c>
      <c r="AL82" s="123">
        <f t="shared" si="43"/>
        <v>-1</v>
      </c>
      <c r="AM82" s="123">
        <f t="shared" si="44"/>
        <v>3</v>
      </c>
      <c r="AN82" s="123">
        <f t="shared" si="45"/>
        <v>3</v>
      </c>
      <c r="AP82" s="123">
        <f>AN82/AN92*10000+AM82/AM92*1000+AI82/AI92*100+IF(AQ82=0,ROW(),AQ82)/2000000</f>
        <v>6660.0007491750002</v>
      </c>
      <c r="AQ82" s="126">
        <f t="shared" si="37"/>
        <v>1498.35</v>
      </c>
      <c r="AR82" s="125" t="str">
        <f t="shared" ref="AR82:AR91" si="50">AR81&amp;IF(AD82&lt;=8,RIGHT(AK82,1),"")</f>
        <v>ABC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3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Ⓓ Australia</v>
      </c>
      <c r="K83" s="100">
        <f t="shared" si="47"/>
        <v>3</v>
      </c>
      <c r="L83" s="100">
        <f>VLOOKUP(3,$AD$80:$AN$91,3,FALSE)</f>
        <v>0</v>
      </c>
      <c r="M83" s="100">
        <f>VLOOKUP(3,$AD$80:$AN$91,4,FALSE)</f>
        <v>3</v>
      </c>
      <c r="N83" s="100">
        <f>VLOOKUP(3,$AD$80:$AN$91,5,FALSE)</f>
        <v>0</v>
      </c>
      <c r="O83" s="100" t="str">
        <f>VLOOKUP(3,$AD$80:$AN$91,6,FALSE) &amp; " - " &amp; VLOOKUP(3,$AD$80:$AN$91,7,FALSE)</f>
        <v>3 - 3</v>
      </c>
      <c r="P83" s="101">
        <f t="shared" si="48"/>
        <v>3</v>
      </c>
      <c r="AD83" s="123">
        <f t="shared" si="38"/>
        <v>3</v>
      </c>
      <c r="AE83" s="124" t="str">
        <f>J29</f>
        <v>Australia</v>
      </c>
      <c r="AF83" s="123">
        <f t="shared" si="39"/>
        <v>0</v>
      </c>
      <c r="AG83" s="123">
        <f t="shared" si="49"/>
        <v>3</v>
      </c>
      <c r="AH83" s="123">
        <f t="shared" si="40"/>
        <v>0</v>
      </c>
      <c r="AI83" s="123">
        <f t="shared" si="41"/>
        <v>3</v>
      </c>
      <c r="AJ83" s="123">
        <f t="shared" si="42"/>
        <v>3</v>
      </c>
      <c r="AK83" s="123" t="s">
        <v>3184</v>
      </c>
      <c r="AL83" s="123">
        <f t="shared" si="43"/>
        <v>0</v>
      </c>
      <c r="AM83" s="123">
        <f t="shared" si="44"/>
        <v>4</v>
      </c>
      <c r="AN83" s="123">
        <f t="shared" si="45"/>
        <v>3</v>
      </c>
      <c r="AP83" s="123">
        <f>AN83/AN92*10000+AM83/AM92*1000+AI83/AI92*100+IF(AQ83=0,ROW(),AQ83)/2000000</f>
        <v>6860.0007903349997</v>
      </c>
      <c r="AQ83" s="126">
        <f t="shared" si="37"/>
        <v>1580.67</v>
      </c>
      <c r="AR83" s="125" t="str">
        <f t="shared" si="50"/>
        <v>ABCD</v>
      </c>
      <c r="AS83" s="129" t="str">
        <f t="shared" si="46"/>
        <v>Australia</v>
      </c>
      <c r="AT83" s="130" t="str">
        <f>"Ⓓ "&amp;AE83</f>
        <v>Ⓓ Australia</v>
      </c>
    </row>
    <row r="84" spans="1:46" ht="15" customHeight="1" x14ac:dyDescent="0.3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Ⓐ Czech Republic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3 - 3</v>
      </c>
      <c r="P84" s="101">
        <f t="shared" si="48"/>
        <v>3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1</v>
      </c>
      <c r="AE84" s="124" t="str">
        <f>J35</f>
        <v>Ivory Coast</v>
      </c>
      <c r="AF84" s="123">
        <f t="shared" si="39"/>
        <v>1</v>
      </c>
      <c r="AG84" s="123">
        <f t="shared" si="49"/>
        <v>1</v>
      </c>
      <c r="AH84" s="123">
        <f t="shared" si="40"/>
        <v>1</v>
      </c>
      <c r="AI84" s="123">
        <f t="shared" si="41"/>
        <v>3</v>
      </c>
      <c r="AJ84" s="123">
        <f t="shared" si="42"/>
        <v>3</v>
      </c>
      <c r="AK84" s="123" t="s">
        <v>3185</v>
      </c>
      <c r="AL84" s="123">
        <f t="shared" si="43"/>
        <v>0</v>
      </c>
      <c r="AM84" s="123">
        <f t="shared" si="44"/>
        <v>4</v>
      </c>
      <c r="AN84" s="123">
        <f t="shared" si="45"/>
        <v>4</v>
      </c>
      <c r="AP84" s="123">
        <f>AN84/AN92*10000+AM84/AM92*1000+AI84/AI92*100+IF(AQ84=0,ROW(),AQ84)/2000000</f>
        <v>8860.0007664900004</v>
      </c>
      <c r="AQ84" s="126">
        <f t="shared" si="37"/>
        <v>1532.98</v>
      </c>
      <c r="AR84" s="125" t="str">
        <f t="shared" si="50"/>
        <v>ABCDE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 x14ac:dyDescent="0.3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Ⓒ Scotland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3 - 4</v>
      </c>
      <c r="P85" s="101">
        <f t="shared" si="48"/>
        <v>3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9</v>
      </c>
      <c r="AE85" s="124" t="str">
        <f>J41</f>
        <v>Sweden</v>
      </c>
      <c r="AF85" s="123">
        <f t="shared" si="39"/>
        <v>0</v>
      </c>
      <c r="AG85" s="123">
        <f t="shared" si="49"/>
        <v>1</v>
      </c>
      <c r="AH85" s="123">
        <f t="shared" si="40"/>
        <v>2</v>
      </c>
      <c r="AI85" s="123">
        <f t="shared" si="41"/>
        <v>3</v>
      </c>
      <c r="AJ85" s="123">
        <f t="shared" si="42"/>
        <v>5</v>
      </c>
      <c r="AK85" s="123" t="s">
        <v>3186</v>
      </c>
      <c r="AL85" s="123">
        <f t="shared" si="43"/>
        <v>-2</v>
      </c>
      <c r="AM85" s="123">
        <f t="shared" si="44"/>
        <v>2</v>
      </c>
      <c r="AN85" s="123">
        <f t="shared" si="45"/>
        <v>1</v>
      </c>
      <c r="AP85" s="123">
        <f>AN85/AN92*10000+AM85/AM92*1000+AI85/AI92*100+IF(AQ85=0,ROW(),AQ85)/2000000</f>
        <v>2460.0007573849998</v>
      </c>
      <c r="AQ85" s="126">
        <f t="shared" si="37"/>
        <v>1514.77</v>
      </c>
      <c r="AR85" s="125" t="str">
        <f t="shared" si="50"/>
        <v>ABCDE</v>
      </c>
      <c r="AS85" s="129" t="str">
        <f t="shared" si="46"/>
        <v/>
      </c>
      <c r="AT85" s="130" t="str">
        <f>"Ⓕ "&amp;AE85</f>
        <v>Ⓕ Sweden</v>
      </c>
    </row>
    <row r="86" spans="1:46" ht="15" customHeight="1" x14ac:dyDescent="0.3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Ⓖ Iran</v>
      </c>
      <c r="K86" s="100">
        <f t="shared" si="47"/>
        <v>3</v>
      </c>
      <c r="L86" s="100">
        <f>VLOOKUP(6,$AD$80:$AN$91,3,FALSE)</f>
        <v>0</v>
      </c>
      <c r="M86" s="100">
        <f>VLOOKUP(6,$AD$80:$AN$91,4,FALSE)</f>
        <v>2</v>
      </c>
      <c r="N86" s="100">
        <f>VLOOKUP(6,$AD$80:$AN$91,5,FALSE)</f>
        <v>1</v>
      </c>
      <c r="O86" s="100" t="str">
        <f>VLOOKUP(6,$AD$80:$AN$91,6,FALSE) &amp; " - " &amp; VLOOKUP(6,$AD$80:$AN$91,7,FALSE)</f>
        <v>3 - 4</v>
      </c>
      <c r="P86" s="101">
        <f t="shared" si="48"/>
        <v>2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Croatia</v>
      </c>
      <c r="T86" s="127" t="str" cm="1">
        <f t="array" ref="T86">IF(OR(S86="",S86="draw"),INDEX(T,88,lang),S86)</f>
        <v>Croatia</v>
      </c>
      <c r="AD86" s="123">
        <f t="shared" si="38"/>
        <v>6</v>
      </c>
      <c r="AE86" s="124" t="str">
        <f>J47</f>
        <v>Iran</v>
      </c>
      <c r="AF86" s="123">
        <f t="shared" si="39"/>
        <v>0</v>
      </c>
      <c r="AG86" s="123">
        <f t="shared" si="49"/>
        <v>2</v>
      </c>
      <c r="AH86" s="123">
        <f t="shared" si="40"/>
        <v>1</v>
      </c>
      <c r="AI86" s="123">
        <f t="shared" si="41"/>
        <v>3</v>
      </c>
      <c r="AJ86" s="123">
        <f t="shared" si="42"/>
        <v>4</v>
      </c>
      <c r="AK86" s="123" t="s">
        <v>3187</v>
      </c>
      <c r="AL86" s="123">
        <f t="shared" si="43"/>
        <v>-1</v>
      </c>
      <c r="AM86" s="123">
        <f t="shared" si="44"/>
        <v>3</v>
      </c>
      <c r="AN86" s="123">
        <f t="shared" si="45"/>
        <v>2</v>
      </c>
      <c r="AP86" s="123">
        <f>AN86/AN92*10000+AM86/AM92*1000+AI86/AI92*100+IF(AQ86=0,ROW(),AQ86)/2000000</f>
        <v>4660.0008076499998</v>
      </c>
      <c r="AQ86" s="126">
        <f t="shared" si="37"/>
        <v>1615.3</v>
      </c>
      <c r="AR86" s="125" t="str">
        <f t="shared" si="50"/>
        <v>ABCDEG</v>
      </c>
      <c r="AS86" s="129" t="str">
        <f t="shared" si="46"/>
        <v>Iran</v>
      </c>
      <c r="AT86" s="130" t="str">
        <f>"Ⓖ "&amp;AE86</f>
        <v>Ⓖ Iran</v>
      </c>
    </row>
    <row r="87" spans="1:46" ht="15" customHeight="1" x14ac:dyDescent="0.3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Ⓑ Bosnia and Herzegovina</v>
      </c>
      <c r="K87" s="100">
        <f t="shared" si="47"/>
        <v>3</v>
      </c>
      <c r="L87" s="100">
        <f>VLOOKUP(7,$AD$80:$AN$91,3,FALSE)</f>
        <v>0</v>
      </c>
      <c r="M87" s="100">
        <f>VLOOKUP(7,$AD$80:$AN$91,4,FALSE)</f>
        <v>2</v>
      </c>
      <c r="N87" s="100">
        <f>VLOOKUP(7,$AD$80:$AN$91,5,FALSE)</f>
        <v>1</v>
      </c>
      <c r="O87" s="100" t="str">
        <f>VLOOKUP(7,$AD$80:$AN$91,6,FALSE) &amp; " - " &amp; VLOOKUP(7,$AD$80:$AN$91,7,FALSE)</f>
        <v>2 - 4</v>
      </c>
      <c r="P87" s="101">
        <f t="shared" si="48"/>
        <v>2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12</v>
      </c>
      <c r="AE87" s="124" t="str">
        <f>J53</f>
        <v>Saudi Arabia</v>
      </c>
      <c r="AF87" s="123">
        <f t="shared" si="39"/>
        <v>0</v>
      </c>
      <c r="AG87" s="123">
        <f t="shared" si="49"/>
        <v>1</v>
      </c>
      <c r="AH87" s="123">
        <f t="shared" si="40"/>
        <v>2</v>
      </c>
      <c r="AI87" s="123">
        <f t="shared" si="41"/>
        <v>1</v>
      </c>
      <c r="AJ87" s="123">
        <f t="shared" si="42"/>
        <v>5</v>
      </c>
      <c r="AK87" s="123" t="s">
        <v>3188</v>
      </c>
      <c r="AL87" s="123">
        <f t="shared" si="43"/>
        <v>-4</v>
      </c>
      <c r="AM87" s="123">
        <f t="shared" si="44"/>
        <v>0</v>
      </c>
      <c r="AN87" s="123">
        <f t="shared" si="45"/>
        <v>1</v>
      </c>
      <c r="AP87" s="123">
        <f>AN87/AN92*10000+AM87/AM92*1000+AI87/AI92*100+IF(AQ87=0,ROW(),AQ87)/2000000</f>
        <v>2020.000710715</v>
      </c>
      <c r="AQ87" s="126">
        <f t="shared" si="37"/>
        <v>1421.43</v>
      </c>
      <c r="AR87" s="125" t="str">
        <f t="shared" si="50"/>
        <v>ABCDEG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3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Ⓙ Algeria</v>
      </c>
      <c r="K88" s="100">
        <f t="shared" si="47"/>
        <v>3</v>
      </c>
      <c r="L88" s="100">
        <f>VLOOKUP(8,$AD$80:$AN$91,3,FALSE)</f>
        <v>0</v>
      </c>
      <c r="M88" s="100">
        <f>VLOOKUP(8,$AD$80:$AN$91,4,FALSE)</f>
        <v>2</v>
      </c>
      <c r="N88" s="100">
        <f>VLOOKUP(8,$AD$80:$AN$91,5,FALSE)</f>
        <v>1</v>
      </c>
      <c r="O88" s="100" t="str">
        <f>VLOOKUP(8,$AD$80:$AN$91,6,FALSE) &amp; " - " &amp; VLOOKUP(8,$AD$80:$AN$91,7,FALSE)</f>
        <v>2 - 5</v>
      </c>
      <c r="P88" s="101">
        <f t="shared" si="48"/>
        <v>2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Mexico</v>
      </c>
      <c r="T88" s="127" t="str" cm="1">
        <f t="array" ref="T88">IF(OR(S88="",S88="draw"),INDEX(T,90,lang),S88)</f>
        <v>Mexico</v>
      </c>
      <c r="AD88" s="123">
        <f t="shared" si="38"/>
        <v>2</v>
      </c>
      <c r="AE88" s="124" t="str">
        <f>J59</f>
        <v>Senegal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4</v>
      </c>
      <c r="AJ88" s="123">
        <f t="shared" si="42"/>
        <v>4</v>
      </c>
      <c r="AK88" s="123" t="s">
        <v>3189</v>
      </c>
      <c r="AL88" s="123">
        <f t="shared" si="43"/>
        <v>0</v>
      </c>
      <c r="AM88" s="123">
        <f t="shared" si="44"/>
        <v>4</v>
      </c>
      <c r="AN88" s="123">
        <f t="shared" si="45"/>
        <v>3</v>
      </c>
      <c r="AP88" s="123">
        <f>AN88/AN92*10000+AM88/AM92*1000+AI88/AI92*100+IF(AQ88=0,ROW(),AQ88)/2000000</f>
        <v>6880.0008444949999</v>
      </c>
      <c r="AQ88" s="126">
        <f t="shared" si="37"/>
        <v>1688.99</v>
      </c>
      <c r="AR88" s="125" t="str">
        <f t="shared" si="50"/>
        <v>ABCDEGI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3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Ⓕ Sweden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1</v>
      </c>
      <c r="N89" s="103">
        <f>VLOOKUP(9,$AD$80:$AN$91,5,FALSE)</f>
        <v>2</v>
      </c>
      <c r="O89" s="103" t="str">
        <f>VLOOKUP(9,$AD$80:$AN$91,6,FALSE) &amp; " - " &amp; VLOOKUP(9,$AD$80:$AN$91,7,FALSE)</f>
        <v>3 - 5</v>
      </c>
      <c r="P89" s="104">
        <f t="shared" si="48"/>
        <v>1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8</v>
      </c>
      <c r="AE89" s="124" t="str">
        <f>J65</f>
        <v>Algeria</v>
      </c>
      <c r="AF89" s="123">
        <f t="shared" si="39"/>
        <v>0</v>
      </c>
      <c r="AG89" s="123">
        <f t="shared" si="49"/>
        <v>2</v>
      </c>
      <c r="AH89" s="123">
        <f t="shared" si="40"/>
        <v>1</v>
      </c>
      <c r="AI89" s="123">
        <f t="shared" si="41"/>
        <v>2</v>
      </c>
      <c r="AJ89" s="123">
        <f t="shared" si="42"/>
        <v>5</v>
      </c>
      <c r="AK89" s="123" t="s">
        <v>3190</v>
      </c>
      <c r="AL89" s="123">
        <f t="shared" si="43"/>
        <v>-3</v>
      </c>
      <c r="AM89" s="123">
        <f t="shared" si="44"/>
        <v>1</v>
      </c>
      <c r="AN89" s="123">
        <f t="shared" si="45"/>
        <v>2</v>
      </c>
      <c r="AP89" s="123">
        <f>AN89/AN92*10000+AM89/AM92*1000+AI89/AI92*100+IF(AQ89=0,ROW(),AQ89)/2000000</f>
        <v>4240.0007821299996</v>
      </c>
      <c r="AQ89" s="126">
        <f t="shared" si="37"/>
        <v>1564.26</v>
      </c>
      <c r="AR89" s="125" t="str">
        <f t="shared" si="50"/>
        <v>ABCDEGIJ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 x14ac:dyDescent="0.3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Ⓛ Ghana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1</v>
      </c>
      <c r="N90" s="103">
        <f>VLOOKUP(10,$AD$80:$AN$91,5,FALSE)</f>
        <v>2</v>
      </c>
      <c r="O90" s="103" t="str">
        <f>VLOOKUP(10,$AD$80:$AN$91,6,FALSE) &amp; " - " &amp; VLOOKUP(10,$AD$80:$AN$91,7,FALSE)</f>
        <v>3 - 6</v>
      </c>
      <c r="P90" s="104">
        <f t="shared" si="48"/>
        <v>1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United States</v>
      </c>
      <c r="T90" s="127" t="str" cm="1">
        <f t="array" ref="T90">IF(OR(S90="",S90="draw"),INDEX(T,92,lang),S90)</f>
        <v>United States</v>
      </c>
      <c r="AD90" s="123">
        <f t="shared" si="38"/>
        <v>11</v>
      </c>
      <c r="AE90" s="124" t="str">
        <f>J71</f>
        <v>DR Congo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2</v>
      </c>
      <c r="AJ90" s="123">
        <f t="shared" si="42"/>
        <v>5</v>
      </c>
      <c r="AK90" s="123" t="s">
        <v>3191</v>
      </c>
      <c r="AL90" s="123">
        <f t="shared" si="43"/>
        <v>-3</v>
      </c>
      <c r="AM90" s="123">
        <f t="shared" si="44"/>
        <v>1</v>
      </c>
      <c r="AN90" s="123">
        <f t="shared" si="45"/>
        <v>1</v>
      </c>
      <c r="AP90" s="123">
        <f>AN90/AN92*10000+AM90/AM92*1000+AI90/AI92*100+IF(AQ90=0,ROW(),AQ90)/2000000</f>
        <v>2240.000739175</v>
      </c>
      <c r="AQ90" s="126">
        <f t="shared" si="37"/>
        <v>1478.35</v>
      </c>
      <c r="AR90" s="125" t="str">
        <f t="shared" si="50"/>
        <v>ABCDEGIJ</v>
      </c>
      <c r="AS90" s="129" t="str">
        <f t="shared" si="46"/>
        <v/>
      </c>
      <c r="AT90" s="130" t="str">
        <f>"Ⓚ "&amp;AE90</f>
        <v>Ⓚ DR Congo</v>
      </c>
    </row>
    <row r="91" spans="1:46" ht="15" customHeight="1" x14ac:dyDescent="0.3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Ⓚ DR Congo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2 - 5</v>
      </c>
      <c r="P91" s="104">
        <f t="shared" si="48"/>
        <v>1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10</v>
      </c>
      <c r="AE91" s="124" t="str">
        <f>J77</f>
        <v>Ghana</v>
      </c>
      <c r="AF91" s="123">
        <f t="shared" si="39"/>
        <v>0</v>
      </c>
      <c r="AG91" s="123">
        <f t="shared" si="49"/>
        <v>1</v>
      </c>
      <c r="AH91" s="123">
        <f>VLOOKUP($AE91,$AE$8:$AQ$78,4,FALSE)</f>
        <v>2</v>
      </c>
      <c r="AI91" s="123">
        <f>VLOOKUP($AE91,$AE$8:$AQ$78,5,FALSE)</f>
        <v>3</v>
      </c>
      <c r="AJ91" s="123">
        <f>VLOOKUP($AE91,$AE$8:$AQ$78,6,FALSE)</f>
        <v>6</v>
      </c>
      <c r="AK91" s="123" t="s">
        <v>3192</v>
      </c>
      <c r="AL91" s="123">
        <f>VLOOKUP($AE91,$AE$8:$AQ$78,8,FALSE)</f>
        <v>-3</v>
      </c>
      <c r="AM91" s="123">
        <f t="shared" si="44"/>
        <v>1</v>
      </c>
      <c r="AN91" s="123">
        <f>VLOOKUP($AE91,$AE$8:$AQ$78,10,FALSE)</f>
        <v>1</v>
      </c>
      <c r="AP91" s="123">
        <f>AN91/AN92*10000+AM91/AM92*1000+AI91/AI92*100+IF(AQ91=0,ROW(),AQ91)/2000000</f>
        <v>2260.0006731550002</v>
      </c>
      <c r="AQ91" s="126">
        <f t="shared" si="37"/>
        <v>1346.31</v>
      </c>
      <c r="AR91" s="125" t="str">
        <f t="shared" si="50"/>
        <v>ABCDEGIJ</v>
      </c>
      <c r="AS91" s="129" t="str">
        <f t="shared" si="46"/>
        <v/>
      </c>
      <c r="AT91" s="130" t="str">
        <f>"Ⓛ "&amp;AE91</f>
        <v>Ⓛ Ghana</v>
      </c>
    </row>
    <row r="92" spans="1:46" ht="15" customHeight="1" x14ac:dyDescent="0.3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Ⓗ Saudi Arabia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1 - 5</v>
      </c>
      <c r="P92" s="107">
        <f t="shared" si="48"/>
        <v>1</v>
      </c>
      <c r="AF92" s="123">
        <f>MAX(AF80:AF91)+1</f>
        <v>2</v>
      </c>
      <c r="AG92" s="123">
        <f>MAX(AG80:AG91)+1</f>
        <v>4</v>
      </c>
      <c r="AH92" s="123">
        <f>MAX(AH80:AH91)+1</f>
        <v>3</v>
      </c>
      <c r="AI92" s="123">
        <f>MAX(AI80:AI91)+1</f>
        <v>5</v>
      </c>
      <c r="AJ92" s="123">
        <f>MAX(AJ80:AJ91)+1</f>
        <v>7</v>
      </c>
      <c r="AL92" s="123">
        <f>MIN(AL80:AL91)</f>
        <v>-4</v>
      </c>
      <c r="AM92" s="123">
        <f>MAX(AM80:AM91)+1</f>
        <v>5</v>
      </c>
      <c r="AN92" s="123">
        <f>MAX(AN80:AN91)+1</f>
        <v>5</v>
      </c>
      <c r="AS92" s="126" t="b">
        <f>SUM(K9:K78)=144</f>
        <v>1</v>
      </c>
    </row>
    <row r="93" spans="1:46" x14ac:dyDescent="0.3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3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3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 x14ac:dyDescent="0.3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3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 x14ac:dyDescent="0.3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Netherlands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Netherlands</v>
      </c>
    </row>
    <row r="103" spans="18:29" x14ac:dyDescent="0.3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Belgium</v>
      </c>
    </row>
    <row r="107" spans="18:29" x14ac:dyDescent="0.3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109375" defaultRowHeight="14.4" x14ac:dyDescent="0.3"/>
  <cols>
    <col min="1" max="1" width="2.44140625" style="82" customWidth="1"/>
    <col min="2" max="2" width="9.109375" style="81"/>
    <col min="3" max="3" width="13.6640625" style="81" customWidth="1"/>
    <col min="4" max="11" width="9.44140625" style="81" customWidth="1"/>
    <col min="12" max="16384" width="9.109375" style="82"/>
  </cols>
  <sheetData>
    <row r="1" spans="2:11" ht="8.25" customHeight="1" x14ac:dyDescent="0.3"/>
    <row r="2" spans="2:11" ht="21" x14ac:dyDescent="0.3">
      <c r="B2" s="108" t="s">
        <v>3193</v>
      </c>
    </row>
    <row r="3" spans="2:11" x14ac:dyDescent="0.3">
      <c r="B3" s="109">
        <f>MATCH(C3,C6:C500,0)</f>
        <v>476</v>
      </c>
      <c r="C3" s="121" t="str">
        <f>'2026 World Cup'!AR91</f>
        <v>ABCDEGIJ</v>
      </c>
      <c r="D3" s="121" t="str">
        <f>VLOOKUP($C3,$C$6:$K$500,2,FALSE)</f>
        <v>3E</v>
      </c>
      <c r="E3" s="121" t="str">
        <f>VLOOKUP($C3,$C$6:$K$500,3,FALSE)</f>
        <v>3G</v>
      </c>
      <c r="F3" s="121" t="str">
        <f>VLOOKUP($C3,$C$6:$K$500,4,FALSE)</f>
        <v>3B</v>
      </c>
      <c r="G3" s="121" t="str">
        <f>VLOOKUP($C3,$C$6:$K$500,5,FALSE)</f>
        <v>3C</v>
      </c>
      <c r="H3" s="121" t="str">
        <f>VLOOKUP($C3,$C$6:$K$500,6,FALSE)</f>
        <v>3A</v>
      </c>
      <c r="I3" s="121" t="str">
        <f>VLOOKUP($C3,$C$6:$K$500,7,FALSE)</f>
        <v>3D</v>
      </c>
      <c r="J3" s="121" t="str">
        <f>VLOOKUP($C3,$C$6:$K$500,8,FALSE)</f>
        <v>3I</v>
      </c>
      <c r="K3" s="122" t="str">
        <f>VLOOKUP($C3,$C$6:$K$500,9,FALSE)</f>
        <v>3J</v>
      </c>
    </row>
    <row r="5" spans="2:11" ht="19.5" customHeight="1" x14ac:dyDescent="0.3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3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3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3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3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3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3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3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3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3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3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3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3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3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3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3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3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3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3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3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3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3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3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3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3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3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3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3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3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3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3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3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3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3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3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3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3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3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3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3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3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3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3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3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3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3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3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3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3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3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3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3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3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3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3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3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3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3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3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3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3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3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3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3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3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3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3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3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3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3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3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3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3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3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3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3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3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3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3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3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3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3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3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3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3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3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3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3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3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3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3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3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3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3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3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3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3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3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3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3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3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3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3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3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3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3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3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3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3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3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3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3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3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3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3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3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3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3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3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3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3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3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3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3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3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3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3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3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3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3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3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3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3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3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3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3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3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3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3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3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3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3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3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3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3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3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3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3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3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3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3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3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3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3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3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3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3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3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3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3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3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3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3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3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3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3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3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3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3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3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3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3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3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3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3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3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3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3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3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3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3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3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3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3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3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3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3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3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3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3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3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3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3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3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3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3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3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3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3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3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3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3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3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3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3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3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3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3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3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3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3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3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3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3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3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3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3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3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3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3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3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3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3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3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3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3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3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3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3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3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3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3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3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3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3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3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3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3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3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3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3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3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3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3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3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3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3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3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3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3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3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3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3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3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3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3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3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3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3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3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3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3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3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3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3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3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3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3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3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3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3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3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3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3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3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3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3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3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3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3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3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3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3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3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3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3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3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3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3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3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3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3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3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3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3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3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3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3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3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3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3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3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3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3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3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3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3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3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3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3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3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3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3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3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3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3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3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3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3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3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3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3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3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3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3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3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3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3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3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3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3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3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3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3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3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3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3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3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3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3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3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3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3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3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3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3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3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3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3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3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3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3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3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3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3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3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3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3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3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3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3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3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3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3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3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3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3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3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3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3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3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3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3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3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3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3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3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3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3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3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3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3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3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3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3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3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3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3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3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3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3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3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3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3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3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3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3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3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3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3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3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3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3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3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3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3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3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3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3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3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3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3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3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3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3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3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3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3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3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3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3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3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3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3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3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3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3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3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3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3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3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3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3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3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3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3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3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3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3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3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3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3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3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3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3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3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3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3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3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3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3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3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3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3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3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3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3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3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3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3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3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3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3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3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3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3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3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3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3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3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3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3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3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3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3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3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3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3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3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3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3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3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3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3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3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3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3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3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3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3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3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3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3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3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3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3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Alvaro Burgos Garcia (TES)</cp:lastModifiedBy>
  <cp:revision/>
  <dcterms:created xsi:type="dcterms:W3CDTF">2017-12-27T19:32:51Z</dcterms:created>
  <dcterms:modified xsi:type="dcterms:W3CDTF">2026-06-12T07:45:56Z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