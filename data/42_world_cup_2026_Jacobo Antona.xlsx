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tti-my.sharepoint.com/personal/jamakoshi_vtti_vt_edu/Documents/Desktop/"/>
    </mc:Choice>
  </mc:AlternateContent>
  <xr:revisionPtr revIDLastSave="79" documentId="13_ncr:1_{CCBD5EBC-EC5B-46E6-9A3F-587F77142D33}" xr6:coauthVersionLast="47" xr6:coauthVersionMax="47" xr10:uidLastSave="{83AFF556-BC13-4C13-806F-C33C537FEFEA}"/>
  <bookViews>
    <workbookView xWindow="45" yWindow="-163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BP11" i="3" l="1"/>
  <c r="CR38" i="3"/>
  <c r="O3" i="3"/>
  <c r="G65" i="2"/>
  <c r="G16" i="2"/>
  <c r="CD31" i="3" s="1"/>
  <c r="G15" i="2"/>
  <c r="CE68" i="3" s="1"/>
  <c r="BW19" i="3" l="1"/>
  <c r="BW59" i="3"/>
  <c r="BR59" i="3" s="1" a="1"/>
  <c r="BP53" i="3"/>
  <c r="BK53" i="3" s="1" a="1"/>
  <c r="BP29" i="3"/>
  <c r="BK29" i="3" s="1" a="1"/>
  <c r="BP17" i="3"/>
  <c r="BK17" i="3" s="1" a="1"/>
  <c r="BP45" i="3"/>
  <c r="BK45" i="3" s="1" a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Y6" i="3" a="1"/>
  <c r="CF6" i="3" a="1"/>
  <c r="CM33" i="3" a="1"/>
  <c r="X103" i="3" s="1"/>
  <c r="CM44" i="3" a="1"/>
  <c r="P8" i="3" a="1"/>
  <c r="O8" i="3" a="1"/>
  <c r="N8" i="3" a="1"/>
  <c r="M8" i="3" a="1"/>
  <c r="L8" i="3" a="1"/>
  <c r="K8" i="3" a="1"/>
  <c r="P14" i="3" a="1"/>
  <c r="O14" i="3" a="1"/>
  <c r="N14" i="3" a="1"/>
  <c r="M14" i="3" a="1"/>
  <c r="L14" i="3" a="1"/>
  <c r="K14" i="3" a="1"/>
  <c r="P20" i="3" a="1"/>
  <c r="O20" i="3" a="1"/>
  <c r="N20" i="3" a="1"/>
  <c r="M20" i="3" a="1"/>
  <c r="L20" i="3" a="1"/>
  <c r="K20" i="3" a="1"/>
  <c r="P26" i="3" a="1"/>
  <c r="O26" i="3" a="1"/>
  <c r="N26" i="3" a="1"/>
  <c r="M26" i="3" a="1"/>
  <c r="L26" i="3" a="1"/>
  <c r="K26" i="3" a="1"/>
  <c r="P32" i="3" a="1"/>
  <c r="O32" i="3" a="1"/>
  <c r="N32" i="3" a="1"/>
  <c r="M32" i="3" a="1"/>
  <c r="L32" i="3" a="1"/>
  <c r="K32" i="3" a="1"/>
  <c r="P38" i="3" a="1"/>
  <c r="O38" i="3" a="1"/>
  <c r="N38" i="3" a="1"/>
  <c r="M38" i="3" a="1"/>
  <c r="L38" i="3" a="1"/>
  <c r="K38" i="3" a="1"/>
  <c r="P44" i="3" a="1"/>
  <c r="O44" i="3" a="1"/>
  <c r="N44" i="3" a="1"/>
  <c r="M44" i="3" a="1"/>
  <c r="L44" i="3" a="1"/>
  <c r="K44" i="3" a="1"/>
  <c r="P50" i="3" a="1"/>
  <c r="O50" i="3" a="1"/>
  <c r="N50" i="3" a="1"/>
  <c r="M50" i="3" a="1"/>
  <c r="L50" i="3" a="1"/>
  <c r="K50" i="3" a="1"/>
  <c r="P56" i="3" a="1"/>
  <c r="O56" i="3" a="1"/>
  <c r="N56" i="3" a="1"/>
  <c r="M56" i="3" a="1"/>
  <c r="L56" i="3" a="1"/>
  <c r="K56" i="3" a="1"/>
  <c r="P62" i="3" a="1"/>
  <c r="O62" i="3" a="1"/>
  <c r="N62" i="3" a="1"/>
  <c r="M62" i="3" a="1"/>
  <c r="L62" i="3" a="1"/>
  <c r="K62" i="3" a="1"/>
  <c r="P68" i="3" a="1"/>
  <c r="O68" i="3" a="1"/>
  <c r="N68" i="3" a="1"/>
  <c r="M68" i="3" a="1"/>
  <c r="L68" i="3" a="1"/>
  <c r="K68" i="3" a="1"/>
  <c r="P74" i="3" a="1"/>
  <c r="O74" i="3" a="1"/>
  <c r="N74" i="3" a="1"/>
  <c r="M74" i="3" a="1"/>
  <c r="L74" i="3" a="1"/>
  <c r="K74" i="3" a="1"/>
  <c r="P80" i="3" a="1"/>
  <c r="O80" i="3" a="1"/>
  <c r="N80" i="3" a="1"/>
  <c r="M80" i="3" a="1"/>
  <c r="L80" i="3" a="1"/>
  <c r="K80" i="3" a="1"/>
  <c r="J74" i="3" a="1"/>
  <c r="J68" i="3" a="1"/>
  <c r="J62" i="3" a="1"/>
  <c r="J56" i="3" a="1"/>
  <c r="J50" i="3" a="1"/>
  <c r="J44" i="3" a="1"/>
  <c r="J38" i="3" a="1"/>
  <c r="J32" i="3" a="1"/>
  <c r="J26" i="3" a="1"/>
  <c r="J20" i="3" a="1"/>
  <c r="J14" i="3" a="1"/>
  <c r="J8" i="3" a="1"/>
  <c r="A5" i="3" a="1"/>
  <c r="A1" i="3" a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R47" i="3"/>
  <c r="CM47" i="3" s="1" a="1"/>
  <c r="CK54" i="3"/>
  <c r="CF54" i="3" s="1" a="1"/>
  <c r="CD47" i="3"/>
  <c r="BY47" i="3" s="1" a="1"/>
  <c r="CK22" i="3"/>
  <c r="CF22" i="3" s="1" a="1"/>
  <c r="CD63" i="3"/>
  <c r="BY63" i="3" s="1" a="1"/>
  <c r="BY31" i="3" a="1"/>
  <c r="BW67" i="3"/>
  <c r="BR67" i="3" s="1" a="1"/>
  <c r="CD15" i="3"/>
  <c r="BY15" i="3" s="1" a="1"/>
  <c r="BW51" i="3"/>
  <c r="BR51" i="3" s="1" a="1"/>
  <c r="BW35" i="3"/>
  <c r="BR35" i="3" s="1" a="1"/>
  <c r="BW43" i="3"/>
  <c r="BR43" i="3" s="1" a="1"/>
  <c r="BW27" i="3"/>
  <c r="BR27" i="3" s="1" a="1"/>
  <c r="BP69" i="3"/>
  <c r="BK69" i="3" s="1" a="1"/>
  <c r="BW11" i="3"/>
  <c r="BR11" i="3" s="1" a="1"/>
  <c r="BP61" i="3"/>
  <c r="BK61" i="3" s="1" a="1"/>
  <c r="BP65" i="3"/>
  <c r="BK65" i="3" s="1" a="1"/>
  <c r="BP57" i="3"/>
  <c r="BK57" i="3" s="1" a="1"/>
  <c r="BP49" i="3"/>
  <c r="BK49" i="3" s="1" a="1"/>
  <c r="BP37" i="3"/>
  <c r="BK37" i="3" s="1" a="1"/>
  <c r="BP33" i="3"/>
  <c r="BK33" i="3" s="1" a="1"/>
  <c r="BP25" i="3"/>
  <c r="BK25" i="3" s="1" a="1"/>
  <c r="BP21" i="3"/>
  <c r="BK21" i="3" s="1" a="1"/>
  <c r="BP13" i="3"/>
  <c r="BK13" i="3" s="1" a="1"/>
  <c r="BP9" i="3"/>
  <c r="BK9" i="3" s="1" a="1"/>
  <c r="I15" i="2"/>
  <c r="BK41" i="3" l="1" a="1"/>
  <c r="BR19" i="3" a="1"/>
  <c r="AA14" i="3"/>
  <c r="AA7" i="2" a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B7" i="3" a="1"/>
  <c r="D8" i="3"/>
  <c r="C8" i="3" a="1"/>
  <c r="B8" i="3" a="1"/>
  <c r="D10" i="3"/>
  <c r="C10" i="3" a="1"/>
  <c r="B10" i="3" a="1"/>
  <c r="D18" i="3"/>
  <c r="C18" i="3" a="1"/>
  <c r="B18" i="3" a="1"/>
  <c r="D30" i="3"/>
  <c r="C30" i="3" a="1"/>
  <c r="B30" i="3" a="1"/>
  <c r="D54" i="3"/>
  <c r="C54" i="3" a="1"/>
  <c r="B54" i="3" a="1"/>
  <c r="D65" i="3"/>
  <c r="C65" i="3" a="1"/>
  <c r="B65" i="3" a="1"/>
  <c r="D66" i="3"/>
  <c r="C66" i="3" a="1"/>
  <c r="B66" i="3" a="1"/>
  <c r="D75" i="3"/>
  <c r="C75" i="3" a="1"/>
  <c r="B75" i="3" a="1"/>
  <c r="D76" i="3"/>
  <c r="C76" i="3" a="1"/>
  <c r="B76" i="3" a="1"/>
  <c r="D34" i="3"/>
  <c r="C34" i="3" a="1"/>
  <c r="B34" i="3" a="1"/>
  <c r="D59" i="3"/>
  <c r="C59" i="3" a="1"/>
  <c r="B59" i="3" a="1"/>
  <c r="D60" i="3"/>
  <c r="C60" i="3" a="1"/>
  <c r="B60" i="3" a="1"/>
  <c r="D42" i="3"/>
  <c r="C42" i="3" a="1"/>
  <c r="B42" i="3" a="1"/>
  <c r="D72" i="3"/>
  <c r="C72" i="3" a="1"/>
  <c r="B72" i="3" a="1"/>
  <c r="D31" i="3"/>
  <c r="C31" i="3" a="1"/>
  <c r="B31" i="3" a="1"/>
  <c r="D9" i="3"/>
  <c r="C9" i="3" a="1"/>
  <c r="B9" i="3" a="1"/>
  <c r="D13" i="3"/>
  <c r="C13" i="3" a="1"/>
  <c r="B13" i="3" a="1"/>
  <c r="D11" i="3"/>
  <c r="C11" i="3" a="1"/>
  <c r="B11" i="3" a="1"/>
  <c r="D35" i="3"/>
  <c r="C35" i="3" a="1"/>
  <c r="B35" i="3" a="1"/>
  <c r="D36" i="3"/>
  <c r="C36" i="3" a="1"/>
  <c r="B36" i="3" a="1"/>
  <c r="D55" i="3"/>
  <c r="C55" i="3" a="1"/>
  <c r="B55" i="3" a="1"/>
  <c r="D56" i="3"/>
  <c r="C56" i="3" a="1"/>
  <c r="B56" i="3" a="1"/>
  <c r="D15" i="3"/>
  <c r="C15" i="3" a="1"/>
  <c r="B15" i="3" a="1"/>
  <c r="D39" i="3"/>
  <c r="C39" i="3" a="1"/>
  <c r="B39" i="3" a="1"/>
  <c r="D61" i="3"/>
  <c r="C61" i="3" a="1"/>
  <c r="B61" i="3" a="1"/>
  <c r="D62" i="3"/>
  <c r="C62" i="3" a="1"/>
  <c r="B62" i="3" a="1"/>
  <c r="D20" i="3"/>
  <c r="C20" i="3" a="1"/>
  <c r="B20" i="3" a="1"/>
  <c r="D19" i="3"/>
  <c r="C19" i="3" a="1"/>
  <c r="B19" i="3" a="1"/>
  <c r="D43" i="3"/>
  <c r="C43" i="3" a="1"/>
  <c r="B43" i="3" a="1"/>
  <c r="D44" i="3"/>
  <c r="C44" i="3" a="1"/>
  <c r="B44" i="3" a="1"/>
  <c r="D23" i="3"/>
  <c r="C23" i="3" a="1"/>
  <c r="B23" i="3" a="1"/>
  <c r="D24" i="3"/>
  <c r="C24" i="3" a="1"/>
  <c r="B24" i="3" a="1"/>
  <c r="D48" i="3"/>
  <c r="C48" i="3" a="1"/>
  <c r="B48" i="3" a="1"/>
  <c r="D47" i="3"/>
  <c r="C47" i="3" a="1"/>
  <c r="B47" i="3" a="1"/>
  <c r="D67" i="3"/>
  <c r="C67" i="3" a="1"/>
  <c r="B67" i="3" a="1"/>
  <c r="D68" i="3"/>
  <c r="C68" i="3" a="1"/>
  <c r="B68" i="3" a="1"/>
  <c r="D77" i="3"/>
  <c r="C77" i="3" a="1"/>
  <c r="B77" i="3" a="1"/>
  <c r="D78" i="3"/>
  <c r="C78" i="3" a="1"/>
  <c r="B78" i="3" a="1"/>
  <c r="D27" i="3"/>
  <c r="C27" i="3" a="1"/>
  <c r="B27" i="3" a="1"/>
  <c r="D51" i="3"/>
  <c r="C51" i="3" a="1"/>
  <c r="B51" i="3" a="1"/>
  <c r="D52" i="3"/>
  <c r="C52" i="3" a="1"/>
  <c r="B52" i="3" a="1"/>
  <c r="D73" i="3"/>
  <c r="C73" i="3" a="1"/>
  <c r="B73" i="3" a="1"/>
  <c r="D74" i="3"/>
  <c r="C74" i="3" a="1"/>
  <c r="B74" i="3" a="1"/>
  <c r="D14" i="3"/>
  <c r="C14" i="3" a="1"/>
  <c r="B14" i="3" a="1"/>
  <c r="D32" i="3"/>
  <c r="C32" i="3" a="1"/>
  <c r="B32" i="3" a="1"/>
  <c r="D33" i="3"/>
  <c r="C33" i="3" a="1"/>
  <c r="B33" i="3" a="1"/>
  <c r="D57" i="3"/>
  <c r="C57" i="3" a="1"/>
  <c r="B57" i="3" a="1"/>
  <c r="D58" i="3"/>
  <c r="C58" i="3" a="1"/>
  <c r="B58" i="3" a="1"/>
  <c r="D12" i="3"/>
  <c r="C12" i="3" a="1"/>
  <c r="B12" i="3" a="1"/>
  <c r="D38" i="3"/>
  <c r="C38" i="3" a="1"/>
  <c r="B38" i="3" a="1"/>
  <c r="D37" i="3"/>
  <c r="C37" i="3" a="1"/>
  <c r="B37" i="3" a="1"/>
  <c r="D22" i="3"/>
  <c r="C22" i="3" a="1"/>
  <c r="B22" i="3" a="1"/>
  <c r="D21" i="3"/>
  <c r="C21" i="3" a="1"/>
  <c r="B21" i="3" a="1"/>
  <c r="D45" i="3"/>
  <c r="C45" i="3" a="1"/>
  <c r="B45" i="3" a="1"/>
  <c r="D46" i="3"/>
  <c r="C46" i="3" a="1"/>
  <c r="B46" i="3" a="1"/>
  <c r="D69" i="3"/>
  <c r="C69" i="3" a="1"/>
  <c r="B69" i="3" a="1"/>
  <c r="D70" i="3"/>
  <c r="C70" i="3" a="1"/>
  <c r="B70" i="3" a="1"/>
  <c r="D26" i="3"/>
  <c r="C26" i="3" a="1"/>
  <c r="B26" i="3" a="1"/>
  <c r="D50" i="3"/>
  <c r="C50" i="3" a="1"/>
  <c r="B50" i="3" a="1"/>
  <c r="D16" i="3"/>
  <c r="C16" i="3" a="1"/>
  <c r="B16" i="3" a="1"/>
  <c r="D40" i="3"/>
  <c r="C40" i="3" a="1"/>
  <c r="B40" i="3" a="1"/>
  <c r="D17" i="3"/>
  <c r="C17" i="3" a="1"/>
  <c r="B17" i="3" a="1"/>
  <c r="D41" i="3"/>
  <c r="C41" i="3" a="1"/>
  <c r="B41" i="3" a="1"/>
  <c r="D63" i="3"/>
  <c r="C63" i="3" a="1"/>
  <c r="B63" i="3" a="1"/>
  <c r="D64" i="3"/>
  <c r="C64" i="3" a="1"/>
  <c r="B64" i="3" a="1"/>
  <c r="D71" i="3"/>
  <c r="C71" i="3" a="1"/>
  <c r="B71" i="3" a="1"/>
  <c r="D25" i="3"/>
  <c r="C25" i="3" a="1"/>
  <c r="B25" i="3" a="1"/>
  <c r="D49" i="3"/>
  <c r="C49" i="3" a="1"/>
  <c r="B49" i="3" a="1"/>
  <c r="D29" i="3"/>
  <c r="C29" i="3" a="1"/>
  <c r="B29" i="3" a="1"/>
  <c r="D53" i="3"/>
  <c r="C53" i="3" a="1"/>
  <c r="B53" i="3" a="1"/>
  <c r="D28" i="3"/>
  <c r="C28" i="3" a="1"/>
  <c r="B28" i="3" a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AA55" i="3" s="1"/>
  <c r="H11" i="3"/>
  <c r="H65" i="3"/>
  <c r="E37" i="3"/>
  <c r="E10" i="3"/>
  <c r="E66" i="3"/>
  <c r="H38" i="3"/>
  <c r="H10" i="3"/>
  <c r="H66" i="3"/>
  <c r="H37" i="3"/>
  <c r="E65" i="3"/>
  <c r="AA65" i="3" s="1"/>
  <c r="E38" i="3"/>
  <c r="H62" i="3"/>
  <c r="E39" i="3"/>
  <c r="E16" i="3"/>
  <c r="E61" i="3"/>
  <c r="H40" i="3"/>
  <c r="H16" i="3"/>
  <c r="H61" i="3"/>
  <c r="H39" i="3"/>
  <c r="E15" i="3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AA72" i="3" s="1"/>
  <c r="E43" i="3"/>
  <c r="H19" i="3"/>
  <c r="H67" i="3"/>
  <c r="E48" i="3"/>
  <c r="E23" i="3"/>
  <c r="E68" i="3"/>
  <c r="H47" i="3"/>
  <c r="H23" i="3"/>
  <c r="E67" i="3"/>
  <c r="AA67" i="3" s="1"/>
  <c r="E47" i="3"/>
  <c r="AA47" i="3" s="1"/>
  <c r="H24" i="3"/>
  <c r="H76" i="3"/>
  <c r="E49" i="3"/>
  <c r="E25" i="3"/>
  <c r="E75" i="3"/>
  <c r="H50" i="3"/>
  <c r="H25" i="3"/>
  <c r="H75" i="3"/>
  <c r="H49" i="3"/>
  <c r="E26" i="3"/>
  <c r="E76" i="3"/>
  <c r="AA76" i="3" s="1"/>
  <c r="E50" i="3"/>
  <c r="AA50" i="3" s="1"/>
  <c r="H26" i="3"/>
  <c r="E78" i="3"/>
  <c r="H54" i="3"/>
  <c r="H29" i="3"/>
  <c r="H78" i="3"/>
  <c r="H53" i="3"/>
  <c r="E30" i="3"/>
  <c r="E77" i="3"/>
  <c r="E54" i="3"/>
  <c r="AA54" i="3" s="1"/>
  <c r="H30" i="3"/>
  <c r="H73" i="3"/>
  <c r="E51" i="3"/>
  <c r="E28" i="3"/>
  <c r="E74" i="3"/>
  <c r="H52" i="3"/>
  <c r="H28" i="3"/>
  <c r="H74" i="3"/>
  <c r="H51" i="3"/>
  <c r="E27" i="3"/>
  <c r="E73" i="3"/>
  <c r="E52" i="3"/>
  <c r="AA52" i="3" s="1"/>
  <c r="H27" i="3"/>
  <c r="E71" i="3"/>
  <c r="AA71" i="3" s="1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AA9" i="3" l="1"/>
  <c r="AA34" i="3"/>
  <c r="AA33" i="3"/>
  <c r="AA70" i="3"/>
  <c r="AA69" i="3"/>
  <c r="AA13" i="3"/>
  <c r="AA37" i="3"/>
  <c r="AA66" i="3"/>
  <c r="AA16" i="3"/>
  <c r="AA15" i="3"/>
  <c r="AA45" i="3"/>
  <c r="AA46" i="3"/>
  <c r="AA19" i="3"/>
  <c r="AA48" i="3"/>
  <c r="AA23" i="3"/>
  <c r="AA49" i="3"/>
  <c r="AA75" i="3"/>
  <c r="AA78" i="3"/>
  <c r="AA30" i="3"/>
  <c r="AA28" i="3"/>
  <c r="AA27" i="3"/>
  <c r="AA31" i="3"/>
  <c r="AA12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S40" i="3"/>
  <c r="S62" i="3"/>
  <c r="S38" i="3"/>
  <c r="S65" i="3"/>
  <c r="S55" i="3"/>
  <c r="S57" i="3"/>
  <c r="T33" i="3"/>
  <c r="T5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5" i="3" l="1"/>
  <c r="T61" i="3"/>
  <c r="T16" i="3"/>
  <c r="T37" i="3"/>
  <c r="T56" i="3"/>
  <c r="T8" i="3"/>
  <c r="T12" i="3"/>
  <c r="T27" i="3"/>
  <c r="T28" i="3"/>
  <c r="T51" i="3"/>
  <c r="T78" i="3"/>
  <c r="T26" i="3"/>
  <c r="T25" i="3"/>
  <c r="T23" i="3"/>
  <c r="T48" i="3"/>
  <c r="T43" i="3"/>
  <c r="T19" i="3"/>
  <c r="T46" i="3"/>
  <c r="T21" i="3"/>
  <c r="T18" i="3"/>
  <c r="T63" i="3"/>
  <c r="T41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U77" i="3" a="1"/>
  <c r="AT76" i="3" a="1"/>
  <c r="AU76" i="3" a="1"/>
  <c r="AT75" i="3" a="1"/>
  <c r="AU75" i="3" a="1"/>
  <c r="AT74" i="3" a="1"/>
  <c r="AU74" i="3" a="1"/>
  <c r="AT71" i="3" a="1"/>
  <c r="AU71" i="3" a="1"/>
  <c r="AT70" i="3" a="1"/>
  <c r="AU70" i="3" a="1"/>
  <c r="AT69" i="3" a="1"/>
  <c r="AU69" i="3" a="1"/>
  <c r="AT68" i="3" a="1"/>
  <c r="AU68" i="3" a="1"/>
  <c r="AT65" i="3" a="1"/>
  <c r="AU65" i="3" a="1"/>
  <c r="AT64" i="3" a="1"/>
  <c r="AU64" i="3" a="1"/>
  <c r="AT63" i="3" a="1"/>
  <c r="AU63" i="3" a="1"/>
  <c r="AT62" i="3" a="1"/>
  <c r="AU62" i="3" a="1"/>
  <c r="AT59" i="3" a="1"/>
  <c r="AU59" i="3" a="1"/>
  <c r="AT58" i="3" a="1"/>
  <c r="AU58" i="3" a="1"/>
  <c r="AT57" i="3" a="1"/>
  <c r="AU57" i="3" a="1"/>
  <c r="AT56" i="3" a="1"/>
  <c r="AU56" i="3" a="1"/>
  <c r="AT53" i="3" a="1"/>
  <c r="AU53" i="3" a="1"/>
  <c r="AT52" i="3" a="1"/>
  <c r="AU52" i="3" a="1"/>
  <c r="AT51" i="3" a="1"/>
  <c r="AU51" i="3" a="1"/>
  <c r="AT50" i="3" a="1"/>
  <c r="AU50" i="3" a="1"/>
  <c r="AT47" i="3" a="1"/>
  <c r="AU47" i="3" a="1"/>
  <c r="AT46" i="3" a="1"/>
  <c r="AU46" i="3" a="1"/>
  <c r="AT45" i="3" a="1"/>
  <c r="AU45" i="3" a="1"/>
  <c r="AT44" i="3" a="1"/>
  <c r="AU44" i="3" a="1"/>
  <c r="AT41" i="3" a="1"/>
  <c r="AU41" i="3" a="1"/>
  <c r="AT40" i="3" a="1"/>
  <c r="AU40" i="3" a="1"/>
  <c r="AT39" i="3" a="1"/>
  <c r="AU39" i="3" a="1"/>
  <c r="AT38" i="3" a="1"/>
  <c r="AU38" i="3" a="1"/>
  <c r="AT35" i="3" a="1"/>
  <c r="AU35" i="3" a="1"/>
  <c r="AT34" i="3" a="1"/>
  <c r="AU34" i="3" a="1"/>
  <c r="AT33" i="3" a="1"/>
  <c r="AU33" i="3" a="1"/>
  <c r="AT32" i="3" a="1"/>
  <c r="AU32" i="3" a="1"/>
  <c r="AT29" i="3" a="1"/>
  <c r="AU29" i="3" a="1"/>
  <c r="AT28" i="3" a="1"/>
  <c r="AU28" i="3" a="1"/>
  <c r="AT27" i="3" a="1"/>
  <c r="AU27" i="3" a="1"/>
  <c r="AT26" i="3" a="1"/>
  <c r="AU26" i="3" a="1"/>
  <c r="AT23" i="3" a="1"/>
  <c r="AU23" i="3" a="1"/>
  <c r="AT22" i="3" a="1"/>
  <c r="AU22" i="3" a="1"/>
  <c r="AT21" i="3" a="1"/>
  <c r="AU21" i="3" a="1"/>
  <c r="AT20" i="3" a="1"/>
  <c r="AU20" i="3" a="1"/>
  <c r="AT17" i="3" a="1"/>
  <c r="AU17" i="3" a="1"/>
  <c r="AT16" i="3" a="1"/>
  <c r="AU16" i="3" a="1"/>
  <c r="AT15" i="3" a="1"/>
  <c r="AU15" i="3" a="1"/>
  <c r="AT14" i="3" a="1"/>
  <c r="AU14" i="3" a="1"/>
  <c r="AT11" i="3" a="1"/>
  <c r="AU11" i="3" a="1"/>
  <c r="AT10" i="3" a="1"/>
  <c r="AU10" i="3" a="1"/>
  <c r="AT9" i="3" a="1"/>
  <c r="AU9" i="3" a="1"/>
  <c r="AT8" i="3" a="1"/>
  <c r="AU8" i="3" a="1"/>
  <c r="AV8" i="3" a="1"/>
  <c r="AW8" i="3" a="1"/>
  <c r="AV9" i="3" a="1"/>
  <c r="AW9" i="3" a="1"/>
  <c r="AV10" i="3" a="1"/>
  <c r="AW10" i="3" a="1"/>
  <c r="AV11" i="3" a="1"/>
  <c r="AW11" i="3" a="1"/>
  <c r="AV14" i="3" a="1"/>
  <c r="AW14" i="3" a="1"/>
  <c r="AV15" i="3" a="1"/>
  <c r="AW15" i="3" a="1"/>
  <c r="AV16" i="3" a="1"/>
  <c r="AW16" i="3" a="1"/>
  <c r="AV17" i="3" a="1"/>
  <c r="AW17" i="3" a="1"/>
  <c r="AV20" i="3" a="1"/>
  <c r="AW20" i="3" a="1"/>
  <c r="AV21" i="3" a="1"/>
  <c r="AW21" i="3" a="1"/>
  <c r="AV22" i="3" a="1"/>
  <c r="AW22" i="3" a="1"/>
  <c r="AV23" i="3" a="1"/>
  <c r="AW23" i="3" a="1"/>
  <c r="AV26" i="3" a="1"/>
  <c r="AW26" i="3" a="1"/>
  <c r="AV27" i="3" a="1"/>
  <c r="AW27" i="3" a="1"/>
  <c r="AV28" i="3" a="1"/>
  <c r="AW28" i="3" a="1"/>
  <c r="AV29" i="3" a="1"/>
  <c r="AW29" i="3" a="1"/>
  <c r="AV32" i="3" a="1"/>
  <c r="AW32" i="3" a="1"/>
  <c r="AV33" i="3" a="1"/>
  <c r="AW33" i="3" a="1"/>
  <c r="AV34" i="3" a="1"/>
  <c r="AW34" i="3" a="1"/>
  <c r="AV35" i="3" a="1"/>
  <c r="AW35" i="3" a="1"/>
  <c r="AV38" i="3" a="1"/>
  <c r="AW38" i="3" a="1"/>
  <c r="AV39" i="3" a="1"/>
  <c r="AW39" i="3" a="1"/>
  <c r="AV40" i="3" a="1"/>
  <c r="AW40" i="3" a="1"/>
  <c r="AV41" i="3" a="1"/>
  <c r="AW41" i="3" a="1"/>
  <c r="AV44" i="3" a="1"/>
  <c r="AW44" i="3" a="1"/>
  <c r="AV45" i="3" a="1"/>
  <c r="AW45" i="3" a="1"/>
  <c r="AV46" i="3" a="1"/>
  <c r="AW46" i="3" a="1"/>
  <c r="AV47" i="3" a="1"/>
  <c r="AW47" i="3" a="1"/>
  <c r="AV50" i="3" a="1"/>
  <c r="AW50" i="3" a="1"/>
  <c r="AV51" i="3" a="1"/>
  <c r="AW51" i="3" a="1"/>
  <c r="AV52" i="3" a="1"/>
  <c r="AW52" i="3" a="1"/>
  <c r="AV53" i="3" a="1"/>
  <c r="AW53" i="3" a="1"/>
  <c r="AV56" i="3" a="1"/>
  <c r="AW56" i="3" a="1"/>
  <c r="AV57" i="3" a="1"/>
  <c r="AW57" i="3" a="1"/>
  <c r="AV58" i="3" a="1"/>
  <c r="AW58" i="3" a="1"/>
  <c r="AV59" i="3" a="1"/>
  <c r="AW59" i="3" a="1"/>
  <c r="AV62" i="3" a="1"/>
  <c r="AW62" i="3" a="1"/>
  <c r="AV63" i="3" a="1"/>
  <c r="AW63" i="3" a="1"/>
  <c r="AV64" i="3" a="1"/>
  <c r="AW64" i="3" a="1"/>
  <c r="AV65" i="3" a="1"/>
  <c r="AW65" i="3" a="1"/>
  <c r="AV68" i="3" a="1"/>
  <c r="AW68" i="3" a="1"/>
  <c r="AV69" i="3" a="1"/>
  <c r="AW69" i="3" a="1"/>
  <c r="AV70" i="3" a="1"/>
  <c r="AW70" i="3" a="1"/>
  <c r="AV71" i="3" a="1"/>
  <c r="AW71" i="3" a="1"/>
  <c r="AV74" i="3" a="1"/>
  <c r="AW74" i="3" a="1"/>
  <c r="AV75" i="3" a="1"/>
  <c r="AW75" i="3" a="1"/>
  <c r="AV76" i="3" a="1"/>
  <c r="AW76" i="3" a="1"/>
  <c r="AV77" i="3" a="1"/>
  <c r="AW77" i="3" a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D77" i="3" a="1"/>
  <c r="BE76" i="3" a="1"/>
  <c r="BD76" i="3" a="1"/>
  <c r="BE75" i="3" a="1"/>
  <c r="BD75" i="3" a="1"/>
  <c r="BE74" i="3" a="1"/>
  <c r="BD74" i="3" a="1"/>
  <c r="BE71" i="3" a="1"/>
  <c r="BD71" i="3" a="1"/>
  <c r="BE70" i="3" a="1"/>
  <c r="BD70" i="3" a="1"/>
  <c r="BE69" i="3" a="1"/>
  <c r="BD69" i="3" a="1"/>
  <c r="BE68" i="3" a="1"/>
  <c r="BD68" i="3" a="1"/>
  <c r="BE65" i="3" a="1"/>
  <c r="BD65" i="3" a="1"/>
  <c r="BE64" i="3" a="1"/>
  <c r="BD64" i="3" a="1"/>
  <c r="BE63" i="3" a="1"/>
  <c r="BD63" i="3" a="1"/>
  <c r="BE62" i="3" a="1"/>
  <c r="BD62" i="3" a="1"/>
  <c r="BE59" i="3" a="1"/>
  <c r="BD59" i="3" a="1"/>
  <c r="BE58" i="3" a="1"/>
  <c r="BD58" i="3" a="1"/>
  <c r="BE57" i="3" a="1"/>
  <c r="BD57" i="3" a="1"/>
  <c r="BE56" i="3" a="1"/>
  <c r="BD56" i="3" a="1"/>
  <c r="BE53" i="3" a="1"/>
  <c r="BD53" i="3" a="1"/>
  <c r="BE52" i="3" a="1"/>
  <c r="BD52" i="3" a="1"/>
  <c r="BE51" i="3" a="1"/>
  <c r="BD51" i="3" a="1"/>
  <c r="BE50" i="3" a="1"/>
  <c r="BD50" i="3" a="1"/>
  <c r="BE47" i="3" a="1"/>
  <c r="BD47" i="3" a="1"/>
  <c r="BE46" i="3" a="1"/>
  <c r="BD46" i="3" a="1"/>
  <c r="BE45" i="3" a="1"/>
  <c r="BD45" i="3" a="1"/>
  <c r="BE44" i="3" a="1"/>
  <c r="BD44" i="3" a="1"/>
  <c r="BE41" i="3" a="1"/>
  <c r="BD41" i="3" a="1"/>
  <c r="BE40" i="3" a="1"/>
  <c r="BD40" i="3" a="1"/>
  <c r="BE39" i="3" a="1"/>
  <c r="BD39" i="3" a="1"/>
  <c r="BE38" i="3" a="1"/>
  <c r="BD38" i="3" a="1"/>
  <c r="BE35" i="3" a="1"/>
  <c r="BD35" i="3" a="1"/>
  <c r="BE34" i="3" a="1"/>
  <c r="BD34" i="3" a="1"/>
  <c r="BE33" i="3" a="1"/>
  <c r="BD33" i="3" a="1"/>
  <c r="BE32" i="3" a="1"/>
  <c r="BD32" i="3" a="1"/>
  <c r="BE29" i="3" a="1"/>
  <c r="BD29" i="3" a="1"/>
  <c r="BE28" i="3" a="1"/>
  <c r="BD28" i="3" a="1"/>
  <c r="BE27" i="3" a="1"/>
  <c r="BD27" i="3" a="1"/>
  <c r="BE26" i="3" a="1"/>
  <c r="BD26" i="3" a="1"/>
  <c r="BE23" i="3" a="1"/>
  <c r="BD23" i="3" a="1"/>
  <c r="BE22" i="3" a="1"/>
  <c r="BD22" i="3" a="1"/>
  <c r="BE21" i="3" a="1"/>
  <c r="BD21" i="3" a="1"/>
  <c r="BE20" i="3" a="1"/>
  <c r="BD20" i="3" a="1"/>
  <c r="BE17" i="3" a="1"/>
  <c r="BD17" i="3" a="1"/>
  <c r="BE16" i="3" a="1"/>
  <c r="BD16" i="3" a="1"/>
  <c r="BE15" i="3" a="1"/>
  <c r="BD15" i="3" a="1"/>
  <c r="BE14" i="3" a="1"/>
  <c r="BD14" i="3" a="1"/>
  <c r="BE11" i="3" a="1"/>
  <c r="BD11" i="3" a="1"/>
  <c r="BE10" i="3" a="1"/>
  <c r="BD10" i="3" a="1"/>
  <c r="BE9" i="3" a="1"/>
  <c r="BD9" i="3" a="1"/>
  <c r="BE8" i="3" a="1"/>
  <c r="BD8" i="3" a="1"/>
  <c r="BC77" i="3" a="1"/>
  <c r="BB77" i="3" a="1"/>
  <c r="BC76" i="3" a="1"/>
  <c r="BB76" i="3" a="1"/>
  <c r="BC75" i="3" a="1"/>
  <c r="BB75" i="3" a="1"/>
  <c r="BC74" i="3" a="1"/>
  <c r="BB74" i="3" a="1"/>
  <c r="BC71" i="3" a="1"/>
  <c r="BB71" i="3" a="1"/>
  <c r="BC70" i="3" a="1"/>
  <c r="BB70" i="3" a="1"/>
  <c r="BC69" i="3" a="1"/>
  <c r="BB69" i="3" a="1"/>
  <c r="BC68" i="3" a="1"/>
  <c r="BB68" i="3" a="1"/>
  <c r="BC65" i="3" a="1"/>
  <c r="BB65" i="3" a="1"/>
  <c r="BC64" i="3" a="1"/>
  <c r="BB64" i="3" a="1"/>
  <c r="BC63" i="3" a="1"/>
  <c r="BB63" i="3" a="1"/>
  <c r="BC62" i="3" a="1"/>
  <c r="BB62" i="3" a="1"/>
  <c r="BC59" i="3" a="1"/>
  <c r="BB59" i="3" a="1"/>
  <c r="BC58" i="3" a="1"/>
  <c r="BB58" i="3" a="1"/>
  <c r="BC57" i="3" a="1"/>
  <c r="BB57" i="3" a="1"/>
  <c r="BC56" i="3" a="1"/>
  <c r="BB56" i="3" a="1"/>
  <c r="BC53" i="3" a="1"/>
  <c r="BB53" i="3" a="1"/>
  <c r="BC52" i="3" a="1"/>
  <c r="BB52" i="3" a="1"/>
  <c r="BC51" i="3" a="1"/>
  <c r="BB51" i="3" a="1"/>
  <c r="BC50" i="3" a="1"/>
  <c r="BB50" i="3" a="1"/>
  <c r="BC47" i="3" a="1"/>
  <c r="BB47" i="3" a="1"/>
  <c r="BC46" i="3" a="1"/>
  <c r="BB46" i="3" a="1"/>
  <c r="BC45" i="3" a="1"/>
  <c r="BB45" i="3" a="1"/>
  <c r="BC44" i="3" a="1"/>
  <c r="BB44" i="3" a="1"/>
  <c r="BC41" i="3" a="1"/>
  <c r="BB41" i="3" a="1"/>
  <c r="BC40" i="3" a="1"/>
  <c r="BB40" i="3" a="1"/>
  <c r="BC39" i="3" a="1"/>
  <c r="BB39" i="3" a="1"/>
  <c r="BC38" i="3" a="1"/>
  <c r="BB38" i="3" a="1"/>
  <c r="BC35" i="3" a="1"/>
  <c r="BB35" i="3" a="1"/>
  <c r="BC34" i="3" a="1"/>
  <c r="BB34" i="3" a="1"/>
  <c r="BC33" i="3" a="1"/>
  <c r="BB33" i="3" a="1"/>
  <c r="BC32" i="3" a="1"/>
  <c r="BB32" i="3" a="1"/>
  <c r="BC29" i="3" a="1"/>
  <c r="BB29" i="3" a="1"/>
  <c r="BC28" i="3" a="1"/>
  <c r="BB28" i="3" a="1"/>
  <c r="BC27" i="3" a="1"/>
  <c r="BB27" i="3" a="1"/>
  <c r="BC26" i="3" a="1"/>
  <c r="BB26" i="3" a="1"/>
  <c r="BC23" i="3" a="1"/>
  <c r="BB23" i="3" a="1"/>
  <c r="BC22" i="3" a="1"/>
  <c r="BB22" i="3" a="1"/>
  <c r="BC21" i="3" a="1"/>
  <c r="BB21" i="3" a="1"/>
  <c r="BC20" i="3" a="1"/>
  <c r="BB20" i="3" a="1"/>
  <c r="BC17" i="3" a="1"/>
  <c r="BB17" i="3" a="1"/>
  <c r="BC16" i="3" a="1"/>
  <c r="BB16" i="3" a="1"/>
  <c r="BC15" i="3" a="1"/>
  <c r="BB15" i="3" a="1"/>
  <c r="BC14" i="3" a="1"/>
  <c r="BB14" i="3" a="1"/>
  <c r="BC11" i="3" a="1"/>
  <c r="BB11" i="3" a="1"/>
  <c r="BC10" i="3" a="1"/>
  <c r="BB10" i="3" a="1"/>
  <c r="BC9" i="3" a="1"/>
  <c r="BB9" i="3" a="1"/>
  <c r="BC8" i="3" a="1"/>
  <c r="BB8" i="3" a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7" i="3" l="1"/>
  <c r="AD58" i="3"/>
  <c r="AR22" i="3"/>
  <c r="AR21" i="3"/>
  <c r="AR11" i="3"/>
  <c r="AR10" i="3"/>
  <c r="AR9" i="3"/>
  <c r="AR28" i="3"/>
  <c r="AR35" i="3"/>
  <c r="AR34" i="3"/>
  <c r="AR33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D44" i="3" s="1"/>
  <c r="AR64" i="3"/>
  <c r="AR39" i="3"/>
  <c r="AD56" i="3"/>
  <c r="AR16" i="3"/>
  <c r="AR17" i="3"/>
  <c r="AD59" i="3"/>
  <c r="AD77" i="3" l="1"/>
  <c r="AD22" i="3"/>
  <c r="M59" i="3"/>
  <c r="L59" i="3"/>
  <c r="L58" i="3"/>
  <c r="N58" i="3"/>
  <c r="O60" i="3"/>
  <c r="AD9" i="3"/>
  <c r="AD8" i="3"/>
  <c r="AD10" i="3"/>
  <c r="AD11" i="3"/>
  <c r="AD28" i="3"/>
  <c r="AD53" i="3"/>
  <c r="AD63" i="3"/>
  <c r="M58" i="3"/>
  <c r="AD33" i="3"/>
  <c r="AD32" i="3"/>
  <c r="AD34" i="3"/>
  <c r="AD35" i="3"/>
  <c r="AD74" i="3"/>
  <c r="AD29" i="3"/>
  <c r="AD76" i="3"/>
  <c r="AD71" i="3"/>
  <c r="AD62" i="3"/>
  <c r="AD14" i="3"/>
  <c r="AD75" i="3"/>
  <c r="AD68" i="3"/>
  <c r="AD70" i="3"/>
  <c r="AD47" i="3"/>
  <c r="AD41" i="3"/>
  <c r="AD27" i="3"/>
  <c r="AD26" i="3"/>
  <c r="AD21" i="3"/>
  <c r="AD20" i="3"/>
  <c r="AD15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J45" i="3"/>
  <c r="AS44" i="3" s="1"/>
  <c r="BL38" i="3" s="1"/>
  <c r="M45" i="3"/>
  <c r="N45" i="3"/>
  <c r="L45" i="3"/>
  <c r="O45" i="3"/>
  <c r="S91" i="3" l="1"/>
  <c r="T91" i="3" s="1" a="1"/>
  <c r="BS37" i="3"/>
  <c r="O9" i="3"/>
  <c r="O12" i="3"/>
  <c r="N11" i="3"/>
  <c r="J10" i="3"/>
  <c r="AS9" i="3" s="1"/>
  <c r="BL18" i="3" s="1"/>
  <c r="N12" i="3"/>
  <c r="M11" i="3"/>
  <c r="P57" i="3"/>
  <c r="L23" i="3"/>
  <c r="P59" i="3"/>
  <c r="N9" i="3"/>
  <c r="M9" i="3"/>
  <c r="K59" i="3"/>
  <c r="J12" i="3"/>
  <c r="K57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O17" i="3"/>
  <c r="L17" i="3"/>
  <c r="J30" i="3"/>
  <c r="J29" i="3"/>
  <c r="AE83" i="3" s="1"/>
  <c r="AQ83" i="3" s="1"/>
  <c r="M28" i="3"/>
  <c r="O30" i="3"/>
  <c r="L15" i="3"/>
  <c r="M16" i="3"/>
  <c r="J16" i="3"/>
  <c r="AS15" i="3" s="1"/>
  <c r="BL19" i="3" s="1"/>
  <c r="N17" i="3"/>
  <c r="J28" i="3"/>
  <c r="AS27" i="3" s="1"/>
  <c r="BL62" i="3" s="1"/>
  <c r="J27" i="3"/>
  <c r="AS26" i="3" s="1"/>
  <c r="BL34" i="3" s="1"/>
  <c r="N27" i="3"/>
  <c r="M29" i="3"/>
  <c r="M27" i="3"/>
  <c r="N29" i="3"/>
  <c r="L29" i="3"/>
  <c r="O29" i="3"/>
  <c r="L27" i="3"/>
  <c r="L28" i="3"/>
  <c r="O28" i="3"/>
  <c r="M30" i="3"/>
  <c r="O27" i="3"/>
  <c r="J36" i="3"/>
  <c r="J35" i="3"/>
  <c r="AE84" i="3" s="1"/>
  <c r="AQ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 s="1"/>
  <c r="AQ85" i="3" s="1"/>
  <c r="J40" i="3"/>
  <c r="AS39" i="3" s="1"/>
  <c r="BL43" i="3" s="1"/>
  <c r="J39" i="3"/>
  <c r="AS38" i="3" s="1"/>
  <c r="BL22" i="3" s="1"/>
  <c r="N39" i="3"/>
  <c r="O40" i="3"/>
  <c r="L39" i="3"/>
  <c r="L42" i="3"/>
  <c r="M40" i="3"/>
  <c r="L40" i="3"/>
  <c r="O42" i="3"/>
  <c r="M39" i="3"/>
  <c r="O39" i="3"/>
  <c r="N40" i="3"/>
  <c r="M42" i="3"/>
  <c r="J48" i="3"/>
  <c r="J47" i="3"/>
  <c r="AE86" i="3" s="1"/>
  <c r="AQ86" i="3" s="1"/>
  <c r="J46" i="3"/>
  <c r="AS45" i="3" s="1"/>
  <c r="BL63" i="3" s="1"/>
  <c r="N47" i="3"/>
  <c r="L47" i="3"/>
  <c r="N46" i="3"/>
  <c r="L46" i="3"/>
  <c r="O54" i="3"/>
  <c r="AF88" i="3"/>
  <c r="AG88" i="3"/>
  <c r="AI88" i="3"/>
  <c r="AJ88" i="3"/>
  <c r="AN88" i="3"/>
  <c r="AT88" i="3"/>
  <c r="P58" i="3"/>
  <c r="K58" i="3"/>
  <c r="O46" i="3"/>
  <c r="O48" i="3"/>
  <c r="M46" i="3"/>
  <c r="O47" i="3"/>
  <c r="N48" i="3"/>
  <c r="M47" i="3"/>
  <c r="M48" i="3"/>
  <c r="L48" i="3"/>
  <c r="M54" i="3"/>
  <c r="M51" i="3"/>
  <c r="L51" i="3"/>
  <c r="N51" i="3"/>
  <c r="J51" i="3"/>
  <c r="AS50" i="3" s="1"/>
  <c r="BL30" i="3" s="1"/>
  <c r="J52" i="3"/>
  <c r="AS51" i="3" s="1"/>
  <c r="BL59" i="3" s="1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 s="1"/>
  <c r="AQ89" i="3" s="1"/>
  <c r="J64" i="3"/>
  <c r="AS63" i="3" s="1"/>
  <c r="BL31" i="3" s="1"/>
  <c r="N53" i="3"/>
  <c r="M18" i="3"/>
  <c r="N16" i="3"/>
  <c r="O16" i="3"/>
  <c r="J18" i="3"/>
  <c r="L16" i="3"/>
  <c r="M17" i="3"/>
  <c r="O18" i="3"/>
  <c r="N18" i="3"/>
  <c r="L18" i="3"/>
  <c r="J24" i="3"/>
  <c r="J22" i="3"/>
  <c r="AS21" i="3" s="1"/>
  <c r="BL23" i="3" s="1"/>
  <c r="J21" i="3"/>
  <c r="AS20" i="3" s="1"/>
  <c r="BL42" i="3" s="1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N28" i="3"/>
  <c r="N30" i="3"/>
  <c r="L30" i="3"/>
  <c r="J63" i="3"/>
  <c r="AS62" i="3" s="1"/>
  <c r="BL58" i="3" s="1"/>
  <c r="BS60" i="3" s="1"/>
  <c r="BZ64" i="3" s="1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 s="1"/>
  <c r="AQ90" i="3" s="1"/>
  <c r="J70" i="3"/>
  <c r="AS69" i="3" s="1"/>
  <c r="BL26" i="3" s="1"/>
  <c r="J69" i="3"/>
  <c r="AS68" i="3" s="1"/>
  <c r="BL70" i="3" s="1"/>
  <c r="L75" i="3"/>
  <c r="O75" i="3"/>
  <c r="N75" i="3"/>
  <c r="J75" i="3"/>
  <c r="AS74" i="3" s="1"/>
  <c r="BL54" i="3" s="1"/>
  <c r="M75" i="3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AQ91" i="3" s="1"/>
  <c r="M77" i="3"/>
  <c r="N77" i="3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P52" i="3" s="1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K45" i="3"/>
  <c r="P45" i="3"/>
  <c r="BS61" i="3" l="1"/>
  <c r="BS44" i="3"/>
  <c r="BZ48" i="3" s="1"/>
  <c r="S90" i="3"/>
  <c r="T90" i="3" s="1" a="1"/>
  <c r="BS36" i="3"/>
  <c r="S87" i="3"/>
  <c r="T87" i="3" s="1" a="1"/>
  <c r="BS29" i="3"/>
  <c r="S86" i="3"/>
  <c r="T86" i="3" s="1" a="1"/>
  <c r="BS28" i="3"/>
  <c r="S88" i="3"/>
  <c r="T88" i="3" s="1" a="1"/>
  <c r="BS20" i="3"/>
  <c r="S89" i="3"/>
  <c r="T89" i="3" s="1" a="1"/>
  <c r="BS21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P10" i="3"/>
  <c r="AF83" i="3"/>
  <c r="AG83" i="3"/>
  <c r="AH83" i="3"/>
  <c r="AI83" i="3"/>
  <c r="AJ83" i="3"/>
  <c r="AL83" i="3"/>
  <c r="AN83" i="3"/>
  <c r="AT83" i="3"/>
  <c r="K10" i="3"/>
  <c r="P75" i="3"/>
  <c r="AF91" i="3"/>
  <c r="AG91" i="3"/>
  <c r="AH91" i="3"/>
  <c r="AI91" i="3"/>
  <c r="AJ91" i="3"/>
  <c r="AL91" i="3"/>
  <c r="AN91" i="3"/>
  <c r="AT91" i="3"/>
  <c r="P77" i="3"/>
  <c r="K77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K51" i="3"/>
  <c r="P51" i="3"/>
  <c r="AF86" i="3"/>
  <c r="AG86" i="3"/>
  <c r="AH86" i="3"/>
  <c r="AI86" i="3"/>
  <c r="AJ86" i="3"/>
  <c r="AL86" i="3"/>
  <c r="AN86" i="3"/>
  <c r="AT86" i="3"/>
  <c r="K40" i="3"/>
  <c r="P40" i="3"/>
  <c r="P42" i="3"/>
  <c r="P39" i="3"/>
  <c r="K39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P28" i="3"/>
  <c r="K27" i="3"/>
  <c r="P27" i="3"/>
  <c r="K29" i="3"/>
  <c r="P29" i="3"/>
  <c r="P54" i="3"/>
  <c r="K54" i="3"/>
  <c r="K48" i="3"/>
  <c r="P48" i="3"/>
  <c r="P46" i="3"/>
  <c r="K46" i="3"/>
  <c r="K47" i="3"/>
  <c r="P47" i="3"/>
  <c r="P22" i="3"/>
  <c r="K22" i="3"/>
  <c r="K24" i="3"/>
  <c r="P24" i="3"/>
  <c r="P21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K53" i="3"/>
  <c r="AF87" i="3"/>
  <c r="AG87" i="3"/>
  <c r="AH87" i="3"/>
  <c r="AJ87" i="3"/>
  <c r="AL87" i="3"/>
  <c r="AN87" i="3"/>
  <c r="AT87" i="3"/>
  <c r="K42" i="3"/>
  <c r="P41" i="3"/>
  <c r="K41" i="3"/>
  <c r="K30" i="3"/>
  <c r="P30" i="3"/>
  <c r="K28" i="3"/>
  <c r="P23" i="3"/>
  <c r="K23" i="3"/>
  <c r="P53" i="3"/>
  <c r="K21" i="3"/>
  <c r="AF82" i="3"/>
  <c r="AG82" i="3"/>
  <c r="AH82" i="3"/>
  <c r="AI82" i="3"/>
  <c r="AJ82" i="3"/>
  <c r="AN82" i="3"/>
  <c r="AT82" i="3"/>
  <c r="P18" i="3"/>
  <c r="K18" i="3"/>
  <c r="P16" i="3"/>
  <c r="K16" i="3"/>
  <c r="P17" i="3"/>
  <c r="K17" i="3"/>
  <c r="AF81" i="3"/>
  <c r="AG81" i="3"/>
  <c r="AH81" i="3"/>
  <c r="AI81" i="3"/>
  <c r="AJ81" i="3"/>
  <c r="AL81" i="3"/>
  <c r="AN81" i="3"/>
  <c r="AT81" i="3"/>
  <c r="P15" i="3"/>
  <c r="K15" i="3"/>
  <c r="AL82" i="3"/>
  <c r="AI87" i="3"/>
  <c r="K52" i="3"/>
  <c r="S98" i="3" l="1"/>
  <c r="T98" i="3" s="1" a="1"/>
  <c r="BZ33" i="3"/>
  <c r="U103" i="3" s="1"/>
  <c r="AC103" i="3" s="1" a="1"/>
  <c r="S97" i="3"/>
  <c r="T97" i="3" s="1" a="1"/>
  <c r="BZ32" i="3"/>
  <c r="BZ17" i="3"/>
  <c r="U102" i="3" s="1"/>
  <c r="AC102" i="3" s="1" a="1"/>
  <c r="S96" i="3"/>
  <c r="T96" i="3" s="1" a="1"/>
  <c r="AG92" i="3"/>
  <c r="AH92" i="3"/>
  <c r="AS92" i="3"/>
  <c r="AL92" i="3"/>
  <c r="AM88" i="3" s="1"/>
  <c r="AI92" i="3"/>
  <c r="AJ92" i="3"/>
  <c r="AF92" i="3"/>
  <c r="AN92" i="3"/>
  <c r="S103" i="3" l="1"/>
  <c r="T103" i="3" s="1" a="1"/>
  <c r="CG24" i="3"/>
  <c r="S111" i="3" s="1"/>
  <c r="T111" i="3" s="1"/>
  <c r="AM91" i="3"/>
  <c r="AM82" i="3"/>
  <c r="AM83" i="3"/>
  <c r="AM90" i="3"/>
  <c r="AM89" i="3"/>
  <c r="AM80" i="3"/>
  <c r="AM81" i="3"/>
  <c r="AM87" i="3"/>
  <c r="AM86" i="3"/>
  <c r="AM85" i="3"/>
  <c r="AM84" i="3"/>
  <c r="S85" i="3"/>
  <c r="T85" i="3" s="1" a="1"/>
  <c r="BS13" i="3"/>
  <c r="S84" i="3"/>
  <c r="T84" i="3" s="1" a="1"/>
  <c r="BS12" i="3"/>
  <c r="AM92" i="3" l="1"/>
  <c r="AP87" i="3" s="1"/>
  <c r="BZ16" i="3"/>
  <c r="S95" i="3"/>
  <c r="T95" i="3" s="1" a="1"/>
  <c r="S102" i="3" l="1"/>
  <c r="T102" i="3" s="1" a="1"/>
  <c r="CG23" i="3"/>
  <c r="AP81" i="3"/>
  <c r="AP84" i="3"/>
  <c r="AP86" i="3"/>
  <c r="AP89" i="3"/>
  <c r="AP80" i="3"/>
  <c r="AP90" i="3"/>
  <c r="AP83" i="3"/>
  <c r="AP91" i="3"/>
  <c r="AP85" i="3"/>
  <c r="AP88" i="3"/>
  <c r="AP82" i="3"/>
  <c r="CN37" i="3" l="1"/>
  <c r="CN48" i="3"/>
  <c r="AD81" i="3"/>
  <c r="AS81" i="3" s="1"/>
  <c r="AD85" i="3"/>
  <c r="AS85" i="3" s="1"/>
  <c r="AD89" i="3"/>
  <c r="AS89" i="3" s="1"/>
  <c r="AD86" i="3"/>
  <c r="AS86" i="3" s="1"/>
  <c r="AD84" i="3"/>
  <c r="AS84" i="3" s="1"/>
  <c r="AD87" i="3"/>
  <c r="AS87" i="3" s="1"/>
  <c r="AD83" i="3"/>
  <c r="AS83" i="3" s="1"/>
  <c r="AD90" i="3"/>
  <c r="AS90" i="3" s="1"/>
  <c r="AD88" i="3"/>
  <c r="AS88" i="3" s="1"/>
  <c r="AD80" i="3"/>
  <c r="AD91" i="3"/>
  <c r="AS91" i="3" s="1"/>
  <c r="AD82" i="3"/>
  <c r="AS82" i="3" s="1"/>
  <c r="J92" i="3" l="1"/>
  <c r="AS80" i="3"/>
  <c r="N81" i="3"/>
  <c r="L81" i="3"/>
  <c r="O92" i="3"/>
  <c r="AR80" i="3"/>
  <c r="AR81" i="3" s="1"/>
  <c r="L92" i="3"/>
  <c r="J81" i="3"/>
  <c r="O81" i="3"/>
  <c r="N92" i="3"/>
  <c r="M92" i="3"/>
  <c r="M81" i="3"/>
  <c r="M88" i="3"/>
  <c r="O87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J88" i="3"/>
  <c r="N90" i="3"/>
  <c r="O91" i="3"/>
  <c r="O90" i="3"/>
  <c r="O88" i="3"/>
  <c r="O86" i="3"/>
  <c r="M91" i="3"/>
  <c r="L90" i="3"/>
  <c r="L82" i="3"/>
  <c r="N87" i="3"/>
  <c r="J89" i="3"/>
  <c r="M84" i="3"/>
  <c r="J82" i="3"/>
  <c r="M83" i="3"/>
  <c r="N91" i="3"/>
  <c r="O89" i="3"/>
  <c r="N89" i="3"/>
  <c r="M90" i="3"/>
  <c r="L86" i="3"/>
  <c r="N83" i="3"/>
  <c r="O82" i="3"/>
  <c r="J90" i="3"/>
  <c r="M82" i="3"/>
  <c r="M86" i="3"/>
  <c r="N86" i="3"/>
  <c r="L87" i="3"/>
  <c r="J83" i="3"/>
  <c r="J91" i="3"/>
  <c r="L85" i="3"/>
  <c r="O84" i="3"/>
  <c r="L89" i="3"/>
  <c r="M89" i="3"/>
  <c r="O85" i="3"/>
  <c r="N88" i="3"/>
  <c r="J84" i="3"/>
  <c r="P87" i="3" l="1"/>
  <c r="P92" i="3"/>
  <c r="AR82" i="3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K81" i="3"/>
  <c r="K92" i="3"/>
  <c r="P81" i="3"/>
  <c r="P88" i="3"/>
  <c r="K91" i="3"/>
  <c r="K82" i="3"/>
  <c r="K84" i="3"/>
  <c r="K90" i="3"/>
  <c r="K83" i="3"/>
  <c r="K87" i="3"/>
  <c r="P84" i="3"/>
  <c r="K85" i="3"/>
  <c r="P82" i="3"/>
  <c r="P83" i="3"/>
  <c r="K89" i="3"/>
  <c r="P91" i="3"/>
  <c r="P86" i="3"/>
  <c r="P85" i="3"/>
  <c r="P90" i="3"/>
  <c r="K86" i="3"/>
  <c r="K88" i="3"/>
  <c r="P89" i="3"/>
  <c r="BS52" i="3"/>
  <c r="BZ49" i="3" s="1"/>
  <c r="CG55" i="3" s="1"/>
  <c r="CN49" i="3" s="1"/>
  <c r="BS69" i="3"/>
  <c r="BZ65" i="3" s="1"/>
  <c r="CG56" i="3" s="1"/>
  <c r="CN38" i="3" s="1"/>
  <c r="CK68" i="3" s="1"/>
  <c r="I3" i="4" l="1"/>
  <c r="BL15" i="3" s="1"/>
  <c r="D3" i="4"/>
  <c r="G3" i="4"/>
  <c r="BL11" i="3" s="1"/>
  <c r="B3" i="4"/>
  <c r="H3" i="4"/>
  <c r="BL39" i="3" s="1"/>
  <c r="E3" i="4"/>
  <c r="BL67" i="3" s="1"/>
  <c r="BS68" i="3" s="1"/>
  <c r="K3" i="4"/>
  <c r="J3" i="4"/>
  <c r="BL55" i="3" l="1"/>
  <c r="BS53" i="3" s="1"/>
  <c r="BL51" i="3"/>
  <c r="BL7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<sst xmlns="http://schemas.openxmlformats.org/spreadsheetml/2006/main" count="9785" uniqueCount="3699">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</sst>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1477104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1474394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1473929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1474394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1474550</xdr:colOff>
      <xdr:row>23</xdr:row>
      <xdr:rowOff>1415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160165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239475</xdr:colOff>
      <xdr:row>36</xdr:row>
      <xdr:rowOff>1526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28</xdr:row>
      <xdr:rowOff>1526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1474085</xdr:colOff>
      <xdr:row>15</xdr:row>
      <xdr:rowOff>160385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163560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1474085</xdr:colOff>
      <xdr:row>19</xdr:row>
      <xdr:rowOff>160494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1474085</xdr:colOff>
      <xdr:row>21</xdr:row>
      <xdr:rowOff>160603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160713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1474085</xdr:colOff>
      <xdr:row>42</xdr:row>
      <xdr:rowOff>160823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239010</xdr:colOff>
      <xdr:row>76</xdr:row>
      <xdr:rowOff>160932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1474085</xdr:colOff>
      <xdr:row>12</xdr:row>
      <xdr:rowOff>161041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160381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37</xdr:row>
      <xdr:rowOff>1130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49</xdr:row>
      <xdr:rowOff>1566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1478341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1476048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1478341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217866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1477876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1456116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1479223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1456116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1476302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217474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239699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238852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158776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239317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239317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1496152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CN54" sqref="CN54"/>
    </sheetView>
  </sheetViews>
  <sheetFormatPr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1</v>
      </c>
      <c r="AL8" s="123">
        <f>AI8-AJ8</f>
        <v>5</v>
      </c>
      <c r="AM8" s="123">
        <f>AL8-AL12</f>
        <v>8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90000009.746872261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6 - 1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5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</v>
      </c>
      <c r="AP9" s="123">
        <f>AO9*10000000+BI9*100+AM9/AM12*10+AI9/AI12*1++IF(AQ9=0,ROW(),AQ9)/2000000</f>
        <v>10000000.28642915</v>
      </c>
      <c r="AQ9" s="126">
        <f>VLOOKUP(AE9,db_fifarank,2,FALSE)</f>
        <v>1429.73</v>
      </c>
      <c r="AR9" s="125">
        <f>AP9/AP12</f>
        <v>0.1111111010259149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4 - 4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2</v>
      </c>
      <c r="AH10" s="123">
        <f>COUNTIF($S$7:$T$78,"=" &amp; AE10 &amp; "_lose")</f>
        <v>1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4</v>
      </c>
      <c r="AL10" s="123">
        <f>AI10-AJ10</f>
        <v>-2</v>
      </c>
      <c r="AM10" s="123">
        <f>AL10-AL12</f>
        <v>1</v>
      </c>
      <c r="AN10" s="123">
        <f>AF10*3+AG10</f>
        <v>2</v>
      </c>
      <c r="AO10" s="123">
        <f>AN10/AN12*10+BA10</f>
        <v>2</v>
      </c>
      <c r="AP10" s="123">
        <f>AO10*10000000+BI10*100+AM10/AM12*10+AI10/AI12*1++IF(AQ10=0,ROW(),AQ10)/2000000</f>
        <v>20000001.397619728</v>
      </c>
      <c r="AQ10" s="126">
        <f>VLOOKUP(AE10,db_fifarank,2,FALSE)</f>
        <v>1588.66</v>
      </c>
      <c r="AR10" s="125">
        <f>AP10/AP12</f>
        <v>0.22222221121584457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2 - 4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4</v>
      </c>
      <c r="AL11" s="123">
        <f>AI11-AJ11</f>
        <v>0</v>
      </c>
      <c r="AM11" s="123">
        <f>AL11-AL12</f>
        <v>3</v>
      </c>
      <c r="AN11" s="123">
        <f>AF11*3+AG11</f>
        <v>4</v>
      </c>
      <c r="AO11" s="123">
        <f>AN11/AN12*10+BA11</f>
        <v>4</v>
      </c>
      <c r="AP11" s="123">
        <f>AO11*10000000+BI11*100+AM11/AM12*10+AI11/AI12*1++IF(AQ11=0,ROW(),AQ11)/2000000</f>
        <v>40000003.905512601</v>
      </c>
      <c r="AQ11" s="126">
        <f>VLOOKUP(AE11,db_fifarank,2,FALSE)</f>
        <v>1501.38</v>
      </c>
      <c r="AR11" s="125">
        <f>AP11/AP12</f>
        <v>0.44444443476805595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Haiti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3</v>
      </c>
      <c r="AH12" s="123">
        <f t="shared" si="12"/>
        <v>3</v>
      </c>
      <c r="AI12" s="123">
        <f>MAX(AI8:AI11)+1</f>
        <v>7</v>
      </c>
      <c r="AL12" s="123">
        <f>MIN(AL8:AL11)</f>
        <v>-3</v>
      </c>
      <c r="AM12" s="123">
        <f>MAX(AM8:AM11)+1</f>
        <v>9</v>
      </c>
      <c r="AN12" s="123">
        <f>MAX(AN8:AN11)+1</f>
        <v>10</v>
      </c>
      <c r="AO12" s="123">
        <f>MAX(AO8:AO11)+1</f>
        <v>10</v>
      </c>
      <c r="AP12" s="123">
        <f>MAX(AP8:AP11)+1</f>
        <v>90000010.746872261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0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Brazil_lose</v>
      </c>
      <c r="T13" s="127" t="str">
        <f t="shared" si="2"/>
        <v>Morocco_win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-1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3</v>
      </c>
      <c r="G14" s="20">
        <v>0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Qatar_win</v>
      </c>
      <c r="T14" s="127" t="str">
        <f t="shared" si="2"/>
        <v>Switzerland_lose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3</v>
      </c>
      <c r="AL14" s="123">
        <f>AI14-AJ14</f>
        <v>1</v>
      </c>
      <c r="AM14" s="123">
        <f>AL14-AL18</f>
        <v>3</v>
      </c>
      <c r="AN14" s="123">
        <f>AF14*3+AG14</f>
        <v>4</v>
      </c>
      <c r="AO14" s="123">
        <f>AN14/AN18*10+BA14</f>
        <v>5.7149414519906312</v>
      </c>
      <c r="AP14" s="123">
        <f>AO14*10000000+BI14*100+AM14/AM18*10+AI14/AI18*1++IF(AQ14=0,ROW(),AQ14)/2000000</f>
        <v>57149420.187351219</v>
      </c>
      <c r="AQ14" s="126">
        <f>VLOOKUP(AE14,db_fifarank,2,FALSE)</f>
        <v>1556.48</v>
      </c>
      <c r="AR14" s="125">
        <f>AP14/AP18</f>
        <v>0.66623346968334307</v>
      </c>
      <c r="AS14" s="125" t="str">
        <f>IF(SUM(AF14:AH17)=12,J15,"1B")</f>
        <v>Qatar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2</v>
      </c>
      <c r="AX14" s="126">
        <f>AV14-AW14</f>
        <v>-1</v>
      </c>
      <c r="AY14" s="126">
        <f>AX14-MIN(AX14:AX17)</f>
        <v>0</v>
      </c>
      <c r="AZ14" s="126">
        <f>AT14/AT18*1000+AU14/AU18*100+AY14/AY18*10+AV14/AV18</f>
        <v>0.33333333333333331</v>
      </c>
      <c r="BA14" s="126">
        <f>AZ14/AZ18</f>
        <v>6.5573770491803268E-4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2</v>
      </c>
      <c r="G15" s="20">
        <v>0</v>
      </c>
      <c r="H15" s="80" t="str">
        <f>AE35</f>
        <v>Ecuador</v>
      </c>
      <c r="J15" s="30" t="str">
        <f>VLOOKUP(1,AD14:AN17,2,FALSE)</f>
        <v>Qatar</v>
      </c>
      <c r="K15" s="31">
        <f>L15+M15+N15</f>
        <v>3</v>
      </c>
      <c r="L15" s="31">
        <f>VLOOKUP(1,AD14:AN17,3,FALSE)</f>
        <v>2</v>
      </c>
      <c r="M15" s="31">
        <f>VLOOKUP(1,AD14:AN17,4,FALSE)</f>
        <v>0</v>
      </c>
      <c r="N15" s="31">
        <f>VLOOKUP(1,AD14:AN17,5,FALSE)</f>
        <v>1</v>
      </c>
      <c r="O15" s="31" t="str">
        <f>VLOOKUP(1,AD14:AN17,6,FALSE) &amp; " - " &amp; VLOOKUP(1,AD14:AN17,7,FALSE)</f>
        <v>5 - 2</v>
      </c>
      <c r="P15" s="32">
        <f>L15*3+M15</f>
        <v>6</v>
      </c>
      <c r="R15" s="123">
        <f>DATE(2026,6,14)+TIME(12,0,0)+gmt_delta</f>
        <v>46188.041666666664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2</v>
      </c>
      <c r="AH15" s="123">
        <f>COUNTIF($S$7:$T$78,"=" &amp; AE15 &amp; "_lose")</f>
        <v>1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4</v>
      </c>
      <c r="AL15" s="123">
        <f>AI15-AJ15</f>
        <v>-2</v>
      </c>
      <c r="AM15" s="123">
        <f>AL15-AL18</f>
        <v>0</v>
      </c>
      <c r="AN15" s="123">
        <f>AF15*3+AG15</f>
        <v>2</v>
      </c>
      <c r="AO15" s="123">
        <f>AN15/AN18*10+BA15</f>
        <v>2.863700234192037</v>
      </c>
      <c r="AP15" s="123">
        <f>AO15*10000000+BI15*100+AM15/AM18*10+AI15/AI18*1++IF(AQ15=0,ROW(),AQ15)/2000000</f>
        <v>28637002.675946619</v>
      </c>
      <c r="AQ15" s="126">
        <f>VLOOKUP(AE15,db_fifarank,2,FALSE)</f>
        <v>1385.84</v>
      </c>
      <c r="AR15" s="125">
        <f>AP15/AP18</f>
        <v>0.33384292599262105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1</v>
      </c>
      <c r="AZ15" s="126">
        <f>AT15/AT18*1000+AU15/AU18*100+AY15/AY18*10+AV15/AV18</f>
        <v>3.333333333333333</v>
      </c>
      <c r="BA15" s="126">
        <f>AZ15/AZ18</f>
        <v>6.557377049180327E-3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Netherlands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2</v>
      </c>
      <c r="G16" s="20">
        <v>1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3 - 5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1</v>
      </c>
      <c r="AE16" s="124" t="str">
        <f>VLOOKUP("Qatar",T,lang,FALSE)</f>
        <v>Qatar</v>
      </c>
      <c r="AF16" s="123">
        <f>COUNTIF($S$7:$T$78,"=" &amp; AE16 &amp; "_win")</f>
        <v>2</v>
      </c>
      <c r="AG16" s="123">
        <f>COUNTIF($S$7:$T$78,"=" &amp; AE16 &amp; "_draw")</f>
        <v>0</v>
      </c>
      <c r="AH16" s="123">
        <f>COUNTIF($S$7:$T$78,"=" &amp; AE16 &amp; "_lose")</f>
        <v>1</v>
      </c>
      <c r="AI16" s="123">
        <f>SUMIF($E$7:$E$78,$AE16,$F$7:$F$78) + SUMIF($H$7:$H$78,$AE16,$G$7:$G$78)</f>
        <v>5</v>
      </c>
      <c r="AJ16" s="123">
        <f>SUMIF($E$7:$E$78,$AE16,$G$7:$G$78) + SUMIF($H$7:$H$78,$AE16,$F$7:$F$78)</f>
        <v>2</v>
      </c>
      <c r="AL16" s="123">
        <f>AI16-AJ16</f>
        <v>3</v>
      </c>
      <c r="AM16" s="123">
        <f>AL16-AL18</f>
        <v>5</v>
      </c>
      <c r="AN16" s="123">
        <f>AF16*3+AG16</f>
        <v>6</v>
      </c>
      <c r="AO16" s="123">
        <f>AN16/AN18*10+BA16</f>
        <v>8.5779859484777514</v>
      </c>
      <c r="AP16" s="123">
        <f>AO16*10000000+BI16*100+AM16/AM18*10+AI16/AI18*1++IF(AQ16=0,ROW(),AQ16)/2000000</f>
        <v>85779868.652171642</v>
      </c>
      <c r="AQ16" s="126">
        <f>VLOOKUP(AE16,db_fifarank,2,FALSE)</f>
        <v>1454.96</v>
      </c>
      <c r="AR16" s="125">
        <f>AP16/AP18</f>
        <v>0.99999998834225323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1</v>
      </c>
      <c r="AZ16" s="126">
        <f>AT16/AT18*1000+AU16/AU18*100+AY16/AY18*10+AV16/AV18</f>
        <v>3.333333333333333</v>
      </c>
      <c r="BA16" s="126">
        <f>AZ16/AZ18</f>
        <v>6.557377049180327E-3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1</v>
      </c>
      <c r="G17" s="20">
        <v>2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4 - 3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Netherlands_lose</v>
      </c>
      <c r="T17" s="127" t="str">
        <f t="shared" si="2"/>
        <v>Japan_win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-1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1</v>
      </c>
      <c r="AH17" s="123">
        <f>COUNTIF($S$7:$T$78,"=" &amp; AE17 &amp; "_lose")</f>
        <v>1</v>
      </c>
      <c r="AI17" s="123">
        <f>SUMIF($E$7:$E$78,$AE17,$F$7:$F$78) + SUMIF($H$7:$H$78,$AE17,$G$7:$G$78)</f>
        <v>3</v>
      </c>
      <c r="AJ17" s="123">
        <f>SUMIF($E$7:$E$78,$AE17,$G$7:$G$78) + SUMIF($H$7:$H$78,$AE17,$F$7:$F$78)</f>
        <v>5</v>
      </c>
      <c r="AL17" s="123">
        <f>AI17-AJ17</f>
        <v>-2</v>
      </c>
      <c r="AM17" s="123">
        <f>AL17-AL18</f>
        <v>0</v>
      </c>
      <c r="AN17" s="123">
        <f>AF17*3+AG17</f>
        <v>4</v>
      </c>
      <c r="AO17" s="123">
        <f>AN17/AN18*10+BA17</f>
        <v>6.7123185011709596</v>
      </c>
      <c r="AP17" s="123">
        <f>AO17*10000000+BI17*100+AM17/AM18*10+AI17/AI18*1++IF(AQ17=0,ROW(),AQ17)/2000000</f>
        <v>67123185.512534305</v>
      </c>
      <c r="AQ17" s="126">
        <f>VLOOKUP(AE17,db_fifarank,2,FALSE)</f>
        <v>1649.4</v>
      </c>
      <c r="AR17" s="125">
        <f>AP17/AP18</f>
        <v>0.78250510037741683</v>
      </c>
      <c r="AT17" s="126" cm="1">
        <f t="array" ref="AT17">SUMPRODUCT(($S$7:$S$78=AE17&amp;"_win")*($U$7:$U$78))+SUMPRODUCT(($T$7:$T$78=AE17&amp;"_win")*($U$7:$U$78))</f>
        <v>1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2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1</v>
      </c>
      <c r="AY17" s="126">
        <f>AX17-MIN(AX14:AX17)</f>
        <v>2</v>
      </c>
      <c r="AZ17" s="126">
        <f>AT17/AT18*1000+AU17/AU18*100+AY17/AY18*10+AV17/AV18</f>
        <v>507.33333333333337</v>
      </c>
      <c r="BA17" s="126">
        <f>AZ17/AZ18</f>
        <v>0.99803278688524588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Brazil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0</v>
      </c>
      <c r="G18" s="20">
        <v>1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2</v>
      </c>
      <c r="N18" s="36">
        <f>VLOOKUP(4,AD14:AN17,5,FALSE)</f>
        <v>1</v>
      </c>
      <c r="O18" s="36" t="str">
        <f>VLOOKUP(4,AD14:AN17,6,FALSE) &amp; " - " &amp; VLOOKUP(4,AD14:AN17,7,FALSE)</f>
        <v>2 - 4</v>
      </c>
      <c r="P18" s="37">
        <f>L18*3+M18</f>
        <v>2</v>
      </c>
      <c r="R18" s="123">
        <f>DATE(2026,6,14)+TIME(15,0,0)+gmt_delta</f>
        <v>46188.166666666664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1</v>
      </c>
      <c r="AI18" s="123">
        <f>MAX(AI14:AI17)+1</f>
        <v>6</v>
      </c>
      <c r="AL18" s="123">
        <f>MIN(AL14:AL17)</f>
        <v>-2</v>
      </c>
      <c r="AM18" s="123">
        <f>MAX(AM14:AM17)+1</f>
        <v>6</v>
      </c>
      <c r="AN18" s="123">
        <f>MAX(AN14:AN17)+1</f>
        <v>7</v>
      </c>
      <c r="AO18" s="123">
        <f>MAX(AO14:AO17)+1</f>
        <v>9.5779859484777514</v>
      </c>
      <c r="AP18" s="123">
        <f>MAX(AP14:AP17)+1</f>
        <v>85779869.652171642</v>
      </c>
      <c r="AT18" s="126">
        <f>MAX(AT14:AT17)-MIN(AT14:AT17)+1</f>
        <v>2</v>
      </c>
      <c r="AU18" s="126">
        <f>MAX(AU14:AU17)-MIN(AU14:AU17)+1</f>
        <v>1</v>
      </c>
      <c r="AV18" s="126">
        <f>MAX(AV14:AV17)-MIN(AV14:AV17)+1</f>
        <v>3</v>
      </c>
      <c r="AW18" s="126">
        <f>MAX(AW14:AW17)-MIN(AW14:AW17)+1</f>
        <v>3</v>
      </c>
      <c r="AY18" s="126">
        <f>MAX(AY14:AY17)-MIN(AY14:AY17)+1</f>
        <v>3</v>
      </c>
      <c r="AZ18" s="126">
        <f>MAX(AZ14:AZ17)+1</f>
        <v>508.33333333333337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Czech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0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Arabia_draw</v>
      </c>
      <c r="T19" s="127" t="str">
        <f t="shared" si="2"/>
        <v>Uruguay_draw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0</v>
      </c>
      <c r="BK19" s="142"/>
      <c r="BL19" s="26" t="str">
        <f>AS15</f>
        <v>Switzerland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2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1</v>
      </c>
      <c r="AG20" s="123">
        <f>COUNTIF($S$7:$T$78,"=" &amp; AE20 &amp; "_draw")</f>
        <v>1</v>
      </c>
      <c r="AH20" s="123">
        <f>COUNTIF($S$7:$T$78,"=" &amp; AE20 &amp; "_lose")</f>
        <v>1</v>
      </c>
      <c r="AI20" s="123">
        <f>SUMIF($E$7:$E$78,$AE20,$F$7:$F$78) + SUMIF($H$7:$H$78,$AE20,$G$7:$G$78)</f>
        <v>3</v>
      </c>
      <c r="AJ20" s="123">
        <f>SUMIF($E$7:$E$78,$AE20,$G$7:$G$78) + SUMIF($H$7:$H$78,$AE20,$F$7:$F$78)</f>
        <v>3</v>
      </c>
      <c r="AL20" s="123">
        <f>AI20-AJ20</f>
        <v>0</v>
      </c>
      <c r="AM20" s="123">
        <f>AL20-AL24</f>
        <v>2</v>
      </c>
      <c r="AN20" s="123">
        <f>AF20*3+AG20</f>
        <v>4</v>
      </c>
      <c r="AO20" s="123">
        <f>AN20/AN24*10+BA20</f>
        <v>6.6948682385575582</v>
      </c>
      <c r="AP20" s="123">
        <f>AO20*10000000+BI20*100+AM20/AM24*10+AI20/AI24*1++IF(AQ20=0,ROW(),AQ20)/2000000</f>
        <v>66948784.278041922</v>
      </c>
      <c r="AQ20" s="126">
        <f>VLOOKUP(AE20,db_fifarank,2,FALSE)</f>
        <v>1761.16</v>
      </c>
      <c r="AR20" s="125">
        <f>AP20/AP24</f>
        <v>0.78106905725902032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Czech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2</v>
      </c>
      <c r="M21" s="31">
        <f>VLOOKUP(1,AD20:AN23,4,FALSE)</f>
        <v>0</v>
      </c>
      <c r="N21" s="31">
        <f>VLOOKUP(1,AD20:AN23,5,FALSE)</f>
        <v>1</v>
      </c>
      <c r="O21" s="31" t="str">
        <f>VLOOKUP(1,AD20:AN23,6,FALSE) &amp; " - " &amp; VLOOKUP(1,AD20:AN23,7,FALSE)</f>
        <v>5 - 2</v>
      </c>
      <c r="P21" s="32">
        <f>L21*3+M21</f>
        <v>6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2</v>
      </c>
      <c r="AL21" s="123">
        <f>AI21-AJ21</f>
        <v>3</v>
      </c>
      <c r="AM21" s="123">
        <f>AL21-AL24</f>
        <v>5</v>
      </c>
      <c r="AN21" s="123">
        <f>AF21*3+AG21</f>
        <v>6</v>
      </c>
      <c r="AO21" s="123">
        <f>AN21/AN24*10+BA21</f>
        <v>8.5714285714285712</v>
      </c>
      <c r="AP21" s="123">
        <f>AO21*10000000+BI21*100+AM21/AM24*10+AI21/AI24*1++IF(AQ21=0,ROW(),AQ21)/2000000</f>
        <v>85714294.881830305</v>
      </c>
      <c r="AQ21" s="126">
        <f>VLOOKUP(AE21,db_fifarank,2,FALSE)</f>
        <v>1755.87</v>
      </c>
      <c r="AR21" s="125">
        <f>AP21/AP24</f>
        <v>0.9999999883333347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Brazil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3 - 3</v>
      </c>
      <c r="P22" s="34">
        <f>L22*3+M22</f>
        <v>4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3</v>
      </c>
      <c r="AE22" s="124" t="str">
        <f>VLOOKUP("Haiti",T,lang,FALSE)</f>
        <v>Haiti</v>
      </c>
      <c r="AF22" s="123">
        <f>COUNTIF($S$7:$T$78,"=" &amp; AE22 &amp; "_win")</f>
        <v>1</v>
      </c>
      <c r="AG22" s="123">
        <f>COUNTIF($S$7:$T$78,"=" &amp; AE22 &amp; "_draw")</f>
        <v>1</v>
      </c>
      <c r="AH22" s="123">
        <f>COUNTIF($S$7:$T$78,"=" &amp; AE22 &amp; "_lose")</f>
        <v>1</v>
      </c>
      <c r="AI22" s="123">
        <f>SUMIF($E$7:$E$78,$AE22,$F$7:$F$78) + SUMIF($H$7:$H$78,$AE22,$G$7:$G$78)</f>
        <v>3</v>
      </c>
      <c r="AJ22" s="123">
        <f>SUMIF($E$7:$E$78,$AE22,$G$7:$G$78) + SUMIF($H$7:$H$78,$AE22,$F$7:$F$78)</f>
        <v>4</v>
      </c>
      <c r="AL22" s="123">
        <f>AI22-AJ22</f>
        <v>-1</v>
      </c>
      <c r="AM22" s="123">
        <f>AL22-AL24</f>
        <v>1</v>
      </c>
      <c r="AN22" s="123">
        <f>AF22*3+AG22</f>
        <v>4</v>
      </c>
      <c r="AO22" s="123">
        <f>AN22/AN24*10+BA22</f>
        <v>6.6948682385575582</v>
      </c>
      <c r="AP22" s="123">
        <f>AO22*10000000+BI22*100+AM22/AM24*10+AI22/AI24*1++IF(AQ22=0,ROW(),AQ22)/2000000</f>
        <v>66948782.611140527</v>
      </c>
      <c r="AQ22" s="126">
        <f>VLOOKUP(AE22,db_fifarank,2,FALSE)</f>
        <v>1291.71</v>
      </c>
      <c r="AR22" s="125">
        <f>AP22/AP24</f>
        <v>0.78106903781183967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1</v>
      </c>
      <c r="AV22" s="126" cm="1">
        <f t="array" ref="AV22">SUMPRODUCT(($E$7:$E$78=AE22)*($U$7:$U$78)*($F$7:$F$78))+SUMPRODUCT(($H$7:$H$78=AE22)*($U$7:$U$78)*($G$7:$G$78))</f>
        <v>1</v>
      </c>
      <c r="AW22" s="126" cm="1">
        <f t="array" ref="AW22">SUMPRODUCT(($E$7:$E$78=AE22)*($U$7:$U$78)*($G$7:$G$78))+SUMPRODUCT(($H$7:$H$78=AE22)*($U$7:$U$78)*($F$7:$F$78))</f>
        <v>1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50.5</v>
      </c>
      <c r="BA22" s="126">
        <f>AZ22/AZ24</f>
        <v>0.98058252427184467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1</v>
      </c>
      <c r="BD22" s="126" cm="1">
        <f t="array" ref="BD22">SUMPRODUCT(($E$7:$E$78=AE22)*($X$7:$X$78)*($F$7:$F$78))+SUMPRODUCT(($H$7:$H$78=AE22)*($X$7:$X$78)*($G$7:$G$78))</f>
        <v>1</v>
      </c>
      <c r="BE22" s="126" cm="1">
        <f t="array" ref="BE22">SUMPRODUCT(($E$7:$E$78=AE22)*($X$7:$X$78)*($G$7:$G$78))+SUMPRODUCT(($H$7:$H$78=AE22)*($X$7:$X$78)*($F$7:$F$78))</f>
        <v>1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50.5</v>
      </c>
      <c r="BI22" s="126">
        <f>BH22/BH24</f>
        <v>0.98058252427184467</v>
      </c>
      <c r="BK22" s="141">
        <v>75</v>
      </c>
      <c r="BL22" s="24" t="str">
        <f>AS38</f>
        <v>Tunisia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0</v>
      </c>
      <c r="H23" s="80" t="str">
        <f>AE57</f>
        <v>Senegal</v>
      </c>
      <c r="J23" s="33" t="str">
        <f>VLOOKUP(3,AD20:AN23,2,FALSE)</f>
        <v>Haiti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3 - 4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4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4</v>
      </c>
      <c r="AL23" s="123">
        <f>AI23-AJ23</f>
        <v>-2</v>
      </c>
      <c r="AM23" s="123">
        <f>AL23-AL24</f>
        <v>0</v>
      </c>
      <c r="AN23" s="123">
        <f>AF23*3+AG23</f>
        <v>3</v>
      </c>
      <c r="AO23" s="123">
        <f>AN23/AN24*10+BA23</f>
        <v>4.2857142857142856</v>
      </c>
      <c r="AP23" s="123">
        <f>AO23*10000000+BI23*100+AM23/AM24*10+AI23/AI24*1++IF(AQ23=0,ROW(),AQ23)/2000000</f>
        <v>42857143.191225372</v>
      </c>
      <c r="AQ23" s="126">
        <f>VLOOKUP(AE23,db_fifarank,2,FALSE)</f>
        <v>1498.35</v>
      </c>
      <c r="AR23" s="125">
        <f>AP23/AP24</f>
        <v>0.49999994458695912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Brazil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Scotland</v>
      </c>
      <c r="K24" s="36">
        <f>L24+M24+N24</f>
        <v>3</v>
      </c>
      <c r="L24" s="36">
        <f>VLOOKUP(4,AD20:AN23,3,FALSE)</f>
        <v>1</v>
      </c>
      <c r="M24" s="36">
        <f>VLOOKUP(4,AD20:AN23,4,FALSE)</f>
        <v>0</v>
      </c>
      <c r="N24" s="36">
        <f>VLOOKUP(4,AD20:AN23,5,FALSE)</f>
        <v>2</v>
      </c>
      <c r="O24" s="36" t="str">
        <f>VLOOKUP(4,AD20:AN23,6,FALSE) &amp; " - " &amp; VLOOKUP(4,AD20:AN23,7,FALSE)</f>
        <v>2 - 4</v>
      </c>
      <c r="P24" s="37">
        <f>L24*3+M24</f>
        <v>3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2</v>
      </c>
      <c r="AG24" s="123">
        <f t="shared" si="14"/>
        <v>2</v>
      </c>
      <c r="AH24" s="123">
        <f t="shared" si="14"/>
        <v>2</v>
      </c>
      <c r="AI24" s="123">
        <f>MAX(AI20:AI23)+1</f>
        <v>6</v>
      </c>
      <c r="AL24" s="123">
        <f>MIN(AL20:AL23)</f>
        <v>-2</v>
      </c>
      <c r="AM24" s="123">
        <f>MAX(AM20:AM23)+1</f>
        <v>6</v>
      </c>
      <c r="AN24" s="123">
        <f>MAX(AN20:AN23)+1</f>
        <v>7</v>
      </c>
      <c r="AO24" s="123">
        <f>MAX(AO20:AO23)+1</f>
        <v>9.5714285714285712</v>
      </c>
      <c r="AP24" s="123">
        <f>MAX(AP20:AP23)+1</f>
        <v>85714295.881830305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1</v>
      </c>
      <c r="V26" s="123">
        <f t="shared" si="3"/>
        <v>2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2</v>
      </c>
      <c r="AL26" s="123">
        <f>AI26-AJ26</f>
        <v>3</v>
      </c>
      <c r="AM26" s="123">
        <f>AL26-AL30</f>
        <v>7</v>
      </c>
      <c r="AN26" s="123">
        <f>AF26*3+AG26</f>
        <v>5</v>
      </c>
      <c r="AO26" s="123">
        <f>AN26/AN30*10+BA26</f>
        <v>6.25</v>
      </c>
      <c r="AP26" s="123">
        <f>AO26*10000000+BI26*100+AM26/AM30*10+AI26/AI30*1++IF(AQ26=0,ROW(),AQ26)/2000000</f>
        <v>62500008.492900059</v>
      </c>
      <c r="AQ26" s="126">
        <f>VLOOKUP(AE26,db_fifarank,2,FALSE)</f>
        <v>1673.13</v>
      </c>
      <c r="AR26" s="125">
        <f>AP26/AP30</f>
        <v>0.7142857236181932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6</v>
      </c>
      <c r="AL27" s="123">
        <f>AI27-AJ27</f>
        <v>-4</v>
      </c>
      <c r="AM27" s="123">
        <f>AL27-AL30</f>
        <v>0</v>
      </c>
      <c r="AN27" s="123">
        <f>AF27*3+AG27</f>
        <v>1</v>
      </c>
      <c r="AO27" s="123">
        <f>AN27/AN30*10+BA27</f>
        <v>1.25</v>
      </c>
      <c r="AP27" s="123">
        <f>AO27*10000000+BI27*100+AM27/AM30*10+AI27/AI30*1++IF(AQ27=0,ROW(),AQ27)/2000000</f>
        <v>12500000.286466036</v>
      </c>
      <c r="AQ27" s="126">
        <f>VLOOKUP(AE27,db_fifarank,2,FALSE)</f>
        <v>1503.5</v>
      </c>
      <c r="AR27" s="125">
        <f>AP27/AP30</f>
        <v>0.1428571285851952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Ghana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0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5 - 2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0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6</v>
      </c>
      <c r="AL28" s="123">
        <f>AI28-AJ28</f>
        <v>-3</v>
      </c>
      <c r="AM28" s="123">
        <f>AL28-AL30</f>
        <v>1</v>
      </c>
      <c r="AN28" s="123">
        <f>AF28*3+AG28</f>
        <v>3</v>
      </c>
      <c r="AO28" s="123">
        <f>AN28/AN30*10+BA28</f>
        <v>3.75</v>
      </c>
      <c r="AP28" s="123">
        <f>AO28*10000000+BI28*100+AM28/AM30*10+AI28/AI30*1++IF(AQ28=0,ROW(),AQ28)/2000000</f>
        <v>37500001.540472873</v>
      </c>
      <c r="AQ28" s="126">
        <f>VLOOKUP(AE28,db_fifarank,2,FALSE)</f>
        <v>1580.67</v>
      </c>
      <c r="AR28" s="125">
        <f>AP28/AP30</f>
        <v>0.42857139353929624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Ghana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3 - 6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1</v>
      </c>
      <c r="V29" s="123">
        <f t="shared" si="3"/>
        <v>3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2</v>
      </c>
      <c r="AL29" s="123">
        <f>AI29-AJ29</f>
        <v>4</v>
      </c>
      <c r="AM29" s="123">
        <f>AL29-AL30</f>
        <v>8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87500009.746831268</v>
      </c>
      <c r="AQ29" s="126">
        <f>VLOOKUP(AE29,db_fifarank,2,FALSE)</f>
        <v>1599.04</v>
      </c>
      <c r="AR29" s="125">
        <f>AP29/AP30</f>
        <v>0.99999998857143002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2 - 6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1</v>
      </c>
      <c r="V30" s="123">
        <f t="shared" si="3"/>
        <v>0</v>
      </c>
      <c r="W30" s="123">
        <f t="shared" si="4"/>
        <v>2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7</v>
      </c>
      <c r="AL30" s="123">
        <f>MIN(AL26:AL29)</f>
        <v>-4</v>
      </c>
      <c r="AM30" s="123">
        <f>MAX(AM26:AM29)+1</f>
        <v>9</v>
      </c>
      <c r="AN30" s="123">
        <f>MAX(AN26:AN29)+1</f>
        <v>8</v>
      </c>
      <c r="AO30" s="123">
        <f>MAX(AO26:AO29)+1</f>
        <v>9.75</v>
      </c>
      <c r="AP30" s="123">
        <f>MAX(AP26:AP29)+1</f>
        <v>87500010.746831268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0</v>
      </c>
      <c r="AH32" s="123">
        <f>COUNTIF($S$7:$T$78,"=" &amp; AE32 &amp; "_lose")</f>
        <v>1</v>
      </c>
      <c r="AI32" s="123">
        <f>SUMIF($E$7:$E$78,$AE32,$F$7:$F$78) + SUMIF($H$7:$H$78,$AE32,$G$7:$G$78)</f>
        <v>4</v>
      </c>
      <c r="AJ32" s="123">
        <f>SUMIF($E$7:$E$78,$AE32,$G$7:$G$78) + SUMIF($H$7:$H$78,$AE32,$F$7:$F$78)</f>
        <v>3</v>
      </c>
      <c r="AL32" s="123">
        <f>AI32-AJ32</f>
        <v>1</v>
      </c>
      <c r="AM32" s="123">
        <f>AL32-AL36</f>
        <v>3</v>
      </c>
      <c r="AN32" s="123">
        <f>AF32*3+AG32</f>
        <v>6</v>
      </c>
      <c r="AO32" s="123">
        <f>AN32/AN36*10+BA32</f>
        <v>9.569466504718303</v>
      </c>
      <c r="AP32" s="123">
        <f>AO32*10000000+BI32*100+AM32/AM36*10+AI32/AI36*1++IF(AQ32=0,ROW(),AQ32)/2000000</f>
        <v>95694671.848048225</v>
      </c>
      <c r="AQ32" s="126">
        <f>VLOOKUP(AE32,db_fifarank,2,FALSE)</f>
        <v>1730.37</v>
      </c>
      <c r="AR32" s="125">
        <f>AP32/AP36</f>
        <v>0.9999999895500975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1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2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2</v>
      </c>
      <c r="AY32" s="126">
        <f>AX32-MIN(AX32:AX35)</f>
        <v>4</v>
      </c>
      <c r="AZ32" s="126">
        <f>AT32/AT36*1000+AU32/AU36*100+AY32/AY36*10+AV32/AV36</f>
        <v>508.66666666666669</v>
      </c>
      <c r="BA32" s="126">
        <f>AZ32/AZ36</f>
        <v>0.99803793328973189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0</v>
      </c>
      <c r="N33" s="31">
        <f>VLOOKUP(1,AD32:AN35,5,FALSE)</f>
        <v>1</v>
      </c>
      <c r="O33" s="31" t="str">
        <f>VLOOKUP(1,AD32:AN35,6,FALSE) &amp; " - " &amp; VLOOKUP(1,AD32:AN35,7,FALSE)</f>
        <v>4 - 3</v>
      </c>
      <c r="P33" s="32">
        <f>L33*3+M33</f>
        <v>6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3</v>
      </c>
      <c r="AE33" s="124" t="str">
        <f>VLOOKUP("Curaçao",T,lang,FALSE)</f>
        <v>Curaçao</v>
      </c>
      <c r="AF33" s="123">
        <f>COUNTIF($S$7:$T$78,"=" &amp; AE33 &amp; "_win")</f>
        <v>1</v>
      </c>
      <c r="AG33" s="123">
        <f>COUNTIF($S$7:$T$78,"=" &amp; AE33 &amp; "_draw")</f>
        <v>0</v>
      </c>
      <c r="AH33" s="123">
        <f>COUNTIF($S$7:$T$78,"=" &amp; AE33 &amp; "_lose")</f>
        <v>2</v>
      </c>
      <c r="AI33" s="123">
        <f>SUMIF($E$7:$E$78,$AE33,$F$7:$F$78) + SUMIF($H$7:$H$78,$AE33,$G$7:$G$78)</f>
        <v>3</v>
      </c>
      <c r="AJ33" s="123">
        <f>SUMIF($E$7:$E$78,$AE33,$G$7:$G$78) + SUMIF($H$7:$H$78,$AE33,$F$7:$F$78)</f>
        <v>4</v>
      </c>
      <c r="AL33" s="123">
        <f>AI33-AJ33</f>
        <v>-1</v>
      </c>
      <c r="AM33" s="123">
        <f>AL33-AL36</f>
        <v>1</v>
      </c>
      <c r="AN33" s="123">
        <f>AF33*3+AG33</f>
        <v>3</v>
      </c>
      <c r="AO33" s="123">
        <f>AN33/AN36*10+BA33</f>
        <v>5.2837522190040174</v>
      </c>
      <c r="AP33" s="123">
        <f>AO33*10000000+BI33*100+AM33/AM36*10+AI33/AI36*1++IF(AQ33=0,ROW(),AQ33)/2000000</f>
        <v>52837524.790687494</v>
      </c>
      <c r="AQ33" s="126">
        <f>VLOOKUP(AE33,db_fifarank,2,FALSE)</f>
        <v>1294.6500000000001</v>
      </c>
      <c r="AR33" s="125">
        <f>AP33/AP36</f>
        <v>0.55214698183447686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1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2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2</v>
      </c>
      <c r="AY33" s="126">
        <f>AX33-MIN(AX32:AX35)</f>
        <v>4</v>
      </c>
      <c r="AZ33" s="126">
        <f>AT33/AT36*1000+AU33/AU36*100+AY33/AY36*10+AV33/AV36</f>
        <v>508.66666666666669</v>
      </c>
      <c r="BA33" s="126">
        <f>AZ33/AZ36</f>
        <v>0.99803793328973189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0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4 - 2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2</v>
      </c>
      <c r="AL34" s="123">
        <f>AI34-AJ34</f>
        <v>2</v>
      </c>
      <c r="AM34" s="123">
        <f>AL34-AL36</f>
        <v>4</v>
      </c>
      <c r="AN34" s="123">
        <f>AF34*3+AG34</f>
        <v>6</v>
      </c>
      <c r="AO34" s="123">
        <f>AN34/AN36*10+BA34</f>
        <v>8.5714285714285712</v>
      </c>
      <c r="AP34" s="123">
        <f>AO34*10000000+BI34*100+AM34/AM36*10+AI34/AI36*1++IF(AQ34=0,ROW(),AQ34)/2000000</f>
        <v>85714294.515052199</v>
      </c>
      <c r="AQ34" s="126">
        <f>VLOOKUP(AE34,db_fifarank,2,FALSE)</f>
        <v>1532.98</v>
      </c>
      <c r="AR34" s="125">
        <f>AP34/AP36</f>
        <v>0.89570601961465834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2</v>
      </c>
      <c r="AX34" s="126">
        <f>AV34-AW34</f>
        <v>-2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1</v>
      </c>
      <c r="G35" s="20">
        <v>1</v>
      </c>
      <c r="H35" s="80" t="str">
        <f>AE22</f>
        <v>Haiti</v>
      </c>
      <c r="J35" s="33" t="str">
        <f>VLOOKUP(3,AD32:AN35,2,FALSE)</f>
        <v>Curaçao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3 - 4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Brazil_draw</v>
      </c>
      <c r="T35" s="127" t="str">
        <f t="shared" si="2"/>
        <v>Haiti_draw</v>
      </c>
      <c r="U35" s="123">
        <f t="shared" si="8"/>
        <v>1</v>
      </c>
      <c r="V35" s="123">
        <f t="shared" si="3"/>
        <v>1</v>
      </c>
      <c r="W35" s="123">
        <f t="shared" si="4"/>
        <v>1</v>
      </c>
      <c r="X35" s="123">
        <f t="shared" si="9"/>
        <v>1</v>
      </c>
      <c r="Y35" s="123">
        <f t="shared" si="10"/>
        <v>1</v>
      </c>
      <c r="Z35" s="123">
        <f t="shared" si="11"/>
        <v>1</v>
      </c>
      <c r="AA35" s="123">
        <f t="shared" si="5"/>
        <v>0</v>
      </c>
      <c r="AB35" s="123">
        <f t="shared" si="6"/>
        <v>0</v>
      </c>
      <c r="AD35" s="123">
        <f>COUNTIF(AR32:AR35,CONCATENATE("&gt;=",AR35))</f>
        <v>4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0</v>
      </c>
      <c r="AH35" s="123">
        <f>COUNTIF($S$7:$T$78,"=" &amp; AE35 &amp; "_lose")</f>
        <v>2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4</v>
      </c>
      <c r="AL35" s="123">
        <f>AI35-AJ35</f>
        <v>-2</v>
      </c>
      <c r="AM35" s="123">
        <f>AL35-AL36</f>
        <v>0</v>
      </c>
      <c r="AN35" s="123">
        <f>AF35*3+AG35</f>
        <v>3</v>
      </c>
      <c r="AO35" s="123">
        <f>AN35/AN36*10+BA35</f>
        <v>4.2857142857142856</v>
      </c>
      <c r="AP35" s="123">
        <f>AO35*10000000+BI35*100+AM35/AM36*10+AI35/AI36*1++IF(AQ35=0,ROW(),AQ35)/2000000</f>
        <v>42857143.257940248</v>
      </c>
      <c r="AQ35" s="126">
        <f>VLOOKUP(AE35,db_fifarank,2,FALSE)</f>
        <v>1594.78</v>
      </c>
      <c r="AR35" s="125">
        <f>AP35/AP36</f>
        <v>0.44785296801204705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2</v>
      </c>
      <c r="AX35" s="126">
        <f>AV35-AW35</f>
        <v>-2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Ecuador</v>
      </c>
      <c r="K36" s="36">
        <f>L36+M36+N36</f>
        <v>3</v>
      </c>
      <c r="L36" s="36">
        <f>VLOOKUP(4,AD32:AN35,3,FALSE)</f>
        <v>1</v>
      </c>
      <c r="M36" s="36">
        <f>VLOOKUP(4,AD32:AN35,4,FALSE)</f>
        <v>0</v>
      </c>
      <c r="N36" s="36">
        <f>VLOOKUP(4,AD32:AN35,5,FALSE)</f>
        <v>2</v>
      </c>
      <c r="O36" s="36" t="str">
        <f>VLOOKUP(4,AD32:AN35,6,FALSE) &amp; " - " &amp; VLOOKUP(4,AD32:AN35,7,FALSE)</f>
        <v>2 - 4</v>
      </c>
      <c r="P36" s="37">
        <f>L36*3+M36</f>
        <v>3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2</v>
      </c>
      <c r="AG36" s="123">
        <f t="shared" si="16"/>
        <v>1</v>
      </c>
      <c r="AH36" s="123">
        <f t="shared" si="16"/>
        <v>2</v>
      </c>
      <c r="AI36" s="123">
        <f>MAX(AI32:AI35)+1</f>
        <v>5</v>
      </c>
      <c r="AL36" s="123">
        <f>MIN(AL32:AL35)</f>
        <v>-2</v>
      </c>
      <c r="AM36" s="123">
        <f>MAX(AM32:AM35)+1</f>
        <v>5</v>
      </c>
      <c r="AN36" s="123">
        <f>MAX(AN32:AN35)+1</f>
        <v>7</v>
      </c>
      <c r="AO36" s="123">
        <f>MAX(AO32:AO35)+1</f>
        <v>10.569466504718303</v>
      </c>
      <c r="AP36" s="123">
        <f>MAX(AP32:AP35)+1</f>
        <v>95694672.848048225</v>
      </c>
      <c r="AT36" s="126">
        <f>MAX(AT32:AT35)-MIN(AT32:AT35)+1</f>
        <v>2</v>
      </c>
      <c r="AU36" s="126">
        <f>MAX(AU32:AU35)-MIN(AU32:AU35)+1</f>
        <v>1</v>
      </c>
      <c r="AV36" s="126">
        <f>MAX(AV32:AV35)-MIN(AV32:AV35)+1</f>
        <v>3</v>
      </c>
      <c r="AW36" s="126">
        <f>MAX(AW32:AW35)-MIN(AW32:AW35)+1</f>
        <v>3</v>
      </c>
      <c r="AY36" s="126">
        <f>MAX(AY32:AY35)-MIN(AY32:AY35)+1</f>
        <v>5</v>
      </c>
      <c r="AZ36" s="126">
        <f>MAX(AZ32:AZ35)+1</f>
        <v>509.66666666666669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3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3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3</v>
      </c>
      <c r="AE38" s="124" t="str">
        <f>VLOOKUP("Netherlands",T,lang,FALSE)</f>
        <v>Netherlands</v>
      </c>
      <c r="AF38" s="123">
        <f>COUNTIF($S$7:$T$78,"=" &amp; AE38 &amp; "_win")</f>
        <v>1</v>
      </c>
      <c r="AG38" s="123">
        <f>COUNTIF($S$7:$T$78,"=" &amp; AE38 &amp; "_draw")</f>
        <v>1</v>
      </c>
      <c r="AH38" s="123">
        <f>COUNTIF($S$7:$T$78,"=" &amp; AE38 &amp; "_lose")</f>
        <v>1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3</v>
      </c>
      <c r="AL38" s="123">
        <f>AI38-AJ38</f>
        <v>2</v>
      </c>
      <c r="AM38" s="123">
        <f>AL38-AL42</f>
        <v>4</v>
      </c>
      <c r="AN38" s="123">
        <f>AF38*3+AG38</f>
        <v>4</v>
      </c>
      <c r="AO38" s="123">
        <f>AN38/AN42*10+BA38</f>
        <v>5.7226837827299715</v>
      </c>
      <c r="AP38" s="123">
        <f>AO38*10000000+BI38*100+AM38/AM42*10+AI38/AI42*1++IF(AQ38=0,ROW(),AQ38)/2000000</f>
        <v>57226846.661511987</v>
      </c>
      <c r="AQ38" s="126">
        <f>VLOOKUP(AE38,db_fifarank,2,FALSE)</f>
        <v>1757.87</v>
      </c>
      <c r="AR38" s="125">
        <f>AP38/AP42</f>
        <v>0.59801481089471187</v>
      </c>
      <c r="AS38" s="125" t="str">
        <f>IF(SUM(AF38:AH41)=12,J39,"1F")</f>
        <v>Tunisia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3</v>
      </c>
      <c r="AZ38" s="126">
        <f>AT38/AT42*1000+AU38/AU42*100+AY38/AY42*10+AV38/AV42</f>
        <v>4.2857142857142856</v>
      </c>
      <c r="BA38" s="126">
        <f>AZ38/AZ42</f>
        <v>8.3980684442578214E-3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Tunisia</v>
      </c>
      <c r="K39" s="31">
        <f>L39+M39+N39</f>
        <v>3</v>
      </c>
      <c r="L39" s="31">
        <f>VLOOKUP(1,AD38:AN41,3,FALSE)</f>
        <v>2</v>
      </c>
      <c r="M39" s="31">
        <f>VLOOKUP(1,AD38:AN41,4,FALSE)</f>
        <v>0</v>
      </c>
      <c r="N39" s="31">
        <f>VLOOKUP(1,AD38:AN41,5,FALSE)</f>
        <v>1</v>
      </c>
      <c r="O39" s="31" t="str">
        <f>VLOOKUP(1,AD38:AN41,6,FALSE) &amp; " - " &amp; VLOOKUP(1,AD38:AN41,7,FALSE)</f>
        <v>4 - 3</v>
      </c>
      <c r="P39" s="32">
        <f>L39*3+M39</f>
        <v>6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1</v>
      </c>
      <c r="V39" s="123">
        <f t="shared" si="3"/>
        <v>2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5</v>
      </c>
      <c r="AL39" s="123">
        <f>AI39-AJ39</f>
        <v>-1</v>
      </c>
      <c r="AM39" s="123">
        <f>AL39-AL42</f>
        <v>1</v>
      </c>
      <c r="AN39" s="123">
        <f>AF39*3+AG39</f>
        <v>6</v>
      </c>
      <c r="AO39" s="123">
        <f>AN39/AN42*10+BA39</f>
        <v>8.5714285714285712</v>
      </c>
      <c r="AP39" s="123">
        <f>AO39*10000000+BI39*100+AM39/AM42*10+AI39/AI42*1++IF(AQ39=0,ROW(),AQ39)/2000000</f>
        <v>85714288.381782606</v>
      </c>
      <c r="AQ39" s="126">
        <f>VLOOKUP(AE39,db_fifarank,2,FALSE)</f>
        <v>1660.43</v>
      </c>
      <c r="AR39" s="125">
        <f>AP39/AP42</f>
        <v>0.89570572114155045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3</v>
      </c>
      <c r="AX39" s="126">
        <f>AV39-AW39</f>
        <v>-3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Jordan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0</v>
      </c>
      <c r="G40" s="20">
        <v>2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4 - 5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Ecuador_lose</v>
      </c>
      <c r="T40" s="127" t="str">
        <f t="shared" si="2"/>
        <v>Curaçao_win</v>
      </c>
      <c r="U40" s="123">
        <f t="shared" si="8"/>
        <v>1</v>
      </c>
      <c r="V40" s="123">
        <f t="shared" si="3"/>
        <v>0</v>
      </c>
      <c r="W40" s="123">
        <f t="shared" si="4"/>
        <v>2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-1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4</v>
      </c>
      <c r="AL40" s="123">
        <f>AI40-AJ40</f>
        <v>-2</v>
      </c>
      <c r="AM40" s="123">
        <f>AL40-AL42</f>
        <v>0</v>
      </c>
      <c r="AN40" s="123">
        <f>AF40*3+AG40</f>
        <v>1</v>
      </c>
      <c r="AO40" s="123">
        <f>AN40/AN42*10+BA40</f>
        <v>1.4369694970156861</v>
      </c>
      <c r="AP40" s="123">
        <f>AO40*10000000+BI40*100+AM40/AM42*10+AI40/AI42*1++IF(AQ40=0,ROW(),AQ40)/2000000</f>
        <v>14369695.30424758</v>
      </c>
      <c r="AQ40" s="126">
        <f>VLOOKUP(AE40,db_fifarank,2,FALSE)</f>
        <v>1514.77</v>
      </c>
      <c r="AR40" s="125">
        <f>AP40/AP42</f>
        <v>0.15016187543605611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3</v>
      </c>
      <c r="AZ40" s="126">
        <f>AT40/AT42*1000+AU40/AU42*100+AY40/AY42*10+AV40/AV42</f>
        <v>4.2857142857142856</v>
      </c>
      <c r="BA40" s="126">
        <f>AZ40/AZ42</f>
        <v>8.3980684442578214E-3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1</v>
      </c>
      <c r="H41" s="80" t="str">
        <f>AE40</f>
        <v>Sweden</v>
      </c>
      <c r="J41" s="33" t="str">
        <f>VLOOKUP(3,AD38:AN41,2,FALSE)</f>
        <v>Netherlands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5 - 3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1</v>
      </c>
      <c r="AE41" s="124" t="str">
        <f>VLOOKUP("Tunisia",T,lang,FALSE)</f>
        <v>Tunisia</v>
      </c>
      <c r="AF41" s="123">
        <f>COUNTIF($S$7:$T$78,"=" &amp; AE41 &amp; "_win")</f>
        <v>2</v>
      </c>
      <c r="AG41" s="123">
        <f>COUNTIF($S$7:$T$78,"=" &amp; AE41 &amp; "_draw")</f>
        <v>0</v>
      </c>
      <c r="AH41" s="123">
        <f>COUNTIF($S$7:$T$78,"=" &amp; AE41 &amp; "_lose")</f>
        <v>1</v>
      </c>
      <c r="AI41" s="123">
        <f>SUMIF($E$7:$E$78,$AE41,$F$7:$F$78) + SUMIF($H$7:$H$78,$AE41,$G$7:$G$78)</f>
        <v>4</v>
      </c>
      <c r="AJ41" s="123">
        <f>SUMIF($E$7:$E$78,$AE41,$G$7:$G$78) + SUMIF($H$7:$H$78,$AE41,$F$7:$F$78)</f>
        <v>3</v>
      </c>
      <c r="AL41" s="123">
        <f>AI41-AJ41</f>
        <v>1</v>
      </c>
      <c r="AM41" s="123">
        <f>AL41-AL42</f>
        <v>3</v>
      </c>
      <c r="AN41" s="123">
        <f>AF41*3+AG41</f>
        <v>6</v>
      </c>
      <c r="AO41" s="123">
        <f>AN41/AN42*10+BA41</f>
        <v>9.5694690221249115</v>
      </c>
      <c r="AP41" s="123">
        <f>AO41*10000000+BI41*100+AM41/AM42*10+AI41/AI42*1++IF(AQ41=0,ROW(),AQ41)/2000000</f>
        <v>95694696.888657317</v>
      </c>
      <c r="AQ41" s="126">
        <f>VLOOKUP(AE41,db_fifarank,2,FALSE)</f>
        <v>1483.05</v>
      </c>
      <c r="AR41" s="125">
        <f>AP41/AP42</f>
        <v>0.99999998955010028</v>
      </c>
      <c r="AT41" s="126" cm="1">
        <f t="array" ref="AT41">SUMPRODUCT(($S$7:$S$78=AE41&amp;"_win")*($U$7:$U$78))+SUMPRODUCT(($T$7:$T$78=AE41&amp;"_win")*($U$7:$U$78))</f>
        <v>1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3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3</v>
      </c>
      <c r="AY41" s="126">
        <f>AX41-MIN(AX38:AX41)</f>
        <v>6</v>
      </c>
      <c r="AZ41" s="126">
        <f>AT41/AT42*1000+AU41/AU42*100+AY41/AY42*10+AV41/AV42</f>
        <v>509.32142857142856</v>
      </c>
      <c r="BA41" s="126">
        <f>AZ41/AZ42</f>
        <v>0.99804045069633984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3</v>
      </c>
      <c r="G42" s="20">
        <v>0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2 - 4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Tunisia_win</v>
      </c>
      <c r="T42" s="127" t="str">
        <f t="shared" si="2"/>
        <v>Japan_lose</v>
      </c>
      <c r="U42" s="123">
        <f t="shared" si="8"/>
        <v>1</v>
      </c>
      <c r="V42" s="123">
        <f t="shared" si="3"/>
        <v>3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2</v>
      </c>
      <c r="AI42" s="123">
        <f>MAX(AI38:AI41)+1</f>
        <v>6</v>
      </c>
      <c r="AL42" s="123">
        <f>MIN(AL38:AL41)</f>
        <v>-2</v>
      </c>
      <c r="AM42" s="123">
        <f>MAX(AM38:AM41)+1</f>
        <v>5</v>
      </c>
      <c r="AN42" s="123">
        <f>MAX(AN38:AN41)+1</f>
        <v>7</v>
      </c>
      <c r="AO42" s="123">
        <f>MAX(AO38:AO41)+1</f>
        <v>10.569469022124911</v>
      </c>
      <c r="AP42" s="123">
        <f>MAX(AP38:AP41)+1</f>
        <v>95694697.888657317</v>
      </c>
      <c r="AT42" s="126">
        <f>MAX(AT38:AT41)-MIN(AT38:AT41)+1</f>
        <v>2</v>
      </c>
      <c r="AU42" s="126">
        <f>MAX(AU38:AU41)-MIN(AU38:AU41)+1</f>
        <v>1</v>
      </c>
      <c r="AV42" s="126">
        <f>MAX(AV38:AV41)-MIN(AV38:AV41)+1</f>
        <v>4</v>
      </c>
      <c r="AW42" s="126">
        <f>MAX(AW38:AW41)-MIN(AW38:AW41)+1</f>
        <v>4</v>
      </c>
      <c r="AY42" s="126">
        <f>MAX(AY38:AY41)-MIN(AY38:AY41)+1</f>
        <v>7</v>
      </c>
      <c r="AZ42" s="126">
        <f>MAX(AZ38:AZ41)+1</f>
        <v>510.32142857142856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Morocco</v>
      </c>
      <c r="BM42" s="61">
        <v>0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1</v>
      </c>
      <c r="AL44" s="123">
        <f>AI44-AJ44</f>
        <v>7</v>
      </c>
      <c r="AM44" s="123">
        <f>AL44-AL48</f>
        <v>12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90000010.120525479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Japan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0</v>
      </c>
      <c r="AH45" s="123">
        <f>COUNTIF($S$7:$T$78,"=" &amp; AE45 &amp; "_lose")</f>
        <v>2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4</v>
      </c>
      <c r="AL45" s="123">
        <f>AI45-AJ45</f>
        <v>-1</v>
      </c>
      <c r="AM45" s="123">
        <f>AL45-AL48</f>
        <v>4</v>
      </c>
      <c r="AN45" s="123">
        <f>AF45*3+AG45</f>
        <v>3</v>
      </c>
      <c r="AO45" s="123">
        <f>AN45/AN48*10+BA45</f>
        <v>3</v>
      </c>
      <c r="AP45" s="123">
        <f>AO45*10000000+BI45*100+AM45/AM48*10+AI45/AI48*1++IF(AQ45=0,ROW(),AQ45)/2000000</f>
        <v>30000003.41103803</v>
      </c>
      <c r="AQ45" s="126">
        <f>VLOOKUP(AE45,db_fifarank,2,FALSE)</f>
        <v>1563.24</v>
      </c>
      <c r="AR45" s="125">
        <f>AP45/AP48</f>
        <v>0.33333333004662491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3 - 4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4</v>
      </c>
      <c r="AL46" s="123">
        <f>AI46-AJ46</f>
        <v>-1</v>
      </c>
      <c r="AM46" s="123">
        <f>AL46-AL48</f>
        <v>4</v>
      </c>
      <c r="AN46" s="123">
        <f>AF46*3+AG46</f>
        <v>4</v>
      </c>
      <c r="AO46" s="123">
        <f>AN46/AN48*10+BA46</f>
        <v>4</v>
      </c>
      <c r="AP46" s="123">
        <f>AO46*10000000+BI46*100+AM46/AM48*10+AI46/AI48*1++IF(AQ46=0,ROW(),AQ46)/2000000</f>
        <v>40000003.411064066</v>
      </c>
      <c r="AQ46" s="126">
        <f>VLOOKUP(AE46,db_fifarank,2,FALSE)</f>
        <v>1615.3</v>
      </c>
      <c r="AR46" s="125">
        <f>AP46/AP48</f>
        <v>0.44444442742898316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Ivory Coast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3</v>
      </c>
      <c r="G47" s="20">
        <v>0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3 - 4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6</v>
      </c>
      <c r="AL47" s="123">
        <f>AI47-AJ47</f>
        <v>-5</v>
      </c>
      <c r="AM47" s="123">
        <f>AL47-AL48</f>
        <v>0</v>
      </c>
      <c r="AN47" s="123">
        <f>AF47*3+AG47</f>
        <v>1</v>
      </c>
      <c r="AO47" s="123">
        <f>AN47/AN48*10+BA47</f>
        <v>1</v>
      </c>
      <c r="AP47" s="123">
        <f>AO47*10000000+BI47*100+AM47/AM48*10+AI47/AI48*1++IF(AQ47=0,ROW(),AQ47)/2000000</f>
        <v>10000000.111751897</v>
      </c>
      <c r="AQ47" s="126">
        <f>VLOOKUP(AE47,db_fifarank,2,FALSE)</f>
        <v>1281.57</v>
      </c>
      <c r="AR47" s="125">
        <f>AP47/AP48</f>
        <v>0.11111109862375659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1 - 6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9</v>
      </c>
      <c r="AL48" s="123">
        <f>MIN(AL44:AL47)</f>
        <v>-5</v>
      </c>
      <c r="AM48" s="123">
        <f>MAX(AM44:AM47)+1</f>
        <v>13</v>
      </c>
      <c r="AN48" s="123">
        <f>MAX(AN44:AN47)+1</f>
        <v>10</v>
      </c>
      <c r="AO48" s="123">
        <f>MAX(AO44:AO47)+1</f>
        <v>10</v>
      </c>
      <c r="AP48" s="123">
        <f>MAX(AP44:AP47)+1</f>
        <v>90000011.120525479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Japan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1</v>
      </c>
      <c r="V49" s="123">
        <f t="shared" si="21"/>
        <v>3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Mexico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42"/>
      <c r="CN49" s="26" t="str">
        <f>IF(CK55&gt;CK56,CG56,IF(CK55&lt;CK56,CG55,""))</f>
        <v>Japan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2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Jordan_win</v>
      </c>
      <c r="T50" s="127" t="str">
        <f t="shared" si="20"/>
        <v>Algeria_lose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5</v>
      </c>
      <c r="AJ50" s="123">
        <f>SUMIF($E$7:$E$78,$AE50,$G$7:$G$78) + SUMIF($H$7:$H$78,$AE50,$F$7:$F$78)</f>
        <v>1</v>
      </c>
      <c r="AL50" s="123">
        <f>AI50-AJ50</f>
        <v>4</v>
      </c>
      <c r="AM50" s="123">
        <f>AL50-AL54</f>
        <v>8</v>
      </c>
      <c r="AN50" s="123">
        <f>AF50*3+AG50</f>
        <v>7</v>
      </c>
      <c r="AO50" s="123">
        <f>AN50/AN54*10+BA50</f>
        <v>8.75</v>
      </c>
      <c r="AP50" s="123">
        <f>AO50*10000000+BI50*100+AM50/AM54*10+AI50/AI54*1++IF(AQ50=0,ROW(),AQ50)/2000000</f>
        <v>87500009.723160431</v>
      </c>
      <c r="AQ50" s="126">
        <f>VLOOKUP(AE50,db_fifarank,2,FALSE)</f>
        <v>1876.4</v>
      </c>
      <c r="AR50" s="125">
        <f>AP50/AP54</f>
        <v>0.99999998857143002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5 - 1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6</v>
      </c>
      <c r="AL51" s="123">
        <f>AI51-AJ51</f>
        <v>-4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0.3340163983333333</v>
      </c>
      <c r="AQ51" s="126">
        <f>VLOOKUP(AE51,db_fifarank,2,FALSE)</f>
        <v>1366.13</v>
      </c>
      <c r="AR51" s="125">
        <f>AP51/AP54</f>
        <v>3.8173297988513535E-9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Saudi Arabia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0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1</v>
      </c>
      <c r="M52" s="23">
        <f>VLOOKUP(2,AD50:AN53,4,FALSE)</f>
        <v>2</v>
      </c>
      <c r="N52" s="23">
        <f>VLOOKUP(2,AD50:AN53,5,FALSE)</f>
        <v>0</v>
      </c>
      <c r="O52" s="23" t="str">
        <f>VLOOKUP(2,AD50:AN53,6,FALSE) &amp; " - " &amp; VLOOKUP(2,AD50:AN53,7,FALSE)</f>
        <v>3 - 2</v>
      </c>
      <c r="P52" s="34">
        <f>L52*3+M52</f>
        <v>5</v>
      </c>
      <c r="R52" s="123">
        <f>DATE(2026,6,23)+TIME(12,0,0)+gmt_delta</f>
        <v>46197.041666666664</v>
      </c>
      <c r="S52" s="127" t="str">
        <f t="shared" si="19"/>
        <v>Panama_win</v>
      </c>
      <c r="T52" s="127" t="str">
        <f t="shared" si="20"/>
        <v>Croatia_lose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1</v>
      </c>
      <c r="AH52" s="123">
        <f>COUNTIF($S$7:$T$78,"=" &amp; AE52 &amp; "_lose")</f>
        <v>1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3</v>
      </c>
      <c r="AL52" s="123">
        <f>AI52-AJ52</f>
        <v>-1</v>
      </c>
      <c r="AM52" s="123">
        <f>AL52-AL54</f>
        <v>3</v>
      </c>
      <c r="AN52" s="123">
        <f>AF52*3+AG52</f>
        <v>4</v>
      </c>
      <c r="AO52" s="123">
        <f>AN52/AN54*10+BA52</f>
        <v>5</v>
      </c>
      <c r="AP52" s="123">
        <f>AO52*10000000+BI52*100+AM52/AM54*10+AI52/AI54*1++IF(AQ52=0,ROW(),AQ52)/2000000</f>
        <v>50000003.66737739</v>
      </c>
      <c r="AQ52" s="126">
        <f>VLOOKUP(AE52,db_fifarank,2,FALSE)</f>
        <v>1421.43</v>
      </c>
      <c r="AR52" s="125">
        <f>AP52/AP54</f>
        <v>0.57142854331265647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1</v>
      </c>
      <c r="G53" s="20">
        <v>2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1</v>
      </c>
      <c r="N53" s="23">
        <f>VLOOKUP(3,AD50:AN53,5,FALSE)</f>
        <v>1</v>
      </c>
      <c r="O53" s="23" t="str">
        <f>VLOOKUP(3,AD50:AN53,6,FALSE) &amp; " - " &amp; VLOOKUP(3,AD50:AN53,7,FALSE)</f>
        <v>2 - 3</v>
      </c>
      <c r="P53" s="34">
        <f>L53*3+M53</f>
        <v>4</v>
      </c>
      <c r="R53" s="123">
        <f>DATE(2026,6,23)+TIME(6,0,0)+gmt_delta</f>
        <v>46196.791666666664</v>
      </c>
      <c r="S53" s="127" t="str">
        <f t="shared" si="19"/>
        <v>Portugal_lose</v>
      </c>
      <c r="T53" s="127" t="str">
        <f t="shared" si="20"/>
        <v>Uzbekistan_win</v>
      </c>
      <c r="U53" s="123">
        <f t="shared" si="8"/>
        <v>1</v>
      </c>
      <c r="V53" s="123">
        <f t="shared" si="21"/>
        <v>1</v>
      </c>
      <c r="W53" s="123">
        <f t="shared" si="22"/>
        <v>2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-1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2</v>
      </c>
      <c r="AH53" s="123">
        <f>COUNTIF($S$7:$T$78,"=" &amp; AE53 &amp; "_lose")</f>
        <v>0</v>
      </c>
      <c r="AI53" s="123">
        <f>SUMIF($E$7:$E$78,$AE53,$F$7:$F$78) + SUMIF($H$7:$H$78,$AE53,$G$7:$G$78)</f>
        <v>3</v>
      </c>
      <c r="AJ53" s="123">
        <f>SUMIF($E$7:$E$78,$AE53,$G$7:$G$78) + SUMIF($H$7:$H$78,$AE53,$F$7:$F$78)</f>
        <v>2</v>
      </c>
      <c r="AL53" s="123">
        <f>AI53-AJ53</f>
        <v>1</v>
      </c>
      <c r="AM53" s="123">
        <f>AL53-AL54</f>
        <v>5</v>
      </c>
      <c r="AN53" s="123">
        <f>AF53*3+AG53</f>
        <v>5</v>
      </c>
      <c r="AO53" s="123">
        <f>AN53/AN54*10+BA53</f>
        <v>6.25</v>
      </c>
      <c r="AP53" s="123">
        <f>AO53*10000000+BI53*100+AM53/AM54*10+AI53/AI54*1++IF(AQ53=0,ROW(),AQ53)/2000000</f>
        <v>62500006.056392089</v>
      </c>
      <c r="AQ53" s="126">
        <f>VLOOKUP(AE53,db_fifarank,2,FALSE)</f>
        <v>1673.07</v>
      </c>
      <c r="AR53" s="125">
        <f>AP53/AP54</f>
        <v>0.71428569596562264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Uzbekistan</v>
      </c>
      <c r="BT53" s="62">
        <v>0</v>
      </c>
      <c r="BU53" s="64"/>
      <c r="BV53" s="27"/>
      <c r="BW53" s="112">
        <f>IF(BW52="","",BT53*1000+BU53*10+BV53)</f>
        <v>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0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2 - 6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Colombia_lose</v>
      </c>
      <c r="T54" s="127" t="str">
        <f t="shared" si="20"/>
        <v>DR Congo_win</v>
      </c>
      <c r="U54" s="123">
        <f t="shared" si="8"/>
        <v>1</v>
      </c>
      <c r="V54" s="123">
        <f t="shared" si="21"/>
        <v>0</v>
      </c>
      <c r="W54" s="123">
        <f t="shared" si="22"/>
        <v>1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-1</v>
      </c>
      <c r="AF54" s="123">
        <f t="shared" ref="AF54:AH54" si="25">MAX(AF50:AF53)-MIN(AF50:AF53)+1</f>
        <v>3</v>
      </c>
      <c r="AG54" s="123">
        <f t="shared" si="25"/>
        <v>3</v>
      </c>
      <c r="AH54" s="123">
        <f t="shared" si="25"/>
        <v>4</v>
      </c>
      <c r="AI54" s="123">
        <f>MAX(AI50:AI53)+1</f>
        <v>6</v>
      </c>
      <c r="AL54" s="123">
        <f>MIN(AL50:AL53)</f>
        <v>-4</v>
      </c>
      <c r="AM54" s="123">
        <f>MAX(AM50:AM53)+1</f>
        <v>9</v>
      </c>
      <c r="AN54" s="123">
        <f>MAX(AN50:AN53)+1</f>
        <v>8</v>
      </c>
      <c r="AO54" s="123">
        <f>MAX(AO50:AO53)+1</f>
        <v>9.75</v>
      </c>
      <c r="AP54" s="123">
        <f>MAX(AP50:AP53)+1</f>
        <v>87500010.723160431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0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Uzbekistan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Japan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1</v>
      </c>
      <c r="G56" s="20">
        <v>2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Morocco_lose</v>
      </c>
      <c r="T56" s="127" t="str">
        <f t="shared" si="20"/>
        <v>Haiti_win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-1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0</v>
      </c>
      <c r="AL56" s="123">
        <f>AI56-AJ56</f>
        <v>8</v>
      </c>
      <c r="AM56" s="123">
        <f>AL56-AL60</f>
        <v>14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90000010.223160878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8 - 0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1</v>
      </c>
      <c r="V57" s="123">
        <f t="shared" si="21"/>
        <v>2</v>
      </c>
      <c r="W57" s="123">
        <f t="shared" si="22"/>
        <v>1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2</v>
      </c>
      <c r="AJ57" s="123">
        <f>SUMIF($E$7:$E$78,$AE57,$G$7:$G$78) + SUMIF($H$7:$H$78,$AE57,$F$7:$F$78)</f>
        <v>6</v>
      </c>
      <c r="AL57" s="123">
        <f>AI57-AJ57</f>
        <v>-4</v>
      </c>
      <c r="AM57" s="123">
        <f>AL57-AL60</f>
        <v>2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30000001.556400049</v>
      </c>
      <c r="AQ57" s="126">
        <f>VLOOKUP(AE57,db_fifarank,2,FALSE)</f>
        <v>1688.99</v>
      </c>
      <c r="AR57" s="125">
        <f>AP57/AP60</f>
        <v>0.33333330905940772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2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5 - 3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6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8.0396656641059883E-12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2 - 6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3</v>
      </c>
      <c r="AL59" s="123">
        <f>AI59-AJ59</f>
        <v>2</v>
      </c>
      <c r="AM59" s="123">
        <f>AL59-AL60</f>
        <v>8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60000005.889664359</v>
      </c>
      <c r="AQ59" s="126">
        <f>VLOOKUP(AE59,db_fifarank,2,FALSE)</f>
        <v>1550.94</v>
      </c>
      <c r="AR59" s="125">
        <f>AP59/AP60</f>
        <v>0.66666664897285899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0 - 6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9</v>
      </c>
      <c r="AL60" s="123">
        <f>MIN(AL56:AL59)</f>
        <v>-6</v>
      </c>
      <c r="AM60" s="123">
        <f>MAX(AM56:AM59)+1</f>
        <v>15</v>
      </c>
      <c r="AN60" s="123">
        <f>MAX(AN56:AN59)+1</f>
        <v>10</v>
      </c>
      <c r="AO60" s="123">
        <f>MAX(AO56:AO59)+1</f>
        <v>10</v>
      </c>
      <c r="AP60" s="123">
        <f>MAX(AP56:AP59)+1</f>
        <v>90000011.223160878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Iran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2</v>
      </c>
      <c r="G62" s="20">
        <v>0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Ecuador_win</v>
      </c>
      <c r="T62" s="127" t="str">
        <f t="shared" si="20"/>
        <v>Germany_lose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0</v>
      </c>
      <c r="AH62" s="123">
        <f>COUNTIF($S$7:$T$78,"=" &amp; AE62 &amp; "_lose")</f>
        <v>1</v>
      </c>
      <c r="AI62" s="123">
        <f>SUMIF($E$7:$E$78,$AE62,$F$7:$F$78) + SUMIF($H$7:$H$78,$AE62,$G$7:$G$78)</f>
        <v>5</v>
      </c>
      <c r="AJ62" s="123">
        <f>SUMIF($E$7:$E$78,$AE62,$G$7:$G$78) + SUMIF($H$7:$H$78,$AE62,$F$7:$F$78)</f>
        <v>1</v>
      </c>
      <c r="AL62" s="123">
        <f>AI62-AJ62</f>
        <v>4</v>
      </c>
      <c r="AM62" s="123">
        <f>AL62-AL66</f>
        <v>9</v>
      </c>
      <c r="AN62" s="123">
        <f>AF62*3+AG62</f>
        <v>6</v>
      </c>
      <c r="AO62" s="123">
        <f>AN62/AN66*10+BA62</f>
        <v>9.5694648993618063</v>
      </c>
      <c r="AP62" s="123">
        <f>AO62*10000000+BI62*100+AM62/AM66*10+AI62/AI66*1++IF(AQ62=0,ROW(),AQ62)/2000000</f>
        <v>95694658.827888802</v>
      </c>
      <c r="AQ62" s="126">
        <f>VLOOKUP(AE62,db_fifarank,2,FALSE)</f>
        <v>1874.82</v>
      </c>
      <c r="AR62" s="125">
        <f>AP62/AP66</f>
        <v>0.99999998955009606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1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3</v>
      </c>
      <c r="AW62" s="126" cm="1">
        <f t="array" ref="AW62">SUMPRODUCT(($E$7:$E$78=AE62)*($U$7:$U$78)*($G$7:$G$78))+SUMPRODUCT(($H$7:$H$78=AE62)*($U$7:$U$78)*($F$7:$F$78))</f>
        <v>1</v>
      </c>
      <c r="AX62" s="126">
        <f>AV62-AW62</f>
        <v>2</v>
      </c>
      <c r="AY62" s="126">
        <f>AX62-MIN(AX62:AX65)</f>
        <v>3</v>
      </c>
      <c r="AZ62" s="126">
        <f>AT62/AT66*1000+AU62/AU66*100+AY62/AY66*10+AV62/AV66</f>
        <v>508.25</v>
      </c>
      <c r="BA62" s="126">
        <f>AZ62/AZ66</f>
        <v>0.99803632793323516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0</v>
      </c>
      <c r="N63" s="31">
        <f>VLOOKUP(1,AD62:AN65,5,FALSE)</f>
        <v>1</v>
      </c>
      <c r="O63" s="31" t="str">
        <f>VLOOKUP(1,AD62:AN65,6,FALSE) &amp; " - " &amp; VLOOKUP(1,AD62:AN65,7,FALSE)</f>
        <v>5 - 1</v>
      </c>
      <c r="P63" s="32">
        <f>L63*3+M63</f>
        <v>6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4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0</v>
      </c>
      <c r="AH63" s="123">
        <f>COUNTIF($S$7:$T$78,"=" &amp; AE63 &amp; "_lose")</f>
        <v>3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6</v>
      </c>
      <c r="AL63" s="123">
        <f>AI63-AJ63</f>
        <v>-5</v>
      </c>
      <c r="AM63" s="123">
        <f>AL63-AL66</f>
        <v>0</v>
      </c>
      <c r="AN63" s="123">
        <f>AF63*3+AG63</f>
        <v>0</v>
      </c>
      <c r="AO63" s="123">
        <f>AN63/AN66*10+BA63</f>
        <v>4.9091801669121256E-3</v>
      </c>
      <c r="AP63" s="123">
        <f>AO63*10000000+BI63*100+AM63/AM66*10+AI63/AI66*1++IF(AQ63=0,ROW(),AQ63)/2000000</f>
        <v>49091.969117917921</v>
      </c>
      <c r="AQ63" s="126">
        <f>VLOOKUP(AE63,db_fifarank,2,FALSE)</f>
        <v>1564.26</v>
      </c>
      <c r="AR63" s="125">
        <f>AP63/AP66</f>
        <v>5.130063600854223E-4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1</v>
      </c>
      <c r="AZ63" s="126">
        <f>AT63/AT66*1000+AU63/AU66*100+AY63/AY66*10+AV63/AV66</f>
        <v>2.5</v>
      </c>
      <c r="BA63" s="126">
        <f>AZ63/AZ66</f>
        <v>4.9091801669121256E-3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Iran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4 - 4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4</v>
      </c>
      <c r="AL64" s="123">
        <f>AI64-AJ64</f>
        <v>0</v>
      </c>
      <c r="AM64" s="123">
        <f>AL64-AL66</f>
        <v>5</v>
      </c>
      <c r="AN64" s="123">
        <f>AF64*3+AG64</f>
        <v>6</v>
      </c>
      <c r="AO64" s="123">
        <f>AN64/AN66*10+BA64</f>
        <v>9.5542464408443788</v>
      </c>
      <c r="AP64" s="123">
        <f>AO64*10000000+BI64*100+AM64/AM66*10+AI64/AI66*1++IF(AQ64=0,ROW(),AQ64)/2000000</f>
        <v>95542470.075907186</v>
      </c>
      <c r="AQ64" s="126">
        <f>VLOOKUP(AE64,db_fifarank,2,FALSE)</f>
        <v>1593.45</v>
      </c>
      <c r="AR64" s="125">
        <f>AP64/AP66</f>
        <v>0.99840963171554886</v>
      </c>
      <c r="AT64" s="126" cm="1">
        <f t="array" ref="AT64">SUMPRODUCT(($S$7:$S$78=AE64&amp;"_win")*($U$7:$U$78))+SUMPRODUCT(($T$7:$T$78=AE64&amp;"_win")*($U$7:$U$78))</f>
        <v>1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2</v>
      </c>
      <c r="AW64" s="126" cm="1">
        <f t="array" ref="AW64">SUMPRODUCT(($E$7:$E$78=AE64)*($U$7:$U$78)*($G$7:$G$78))+SUMPRODUCT(($H$7:$H$78=AE64)*($U$7:$U$78)*($F$7:$F$78))</f>
        <v>3</v>
      </c>
      <c r="AX64" s="126">
        <f>AV64-AW64</f>
        <v>-1</v>
      </c>
      <c r="AY64" s="126">
        <f>AX64-MIN(AX62:AX65)</f>
        <v>0</v>
      </c>
      <c r="AZ64" s="126">
        <f>AT64/AT66*1000+AU64/AU66*100+AY64/AY66*10+AV64/AV66</f>
        <v>500.5</v>
      </c>
      <c r="BA64" s="126">
        <f>AZ64/AZ66</f>
        <v>0.98281786941580751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Jordan</v>
      </c>
      <c r="K65" s="23">
        <f>L65+M65+N65</f>
        <v>3</v>
      </c>
      <c r="L65" s="23">
        <f>VLOOKUP(3,AD62:AN65,3,FALSE)</f>
        <v>2</v>
      </c>
      <c r="M65" s="23">
        <f>VLOOKUP(3,AD62:AN65,4,FALSE)</f>
        <v>0</v>
      </c>
      <c r="N65" s="23">
        <f>VLOOKUP(3,AD62:AN65,5,FALSE)</f>
        <v>1</v>
      </c>
      <c r="O65" s="23" t="str">
        <f>VLOOKUP(3,AD62:AN65,6,FALSE) &amp; " - " &amp; VLOOKUP(3,AD62:AN65,7,FALSE)</f>
        <v>3 - 2</v>
      </c>
      <c r="P65" s="34">
        <f>L65*3+M65</f>
        <v>6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3</v>
      </c>
      <c r="AE65" s="124" t="str">
        <f>VLOOKUP("Jordan",T,lang,FALSE)</f>
        <v>Jordan</v>
      </c>
      <c r="AF65" s="123">
        <f>COUNTIF($S$7:$T$78,"=" &amp; AE65 &amp; "_win")</f>
        <v>2</v>
      </c>
      <c r="AG65" s="123">
        <f>COUNTIF($S$7:$T$78,"=" &amp; AE65 &amp; "_draw")</f>
        <v>0</v>
      </c>
      <c r="AH65" s="123">
        <f>COUNTIF($S$7:$T$78,"=" &amp; AE65 &amp; "_lose")</f>
        <v>1</v>
      </c>
      <c r="AI65" s="123">
        <f>SUMIF($E$7:$E$78,$AE65,$F$7:$F$78) + SUMIF($H$7:$H$78,$AE65,$G$7:$G$78)</f>
        <v>3</v>
      </c>
      <c r="AJ65" s="123">
        <f>SUMIF($E$7:$E$78,$AE65,$G$7:$G$78) + SUMIF($H$7:$H$78,$AE65,$F$7:$F$78)</f>
        <v>2</v>
      </c>
      <c r="AL65" s="123">
        <f>AI65-AJ65</f>
        <v>1</v>
      </c>
      <c r="AM65" s="123">
        <f>AL65-AL66</f>
        <v>6</v>
      </c>
      <c r="AN65" s="123">
        <f>AF65*3+AG65</f>
        <v>6</v>
      </c>
      <c r="AO65" s="123">
        <f>AN65/AN66*10+BA65</f>
        <v>9.5537555228276876</v>
      </c>
      <c r="AP65" s="123">
        <f>AO65*10000000+BI65*100+AM65/AM66*10+AI65/AI66*1++IF(AQ65=0,ROW(),AQ65)/2000000</f>
        <v>95537561.728972599</v>
      </c>
      <c r="AQ65" s="126">
        <f>VLOOKUP(AE65,db_fifarank,2,FALSE)</f>
        <v>1391.45</v>
      </c>
      <c r="AR65" s="125">
        <f>AP65/AP66</f>
        <v>0.99835833996172041</v>
      </c>
      <c r="AT65" s="126" cm="1">
        <f t="array" ref="AT65">SUMPRODUCT(($S$7:$S$78=AE65&amp;"_win")*($U$7:$U$78))+SUMPRODUCT(($T$7:$T$78=AE65&amp;"_win")*($U$7:$U$78))</f>
        <v>1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1</v>
      </c>
      <c r="AW65" s="126" cm="1">
        <f t="array" ref="AW65">SUMPRODUCT(($E$7:$E$78=AE65)*($U$7:$U$78)*($G$7:$G$78))+SUMPRODUCT(($H$7:$H$78=AE65)*($U$7:$U$78)*($F$7:$F$78))</f>
        <v>2</v>
      </c>
      <c r="AX65" s="126">
        <f>AV65-AW65</f>
        <v>-1</v>
      </c>
      <c r="AY65" s="126">
        <f>AX65-MIN(AX62:AX65)</f>
        <v>0</v>
      </c>
      <c r="AZ65" s="126">
        <f>AT65/AT66*1000+AU65/AU66*100+AY65/AY66*10+AV65/AV66</f>
        <v>500.25</v>
      </c>
      <c r="BA65" s="126">
        <f>AZ65/AZ66</f>
        <v>0.9823269513991163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2</v>
      </c>
      <c r="H66" s="80" t="str">
        <f>AE28</f>
        <v>Australia</v>
      </c>
      <c r="I66" s="69"/>
      <c r="J66" s="35" t="str">
        <f>VLOOKUP(4,AD62:AN65,2,FALSE)</f>
        <v>Algeria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1 - 6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3</v>
      </c>
      <c r="AG66" s="123">
        <f t="shared" si="28"/>
        <v>1</v>
      </c>
      <c r="AH66" s="123">
        <f t="shared" si="28"/>
        <v>3</v>
      </c>
      <c r="AI66" s="123">
        <f>MAX(AI62:AI65)+1</f>
        <v>6</v>
      </c>
      <c r="AL66" s="123">
        <f>MIN(AL62:AL65)</f>
        <v>-5</v>
      </c>
      <c r="AM66" s="123">
        <f>MAX(AM62:AM65)+1</f>
        <v>10</v>
      </c>
      <c r="AN66" s="123">
        <f>MAX(AN62:AN65)+1</f>
        <v>7</v>
      </c>
      <c r="AO66" s="123">
        <f>MAX(AO62:AO65)+1</f>
        <v>10.569464899361806</v>
      </c>
      <c r="AP66" s="123">
        <f>MAX(AP62:AP65)+1</f>
        <v>95694659.827888802</v>
      </c>
      <c r="AT66" s="126">
        <f>MAX(AT62:AT65)-MIN(AT62:AT65)+1</f>
        <v>2</v>
      </c>
      <c r="AU66" s="126">
        <f>MAX(AU62:AU65)-MIN(AU62:AU65)+1</f>
        <v>1</v>
      </c>
      <c r="AV66" s="126">
        <f>MAX(AV62:AV65)-MIN(AV62:AV65)+1</f>
        <v>4</v>
      </c>
      <c r="AW66" s="126">
        <f>MAX(AW62:AW65)-MIN(AW62:AW65)+1</f>
        <v>4</v>
      </c>
      <c r="AY66" s="126">
        <f>MAX(AY62:AY65)-MIN(AY62:AY65)+1</f>
        <v>4</v>
      </c>
      <c r="AZ66" s="126">
        <f>MAX(AZ62:AZ65)+1</f>
        <v>509.25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Qatar</v>
      </c>
      <c r="BM66" s="61">
        <v>0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0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Egypt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1</v>
      </c>
      <c r="AG68" s="123">
        <f>COUNTIF($S$7:$T$78,"=" &amp; AE68 &amp; "_draw")</f>
        <v>1</v>
      </c>
      <c r="AH68" s="123">
        <f>COUNTIF($S$7:$T$78,"=" &amp; AE68 &amp; "_lose")</f>
        <v>1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4</v>
      </c>
      <c r="AL68" s="123">
        <f>AI68-AJ68</f>
        <v>2</v>
      </c>
      <c r="AM68" s="123">
        <f>AL68-AL72</f>
        <v>4</v>
      </c>
      <c r="AN68" s="123">
        <f>AF68*3+AG68</f>
        <v>4</v>
      </c>
      <c r="AO68" s="123">
        <f>AN68/AN72*10+BA68</f>
        <v>8.9990992613943437</v>
      </c>
      <c r="AP68" s="123">
        <f>AO68*10000000+BI68*100+AM68/AM72*10+AI68/AI72*1++IF(AQ68=0,ROW(),AQ68)/2000000</f>
        <v>89991001.471968204</v>
      </c>
      <c r="AQ68" s="126">
        <f>VLOOKUP(AE68,db_fifarank,2,FALSE)</f>
        <v>1763.83</v>
      </c>
      <c r="AR68" s="125">
        <f>AP68/AP72</f>
        <v>0.99999998888777797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1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6</v>
      </c>
      <c r="AW68" s="126" cm="1">
        <f t="array" ref="AW68">SUMPRODUCT(($E$7:$E$78=AE68)*($U$7:$U$78)*($G$7:$G$78))+SUMPRODUCT(($H$7:$H$78=AE68)*($U$7:$U$78)*($F$7:$F$78))</f>
        <v>4</v>
      </c>
      <c r="AX68" s="126">
        <f>AV68-AW68</f>
        <v>2</v>
      </c>
      <c r="AY68" s="126">
        <f>AX68-MIN(AX68:AX71)</f>
        <v>4</v>
      </c>
      <c r="AZ68" s="126">
        <f>AT68/AT72*1000+AU68/AU72*100+AY68/AY72*10+AV68/AV72</f>
        <v>1109.2</v>
      </c>
      <c r="BA68" s="126">
        <f>AZ68/AZ72</f>
        <v>0.99909926139434335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Egypt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2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1</v>
      </c>
      <c r="M69" s="31">
        <f>VLOOKUP(1,AD68:AN71,4,FALSE)</f>
        <v>1</v>
      </c>
      <c r="N69" s="31">
        <f>VLOOKUP(1,AD68:AN71,5,FALSE)</f>
        <v>1</v>
      </c>
      <c r="O69" s="31" t="str">
        <f>VLOOKUP(1,AD68:AN71,6,FALSE) &amp; " - " &amp; VLOOKUP(1,AD68:AN71,7,FALSE)</f>
        <v>6 - 4</v>
      </c>
      <c r="P69" s="32">
        <f>L69*3+M69</f>
        <v>4</v>
      </c>
      <c r="R69" s="123">
        <f>DATE(2026,6,26)+TIME(16,0,0)+gmt_delta</f>
        <v>46200.208333333328</v>
      </c>
      <c r="S69" s="127" t="str">
        <f t="shared" si="19"/>
        <v>Egypt_lose</v>
      </c>
      <c r="T69" s="127" t="str">
        <f t="shared" si="20"/>
        <v>Iran_win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-1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1</v>
      </c>
      <c r="AH69" s="123">
        <f>COUNTIF($S$7:$T$78,"=" &amp; AE69 &amp; "_lose")</f>
        <v>1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4</v>
      </c>
      <c r="AL69" s="123">
        <f>AI69-AJ69</f>
        <v>-2</v>
      </c>
      <c r="AM69" s="123">
        <f>AL69-AL72</f>
        <v>0</v>
      </c>
      <c r="AN69" s="123">
        <f>AF69*3+AG69</f>
        <v>4</v>
      </c>
      <c r="AO69" s="123">
        <f>AN69/AN72*10+BA69</f>
        <v>8.9911727616645649</v>
      </c>
      <c r="AP69" s="123">
        <f>AO69*10000000+BI69*100+AM69/AM72*10+AI69/AI72*1++IF(AQ69=0,ROW(),AQ69)/2000000</f>
        <v>89911727.903099105</v>
      </c>
      <c r="AQ69" s="126">
        <f>VLOOKUP(AE69,db_fifarank,2,FALSE)</f>
        <v>1478.35</v>
      </c>
      <c r="AR69" s="125">
        <f>AP69/AP72</f>
        <v>0.99911908338954447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1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2</v>
      </c>
      <c r="AW69" s="126" cm="1">
        <f t="array" ref="AW69">SUMPRODUCT(($E$7:$E$78=AE69)*($U$7:$U$78)*($G$7:$G$78))+SUMPRODUCT(($H$7:$H$78=AE69)*($U$7:$U$78)*($F$7:$F$78))</f>
        <v>4</v>
      </c>
      <c r="AX69" s="126">
        <f>AV69-AW69</f>
        <v>-2</v>
      </c>
      <c r="AY69" s="126">
        <f>AX69-MIN(AX68:AX71)</f>
        <v>0</v>
      </c>
      <c r="AZ69" s="126">
        <f>AT69/AT72*1000+AU69/AU72*100+AY69/AY72*10+AV69/AV72</f>
        <v>1100.4000000000001</v>
      </c>
      <c r="BA69" s="126">
        <f>AZ69/AZ72</f>
        <v>0.99117276166456503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4 - 3</v>
      </c>
      <c r="P70" s="34">
        <f>L70*3+M70</f>
        <v>4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1</v>
      </c>
      <c r="AH70" s="123">
        <f>COUNTIF($S$7:$T$78,"=" &amp; AE70 &amp; "_lose")</f>
        <v>1</v>
      </c>
      <c r="AI70" s="123">
        <f>SUMIF($E$7:$E$78,$AE70,$F$7:$F$78) + SUMIF($H$7:$H$78,$AE70,$G$7:$G$78)</f>
        <v>3</v>
      </c>
      <c r="AJ70" s="123">
        <f>SUMIF($E$7:$E$78,$AE70,$G$7:$G$78) + SUMIF($H$7:$H$78,$AE70,$F$7:$F$78)</f>
        <v>4</v>
      </c>
      <c r="AL70" s="123">
        <f>AI70-AJ70</f>
        <v>-1</v>
      </c>
      <c r="AM70" s="123">
        <f>AL70-AL72</f>
        <v>1</v>
      </c>
      <c r="AN70" s="123">
        <f>AF70*3+AG70</f>
        <v>4</v>
      </c>
      <c r="AO70" s="123">
        <f>AN70/AN72*10+BA70</f>
        <v>8.9931543865970092</v>
      </c>
      <c r="AP70" s="123">
        <f>AO70*10000000+BI70*100+AM70/AM72*10+AI70/AI72*1++IF(AQ70=0,ROW(),AQ70)/2000000</f>
        <v>89931546.295274198</v>
      </c>
      <c r="AQ70" s="126">
        <f>VLOOKUP(AE70,db_fifarank,2,FALSE)</f>
        <v>1465.34</v>
      </c>
      <c r="AR70" s="125">
        <f>AP70/AP72</f>
        <v>0.99933930976363416</v>
      </c>
      <c r="AT70" s="126" cm="1">
        <f t="array" ref="AT70">SUMPRODUCT(($S$7:$S$78=AE70&amp;"_win")*($U$7:$U$78))+SUMPRODUCT(($T$7:$T$78=AE70&amp;"_win")*($U$7:$U$78))</f>
        <v>1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3</v>
      </c>
      <c r="AW70" s="126" cm="1">
        <f t="array" ref="AW70">SUMPRODUCT(($E$7:$E$78=AE70)*($U$7:$U$78)*($G$7:$G$78))+SUMPRODUCT(($H$7:$H$78=AE70)*($U$7:$U$78)*($F$7:$F$78))</f>
        <v>4</v>
      </c>
      <c r="AX70" s="126">
        <f>AV70-AW70</f>
        <v>-1</v>
      </c>
      <c r="AY70" s="126">
        <f>AX70-MIN(AX68:AX71)</f>
        <v>1</v>
      </c>
      <c r="AZ70" s="126">
        <f>AT70/AT72*1000+AU70/AU72*100+AY70/AY72*10+AV70/AV72</f>
        <v>1102.5999999999999</v>
      </c>
      <c r="BA70" s="126">
        <f>AZ70/AZ72</f>
        <v>0.99315438659700939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1</v>
      </c>
      <c r="N71" s="23">
        <f>VLOOKUP(3,AD68:AN71,5,FALSE)</f>
        <v>1</v>
      </c>
      <c r="O71" s="23" t="str">
        <f>VLOOKUP(3,AD68:AN71,6,FALSE) &amp; " - " &amp; VLOOKUP(3,AD68:AN71,7,FALSE)</f>
        <v>3 - 4</v>
      </c>
      <c r="P71" s="34">
        <f>L71*3+M71</f>
        <v>4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3</v>
      </c>
      <c r="AL71" s="123">
        <f>AI71-AJ71</f>
        <v>1</v>
      </c>
      <c r="AM71" s="123">
        <f>AL71-AL72</f>
        <v>3</v>
      </c>
      <c r="AN71" s="123">
        <f>AF71*3+AG71</f>
        <v>4</v>
      </c>
      <c r="AO71" s="123">
        <f>AN71/AN72*10+BA71</f>
        <v>8.9969374887407678</v>
      </c>
      <c r="AP71" s="123">
        <f>AO71*10000000+BI71*100+AM71/AM72*10+AI71/AI72*1++IF(AQ71=0,ROW(),AQ71)/2000000</f>
        <v>89969381.459682792</v>
      </c>
      <c r="AQ71" s="126">
        <f>VLOOKUP(AE71,db_fifarank,2,FALSE)</f>
        <v>1693.09</v>
      </c>
      <c r="AR71" s="125">
        <f>AP71/AP72</f>
        <v>0.99975974251101218</v>
      </c>
      <c r="AT71" s="126" cm="1">
        <f t="array" ref="AT71">SUMPRODUCT(($S$7:$S$78=AE71&amp;"_win")*($U$7:$U$78))+SUMPRODUCT(($T$7:$T$78=AE71&amp;"_win")*($U$7:$U$78))</f>
        <v>1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4</v>
      </c>
      <c r="AW71" s="126" cm="1">
        <f t="array" ref="AW71">SUMPRODUCT(($E$7:$E$78=AE71)*($U$7:$U$78)*($G$7:$G$78))+SUMPRODUCT(($H$7:$H$78=AE71)*($U$7:$U$78)*($F$7:$F$78))</f>
        <v>3</v>
      </c>
      <c r="AX71" s="126">
        <f>AV71-AW71</f>
        <v>1</v>
      </c>
      <c r="AY71" s="126">
        <f>AX71-MIN(AX68:AX71)</f>
        <v>3</v>
      </c>
      <c r="AZ71" s="126">
        <f>AT71/AT72*1000+AU71/AU72*100+AY71/AY72*10+AV71/AV72</f>
        <v>1106.8</v>
      </c>
      <c r="BA71" s="126">
        <f>AZ71/AZ72</f>
        <v>0.99693748874076737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Curaçao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1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1</v>
      </c>
      <c r="M72" s="36">
        <f>VLOOKUP(4,AD68:AN71,4,FALSE)</f>
        <v>1</v>
      </c>
      <c r="N72" s="36">
        <f>VLOOKUP(4,AD68:AN71,5,FALSE)</f>
        <v>1</v>
      </c>
      <c r="O72" s="36" t="str">
        <f>VLOOKUP(4,AD68:AN71,6,FALSE) &amp; " - " &amp; VLOOKUP(4,AD68:AN71,7,FALSE)</f>
        <v>2 - 4</v>
      </c>
      <c r="P72" s="37">
        <f>L72*3+M72</f>
        <v>4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1</v>
      </c>
      <c r="AG72" s="123">
        <f t="shared" si="35"/>
        <v>1</v>
      </c>
      <c r="AH72" s="123">
        <f t="shared" si="35"/>
        <v>1</v>
      </c>
      <c r="AI72" s="123">
        <f>MAX(AI68:AI71)+1</f>
        <v>7</v>
      </c>
      <c r="AL72" s="123">
        <f>MIN(AL68:AL71)</f>
        <v>-2</v>
      </c>
      <c r="AM72" s="123">
        <f>MAX(AM68:AM71)+1</f>
        <v>5</v>
      </c>
      <c r="AN72" s="123">
        <f>MAX(AN68:AN71)+1</f>
        <v>5</v>
      </c>
      <c r="AO72" s="123">
        <f>MAX(AO68:AO71)+1</f>
        <v>9.9990992613943437</v>
      </c>
      <c r="AP72" s="123">
        <f>MAX(AP68:AP71)+1</f>
        <v>89991002.471968204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5</v>
      </c>
      <c r="AW72" s="126">
        <f>MAX(AW68:AW71)-MIN(AW68:AW71)+1</f>
        <v>2</v>
      </c>
      <c r="AY72" s="126">
        <f>MAX(AY68:AY71)-MIN(AY68:AY71)+1</f>
        <v>5</v>
      </c>
      <c r="AZ72" s="126">
        <f>MAX(AZ68:AZ71)+1</f>
        <v>1110.2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0</v>
      </c>
      <c r="G74" s="20">
        <v>3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Croatia_lose</v>
      </c>
      <c r="T74" s="127" t="str">
        <f t="shared" si="20"/>
        <v>Ghana_win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-1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1</v>
      </c>
      <c r="AL74" s="123">
        <f>AI74-AJ74</f>
        <v>5</v>
      </c>
      <c r="AM74" s="123">
        <f>AL74-AL78</f>
        <v>11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90000010.024722502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4</v>
      </c>
      <c r="AE75" s="124" t="str">
        <f>VLOOKUP("Croatia",T,lang,FALSE)</f>
        <v>Croatia</v>
      </c>
      <c r="AF75" s="123">
        <f>COUNTIF($S$7:$T$78,"=" &amp; AE75 &amp; "_win")</f>
        <v>0</v>
      </c>
      <c r="AG75" s="123">
        <f>COUNTIF($S$7:$T$78,"=" &amp; AE75 &amp; "_draw")</f>
        <v>0</v>
      </c>
      <c r="AH75" s="123">
        <f>COUNTIF($S$7:$T$78,"=" &amp; AE75 &amp; "_lose")</f>
        <v>3</v>
      </c>
      <c r="AI75" s="123">
        <f>SUMIF($E$7:$E$78,$AE75,$F$7:$F$78) + SUMIF($H$7:$H$78,$AE75,$G$7:$G$78)</f>
        <v>0</v>
      </c>
      <c r="AJ75" s="123">
        <f>SUMIF($E$7:$E$78,$AE75,$G$7:$G$78) + SUMIF($H$7:$H$78,$AE75,$F$7:$F$78)</f>
        <v>6</v>
      </c>
      <c r="AL75" s="123">
        <f>AI75-AJ75</f>
        <v>-6</v>
      </c>
      <c r="AM75" s="123">
        <f>AL75-AL78</f>
        <v>0</v>
      </c>
      <c r="AN75" s="123">
        <f>AF75*3+AG75</f>
        <v>0</v>
      </c>
      <c r="AO75" s="123">
        <f>AN75/AN78*10+BA75</f>
        <v>0</v>
      </c>
      <c r="AP75" s="123">
        <f>AO75*10000000+BI75*100+AM75/AM78*10+AI75/AI78*1++IF(AQ75=0,ROW(),AQ75)/2000000</f>
        <v>8.5853500000000001E-4</v>
      </c>
      <c r="AQ75" s="126">
        <f>VLOOKUP(AE75,db_fifarank,2,FALSE)</f>
        <v>1717.07</v>
      </c>
      <c r="AR75" s="125">
        <f>AP75/AP78</f>
        <v>9.5392766092458058E-12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1</v>
      </c>
      <c r="G76" s="20">
        <v>0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6 - 2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Jordan_win</v>
      </c>
      <c r="T76" s="127" t="str">
        <f t="shared" si="20"/>
        <v>Argentina_lose</v>
      </c>
      <c r="U76" s="123">
        <f t="shared" si="31"/>
        <v>1</v>
      </c>
      <c r="V76" s="123">
        <f t="shared" si="21"/>
        <v>1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2</v>
      </c>
      <c r="AG76" s="123">
        <f>COUNTIF($S$7:$T$78,"=" &amp; AE76 &amp; "_draw")</f>
        <v>0</v>
      </c>
      <c r="AH76" s="123">
        <f>COUNTIF($S$7:$T$78,"=" &amp; AE76 &amp; "_lose")</f>
        <v>1</v>
      </c>
      <c r="AI76" s="123">
        <f>SUMIF($E$7:$E$78,$AE76,$F$7:$F$78) + SUMIF($H$7:$H$78,$AE76,$G$7:$G$78)</f>
        <v>6</v>
      </c>
      <c r="AJ76" s="123">
        <f>SUMIF($E$7:$E$78,$AE76,$G$7:$G$78) + SUMIF($H$7:$H$78,$AE76,$F$7:$F$78)</f>
        <v>2</v>
      </c>
      <c r="AL76" s="123">
        <f>AI76-AJ76</f>
        <v>4</v>
      </c>
      <c r="AM76" s="123">
        <f>AL76-AL78</f>
        <v>10</v>
      </c>
      <c r="AN76" s="123">
        <f>AF76*3+AG76</f>
        <v>6</v>
      </c>
      <c r="AO76" s="123">
        <f>AN76/AN78*10+BA76</f>
        <v>6</v>
      </c>
      <c r="AP76" s="123">
        <f>AO76*10000000+BI76*100+AM76/AM78*10+AI76/AI78*1++IF(AQ76=0,ROW(),AQ76)/2000000</f>
        <v>60000009.191149347</v>
      </c>
      <c r="AQ76" s="126">
        <f>VLOOKUP(AE76,db_fifarank,2,FALSE)</f>
        <v>1346.31</v>
      </c>
      <c r="AR76" s="125">
        <f>AP76/AP78</f>
        <v>0.66666668712593469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1 - 4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0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4</v>
      </c>
      <c r="AL77" s="123">
        <f>AI77-AJ77</f>
        <v>-3</v>
      </c>
      <c r="AM77" s="123">
        <f>AL77-AL78</f>
        <v>3</v>
      </c>
      <c r="AN77" s="123">
        <f>AF77*3+AG77</f>
        <v>3</v>
      </c>
      <c r="AO77" s="123">
        <f>AN77/AN78*10+BA77</f>
        <v>3</v>
      </c>
      <c r="AP77" s="123">
        <f>AO77*10000000+BI77*100+AM77/AM78*10+AI77/AI78*1++IF(AQ77=0,ROW(),AQ77)/2000000</f>
        <v>30000002.643627461</v>
      </c>
      <c r="AQ77" s="126">
        <f>VLOOKUP(AE77,db_fifarank,2,FALSE)</f>
        <v>1540.64</v>
      </c>
      <c r="AR77" s="125">
        <f>AP77/AP78</f>
        <v>0.33333332187466763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Croatia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7</v>
      </c>
      <c r="AL78" s="123">
        <f>MIN(AL74:AL77)</f>
        <v>-6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90000011.024722502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12</v>
      </c>
      <c r="AE80" s="124" t="str">
        <f>J11</f>
        <v>Korea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4</v>
      </c>
      <c r="AK80" s="123" t="s">
        <v>3180</v>
      </c>
      <c r="AL80" s="123">
        <f>VLOOKUP($AE80,$AE$8:$AQ$78,8,FALSE)</f>
        <v>-2</v>
      </c>
      <c r="AM80" s="123">
        <f>AL80-$AL$92</f>
        <v>2</v>
      </c>
      <c r="AN80" s="123">
        <f>VLOOKUP($AE80,$AE$8:$AQ$78,10,FALSE)</f>
        <v>2</v>
      </c>
      <c r="AP80" s="123">
        <f>AN80/AN92*10000+AM80/AM92*1000+AI80/AI92*100+IF(AQ80=0,ROW(),AQ80)/2000000</f>
        <v>3176.1912705204763</v>
      </c>
      <c r="AQ80" s="126">
        <f t="shared" ref="AQ80:AQ91" si="37">VLOOKUP($AE80,$AE$8:$AQ$78,13,FALSE)</f>
        <v>1588.66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Korea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Ⓙ Jordan</v>
      </c>
      <c r="K81" s="97">
        <f>L81+M81+N81</f>
        <v>3</v>
      </c>
      <c r="L81" s="97">
        <f>VLOOKUP(1,$AD$80:$AN$91,3,FALSE)</f>
        <v>2</v>
      </c>
      <c r="M81" s="97">
        <f>VLOOKUP(1,$AD$80:$AN$91,4,FALSE)</f>
        <v>0</v>
      </c>
      <c r="N81" s="97">
        <f>VLOOKUP(1,$AD$80:$AN$91,5,FALSE)</f>
        <v>1</v>
      </c>
      <c r="O81" s="97" t="str">
        <f>VLOOKUP(1,$AD$80:$AN$91,6,FALSE) &amp; " - " &amp; VLOOKUP(1,$AD$80:$AN$91,7,FALSE)</f>
        <v>3 - 2</v>
      </c>
      <c r="P81" s="98">
        <f>L81*3+M81</f>
        <v>6</v>
      </c>
      <c r="AD81" s="123">
        <f t="shared" ref="AD81:AD91" si="38">COUNTIF($AP$80:$AP$91,CONCATENATE("&gt;=",AP81))</f>
        <v>3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1</v>
      </c>
      <c r="AM81" s="123">
        <f t="shared" ref="AM81:AM91" si="44">AL81-$AL$92</f>
        <v>5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6495.2388734780952</v>
      </c>
      <c r="AQ81" s="126">
        <f t="shared" si="37"/>
        <v>1556.48</v>
      </c>
      <c r="AR81" s="125" t="str">
        <f>AR80&amp;IF(AD81&lt;=8,RIGHT(AK81,1),"")</f>
        <v>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Netherlands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5 - 3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Haiti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3</v>
      </c>
      <c r="AJ82" s="123">
        <f t="shared" si="42"/>
        <v>4</v>
      </c>
      <c r="AK82" s="123" t="s">
        <v>3182</v>
      </c>
      <c r="AL82" s="123">
        <f t="shared" si="43"/>
        <v>-1</v>
      </c>
      <c r="AM82" s="123">
        <f t="shared" si="44"/>
        <v>3</v>
      </c>
      <c r="AN82" s="123">
        <f t="shared" si="45"/>
        <v>4</v>
      </c>
      <c r="AP82" s="123">
        <f>AN82/AN92*10000+AM82/AM92*1000+AI82/AI92*100+IF(AQ82=0,ROW(),AQ82)/2000000</f>
        <v>6192.8577887121419</v>
      </c>
      <c r="AQ82" s="126">
        <f t="shared" si="37"/>
        <v>1291.71</v>
      </c>
      <c r="AR82" s="125" t="str">
        <f t="shared" ref="AR82:AR91" si="50">AR81&amp;IF(AD82&lt;=8,RIGHT(AK82,1),"")</f>
        <v>BC</v>
      </c>
      <c r="AS82" s="129" t="str">
        <f t="shared" si="46"/>
        <v>Haiti</v>
      </c>
      <c r="AT82" s="130" t="str">
        <f>"Ⓒ "&amp;AE82</f>
        <v>Ⓒ Haiti</v>
      </c>
    </row>
    <row r="83" spans="1:46" ht="15" customHeight="1" x14ac:dyDescent="0.3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Ⓑ Canada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4 - 3</v>
      </c>
      <c r="P83" s="101">
        <f t="shared" si="48"/>
        <v>4</v>
      </c>
      <c r="AD83" s="123">
        <f t="shared" si="38"/>
        <v>9</v>
      </c>
      <c r="AE83" s="124" t="str">
        <f>J29</f>
        <v>Australia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3</v>
      </c>
      <c r="AJ83" s="123">
        <f t="shared" si="42"/>
        <v>6</v>
      </c>
      <c r="AK83" s="123" t="s">
        <v>3184</v>
      </c>
      <c r="AL83" s="123">
        <f t="shared" si="43"/>
        <v>-3</v>
      </c>
      <c r="AM83" s="123">
        <f t="shared" si="44"/>
        <v>1</v>
      </c>
      <c r="AN83" s="123">
        <f t="shared" si="45"/>
        <v>3</v>
      </c>
      <c r="AP83" s="123">
        <f>AN83/AN92*10000+AM83/AM92*1000+AI83/AI92*100+IF(AQ83=0,ROW(),AQ83)/2000000</f>
        <v>4478.5722189064281</v>
      </c>
      <c r="AQ83" s="126">
        <f t="shared" si="37"/>
        <v>1580.67</v>
      </c>
      <c r="AR83" s="125" t="str">
        <f t="shared" si="50"/>
        <v>BC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3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Ⓚ Uzbekistan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3 - 4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8</v>
      </c>
      <c r="AE84" s="124" t="str">
        <f>J35</f>
        <v>Curaçao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3</v>
      </c>
      <c r="AJ84" s="123">
        <f t="shared" si="42"/>
        <v>4</v>
      </c>
      <c r="AK84" s="123" t="s">
        <v>3185</v>
      </c>
      <c r="AL84" s="123">
        <f t="shared" si="43"/>
        <v>-1</v>
      </c>
      <c r="AM84" s="123">
        <f t="shared" si="44"/>
        <v>3</v>
      </c>
      <c r="AN84" s="123">
        <f t="shared" si="45"/>
        <v>3</v>
      </c>
      <c r="AP84" s="123">
        <f>AN84/AN92*10000+AM84/AM92*1000+AI84/AI92*100+IF(AQ84=0,ROW(),AQ84)/2000000</f>
        <v>4764.2863616107134</v>
      </c>
      <c r="AQ84" s="126">
        <f t="shared" si="37"/>
        <v>1294.6500000000001</v>
      </c>
      <c r="AR84" s="125" t="str">
        <f t="shared" si="50"/>
        <v>BCE</v>
      </c>
      <c r="AS84" s="129" t="str">
        <f t="shared" si="46"/>
        <v>Curaçao</v>
      </c>
      <c r="AT84" s="130" t="str">
        <f>"Ⓔ "&amp;AE84</f>
        <v>Ⓔ Curaçao</v>
      </c>
    </row>
    <row r="85" spans="1:46" ht="15" customHeight="1" x14ac:dyDescent="0.3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Ⓒ Haiti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3 - 4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2</v>
      </c>
      <c r="AE85" s="124" t="str">
        <f>J41</f>
        <v>Netherlands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5</v>
      </c>
      <c r="AJ85" s="123">
        <f t="shared" si="42"/>
        <v>3</v>
      </c>
      <c r="AK85" s="123" t="s">
        <v>3186</v>
      </c>
      <c r="AL85" s="123">
        <f t="shared" si="43"/>
        <v>2</v>
      </c>
      <c r="AM85" s="123">
        <f t="shared" si="44"/>
        <v>6</v>
      </c>
      <c r="AN85" s="123">
        <f t="shared" si="45"/>
        <v>4</v>
      </c>
      <c r="AP85" s="123">
        <f>AN85/AN92*10000+AM85/AM92*1000+AI85/AI92*100+IF(AQ85=0,ROW(),AQ85)/2000000</f>
        <v>6654.7627836969041</v>
      </c>
      <c r="AQ85" s="126">
        <f t="shared" si="37"/>
        <v>1757.87</v>
      </c>
      <c r="AR85" s="125" t="str">
        <f t="shared" si="50"/>
        <v>BCEF</v>
      </c>
      <c r="AS85" s="129" t="str">
        <f t="shared" si="46"/>
        <v>Netherlands</v>
      </c>
      <c r="AT85" s="130" t="str">
        <f>"Ⓕ "&amp;AE85</f>
        <v>Ⓕ Netherlands</v>
      </c>
    </row>
    <row r="86" spans="1:46" ht="15" customHeight="1" x14ac:dyDescent="0.3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Ⓗ Saudi Arabia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2 - 3</v>
      </c>
      <c r="P86" s="101">
        <f t="shared" si="48"/>
        <v>4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Ghana</v>
      </c>
      <c r="T86" s="127" t="str" cm="1">
        <f t="array" ref="T86">IF(OR(S86="",S86="draw"),INDEX(T,88,lang),S86)</f>
        <v>Ghana</v>
      </c>
      <c r="AD86" s="123">
        <f t="shared" si="38"/>
        <v>7</v>
      </c>
      <c r="AE86" s="124" t="str">
        <f>J47</f>
        <v>Egypt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3</v>
      </c>
      <c r="AJ86" s="123">
        <f t="shared" si="42"/>
        <v>4</v>
      </c>
      <c r="AK86" s="123" t="s">
        <v>3187</v>
      </c>
      <c r="AL86" s="123">
        <f t="shared" si="43"/>
        <v>-1</v>
      </c>
      <c r="AM86" s="123">
        <f t="shared" si="44"/>
        <v>3</v>
      </c>
      <c r="AN86" s="123">
        <f t="shared" si="45"/>
        <v>3</v>
      </c>
      <c r="AP86" s="123">
        <f>AN86/AN92*10000+AM86/AM92*1000+AI86/AI92*100+IF(AQ86=0,ROW(),AQ86)/2000000</f>
        <v>4764.2864959057142</v>
      </c>
      <c r="AQ86" s="126">
        <f t="shared" si="37"/>
        <v>1563.24</v>
      </c>
      <c r="AR86" s="125" t="str">
        <f t="shared" si="50"/>
        <v>BCEFG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3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Ⓖ Egypt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6</v>
      </c>
      <c r="AE87" s="124" t="str">
        <f>J53</f>
        <v>Saudi Arabia</v>
      </c>
      <c r="AF87" s="123">
        <f t="shared" si="39"/>
        <v>1</v>
      </c>
      <c r="AG87" s="123">
        <f t="shared" si="49"/>
        <v>1</v>
      </c>
      <c r="AH87" s="123">
        <f t="shared" si="40"/>
        <v>1</v>
      </c>
      <c r="AI87" s="123">
        <f t="shared" si="41"/>
        <v>2</v>
      </c>
      <c r="AJ87" s="123">
        <f t="shared" si="42"/>
        <v>3</v>
      </c>
      <c r="AK87" s="123" t="s">
        <v>3188</v>
      </c>
      <c r="AL87" s="123">
        <f t="shared" si="43"/>
        <v>-1</v>
      </c>
      <c r="AM87" s="123">
        <f t="shared" si="44"/>
        <v>3</v>
      </c>
      <c r="AN87" s="123">
        <f t="shared" si="45"/>
        <v>4</v>
      </c>
      <c r="AP87" s="123">
        <f>AN87/AN92*10000+AM87/AM92*1000+AI87/AI92*100+IF(AQ87=0,ROW(),AQ87)/2000000</f>
        <v>6176.1911869054757</v>
      </c>
      <c r="AQ87" s="126">
        <f t="shared" si="37"/>
        <v>1421.43</v>
      </c>
      <c r="AR87" s="125" t="str">
        <f t="shared" si="50"/>
        <v>BCEFGH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Ⓔ Curaçao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11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2</v>
      </c>
      <c r="AJ88" s="123">
        <f t="shared" si="42"/>
        <v>6</v>
      </c>
      <c r="AK88" s="123" t="s">
        <v>3189</v>
      </c>
      <c r="AL88" s="123">
        <f t="shared" si="43"/>
        <v>-4</v>
      </c>
      <c r="AM88" s="123">
        <f t="shared" si="44"/>
        <v>0</v>
      </c>
      <c r="AN88" s="123">
        <f t="shared" si="45"/>
        <v>3</v>
      </c>
      <c r="AP88" s="123">
        <f>AN88/AN92*10000+AM88/AM92*1000+AI88/AI92*100+IF(AQ88=0,ROW(),AQ88)/2000000</f>
        <v>4319.0484635426183</v>
      </c>
      <c r="AQ88" s="126">
        <f t="shared" si="37"/>
        <v>1688.99</v>
      </c>
      <c r="AR88" s="125" t="str">
        <f t="shared" si="50"/>
        <v>BCEFGH</v>
      </c>
      <c r="AS88" s="129" t="str">
        <f t="shared" si="46"/>
        <v/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Ⓓ Australia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3 - 6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Brazil</v>
      </c>
      <c r="T89" s="127" t="str" cm="1">
        <f t="array" ref="T89">IF(OR(S89="",S89="draw"),INDEX(T,91,lang),S89)</f>
        <v>Brazil</v>
      </c>
      <c r="AD89" s="123">
        <f t="shared" si="38"/>
        <v>1</v>
      </c>
      <c r="AE89" s="124" t="str">
        <f>J65</f>
        <v>Jordan</v>
      </c>
      <c r="AF89" s="123">
        <f t="shared" si="39"/>
        <v>2</v>
      </c>
      <c r="AG89" s="123">
        <f t="shared" si="49"/>
        <v>0</v>
      </c>
      <c r="AH89" s="123">
        <f t="shared" si="40"/>
        <v>1</v>
      </c>
      <c r="AI89" s="123">
        <f t="shared" si="41"/>
        <v>3</v>
      </c>
      <c r="AJ89" s="123">
        <f t="shared" si="42"/>
        <v>2</v>
      </c>
      <c r="AK89" s="123" t="s">
        <v>3190</v>
      </c>
      <c r="AL89" s="123">
        <f t="shared" si="43"/>
        <v>1</v>
      </c>
      <c r="AM89" s="123">
        <f t="shared" si="44"/>
        <v>5</v>
      </c>
      <c r="AN89" s="123">
        <f t="shared" si="45"/>
        <v>6</v>
      </c>
      <c r="AP89" s="123">
        <f>AN89/AN92*10000+AM89/AM92*1000+AI89/AI92*100+IF(AQ89=0,ROW(),AQ89)/2000000</f>
        <v>9335.7149814392851</v>
      </c>
      <c r="AQ89" s="126">
        <f t="shared" si="37"/>
        <v>1391.45</v>
      </c>
      <c r="AR89" s="125" t="str">
        <f t="shared" si="50"/>
        <v>BCEFGHJ</v>
      </c>
      <c r="AS89" s="129" t="str">
        <f t="shared" si="46"/>
        <v>Jordan</v>
      </c>
      <c r="AT89" s="130" t="str">
        <f>"Ⓙ "&amp;AE89</f>
        <v>Ⓙ Jordan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Ⓛ Panama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1 - 4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4</v>
      </c>
      <c r="AE90" s="124" t="str">
        <f>J71</f>
        <v>Uzbekistan</v>
      </c>
      <c r="AF90" s="123">
        <f t="shared" si="39"/>
        <v>1</v>
      </c>
      <c r="AG90" s="123">
        <f t="shared" si="49"/>
        <v>1</v>
      </c>
      <c r="AH90" s="123">
        <f t="shared" si="40"/>
        <v>1</v>
      </c>
      <c r="AI90" s="123">
        <f t="shared" si="41"/>
        <v>3</v>
      </c>
      <c r="AJ90" s="123">
        <f t="shared" si="42"/>
        <v>4</v>
      </c>
      <c r="AK90" s="123" t="s">
        <v>3191</v>
      </c>
      <c r="AL90" s="123">
        <f t="shared" si="43"/>
        <v>-1</v>
      </c>
      <c r="AM90" s="123">
        <f t="shared" si="44"/>
        <v>3</v>
      </c>
      <c r="AN90" s="123">
        <f t="shared" si="45"/>
        <v>4</v>
      </c>
      <c r="AP90" s="123">
        <f>AN90/AN92*10000+AM90/AM92*1000+AI90/AI92*100+IF(AQ90=0,ROW(),AQ90)/2000000</f>
        <v>6192.8578755271419</v>
      </c>
      <c r="AQ90" s="126">
        <f t="shared" si="37"/>
        <v>1465.34</v>
      </c>
      <c r="AR90" s="125" t="str">
        <f t="shared" si="50"/>
        <v>BCEFGHJK</v>
      </c>
      <c r="AS90" s="129" t="str">
        <f t="shared" si="46"/>
        <v>Uzbekistan</v>
      </c>
      <c r="AT90" s="130" t="str">
        <f>"Ⓚ "&amp;AE90</f>
        <v>Ⓚ Uzbekistan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Ⓘ Senegal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2 - 6</v>
      </c>
      <c r="P91" s="104">
        <f t="shared" si="48"/>
        <v>3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10</v>
      </c>
      <c r="AE91" s="124" t="str">
        <f>J77</f>
        <v>Panama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1</v>
      </c>
      <c r="AJ91" s="123">
        <f>VLOOKUP($AE91,$AE$8:$AQ$78,6,FALSE)</f>
        <v>4</v>
      </c>
      <c r="AK91" s="123" t="s">
        <v>3192</v>
      </c>
      <c r="AL91" s="123">
        <f>VLOOKUP($AE91,$AE$8:$AQ$78,8,FALSE)</f>
        <v>-3</v>
      </c>
      <c r="AM91" s="123">
        <f t="shared" si="44"/>
        <v>1</v>
      </c>
      <c r="AN91" s="123">
        <f>VLOOKUP($AE91,$AE$8:$AQ$78,10,FALSE)</f>
        <v>3</v>
      </c>
      <c r="AP91" s="123">
        <f>AN91/AN92*10000+AM91/AM92*1000+AI91/AI92*100+IF(AQ91=0,ROW(),AQ91)/2000000</f>
        <v>4445.2388655580953</v>
      </c>
      <c r="AQ91" s="126">
        <f t="shared" si="37"/>
        <v>1540.64</v>
      </c>
      <c r="AR91" s="125" t="str">
        <f t="shared" si="50"/>
        <v>BCEFGHJK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Ⓐ Korea Republic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2</v>
      </c>
      <c r="N92" s="106">
        <f>VLOOKUP(12,$AD$80:$AN$91,5,FALSE)</f>
        <v>1</v>
      </c>
      <c r="O92" s="106" t="str">
        <f>VLOOKUP(12,$AD$80:$AN$91,6,FALSE) &amp; " - " &amp; VLOOKUP(12,$AD$80:$AN$91,7,FALSE)</f>
        <v>2 - 4</v>
      </c>
      <c r="P92" s="107">
        <f t="shared" si="48"/>
        <v>2</v>
      </c>
      <c r="AF92" s="123">
        <f>MAX(AF80:AF91)+1</f>
        <v>3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7</v>
      </c>
      <c r="AL92" s="123">
        <f>MIN(AL80:AL91)</f>
        <v>-4</v>
      </c>
      <c r="AM92" s="123">
        <f>MAX(AM80:AM91)+1</f>
        <v>7</v>
      </c>
      <c r="AN92" s="123">
        <f>MAX(AN80:AN91)+1</f>
        <v>7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Brazil</v>
      </c>
      <c r="T96" s="127" t="str" cm="1">
        <f t="array" ref="T96">IF(OR(S96="",S96="draw"),INDEX(T,95,lang),S96)</f>
        <v>Brazil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Brazil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Brazil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106</v>
      </c>
      <c r="C3" s="121" t="str">
        <f>'2026 World Cup'!AR91</f>
        <v>BCEFGHJK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3J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3K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Jacobo Antona-Makoshi</cp:lastModifiedBy>
  <cp:revision/>
  <dcterms:created xsi:type="dcterms:W3CDTF">2017-12-27T19:32:51Z</dcterms:created>
  <dcterms:modified xsi:type="dcterms:W3CDTF">2026-06-08T13:56:45Z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