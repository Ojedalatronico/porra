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8" i="3"/>
  <c r="S89" i="3"/>
  <c r="S96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8" i="3" a="1"/>
  <c r="T88" i="3" s="1"/>
  <c r="T89" i="3" a="1"/>
  <c r="T89" i="3" s="1"/>
  <c r="T96" i="3" a="1"/>
  <c r="T96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S72" i="3"/>
  <c r="T46" i="3"/>
  <c r="S70" i="3"/>
  <c r="S42" i="3"/>
  <c r="S64" i="3"/>
  <c r="T63" i="3"/>
  <c r="S40" i="3"/>
  <c r="S62" i="3"/>
  <c r="T61" i="3"/>
  <c r="S38" i="3"/>
  <c r="S65" i="3"/>
  <c r="T37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1" i="3"/>
  <c r="AR28" i="3"/>
  <c r="AR9" i="3"/>
  <c r="AR10" i="3"/>
  <c r="AR21" i="3"/>
  <c r="AR33" i="3"/>
  <c r="AR34" i="3"/>
  <c r="AD57" i="3"/>
  <c r="AR35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0" i="3" l="1"/>
  <c r="AD68" i="3"/>
  <c r="AD9" i="3"/>
  <c r="AD8" i="3"/>
  <c r="AD11" i="3"/>
  <c r="M58" i="3"/>
  <c r="AD33" i="3"/>
  <c r="AD28" i="3"/>
  <c r="AD75" i="3"/>
  <c r="AD22" i="3"/>
  <c r="AD21" i="3"/>
  <c r="O60" i="3"/>
  <c r="AD34" i="3"/>
  <c r="AD70" i="3"/>
  <c r="AD20" i="3"/>
  <c r="AD32" i="3"/>
  <c r="M33" i="3" s="1"/>
  <c r="AD53" i="3"/>
  <c r="AD77" i="3"/>
  <c r="AD35" i="3"/>
  <c r="AD47" i="3"/>
  <c r="AD15" i="3"/>
  <c r="AD41" i="3"/>
  <c r="M59" i="3"/>
  <c r="AD26" i="3"/>
  <c r="L58" i="3"/>
  <c r="AD27" i="3"/>
  <c r="N58" i="3"/>
  <c r="AD62" i="3"/>
  <c r="AD44" i="3"/>
  <c r="AD71" i="3"/>
  <c r="L59" i="3"/>
  <c r="AD63" i="3"/>
  <c r="AD29" i="3"/>
  <c r="AD7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L51" i="3" s="1"/>
  <c r="N59" i="3"/>
  <c r="AD17" i="3"/>
  <c r="O9" i="3" l="1"/>
  <c r="L69" i="3"/>
  <c r="L76" i="3"/>
  <c r="J39" i="3"/>
  <c r="AS38" i="3" s="1"/>
  <c r="BL22" i="3" s="1"/>
  <c r="M10" i="3"/>
  <c r="N12" i="3"/>
  <c r="N9" i="3"/>
  <c r="J12" i="3"/>
  <c r="N16" i="3"/>
  <c r="O69" i="3"/>
  <c r="N69" i="3"/>
  <c r="M69" i="3"/>
  <c r="J69" i="3"/>
  <c r="AS68" i="3" s="1"/>
  <c r="BL70" i="3" s="1"/>
  <c r="O12" i="3"/>
  <c r="M11" i="3"/>
  <c r="N71" i="3"/>
  <c r="J11" i="3"/>
  <c r="AE80" i="3" s="1"/>
  <c r="AQ80" i="3" s="1"/>
  <c r="N10" i="3"/>
  <c r="J9" i="3"/>
  <c r="AS8" i="3" s="1"/>
  <c r="BL50" i="3" s="1"/>
  <c r="O11" i="3"/>
  <c r="N11" i="3"/>
  <c r="O10" i="3"/>
  <c r="L10" i="3"/>
  <c r="M12" i="3"/>
  <c r="L9" i="3"/>
  <c r="L12" i="3"/>
  <c r="J10" i="3"/>
  <c r="AS9" i="3" s="1"/>
  <c r="BL18" i="3" s="1"/>
  <c r="M9" i="3"/>
  <c r="L11" i="3"/>
  <c r="P58" i="3"/>
  <c r="M29" i="3"/>
  <c r="L16" i="3"/>
  <c r="M65" i="3"/>
  <c r="K58" i="3"/>
  <c r="L24" i="3"/>
  <c r="O40" i="3"/>
  <c r="L39" i="3"/>
  <c r="O18" i="3"/>
  <c r="O71" i="3"/>
  <c r="J22" i="3"/>
  <c r="AS21" i="3" s="1"/>
  <c r="BL23" i="3" s="1"/>
  <c r="J76" i="3"/>
  <c r="AS75" i="3" s="1"/>
  <c r="BL27" i="3" s="1"/>
  <c r="N30" i="3"/>
  <c r="L72" i="3"/>
  <c r="J46" i="3"/>
  <c r="AS45" i="3" s="1"/>
  <c r="BL63" i="3" s="1"/>
  <c r="N66" i="3"/>
  <c r="O65" i="3"/>
  <c r="O39" i="3"/>
  <c r="M72" i="3"/>
  <c r="M40" i="3"/>
  <c r="M71" i="3"/>
  <c r="J36" i="3"/>
  <c r="L71" i="3"/>
  <c r="N17" i="3"/>
  <c r="N35" i="3"/>
  <c r="M63" i="3"/>
  <c r="M36" i="3"/>
  <c r="N21" i="3"/>
  <c r="J78" i="3"/>
  <c r="O51" i="3"/>
  <c r="L34" i="3"/>
  <c r="O24" i="3"/>
  <c r="L42" i="3"/>
  <c r="N76" i="3"/>
  <c r="N54" i="3"/>
  <c r="O35" i="3"/>
  <c r="L22" i="3"/>
  <c r="O63" i="3"/>
  <c r="L36" i="3"/>
  <c r="O64" i="3"/>
  <c r="N22" i="3"/>
  <c r="O21" i="3"/>
  <c r="J70" i="3"/>
  <c r="AS69" i="3" s="1"/>
  <c r="BL26" i="3" s="1"/>
  <c r="J65" i="3"/>
  <c r="AE89" i="3" s="1"/>
  <c r="AQ89" i="3" s="1"/>
  <c r="O48" i="3"/>
  <c r="L33" i="3"/>
  <c r="P33" i="3" s="1"/>
  <c r="N24" i="3"/>
  <c r="J71" i="3"/>
  <c r="AE90" i="3" s="1"/>
  <c r="AQ90" i="3" s="1"/>
  <c r="J66" i="3"/>
  <c r="M45" i="3"/>
  <c r="N33" i="3"/>
  <c r="L21" i="3"/>
  <c r="O34" i="3"/>
  <c r="L64" i="3"/>
  <c r="N72" i="3"/>
  <c r="O66" i="3"/>
  <c r="J45" i="3"/>
  <c r="AS44" i="3" s="1"/>
  <c r="BL38" i="3" s="1"/>
  <c r="J33" i="3"/>
  <c r="AS32" i="3" s="1"/>
  <c r="BL10" i="3" s="1"/>
  <c r="J21" i="3"/>
  <c r="AS20" i="3" s="1"/>
  <c r="BL42" i="3" s="1"/>
  <c r="BS44" i="3" s="1"/>
  <c r="M70" i="3"/>
  <c r="M17" i="3"/>
  <c r="M21" i="3"/>
  <c r="J52" i="3"/>
  <c r="AS51" i="3" s="1"/>
  <c r="BL59" i="3" s="1"/>
  <c r="J30" i="3"/>
  <c r="N77" i="3"/>
  <c r="O30" i="3"/>
  <c r="M77" i="3"/>
  <c r="O70" i="3"/>
  <c r="O28" i="3"/>
  <c r="J18" i="3"/>
  <c r="L27" i="3"/>
  <c r="O16" i="3"/>
  <c r="L77" i="3"/>
  <c r="L65" i="3"/>
  <c r="N45" i="3"/>
  <c r="N36" i="3"/>
  <c r="O33" i="3"/>
  <c r="M27" i="3"/>
  <c r="M22" i="3"/>
  <c r="P57" i="3"/>
  <c r="M34" i="3"/>
  <c r="O78" i="3"/>
  <c r="P59" i="3"/>
  <c r="L78" i="3"/>
  <c r="L46" i="3"/>
  <c r="M47" i="3"/>
  <c r="M78" i="3"/>
  <c r="J63" i="3"/>
  <c r="AS62" i="3" s="1"/>
  <c r="BL58" i="3" s="1"/>
  <c r="BS60" i="3" s="1"/>
  <c r="BZ64" i="3" s="1"/>
  <c r="N63" i="3"/>
  <c r="L47" i="3"/>
  <c r="L35" i="3"/>
  <c r="J34" i="3"/>
  <c r="AS33" i="3" s="1"/>
  <c r="BL46" i="3" s="1"/>
  <c r="O22" i="3"/>
  <c r="J24" i="3"/>
  <c r="M76" i="3"/>
  <c r="N47" i="3"/>
  <c r="O36" i="3"/>
  <c r="J35" i="3"/>
  <c r="AE84" i="3" s="1"/>
  <c r="AQ84" i="3" s="1"/>
  <c r="L18" i="3"/>
  <c r="N70" i="3"/>
  <c r="M75" i="3"/>
  <c r="J75" i="3"/>
  <c r="AS74" i="3" s="1"/>
  <c r="BL54" i="3" s="1"/>
  <c r="J77" i="3"/>
  <c r="AE91" i="3" s="1"/>
  <c r="AQ91" i="3" s="1"/>
  <c r="N75" i="3"/>
  <c r="N65" i="3"/>
  <c r="L45" i="3"/>
  <c r="M35" i="3"/>
  <c r="M24" i="3"/>
  <c r="O77" i="3"/>
  <c r="O75" i="3"/>
  <c r="N48" i="3"/>
  <c r="N34" i="3"/>
  <c r="L29" i="3"/>
  <c r="L17" i="3"/>
  <c r="O54" i="3"/>
  <c r="L23" i="3"/>
  <c r="J47" i="3"/>
  <c r="AE86" i="3" s="1"/>
  <c r="AQ86" i="3" s="1"/>
  <c r="J27" i="3"/>
  <c r="AS26" i="3" s="1"/>
  <c r="BL34" i="3" s="1"/>
  <c r="J16" i="3"/>
  <c r="AS15" i="3" s="1"/>
  <c r="BL19" i="3" s="1"/>
  <c r="O47" i="3"/>
  <c r="O17" i="3"/>
  <c r="N78" i="3"/>
  <c r="N28" i="3"/>
  <c r="M16" i="3"/>
  <c r="K59" i="3"/>
  <c r="N29" i="3"/>
  <c r="O46" i="3"/>
  <c r="M28" i="3"/>
  <c r="N18" i="3"/>
  <c r="J48" i="3"/>
  <c r="M64" i="3"/>
  <c r="O76" i="3"/>
  <c r="L75" i="3"/>
  <c r="O45" i="3"/>
  <c r="N27" i="3"/>
  <c r="M18" i="3"/>
  <c r="J42" i="3"/>
  <c r="O23" i="3"/>
  <c r="N40" i="3"/>
  <c r="L28" i="3"/>
  <c r="AN88" i="3"/>
  <c r="AJ88" i="3"/>
  <c r="L54" i="3"/>
  <c r="N52" i="3"/>
  <c r="M39" i="3"/>
  <c r="O29" i="3"/>
  <c r="L15" i="3"/>
  <c r="M66" i="3"/>
  <c r="N64" i="3"/>
  <c r="N39" i="3"/>
  <c r="M51" i="3"/>
  <c r="O72" i="3"/>
  <c r="L48" i="3"/>
  <c r="J41" i="3"/>
  <c r="AE85" i="3" s="1"/>
  <c r="AQ85" i="3" s="1"/>
  <c r="O27" i="3"/>
  <c r="N51" i="3"/>
  <c r="M42" i="3"/>
  <c r="J40" i="3"/>
  <c r="AS39" i="3" s="1"/>
  <c r="BL43" i="3" s="1"/>
  <c r="AT88" i="3"/>
  <c r="M54" i="3"/>
  <c r="AI88" i="3"/>
  <c r="O42" i="3"/>
  <c r="J28" i="3"/>
  <c r="AS27" i="3" s="1"/>
  <c r="BL62" i="3" s="1"/>
  <c r="AG88" i="3"/>
  <c r="K57" i="3"/>
  <c r="J72" i="3"/>
  <c r="L70" i="3"/>
  <c r="L66" i="3"/>
  <c r="L63" i="3"/>
  <c r="M48" i="3"/>
  <c r="N46" i="3"/>
  <c r="L40" i="3"/>
  <c r="M30" i="3"/>
  <c r="J29" i="3"/>
  <c r="AE83" i="3" s="1"/>
  <c r="AQ83" i="3" s="1"/>
  <c r="AF88" i="3"/>
  <c r="N53" i="3"/>
  <c r="J64" i="3"/>
  <c r="AS63" i="3" s="1"/>
  <c r="BL31" i="3" s="1"/>
  <c r="J51" i="3"/>
  <c r="AS50" i="3" s="1"/>
  <c r="BL30" i="3" s="1"/>
  <c r="M46" i="3"/>
  <c r="L30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1" i="3" l="1"/>
  <c r="S86" i="3"/>
  <c r="T86" i="3" s="1" a="1"/>
  <c r="T86" i="3" s="1"/>
  <c r="BS28" i="3"/>
  <c r="S87" i="3"/>
  <c r="T87" i="3" s="1" a="1"/>
  <c r="T87" i="3" s="1"/>
  <c r="BS29" i="3"/>
  <c r="S90" i="3"/>
  <c r="T90" i="3" s="1" a="1"/>
  <c r="T90" i="3" s="1"/>
  <c r="BS36" i="3"/>
  <c r="S91" i="3"/>
  <c r="T91" i="3" s="1" a="1"/>
  <c r="T91" i="3" s="1"/>
  <c r="BS37" i="3"/>
  <c r="P76" i="3"/>
  <c r="P69" i="3"/>
  <c r="P28" i="3"/>
  <c r="K69" i="3"/>
  <c r="AJ80" i="3"/>
  <c r="AF80" i="3"/>
  <c r="AI80" i="3"/>
  <c r="AT80" i="3"/>
  <c r="AN80" i="3"/>
  <c r="AL80" i="3"/>
  <c r="P12" i="3"/>
  <c r="AH80" i="3"/>
  <c r="K10" i="3"/>
  <c r="AG80" i="3"/>
  <c r="P16" i="3"/>
  <c r="P11" i="3"/>
  <c r="P10" i="3"/>
  <c r="P29" i="3"/>
  <c r="K9" i="3"/>
  <c r="K12" i="3"/>
  <c r="P9" i="3"/>
  <c r="K11" i="3"/>
  <c r="P24" i="3"/>
  <c r="P30" i="3"/>
  <c r="K33" i="3"/>
  <c r="P36" i="3"/>
  <c r="P65" i="3"/>
  <c r="P39" i="3"/>
  <c r="AN83" i="3"/>
  <c r="AT89" i="3"/>
  <c r="AF90" i="3"/>
  <c r="K71" i="3"/>
  <c r="AG90" i="3"/>
  <c r="P40" i="3"/>
  <c r="P34" i="3"/>
  <c r="K54" i="3"/>
  <c r="K66" i="3"/>
  <c r="K17" i="3"/>
  <c r="AL81" i="3"/>
  <c r="P42" i="3"/>
  <c r="AJ81" i="3"/>
  <c r="AN90" i="3"/>
  <c r="AT90" i="3"/>
  <c r="AF81" i="3"/>
  <c r="AJ90" i="3"/>
  <c r="P27" i="3"/>
  <c r="P64" i="3"/>
  <c r="AG81" i="3"/>
  <c r="AL90" i="3"/>
  <c r="AI90" i="3"/>
  <c r="K64" i="3"/>
  <c r="P75" i="3"/>
  <c r="K63" i="3"/>
  <c r="P23" i="3"/>
  <c r="K16" i="3"/>
  <c r="AH89" i="3"/>
  <c r="K29" i="3"/>
  <c r="P70" i="3"/>
  <c r="K35" i="3"/>
  <c r="K24" i="3"/>
  <c r="P54" i="3"/>
  <c r="K51" i="3"/>
  <c r="P35" i="3"/>
  <c r="P77" i="3"/>
  <c r="P17" i="3"/>
  <c r="K47" i="3"/>
  <c r="AI89" i="3"/>
  <c r="AF82" i="3"/>
  <c r="K70" i="3"/>
  <c r="P41" i="3"/>
  <c r="AN86" i="3"/>
  <c r="AL83" i="3"/>
  <c r="P71" i="3"/>
  <c r="AI81" i="3"/>
  <c r="AI83" i="3"/>
  <c r="K22" i="3"/>
  <c r="K72" i="3"/>
  <c r="AI82" i="3"/>
  <c r="K21" i="3"/>
  <c r="AH83" i="3"/>
  <c r="AN89" i="3"/>
  <c r="AN91" i="3"/>
  <c r="AG83" i="3"/>
  <c r="AL89" i="3"/>
  <c r="AJ91" i="3"/>
  <c r="AN82" i="3"/>
  <c r="AJ89" i="3"/>
  <c r="P72" i="3"/>
  <c r="AF91" i="3"/>
  <c r="K46" i="3"/>
  <c r="P15" i="3"/>
  <c r="K28" i="3"/>
  <c r="P78" i="3"/>
  <c r="AG86" i="3"/>
  <c r="K75" i="3"/>
  <c r="K53" i="3"/>
  <c r="AJ84" i="3"/>
  <c r="AG89" i="3"/>
  <c r="AI84" i="3"/>
  <c r="AF89" i="3"/>
  <c r="P45" i="3"/>
  <c r="P47" i="3"/>
  <c r="AT91" i="3"/>
  <c r="K39" i="3"/>
  <c r="AT82" i="3"/>
  <c r="P66" i="3"/>
  <c r="P21" i="3"/>
  <c r="K36" i="3"/>
  <c r="AF86" i="3"/>
  <c r="K65" i="3"/>
  <c r="AG82" i="3"/>
  <c r="AF83" i="3"/>
  <c r="AH90" i="3"/>
  <c r="P46" i="3"/>
  <c r="K76" i="3"/>
  <c r="K27" i="3"/>
  <c r="K45" i="3"/>
  <c r="P48" i="3"/>
  <c r="K34" i="3"/>
  <c r="AT87" i="3"/>
  <c r="K42" i="3"/>
  <c r="K15" i="3"/>
  <c r="AN87" i="3"/>
  <c r="K40" i="3"/>
  <c r="AN84" i="3"/>
  <c r="AL87" i="3"/>
  <c r="AL84" i="3"/>
  <c r="AL91" i="3"/>
  <c r="K41" i="3"/>
  <c r="K30" i="3"/>
  <c r="P18" i="3"/>
  <c r="P63" i="3"/>
  <c r="K77" i="3"/>
  <c r="AT85" i="3"/>
  <c r="AJ87" i="3"/>
  <c r="AH84" i="3"/>
  <c r="AN85" i="3"/>
  <c r="AH87" i="3"/>
  <c r="K18" i="3"/>
  <c r="AN81" i="3"/>
  <c r="P22" i="3"/>
  <c r="AF84" i="3"/>
  <c r="AJ85" i="3"/>
  <c r="AT86" i="3"/>
  <c r="AG91" i="3"/>
  <c r="AH85" i="3"/>
  <c r="AG85" i="3"/>
  <c r="AF85" i="3"/>
  <c r="AJ86" i="3"/>
  <c r="K48" i="3"/>
  <c r="K78" i="3"/>
  <c r="AH81" i="3"/>
  <c r="AH82" i="3"/>
  <c r="AJ83" i="3"/>
  <c r="AI86" i="3"/>
  <c r="P51" i="3"/>
  <c r="AL86" i="3"/>
  <c r="AT84" i="3"/>
  <c r="AH86" i="3"/>
  <c r="AI91" i="3"/>
  <c r="AT81" i="3"/>
  <c r="AG84" i="3"/>
  <c r="AL85" i="3"/>
  <c r="AG87" i="3"/>
  <c r="AH91" i="3"/>
  <c r="AJ82" i="3"/>
  <c r="AT83" i="3"/>
  <c r="AI85" i="3"/>
  <c r="AF87" i="3"/>
  <c r="K23" i="3"/>
  <c r="P52" i="3"/>
  <c r="P53" i="3"/>
  <c r="AL82" i="3"/>
  <c r="AI87" i="3"/>
  <c r="K52" i="3"/>
  <c r="S97" i="3" l="1"/>
  <c r="T97" i="3" s="1" a="1"/>
  <c r="T97" i="3" s="1"/>
  <c r="BZ32" i="3"/>
  <c r="AJ92" i="3"/>
  <c r="AG92" i="3"/>
  <c r="AN92" i="3"/>
  <c r="AH92" i="3"/>
  <c r="AL92" i="3"/>
  <c r="AM88" i="3" s="1"/>
  <c r="AF92" i="3"/>
  <c r="AI92" i="3"/>
  <c r="AS92" i="3"/>
  <c r="AM87" i="3" l="1"/>
  <c r="AM82" i="3"/>
  <c r="AM84" i="3"/>
  <c r="AM86" i="3"/>
  <c r="AM81" i="3"/>
  <c r="AM80" i="3"/>
  <c r="AM89" i="3"/>
  <c r="AM90" i="3"/>
  <c r="AM91" i="3"/>
  <c r="AM83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1" i="3" l="1"/>
  <c r="AP89" i="3"/>
  <c r="AP80" i="3"/>
  <c r="AP86" i="3"/>
  <c r="AP84" i="3"/>
  <c r="AP85" i="3"/>
  <c r="AP83" i="3"/>
  <c r="AP91" i="3"/>
  <c r="AP82" i="3"/>
  <c r="AP88" i="3"/>
  <c r="AP90" i="3"/>
  <c r="AD81" i="3" l="1"/>
  <c r="AS81" i="3" s="1"/>
  <c r="AD85" i="3"/>
  <c r="AS85" i="3" s="1"/>
  <c r="AD84" i="3"/>
  <c r="AS84" i="3" s="1"/>
  <c r="AD89" i="3"/>
  <c r="AS89" i="3" s="1"/>
  <c r="AD80" i="3"/>
  <c r="AS80" i="3" s="1"/>
  <c r="AD83" i="3"/>
  <c r="AS83" i="3" s="1"/>
  <c r="AD91" i="3"/>
  <c r="AS91" i="3" s="1"/>
  <c r="AD87" i="3"/>
  <c r="AS87" i="3" s="1"/>
  <c r="AD88" i="3"/>
  <c r="AS88" i="3" s="1"/>
  <c r="AD90" i="3"/>
  <c r="AS90" i="3" s="1"/>
  <c r="AD82" i="3"/>
  <c r="AS82" i="3" s="1"/>
  <c r="AD86" i="3"/>
  <c r="AS86" i="3" s="1"/>
  <c r="J91" i="3" l="1"/>
  <c r="L88" i="3"/>
  <c r="J81" i="3"/>
  <c r="M88" i="3"/>
  <c r="L91" i="3"/>
  <c r="N88" i="3"/>
  <c r="L84" i="3"/>
  <c r="N91" i="3"/>
  <c r="J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M91" i="3"/>
  <c r="O88" i="3"/>
  <c r="O86" i="3"/>
  <c r="O91" i="3"/>
  <c r="J88" i="3"/>
  <c r="M86" i="3"/>
  <c r="O85" i="3"/>
  <c r="L89" i="3"/>
  <c r="J82" i="3"/>
  <c r="O89" i="3"/>
  <c r="L85" i="3"/>
  <c r="M83" i="3"/>
  <c r="M87" i="3"/>
  <c r="N81" i="3"/>
  <c r="L83" i="3"/>
  <c r="M82" i="3"/>
  <c r="L92" i="3"/>
  <c r="N85" i="3"/>
  <c r="M89" i="3"/>
  <c r="J90" i="3"/>
  <c r="N89" i="3"/>
  <c r="O90" i="3"/>
  <c r="J87" i="3"/>
  <c r="O82" i="3"/>
  <c r="N87" i="3"/>
  <c r="N83" i="3"/>
  <c r="L86" i="3"/>
  <c r="J86" i="3"/>
  <c r="O83" i="3"/>
  <c r="M92" i="3"/>
  <c r="M90" i="3"/>
  <c r="L82" i="3"/>
  <c r="N82" i="3"/>
  <c r="O81" i="3"/>
  <c r="O87" i="3"/>
  <c r="O84" i="3"/>
  <c r="N92" i="3"/>
  <c r="N90" i="3"/>
  <c r="M85" i="3"/>
  <c r="M84" i="3"/>
  <c r="L81" i="3"/>
  <c r="M81" i="3"/>
  <c r="N84" i="3"/>
  <c r="J83" i="3"/>
  <c r="O92" i="3"/>
  <c r="L87" i="3"/>
  <c r="L90" i="3"/>
  <c r="J84" i="3"/>
  <c r="N86" i="3"/>
  <c r="J89" i="3"/>
  <c r="J85" i="3"/>
  <c r="K91" i="3" l="1"/>
  <c r="K85" i="3"/>
  <c r="P82" i="3"/>
  <c r="P88" i="3"/>
  <c r="K88" i="3"/>
  <c r="K82" i="3"/>
  <c r="P91" i="3"/>
  <c r="K87" i="3"/>
  <c r="K90" i="3"/>
  <c r="K84" i="3"/>
  <c r="F3" i="4"/>
  <c r="BL35" i="3" s="1"/>
  <c r="G3" i="4"/>
  <c r="BL11" i="3" s="1"/>
  <c r="P87" i="3"/>
  <c r="P84" i="3"/>
  <c r="K89" i="3"/>
  <c r="K92" i="3"/>
  <c r="P81" i="3"/>
  <c r="P85" i="3"/>
  <c r="P83" i="3"/>
  <c r="K86" i="3"/>
  <c r="H3" i="4"/>
  <c r="BL39" i="3" s="1"/>
  <c r="I3" i="4"/>
  <c r="BL15" i="3" s="1"/>
  <c r="P92" i="3"/>
  <c r="P89" i="3"/>
  <c r="P86" i="3"/>
  <c r="K81" i="3"/>
  <c r="K3" i="4"/>
  <c r="BL55" i="3" s="1"/>
  <c r="K83" i="3"/>
  <c r="D3" i="4"/>
  <c r="BL51" i="3" s="1"/>
  <c r="P90" i="3"/>
  <c r="E3" i="4"/>
  <c r="BL67" i="3" s="1"/>
  <c r="BS68" i="3" s="1"/>
  <c r="B3" i="4"/>
  <c r="J3" i="4"/>
  <c r="BL71" i="3" s="1"/>
  <c r="BS53" i="3"/>
  <c r="BS52" i="3"/>
  <c r="BZ49" i="3" s="1"/>
  <c r="CG55" i="3" s="1"/>
  <c r="BS69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<sst xmlns="http://schemas.openxmlformats.org/spreadsheetml/2006/main" count="9785" uniqueCount="3699">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</sst>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22.jpe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15.pn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61" Type="http://schemas.openxmlformats.org/officeDocument/2006/relationships/image" Target="../media/image44.jpeg"/><Relationship Id="rId10" Type="http://schemas.openxmlformats.org/officeDocument/2006/relationships/image" Target="../media/image10.svg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="" xmlns:a16="http://schemas.microsoft.com/office/drawing/2014/main" id="{F51A19F6-415C-428E-AE45-6B8444E8C5C6}"/>
            </a:ext>
            <a:ext uri="{147F2762-F138-4A5C-976F-8EAC2B608ADB}">
              <a16:predDERef xmlns=""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="" xmlns:a16="http://schemas.microsoft.com/office/drawing/2014/main" id="{1B46314B-96F4-4815-F17C-4CFD773C5BEE}"/>
            </a:ext>
            <a:ext uri="{147F2762-F138-4A5C-976F-8EAC2B608ADB}">
              <a16:predDERef xmlns=""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="" xmlns:a16="http://schemas.microsoft.com/office/drawing/2014/main" id="{DD2796C7-63CF-A040-CAC6-694AE2C956E4}"/>
            </a:ext>
            <a:ext uri="{147F2762-F138-4A5C-976F-8EAC2B608ADB}">
              <a16:predDERef xmlns=""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="" xmlns:a16="http://schemas.microsoft.com/office/drawing/2014/main" id="{40B6E916-F412-551A-9B8E-659085D4E61F}"/>
            </a:ext>
            <a:ext uri="{147F2762-F138-4A5C-976F-8EAC2B608ADB}">
              <a16:predDERef xmlns=""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="" xmlns:a16="http://schemas.microsoft.com/office/drawing/2014/main" id="{1B863B75-27AB-03EF-340E-38758835B422}"/>
            </a:ext>
            <a:ext uri="{147F2762-F138-4A5C-976F-8EAC2B608ADB}">
              <a16:predDERef xmlns=""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="" xmlns:a16="http://schemas.microsoft.com/office/drawing/2014/main" id="{F9F7A320-9819-4817-B1BF-EDB370E4FCEE}"/>
            </a:ext>
            <a:ext uri="{147F2762-F138-4A5C-976F-8EAC2B608ADB}">
              <a16:predDERef xmlns=""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="" xmlns:a16="http://schemas.microsoft.com/office/drawing/2014/main" id="{4CAA2867-7516-4884-9806-DFE9C30E4882}"/>
            </a:ext>
            <a:ext uri="{147F2762-F138-4A5C-976F-8EAC2B608ADB}">
              <a16:predDERef xmlns=""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="" xmlns:a16="http://schemas.microsoft.com/office/drawing/2014/main" id="{2ECC2E3A-3621-4470-849A-445866F91979}"/>
            </a:ext>
            <a:ext uri="{147F2762-F138-4A5C-976F-8EAC2B608ADB}">
              <a16:predDERef xmlns=""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="" xmlns:a16="http://schemas.microsoft.com/office/drawing/2014/main" id="{22861624-4BEA-4E9A-ABFA-5D5439CE4101}"/>
            </a:ext>
            <a:ext uri="{147F2762-F138-4A5C-976F-8EAC2B608ADB}">
              <a16:predDERef xmlns=""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="" xmlns:a16="http://schemas.microsoft.com/office/drawing/2014/main" id="{5C5EBB62-A95E-43F4-9140-2603EC615986}"/>
            </a:ext>
            <a:ext uri="{147F2762-F138-4A5C-976F-8EAC2B608ADB}">
              <a16:predDERef xmlns=""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="" xmlns:a16="http://schemas.microsoft.com/office/drawing/2014/main" id="{3B7BDB38-DF6E-43BF-86FB-6A9B230F72ED}"/>
            </a:ext>
            <a:ext uri="{147F2762-F138-4A5C-976F-8EAC2B608ADB}">
              <a16:predDERef xmlns=""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="" xmlns:a16="http://schemas.microsoft.com/office/drawing/2014/main" id="{17B10BFC-AE3E-46EC-A0E7-FB856C1C432E}"/>
            </a:ext>
            <a:ext uri="{147F2762-F138-4A5C-976F-8EAC2B608ADB}">
              <a16:predDERef xmlns=""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="" xmlns:a16="http://schemas.microsoft.com/office/drawing/2014/main" id="{7B79FBDE-9EAD-4A8D-8194-73FC1A89727B}"/>
            </a:ext>
            <a:ext uri="{147F2762-F138-4A5C-976F-8EAC2B608ADB}">
              <a16:predDERef xmlns=""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="" xmlns:a16="http://schemas.microsoft.com/office/drawing/2014/main" id="{AC5ABD82-A79E-43D6-A08A-526028B33D27}"/>
            </a:ext>
            <a:ext uri="{147F2762-F138-4A5C-976F-8EAC2B608ADB}">
              <a16:predDERef xmlns=""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="" xmlns:a16="http://schemas.microsoft.com/office/drawing/2014/main" id="{D3B1F9D8-1FB9-4CCC-AB18-8FC380654943}"/>
            </a:ext>
            <a:ext uri="{147F2762-F138-4A5C-976F-8EAC2B608ADB}">
              <a16:predDERef xmlns=""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="" xmlns:a16="http://schemas.microsoft.com/office/drawing/2014/main" id="{4A4F891E-AB72-43C4-A284-70FCE9C97759}"/>
            </a:ext>
            <a:ext uri="{147F2762-F138-4A5C-976F-8EAC2B608ADB}">
              <a16:predDERef xmlns=""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="" xmlns:a16="http://schemas.microsoft.com/office/drawing/2014/main" id="{319DA717-6C51-4F4D-BFFA-1D38C87BFD71}"/>
            </a:ext>
            <a:ext uri="{147F2762-F138-4A5C-976F-8EAC2B608ADB}">
              <a16:predDERef xmlns=""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="" xmlns:a16="http://schemas.microsoft.com/office/drawing/2014/main" id="{632F5E0B-950B-4A04-BA6C-0436A596B91C}"/>
            </a:ext>
            <a:ext uri="{147F2762-F138-4A5C-976F-8EAC2B608ADB}">
              <a16:predDERef xmlns=""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="" xmlns:a16="http://schemas.microsoft.com/office/drawing/2014/main" id="{F796A2AB-26EF-4897-93AC-402DBEAD10B1}"/>
            </a:ext>
            <a:ext uri="{147F2762-F138-4A5C-976F-8EAC2B608ADB}">
              <a16:predDERef xmlns=""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="" xmlns:a16="http://schemas.microsoft.com/office/drawing/2014/main" id="{7B11A404-E79B-4E70-A731-103B739D09D1}"/>
            </a:ext>
            <a:ext uri="{147F2762-F138-4A5C-976F-8EAC2B608ADB}">
              <a16:predDERef xmlns=""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="" xmlns:a16="http://schemas.microsoft.com/office/drawing/2014/main" id="{24837278-93DD-4EE9-B1B4-8AA3B6709C88}"/>
            </a:ext>
            <a:ext uri="{147F2762-F138-4A5C-976F-8EAC2B608ADB}">
              <a16:predDERef xmlns=""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="" xmlns:a16="http://schemas.microsoft.com/office/drawing/2014/main" id="{F4C67D1C-DBC8-48F3-AEB4-717369EC7ADB}"/>
            </a:ext>
            <a:ext uri="{147F2762-F138-4A5C-976F-8EAC2B608ADB}">
              <a16:predDERef xmlns=""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="" xmlns:a16="http://schemas.microsoft.com/office/drawing/2014/main" id="{36A088A0-E9DE-4E2B-820A-4ED4CEF4983C}"/>
            </a:ext>
            <a:ext uri="{147F2762-F138-4A5C-976F-8EAC2B608ADB}">
              <a16:predDERef xmlns=""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="" xmlns:a16="http://schemas.microsoft.com/office/drawing/2014/main" id="{C6FF0E20-6461-4635-9D83-B6A8D8CDB869}"/>
            </a:ext>
            <a:ext uri="{147F2762-F138-4A5C-976F-8EAC2B608ADB}">
              <a16:predDERef xmlns=""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="" xmlns:a16="http://schemas.microsoft.com/office/drawing/2014/main" id="{1D2DE972-42C3-4B35-9D9B-D44D3222DCB2}"/>
            </a:ext>
            <a:ext uri="{147F2762-F138-4A5C-976F-8EAC2B608ADB}">
              <a16:predDERef xmlns=""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="" xmlns:a16="http://schemas.microsoft.com/office/drawing/2014/main" id="{45B79A5B-7180-4EF1-A10A-F4558F6895B9}"/>
            </a:ext>
            <a:ext uri="{147F2762-F138-4A5C-976F-8EAC2B608ADB}">
              <a16:predDERef xmlns=""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="" xmlns:a16="http://schemas.microsoft.com/office/drawing/2014/main" id="{99219DA7-2B42-47C5-A117-23215AE09188}"/>
            </a:ext>
            <a:ext uri="{147F2762-F138-4A5C-976F-8EAC2B608ADB}">
              <a16:predDERef xmlns=""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="" xmlns:a16="http://schemas.microsoft.com/office/drawing/2014/main" id="{34E4060E-64BF-4420-92E8-55ED4FDE1F2C}"/>
            </a:ext>
            <a:ext uri="{147F2762-F138-4A5C-976F-8EAC2B608ADB}">
              <a16:predDERef xmlns=""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="" xmlns:a16="http://schemas.microsoft.com/office/drawing/2014/main" id="{E34D46EF-A7A1-49C2-8271-6B46C1F01729}"/>
            </a:ext>
            <a:ext uri="{147F2762-F138-4A5C-976F-8EAC2B608ADB}">
              <a16:predDERef xmlns=""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="" xmlns:a16="http://schemas.microsoft.com/office/drawing/2014/main" id="{CE5C2639-EABA-4A03-8A6C-AF7B87EEBBC4}"/>
            </a:ext>
            <a:ext uri="{147F2762-F138-4A5C-976F-8EAC2B608ADB}">
              <a16:predDERef xmlns=""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="" xmlns:a16="http://schemas.microsoft.com/office/drawing/2014/main" id="{895A885F-98CA-4F6A-9916-B0DAF4808B58}"/>
            </a:ext>
            <a:ext uri="{147F2762-F138-4A5C-976F-8EAC2B608ADB}">
              <a16:predDERef xmlns=""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="" xmlns:a16="http://schemas.microsoft.com/office/drawing/2014/main" id="{23478721-E983-4248-9001-C89BDD9ABF4A}"/>
            </a:ext>
            <a:ext uri="{147F2762-F138-4A5C-976F-8EAC2B608ADB}">
              <a16:predDERef xmlns=""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="" xmlns:a16="http://schemas.microsoft.com/office/drawing/2014/main" id="{914E9B18-87CA-4972-A74B-487A65254FBF}"/>
            </a:ext>
            <a:ext uri="{147F2762-F138-4A5C-976F-8EAC2B608ADB}">
              <a16:predDERef xmlns=""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="" xmlns:a16="http://schemas.microsoft.com/office/drawing/2014/main" id="{6A835687-E18C-4E61-96BF-2CACA7028655}"/>
            </a:ext>
            <a:ext uri="{147F2762-F138-4A5C-976F-8EAC2B608ADB}">
              <a16:predDERef xmlns=""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="" xmlns:a16="http://schemas.microsoft.com/office/drawing/2014/main" id="{0BB292AF-CF63-4D91-9FB2-B9D9255E9111}"/>
            </a:ext>
            <a:ext uri="{147F2762-F138-4A5C-976F-8EAC2B608ADB}">
              <a16:predDERef xmlns=""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="" xmlns:a16="http://schemas.microsoft.com/office/drawing/2014/main" id="{D5A3DA86-7AE0-44D5-8116-38B4AF820308}"/>
            </a:ext>
            <a:ext uri="{147F2762-F138-4A5C-976F-8EAC2B608ADB}">
              <a16:predDERef xmlns=""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="" xmlns:a16="http://schemas.microsoft.com/office/drawing/2014/main" id="{5538F9C8-A0F4-472F-8854-3DD951573486}"/>
            </a:ext>
            <a:ext uri="{147F2762-F138-4A5C-976F-8EAC2B608ADB}">
              <a16:predDERef xmlns=""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="" xmlns:a16="http://schemas.microsoft.com/office/drawing/2014/main" id="{605DFDD4-24E5-4DCF-8C84-4031B2CF39C2}"/>
            </a:ext>
            <a:ext uri="{147F2762-F138-4A5C-976F-8EAC2B608ADB}">
              <a16:predDERef xmlns=""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="" xmlns:a16="http://schemas.microsoft.com/office/drawing/2014/main" id="{BD0BD818-94C4-4B50-B510-C69C4DCC7841}"/>
            </a:ext>
            <a:ext uri="{147F2762-F138-4A5C-976F-8EAC2B608ADB}">
              <a16:predDERef xmlns=""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="" xmlns:a16="http://schemas.microsoft.com/office/drawing/2014/main" id="{F8144853-86A7-442E-8925-6805C06536BF}"/>
            </a:ext>
            <a:ext uri="{147F2762-F138-4A5C-976F-8EAC2B608ADB}">
              <a16:predDERef xmlns=""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="" xmlns:a16="http://schemas.microsoft.com/office/drawing/2014/main" id="{D9869385-E3E9-48AF-8AEA-A5C54A95F42B}"/>
            </a:ext>
            <a:ext uri="{147F2762-F138-4A5C-976F-8EAC2B608ADB}">
              <a16:predDERef xmlns=""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="" xmlns:a16="http://schemas.microsoft.com/office/drawing/2014/main" id="{66D40F43-9FAC-461B-9600-C0A8D1D4DAFF}"/>
            </a:ext>
            <a:ext uri="{147F2762-F138-4A5C-976F-8EAC2B608ADB}">
              <a16:predDERef xmlns=""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="" xmlns:a16="http://schemas.microsoft.com/office/drawing/2014/main" id="{B29E90D8-0ACB-42E6-8B0A-2F3AF5C2CD64}"/>
            </a:ext>
            <a:ext uri="{147F2762-F138-4A5C-976F-8EAC2B608ADB}">
              <a16:predDERef xmlns=""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="" xmlns:a16="http://schemas.microsoft.com/office/drawing/2014/main" id="{2041A232-6C75-469A-8901-4D7B2E621DCC}"/>
            </a:ext>
            <a:ext uri="{147F2762-F138-4A5C-976F-8EAC2B608ADB}">
              <a16:predDERef xmlns=""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="" xmlns:a16="http://schemas.microsoft.com/office/drawing/2014/main" id="{FE4B9485-F6AA-4F52-956A-7E1D92C37B10}"/>
            </a:ext>
            <a:ext uri="{147F2762-F138-4A5C-976F-8EAC2B608ADB}">
              <a16:predDERef xmlns=""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="" xmlns:a16="http://schemas.microsoft.com/office/drawing/2014/main" id="{1E9ADE1C-28E2-4F40-B825-0D86951080F6}"/>
            </a:ext>
            <a:ext uri="{147F2762-F138-4A5C-976F-8EAC2B608ADB}">
              <a16:predDERef xmlns=""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="" xmlns:a16="http://schemas.microsoft.com/office/drawing/2014/main" id="{7D2B5624-F239-4AEC-AEB0-88500E4118FA}"/>
            </a:ext>
            <a:ext uri="{147F2762-F138-4A5C-976F-8EAC2B608ADB}">
              <a16:predDERef xmlns=""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="" xmlns:a16="http://schemas.microsoft.com/office/drawing/2014/main" id="{49B0B1E0-79B7-4827-AFB1-4DCA0DF62F5E}"/>
            </a:ext>
            <a:ext uri="{147F2762-F138-4A5C-976F-8EAC2B608ADB}">
              <a16:predDERef xmlns=""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B6D60D7-263B-2905-A703-4417C42B4357}"/>
            </a:ext>
            <a:ext uri="{147F2762-F138-4A5C-976F-8EAC2B608ADB}">
              <a16:predDERef xmlns=""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E1B5D36-C0A1-4E50-88CB-FDADEE6396CE}"/>
            </a:ext>
            <a:ext uri="{147F2762-F138-4A5C-976F-8EAC2B608ADB}">
              <a16:predDERef xmlns=""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C031B59A-81A8-4F0E-AA68-4D7B043C698D}"/>
            </a:ext>
            <a:ext uri="{147F2762-F138-4A5C-976F-8EAC2B608ADB}">
              <a16:predDERef xmlns=""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69EE8444-1F25-2356-F4A0-9AA849A76C50}"/>
            </a:ext>
            <a:ext uri="{147F2762-F138-4A5C-976F-8EAC2B608ADB}">
              <a16:predDERef xmlns=""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0739553-C807-45C2-8E0C-C1E8D304CA8A}"/>
            </a:ext>
            <a:ext uri="{147F2762-F138-4A5C-976F-8EAC2B608ADB}">
              <a16:predDERef xmlns=""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847CA9E4-7471-494A-8D45-FE9AFE54E8FD}"/>
            </a:ext>
            <a:ext uri="{147F2762-F138-4A5C-976F-8EAC2B608ADB}">
              <a16:predDERef xmlns=""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4383D23F-95CC-44E7-F347-5683F4589692}"/>
            </a:ext>
            <a:ext uri="{147F2762-F138-4A5C-976F-8EAC2B608ADB}">
              <a16:predDERef xmlns=""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8B0F07F1-CACA-B80C-9E7E-82D6DBAFAEAD}"/>
            </a:ext>
            <a:ext uri="{147F2762-F138-4A5C-976F-8EAC2B608ADB}">
              <a16:predDERef xmlns=""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5EC2B216-D836-45D8-8687-C70EE6030040}"/>
            </a:ext>
            <a:ext uri="{147F2762-F138-4A5C-976F-8EAC2B608ADB}">
              <a16:predDERef xmlns=""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AB6E75E2-D7BB-4FA9-93F5-63B0296369A7}"/>
            </a:ext>
            <a:ext uri="{147F2762-F138-4A5C-976F-8EAC2B608ADB}">
              <a16:predDERef xmlns=""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437C0994-7F98-40EB-905D-E5E44D2B304B}"/>
            </a:ext>
            <a:ext uri="{147F2762-F138-4A5C-976F-8EAC2B608ADB}">
              <a16:predDERef xmlns=""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C16ACF93-8809-49B5-A1C7-6D4825FAD0E8}"/>
            </a:ext>
            <a:ext uri="{147F2762-F138-4A5C-976F-8EAC2B608ADB}">
              <a16:predDERef xmlns=""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D43BCD2C-6856-30EB-249D-4ABD75B8C5FA}"/>
            </a:ext>
            <a:ext uri="{147F2762-F138-4A5C-976F-8EAC2B608ADB}">
              <a16:predDERef xmlns=""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50CC640E-DC57-4408-A445-0690585C932E}"/>
            </a:ext>
            <a:ext uri="{147F2762-F138-4A5C-976F-8EAC2B608ADB}">
              <a16:predDERef xmlns=""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4491A8DE-4C7D-4A7F-91F7-654A69FABD2F}"/>
            </a:ext>
            <a:ext uri="{147F2762-F138-4A5C-976F-8EAC2B608ADB}">
              <a16:predDERef xmlns=""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F10288F3-340E-31EB-D5F3-1743FD0B3316}"/>
            </a:ext>
            <a:ext uri="{147F2762-F138-4A5C-976F-8EAC2B608ADB}">
              <a16:predDERef xmlns=""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81A30AF2-AAF9-4147-85D7-78FF27D522C5}"/>
            </a:ext>
            <a:ext uri="{147F2762-F138-4A5C-976F-8EAC2B608ADB}">
              <a16:predDERef xmlns=""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="" xmlns:a16="http://schemas.microsoft.com/office/drawing/2014/main" id="{99A09E97-3C00-4DBA-8301-04FB23CA2A5C}"/>
            </a:ext>
            <a:ext uri="{147F2762-F138-4A5C-976F-8EAC2B608ADB}">
              <a16:predDERef xmlns=""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72EA11BF-CA51-52E5-F4E9-630CE4982DFA}"/>
            </a:ext>
            <a:ext uri="{147F2762-F138-4A5C-976F-8EAC2B608ADB}">
              <a16:predDERef xmlns=""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52BD69E4-E968-4B71-B47D-370F99BCA0D6}"/>
            </a:ext>
            <a:ext uri="{147F2762-F138-4A5C-976F-8EAC2B608ADB}">
              <a16:predDERef xmlns=""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3CCE7B5F-C44C-4BB2-B714-87A9AF6C134E}"/>
            </a:ext>
            <a:ext uri="{147F2762-F138-4A5C-976F-8EAC2B608ADB}">
              <a16:predDERef xmlns=""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="" xmlns:a16="http://schemas.microsoft.com/office/drawing/2014/main" id="{27766BD1-06AD-C18B-F134-FD484D5341A6}"/>
            </a:ext>
            <a:ext uri="{147F2762-F138-4A5C-976F-8EAC2B608ADB}">
              <a16:predDERef xmlns=""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="" xmlns:a16="http://schemas.microsoft.com/office/drawing/2014/main" id="{C4B92765-1367-404F-A79F-C9AD30ACC023}"/>
            </a:ext>
            <a:ext uri="{147F2762-F138-4A5C-976F-8EAC2B608ADB}">
              <a16:predDERef xmlns=""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9B133708-FEC3-4B81-8B27-27A17D261279}"/>
            </a:ext>
            <a:ext uri="{147F2762-F138-4A5C-976F-8EAC2B608ADB}">
              <a16:predDERef xmlns=""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51D84315-7B60-FFFB-C340-A001D0A5FF07}"/>
            </a:ext>
            <a:ext uri="{147F2762-F138-4A5C-976F-8EAC2B608ADB}">
              <a16:predDERef xmlns=""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7597E444-EDCC-403A-A2D9-9CBFDE5DE51C}"/>
            </a:ext>
            <a:ext uri="{147F2762-F138-4A5C-976F-8EAC2B608ADB}">
              <a16:predDERef xmlns=""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A6275DFE-A44B-4640-B04D-AED21754C274}"/>
            </a:ext>
            <a:ext uri="{147F2762-F138-4A5C-976F-8EAC2B608ADB}">
              <a16:predDERef xmlns=""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="" xmlns:a16="http://schemas.microsoft.com/office/drawing/2014/main" id="{345EE2B6-4254-4757-A17A-E588F3FF68D1}"/>
            </a:ext>
            <a:ext uri="{147F2762-F138-4A5C-976F-8EAC2B608ADB}">
              <a16:predDERef xmlns=""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="" xmlns:a16="http://schemas.microsoft.com/office/drawing/2014/main" id="{869D3DB6-1929-49D0-932F-7437024DE66D}"/>
            </a:ext>
            <a:ext uri="{147F2762-F138-4A5C-976F-8EAC2B608ADB}">
              <a16:predDERef xmlns=""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="" xmlns:a16="http://schemas.microsoft.com/office/drawing/2014/main" id="{010337C5-CF48-44DE-A32D-2BC9C520099F}"/>
            </a:ext>
            <a:ext uri="{147F2762-F138-4A5C-976F-8EAC2B608ADB}">
              <a16:predDERef xmlns=""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="" xmlns:a16="http://schemas.microsoft.com/office/drawing/2014/main" id="{DFC93723-4221-C3D7-F719-7819AE9485BA}"/>
            </a:ext>
            <a:ext uri="{147F2762-F138-4A5C-976F-8EAC2B608ADB}">
              <a16:predDERef xmlns=""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="" xmlns:a16="http://schemas.microsoft.com/office/drawing/2014/main" id="{29EA175C-4B47-4A09-AF7C-2432E57EE030}"/>
            </a:ext>
            <a:ext uri="{147F2762-F138-4A5C-976F-8EAC2B608ADB}">
              <a16:predDERef xmlns=""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="" xmlns:a16="http://schemas.microsoft.com/office/drawing/2014/main" id="{73AEA0E1-7CF9-49AB-8A6F-BF04537168F5}"/>
            </a:ext>
            <a:ext uri="{147F2762-F138-4A5C-976F-8EAC2B608ADB}">
              <a16:predDERef xmlns=""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="" xmlns:a16="http://schemas.microsoft.com/office/drawing/2014/main" id="{9ED42E84-6C21-450C-999C-39421CF91D08}"/>
            </a:ext>
            <a:ext uri="{147F2762-F138-4A5C-976F-8EAC2B608ADB}">
              <a16:predDERef xmlns=""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="" xmlns:a16="http://schemas.microsoft.com/office/drawing/2014/main" id="{61770197-C4C3-4510-8FFE-B312E09827E7}"/>
            </a:ext>
            <a:ext uri="{147F2762-F138-4A5C-976F-8EAC2B608ADB}">
              <a16:predDERef xmlns=""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="" xmlns:a16="http://schemas.microsoft.com/office/drawing/2014/main" id="{F068B2FF-8EDA-33E5-40CE-E16D2A3EF311}"/>
            </a:ext>
            <a:ext uri="{147F2762-F138-4A5C-976F-8EAC2B608ADB}">
              <a16:predDERef xmlns=""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="" xmlns:a16="http://schemas.microsoft.com/office/drawing/2014/main" id="{A7A78207-A08D-41CC-AA47-8B1BA5E27D5F}"/>
            </a:ext>
            <a:ext uri="{147F2762-F138-4A5C-976F-8EAC2B608ADB}">
              <a16:predDERef xmlns=""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="" xmlns:a16="http://schemas.microsoft.com/office/drawing/2014/main" id="{9DBE3F33-0403-456B-B4B8-1E91BB1BA8B9}"/>
            </a:ext>
            <a:ext uri="{147F2762-F138-4A5C-976F-8EAC2B608ADB}">
              <a16:predDERef xmlns=""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="" xmlns:a16="http://schemas.microsoft.com/office/drawing/2014/main" id="{202897AA-DDF6-4593-8863-955ADF52A029}"/>
            </a:ext>
            <a:ext uri="{147F2762-F138-4A5C-976F-8EAC2B608ADB}">
              <a16:predDERef xmlns=""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="" xmlns:a16="http://schemas.microsoft.com/office/drawing/2014/main" id="{EC4F796A-976A-4D1A-A99F-A4DAD1E3B03B}"/>
            </a:ext>
            <a:ext uri="{147F2762-F138-4A5C-976F-8EAC2B608ADB}">
              <a16:predDERef xmlns=""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="" xmlns:a16="http://schemas.microsoft.com/office/drawing/2014/main" id="{CAD0A170-AEE0-4773-8608-BDCE577B3783}"/>
            </a:ext>
            <a:ext uri="{147F2762-F138-4A5C-976F-8EAC2B608ADB}">
              <a16:predDERef xmlns=""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="" xmlns:a16="http://schemas.microsoft.com/office/drawing/2014/main" id="{F0E9C929-8FCA-12A2-FFC0-4B473B22CB76}"/>
            </a:ext>
            <a:ext uri="{147F2762-F138-4A5C-976F-8EAC2B608ADB}">
              <a16:predDERef xmlns=""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="" xmlns:a16="http://schemas.microsoft.com/office/drawing/2014/main" id="{1AC42D6E-85FE-49C9-97F4-B291E1538138}"/>
            </a:ext>
            <a:ext uri="{147F2762-F138-4A5C-976F-8EAC2B608ADB}">
              <a16:predDERef xmlns=""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="" xmlns:a16="http://schemas.microsoft.com/office/drawing/2014/main" id="{DA269B76-E247-48A7-BB6E-61336BBE7F43}"/>
            </a:ext>
            <a:ext uri="{147F2762-F138-4A5C-976F-8EAC2B608ADB}">
              <a16:predDERef xmlns=""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="" xmlns:a16="http://schemas.microsoft.com/office/drawing/2014/main" id="{42BE210D-9B31-6BD2-97A1-AAE93B7E7EF7}"/>
            </a:ext>
            <a:ext uri="{147F2762-F138-4A5C-976F-8EAC2B608ADB}">
              <a16:predDERef xmlns=""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="" xmlns:a16="http://schemas.microsoft.com/office/drawing/2014/main" id="{7BFCCDE7-B76F-4E04-A483-859E0B88B19A}"/>
            </a:ext>
            <a:ext uri="{147F2762-F138-4A5C-976F-8EAC2B608ADB}">
              <a16:predDERef xmlns=""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="" xmlns:a16="http://schemas.microsoft.com/office/drawing/2014/main" id="{E57668A2-C937-4BB1-8E0A-C138846A902B}"/>
            </a:ext>
            <a:ext uri="{147F2762-F138-4A5C-976F-8EAC2B608ADB}">
              <a16:predDERef xmlns=""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="" xmlns:a16="http://schemas.microsoft.com/office/drawing/2014/main" id="{C196E4D8-8C61-AC6E-8410-08C8A794DFC1}"/>
            </a:ext>
            <a:ext uri="{147F2762-F138-4A5C-976F-8EAC2B608ADB}">
              <a16:predDERef xmlns=""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="" xmlns:a16="http://schemas.microsoft.com/office/drawing/2014/main" id="{4DF58BED-8D8C-4C50-97F6-E4630ED8C319}"/>
            </a:ext>
            <a:ext uri="{147F2762-F138-4A5C-976F-8EAC2B608ADB}">
              <a16:predDERef xmlns=""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="" xmlns:a16="http://schemas.microsoft.com/office/drawing/2014/main" id="{72B4D245-49FF-45DB-A827-8BE8A1A8B48F}"/>
            </a:ext>
            <a:ext uri="{147F2762-F138-4A5C-976F-8EAC2B608ADB}">
              <a16:predDERef xmlns=""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="" xmlns:a16="http://schemas.microsoft.com/office/drawing/2014/main" id="{0B455958-3603-1715-E2F5-6FB6F0CECE86}"/>
            </a:ext>
            <a:ext uri="{147F2762-F138-4A5C-976F-8EAC2B608ADB}">
              <a16:predDERef xmlns=""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="" xmlns:a16="http://schemas.microsoft.com/office/drawing/2014/main" id="{098924BF-98E1-1FE5-2B9D-308786AA69E7}"/>
            </a:ext>
            <a:ext uri="{147F2762-F138-4A5C-976F-8EAC2B608ADB}">
              <a16:predDERef xmlns=""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="" xmlns:a16="http://schemas.microsoft.com/office/drawing/2014/main" id="{88179672-29A1-458E-A299-B8EC1111A123}"/>
            </a:ext>
            <a:ext uri="{147F2762-F138-4A5C-976F-8EAC2B608ADB}">
              <a16:predDERef xmlns=""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="" xmlns:a16="http://schemas.microsoft.com/office/drawing/2014/main" id="{E21C3AC7-2626-421F-91DF-9CA29ADCAAA7}"/>
            </a:ext>
            <a:ext uri="{147F2762-F138-4A5C-976F-8EAC2B608ADB}">
              <a16:predDERef xmlns=""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="" xmlns:a16="http://schemas.microsoft.com/office/drawing/2014/main" id="{A339F249-01B0-573D-1A51-832F90447E7F}"/>
            </a:ext>
            <a:ext uri="{147F2762-F138-4A5C-976F-8EAC2B608ADB}">
              <a16:predDERef xmlns=""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="" xmlns:a16="http://schemas.microsoft.com/office/drawing/2014/main" id="{B1AC6EF9-7793-4689-A249-1B24963F6EFA}"/>
            </a:ext>
            <a:ext uri="{147F2762-F138-4A5C-976F-8EAC2B608ADB}">
              <a16:predDERef xmlns=""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="" xmlns:a16="http://schemas.microsoft.com/office/drawing/2014/main" id="{4191B125-922F-4D8D-927A-F296134E6639}"/>
            </a:ext>
            <a:ext uri="{147F2762-F138-4A5C-976F-8EAC2B608ADB}">
              <a16:predDERef xmlns=""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="" xmlns:a16="http://schemas.microsoft.com/office/drawing/2014/main" id="{FB6A1F23-356F-03C8-89A9-A58D53733FA6}"/>
            </a:ext>
            <a:ext uri="{147F2762-F138-4A5C-976F-8EAC2B608ADB}">
              <a16:predDERef xmlns=""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="" xmlns:a16="http://schemas.microsoft.com/office/drawing/2014/main" id="{30F1C7B3-F84D-454E-9558-C12993D76B14}"/>
            </a:ext>
            <a:ext uri="{147F2762-F138-4A5C-976F-8EAC2B608ADB}">
              <a16:predDERef xmlns=""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="" xmlns:a16="http://schemas.microsoft.com/office/drawing/2014/main" id="{77FD7135-3C30-4340-A2CD-50300F9A1557}"/>
            </a:ext>
            <a:ext uri="{147F2762-F138-4A5C-976F-8EAC2B608ADB}">
              <a16:predDERef xmlns=""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="" xmlns:a16="http://schemas.microsoft.com/office/drawing/2014/main" id="{B8298630-2532-ECAB-1AE9-D392529F0BB3}"/>
            </a:ext>
            <a:ext uri="{147F2762-F138-4A5C-976F-8EAC2B608ADB}">
              <a16:predDERef xmlns=""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="" xmlns:a16="http://schemas.microsoft.com/office/drawing/2014/main" id="{81DA73B2-C784-4149-AF54-35F3E7EBC024}"/>
            </a:ext>
            <a:ext uri="{147F2762-F138-4A5C-976F-8EAC2B608ADB}">
              <a16:predDERef xmlns=""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="" xmlns:a16="http://schemas.microsoft.com/office/drawing/2014/main" id="{E70919BA-D6FE-4669-948B-442CB9B5351B}"/>
            </a:ext>
            <a:ext uri="{147F2762-F138-4A5C-976F-8EAC2B608ADB}">
              <a16:predDERef xmlns=""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="" xmlns:a16="http://schemas.microsoft.com/office/drawing/2014/main" id="{30FB3D2B-1857-4524-39E8-414D7241839F}"/>
            </a:ext>
            <a:ext uri="{147F2762-F138-4A5C-976F-8EAC2B608ADB}">
              <a16:predDERef xmlns=""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="" xmlns:a16="http://schemas.microsoft.com/office/drawing/2014/main" id="{B3E0B716-3F31-49AB-B0DF-A7A5D062DAFF}"/>
            </a:ext>
            <a:ext uri="{147F2762-F138-4A5C-976F-8EAC2B608ADB}">
              <a16:predDERef xmlns=""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="" xmlns:a16="http://schemas.microsoft.com/office/drawing/2014/main" id="{7BF3C833-4DBD-4384-8E02-297FBF928C0B}"/>
            </a:ext>
            <a:ext uri="{147F2762-F138-4A5C-976F-8EAC2B608ADB}">
              <a16:predDERef xmlns=""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="" xmlns:a16="http://schemas.microsoft.com/office/drawing/2014/main" id="{3145E025-B580-5C4D-0669-0156CE68637F}"/>
            </a:ext>
            <a:ext uri="{147F2762-F138-4A5C-976F-8EAC2B608ADB}">
              <a16:predDERef xmlns=""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="" xmlns:a16="http://schemas.microsoft.com/office/drawing/2014/main" id="{F422FA4D-C1F2-45D0-8FF3-1CD9CC3E692C}"/>
            </a:ext>
            <a:ext uri="{147F2762-F138-4A5C-976F-8EAC2B608ADB}">
              <a16:predDERef xmlns=""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="" xmlns:a16="http://schemas.microsoft.com/office/drawing/2014/main" id="{AA774F6A-C08D-4E8A-B9CA-102E1E878606}"/>
            </a:ext>
            <a:ext uri="{147F2762-F138-4A5C-976F-8EAC2B608ADB}">
              <a16:predDERef xmlns=""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="" xmlns:a16="http://schemas.microsoft.com/office/drawing/2014/main" id="{67C0255F-509C-57CF-A97D-D7B4864AF9B0}"/>
            </a:ext>
            <a:ext uri="{147F2762-F138-4A5C-976F-8EAC2B608ADB}">
              <a16:predDERef xmlns=""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="" xmlns:a16="http://schemas.microsoft.com/office/drawing/2014/main" id="{DDAF7E5B-4C05-4A74-9825-D0066FB7F2C9}"/>
            </a:ext>
            <a:ext uri="{147F2762-F138-4A5C-976F-8EAC2B608ADB}">
              <a16:predDERef xmlns=""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="" xmlns:a16="http://schemas.microsoft.com/office/drawing/2014/main" id="{ABCFE893-7E10-4D50-8649-6191D4CF8087}"/>
            </a:ext>
            <a:ext uri="{147F2762-F138-4A5C-976F-8EAC2B608ADB}">
              <a16:predDERef xmlns=""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="" xmlns:a16="http://schemas.microsoft.com/office/drawing/2014/main" id="{58FC111B-CF3D-5593-695F-0456FF709E87}"/>
            </a:ext>
            <a:ext uri="{147F2762-F138-4A5C-976F-8EAC2B608ADB}">
              <a16:predDERef xmlns=""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="" xmlns:a16="http://schemas.microsoft.com/office/drawing/2014/main" id="{E7DE13C6-FF48-4A46-9940-7737996098C5}"/>
            </a:ext>
            <a:ext uri="{147F2762-F138-4A5C-976F-8EAC2B608ADB}">
              <a16:predDERef xmlns=""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="" xmlns:a16="http://schemas.microsoft.com/office/drawing/2014/main" id="{2139952F-33EC-4355-8BE7-B04B9260378A}"/>
            </a:ext>
            <a:ext uri="{147F2762-F138-4A5C-976F-8EAC2B608ADB}">
              <a16:predDERef xmlns=""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="" xmlns:a16="http://schemas.microsoft.com/office/drawing/2014/main" id="{70C438E8-24F9-7767-C915-3978A26D5BA7}"/>
            </a:ext>
            <a:ext uri="{147F2762-F138-4A5C-976F-8EAC2B608ADB}">
              <a16:predDERef xmlns=""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="" xmlns:a16="http://schemas.microsoft.com/office/drawing/2014/main" id="{935F9792-7EAA-40AD-AE13-7E60491755D6}"/>
            </a:ext>
            <a:ext uri="{147F2762-F138-4A5C-976F-8EAC2B608ADB}">
              <a16:predDERef xmlns=""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="" xmlns:a16="http://schemas.microsoft.com/office/drawing/2014/main" id="{F4CC0F33-1C5C-4DE7-B21C-F8C30F59532F}"/>
            </a:ext>
            <a:ext uri="{147F2762-F138-4A5C-976F-8EAC2B608ADB}">
              <a16:predDERef xmlns=""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="" xmlns:a16="http://schemas.microsoft.com/office/drawing/2014/main" id="{652CB5AB-A8A7-F9DF-276D-0D5BE7748231}"/>
            </a:ext>
            <a:ext uri="{147F2762-F138-4A5C-976F-8EAC2B608ADB}">
              <a16:predDERef xmlns=""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="" xmlns:a16="http://schemas.microsoft.com/office/drawing/2014/main" id="{EF2907EB-5792-494A-94FA-8D1ED0F5A786}"/>
            </a:ext>
            <a:ext uri="{147F2762-F138-4A5C-976F-8EAC2B608ADB}">
              <a16:predDERef xmlns=""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="" xmlns:a16="http://schemas.microsoft.com/office/drawing/2014/main" id="{88D0F5DC-F4AC-44F1-B04D-9396174C4E0D}"/>
            </a:ext>
            <a:ext uri="{147F2762-F138-4A5C-976F-8EAC2B608ADB}">
              <a16:predDERef xmlns=""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="" xmlns:a16="http://schemas.microsoft.com/office/drawing/2014/main" id="{CC2BA196-9E41-3B8D-76C8-CBAE66B8CF10}"/>
            </a:ext>
            <a:ext uri="{147F2762-F138-4A5C-976F-8EAC2B608ADB}">
              <a16:predDERef xmlns=""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="" xmlns:a16="http://schemas.microsoft.com/office/drawing/2014/main" id="{D92FE3C3-C952-4938-9336-AB35291EA1FF}"/>
            </a:ext>
            <a:ext uri="{147F2762-F138-4A5C-976F-8EAC2B608ADB}">
              <a16:predDERef xmlns=""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="" xmlns:a16="http://schemas.microsoft.com/office/drawing/2014/main" id="{78F1F27C-38CD-4B4B-91C1-2C270068EDF0}"/>
            </a:ext>
            <a:ext uri="{147F2762-F138-4A5C-976F-8EAC2B608ADB}">
              <a16:predDERef xmlns=""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="" xmlns:a16="http://schemas.microsoft.com/office/drawing/2014/main" id="{AD3B7227-2DB1-FDC9-1F40-DEC7BD7DE41E}"/>
            </a:ext>
            <a:ext uri="{147F2762-F138-4A5C-976F-8EAC2B608ADB}">
              <a16:predDERef xmlns=""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="" xmlns:a16="http://schemas.microsoft.com/office/drawing/2014/main" id="{6E7558E1-CF67-4B72-9E7D-25A3E79F51DC}"/>
            </a:ext>
            <a:ext uri="{147F2762-F138-4A5C-976F-8EAC2B608ADB}">
              <a16:predDERef xmlns=""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="" xmlns:a16="http://schemas.microsoft.com/office/drawing/2014/main" id="{CBA7BA57-6D9A-440B-8719-5C4B1E9FCDD8}"/>
            </a:ext>
            <a:ext uri="{147F2762-F138-4A5C-976F-8EAC2B608ADB}">
              <a16:predDERef xmlns=""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="" xmlns:a16="http://schemas.microsoft.com/office/drawing/2014/main" id="{F0ACA1BB-2892-8D8F-16BC-AAA469005846}"/>
            </a:ext>
            <a:ext uri="{147F2762-F138-4A5C-976F-8EAC2B608ADB}">
              <a16:predDERef xmlns=""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="" xmlns:a16="http://schemas.microsoft.com/office/drawing/2014/main" id="{A66CD503-F508-4880-B9CB-2407BC8B2FC0}"/>
            </a:ext>
            <a:ext uri="{147F2762-F138-4A5C-976F-8EAC2B608ADB}">
              <a16:predDERef xmlns=""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="" xmlns:a16="http://schemas.microsoft.com/office/drawing/2014/main" id="{96100DE2-9C01-42BF-A75E-FA6C48C4CB00}"/>
            </a:ext>
            <a:ext uri="{147F2762-F138-4A5C-976F-8EAC2B608ADB}">
              <a16:predDERef xmlns=""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="" xmlns:a16="http://schemas.microsoft.com/office/drawing/2014/main" id="{BAADC898-EF39-F06B-280A-55C896BC6499}"/>
            </a:ext>
            <a:ext uri="{147F2762-F138-4A5C-976F-8EAC2B608ADB}">
              <a16:predDERef xmlns=""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="" xmlns:a16="http://schemas.microsoft.com/office/drawing/2014/main" id="{06725317-788A-40D9-9A96-55B138349EED}"/>
            </a:ext>
            <a:ext uri="{147F2762-F138-4A5C-976F-8EAC2B608ADB}">
              <a16:predDERef xmlns=""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="" xmlns:a16="http://schemas.microsoft.com/office/drawing/2014/main" id="{E5BCB6FE-DF8E-4E1C-A89E-02718ED35B2F}"/>
            </a:ext>
            <a:ext uri="{147F2762-F138-4A5C-976F-8EAC2B608ADB}">
              <a16:predDERef xmlns=""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="" xmlns:a16="http://schemas.microsoft.com/office/drawing/2014/main" id="{A91A538F-459A-2E5C-F58D-BFE81A3AD270}"/>
            </a:ext>
            <a:ext uri="{147F2762-F138-4A5C-976F-8EAC2B608ADB}">
              <a16:predDERef xmlns=""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="" xmlns:a16="http://schemas.microsoft.com/office/drawing/2014/main" id="{87CB918A-C8E8-4384-9086-8D45C8599E43}"/>
            </a:ext>
            <a:ext uri="{147F2762-F138-4A5C-976F-8EAC2B608ADB}">
              <a16:predDERef xmlns=""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="" xmlns:a16="http://schemas.microsoft.com/office/drawing/2014/main" id="{9CEE2CED-EED2-41A6-AEB6-5520EAB59514}"/>
            </a:ext>
            <a:ext uri="{147F2762-F138-4A5C-976F-8EAC2B608ADB}">
              <a16:predDERef xmlns=""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topLeftCell="N1" zoomScaleNormal="100" workbookViewId="0">
      <selection activeCell="CN52" sqref="CN52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87500009.723062739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8.1698847130721556E-12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3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50000006.056349881</v>
      </c>
      <c r="AQ10" s="126">
        <f>VLOOKUP(AE10,db_fifarank,2,FALSE)</f>
        <v>1588.66</v>
      </c>
      <c r="AR10" s="125">
        <f>AP10/AP12</f>
        <v>0.57142857061583396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7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62500008.445195131</v>
      </c>
      <c r="AQ11" s="126">
        <f>VLOOKUP(AE11,db_fifarank,2,FALSE)</f>
        <v>1501.38</v>
      </c>
      <c r="AR11" s="125">
        <f>AP11/AP12</f>
        <v>0.71428572326702289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0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87500010.723062739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10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97305933.225991547</v>
      </c>
      <c r="AQ14" s="126">
        <f>VLOOKUP(AE14,db_fifarank,2,FALSE)</f>
        <v>1556.48</v>
      </c>
      <c r="AR14" s="125">
        <f>AP14/AP18</f>
        <v>0.99999998972265702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4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37500003.803723216</v>
      </c>
      <c r="AQ15" s="126">
        <f>VLOOKUP(AE15,db_fifarank,2,FALSE)</f>
        <v>1385.84</v>
      </c>
      <c r="AR15" s="125">
        <f>AP15/AP18</f>
        <v>0.38538249595972351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5 - 1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7.4762141259554785E-12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10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97305933.226038009</v>
      </c>
      <c r="AQ17" s="126">
        <f>VLOOKUP(AE17,db_fifarank,2,FALSE)</f>
        <v>1649.4</v>
      </c>
      <c r="AR17" s="125">
        <f>AP17/AP18</f>
        <v>0.99999998972313453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11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97305934.226038009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17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60000010.345325023</v>
      </c>
      <c r="AQ20" s="126">
        <f>VLOOKUP(AE20,db_fifarank,2,FALSE)</f>
        <v>1761.16</v>
      </c>
      <c r="AR20" s="125">
        <f>AP20/AP24</f>
        <v>0.66666670391274163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1</v>
      </c>
      <c r="AL21" s="123">
        <f>AI21-AJ21</f>
        <v>5</v>
      </c>
      <c r="AM21" s="123">
        <f>AL21-AL24</f>
        <v>16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90000009.489766821</v>
      </c>
      <c r="AQ21" s="126">
        <f>VLOOKUP(AE21,db_fifarank,2,FALSE)</f>
        <v>1755.87</v>
      </c>
      <c r="AR21" s="125">
        <f>AP21/AP24</f>
        <v>0.99999998888889019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9 - 3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7.1761658302632635E-12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11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30000006.511860285</v>
      </c>
      <c r="AQ23" s="126">
        <f>VLOOKUP(AE23,db_fifarank,2,FALSE)</f>
        <v>1498.35</v>
      </c>
      <c r="AR23" s="125">
        <f>AP23/AP24</f>
        <v>0.33333336683634435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-11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90000010.489766821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6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75000009.429407984</v>
      </c>
      <c r="AQ26" s="126">
        <f>VLOOKUP(AE26,db_fifarank,2,FALSE)</f>
        <v>1673.13</v>
      </c>
      <c r="AR26" s="125">
        <f>AP26/AP30</f>
        <v>0.85714288093467073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12500000.143608894</v>
      </c>
      <c r="AQ27" s="126">
        <f>VLOOKUP(AE27,db_fifarank,2,FALSE)</f>
        <v>1503.5</v>
      </c>
      <c r="AR27" s="125">
        <f>AP27/AP30</f>
        <v>0.14285713050291413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2</v>
      </c>
      <c r="AL28" s="123">
        <f>AI28-AJ28</f>
        <v>-2</v>
      </c>
      <c r="AM28" s="123">
        <f>AL28-AL30</f>
        <v>1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25000001.429361764</v>
      </c>
      <c r="AQ28" s="126">
        <f>VLOOKUP(AE28,db_fifarank,2,FALSE)</f>
        <v>1580.67</v>
      </c>
      <c r="AR28" s="125">
        <f>AP28/AP30</f>
        <v>0.28571427405890099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0 - 2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1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87500007.572228104</v>
      </c>
      <c r="AQ29" s="126">
        <f>VLOOKUP(AE29,db_fifarank,2,FALSE)</f>
        <v>1599.04</v>
      </c>
      <c r="AR29" s="125">
        <f>AP29/AP30</f>
        <v>0.99999998857142969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87500008.572228104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0</v>
      </c>
      <c r="AL32" s="123">
        <f>AI32-AJ32</f>
        <v>8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90000010.363438293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7.1924990918720043E-12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9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30000005.070941929</v>
      </c>
      <c r="AQ34" s="126">
        <f>VLOOKUP(AE34,db_fifarank,2,FALSE)</f>
        <v>1532.98</v>
      </c>
      <c r="AR34" s="125">
        <f>AP34/AP36</f>
        <v>0.33333334759032224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13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60000007.398458205</v>
      </c>
      <c r="AQ35" s="126">
        <f>VLOOKUP(AE35,db_fifarank,2,FALSE)</f>
        <v>1594.78</v>
      </c>
      <c r="AR35" s="125">
        <f>AP35/AP36</f>
        <v>0.66666666469814106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-10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90000011.363438293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87500009.584212258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2</v>
      </c>
      <c r="AL39" s="123">
        <f>AI39-AJ39</f>
        <v>1</v>
      </c>
      <c r="AM39" s="123">
        <f>AL39-AL42</f>
        <v>5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62500006.750830218</v>
      </c>
      <c r="AQ39" s="126">
        <f>VLOOKUP(AE39,db_fifarank,2,FALSE)</f>
        <v>1660.43</v>
      </c>
      <c r="AR39" s="125">
        <f>AP39/AP42</f>
        <v>0.71428570503632804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3 - 2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4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50000005.667424046</v>
      </c>
      <c r="AQ40" s="126">
        <f>VLOOKUP(AE40,db_fifarank,2,FALSE)</f>
        <v>1514.77</v>
      </c>
      <c r="AR40" s="125">
        <f>AP40/AP42</f>
        <v>0.57142856707774625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1.9132362447607786E-9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87500010.584212258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9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87500009.83420068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8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62500008.667448282</v>
      </c>
      <c r="AQ45" s="126">
        <f>VLOOKUP(AE45,db_fifarank,2,FALSE)</f>
        <v>1563.24</v>
      </c>
      <c r="AR45" s="125">
        <f>AP45/AP48</f>
        <v>0.71428572489981024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3</v>
      </c>
      <c r="AL46" s="123">
        <f>AI46-AJ46</f>
        <v>1</v>
      </c>
      <c r="AM46" s="123">
        <f>AL46-AL48</f>
        <v>7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50000007.667474315</v>
      </c>
      <c r="AQ46" s="126">
        <f>VLOOKUP(AE46,db_fifarank,2,FALSE)</f>
        <v>1615.3</v>
      </c>
      <c r="AR46" s="125">
        <f>AP46/AP48</f>
        <v>0.57142858830288357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7.3232562360956831E-12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6</v>
      </c>
      <c r="AL48" s="123">
        <f>MIN(AL44:AL47)</f>
        <v>-6</v>
      </c>
      <c r="AM48" s="123">
        <f>MAX(AM44:AM47)+1</f>
        <v>10</v>
      </c>
      <c r="AN48" s="123">
        <f>MAX(AN44:AN47)+1</f>
        <v>8</v>
      </c>
      <c r="AO48" s="123">
        <f>MAX(AO44:AO47)+1</f>
        <v>9.75</v>
      </c>
      <c r="AP48" s="123">
        <f>MAX(AP44:AP47)+1</f>
        <v>87500010.83420068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Morocco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0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90000010.345382661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7.5896101543663174E-12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30000001.767377384</v>
      </c>
      <c r="AQ52" s="126">
        <f>VLOOKUP(AE52,db_fifarank,2,FALSE)</f>
        <v>1421.43</v>
      </c>
      <c r="AR52" s="125">
        <f>AP52/AP54</f>
        <v>0.33333331095092689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60000007.1675032</v>
      </c>
      <c r="AQ53" s="126">
        <f>VLOOKUP(AE53,db_fifarank,2,FALSE)</f>
        <v>1673.07</v>
      </c>
      <c r="AR53" s="125">
        <f>AP53/AP54</f>
        <v>0.66666666226572013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90000011.345382661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90000009.948990598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2</v>
      </c>
      <c r="AL57" s="123">
        <f>AI57-AJ57</f>
        <v>3</v>
      </c>
      <c r="AM57" s="123">
        <f>AL57-AL60</f>
        <v>9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60000008.89694839</v>
      </c>
      <c r="AQ57" s="126">
        <f>VLOOKUP(AE57,db_fifarank,2,FALSE)</f>
        <v>1688.99</v>
      </c>
      <c r="AR57" s="125">
        <f>AP57/AP60</f>
        <v>0.66666668441801258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5 - 2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8.0396656885975121E-12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4</v>
      </c>
      <c r="AL59" s="123">
        <f>AI59-AJ59</f>
        <v>-1</v>
      </c>
      <c r="AM59" s="123">
        <f>AL59-AL60</f>
        <v>5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30000004.974801447</v>
      </c>
      <c r="AQ59" s="126">
        <f>VLOOKUP(AE59,db_fifarank,2,FALSE)</f>
        <v>1550.94</v>
      </c>
      <c r="AR59" s="125">
        <f>AP59/AP60</f>
        <v>0.33333334805708614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-6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90000010.948990598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3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20000002.433474436</v>
      </c>
      <c r="AQ63" s="126">
        <f>VLOOKUP(AE63,db_fifarank,2,FALSE)</f>
        <v>1564.26</v>
      </c>
      <c r="AR63" s="125">
        <f>AP63/AP66</f>
        <v>0.22222222183686008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40000004.221950576</v>
      </c>
      <c r="AQ64" s="126">
        <f>VLOOKUP(AE64,db_fifarank,2,FALSE)</f>
        <v>1593.45</v>
      </c>
      <c r="AR64" s="125">
        <f>AP64/AP66</f>
        <v>0.44444443650707333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0.11111109740685958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Iran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12</v>
      </c>
      <c r="AN68" s="123">
        <f>AF68*3+AG68</f>
        <v>7</v>
      </c>
      <c r="AO68" s="123">
        <f>AN68/AN72*10+BA68</f>
        <v>9.735294117647058</v>
      </c>
      <c r="AP68" s="123">
        <f>AO68*10000000+BI68*100+AM68/AM72*10+AI68/AI72*1++IF(AQ68=0,ROW(),AQ68)/2000000</f>
        <v>97353049.812533483</v>
      </c>
      <c r="AQ68" s="126">
        <f>VLOOKUP(AE68,db_fifarank,2,FALSE)</f>
        <v>1763.83</v>
      </c>
      <c r="AR68" s="125">
        <f>AP68/AP72</f>
        <v>0.99999998972810822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0.98529411764705888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0.98529411764705888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Iran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8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22402060.054660745</v>
      </c>
      <c r="AQ69" s="126">
        <f>VLOOKUP(AE69,db_fifarank,2,FALSE)</f>
        <v>1478.35</v>
      </c>
      <c r="AR69" s="125">
        <f>AP69/AP72</f>
        <v>0.23011153597845591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0</v>
      </c>
      <c r="BU69" s="64"/>
      <c r="BV69" s="27"/>
      <c r="BW69" s="112">
        <f>IF(BW68="","",BT69*1000+BU69*10+BV69)</f>
        <v>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1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22402060.823885009</v>
      </c>
      <c r="AQ70" s="126">
        <f>VLOOKUP(AE70,db_fifarank,2,FALSE)</f>
        <v>1465.34</v>
      </c>
      <c r="AR70" s="125">
        <f>AP70/AP72</f>
        <v>0.23011154387984428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1</v>
      </c>
      <c r="AL71" s="123">
        <f>AI71-AJ71</f>
        <v>5</v>
      </c>
      <c r="AM71" s="123">
        <f>AL71-AL72</f>
        <v>11</v>
      </c>
      <c r="AN71" s="123">
        <f>AF71*3+AG71</f>
        <v>7</v>
      </c>
      <c r="AO71" s="123">
        <f>AN71/AN72*10+BA71</f>
        <v>9.735294117647058</v>
      </c>
      <c r="AP71" s="123">
        <f>AO71*10000000+BI71*100+AM71/AM72*10+AI71/AI72*1++IF(AQ71=0,ROW(),AQ71)/2000000</f>
        <v>97353048.918267354</v>
      </c>
      <c r="AQ71" s="126">
        <f>VLOOKUP(AE71,db_fifarank,2,FALSE)</f>
        <v>1693.09</v>
      </c>
      <c r="AR71" s="125">
        <f>AP71/AP72</f>
        <v>0.99999998054230332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0.98529411764705888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0.98529411764705888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2 - 8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-6</v>
      </c>
      <c r="AM72" s="123">
        <f>MAX(AM68:AM71)+1</f>
        <v>13</v>
      </c>
      <c r="AN72" s="123">
        <f>MAX(AN68:AN71)+1</f>
        <v>8</v>
      </c>
      <c r="AO72" s="123">
        <f>MAX(AO68:AO71)+1</f>
        <v>10.735294117647058</v>
      </c>
      <c r="AP72" s="123">
        <f>MAX(AP68:AP71)+1</f>
        <v>97353050.812533483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10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87500009.89182207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9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75000008.782676712</v>
      </c>
      <c r="AQ75" s="126">
        <f>VLOOKUP(AE75,db_fifarank,2,FALSE)</f>
        <v>1717.07</v>
      </c>
      <c r="AR75" s="125">
        <f>AP75/AP78</f>
        <v>0.85714285082090624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3 - 1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2</v>
      </c>
      <c r="AL76" s="123">
        <f>AI76-AJ76</f>
        <v>2</v>
      </c>
      <c r="AM76" s="123">
        <f>AL76-AL78</f>
        <v>9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50000008.982491329</v>
      </c>
      <c r="AQ76" s="126">
        <f>VLOOKUP(AE76,db_fifarank,2,FALSE)</f>
        <v>1346.31</v>
      </c>
      <c r="AR76" s="125">
        <f>AP76/AP78</f>
        <v>0.5714286029553447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4 - 2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8.8036560469959403E-12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5</v>
      </c>
      <c r="AL78" s="123">
        <f>MIN(AL74:AL77)</f>
        <v>-7</v>
      </c>
      <c r="AM78" s="123">
        <f>MAX(AM74:AM77)+1</f>
        <v>11</v>
      </c>
      <c r="AN78" s="123">
        <f>MAX(AN74:AN77)+1</f>
        <v>8</v>
      </c>
      <c r="AO78" s="123">
        <f>MAX(AO74:AO77)+1</f>
        <v>9.75</v>
      </c>
      <c r="AP78" s="123">
        <f>MAX(AP74:AP77)+1</f>
        <v>87500010.89182207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8685.0007943300006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4 - 2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6395.0006929199999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6705.0007491750002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0</v>
      </c>
      <c r="AJ83" s="123">
        <f t="shared" si="42"/>
        <v>2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4375.0007903349997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6560.0007664900004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8705.0007573849998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3</v>
      </c>
      <c r="AK86" s="123" t="s">
        <v>3187</v>
      </c>
      <c r="AL86" s="123">
        <f t="shared" si="43"/>
        <v>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8830.0008076499998</v>
      </c>
      <c r="AQ86" s="126">
        <f t="shared" si="37"/>
        <v>1615.3</v>
      </c>
      <c r="AR86" s="125" t="str">
        <f t="shared" si="50"/>
        <v>ABCEFG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6020.0007107150004</v>
      </c>
      <c r="AQ87" s="126">
        <f t="shared" si="37"/>
        <v>1421.43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6560.00077547</v>
      </c>
      <c r="AQ88" s="126">
        <f t="shared" si="37"/>
        <v>1550.94</v>
      </c>
      <c r="AR88" s="125" t="str">
        <f t="shared" si="50"/>
        <v>ABCEFGI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4395.0007821299996</v>
      </c>
      <c r="AQ89" s="126">
        <f t="shared" si="37"/>
        <v>1564.26</v>
      </c>
      <c r="AR89" s="125" t="str">
        <f t="shared" si="50"/>
        <v>ABCEFGI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7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2040.0007326699999</v>
      </c>
      <c r="AQ90" s="126">
        <f t="shared" si="37"/>
        <v>1465.34</v>
      </c>
      <c r="AR90" s="125" t="str">
        <f t="shared" si="50"/>
        <v>ABCEFGI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0 - 2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2</v>
      </c>
      <c r="AK91" s="123" t="s">
        <v>3192</v>
      </c>
      <c r="AL91" s="123">
        <f>VLOOKUP($AE91,$AE$8:$AQ$78,8,FALSE)</f>
        <v>2</v>
      </c>
      <c r="AM91" s="123">
        <f t="shared" si="44"/>
        <v>7</v>
      </c>
      <c r="AN91" s="123">
        <f>VLOOKUP($AE91,$AE$8:$AQ$78,10,FALSE)</f>
        <v>4</v>
      </c>
      <c r="AP91" s="123">
        <f>AN91/AN92*10000+AM91/AM92*1000+AI91/AI92*100+IF(AQ91=0,ROW(),AQ91)/2000000</f>
        <v>8955.0006731550002</v>
      </c>
      <c r="AQ91" s="126">
        <f t="shared" si="37"/>
        <v>1346.31</v>
      </c>
      <c r="AR91" s="125" t="str">
        <f t="shared" si="50"/>
        <v>ABCEFGIL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-5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584" yWindow="582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419</v>
      </c>
      <c r="C3" s="121" t="str">
        <f>'2026 World Cup'!AR91</f>
        <v>ABCEFGIL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DIEGO LOPEZ BAREA</cp:lastModifiedBy>
  <cp:revision/>
  <dcterms:created xsi:type="dcterms:W3CDTF">2017-12-27T19:32:51Z</dcterms:created>
  <dcterms:modified xsi:type="dcterms:W3CDTF">2026-06-04T20:25:25Z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