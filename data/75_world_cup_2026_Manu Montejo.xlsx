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BD7D25E9-6CEB-46EF-8FBD-491C7FDA10A1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AA55" i="3" s="1"/>
  <c r="H11" i="3"/>
  <c r="H65" i="3"/>
  <c r="E37" i="3"/>
  <c r="E10" i="3"/>
  <c r="E66" i="3"/>
  <c r="H38" i="3"/>
  <c r="H10" i="3"/>
  <c r="H66" i="3"/>
  <c r="H37" i="3"/>
  <c r="E65" i="3"/>
  <c r="AA65" i="3" s="1"/>
  <c r="E38" i="3"/>
  <c r="H62" i="3"/>
  <c r="E39" i="3"/>
  <c r="E16" i="3"/>
  <c r="E61" i="3"/>
  <c r="H40" i="3"/>
  <c r="H16" i="3"/>
  <c r="H61" i="3"/>
  <c r="H39" i="3"/>
  <c r="E15" i="3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H69" i="3"/>
  <c r="H45" i="3"/>
  <c r="E21" i="3"/>
  <c r="E70" i="3"/>
  <c r="AA70" i="3" s="1"/>
  <c r="E46" i="3"/>
  <c r="H21" i="3"/>
  <c r="H72" i="3"/>
  <c r="E44" i="3"/>
  <c r="E20" i="3"/>
  <c r="H71" i="3"/>
  <c r="H44" i="3"/>
  <c r="E19" i="3"/>
  <c r="E72" i="3"/>
  <c r="AA72" i="3" s="1"/>
  <c r="E43" i="3"/>
  <c r="H19" i="3"/>
  <c r="H67" i="3"/>
  <c r="E48" i="3"/>
  <c r="E23" i="3"/>
  <c r="E68" i="3"/>
  <c r="H47" i="3"/>
  <c r="H23" i="3"/>
  <c r="E67" i="3"/>
  <c r="AA67" i="3" s="1"/>
  <c r="E47" i="3"/>
  <c r="AA47" i="3" s="1"/>
  <c r="H24" i="3"/>
  <c r="H76" i="3"/>
  <c r="E49" i="3"/>
  <c r="E25" i="3"/>
  <c r="E75" i="3"/>
  <c r="H50" i="3"/>
  <c r="H25" i="3"/>
  <c r="H75" i="3"/>
  <c r="H49" i="3"/>
  <c r="E26" i="3"/>
  <c r="E76" i="3"/>
  <c r="AA76" i="3" s="1"/>
  <c r="E50" i="3"/>
  <c r="AA50" i="3" s="1"/>
  <c r="H26" i="3"/>
  <c r="E78" i="3"/>
  <c r="H54" i="3"/>
  <c r="H29" i="3"/>
  <c r="H78" i="3"/>
  <c r="H53" i="3"/>
  <c r="E30" i="3"/>
  <c r="E77" i="3"/>
  <c r="E54" i="3"/>
  <c r="AA54" i="3" s="1"/>
  <c r="H30" i="3"/>
  <c r="H73" i="3"/>
  <c r="E51" i="3"/>
  <c r="E28" i="3"/>
  <c r="E74" i="3"/>
  <c r="H52" i="3"/>
  <c r="H28" i="3"/>
  <c r="H74" i="3"/>
  <c r="H51" i="3"/>
  <c r="E27" i="3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H8" i="3"/>
  <c r="H22" i="3"/>
  <c r="H12" i="3"/>
  <c r="E22" i="3"/>
  <c r="H9" i="3"/>
  <c r="AA9" i="3" s="1"/>
  <c r="D7" i="3"/>
  <c r="AA12" i="3" l="1"/>
  <c r="AA27" i="3"/>
  <c r="AA28" i="3"/>
  <c r="AA30" i="3"/>
  <c r="AA78" i="3"/>
  <c r="AA75" i="3"/>
  <c r="AA49" i="3"/>
  <c r="AA23" i="3"/>
  <c r="AA48" i="3"/>
  <c r="AA19" i="3"/>
  <c r="AA46" i="3"/>
  <c r="AA45" i="3"/>
  <c r="AA15" i="3"/>
  <c r="AA16" i="3"/>
  <c r="AA66" i="3"/>
  <c r="AA37" i="3"/>
  <c r="AA13" i="3"/>
  <c r="AA14" i="3"/>
  <c r="AA33" i="3"/>
  <c r="AA34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8" i="3"/>
  <c r="AR35" i="3"/>
  <c r="AR34" i="3"/>
  <c r="AR33" i="3"/>
  <c r="AR75" i="3" l="1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D53" i="3" s="1"/>
  <c r="AR46" i="3"/>
  <c r="AR15" i="3"/>
  <c r="AR45" i="3"/>
  <c r="AR63" i="3"/>
  <c r="AR47" i="3"/>
  <c r="AD44" i="3" s="1"/>
  <c r="AR64" i="3"/>
  <c r="AD62" i="3" s="1"/>
  <c r="AR39" i="3"/>
  <c r="AD56" i="3"/>
  <c r="AR16" i="3"/>
  <c r="AR17" i="3"/>
  <c r="AD14" i="3" s="1"/>
  <c r="AD59" i="3"/>
  <c r="M59" i="3" s="1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M58" i="3" l="1"/>
  <c r="AD63" i="3"/>
  <c r="AD71" i="3"/>
  <c r="AD29" i="3"/>
  <c r="AD76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4" i="3" s="1"/>
  <c r="N59" i="3"/>
  <c r="K59" i="3" s="1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17" i="3" l="1"/>
  <c r="N53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53" i="3" l="1"/>
  <c r="K23" i="3"/>
  <c r="AL82" i="3"/>
  <c r="AL92" i="3" s="1"/>
  <c r="AM88" i="3" s="1"/>
  <c r="AI87" i="3"/>
  <c r="AI92" i="3" s="1"/>
  <c r="K52" i="3"/>
  <c r="AJ92" i="3"/>
  <c r="AG92" i="3"/>
  <c r="AF92" i="3"/>
  <c r="AH92" i="3"/>
  <c r="AS92" i="3"/>
  <c r="AN92" i="3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<sst xmlns="http://schemas.openxmlformats.org/spreadsheetml/2006/main" count="9785" uniqueCount="3699">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</sst>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S34" zoomScaleNormal="100" workbookViewId="0">
      <selection activeCell="CG47" sqref="CG47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3167</v>
      </c>
      <c r="K5" s="148"/>
      <c r="L5" s="148"/>
      <c r="M5" s="148"/>
      <c r="N5" s="148"/>
      <c r="O5" s="148"/>
      <c r="P5" s="149"/>
    </row>
    <row r="6" spans="1:95" ht="15" customHeight="1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33" t="s">
        <v>3180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5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87500009.191316694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3</v>
      </c>
      <c r="AJ9" s="123">
        <f>SUMIF($E$7:$E$78,$AE9,$G$7:$G$78) + SUMIF($H$7:$H$78,$AE9,$F$7:$F$78)</f>
        <v>4</v>
      </c>
      <c r="AL9" s="123">
        <f>AI9-AJ9</f>
        <v>-1</v>
      </c>
      <c r="AM9" s="123">
        <f>AL9-AL12</f>
        <v>1</v>
      </c>
      <c r="AN9" s="123">
        <f>AF9*3+AG9</f>
        <v>2</v>
      </c>
      <c r="AO9" s="123">
        <f>AN9/AN12*10+BA9</f>
        <v>3.4803921568627452</v>
      </c>
      <c r="AP9" s="123">
        <f>AO9*10000000+BI9*100+AM9/AM12*10+AI9/AI12*1++IF(AQ9=0,ROW(),AQ9)/2000000</f>
        <v>34804021.703796096</v>
      </c>
      <c r="AQ9" s="126">
        <f>VLOOKUP(AE9,db_fifarank,2,FALSE)</f>
        <v>1429.73</v>
      </c>
      <c r="AR9" s="125">
        <f>AP9/AP12</f>
        <v>0.39776020171538184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</v>
      </c>
      <c r="BA9" s="126">
        <f>AZ9/AZ12</f>
        <v>0.98039215686274506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</v>
      </c>
      <c r="BI9" s="126">
        <f>BH9/BH12</f>
        <v>0.98039215686274506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0</v>
      </c>
      <c r="M10" s="23">
        <f>VLOOKUP(2,AD8:AN11,4,FALSE)</f>
        <v>3</v>
      </c>
      <c r="N10" s="23">
        <f>VLOOKUP(2,AD8:AN11,5,FALSE)</f>
        <v>0</v>
      </c>
      <c r="O10" s="23" t="str">
        <f>VLOOKUP(2,AD8:AN11,6,FALSE) &amp; " - " &amp; VLOOKUP(2,AD8:AN11,7,FALSE)</f>
        <v>5 - 5</v>
      </c>
      <c r="P10" s="34">
        <f>L10*3+M10</f>
        <v>3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3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5</v>
      </c>
      <c r="AL10" s="123">
        <f>AI10-AJ10</f>
        <v>0</v>
      </c>
      <c r="AM10" s="123">
        <f>AL10-AL12</f>
        <v>2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37500004.048413381</v>
      </c>
      <c r="AQ10" s="126">
        <f>VLOOKUP(AE10,db_fifarank,2,FALSE)</f>
        <v>1588.66</v>
      </c>
      <c r="AR10" s="125">
        <f>AP10/AP12</f>
        <v>0.42857142492235728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5</v>
      </c>
      <c r="AL11" s="123">
        <f>AI11-AJ11</f>
        <v>-2</v>
      </c>
      <c r="AM11" s="123">
        <f>AL11-AL12</f>
        <v>0</v>
      </c>
      <c r="AN11" s="123">
        <f>AF11*3+AG11</f>
        <v>2</v>
      </c>
      <c r="AO11" s="123">
        <f>AN11/AN12*10+BA11</f>
        <v>3.4803921568627452</v>
      </c>
      <c r="AP11" s="123">
        <f>AO11*10000000+BI11*100+AM11/AM12*10+AI11/AI12*1++IF(AQ11=0,ROW(),AQ11)/2000000</f>
        <v>34804020.037165254</v>
      </c>
      <c r="AQ11" s="126">
        <f>VLOOKUP(AE11,db_fifarank,2,FALSE)</f>
        <v>1501.38</v>
      </c>
      <c r="AR11" s="125">
        <f>AP11/AP12</f>
        <v>0.39776018266817448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</v>
      </c>
      <c r="BA11" s="126">
        <f>AZ11/AZ12</f>
        <v>0.98039215686274506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</v>
      </c>
      <c r="BI11" s="126">
        <f>BH11/BH12</f>
        <v>0.98039215686274506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3 - 5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1</v>
      </c>
      <c r="W12" s="123">
        <f t="shared" si="4"/>
        <v>1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2</v>
      </c>
      <c r="AI12" s="123">
        <f>MAX(AI8:AI11)+1</f>
        <v>7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87500010.191316694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51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51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2</v>
      </c>
      <c r="AN14" s="123">
        <f>AF14*3+AG14</f>
        <v>3</v>
      </c>
      <c r="AO14" s="123">
        <f>AN14/AN18*10+BA14</f>
        <v>3.75</v>
      </c>
      <c r="AP14" s="123">
        <f>AO14*10000000+BI14*100+AM14/AM18*10+AI14/AI18*1++IF(AQ14=0,ROW(),AQ14)/2000000</f>
        <v>37500003.357921101</v>
      </c>
      <c r="AQ14" s="126">
        <f>VLOOKUP(AE14,db_fifarank,2,FALSE)</f>
        <v>1556.48</v>
      </c>
      <c r="AR14" s="125">
        <f>AP14/AP18</f>
        <v>0.42857141598153276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2</v>
      </c>
      <c r="W15" s="123">
        <f t="shared" si="4"/>
        <v>2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3</v>
      </c>
      <c r="AL15" s="123">
        <f>AI15-AJ15</f>
        <v>-3</v>
      </c>
      <c r="AM15" s="123">
        <f>AL15-AL18</f>
        <v>0</v>
      </c>
      <c r="AN15" s="123">
        <f>AF15*3+AG15</f>
        <v>1</v>
      </c>
      <c r="AO15" s="123">
        <f>AN15/AN18*10+BA15</f>
        <v>1.25</v>
      </c>
      <c r="AP15" s="123">
        <f>AO15*10000000+BI15*100+AM15/AM18*10+AI15/AI18*1++IF(AQ15=0,ROW(),AQ15)/2000000</f>
        <v>12500000.000692921</v>
      </c>
      <c r="AQ15" s="126">
        <f>VLOOKUP(AE15,db_fifarank,2,FALSE)</f>
        <v>1385.84</v>
      </c>
      <c r="AR15" s="125">
        <f>AP15/AP18</f>
        <v>0.14285712587635116</v>
      </c>
      <c r="AS15" s="125" t="str">
        <f>IF(SUM(AF14:AH17)=12,J16,"2B")</f>
        <v>Qatar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Qatar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2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2</v>
      </c>
      <c r="AH16" s="123">
        <f>COUNTIF($S$7:$T$78,"=" &amp; AE16 &amp; "_lose")</f>
        <v>0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2</v>
      </c>
      <c r="AL16" s="123">
        <f>AI16-AJ16</f>
        <v>1</v>
      </c>
      <c r="AM16" s="123">
        <f>AL16-AL18</f>
        <v>4</v>
      </c>
      <c r="AN16" s="123">
        <f>AF16*3+AG16</f>
        <v>5</v>
      </c>
      <c r="AO16" s="123">
        <f>AN16/AN18*10+BA16</f>
        <v>6.25</v>
      </c>
      <c r="AP16" s="123">
        <f>AO16*10000000+BI16*100+AM16/AM18*10+AI16/AI18*1++IF(AQ16=0,ROW(),AQ16)/2000000</f>
        <v>62500006.215013199</v>
      </c>
      <c r="AQ16" s="126">
        <f>VLOOKUP(AE16,db_fifarank,2,FALSE)</f>
        <v>1454.96</v>
      </c>
      <c r="AR16" s="125">
        <f>AP16/AP18</f>
        <v>0.71428570037087413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6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87500009.4055866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3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0 - 3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3</v>
      </c>
      <c r="AI18" s="123">
        <f>MAX(AI14:AI17)+1</f>
        <v>6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9.75</v>
      </c>
      <c r="AP18" s="123">
        <f>MAX(AP14:AP17)+1</f>
        <v>87500010.4055866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Qatar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1</v>
      </c>
      <c r="AL20" s="123">
        <f>AI20-AJ20</f>
        <v>5</v>
      </c>
      <c r="AM20" s="123">
        <f>AL20-AL24</f>
        <v>13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97305933.444708601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Qatar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1</v>
      </c>
      <c r="AL21" s="123">
        <f>AI21-AJ21</f>
        <v>4</v>
      </c>
      <c r="AM21" s="123">
        <f>AL21-AL24</f>
        <v>12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97305932.587563097</v>
      </c>
      <c r="AQ21" s="126">
        <f>VLOOKUP(AE21,db_fifarank,2,FALSE)</f>
        <v>1755.87</v>
      </c>
      <c r="AR21" s="125">
        <f>AP21/AP24</f>
        <v>0.99999998091436548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5 - 1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6.6373649632540054E-12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1</v>
      </c>
      <c r="V23" s="123">
        <f t="shared" si="3"/>
        <v>2</v>
      </c>
      <c r="W23" s="123">
        <f t="shared" si="4"/>
        <v>2</v>
      </c>
      <c r="X23" s="123">
        <f t="shared" si="9"/>
        <v>1</v>
      </c>
      <c r="Y23" s="123">
        <f t="shared" si="10"/>
        <v>2</v>
      </c>
      <c r="Z23" s="123">
        <f t="shared" si="11"/>
        <v>2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3</v>
      </c>
      <c r="AL23" s="123">
        <f>AI23-AJ23</f>
        <v>-1</v>
      </c>
      <c r="AM23" s="123">
        <f>AL23-AL24</f>
        <v>7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37500005.286463462</v>
      </c>
      <c r="AQ23" s="126">
        <f>VLOOKUP(AE23,db_fifarank,2,FALSE)</f>
        <v>1498.35</v>
      </c>
      <c r="AR23" s="125">
        <f>AP23/AP24</f>
        <v>0.38538251033159543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7</v>
      </c>
      <c r="AL24" s="123">
        <f>MIN(AL20:AL23)</f>
        <v>-8</v>
      </c>
      <c r="AM24" s="123">
        <f>MAX(AM20:AM23)+1</f>
        <v>14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97305934.444708601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ht="1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Argentina_draw</v>
      </c>
      <c r="T25" s="127" t="str">
        <f t="shared" si="2"/>
        <v>Algeria_draw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0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ht="1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>IF(OR(F26="",G26=""),"",IF(F26&gt;G26,E26&amp;"_win",IF(F26&lt;G26,E26&amp;"_lose",E26&amp;"_draw")))</f>
        <v>Austria_win</v>
      </c>
      <c r="T26" s="127" t="str">
        <f>IF(S26="","",IF(F26&lt;G26,H26&amp;"_win",IF(F26&gt;G26,H26&amp;"_lose",H26&amp;"_draw")))</f>
        <v>Jordan_lose</v>
      </c>
      <c r="U26" s="123">
        <f t="shared" si="8"/>
        <v>0</v>
      </c>
      <c r="V26" s="123">
        <f>U26*F26</f>
        <v>0</v>
      </c>
      <c r="W26" s="123">
        <f>U26*G26</f>
        <v>0</v>
      </c>
      <c r="X26" s="123">
        <f t="shared" si="9"/>
        <v>0</v>
      </c>
      <c r="Y26" s="123">
        <f>X26*F26</f>
        <v>0</v>
      </c>
      <c r="Z26" s="123">
        <f>X26*G26</f>
        <v>0</v>
      </c>
      <c r="AA26" s="123">
        <f t="shared" si="5"/>
        <v>0</v>
      </c>
      <c r="AB26" s="123">
        <f>IF(OR(F26="",G26=""),"",IF(F26&gt;G26,1,IF(F26&lt;G26,-1,0)))</f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2</v>
      </c>
      <c r="AL26" s="123">
        <f>AI26-AJ26</f>
        <v>1</v>
      </c>
      <c r="AM26" s="123">
        <f>AL26-AL30</f>
        <v>6</v>
      </c>
      <c r="AN26" s="123">
        <f>AF26*3+AG26</f>
        <v>5</v>
      </c>
      <c r="AO26" s="123">
        <f>AN26/AN30*10+BA26</f>
        <v>9.3138211382113827</v>
      </c>
      <c r="AP26" s="123">
        <f>AO26*10000000+BI26*100+AM26/AM30*10+AI26/AI30*1++IF(AQ26=0,ROW(),AQ26)/2000000</f>
        <v>93138316.517404184</v>
      </c>
      <c r="AQ26" s="126">
        <f>VLOOKUP(AE26,db_fifarank,2,FALSE)</f>
        <v>1673.13</v>
      </c>
      <c r="AR26" s="125">
        <f>AP26/AP30</f>
        <v>0.99947754409972778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2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66.999999999999986</v>
      </c>
      <c r="BA26" s="126">
        <f>AZ26/AZ30</f>
        <v>0.98048780487804865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</v>
      </c>
      <c r="BI26" s="126">
        <f>BH26/BH30</f>
        <v>0.98039215686274506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ht="1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7</v>
      </c>
      <c r="AL27" s="123">
        <f>AI27-AJ27</f>
        <v>-5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0.28646603571428569</v>
      </c>
      <c r="AQ27" s="126">
        <f>VLOOKUP(AE27,db_fifarank,2,FALSE)</f>
        <v>1503.5</v>
      </c>
      <c r="AR27" s="125">
        <f>AP27/AP30</f>
        <v>3.0740986153662868E-9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3 - 2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2</v>
      </c>
      <c r="AH28" s="123">
        <f>COUNTIF($S$7:$T$78,"=" &amp; AE28 &amp; "_lose")</f>
        <v>0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1</v>
      </c>
      <c r="AL28" s="123">
        <f>AI28-AJ28</f>
        <v>1</v>
      </c>
      <c r="AM28" s="123">
        <f>AL28-AL30</f>
        <v>6</v>
      </c>
      <c r="AN28" s="123">
        <f>AF28*3+AG28</f>
        <v>5</v>
      </c>
      <c r="AO28" s="123">
        <f>AN28/AN30*10+BA28</f>
        <v>9.3138211382113827</v>
      </c>
      <c r="AP28" s="123">
        <f>AO28*10000000+BI28*100+AM28/AM30*10+AI28/AI30*1++IF(AQ28=0,ROW(),AQ28)/2000000</f>
        <v>93138316.374500796</v>
      </c>
      <c r="AQ28" s="126">
        <f>VLOOKUP(AE28,db_fifarank,2,FALSE)</f>
        <v>1580.67</v>
      </c>
      <c r="AR28" s="125">
        <f>AP28/AP30</f>
        <v>0.99947754256621579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2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66.999999999999986</v>
      </c>
      <c r="BA28" s="126">
        <f>AZ28/AZ30</f>
        <v>0.98048780487804865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</v>
      </c>
      <c r="BI28" s="126">
        <f>BH28/BH30</f>
        <v>0.98039215686274506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2</v>
      </c>
      <c r="N29" s="23">
        <f>VLOOKUP(3,AD26:AN29,5,FALSE)</f>
        <v>0</v>
      </c>
      <c r="O29" s="23" t="str">
        <f>VLOOKUP(3,AD26:AN29,6,FALSE) &amp; " - " &amp; VLOOKUP(3,AD26:AN29,7,FALSE)</f>
        <v>2 - 1</v>
      </c>
      <c r="P29" s="34">
        <f>L29*3+M29</f>
        <v>5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3</v>
      </c>
      <c r="AL29" s="123">
        <f>AI29-AJ29</f>
        <v>3</v>
      </c>
      <c r="AM29" s="123">
        <f>AL29-AL30</f>
        <v>8</v>
      </c>
      <c r="AN29" s="123">
        <f>AF29*3+AG29</f>
        <v>5</v>
      </c>
      <c r="AO29" s="123">
        <f>AN29/AN30*10+BA29</f>
        <v>9.3186991869918714</v>
      </c>
      <c r="AP29" s="123">
        <f>AO29*10000000+BI29*100+AM29/AM30*10+AI29/AI30*1++IF(AQ29=0,ROW(),AQ29)/2000000</f>
        <v>93187001.616749987</v>
      </c>
      <c r="AQ29" s="126">
        <f>VLOOKUP(AE29,db_fifarank,2,FALSE)</f>
        <v>1599.04</v>
      </c>
      <c r="AR29" s="125">
        <f>AP29/AP30</f>
        <v>0.99999998926888978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67.333333333333329</v>
      </c>
      <c r="BA29" s="126">
        <f>AZ29/AZ30</f>
        <v>0.98536585365853657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-5</v>
      </c>
      <c r="AM30" s="123">
        <f>MAX(AM26:AM29)+1</f>
        <v>9</v>
      </c>
      <c r="AN30" s="123">
        <f>MAX(AN26:AN29)+1</f>
        <v>6</v>
      </c>
      <c r="AO30" s="123">
        <f>MAX(AO26:AO29)+1</f>
        <v>10.318699186991871</v>
      </c>
      <c r="AP30" s="123">
        <f>MAX(AP26:AP29)+1</f>
        <v>93187002.616749987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68.333333333333329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0</v>
      </c>
      <c r="W31" s="123">
        <f t="shared" si="4"/>
        <v>0</v>
      </c>
      <c r="X31" s="123">
        <f t="shared" si="9"/>
        <v>1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3</v>
      </c>
      <c r="AL32" s="123">
        <f>AI32-AJ32</f>
        <v>5</v>
      </c>
      <c r="AM32" s="123">
        <f>AL32-AL36</f>
        <v>14</v>
      </c>
      <c r="AN32" s="123">
        <f>AF32*3+AG32</f>
        <v>5</v>
      </c>
      <c r="AO32" s="123">
        <f>AN32/AN36*10+BA32</f>
        <v>9.3158065563128858</v>
      </c>
      <c r="AP32" s="123">
        <f>AO32*10000000+BI32*100+AM32/AM36*10+AI32/AI36*1++IF(AQ32=0,ROW(),AQ32)/2000000</f>
        <v>93158173.844468698</v>
      </c>
      <c r="AQ32" s="126">
        <f>VLOOKUP(AE32,db_fifarank,2,FALSE)</f>
        <v>1730.37</v>
      </c>
      <c r="AR32" s="125">
        <f>AP32/AP36</f>
        <v>0.99968759671211271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2</v>
      </c>
      <c r="AV32" s="126" cm="1">
        <f t="array" ref="AV32">SUMPRODUCT(($E$7:$E$78=AE32)*($U$7:$U$78)*($F$7:$F$78))+SUMPRODUCT(($H$7:$H$78=AE32)*($U$7:$U$78)*($G$7:$G$78))</f>
        <v>3</v>
      </c>
      <c r="AW32" s="126" cm="1">
        <f t="array" ref="AW32">SUMPRODUCT(($E$7:$E$78=AE32)*($U$7:$U$78)*($G$7:$G$78))+SUMPRODUCT(($H$7:$H$78=AE32)*($U$7:$U$78)*($F$7:$F$78))</f>
        <v>3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67.266666666666652</v>
      </c>
      <c r="BA32" s="126">
        <f>AZ32/AZ36</f>
        <v>0.98247322297955209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2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1</v>
      </c>
      <c r="M33" s="31">
        <f>VLOOKUP(1,AD32:AN35,4,FALSE)</f>
        <v>2</v>
      </c>
      <c r="N33" s="31">
        <f>VLOOKUP(1,AD32:AN35,5,FALSE)</f>
        <v>0</v>
      </c>
      <c r="O33" s="31" t="str">
        <f>VLOOKUP(1,AD32:AN35,6,FALSE) &amp; " - " &amp; VLOOKUP(1,AD32:AN35,7,FALSE)</f>
        <v>6 - 4</v>
      </c>
      <c r="P33" s="32">
        <f>L33*3+M33</f>
        <v>5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10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0.11175843611111111</v>
      </c>
      <c r="AQ33" s="126">
        <f>VLOOKUP(AE33,db_fifarank,2,FALSE)</f>
        <v>1294.6500000000001</v>
      </c>
      <c r="AR33" s="125">
        <f>AP33/AP36</f>
        <v>1.1992884552969851E-9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8 - 3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4</v>
      </c>
      <c r="AL34" s="123">
        <f>AI34-AJ34</f>
        <v>2</v>
      </c>
      <c r="AM34" s="123">
        <f>AL34-AL36</f>
        <v>11</v>
      </c>
      <c r="AN34" s="123">
        <f>AF34*3+AG34</f>
        <v>5</v>
      </c>
      <c r="AO34" s="123">
        <f>AN34/AN36*10+BA34</f>
        <v>9.3158065563128858</v>
      </c>
      <c r="AP34" s="123">
        <f>AO34*10000000+BI34*100+AM34/AM36*10+AI34/AI36*1++IF(AQ34=0,ROW(),AQ34)/2000000</f>
        <v>93158171.622147769</v>
      </c>
      <c r="AQ34" s="126">
        <f>VLOOKUP(AE34,db_fifarank,2,FALSE)</f>
        <v>1532.98</v>
      </c>
      <c r="AR34" s="125">
        <f>AP34/AP36</f>
        <v>0.99968757286421428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2</v>
      </c>
      <c r="AV34" s="126" cm="1">
        <f t="array" ref="AV34">SUMPRODUCT(($E$7:$E$78=AE34)*($U$7:$U$78)*($F$7:$F$78))+SUMPRODUCT(($H$7:$H$78=AE34)*($U$7:$U$78)*($G$7:$G$78))</f>
        <v>3</v>
      </c>
      <c r="AW34" s="126" cm="1">
        <f t="array" ref="AW34">SUMPRODUCT(($E$7:$E$78=AE34)*($U$7:$U$78)*($G$7:$G$78))+SUMPRODUCT(($H$7:$H$78=AE34)*($U$7:$U$78)*($F$7:$F$78))</f>
        <v>3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67.266666666666652</v>
      </c>
      <c r="BA34" s="126">
        <f>AZ34/AZ36</f>
        <v>0.98247322297955209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2</v>
      </c>
      <c r="N35" s="23">
        <f>VLOOKUP(3,AD32:AN35,5,FALSE)</f>
        <v>0</v>
      </c>
      <c r="O35" s="23" t="str">
        <f>VLOOKUP(3,AD32:AN35,6,FALSE) &amp; " - " &amp; VLOOKUP(3,AD32:AN35,7,FALSE)</f>
        <v>6 - 4</v>
      </c>
      <c r="P35" s="34">
        <f>L35*3+M35</f>
        <v>5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11</v>
      </c>
      <c r="AN35" s="123">
        <f>AF35*3+AG35</f>
        <v>5</v>
      </c>
      <c r="AO35" s="123">
        <f>AN35/AN36*10+BA35</f>
        <v>9.3187276858162935</v>
      </c>
      <c r="AP35" s="123">
        <f>AO35*10000000+BI35*100+AM35/AM36*10+AI35/AI36*1++IF(AQ35=0,ROW(),AQ35)/2000000</f>
        <v>93187284.85896033</v>
      </c>
      <c r="AQ35" s="126">
        <f>VLOOKUP(AE35,db_fifarank,2,FALSE)</f>
        <v>1594.78</v>
      </c>
      <c r="AR35" s="125">
        <f>AP35/AP36</f>
        <v>0.99999998926892231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2</v>
      </c>
      <c r="AV35" s="126" cm="1">
        <f t="array" ref="AV35">SUMPRODUCT(($E$7:$E$78=AE35)*($U$7:$U$78)*($F$7:$F$78))+SUMPRODUCT(($H$7:$H$78=AE35)*($U$7:$U$78)*($G$7:$G$78))</f>
        <v>4</v>
      </c>
      <c r="AW35" s="126" cm="1">
        <f t="array" ref="AW35">SUMPRODUCT(($E$7:$E$78=AE35)*($U$7:$U$78)*($G$7:$G$78))+SUMPRODUCT(($H$7:$H$78=AE35)*($U$7:$U$78)*($F$7:$F$78))</f>
        <v>4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67.466666666666654</v>
      </c>
      <c r="BA35" s="126">
        <f>AZ35/AZ36</f>
        <v>0.98539435248296003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3</v>
      </c>
      <c r="AH36" s="123">
        <f t="shared" si="16"/>
        <v>4</v>
      </c>
      <c r="AI36" s="123">
        <f>MAX(AI32:AI35)+1</f>
        <v>9</v>
      </c>
      <c r="AL36" s="123">
        <f>MIN(AL32:AL35)</f>
        <v>-9</v>
      </c>
      <c r="AM36" s="123">
        <f>MAX(AM32:AM35)+1</f>
        <v>15</v>
      </c>
      <c r="AN36" s="123">
        <f>MAX(AN32:AN35)+1</f>
        <v>6</v>
      </c>
      <c r="AO36" s="123">
        <f>MAX(AO32:AO35)+1</f>
        <v>10.318727685816294</v>
      </c>
      <c r="AP36" s="123">
        <f>MAX(AP32:AP35)+1</f>
        <v>93187285.85896033</v>
      </c>
      <c r="AT36" s="126">
        <f>MAX(AT32:AT35)-MIN(AT32:AT35)+1</f>
        <v>1</v>
      </c>
      <c r="AU36" s="126">
        <f>MAX(AU32:AU35)-MIN(AU32:AU35)+1</f>
        <v>3</v>
      </c>
      <c r="AV36" s="126">
        <f>MAX(AV32:AV35)-MIN(AV32:AV35)+1</f>
        <v>5</v>
      </c>
      <c r="AW36" s="126">
        <f>MAX(AW32:AW35)-MIN(AW32:AW35)+1</f>
        <v>5</v>
      </c>
      <c r="AY36" s="126">
        <f>MAX(AY32:AY35)-MIN(AY32:AY35)+1</f>
        <v>1</v>
      </c>
      <c r="AZ36" s="126">
        <f>MAX(AZ32:AZ35)+1</f>
        <v>68.466666666666654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0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0</v>
      </c>
      <c r="W37" s="123">
        <f t="shared" si="4"/>
        <v>0</v>
      </c>
      <c r="X37" s="123">
        <f t="shared" si="9"/>
        <v>1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4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3</v>
      </c>
      <c r="AL38" s="123">
        <f>AI38-AJ38</f>
        <v>5</v>
      </c>
      <c r="AM38" s="123">
        <f>AL38-AL42</f>
        <v>14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87500010.223101154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8 - 3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1</v>
      </c>
      <c r="V39" s="123">
        <f t="shared" si="3"/>
        <v>1</v>
      </c>
      <c r="W39" s="123">
        <f t="shared" si="4"/>
        <v>1</v>
      </c>
      <c r="X39" s="123">
        <f t="shared" si="9"/>
        <v>1</v>
      </c>
      <c r="Y39" s="123">
        <f t="shared" si="10"/>
        <v>1</v>
      </c>
      <c r="Z39" s="123">
        <f t="shared" si="11"/>
        <v>1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11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62500007.889719106</v>
      </c>
      <c r="AQ39" s="126">
        <f>VLOOKUP(AE39,db_fifarank,2,FALSE)</f>
        <v>1660.43</v>
      </c>
      <c r="AR39" s="125">
        <f>AP39/AP42</f>
        <v>0.71428571283678055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Algeria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5 - 3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3</v>
      </c>
      <c r="AL40" s="123">
        <f>AI40-AJ40</f>
        <v>2</v>
      </c>
      <c r="AM40" s="123">
        <f>AL40-AL42</f>
        <v>11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50000007.889646269</v>
      </c>
      <c r="AQ40" s="126">
        <f>VLOOKUP(AE40,db_fifarank,2,FALSE)</f>
        <v>1514.77</v>
      </c>
      <c r="AR40" s="125">
        <f>AP40/AP42</f>
        <v>0.57142858830223342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5 - 3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9</v>
      </c>
      <c r="AL41" s="123">
        <f>AI41-AJ41</f>
        <v>-9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8.4745703415890265E-12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0 - 9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9</v>
      </c>
      <c r="AL42" s="123">
        <f>MIN(AL38:AL41)</f>
        <v>-9</v>
      </c>
      <c r="AM42" s="123">
        <f>MAX(AM38:AM41)+1</f>
        <v>15</v>
      </c>
      <c r="AN42" s="123">
        <f>MAX(AN38:AN41)+1</f>
        <v>8</v>
      </c>
      <c r="AO42" s="123">
        <f>MAX(AO38:AO41)+1</f>
        <v>9.75</v>
      </c>
      <c r="AP42" s="123">
        <f>MAX(AP38:AP41)+1</f>
        <v>87500011.223101154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14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87500010.223089576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2</v>
      </c>
      <c r="AH45" s="123">
        <f>COUNTIF($S$7:$T$78,"=" &amp; AE45 &amp; "_lose")</f>
        <v>0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8</v>
      </c>
      <c r="AN45" s="123">
        <f>AF45*3+AG45</f>
        <v>5</v>
      </c>
      <c r="AO45" s="123">
        <f>AN45/AN48*10+BA45</f>
        <v>6.25</v>
      </c>
      <c r="AP45" s="123">
        <f>AO45*10000000+BI45*100+AM45/AM48*10+AI45/AI48*1++IF(AQ45=0,ROW(),AQ45)/2000000</f>
        <v>62500005.66744829</v>
      </c>
      <c r="AQ45" s="126">
        <f>VLOOKUP(AE45,db_fifarank,2,FALSE)</f>
        <v>1563.24</v>
      </c>
      <c r="AR45" s="125">
        <f>AP45/AP48</f>
        <v>0.71428568743949761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Germany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3 - 2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3</v>
      </c>
      <c r="AL46" s="123">
        <f>AI46-AJ46</f>
        <v>-1</v>
      </c>
      <c r="AM46" s="123">
        <f>AL46-AL48</f>
        <v>6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50000004.223029874</v>
      </c>
      <c r="AQ46" s="126">
        <f>VLOOKUP(AE46,db_fifarank,2,FALSE)</f>
        <v>1615.3</v>
      </c>
      <c r="AR46" s="125">
        <f>AP46/AP48</f>
        <v>0.57142854639812701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Germany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7</v>
      </c>
      <c r="AL47" s="123">
        <f>AI47-AJ47</f>
        <v>-7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7.3232562035478805E-12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9</v>
      </c>
      <c r="AL48" s="123">
        <f>MIN(AL44:AL47)</f>
        <v>-7</v>
      </c>
      <c r="AM48" s="123">
        <f>MAX(AM44:AM47)+1</f>
        <v>15</v>
      </c>
      <c r="AN48" s="123">
        <f>MAX(AN44:AN47)+1</f>
        <v>8</v>
      </c>
      <c r="AO48" s="123">
        <f>MAX(AO44:AO47)+1</f>
        <v>9.75</v>
      </c>
      <c r="AP48" s="123">
        <f>MAX(AP44:AP47)+1</f>
        <v>87500011.223089576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0</v>
      </c>
      <c r="CP49" s="64"/>
      <c r="CQ49" s="27"/>
      <c r="CR49" s="111">
        <f>IF(CR48="","",CO49*1000+CP49*10+CQ49)</f>
        <v>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2</v>
      </c>
      <c r="AL50" s="123">
        <f>AI50-AJ50</f>
        <v>4</v>
      </c>
      <c r="AM50" s="123">
        <f>AL50-AL54</f>
        <v>8</v>
      </c>
      <c r="AN50" s="123">
        <f>AF50*3+AG50</f>
        <v>7</v>
      </c>
      <c r="AO50" s="123">
        <f>AN50/AN54*10+BA50</f>
        <v>9.7401477832512313</v>
      </c>
      <c r="AP50" s="123">
        <f>AO50*10000000+BI50*100+AM50/AM54*10+AI50/AI54*1++IF(AQ50=0,ROW(),AQ50)/2000000</f>
        <v>97401586.594260603</v>
      </c>
      <c r="AQ50" s="126">
        <f>VLOOKUP(AE50,db_fifarank,2,FALSE)</f>
        <v>1876.4</v>
      </c>
      <c r="AR50" s="125">
        <f>AP50/AP54</f>
        <v>0.9999999897332269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100.5</v>
      </c>
      <c r="BA50" s="126">
        <f>AZ50/AZ54</f>
        <v>0.99014778325123154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100.5</v>
      </c>
      <c r="BI50" s="126">
        <f>BH50/BH54</f>
        <v>0.99014778325123154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6 - 2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4</v>
      </c>
      <c r="AL51" s="123">
        <f>AI51-AJ51</f>
        <v>-3</v>
      </c>
      <c r="AM51" s="123">
        <f>AL51-AL54</f>
        <v>1</v>
      </c>
      <c r="AN51" s="123">
        <f>AF51*3+AG51</f>
        <v>1</v>
      </c>
      <c r="AO51" s="123">
        <f>AN51/AN54*10+BA51</f>
        <v>2.2352216748768474</v>
      </c>
      <c r="AP51" s="123">
        <f>AO51*10000000+BI51*100+AM51/AM54*10+AI51/AI54*1++IF(AQ51=0,ROW(),AQ51)/2000000</f>
        <v>22352316.525587283</v>
      </c>
      <c r="AQ51" s="126">
        <f>VLOOKUP(AE51,db_fifarank,2,FALSE)</f>
        <v>1366.13</v>
      </c>
      <c r="AR51" s="125">
        <f>AP51/AP54</f>
        <v>0.22948616216297069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100</v>
      </c>
      <c r="BA51" s="126">
        <f>AZ51/AZ54</f>
        <v>0.98522167487684731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100</v>
      </c>
      <c r="BI51" s="126">
        <f>BH51/BH54</f>
        <v>0.98522167487684731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4 - 1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4</v>
      </c>
      <c r="AL52" s="123">
        <f>AI52-AJ52</f>
        <v>-4</v>
      </c>
      <c r="AM52" s="123">
        <f>AL52-AL54</f>
        <v>0</v>
      </c>
      <c r="AN52" s="123">
        <f>AF52*3+AG52</f>
        <v>1</v>
      </c>
      <c r="AO52" s="123">
        <f>AN52/AN54*10+BA52</f>
        <v>2.2352216748768474</v>
      </c>
      <c r="AP52" s="123">
        <f>AO52*10000000+BI52*100+AM52/AM54*10+AI52/AI54*1++IF(AQ52=0,ROW(),AQ52)/2000000</f>
        <v>22352315.271646678</v>
      </c>
      <c r="AQ52" s="126">
        <f>VLOOKUP(AE52,db_fifarank,2,FALSE)</f>
        <v>1421.43</v>
      </c>
      <c r="AR52" s="125">
        <f>AP52/AP54</f>
        <v>0.22948614928904701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100</v>
      </c>
      <c r="BA52" s="126">
        <f>AZ52/AZ54</f>
        <v>0.98522167487684731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100</v>
      </c>
      <c r="BI52" s="126">
        <f>BH52/BH54</f>
        <v>0.98522167487684731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1</v>
      </c>
      <c r="AL53" s="123">
        <f>AI53-AJ53</f>
        <v>3</v>
      </c>
      <c r="AM53" s="123">
        <f>AL53-AL54</f>
        <v>7</v>
      </c>
      <c r="AN53" s="123">
        <f>AF53*3+AG53</f>
        <v>7</v>
      </c>
      <c r="AO53" s="123">
        <f>AN53/AN54*10+BA53</f>
        <v>9.7401477832512313</v>
      </c>
      <c r="AP53" s="123">
        <f>AO53*10000000+BI53*100+AM53/AM54*10+AI53/AI54*1++IF(AQ53=0,ROW(),AQ53)/2000000</f>
        <v>97401585.19733353</v>
      </c>
      <c r="AQ53" s="126">
        <f>VLOOKUP(AE53,db_fifarank,2,FALSE)</f>
        <v>1673.07</v>
      </c>
      <c r="AR53" s="125">
        <f>AP53/AP54</f>
        <v>0.99999997539129359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100.5</v>
      </c>
      <c r="BA53" s="126">
        <f>AZ53/AZ54</f>
        <v>0.99014778325123154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100.5</v>
      </c>
      <c r="BI53" s="126">
        <f>BH53/BH54</f>
        <v>0.99014778325123154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0 - 4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7</v>
      </c>
      <c r="AL54" s="123">
        <f>MIN(AL50:AL53)</f>
        <v>-4</v>
      </c>
      <c r="AM54" s="123">
        <f>MAX(AM50:AM53)+1</f>
        <v>9</v>
      </c>
      <c r="AN54" s="123">
        <f>MAX(AN50:AN53)+1</f>
        <v>8</v>
      </c>
      <c r="AO54" s="123">
        <f>MAX(AO50:AO53)+1</f>
        <v>10.740147783251231</v>
      </c>
      <c r="AP54" s="123">
        <f>MAX(AP50:AP53)+1</f>
        <v>97401587.594260603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101.5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101.5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12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97306559.798016131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1</v>
      </c>
      <c r="AH57" s="123">
        <f>COUNTIF($S$7:$T$78,"=" &amp; AE57 &amp; "_lose")</f>
        <v>0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3</v>
      </c>
      <c r="AL57" s="123">
        <f>AI57-AJ57</f>
        <v>3</v>
      </c>
      <c r="AM57" s="123">
        <f>AL57-AL60</f>
        <v>10</v>
      </c>
      <c r="AN57" s="123">
        <f>AF57*3+AG57</f>
        <v>7</v>
      </c>
      <c r="AO57" s="123">
        <f>AN57/AN60*10+BA57</f>
        <v>9.7306451612903224</v>
      </c>
      <c r="AP57" s="123">
        <f>AO57*10000000+BI57*100+AM57/AM60*10+AI57/AI60*1++IF(AQ57=0,ROW(),AQ57)/2000000</f>
        <v>97306558.03723821</v>
      </c>
      <c r="AQ57" s="126">
        <f>VLOOKUP(AE57,db_fifarank,2,FALSE)</f>
        <v>1688.99</v>
      </c>
      <c r="AR57" s="125">
        <f>AP57/AP60</f>
        <v>0.99999997162803933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6 - 3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7.4359837000297322E-12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5</v>
      </c>
      <c r="AL59" s="123">
        <f>AI59-AJ59</f>
        <v>-1</v>
      </c>
      <c r="AM59" s="123">
        <f>AL59-AL60</f>
        <v>6</v>
      </c>
      <c r="AN59" s="123">
        <f>AF59*3+AG59</f>
        <v>3</v>
      </c>
      <c r="AO59" s="123">
        <f>AN59/AN60*10+BA59</f>
        <v>3.75</v>
      </c>
      <c r="AP59" s="123">
        <f>AO59*10000000+BI59*100+AM59/AM60*10+AI59/AI60*1++IF(AQ59=0,ROW(),AQ59)/2000000</f>
        <v>37500005.060604535</v>
      </c>
      <c r="AQ59" s="126">
        <f>VLOOKUP(AE59,db_fifarank,2,FALSE)</f>
        <v>1550.94</v>
      </c>
      <c r="AR59" s="125">
        <f>AP59/AP60</f>
        <v>0.38538002733901039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13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97306560.798016131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2</v>
      </c>
      <c r="W62" s="123">
        <f t="shared" si="22"/>
        <v>2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11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87500010.042604089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3</v>
      </c>
      <c r="AL63" s="123">
        <f>AI63-AJ63</f>
        <v>0</v>
      </c>
      <c r="AM63" s="123">
        <f>AL63-AL66</f>
        <v>6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50000005.375782132</v>
      </c>
      <c r="AQ63" s="126">
        <f>VLOOKUP(AE63,db_fifarank,2,FALSE)</f>
        <v>1564.26</v>
      </c>
      <c r="AR63" s="125">
        <f>AP63/AP66</f>
        <v>0.57142856075111736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4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6</v>
      </c>
      <c r="AO64" s="123">
        <f>AN64/AN66*10+BA64</f>
        <v>7.5</v>
      </c>
      <c r="AP64" s="123">
        <f>AO64*10000000+BI64*100+AM64/AM66*10+AI64/AI66*1++IF(AQ64=0,ROW(),AQ64)/2000000</f>
        <v>75000006.334130049</v>
      </c>
      <c r="AQ64" s="126">
        <f>VLOOKUP(AE64,db_fifarank,2,FALSE)</f>
        <v>1593.45</v>
      </c>
      <c r="AR64" s="125">
        <f>AP64/AP66</f>
        <v>0.85714282136047115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7.9511418536992961E-12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-6</v>
      </c>
      <c r="AM66" s="123">
        <f>MAX(AM62:AM65)+1</f>
        <v>12</v>
      </c>
      <c r="AN66" s="123">
        <f>MAX(AN62:AN65)+1</f>
        <v>8</v>
      </c>
      <c r="AO66" s="123">
        <f>MAX(AO62:AO65)+1</f>
        <v>9.75</v>
      </c>
      <c r="AP66" s="123">
        <f>MAX(AP62:AP65)+1</f>
        <v>87500011.042604089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14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97306559.911634594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7</v>
      </c>
      <c r="AL69" s="123">
        <f>AI69-AJ69</f>
        <v>-5</v>
      </c>
      <c r="AM69" s="123">
        <f>AL69-AL72</f>
        <v>2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37500001.534072511</v>
      </c>
      <c r="AQ69" s="126">
        <f>VLOOKUP(AE69,db_fifarank,2,FALSE)</f>
        <v>1478.35</v>
      </c>
      <c r="AR69" s="125">
        <f>AP69/AP72</f>
        <v>0.38537999064756556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5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8 - 3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7.5295025652519722E-12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2 - 7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8</v>
      </c>
      <c r="AJ71" s="123">
        <f>SUMIF($E$7:$E$78,$AE71,$G$7:$G$78) + SUMIF($H$7:$H$78,$AE71,$F$7:$F$78)</f>
        <v>3</v>
      </c>
      <c r="AL71" s="123">
        <f>AI71-AJ71</f>
        <v>5</v>
      </c>
      <c r="AM71" s="123">
        <f>AL71-AL72</f>
        <v>12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97306558.478265896</v>
      </c>
      <c r="AQ71" s="126">
        <f>VLOOKUP(AE71,db_fifarank,2,FALSE)</f>
        <v>1693.09</v>
      </c>
      <c r="AR71" s="125">
        <f>AP71/AP72</f>
        <v>0.99999997499275817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0 - 7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10</v>
      </c>
      <c r="AL72" s="123">
        <f>MIN(AL68:AL71)</f>
        <v>-7</v>
      </c>
      <c r="AM72" s="123">
        <f>MAX(AM68:AM71)+1</f>
        <v>15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97306560.911634594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11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87500010.024722502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9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62500008.072287112</v>
      </c>
      <c r="AQ75" s="126">
        <f>VLOOKUP(AE75,db_fifarank,2,FALSE)</f>
        <v>1717.07</v>
      </c>
      <c r="AR75" s="125">
        <f>AP75/AP78</f>
        <v>0.71428571654268913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4 - 2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4</v>
      </c>
      <c r="AL76" s="123">
        <f>AI76-AJ76</f>
        <v>1</v>
      </c>
      <c r="AM76" s="123">
        <f>AL76-AL78</f>
        <v>8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50000007.381625533</v>
      </c>
      <c r="AQ76" s="126">
        <f>VLOOKUP(AE76,db_fifarank,2,FALSE)</f>
        <v>1346.31</v>
      </c>
      <c r="AR76" s="125">
        <f>AP76/AP78</f>
        <v>0.57142858379181682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5 - 4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8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1.641456511549032E-9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7</v>
      </c>
      <c r="AL78" s="123">
        <f>MIN(AL74:AL77)</f>
        <v>-7</v>
      </c>
      <c r="AM78" s="123">
        <f>MAX(AM74:AM77)+1</f>
        <v>12</v>
      </c>
      <c r="AN78" s="123">
        <f>MAX(AN74:AN77)+1</f>
        <v>8</v>
      </c>
      <c r="AO78" s="123">
        <f>MAX(AO74:AO77)+1</f>
        <v>9.75</v>
      </c>
      <c r="AP78" s="123">
        <f>MAX(AP74:AP77)+1</f>
        <v>87500011.024722502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11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3181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2</v>
      </c>
      <c r="AP80" s="123">
        <f>AN80/AN92*10000+AM80/AM92*1000+AI80/AI92*100+IF(AQ80=0,ROW(),AQ80)/2000000</f>
        <v>3876.1911910554759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6 - 4</v>
      </c>
      <c r="P81" s="98">
        <f>L81*3+M81</f>
        <v>5</v>
      </c>
      <c r="AD81" s="123">
        <f t="shared" ref="AD81:AD91" si="38">COUNTIF($AP$80:$AP$91,CONCATENATE("&gt;=",AP81))</f>
        <v>8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3182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5542.8579210971429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Australia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2</v>
      </c>
      <c r="N82" s="100">
        <f>VLOOKUP(2,$AD$80:$AN$91,5,FALSE)</f>
        <v>0</v>
      </c>
      <c r="O82" s="100" t="str">
        <f>VLOOKUP(2,$AD$80:$AN$91,6,FALSE) &amp; " - " &amp; VLOOKUP(2,$AD$80:$AN$91,7,FALSE)</f>
        <v>2 - 1</v>
      </c>
      <c r="P82" s="101">
        <f t="shared" ref="P82:P92" si="48">L82*3+M82</f>
        <v>5</v>
      </c>
      <c r="AD82" s="123">
        <f t="shared" si="38"/>
        <v>9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3</v>
      </c>
      <c r="AK82" s="123" t="s">
        <v>3183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5528.5721777464287</v>
      </c>
      <c r="AQ82" s="126">
        <f t="shared" si="37"/>
        <v>1498.35</v>
      </c>
      <c r="AR82" s="125" t="str">
        <f t="shared" ref="AR82:AR91" si="50">AR81&amp;IF(AD82&lt;=8,RIGHT(AK82,1),"")</f>
        <v>B</v>
      </c>
      <c r="AS82" s="129" t="str">
        <f t="shared" si="46"/>
        <v/>
      </c>
      <c r="AT82" s="130" t="str">
        <f>"Ⓒ "&amp;AE82</f>
        <v>Ⓒ Scotland</v>
      </c>
    </row>
    <row r="83" spans="1:46" ht="15" customHeight="1">
      <c r="A83" s="73"/>
      <c r="B83" s="73"/>
      <c r="C83" s="154" t="s">
        <v>3184</v>
      </c>
      <c r="D83" s="155"/>
      <c r="E83" s="155"/>
      <c r="F83" s="155"/>
      <c r="G83" s="156"/>
      <c r="H83" s="75"/>
      <c r="I83" s="69"/>
      <c r="J83" s="99" t="str">
        <f>VLOOKUP(3,$AD$80:$AT$91,17,FALSE)</f>
        <v>Ⓕ Sweden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5 - 3</v>
      </c>
      <c r="P83" s="101">
        <f t="shared" si="48"/>
        <v>4</v>
      </c>
      <c r="AD83" s="123">
        <f t="shared" si="38"/>
        <v>2</v>
      </c>
      <c r="AE83" s="124" t="str">
        <f>J29</f>
        <v>Australia</v>
      </c>
      <c r="AF83" s="123">
        <f t="shared" si="39"/>
        <v>1</v>
      </c>
      <c r="AG83" s="123">
        <f t="shared" si="49"/>
        <v>2</v>
      </c>
      <c r="AH83" s="123">
        <f t="shared" si="40"/>
        <v>0</v>
      </c>
      <c r="AI83" s="123">
        <f t="shared" si="41"/>
        <v>2</v>
      </c>
      <c r="AJ83" s="123">
        <f t="shared" si="42"/>
        <v>1</v>
      </c>
      <c r="AK83" s="123" t="s">
        <v>3185</v>
      </c>
      <c r="AL83" s="123">
        <f t="shared" si="43"/>
        <v>1</v>
      </c>
      <c r="AM83" s="123">
        <f t="shared" si="44"/>
        <v>6</v>
      </c>
      <c r="AN83" s="123">
        <f t="shared" si="45"/>
        <v>5</v>
      </c>
      <c r="AP83" s="123">
        <f>AN83/AN92*10000+AM83/AM92*1000+AI83/AI92*100+IF(AQ83=0,ROW(),AQ83)/2000000</f>
        <v>9111.905552239763</v>
      </c>
      <c r="AQ83" s="126">
        <f t="shared" si="37"/>
        <v>1580.67</v>
      </c>
      <c r="AR83" s="125" t="str">
        <f t="shared" si="50"/>
        <v>BD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5 - 4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2</v>
      </c>
      <c r="AH84" s="123">
        <f t="shared" si="40"/>
        <v>0</v>
      </c>
      <c r="AI84" s="123">
        <f t="shared" si="41"/>
        <v>6</v>
      </c>
      <c r="AJ84" s="123">
        <f t="shared" si="42"/>
        <v>4</v>
      </c>
      <c r="AK84" s="123" t="s">
        <v>3186</v>
      </c>
      <c r="AL84" s="123">
        <f t="shared" si="43"/>
        <v>2</v>
      </c>
      <c r="AM84" s="123">
        <f t="shared" si="44"/>
        <v>7</v>
      </c>
      <c r="AN84" s="123">
        <f t="shared" si="45"/>
        <v>5</v>
      </c>
      <c r="AP84" s="123">
        <f>AN84/AN92*10000+AM84/AM92*1000+AI84/AI92*100+IF(AQ84=0,ROW(),AQ84)/2000000</f>
        <v>9294.0483855376206</v>
      </c>
      <c r="AQ84" s="126">
        <f t="shared" si="37"/>
        <v>1532.98</v>
      </c>
      <c r="AR84" s="125" t="str">
        <f t="shared" si="50"/>
        <v>BDE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3 - 3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5</v>
      </c>
      <c r="AJ85" s="123">
        <f t="shared" si="42"/>
        <v>3</v>
      </c>
      <c r="AK85" s="123" t="s">
        <v>3187</v>
      </c>
      <c r="AL85" s="123">
        <f t="shared" si="43"/>
        <v>2</v>
      </c>
      <c r="AM85" s="123">
        <f t="shared" si="44"/>
        <v>7</v>
      </c>
      <c r="AN85" s="123">
        <f t="shared" si="45"/>
        <v>4</v>
      </c>
      <c r="AP85" s="123">
        <f>AN85/AN92*10000+AM85/AM92*1000+AI85/AI92*100+IF(AQ85=0,ROW(),AQ85)/2000000</f>
        <v>7613.0959954802374</v>
      </c>
      <c r="AQ85" s="126">
        <f t="shared" si="37"/>
        <v>1514.77</v>
      </c>
      <c r="AR85" s="125" t="str">
        <f t="shared" si="50"/>
        <v>BDEF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3188</v>
      </c>
      <c r="AL86" s="123">
        <f t="shared" si="43"/>
        <v>-1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7195.2389028880943</v>
      </c>
      <c r="AQ86" s="126">
        <f t="shared" si="37"/>
        <v>1615.3</v>
      </c>
      <c r="AR86" s="125" t="str">
        <f t="shared" si="50"/>
        <v>BDEFG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Norway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3189</v>
      </c>
      <c r="AL87" s="123">
        <f t="shared" si="43"/>
        <v>-3</v>
      </c>
      <c r="AM87" s="123">
        <f t="shared" si="44"/>
        <v>2</v>
      </c>
      <c r="AN87" s="123">
        <f t="shared" si="45"/>
        <v>1</v>
      </c>
      <c r="AP87" s="123">
        <f>AN87/AN92*10000+AM87/AM92*1000+AI87/AI92*100+IF(AQ87=0,ROW(),AQ87)/2000000</f>
        <v>1930.9530640173807</v>
      </c>
      <c r="AQ87" s="126">
        <f t="shared" si="37"/>
        <v>1366.13</v>
      </c>
      <c r="AR87" s="125" t="str">
        <f t="shared" si="50"/>
        <v>BDEFG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Canada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Qatar</v>
      </c>
      <c r="T88" s="127" t="str" cm="1">
        <f t="array" ref="T88">IF(OR(S88="",S88="draw"),INDEX(T,90,lang),S88)</f>
        <v>Qatar</v>
      </c>
      <c r="AD88" s="123">
        <f t="shared" si="38"/>
        <v>7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3190</v>
      </c>
      <c r="AL88" s="123">
        <f t="shared" si="43"/>
        <v>-1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5557.1436326128569</v>
      </c>
      <c r="AQ88" s="126">
        <f t="shared" si="37"/>
        <v>1550.94</v>
      </c>
      <c r="AR88" s="125" t="str">
        <f t="shared" si="50"/>
        <v>BDEFGI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Ⓒ Scotland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3</v>
      </c>
      <c r="AK89" s="123" t="s">
        <v>3191</v>
      </c>
      <c r="AL89" s="123">
        <f t="shared" si="43"/>
        <v>0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7334.5245916538088</v>
      </c>
      <c r="AQ89" s="126">
        <f t="shared" si="37"/>
        <v>1564.26</v>
      </c>
      <c r="AR89" s="125" t="str">
        <f t="shared" si="50"/>
        <v>BDEFGIJ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2 - 7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7</v>
      </c>
      <c r="AK90" s="123" t="s">
        <v>3192</v>
      </c>
      <c r="AL90" s="123">
        <f t="shared" si="43"/>
        <v>-5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5028.572167746428</v>
      </c>
      <c r="AQ90" s="126">
        <f t="shared" si="37"/>
        <v>1478.35</v>
      </c>
      <c r="AR90" s="125" t="str">
        <f t="shared" si="50"/>
        <v>BDEFGIJ</v>
      </c>
      <c r="AS90" s="129" t="str">
        <f t="shared" si="46"/>
        <v/>
      </c>
      <c r="AT90" s="130" t="str">
        <f>"Ⓚ "&amp;AE90</f>
        <v>Ⓚ DR Congo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South Africa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4</v>
      </c>
      <c r="AK91" s="123" t="s">
        <v>3193</v>
      </c>
      <c r="AL91" s="123">
        <f>VLOOKUP($AE91,$AE$8:$AQ$78,8,FALSE)</f>
        <v>1</v>
      </c>
      <c r="AM91" s="123">
        <f t="shared" si="44"/>
        <v>6</v>
      </c>
      <c r="AN91" s="123">
        <f>VLOOKUP($AE91,$AE$8:$AQ$78,10,FALSE)</f>
        <v>4</v>
      </c>
      <c r="AP91" s="123">
        <f>AN91/AN92*10000+AM91/AM92*1000+AI91/AI92*100+IF(AQ91=0,ROW(),AQ91)/2000000</f>
        <v>7488.0959112502378</v>
      </c>
      <c r="AQ91" s="126">
        <f t="shared" si="37"/>
        <v>1346.31</v>
      </c>
      <c r="AR91" s="125" t="str">
        <f t="shared" si="50"/>
        <v>BDEFGIJL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-5</v>
      </c>
      <c r="AM92" s="123">
        <f>MAX(AM80:AM91)+1</f>
        <v>8</v>
      </c>
      <c r="AN92" s="123">
        <f>MAX(AN80:AN91)+1</f>
        <v>6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6">
      <formula>IF(AND(AA7=0,AB7=-1),1,0)</formula>
    </cfRule>
    <cfRule type="expression" dxfId="226" priority="347">
      <formula>IF(AND(AA7=1,AB7=-1),1,0)</formula>
    </cfRule>
    <cfRule type="expression" dxfId="225" priority="348">
      <formula>IF(AND(AA7=0,AB7=1),1,0)</formula>
    </cfRule>
    <cfRule type="expression" dxfId="224" priority="349">
      <formula>IF(AND(AA7=1,AB7=1),1,0)</formula>
    </cfRule>
    <cfRule type="expression" dxfId="223" priority="350">
      <formula>IF(AND(AA7=0,AB7=0),1,0)</formula>
    </cfRule>
    <cfRule type="expression" dxfId="222" priority="351">
      <formula>IF(AND(AA7=1,AB7=0),1,0)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40">
      <formula>IF(AND(AA7=0,AB7=-1),1,0)</formula>
    </cfRule>
    <cfRule type="expression" dxfId="218" priority="341">
      <formula>IF(AND(AA7=1,AB7=-1),1,0)</formula>
    </cfRule>
    <cfRule type="expression" dxfId="217" priority="342">
      <formula>IF(AND(AA7=0,AB7=1),1,0)</formula>
    </cfRule>
    <cfRule type="expression" dxfId="216" priority="343">
      <formula>IF(AND(AA7=1,AB7=1),1,0)</formula>
    </cfRule>
    <cfRule type="expression" dxfId="215" priority="344">
      <formula>IF(AND(AA7=0,AB7=0),1,0)</formula>
    </cfRule>
    <cfRule type="expression" dxfId="214" priority="345">
      <formula>IF(AND(AA7=1,AB7=0),1,0)</formula>
    </cfRule>
    <cfRule type="expression" dxfId="213" priority="352">
      <formula>IF(AND(AA7=1,AB7=""),1,0)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18">
      <formula>IF(BP10&lt;BP11,1,0)</formula>
    </cfRule>
    <cfRule type="expression" dxfId="191" priority="220">
      <formula>IF(BP10&gt;BP11,1,0)</formula>
    </cfRule>
  </conditionalFormatting>
  <conditionalFormatting sqref="BL11">
    <cfRule type="expression" dxfId="190" priority="217">
      <formula>IF(BP10&lt;BP11,1,0)</formula>
    </cfRule>
    <cfRule type="expression" dxfId="189" priority="219">
      <formula>IF(BP10&gt;BP11,1,0)</formula>
    </cfRule>
  </conditionalFormatting>
  <conditionalFormatting sqref="BL14">
    <cfRule type="expression" dxfId="188" priority="182">
      <formula>IF(BP14&lt;BP15,1,0)</formula>
    </cfRule>
    <cfRule type="expression" dxfId="187" priority="184">
      <formula>IF(BP14&gt;BP15,1,0)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5">
      <formula>IF(BP18&lt;BP19,1,0)</formula>
    </cfRule>
    <cfRule type="expression" dxfId="181" priority="177">
      <formula>IF(BP18&gt;BP19,1,0)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6">
      <formula>IF(BP38&lt;BP39,1,0)</formula>
    </cfRule>
    <cfRule type="expression" dxfId="163" priority="148">
      <formula>IF(BP38&gt;BP39,1,0)</formula>
    </cfRule>
  </conditionalFormatting>
  <conditionalFormatting sqref="BL39">
    <cfRule type="expression" dxfId="162" priority="145">
      <formula>IF(BP38&lt;BP39,1,0)</formula>
    </cfRule>
    <cfRule type="expression" dxfId="161" priority="147">
      <formula>IF(BP38&gt;BP39,1,0)</formula>
    </cfRule>
  </conditionalFormatting>
  <conditionalFormatting sqref="BL42">
    <cfRule type="expression" dxfId="160" priority="140">
      <formula>IF(BP42&lt;BP43,1,0)</formula>
    </cfRule>
    <cfRule type="expression" dxfId="159" priority="142">
      <formula>IF(BP42&gt;BP43,1,0)</formula>
    </cfRule>
  </conditionalFormatting>
  <conditionalFormatting sqref="BL43">
    <cfRule type="expression" dxfId="158" priority="139">
      <formula>IF(BP42&lt;BP43,1,0)</formula>
    </cfRule>
    <cfRule type="expression" dxfId="157" priority="141">
      <formula>IF(BP42&gt;BP43,1,0)</formula>
    </cfRule>
  </conditionalFormatting>
  <conditionalFormatting sqref="BL46">
    <cfRule type="expression" dxfId="156" priority="134">
      <formula>IF(BP46&lt;BP47,1,0)</formula>
    </cfRule>
    <cfRule type="expression" dxfId="155" priority="136">
      <formula>IF(BP46&gt;BP47,1,0)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6">
      <formula>IF(BP58&lt;BP59,1,0)</formula>
    </cfRule>
    <cfRule type="expression" dxfId="143" priority="118">
      <formula>IF(BP58&gt;BP59,1,0)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4">
      <formula>IF(BP66&lt;BP67,1,0)</formula>
    </cfRule>
    <cfRule type="expression" dxfId="135" priority="106">
      <formula>IF(BP66&gt;BP67,1,0)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68">
      <formula>IF(BW36&lt;BW37,1,0)</formula>
    </cfRule>
    <cfRule type="expression" dxfId="83" priority="70">
      <formula>IF(BW36&gt;BW37,1,0)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4">
      <formula>IF(CD16&lt;CD17,1,0)</formula>
    </cfRule>
    <cfRule type="expression" dxfId="47" priority="46">
      <formula>IF(CD16&gt;CD17,1,0)</formula>
    </cfRule>
  </conditionalFormatting>
  <conditionalFormatting sqref="BZ17">
    <cfRule type="expression" dxfId="46" priority="43">
      <formula>IF(CD16&lt;CD17,1,0)</formula>
    </cfRule>
    <cfRule type="expression" dxfId="45" priority="45">
      <formula>IF(CD16&gt;CD17,1,0)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2">
      <formula>IF(CD48&lt;CD49,1,0)</formula>
    </cfRule>
    <cfRule type="expression" dxfId="39" priority="34">
      <formula>IF(CD48&gt;CD49,1,0)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4">
      <formula>IF(CK23&lt;CK24,1,0)</formula>
    </cfRule>
    <cfRule type="expression" dxfId="23" priority="16">
      <formula>IF(CK23&gt;CK24,1,0)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19">
      <formula>IF(CK55&lt;CK56,1,0)</formula>
    </cfRule>
    <cfRule type="expression" dxfId="17" priority="21">
      <formula>IF(CK55&gt;CK56,1,0)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8">
      <formula>IF(CR37&lt;CR38,1,0)</formula>
    </cfRule>
    <cfRule type="expression" dxfId="11" priority="10">
      <formula>IF(CR37&gt;CR38,1,0)</formula>
    </cfRule>
  </conditionalFormatting>
  <conditionalFormatting sqref="CN38">
    <cfRule type="expression" dxfId="10" priority="7">
      <formula>IF(CR37&lt;CR38,1,0)</formula>
    </cfRule>
    <cfRule type="expression" dxfId="9" priority="9">
      <formula>IF(CR37&gt;CR38,1,0)</formula>
    </cfRule>
  </conditionalFormatting>
  <conditionalFormatting sqref="CN48">
    <cfRule type="expression" dxfId="8" priority="2">
      <formula>IF(CR48&lt;CR49,1,0)</formula>
    </cfRule>
    <cfRule type="expression" dxfId="7" priority="4">
      <formula>IF(CR48&gt;CR49,1,0)</formula>
    </cfRule>
  </conditionalFormatting>
  <conditionalFormatting sqref="CN49">
    <cfRule type="expression" dxfId="6" priority="1">
      <formula>IF(CR48&lt;CR49,1,0)</formula>
    </cfRule>
    <cfRule type="expression" dxfId="5" priority="3">
      <formula>IF(CR48&gt;CR49,1,0)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3194</v>
      </c>
    </row>
    <row r="3" spans="2:11">
      <c r="B3" s="109">
        <f>MATCH(C3,C6:C500,0)</f>
        <v>74</v>
      </c>
      <c r="C3" s="121" t="str">
        <f>'2026 World Cup'!AR91</f>
        <v>BDEFGIJL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2026-06-09T21:37:11Z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