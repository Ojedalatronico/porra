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8821FC05-DCD7-5445-A9BC-A4ED42C83C7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AD17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<sst xmlns="http://schemas.openxmlformats.org/spreadsheetml/2006/main" count="9785" uniqueCount="3699">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</sst>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Z27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87500008.834173843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12500000.500714865</v>
      </c>
      <c r="AQ9" s="126">
        <f>VLOOKUP(AE9,db_fifarank,2,FALSE)</f>
        <v>1429.73</v>
      </c>
      <c r="AR9" s="125">
        <f>AP9/AP12</f>
        <v>0.14285713252380558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3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62500006.500794329</v>
      </c>
      <c r="AQ10" s="126">
        <f>VLOOKUP(AE10,db_fifarank,2,FALSE)</f>
        <v>1588.66</v>
      </c>
      <c r="AR10" s="125">
        <f>AP10/AP12</f>
        <v>0.71428570830153715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4 - 5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5</v>
      </c>
      <c r="AL11" s="123">
        <f>AI11-AJ11</f>
        <v>-1</v>
      </c>
      <c r="AM11" s="123">
        <f>AL11-AL12</f>
        <v>1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25000002.667417359</v>
      </c>
      <c r="AQ11" s="126">
        <f>VLOOKUP(AE11,db_fifarank,2,FALSE)</f>
        <v>1501.38</v>
      </c>
      <c r="AR11" s="125">
        <f>AP11/AP12</f>
        <v>0.28571428408746763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87500009.834173843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Norway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2</v>
      </c>
      <c r="AL14" s="123">
        <f>AI14-AJ14</f>
        <v>5</v>
      </c>
      <c r="AM14" s="123">
        <f>AL14-AL18</f>
        <v>12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97305933.407518357</v>
      </c>
      <c r="AQ14" s="126">
        <f>VLOOKUP(AE14,db_fifarank,2,FALSE)</f>
        <v>1556.48</v>
      </c>
      <c r="AR14" s="125">
        <f>AP14/AP18</f>
        <v>0.99999998972313453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Norway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7</v>
      </c>
      <c r="AL15" s="123">
        <f>AI15-AJ15</f>
        <v>-7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6.9291999999999997E-4</v>
      </c>
      <c r="AQ15" s="126">
        <f>VLOOKUP(AE15,db_fifarank,2,FALSE)</f>
        <v>1385.84</v>
      </c>
      <c r="AR15" s="125">
        <f>AP15/AP18</f>
        <v>7.121045640423565E-12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4</v>
      </c>
      <c r="AJ16" s="123">
        <f>SUMIF($E$7:$E$78,$AE16,$G$7:$G$78) + SUMIF($H$7:$H$78,$AE16,$F$7:$F$78)</f>
        <v>5</v>
      </c>
      <c r="AL16" s="123">
        <f>AI16-AJ16</f>
        <v>-1</v>
      </c>
      <c r="AM16" s="123">
        <f>AL16-AL18</f>
        <v>6</v>
      </c>
      <c r="AN16" s="123">
        <f>AF16*3+AG16</f>
        <v>3</v>
      </c>
      <c r="AO16" s="123">
        <f>AN16/AN18*10+BA16</f>
        <v>3.75</v>
      </c>
      <c r="AP16" s="123">
        <f>AO16*10000000+BI16*100+AM16/AM18*10+AI16/AI18*1++IF(AQ16=0,ROW(),AQ16)/2000000</f>
        <v>37500005.116112098</v>
      </c>
      <c r="AQ16" s="126">
        <f>VLOOKUP(AE16,db_fifarank,2,FALSE)</f>
        <v>1454.96</v>
      </c>
      <c r="AR16" s="125">
        <f>AP16/AP18</f>
        <v>0.38538250872821028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Ecuador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4 - 5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10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97305931.619103283</v>
      </c>
      <c r="AQ17" s="126">
        <f>VLOOKUP(AE17,db_fifarank,2,FALSE)</f>
        <v>1649.4</v>
      </c>
      <c r="AR17" s="125">
        <f>AP17/AP18</f>
        <v>0.99999997134383334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-7</v>
      </c>
      <c r="AM18" s="123">
        <f>MAX(AM14:AM17)+1</f>
        <v>13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97305934.407518357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3</v>
      </c>
      <c r="AL20" s="123">
        <f>AI20-AJ20</f>
        <v>2</v>
      </c>
      <c r="AM20" s="123">
        <f>AL20-AL24</f>
        <v>9</v>
      </c>
      <c r="AN20" s="123">
        <f>AF20*3+AG20</f>
        <v>5</v>
      </c>
      <c r="AO20" s="123">
        <f>AN20/AN24*10+BA20</f>
        <v>6.25</v>
      </c>
      <c r="AP20" s="123">
        <f>AO20*10000000+BI20*100+AM20/AM24*10+AI20/AI24*1++IF(AQ20=0,ROW(),AQ20)/2000000</f>
        <v>62500008.215166293</v>
      </c>
      <c r="AQ20" s="126">
        <f>VLOOKUP(AE20,db_fifarank,2,FALSE)</f>
        <v>1761.16</v>
      </c>
      <c r="AR20" s="125">
        <f>AP20/AP24</f>
        <v>0.71428571817587994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3</v>
      </c>
      <c r="G21" s="20">
        <v>3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3</v>
      </c>
      <c r="W21" s="123">
        <f t="shared" si="4"/>
        <v>3</v>
      </c>
      <c r="X21" s="123">
        <f t="shared" si="9"/>
        <v>1</v>
      </c>
      <c r="Y21" s="123">
        <f t="shared" si="10"/>
        <v>3</v>
      </c>
      <c r="Z21" s="123">
        <f t="shared" si="11"/>
        <v>3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11</v>
      </c>
      <c r="AN21" s="123">
        <f>AF21*3+AG21</f>
        <v>7</v>
      </c>
      <c r="AO21" s="123">
        <f>AN21/AN24*10+BA21</f>
        <v>8.75</v>
      </c>
      <c r="AP21" s="123">
        <f>AO21*10000000+BI21*100+AM21/AM24*10+AI21/AI24*1++IF(AQ21=0,ROW(),AQ21)/2000000</f>
        <v>87500010.024687454</v>
      </c>
      <c r="AQ21" s="126">
        <f>VLOOKUP(AE21,db_fifarank,2,FALSE)</f>
        <v>1755.87</v>
      </c>
      <c r="AR21" s="125">
        <f>AP21/AP24</f>
        <v>0.99999998857143002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5 - 3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7.3811990699952822E-12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France_lose</v>
      </c>
      <c r="T23" s="127" t="str">
        <f t="shared" si="2"/>
        <v>Senegal_win</v>
      </c>
      <c r="U23" s="123">
        <f t="shared" si="8"/>
        <v>1</v>
      </c>
      <c r="V23" s="123">
        <f t="shared" si="3"/>
        <v>1</v>
      </c>
      <c r="W23" s="123">
        <f t="shared" si="4"/>
        <v>2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-1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8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50000007.238844417</v>
      </c>
      <c r="AQ23" s="126">
        <f>VLOOKUP(AE23,db_fifarank,2,FALSE)</f>
        <v>1498.35</v>
      </c>
      <c r="AR23" s="125">
        <f>AP23/AP24</f>
        <v>0.57142858216026171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Ecuador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7</v>
      </c>
      <c r="AL24" s="123">
        <f>MIN(AL20:AL23)</f>
        <v>-7</v>
      </c>
      <c r="AM24" s="123">
        <f>MAX(AM20:AM23)+1</f>
        <v>12</v>
      </c>
      <c r="AN24" s="123">
        <f>MAX(AN20:AN23)+1</f>
        <v>8</v>
      </c>
      <c r="AO24" s="123">
        <f>MAX(AO20:AO23)+1</f>
        <v>9.75</v>
      </c>
      <c r="AP24" s="123">
        <f>MAX(AP20:AP23)+1</f>
        <v>87500011.024687454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1</v>
      </c>
      <c r="AL26" s="123">
        <f>AI26-AJ26</f>
        <v>5</v>
      </c>
      <c r="AM26" s="123">
        <f>AL26-AL30</f>
        <v>11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97305933.325616971</v>
      </c>
      <c r="AQ26" s="126">
        <f>VLOOKUP(AE26,db_fifarank,2,FALSE)</f>
        <v>1673.13</v>
      </c>
      <c r="AR26" s="125">
        <f>AP26/AP30</f>
        <v>0.99999998972313453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4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37500003.619799368</v>
      </c>
      <c r="AQ27" s="126">
        <f>VLOOKUP(AE27,db_fifarank,2,FALSE)</f>
        <v>1503.5</v>
      </c>
      <c r="AR27" s="125">
        <f>AP27/AP30</f>
        <v>0.38538249367517802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5 - 2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6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8.1221664996842306E-12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2</v>
      </c>
      <c r="AL29" s="123">
        <f>AI29-AJ29</f>
        <v>3</v>
      </c>
      <c r="AM29" s="123">
        <f>AL29-AL30</f>
        <v>9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97305931.51605612</v>
      </c>
      <c r="AQ29" s="126">
        <f>VLOOKUP(AE29,db_fifarank,2,FALSE)</f>
        <v>1599.04</v>
      </c>
      <c r="AR29" s="125">
        <f>AP29/AP30</f>
        <v>0.99999997112652106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-6</v>
      </c>
      <c r="AM30" s="123">
        <f>MAX(AM26:AM29)+1</f>
        <v>12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97305934.325616971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9</v>
      </c>
      <c r="AN32" s="123">
        <f>AF32*3+AG32</f>
        <v>6</v>
      </c>
      <c r="AO32" s="123">
        <f>AN32/AN36*10+BA32</f>
        <v>8.5770272837247425</v>
      </c>
      <c r="AP32" s="123">
        <f>AO32*10000000+BI32*100+AM32/AM36*10+AI32/AI36*1++IF(AQ32=0,ROW(),AQ32)/2000000</f>
        <v>85770282.695255473</v>
      </c>
      <c r="AQ32" s="126">
        <f>VLOOKUP(AE32,db_fifarank,2,FALSE)</f>
        <v>1730.37</v>
      </c>
      <c r="AR32" s="125">
        <f>AP32/AP36</f>
        <v>0.89690745054521093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-1</v>
      </c>
      <c r="AY32" s="126">
        <f>AX32-MIN(AX32:AX35)</f>
        <v>2</v>
      </c>
      <c r="AZ32" s="126">
        <f>AT32/AT36*1000+AU32/AU36*100+AY32/AY36*10+AV32/AV36</f>
        <v>2.8571428571428568</v>
      </c>
      <c r="BA32" s="126">
        <f>AZ32/AZ36</f>
        <v>5.59871229617188E-3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4 - 4</v>
      </c>
      <c r="P33" s="32">
        <f>L33*3+M33</f>
        <v>6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4</v>
      </c>
      <c r="AJ33" s="123">
        <f>SUMIF($E$7:$E$78,$AE33,$G$7:$G$78) + SUMIF($H$7:$H$78,$AE33,$F$7:$F$78)</f>
        <v>8</v>
      </c>
      <c r="AL33" s="123">
        <f>AI33-AJ33</f>
        <v>-4</v>
      </c>
      <c r="AM33" s="123">
        <f>AL33-AL36</f>
        <v>0</v>
      </c>
      <c r="AN33" s="123">
        <f>AF33*3+AG33</f>
        <v>3</v>
      </c>
      <c r="AO33" s="123">
        <f>AN33/AN36*10+BA33</f>
        <v>4.2857142857142856</v>
      </c>
      <c r="AP33" s="123">
        <f>AO33*10000000+BI33*100+AM33/AM36*10+AI33/AI36*1++IF(AQ33=0,ROW(),AQ33)/2000000</f>
        <v>42857143.429218754</v>
      </c>
      <c r="AQ33" s="126">
        <f>VLOOKUP(AE33,db_fifarank,2,FALSE)</f>
        <v>1294.6500000000001</v>
      </c>
      <c r="AR33" s="125">
        <f>AP33/AP36</f>
        <v>0.44816094855750482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3</v>
      </c>
      <c r="AX33" s="126">
        <f>AV33-AW33</f>
        <v>-3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Egypt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6 - 1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3</v>
      </c>
      <c r="AN34" s="123">
        <f>AF34*3+AG34</f>
        <v>3</v>
      </c>
      <c r="AO34" s="123">
        <f>AN34/AN36*10+BA34</f>
        <v>5.283754736410625</v>
      </c>
      <c r="AP34" s="123">
        <f>AO34*10000000+BI34*100+AM34/AM36*10+AI34/AI36*1++IF(AQ34=0,ROW(),AQ34)/2000000</f>
        <v>52837550.793444172</v>
      </c>
      <c r="AQ34" s="126">
        <f>VLOOKUP(AE34,db_fifarank,2,FALSE)</f>
        <v>1532.98</v>
      </c>
      <c r="AR34" s="125">
        <f>AP34/AP36</f>
        <v>0.55252695322901835</v>
      </c>
      <c r="AT34" s="126" cm="1">
        <f t="array" ref="AT34">SUMPRODUCT(($S$7:$S$78=AE34&amp;"_win")*($U$7:$U$78))+SUMPRODUCT(($T$7:$T$78=AE34&amp;"_win")*($U$7:$U$78))</f>
        <v>1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3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3</v>
      </c>
      <c r="AY34" s="126">
        <f>AX34-MIN(AX32:AX35)</f>
        <v>6</v>
      </c>
      <c r="AZ34" s="126">
        <f>AT34/AT36*1000+AU34/AU36*100+AY34/AY36*10+AV34/AV36</f>
        <v>509.32142857142856</v>
      </c>
      <c r="BA34" s="126">
        <f>AZ34/AZ36</f>
        <v>0.99804045069633984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4</v>
      </c>
      <c r="AN35" s="123">
        <f>AF35*3+AG35</f>
        <v>6</v>
      </c>
      <c r="AO35" s="123">
        <f>AN35/AN36*10+BA35</f>
        <v>9.5628905351769085</v>
      </c>
      <c r="AP35" s="123">
        <f>AO35*10000000+BI35*100+AM35/AM36*10+AI35/AI36*1++IF(AQ35=0,ROW(),AQ35)/2000000</f>
        <v>95628909.923995048</v>
      </c>
      <c r="AQ35" s="126">
        <f>VLOOKUP(AE35,db_fifarank,2,FALSE)</f>
        <v>1594.78</v>
      </c>
      <c r="AR35" s="125">
        <f>AP35/AP36</f>
        <v>0.99999998954291136</v>
      </c>
      <c r="AT35" s="126" cm="1">
        <f t="array" ref="AT35">SUMPRODUCT(($S$7:$S$78=AE35&amp;"_win")*($U$7:$U$78))+SUMPRODUCT(($T$7:$T$78=AE35&amp;"_win")*($U$7:$U$78))</f>
        <v>1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1</v>
      </c>
      <c r="AY35" s="126">
        <f>AX35-MIN(AX32:AX35)</f>
        <v>4</v>
      </c>
      <c r="AZ35" s="126">
        <f>AT35/AT36*1000+AU35/AU36*100+AY35/AY36*10+AV35/AV36</f>
        <v>505.96428571428572</v>
      </c>
      <c r="BA35" s="126">
        <f>AZ35/AZ36</f>
        <v>0.99146196374833795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1</v>
      </c>
      <c r="M36" s="36">
        <f>VLOOKUP(4,AD32:AN35,4,FALSE)</f>
        <v>0</v>
      </c>
      <c r="N36" s="36">
        <f>VLOOKUP(4,AD32:AN35,5,FALSE)</f>
        <v>2</v>
      </c>
      <c r="O36" s="36" t="str">
        <f>VLOOKUP(4,AD32:AN35,6,FALSE) &amp; " - " &amp; VLOOKUP(4,AD32:AN35,7,FALSE)</f>
        <v>4 - 8</v>
      </c>
      <c r="P36" s="37">
        <f>L36*3+M36</f>
        <v>3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1</v>
      </c>
      <c r="AH36" s="123">
        <f t="shared" si="16"/>
        <v>2</v>
      </c>
      <c r="AI36" s="123">
        <f>MAX(AI32:AI35)+1</f>
        <v>7</v>
      </c>
      <c r="AL36" s="123">
        <f>MIN(AL32:AL35)</f>
        <v>-4</v>
      </c>
      <c r="AM36" s="123">
        <f>MAX(AM32:AM35)+1</f>
        <v>10</v>
      </c>
      <c r="AN36" s="123">
        <f>MAX(AN32:AN35)+1</f>
        <v>7</v>
      </c>
      <c r="AO36" s="123">
        <f>MAX(AO32:AO35)+1</f>
        <v>10.562890535176908</v>
      </c>
      <c r="AP36" s="123">
        <f>MAX(AP32:AP35)+1</f>
        <v>95628910.923995048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4</v>
      </c>
      <c r="AW36" s="126">
        <f>MAX(AW32:AW35)-MIN(AW32:AW35)+1</f>
        <v>4</v>
      </c>
      <c r="AY36" s="126">
        <f>MAX(AY32:AY35)-MIN(AY32:AY35)+1</f>
        <v>7</v>
      </c>
      <c r="AZ36" s="126">
        <f>MAX(AZ32:AZ35)+1</f>
        <v>510.32142857142856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3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90000009.889767826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6</v>
      </c>
      <c r="AL39" s="123">
        <f>AI39-AJ39</f>
        <v>-4</v>
      </c>
      <c r="AM39" s="123">
        <f>AL39-AL42</f>
        <v>0</v>
      </c>
      <c r="AN39" s="123">
        <f>AF39*3+AG39</f>
        <v>1</v>
      </c>
      <c r="AO39" s="123">
        <f>AN39/AN42*10+BA39</f>
        <v>1.9805825242718447</v>
      </c>
      <c r="AP39" s="123">
        <f>AO39*10000000+BI39*100+AM39/AM42*10+AI39/AI42*1++IF(AQ39=0,ROW(),AQ39)/2000000</f>
        <v>19805923.524023313</v>
      </c>
      <c r="AQ39" s="126">
        <f>VLOOKUP(AE39,db_fifarank,2,FALSE)</f>
        <v>1660.43</v>
      </c>
      <c r="AR39" s="125">
        <f>AP39/AP42</f>
        <v>0.22006579030619944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4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4</v>
      </c>
      <c r="AL40" s="123">
        <f>AI40-AJ40</f>
        <v>2</v>
      </c>
      <c r="AM40" s="123">
        <f>AL40-AL42</f>
        <v>6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60000006.667424046</v>
      </c>
      <c r="AQ40" s="126">
        <f>VLOOKUP(AE40,db_fifarank,2,FALSE)</f>
        <v>1514.77</v>
      </c>
      <c r="AR40" s="125">
        <f>AP40/AP42</f>
        <v>0.66666666008421005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4 - 7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7</v>
      </c>
      <c r="AL41" s="123">
        <f>AI41-AJ41</f>
        <v>-3</v>
      </c>
      <c r="AM41" s="123">
        <f>AL41-AL42</f>
        <v>1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19805924.746156845</v>
      </c>
      <c r="AQ41" s="126">
        <f>VLOOKUP(AE41,db_fifarank,2,FALSE)</f>
        <v>1483.05</v>
      </c>
      <c r="AR41" s="125">
        <f>AP41/AP42</f>
        <v>0.22006580388545927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9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90000010.889767826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12</v>
      </c>
      <c r="AN44" s="123">
        <f>AF44*3+AG44</f>
        <v>7</v>
      </c>
      <c r="AO44" s="123">
        <f>AN44/AN48*10+BA44</f>
        <v>9.7353658536585357</v>
      </c>
      <c r="AP44" s="123">
        <f>AO44*10000000+BI44*100+AM44/AM48*10+AI44/AI48*1++IF(AQ44=0,ROW(),AQ44)/2000000</f>
        <v>97353766.345466644</v>
      </c>
      <c r="AQ44" s="126">
        <f>VLOOKUP(AE44,db_fifarank,2,FALSE)</f>
        <v>1734.71</v>
      </c>
      <c r="AR44" s="125">
        <f>AP44/AP48</f>
        <v>0.99999998033768978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0.98536585365853657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0.98536585365853657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9 - 3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9</v>
      </c>
      <c r="AJ45" s="123">
        <f>SUMIF($E$7:$E$78,$AE45,$G$7:$G$78) + SUMIF($H$7:$H$78,$AE45,$F$7:$F$78)</f>
        <v>3</v>
      </c>
      <c r="AL45" s="123">
        <f>AI45-AJ45</f>
        <v>6</v>
      </c>
      <c r="AM45" s="123">
        <f>AL45-AL48</f>
        <v>13</v>
      </c>
      <c r="AN45" s="123">
        <f>AF45*3+AG45</f>
        <v>7</v>
      </c>
      <c r="AO45" s="123">
        <f>AN45/AN48*10+BA45</f>
        <v>9.7353658536585357</v>
      </c>
      <c r="AP45" s="123">
        <f>AO45*10000000+BI45*100+AM45/AM48*10+AI45/AI48*1++IF(AQ45=0,ROW(),AQ45)/2000000</f>
        <v>97353767.259666637</v>
      </c>
      <c r="AQ45" s="126">
        <f>VLOOKUP(AE45,db_fifarank,2,FALSE)</f>
        <v>1563.24</v>
      </c>
      <c r="AR45" s="125">
        <f>AP45/AP48</f>
        <v>0.99999998972818394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0.98536585365853657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0.98536585365853657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France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7 - 2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10</v>
      </c>
      <c r="AL46" s="123">
        <f>AI46-AJ46</f>
        <v>-7</v>
      </c>
      <c r="AM46" s="123">
        <f>AL46-AL48</f>
        <v>0</v>
      </c>
      <c r="AN46" s="123">
        <f>AF46*3+AG46</f>
        <v>1</v>
      </c>
      <c r="AO46" s="123">
        <f>AN46/AN48*10+BA46</f>
        <v>2.2402439024390244</v>
      </c>
      <c r="AP46" s="123">
        <f>AO46*10000000+BI46*100+AM46/AM48*10+AI46/AI48*1++IF(AQ46=0,ROW(),AQ46)/2000000</f>
        <v>22402538.349588137</v>
      </c>
      <c r="AQ46" s="126">
        <f>VLOOKUP(AE46,db_fifarank,2,FALSE)</f>
        <v>1615.3</v>
      </c>
      <c r="AR46" s="125">
        <f>AP46/AP48</f>
        <v>0.23011475313246235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3</v>
      </c>
      <c r="AW46" s="126" cm="1">
        <f t="array" ref="AW46">SUMPRODUCT(($E$7:$E$78=AE46)*($U$7:$U$78)*($G$7:$G$78))+SUMPRODUCT(($H$7:$H$78=AE46)*($U$7:$U$78)*($F$7:$F$78))</f>
        <v>3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101.5</v>
      </c>
      <c r="BA46" s="126">
        <f>AZ46/AZ48</f>
        <v>0.99024390243902438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3</v>
      </c>
      <c r="BE46" s="126" cm="1">
        <f t="array" ref="BE46">SUMPRODUCT(($E$7:$E$78=AE46)*($X$7:$X$78)*($G$7:$G$78))+SUMPRODUCT(($H$7:$H$78=AE46)*($X$7:$X$78)*($F$7:$F$78))</f>
        <v>3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101.5</v>
      </c>
      <c r="BI46" s="126">
        <f>BH46/BH48</f>
        <v>0.99024390243902438</v>
      </c>
      <c r="BK46" s="131">
        <v>78</v>
      </c>
      <c r="BL46" s="24" t="str">
        <f>AS33</f>
        <v>Germany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4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4 - 8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1</v>
      </c>
      <c r="V47" s="123">
        <f t="shared" ref="V47:V78" si="21">U47*F47</f>
        <v>4</v>
      </c>
      <c r="W47" s="123">
        <f t="shared" ref="W47:W78" si="22">U47*G47</f>
        <v>1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8</v>
      </c>
      <c r="AL47" s="123">
        <f>AI47-AJ47</f>
        <v>-4</v>
      </c>
      <c r="AM47" s="123">
        <f>AL47-AL48</f>
        <v>3</v>
      </c>
      <c r="AN47" s="123">
        <f>AF47*3+AG47</f>
        <v>1</v>
      </c>
      <c r="AO47" s="123">
        <f>AN47/AN48*10+BA47</f>
        <v>2.2402439024390244</v>
      </c>
      <c r="AP47" s="123">
        <f>AO47*10000000+BI47*100+AM47/AM48*10+AI47/AI48*1++IF(AQ47=0,ROW(),AQ47)/2000000</f>
        <v>22402540.59227841</v>
      </c>
      <c r="AQ47" s="126">
        <f>VLOOKUP(AE47,db_fifarank,2,FALSE)</f>
        <v>1281.57</v>
      </c>
      <c r="AR47" s="125">
        <f>AP47/AP48</f>
        <v>0.23011477616896431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3</v>
      </c>
      <c r="AW47" s="126" cm="1">
        <f t="array" ref="AW47">SUMPRODUCT(($E$7:$E$78=AE47)*($U$7:$U$78)*($G$7:$G$78))+SUMPRODUCT(($H$7:$H$78=AE47)*($U$7:$U$78)*($F$7:$F$78))</f>
        <v>3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101.5</v>
      </c>
      <c r="BA47" s="126">
        <f>AZ47/AZ48</f>
        <v>0.99024390243902438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3</v>
      </c>
      <c r="BE47" s="126" cm="1">
        <f t="array" ref="BE47">SUMPRODUCT(($E$7:$E$78=AE47)*($X$7:$X$78)*($G$7:$G$78))+SUMPRODUCT(($H$7:$H$78=AE47)*($X$7:$X$78)*($F$7:$F$78))</f>
        <v>3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101.5</v>
      </c>
      <c r="BI47" s="126">
        <f>BH47/BH48</f>
        <v>0.99024390243902438</v>
      </c>
      <c r="BK47" s="132"/>
      <c r="BL47" s="26" t="str">
        <f>AS57</f>
        <v>France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3 - 10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10</v>
      </c>
      <c r="AL48" s="123">
        <f>MIN(AL44:AL47)</f>
        <v>-7</v>
      </c>
      <c r="AM48" s="123">
        <f>MAX(AM44:AM47)+1</f>
        <v>14</v>
      </c>
      <c r="AN48" s="123">
        <f>MAX(AN44:AN47)+1</f>
        <v>8</v>
      </c>
      <c r="AO48" s="123">
        <f>MAX(AO44:AO47)+1</f>
        <v>10.735365853658536</v>
      </c>
      <c r="AP48" s="123">
        <f>MAX(AP44:AP47)+1</f>
        <v>97353768.259666637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102.5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France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Ecuador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France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90000010.209271535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7.5896101658444323E-12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4</v>
      </c>
      <c r="AL52" s="123">
        <f>AI52-AJ52</f>
        <v>-2</v>
      </c>
      <c r="AM52" s="123">
        <f>AL52-AL54</f>
        <v>6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30000004.250710715</v>
      </c>
      <c r="AQ52" s="126">
        <f>VLOOKUP(AE52,db_fifarank,2,FALSE)</f>
        <v>1421.43</v>
      </c>
      <c r="AR52" s="125">
        <f>AP52/AP54</f>
        <v>0.33333333904763118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60000008.625836536</v>
      </c>
      <c r="AQ53" s="126">
        <f>VLOOKUP(AE53,db_fifarank,2,FALSE)</f>
        <v>1673.07</v>
      </c>
      <c r="AR53" s="125">
        <f>AP53/AP54</f>
        <v>0.66666667947765224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-8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90000011.209271535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France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16</v>
      </c>
      <c r="AN56" s="123">
        <f>AF56*3+AG56</f>
        <v>6</v>
      </c>
      <c r="AO56" s="123">
        <f>AN56/AN60*10+BA56</f>
        <v>9.5610615218348478</v>
      </c>
      <c r="AP56" s="123">
        <f>AO56*10000000+BI56*100+AM56/AM60*10+AI56/AI60*1++IF(AQ56=0,ROW(),AQ56)/2000000</f>
        <v>95610624.926357836</v>
      </c>
      <c r="AQ56" s="126">
        <f>VLOOKUP(AE56,db_fifarank,2,FALSE)</f>
        <v>1877.32</v>
      </c>
      <c r="AR56" s="125">
        <f>AP56/AP60</f>
        <v>0.99912159378252063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1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4</v>
      </c>
      <c r="AW56" s="126" cm="1">
        <f t="array" ref="AW56">SUMPRODUCT(($E$7:$E$78=AE56)*($U$7:$U$78)*($G$7:$G$78))+SUMPRODUCT(($H$7:$H$78=AE56)*($U$7:$U$78)*($F$7:$F$78))</f>
        <v>4</v>
      </c>
      <c r="AX56" s="126">
        <f>AV56-AW56</f>
        <v>0</v>
      </c>
      <c r="AY56" s="126">
        <f>AX56-MIN(AX56:AX59)</f>
        <v>2</v>
      </c>
      <c r="AZ56" s="126">
        <f>AT56/AT60*1000+AU56/AU60*100+AY56/AY60*10+AV56/AV60</f>
        <v>504.57142857142856</v>
      </c>
      <c r="BA56" s="126">
        <f>AZ56/AZ60</f>
        <v>0.9896329504062763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2</v>
      </c>
      <c r="M57" s="31">
        <f>VLOOKUP(1,AD56:AN59,4,FALSE)</f>
        <v>0</v>
      </c>
      <c r="N57" s="31">
        <f>VLOOKUP(1,AD56:AN59,5,FALSE)</f>
        <v>1</v>
      </c>
      <c r="O57" s="31" t="str">
        <f>VLOOKUP(1,AD56:AN59,6,FALSE) &amp; " - " &amp; VLOOKUP(1,AD56:AN59,7,FALSE)</f>
        <v>10 - 4</v>
      </c>
      <c r="P57" s="32">
        <f>L57*3+M57</f>
        <v>6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11</v>
      </c>
      <c r="AN57" s="123">
        <f>AF57*3+AG57</f>
        <v>6</v>
      </c>
      <c r="AO57" s="123">
        <f>AN57/AN60*10+BA57</f>
        <v>9.5529359964776042</v>
      </c>
      <c r="AP57" s="123">
        <f>AO57*10000000+BI57*100+AM57/AM60*10+AI57/AI60*1++IF(AQ57=0,ROW(),AQ57)/2000000</f>
        <v>95529366.53127709</v>
      </c>
      <c r="AQ57" s="126">
        <f>VLOOKUP(AE57,db_fifarank,2,FALSE)</f>
        <v>1688.99</v>
      </c>
      <c r="AR57" s="125">
        <f>AP57/AP60</f>
        <v>0.9982724515740703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1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3</v>
      </c>
      <c r="AW57" s="126" cm="1">
        <f t="array" ref="AW57">SUMPRODUCT(($E$7:$E$78=AE57)*($U$7:$U$78)*($G$7:$G$78))+SUMPRODUCT(($H$7:$H$78=AE57)*($U$7:$U$78)*($F$7:$F$78))</f>
        <v>5</v>
      </c>
      <c r="AX57" s="126">
        <f>AV57-AW57</f>
        <v>-2</v>
      </c>
      <c r="AY57" s="126">
        <f>AX57-MIN(AX56:AX59)</f>
        <v>0</v>
      </c>
      <c r="AZ57" s="126">
        <f>AT57/AT60*1000+AU57/AU60*100+AY57/AY60*10+AV57/AV60</f>
        <v>500.42857142857144</v>
      </c>
      <c r="BA57" s="126">
        <f>AZ57/AZ60</f>
        <v>0.98150742504903343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2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9 - 4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11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7.845334827682824E-3</v>
      </c>
      <c r="AP58" s="123">
        <f>AO58*10000000+BI58*100+AM58/AM60*10+AI58/AI60*1++IF(AQ58=0,ROW(),AQ58)/2000000</f>
        <v>78453.349000398244</v>
      </c>
      <c r="AQ58" s="126">
        <f>VLOOKUP(AE58,db_fifarank,2,FALSE)</f>
        <v>1447.14</v>
      </c>
      <c r="AR58" s="125">
        <f>AP58/AP60</f>
        <v>8.1982975376667874E-4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2</v>
      </c>
      <c r="AZ58" s="126">
        <f>AT58/AT60*1000+AU58/AU60*100+AY58/AY60*10+AV58/AV60</f>
        <v>4</v>
      </c>
      <c r="BA58" s="126">
        <f>AZ58/AZ60</f>
        <v>7.845334827682824E-3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2</v>
      </c>
      <c r="M59" s="23">
        <f>VLOOKUP(3,AD56:AN59,4,FALSE)</f>
        <v>0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6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10</v>
      </c>
      <c r="AJ59" s="123">
        <f>SUMIF($E$7:$E$78,$AE59,$G$7:$G$78) + SUMIF($H$7:$H$78,$AE59,$F$7:$F$78)</f>
        <v>4</v>
      </c>
      <c r="AL59" s="123">
        <f>AI59-AJ59</f>
        <v>6</v>
      </c>
      <c r="AM59" s="123">
        <f>AL59-AL60</f>
        <v>17</v>
      </c>
      <c r="AN59" s="123">
        <f>AF59*3+AG59</f>
        <v>6</v>
      </c>
      <c r="AO59" s="123">
        <f>AN59/AN60*10+BA59</f>
        <v>9.5694672377216499</v>
      </c>
      <c r="AP59" s="123">
        <f>AO59*10000000+BI59*100+AM59/AM60*10+AI59/AI60*1++IF(AQ59=0,ROW(),AQ59)/2000000</f>
        <v>95694682.731527328</v>
      </c>
      <c r="AQ59" s="126">
        <f>VLOOKUP(AE59,db_fifarank,2,FALSE)</f>
        <v>1550.94</v>
      </c>
      <c r="AR59" s="125">
        <f>AP59/AP60</f>
        <v>0.99999998955009872</v>
      </c>
      <c r="AT59" s="126" cm="1">
        <f t="array" ref="AT59">SUMPRODUCT(($S$7:$S$78=AE59&amp;"_win")*($U$7:$U$78))+SUMPRODUCT(($T$7:$T$78=AE59&amp;"_win")*($U$7:$U$78))</f>
        <v>1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6</v>
      </c>
      <c r="AW59" s="126" cm="1">
        <f t="array" ref="AW59">SUMPRODUCT(($E$7:$E$78=AE59)*($U$7:$U$78)*($G$7:$G$78))+SUMPRODUCT(($H$7:$H$78=AE59)*($U$7:$U$78)*($F$7:$F$78))</f>
        <v>4</v>
      </c>
      <c r="AX59" s="126">
        <f>AV59-AW59</f>
        <v>2</v>
      </c>
      <c r="AY59" s="126">
        <f>AX59-MIN(AX56:AX59)</f>
        <v>4</v>
      </c>
      <c r="AZ59" s="126">
        <f>AT59/AT60*1000+AU59/AU60*100+AY59/AY60*10+AV59/AV60</f>
        <v>508.85714285714283</v>
      </c>
      <c r="BA59" s="126">
        <f>AZ59/AZ60</f>
        <v>0.99803866629307925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0 - 11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11</v>
      </c>
      <c r="AL60" s="123">
        <f>MIN(AL56:AL59)</f>
        <v>-11</v>
      </c>
      <c r="AM60" s="123">
        <f>MAX(AM56:AM59)+1</f>
        <v>18</v>
      </c>
      <c r="AN60" s="123">
        <f>MAX(AN56:AN59)+1</f>
        <v>7</v>
      </c>
      <c r="AO60" s="123">
        <f>MAX(AO56:AO59)+1</f>
        <v>10.56946723772165</v>
      </c>
      <c r="AP60" s="123">
        <f>MAX(AP56:AP59)+1</f>
        <v>95694683.731527328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7</v>
      </c>
      <c r="AW60" s="126">
        <f>MAX(AW56:AW59)-MIN(AW56:AW59)+1</f>
        <v>6</v>
      </c>
      <c r="AY60" s="126">
        <f>MAX(AY56:AY59)-MIN(AY56:AY59)+1</f>
        <v>5</v>
      </c>
      <c r="AZ60" s="126">
        <f>MAX(AZ56:AZ59)+1</f>
        <v>509.85714285714283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1</v>
      </c>
      <c r="V61" s="123">
        <f t="shared" si="21"/>
        <v>0</v>
      </c>
      <c r="W61" s="123">
        <f t="shared" si="22"/>
        <v>3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1</v>
      </c>
      <c r="V62" s="123">
        <f t="shared" si="21"/>
        <v>1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90000010.02474694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3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49805926.230324425</v>
      </c>
      <c r="AQ63" s="126">
        <f>VLOOKUP(AE63,db_fifarank,2,FALSE)</f>
        <v>1564.26</v>
      </c>
      <c r="AR63" s="125">
        <f>AP63/AP66</f>
        <v>0.55339911254710283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49805928.73033902</v>
      </c>
      <c r="AQ64" s="126">
        <f>VLOOKUP(AE64,db_fifarank,2,FALSE)</f>
        <v>1593.45</v>
      </c>
      <c r="AR64" s="125">
        <f>AP64/AP66</f>
        <v>0.55339914032503934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0.14355286785714286</v>
      </c>
      <c r="AQ65" s="126">
        <f>VLOOKUP(AE65,db_fifarank,2,FALSE)</f>
        <v>1391.45</v>
      </c>
      <c r="AR65" s="125">
        <f>AP65/AP66</f>
        <v>1.5950316696924704E-9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7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90000011.02474694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1</v>
      </c>
      <c r="V67" s="123">
        <f t="shared" si="21"/>
        <v>2</v>
      </c>
      <c r="W67" s="123">
        <f t="shared" si="22"/>
        <v>3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97305933.476455972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4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2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37500001.651532821</v>
      </c>
      <c r="AQ69" s="126">
        <f>VLOOKUP(AE69,db_fifarank,2,FALSE)</f>
        <v>1478.35</v>
      </c>
      <c r="AR69" s="125">
        <f>AP69/AP72</f>
        <v>0.38538247285016597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4 - 1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7.5295510386088099E-12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9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97305930.174833313</v>
      </c>
      <c r="AQ71" s="126">
        <f>VLOOKUP(AE71,db_fifarank,2,FALSE)</f>
        <v>1693.09</v>
      </c>
      <c r="AR71" s="125">
        <f>AP71/AP72</f>
        <v>0.99999995579280254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97305934.476455972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90000010.056468546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60000005.445302986</v>
      </c>
      <c r="AQ75" s="126">
        <f>VLOOKUP(AE75,db_fifarank,2,FALSE)</f>
        <v>1717.07</v>
      </c>
      <c r="AR75" s="125">
        <f>AP75/AP78</f>
        <v>0.66666664527026875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30000002.72289538</v>
      </c>
      <c r="AQ76" s="126">
        <f>VLOOKUP(AE76,db_fifarank,2,FALSE)</f>
        <v>1346.31</v>
      </c>
      <c r="AR76" s="125">
        <f>AP76/AP78</f>
        <v>0.33333332263784426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0.11188143111111111</v>
      </c>
      <c r="AQ77" s="126">
        <f>VLOOKUP(AE77,db_fifarank,2,FALSE)</f>
        <v>1540.64</v>
      </c>
      <c r="AR77" s="125">
        <f>AP77/AP78</f>
        <v>1.2431268596279787E-9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90000011.056468546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3423.8102744995235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6</v>
      </c>
      <c r="AD81" s="123">
        <f t="shared" ref="AD81:AD91" si="38">COUNTIF($AP$80:$AP$91,CONCATENATE("&gt;=",AP81))</f>
        <v>4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4852.3816798609523</v>
      </c>
      <c r="AQ81" s="126">
        <f t="shared" si="37"/>
        <v>1454.96</v>
      </c>
      <c r="AR81" s="125" t="str">
        <f>AR80&amp;IF(AD81&lt;=8,RIGHT(AK81,1),"")</f>
        <v>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6614.286463460714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3 - 5</v>
      </c>
      <c r="P83" s="101">
        <f t="shared" si="48"/>
        <v>4</v>
      </c>
      <c r="AD83" s="123">
        <f t="shared" si="38"/>
        <v>6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4652.3817041309512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Qatar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4835.7150522042857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11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4</v>
      </c>
      <c r="AJ85" s="123">
        <f t="shared" si="42"/>
        <v>7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1</v>
      </c>
      <c r="AP85" s="123">
        <f>AN85/AN92*10000+AM85/AM92*1000+AI85/AI92*100+IF(AQ85=0,ROW(),AQ85)/2000000</f>
        <v>1661.9055034297619</v>
      </c>
      <c r="AQ85" s="126">
        <f t="shared" si="37"/>
        <v>1483.05</v>
      </c>
      <c r="AR85" s="125" t="str">
        <f t="shared" si="50"/>
        <v>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Paraguay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4</v>
      </c>
      <c r="AJ86" s="123">
        <f t="shared" si="42"/>
        <v>8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1495.2387360230953</v>
      </c>
      <c r="AQ86" s="126">
        <f t="shared" si="37"/>
        <v>1281.57</v>
      </c>
      <c r="AR86" s="125" t="str">
        <f t="shared" si="50"/>
        <v>BCDE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4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4652.3816630959518</v>
      </c>
      <c r="AQ87" s="126">
        <f t="shared" si="37"/>
        <v>1421.43</v>
      </c>
      <c r="AR87" s="125" t="str">
        <f t="shared" si="50"/>
        <v>BCDEH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Senegal</v>
      </c>
      <c r="AF88" s="123">
        <f t="shared" si="39"/>
        <v>2</v>
      </c>
      <c r="AG88" s="123">
        <f t="shared" si="49"/>
        <v>0</v>
      </c>
      <c r="AH88" s="123">
        <f t="shared" si="40"/>
        <v>1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6</v>
      </c>
      <c r="AP88" s="123">
        <f>AN88/AN92*10000+AM88/AM92*1000+AI88/AI92*100+IF(AQ88=0,ROW(),AQ88)/2000000</f>
        <v>9321.4294159235706</v>
      </c>
      <c r="AQ88" s="126">
        <f t="shared" si="37"/>
        <v>1688.99</v>
      </c>
      <c r="AR88" s="125" t="str">
        <f t="shared" si="50"/>
        <v>BCDEHI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6097.6198297490464</v>
      </c>
      <c r="AQ89" s="126">
        <f t="shared" si="37"/>
        <v>1564.26</v>
      </c>
      <c r="AR89" s="125" t="str">
        <f t="shared" si="50"/>
        <v>BCDEHIJ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4319.0483582226179</v>
      </c>
      <c r="AQ90" s="126">
        <f t="shared" si="37"/>
        <v>1478.35</v>
      </c>
      <c r="AR90" s="125" t="str">
        <f t="shared" si="50"/>
        <v>BCDEHIJ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Tunisia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4652.3816255359516</v>
      </c>
      <c r="AQ91" s="126">
        <f t="shared" si="37"/>
        <v>1346.31</v>
      </c>
      <c r="AR91" s="125" t="str">
        <f t="shared" si="50"/>
        <v>BCDEHIJL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4 - 8</v>
      </c>
      <c r="P92" s="107">
        <f t="shared" si="48"/>
        <v>1</v>
      </c>
      <c r="AF92" s="123">
        <f>MAX(AF80:AF91)+1</f>
        <v>3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-4</v>
      </c>
      <c r="AM92" s="123">
        <f>MAX(AM80:AM91)+1</f>
        <v>6</v>
      </c>
      <c r="AN92" s="123">
        <f>MAX(AN80:AN91)+1</f>
        <v>7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Ecuador</v>
      </c>
      <c r="T95" s="127" t="str" cm="1">
        <f t="array" ref="T95">IF(OR(S95="",S95="draw"),INDEX(T,94,lang),S95)</f>
        <v>Ecuador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Ecuador</v>
      </c>
      <c r="T102" s="127" t="str" cm="1">
        <f t="array" ref="T102">IF(OR(S102="",S102="draw"),INDEX(T,98,lang),S102)</f>
        <v>Ecuador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134</v>
      </c>
      <c r="C3" s="121" t="str">
        <f>'2026 World Cup'!AR91</f>
        <v>BCDEHIJL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