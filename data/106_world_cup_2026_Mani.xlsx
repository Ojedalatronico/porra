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BF871A24-0DDD-4BD3-B00C-7086C29A3537}" xr6:coauthVersionLast="47" xr6:coauthVersionMax="47" xr10:uidLastSave="{00000000-0000-0000-0000-000000000000}"/>
  <bookViews>
    <workbookView xWindow="-120" yWindow="-120" windowWidth="38640" windowHeight="211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T43" i="3"/>
  <c r="S72" i="3"/>
  <c r="T19" i="3"/>
  <c r="T46" i="3"/>
  <c r="S70" i="3"/>
  <c r="S42" i="3"/>
  <c r="S64" i="3"/>
  <c r="S40" i="3"/>
  <c r="S62" i="3"/>
  <c r="T16" i="3"/>
  <c r="S38" i="3"/>
  <c r="S65" i="3"/>
  <c r="T37" i="3"/>
  <c r="S55" i="3"/>
  <c r="S57" i="3"/>
  <c r="T8" i="3"/>
  <c r="T3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10" i="3"/>
  <c r="AR9" i="3"/>
  <c r="AR28" i="3"/>
  <c r="AR11" i="3"/>
  <c r="AR33" i="3"/>
  <c r="AR34" i="3"/>
  <c r="AR35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5" i="3" l="1"/>
  <c r="M58" i="3"/>
  <c r="AD75" i="3"/>
  <c r="AD32" i="3"/>
  <c r="AD9" i="3"/>
  <c r="AD33" i="3"/>
  <c r="AD8" i="3"/>
  <c r="M59" i="3"/>
  <c r="AD15" i="3"/>
  <c r="L58" i="3"/>
  <c r="P58" i="3" s="1"/>
  <c r="AD22" i="3"/>
  <c r="O60" i="3"/>
  <c r="AD34" i="3"/>
  <c r="N58" i="3"/>
  <c r="AD11" i="3"/>
  <c r="AD10" i="3"/>
  <c r="AD21" i="3"/>
  <c r="AD29" i="3"/>
  <c r="AD20" i="3"/>
  <c r="AD77" i="3"/>
  <c r="AD70" i="3"/>
  <c r="L59" i="3"/>
  <c r="AD41" i="3"/>
  <c r="AD62" i="3"/>
  <c r="L63" i="3" s="1"/>
  <c r="AD26" i="3"/>
  <c r="AD44" i="3"/>
  <c r="AD74" i="3"/>
  <c r="AD76" i="3"/>
  <c r="AD14" i="3"/>
  <c r="AD28" i="3"/>
  <c r="AD71" i="3"/>
  <c r="AD47" i="3"/>
  <c r="AD63" i="3"/>
  <c r="AD68" i="3"/>
  <c r="O69" i="3" s="1"/>
  <c r="AD53" i="3"/>
  <c r="AD27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J33" i="3" l="1"/>
  <c r="AS32" i="3" s="1"/>
  <c r="BL10" i="3" s="1"/>
  <c r="M33" i="3"/>
  <c r="O33" i="3"/>
  <c r="L33" i="3"/>
  <c r="N33" i="3"/>
  <c r="K59" i="3"/>
  <c r="K58" i="3"/>
  <c r="O9" i="3"/>
  <c r="J75" i="3"/>
  <c r="AS74" i="3" s="1"/>
  <c r="BL54" i="3" s="1"/>
  <c r="N45" i="3"/>
  <c r="M51" i="3"/>
  <c r="N39" i="3"/>
  <c r="L9" i="3"/>
  <c r="J9" i="3"/>
  <c r="AS8" i="3" s="1"/>
  <c r="BL50" i="3" s="1"/>
  <c r="M9" i="3"/>
  <c r="N9" i="3"/>
  <c r="O35" i="3"/>
  <c r="N12" i="3"/>
  <c r="L10" i="3"/>
  <c r="J12" i="3"/>
  <c r="J36" i="3"/>
  <c r="N36" i="3"/>
  <c r="M36" i="3"/>
  <c r="O36" i="3"/>
  <c r="M12" i="3"/>
  <c r="L34" i="3"/>
  <c r="L36" i="3"/>
  <c r="O12" i="3"/>
  <c r="J35" i="3"/>
  <c r="AE84" i="3" s="1"/>
  <c r="AQ84" i="3" s="1"/>
  <c r="L12" i="3"/>
  <c r="M10" i="3"/>
  <c r="J18" i="3"/>
  <c r="J63" i="3"/>
  <c r="AS62" i="3" s="1"/>
  <c r="BL58" i="3" s="1"/>
  <c r="BS60" i="3" s="1"/>
  <c r="BZ64" i="3" s="1"/>
  <c r="O34" i="3"/>
  <c r="M35" i="3"/>
  <c r="N34" i="3"/>
  <c r="M34" i="3"/>
  <c r="L11" i="3"/>
  <c r="O63" i="3"/>
  <c r="N63" i="3"/>
  <c r="M63" i="3"/>
  <c r="P63" i="3" s="1"/>
  <c r="J27" i="3"/>
  <c r="AS26" i="3" s="1"/>
  <c r="BL34" i="3" s="1"/>
  <c r="O11" i="3"/>
  <c r="L35" i="3"/>
  <c r="J34" i="3"/>
  <c r="AS33" i="3" s="1"/>
  <c r="BL46" i="3" s="1"/>
  <c r="BS45" i="3" s="1"/>
  <c r="N35" i="3"/>
  <c r="N10" i="3"/>
  <c r="N24" i="3"/>
  <c r="J10" i="3"/>
  <c r="AS9" i="3" s="1"/>
  <c r="BL18" i="3" s="1"/>
  <c r="O10" i="3"/>
  <c r="P59" i="3"/>
  <c r="N11" i="3"/>
  <c r="J11" i="3"/>
  <c r="AE80" i="3" s="1"/>
  <c r="AQ80" i="3" s="1"/>
  <c r="M24" i="3"/>
  <c r="L24" i="3"/>
  <c r="M22" i="3"/>
  <c r="N17" i="3"/>
  <c r="M21" i="3"/>
  <c r="J22" i="3"/>
  <c r="AS21" i="3" s="1"/>
  <c r="BL23" i="3" s="1"/>
  <c r="L23" i="3"/>
  <c r="N21" i="3"/>
  <c r="O24" i="3"/>
  <c r="M11" i="3"/>
  <c r="N22" i="3"/>
  <c r="L22" i="3"/>
  <c r="J21" i="3"/>
  <c r="AS20" i="3" s="1"/>
  <c r="BL42" i="3" s="1"/>
  <c r="BS44" i="3" s="1"/>
  <c r="O22" i="3"/>
  <c r="O21" i="3"/>
  <c r="L21" i="3"/>
  <c r="J24" i="3"/>
  <c r="O75" i="3"/>
  <c r="L78" i="3"/>
  <c r="L75" i="3"/>
  <c r="O30" i="3"/>
  <c r="O76" i="3"/>
  <c r="O27" i="3"/>
  <c r="L27" i="3"/>
  <c r="M27" i="3"/>
  <c r="M69" i="3"/>
  <c r="N27" i="3"/>
  <c r="J45" i="3"/>
  <c r="AS44" i="3" s="1"/>
  <c r="BL38" i="3" s="1"/>
  <c r="M75" i="3"/>
  <c r="J76" i="3"/>
  <c r="AS75" i="3" s="1"/>
  <c r="BL27" i="3" s="1"/>
  <c r="N75" i="3"/>
  <c r="M45" i="3"/>
  <c r="J16" i="3"/>
  <c r="AS15" i="3" s="1"/>
  <c r="BL19" i="3" s="1"/>
  <c r="N78" i="3"/>
  <c r="M78" i="3"/>
  <c r="L76" i="3"/>
  <c r="N77" i="3"/>
  <c r="M76" i="3"/>
  <c r="L18" i="3"/>
  <c r="M16" i="3"/>
  <c r="M77" i="3"/>
  <c r="O18" i="3"/>
  <c r="M48" i="3"/>
  <c r="O78" i="3"/>
  <c r="J78" i="3"/>
  <c r="J77" i="3"/>
  <c r="AE91" i="3" s="1"/>
  <c r="AQ91" i="3" s="1"/>
  <c r="N76" i="3"/>
  <c r="O45" i="3"/>
  <c r="O16" i="3"/>
  <c r="O65" i="3"/>
  <c r="L45" i="3"/>
  <c r="O17" i="3"/>
  <c r="O77" i="3"/>
  <c r="N16" i="3"/>
  <c r="L77" i="3"/>
  <c r="M18" i="3"/>
  <c r="L69" i="3"/>
  <c r="L17" i="3"/>
  <c r="L51" i="3"/>
  <c r="M47" i="3"/>
  <c r="N18" i="3"/>
  <c r="J42" i="3"/>
  <c r="N46" i="3"/>
  <c r="M72" i="3"/>
  <c r="J69" i="3"/>
  <c r="AS68" i="3" s="1"/>
  <c r="BL70" i="3" s="1"/>
  <c r="N69" i="3"/>
  <c r="L16" i="3"/>
  <c r="L48" i="3"/>
  <c r="J46" i="3"/>
  <c r="AS45" i="3" s="1"/>
  <c r="BL63" i="3" s="1"/>
  <c r="O48" i="3"/>
  <c r="M65" i="3"/>
  <c r="N48" i="3"/>
  <c r="L65" i="3"/>
  <c r="L46" i="3"/>
  <c r="N65" i="3"/>
  <c r="J65" i="3"/>
  <c r="AE89" i="3" s="1"/>
  <c r="AQ89" i="3" s="1"/>
  <c r="L47" i="3"/>
  <c r="M17" i="3"/>
  <c r="O72" i="3"/>
  <c r="N47" i="3"/>
  <c r="O70" i="3"/>
  <c r="N72" i="3"/>
  <c r="O46" i="3"/>
  <c r="L39" i="3"/>
  <c r="M30" i="3"/>
  <c r="O42" i="3"/>
  <c r="N71" i="3"/>
  <c r="L71" i="3"/>
  <c r="J70" i="3"/>
  <c r="AS69" i="3" s="1"/>
  <c r="BL26" i="3" s="1"/>
  <c r="N70" i="3"/>
  <c r="O47" i="3"/>
  <c r="J47" i="3"/>
  <c r="AE86" i="3" s="1"/>
  <c r="AQ86" i="3" s="1"/>
  <c r="J71" i="3"/>
  <c r="AE90" i="3" s="1"/>
  <c r="AQ90" i="3" s="1"/>
  <c r="M70" i="3"/>
  <c r="M46" i="3"/>
  <c r="J48" i="3"/>
  <c r="AN88" i="3"/>
  <c r="L70" i="3"/>
  <c r="O39" i="3"/>
  <c r="L72" i="3"/>
  <c r="P72" i="3" s="1"/>
  <c r="J39" i="3"/>
  <c r="AS38" i="3" s="1"/>
  <c r="BL22" i="3" s="1"/>
  <c r="O71" i="3"/>
  <c r="M71" i="3"/>
  <c r="J29" i="3"/>
  <c r="AE83" i="3" s="1"/>
  <c r="AQ83" i="3" s="1"/>
  <c r="J72" i="3"/>
  <c r="M39" i="3"/>
  <c r="O51" i="3"/>
  <c r="M28" i="3"/>
  <c r="J28" i="3"/>
  <c r="AS27" i="3" s="1"/>
  <c r="BL62" i="3" s="1"/>
  <c r="BS61" i="3" s="1"/>
  <c r="L40" i="3"/>
  <c r="O28" i="3"/>
  <c r="J30" i="3"/>
  <c r="L42" i="3"/>
  <c r="L28" i="3"/>
  <c r="O29" i="3"/>
  <c r="O40" i="3"/>
  <c r="L29" i="3"/>
  <c r="M40" i="3"/>
  <c r="N29" i="3"/>
  <c r="N30" i="3"/>
  <c r="AJ88" i="3"/>
  <c r="J41" i="3"/>
  <c r="AE85" i="3" s="1"/>
  <c r="AQ85" i="3" s="1"/>
  <c r="N28" i="3"/>
  <c r="M29" i="3"/>
  <c r="AI88" i="3"/>
  <c r="L30" i="3"/>
  <c r="AF88" i="3"/>
  <c r="O23" i="3"/>
  <c r="N40" i="3"/>
  <c r="M54" i="3"/>
  <c r="M66" i="3"/>
  <c r="N52" i="3"/>
  <c r="L66" i="3"/>
  <c r="O54" i="3"/>
  <c r="P57" i="3"/>
  <c r="N53" i="3"/>
  <c r="L54" i="3"/>
  <c r="O64" i="3"/>
  <c r="J52" i="3"/>
  <c r="AS51" i="3" s="1"/>
  <c r="BL59" i="3" s="1"/>
  <c r="J64" i="3"/>
  <c r="AS63" i="3" s="1"/>
  <c r="BL31" i="3" s="1"/>
  <c r="N64" i="3"/>
  <c r="J51" i="3"/>
  <c r="AS50" i="3" s="1"/>
  <c r="BL30" i="3" s="1"/>
  <c r="M41" i="3"/>
  <c r="N54" i="3"/>
  <c r="M64" i="3"/>
  <c r="N51" i="3"/>
  <c r="M42" i="3"/>
  <c r="J40" i="3"/>
  <c r="AS39" i="3" s="1"/>
  <c r="BL43" i="3" s="1"/>
  <c r="L15" i="3"/>
  <c r="AT88" i="3"/>
  <c r="J66" i="3"/>
  <c r="L64" i="3"/>
  <c r="O66" i="3"/>
  <c r="N66" i="3"/>
  <c r="AG88" i="3"/>
  <c r="K5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BZ48" i="3" l="1"/>
  <c r="S91" i="3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6" i="3"/>
  <c r="T86" i="3" s="1" a="1"/>
  <c r="T86" i="3" s="1"/>
  <c r="BS28" i="3"/>
  <c r="S87" i="3"/>
  <c r="T87" i="3" s="1" a="1"/>
  <c r="T87" i="3" s="1"/>
  <c r="BS29" i="3"/>
  <c r="S88" i="3"/>
  <c r="T88" i="3" s="1" a="1"/>
  <c r="T88" i="3" s="1"/>
  <c r="BS20" i="3"/>
  <c r="P33" i="3"/>
  <c r="K33" i="3"/>
  <c r="P51" i="3"/>
  <c r="AL84" i="3"/>
  <c r="AJ84" i="3"/>
  <c r="K10" i="3"/>
  <c r="P10" i="3"/>
  <c r="P9" i="3"/>
  <c r="P34" i="3"/>
  <c r="P36" i="3"/>
  <c r="K9" i="3"/>
  <c r="P35" i="3"/>
  <c r="P12" i="3"/>
  <c r="K63" i="3"/>
  <c r="AI84" i="3"/>
  <c r="K12" i="3"/>
  <c r="AG84" i="3"/>
  <c r="AF84" i="3"/>
  <c r="K36" i="3"/>
  <c r="AH84" i="3"/>
  <c r="AT84" i="3"/>
  <c r="AN84" i="3"/>
  <c r="K34" i="3"/>
  <c r="P11" i="3"/>
  <c r="P78" i="3"/>
  <c r="K11" i="3"/>
  <c r="AJ80" i="3"/>
  <c r="K35" i="3"/>
  <c r="AF90" i="3"/>
  <c r="P27" i="3"/>
  <c r="K24" i="3"/>
  <c r="AI80" i="3"/>
  <c r="AH80" i="3"/>
  <c r="P21" i="3"/>
  <c r="AF80" i="3"/>
  <c r="AG80" i="3"/>
  <c r="AT80" i="3"/>
  <c r="AN80" i="3"/>
  <c r="AL80" i="3"/>
  <c r="K21" i="3"/>
  <c r="P22" i="3"/>
  <c r="K22" i="3"/>
  <c r="P24" i="3"/>
  <c r="AL91" i="3"/>
  <c r="AT91" i="3"/>
  <c r="AN91" i="3"/>
  <c r="AJ91" i="3"/>
  <c r="AI91" i="3"/>
  <c r="AH91" i="3"/>
  <c r="K45" i="3"/>
  <c r="P18" i="3"/>
  <c r="AG91" i="3"/>
  <c r="P40" i="3"/>
  <c r="P69" i="3"/>
  <c r="P70" i="3"/>
  <c r="AF91" i="3"/>
  <c r="K27" i="3"/>
  <c r="AN90" i="3"/>
  <c r="P75" i="3"/>
  <c r="P23" i="3"/>
  <c r="K78" i="3"/>
  <c r="AG89" i="3"/>
  <c r="K51" i="3"/>
  <c r="P46" i="3"/>
  <c r="K76" i="3"/>
  <c r="P65" i="3"/>
  <c r="K77" i="3"/>
  <c r="P77" i="3"/>
  <c r="K75" i="3"/>
  <c r="K39" i="3"/>
  <c r="AJ85" i="3"/>
  <c r="P41" i="3"/>
  <c r="AL85" i="3"/>
  <c r="K46" i="3"/>
  <c r="AG85" i="3"/>
  <c r="P76" i="3"/>
  <c r="AF85" i="3"/>
  <c r="AT90" i="3"/>
  <c r="AH85" i="3"/>
  <c r="AL90" i="3"/>
  <c r="K18" i="3"/>
  <c r="P17" i="3"/>
  <c r="K69" i="3"/>
  <c r="AI85" i="3"/>
  <c r="AJ90" i="3"/>
  <c r="AI90" i="3"/>
  <c r="AT85" i="3"/>
  <c r="AH90" i="3"/>
  <c r="P45" i="3"/>
  <c r="AN85" i="3"/>
  <c r="AG90" i="3"/>
  <c r="K72" i="3"/>
  <c r="P39" i="3"/>
  <c r="K48" i="3"/>
  <c r="K16" i="3"/>
  <c r="K30" i="3"/>
  <c r="K28" i="3"/>
  <c r="K70" i="3"/>
  <c r="K65" i="3"/>
  <c r="K54" i="3"/>
  <c r="P47" i="3"/>
  <c r="AT82" i="3"/>
  <c r="AL87" i="3"/>
  <c r="P42" i="3"/>
  <c r="P48" i="3"/>
  <c r="P16" i="3"/>
  <c r="P66" i="3"/>
  <c r="AN87" i="3"/>
  <c r="AN82" i="3"/>
  <c r="AJ87" i="3"/>
  <c r="AN86" i="3"/>
  <c r="K47" i="3"/>
  <c r="AF89" i="3"/>
  <c r="K42" i="3"/>
  <c r="K15" i="3"/>
  <c r="P71" i="3"/>
  <c r="AG82" i="3"/>
  <c r="P30" i="3"/>
  <c r="AH82" i="3"/>
  <c r="AT89" i="3"/>
  <c r="P28" i="3"/>
  <c r="AN89" i="3"/>
  <c r="K17" i="3"/>
  <c r="AL89" i="3"/>
  <c r="AJ89" i="3"/>
  <c r="AI89" i="3"/>
  <c r="AH89" i="3"/>
  <c r="P64" i="3"/>
  <c r="AJ86" i="3"/>
  <c r="AJ82" i="3"/>
  <c r="AT83" i="3"/>
  <c r="AH86" i="3"/>
  <c r="K71" i="3"/>
  <c r="AI82" i="3"/>
  <c r="AN83" i="3"/>
  <c r="AG86" i="3"/>
  <c r="AT87" i="3"/>
  <c r="AI86" i="3"/>
  <c r="AL83" i="3"/>
  <c r="AF86" i="3"/>
  <c r="AJ83" i="3"/>
  <c r="AF82" i="3"/>
  <c r="AH83" i="3"/>
  <c r="AH87" i="3"/>
  <c r="AI83" i="3"/>
  <c r="AG87" i="3"/>
  <c r="P15" i="3"/>
  <c r="K66" i="3"/>
  <c r="P54" i="3"/>
  <c r="AL86" i="3"/>
  <c r="AG83" i="3"/>
  <c r="AF83" i="3"/>
  <c r="AT86" i="3"/>
  <c r="K64" i="3"/>
  <c r="K40" i="3"/>
  <c r="K29" i="3"/>
  <c r="P29" i="3"/>
  <c r="AF87" i="3"/>
  <c r="K41" i="3"/>
  <c r="P53" i="3"/>
  <c r="K23" i="3"/>
  <c r="AL81" i="3"/>
  <c r="AJ81" i="3"/>
  <c r="AI81" i="3"/>
  <c r="AH81" i="3"/>
  <c r="K53" i="3"/>
  <c r="AT81" i="3"/>
  <c r="AG81" i="3"/>
  <c r="AN81" i="3"/>
  <c r="AF81" i="3"/>
  <c r="P52" i="3"/>
  <c r="AL82" i="3"/>
  <c r="AI87" i="3"/>
  <c r="K52" i="3"/>
  <c r="S97" i="3" l="1"/>
  <c r="T97" i="3" s="1" a="1"/>
  <c r="T97" i="3" s="1"/>
  <c r="BZ32" i="3"/>
  <c r="S98" i="3"/>
  <c r="T98" i="3" s="1" a="1"/>
  <c r="T98" i="3" s="1"/>
  <c r="BZ33" i="3"/>
  <c r="U103" i="3" s="1"/>
  <c r="AC103" i="3" s="1" a="1"/>
  <c r="AC103" i="3" s="1"/>
  <c r="BZ17" i="3"/>
  <c r="U102" i="3" s="1"/>
  <c r="AC102" i="3" s="1" a="1"/>
  <c r="AC102" i="3" s="1"/>
  <c r="S96" i="3"/>
  <c r="T96" i="3" s="1" a="1"/>
  <c r="T96" i="3" s="1"/>
  <c r="AS92" i="3"/>
  <c r="AH92" i="3"/>
  <c r="AN92" i="3"/>
  <c r="AJ92" i="3"/>
  <c r="AF92" i="3"/>
  <c r="AG92" i="3"/>
  <c r="AL92" i="3"/>
  <c r="AM88" i="3" s="1"/>
  <c r="AI92" i="3"/>
  <c r="S103" i="3" l="1"/>
  <c r="T103" i="3" s="1" a="1"/>
  <c r="T103" i="3" s="1"/>
  <c r="CG24" i="3"/>
  <c r="AM89" i="3"/>
  <c r="AM80" i="3"/>
  <c r="AM82" i="3"/>
  <c r="AM90" i="3"/>
  <c r="AM84" i="3"/>
  <c r="AM91" i="3"/>
  <c r="AM83" i="3"/>
  <c r="AM87" i="3"/>
  <c r="AM81" i="3"/>
  <c r="AM85" i="3"/>
  <c r="AM86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5" i="3"/>
  <c r="AP83" i="3"/>
  <c r="AP88" i="3"/>
  <c r="AP91" i="3"/>
  <c r="AP82" i="3"/>
  <c r="AP90" i="3"/>
  <c r="AP89" i="3"/>
  <c r="AP84" i="3"/>
  <c r="AP86" i="3"/>
  <c r="AP81" i="3"/>
  <c r="AP80" i="3"/>
  <c r="CN37" i="3" l="1"/>
  <c r="CK68" i="3" s="1"/>
  <c r="CN48" i="3"/>
  <c r="AD90" i="3"/>
  <c r="AS90" i="3" s="1"/>
  <c r="AD85" i="3"/>
  <c r="AS85" i="3" s="1"/>
  <c r="AD83" i="3"/>
  <c r="AS83" i="3" s="1"/>
  <c r="AD80" i="3"/>
  <c r="AR80" i="3" s="1"/>
  <c r="AD88" i="3"/>
  <c r="AS88" i="3" s="1"/>
  <c r="AD91" i="3"/>
  <c r="AS91" i="3" s="1"/>
  <c r="AD84" i="3"/>
  <c r="AS84" i="3" s="1"/>
  <c r="AD81" i="3"/>
  <c r="AS81" i="3" s="1"/>
  <c r="AD87" i="3"/>
  <c r="AS87" i="3" s="1"/>
  <c r="AD82" i="3"/>
  <c r="AS82" i="3" s="1"/>
  <c r="AD86" i="3"/>
  <c r="AS86" i="3" s="1"/>
  <c r="AD89" i="3"/>
  <c r="AS89" i="3" s="1"/>
  <c r="AS80" i="3" l="1"/>
  <c r="N81" i="3"/>
  <c r="M81" i="3"/>
  <c r="O81" i="3"/>
  <c r="J81" i="3"/>
  <c r="L81" i="3"/>
  <c r="J92" i="3"/>
  <c r="M82" i="3"/>
  <c r="L92" i="3"/>
  <c r="O90" i="3"/>
  <c r="J90" i="3"/>
  <c r="J82" i="3"/>
  <c r="N92" i="3"/>
  <c r="L90" i="3"/>
  <c r="J85" i="3"/>
  <c r="M86" i="3"/>
  <c r="O85" i="3"/>
  <c r="J87" i="3"/>
  <c r="L88" i="3"/>
  <c r="L87" i="3"/>
  <c r="J84" i="3"/>
  <c r="J89" i="3"/>
  <c r="N88" i="3"/>
  <c r="L84" i="3"/>
  <c r="O88" i="3"/>
  <c r="N85" i="3"/>
  <c r="M89" i="3"/>
  <c r="N89" i="3"/>
  <c r="L89" i="3"/>
  <c r="O89" i="3"/>
  <c r="O84" i="3"/>
  <c r="N91" i="3"/>
  <c r="N90" i="3"/>
  <c r="L85" i="3"/>
  <c r="M83" i="3"/>
  <c r="M87" i="3"/>
  <c r="O82" i="3"/>
  <c r="J88" i="3"/>
  <c r="J91" i="3"/>
  <c r="N83" i="3"/>
  <c r="L83" i="3"/>
  <c r="M91" i="3"/>
  <c r="O91" i="3"/>
  <c r="M85" i="3"/>
  <c r="M84" i="3"/>
  <c r="N87" i="3"/>
  <c r="N84" i="3"/>
  <c r="J83" i="3"/>
  <c r="L86" i="3"/>
  <c r="O92" i="3"/>
  <c r="J86" i="3"/>
  <c r="O83" i="3"/>
  <c r="N86" i="3"/>
  <c r="M88" i="3"/>
  <c r="O86" i="3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92" i="3"/>
  <c r="M90" i="3"/>
  <c r="L82" i="3"/>
  <c r="N82" i="3"/>
  <c r="L91" i="3"/>
  <c r="O87" i="3"/>
  <c r="P92" i="3" l="1"/>
  <c r="P86" i="3"/>
  <c r="K81" i="3"/>
  <c r="P81" i="3"/>
  <c r="K89" i="3"/>
  <c r="K90" i="3"/>
  <c r="P83" i="3"/>
  <c r="P84" i="3"/>
  <c r="K92" i="3"/>
  <c r="K88" i="3"/>
  <c r="P90" i="3"/>
  <c r="P85" i="3"/>
  <c r="P87" i="3"/>
  <c r="K87" i="3"/>
  <c r="K86" i="3"/>
  <c r="K82" i="3"/>
  <c r="K83" i="3"/>
  <c r="K91" i="3"/>
  <c r="K85" i="3"/>
  <c r="P88" i="3"/>
  <c r="P89" i="3"/>
  <c r="K3" i="4"/>
  <c r="BL55" i="3" s="1"/>
  <c r="BS53" i="3" s="1"/>
  <c r="P91" i="3"/>
  <c r="D3" i="4"/>
  <c r="BL51" i="3" s="1"/>
  <c r="BS52" i="3" s="1"/>
  <c r="J3" i="4"/>
  <c r="BL71" i="3" s="1"/>
  <c r="B3" i="4"/>
  <c r="K84" i="3"/>
  <c r="G3" i="4"/>
  <c r="BL11" i="3" s="1"/>
  <c r="P82" i="3"/>
  <c r="I3" i="4"/>
  <c r="BL15" i="3" s="1"/>
  <c r="E3" i="4"/>
  <c r="BL67" i="3" s="1"/>
  <c r="H3" i="4"/>
  <c r="BL39" i="3" s="1"/>
  <c r="BS69" i="3"/>
  <c r="BZ65" i="3" s="1"/>
  <c r="CG56" i="3" s="1"/>
  <c r="CN3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<sst xmlns="http://schemas.openxmlformats.org/spreadsheetml/2006/main" count="9785" uniqueCount="3699">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</sst>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BR40" sqref="BR40:BV40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3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0</v>
      </c>
      <c r="AH8" s="123">
        <f>COUNTIF($S$7:$T$78,"=" &amp; AE8 &amp; "_lose")</f>
        <v>2</v>
      </c>
      <c r="AI8" s="123">
        <f>SUMIF($E$7:$E$78,$AE8,$F$7:$F$78) + SUMIF($H$7:$H$78,$AE8,$G$7:$G$78)</f>
        <v>3</v>
      </c>
      <c r="AJ8" s="123">
        <f>SUMIF($E$7:$E$78,$AE8,$G$7:$G$78) + SUMIF($H$7:$H$78,$AE8,$F$7:$F$78)</f>
        <v>4</v>
      </c>
      <c r="AL8" s="123">
        <f>AI8-AJ8</f>
        <v>-1</v>
      </c>
      <c r="AM8" s="123">
        <f>AL8-AL12</f>
        <v>2</v>
      </c>
      <c r="AN8" s="123">
        <f>AF8*3+AG8</f>
        <v>3</v>
      </c>
      <c r="AO8" s="123">
        <f>AN8/AN12*10+BA8</f>
        <v>3.75</v>
      </c>
      <c r="AP8" s="123">
        <f>AO8*10000000+BI8*100+AM8/AM12*10+AI8/AI12*1++IF(AQ8=0,ROW(),AQ8)/2000000</f>
        <v>37500003.357983373</v>
      </c>
      <c r="AQ8" s="126">
        <f>VLOOKUP(AE8,db_fifarank,2,FALSE)</f>
        <v>1681.03</v>
      </c>
      <c r="AR8" s="125">
        <f>AP8/AP12</f>
        <v>0.42857141598260695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3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6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12500000.500714865</v>
      </c>
      <c r="AQ9" s="126">
        <f>VLOOKUP(AE9,db_fifarank,2,FALSE)</f>
        <v>1429.73</v>
      </c>
      <c r="AR9" s="125">
        <f>AP9/AP12</f>
        <v>0.14285713159100782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3</v>
      </c>
      <c r="AL10" s="123">
        <f>AI10-AJ10</f>
        <v>1</v>
      </c>
      <c r="AM10" s="123">
        <f>AL10-AL12</f>
        <v>4</v>
      </c>
      <c r="AN10" s="123">
        <f>AF10*3+AG10</f>
        <v>5</v>
      </c>
      <c r="AO10" s="123">
        <f>AN10/AN12*10+BA10</f>
        <v>6.25</v>
      </c>
      <c r="AP10" s="123">
        <f>AO10*10000000+BI10*100+AM10/AM12*10+AI10/AI12*1++IF(AQ10=0,ROW(),AQ10)/2000000</f>
        <v>62500006.381746709</v>
      </c>
      <c r="AQ10" s="126">
        <f>VLOOKUP(AE10,db_fifarank,2,FALSE)</f>
        <v>1588.66</v>
      </c>
      <c r="AR10" s="125">
        <f>AP10/AP12</f>
        <v>0.71428570227700394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Ivory Coast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Mexico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3 - 4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1</v>
      </c>
      <c r="AH11" s="123">
        <f>COUNTIF($S$7:$T$78,"=" &amp; AE11 &amp; "_lose")</f>
        <v>0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2</v>
      </c>
      <c r="AL11" s="123">
        <f>AI11-AJ11</f>
        <v>3</v>
      </c>
      <c r="AM11" s="123">
        <f>AL11-AL12</f>
        <v>6</v>
      </c>
      <c r="AN11" s="123">
        <f>AF11*3+AG11</f>
        <v>7</v>
      </c>
      <c r="AO11" s="123">
        <f>AN11/AN12*10+BA11</f>
        <v>8.75</v>
      </c>
      <c r="AP11" s="123">
        <f>AO11*10000000+BI11*100+AM11/AM12*10+AI11/AI12*1++IF(AQ11=0,ROW(),AQ11)/2000000</f>
        <v>87500009.405512586</v>
      </c>
      <c r="AQ11" s="126">
        <f>VLOOKUP(AE11,db_fifarank,2,FALSE)</f>
        <v>1501.38</v>
      </c>
      <c r="AR11" s="125">
        <f>AP11/AP12</f>
        <v>0.99999998857142991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3 - 6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6</v>
      </c>
      <c r="AL12" s="123">
        <f>MIN(AL8:AL11)</f>
        <v>-3</v>
      </c>
      <c r="AM12" s="123">
        <f>MAX(AM8:AM11)+1</f>
        <v>7</v>
      </c>
      <c r="AN12" s="123">
        <f>MAX(AN8:AN11)+1</f>
        <v>8</v>
      </c>
      <c r="AO12" s="123">
        <f>MAX(AO8:AO11)+1</f>
        <v>9.75</v>
      </c>
      <c r="AP12" s="123">
        <f>MAX(AP8:AP11)+1</f>
        <v>87500010.405512586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Ivory Coast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0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2</v>
      </c>
      <c r="AH14" s="123">
        <f>COUNTIF($S$7:$T$78,"=" &amp; AE14 &amp; "_lose")</f>
        <v>1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4</v>
      </c>
      <c r="AL14" s="123">
        <f>AI14-AJ14</f>
        <v>-3</v>
      </c>
      <c r="AM14" s="123">
        <f>AL14-AL18</f>
        <v>2</v>
      </c>
      <c r="AN14" s="123">
        <f>AF14*3+AG14</f>
        <v>2</v>
      </c>
      <c r="AO14" s="123">
        <f>AN14/AN18*10+BA14</f>
        <v>2.5</v>
      </c>
      <c r="AP14" s="123">
        <f>AO14*10000000+BI14*100+AM14/AM18*10+AI14/AI18*1++IF(AQ14=0,ROW(),AQ14)/2000000</f>
        <v>25000001.943960056</v>
      </c>
      <c r="AQ14" s="126">
        <f>VLOOKUP(AE14,db_fifarank,2,FALSE)</f>
        <v>1556.48</v>
      </c>
      <c r="AR14" s="125">
        <f>AP14/AP18</f>
        <v>0.28571427212166106</v>
      </c>
      <c r="AS14" s="125" t="str">
        <f>IF(SUM(AF14:AH17)=12,J15,"1B")</f>
        <v>Bosnia and Herzegovina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Bosnia and Herzegovina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1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1</v>
      </c>
      <c r="AH15" s="123">
        <f>COUNTIF($S$7:$T$78,"=" &amp; AE15 &amp; "_lose")</f>
        <v>0</v>
      </c>
      <c r="AI15" s="123">
        <f>SUMIF($E$7:$E$78,$AE15,$F$7:$F$78) + SUMIF($H$7:$H$78,$AE15,$G$7:$G$78)</f>
        <v>7</v>
      </c>
      <c r="AJ15" s="123">
        <f>SUMIF($E$7:$E$78,$AE15,$G$7:$G$78) + SUMIF($H$7:$H$78,$AE15,$F$7:$F$78)</f>
        <v>2</v>
      </c>
      <c r="AL15" s="123">
        <f>AI15-AJ15</f>
        <v>5</v>
      </c>
      <c r="AM15" s="123">
        <f>AL15-AL18</f>
        <v>10</v>
      </c>
      <c r="AN15" s="123">
        <f>AF15*3+AG15</f>
        <v>7</v>
      </c>
      <c r="AO15" s="123">
        <f>AN15/AN18*10+BA15</f>
        <v>8.75</v>
      </c>
      <c r="AP15" s="123">
        <f>AO15*10000000+BI15*100+AM15/AM18*10+AI15/AI18*1++IF(AQ15=0,ROW(),AQ15)/2000000</f>
        <v>87500009.966602013</v>
      </c>
      <c r="AQ15" s="126">
        <f>VLOOKUP(AE15,db_fifarank,2,FALSE)</f>
        <v>1385.84</v>
      </c>
      <c r="AR15" s="125">
        <f>AP15/AP18</f>
        <v>0.99999998857143002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Tunisia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8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6 - 3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1</v>
      </c>
      <c r="AO16" s="123">
        <f>AN16/AN18*10+BA16</f>
        <v>1.25</v>
      </c>
      <c r="AP16" s="123">
        <f>AO16*10000000+BI16*100+AM16/AM18*10+AI16/AI18*1++IF(AQ16=0,ROW(),AQ16)/2000000</f>
        <v>12500000.00072748</v>
      </c>
      <c r="AQ16" s="126">
        <f>VLOOKUP(AE16,db_fifarank,2,FALSE)</f>
        <v>1454.96</v>
      </c>
      <c r="AR16" s="125">
        <f>AP16/AP18</f>
        <v>0.1428571249608028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1 - 4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3</v>
      </c>
      <c r="AL17" s="123">
        <f>AI17-AJ17</f>
        <v>3</v>
      </c>
      <c r="AM17" s="123">
        <f>AL17-AL18</f>
        <v>8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62500008.023551971</v>
      </c>
      <c r="AQ17" s="126">
        <f>VLOOKUP(AE17,db_fifarank,2,FALSE)</f>
        <v>1649.4</v>
      </c>
      <c r="AR17" s="125">
        <f>AP17/AP18</f>
        <v>0.71428571646016914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0</v>
      </c>
      <c r="G18" s="20">
        <v>2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0 - 5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3</v>
      </c>
      <c r="AI18" s="123">
        <f>MAX(AI14:AI17)+1</f>
        <v>8</v>
      </c>
      <c r="AL18" s="123">
        <f>MIN(AL14:AL17)</f>
        <v>-5</v>
      </c>
      <c r="AM18" s="123">
        <f>MAX(AM14:AM17)+1</f>
        <v>11</v>
      </c>
      <c r="AN18" s="123">
        <f>MAX(AN14:AN17)+1</f>
        <v>8</v>
      </c>
      <c r="AO18" s="123">
        <f>MAX(AO14:AO17)+1</f>
        <v>9.75</v>
      </c>
      <c r="AP18" s="123">
        <f>MAX(AP14:AP17)+1</f>
        <v>87500010.966602013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2</v>
      </c>
      <c r="AL20" s="123">
        <f>AI20-AJ20</f>
        <v>5</v>
      </c>
      <c r="AM20" s="123">
        <f>AL20-AL24</f>
        <v>14</v>
      </c>
      <c r="AN20" s="123">
        <f>AF20*3+AG20</f>
        <v>7</v>
      </c>
      <c r="AO20" s="123">
        <f>AN20/AN24*10+BA20</f>
        <v>8.75</v>
      </c>
      <c r="AP20" s="123">
        <f>AO20*10000000+BI20*100+AM20/AM24*10+AI20/AI24*1++IF(AQ20=0,ROW(),AQ20)/2000000</f>
        <v>87500010.209213912</v>
      </c>
      <c r="AQ20" s="126">
        <f>VLOOKUP(AE20,db_fifarank,2,FALSE)</f>
        <v>1761.16</v>
      </c>
      <c r="AR20" s="125">
        <f>AP20/AP24</f>
        <v>0.99999998857143002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1</v>
      </c>
      <c r="AL21" s="123">
        <f>AI21-AJ21</f>
        <v>3</v>
      </c>
      <c r="AM21" s="123">
        <f>AL21-AL24</f>
        <v>12</v>
      </c>
      <c r="AN21" s="123">
        <f>AF21*3+AG21</f>
        <v>6</v>
      </c>
      <c r="AO21" s="123">
        <f>AN21/AN24*10+BA21</f>
        <v>7.5</v>
      </c>
      <c r="AP21" s="123">
        <f>AO21*10000000+BI21*100+AM21/AM24*10+AI21/AI24*1++IF(AQ21=0,ROW(),AQ21)/2000000</f>
        <v>75000008.500877932</v>
      </c>
      <c r="AQ21" s="126">
        <f>VLOOKUP(AE21,db_fifarank,2,FALSE)</f>
        <v>1755.87</v>
      </c>
      <c r="AR21" s="125">
        <f>AP21/AP24</f>
        <v>0.85714284449120492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0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4 - 1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Belgium_lose</v>
      </c>
      <c r="T22" s="127" t="str">
        <f t="shared" si="2"/>
        <v>Egypt_win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-1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7.3811990544292666E-12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5 - 4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4</v>
      </c>
      <c r="AL23" s="123">
        <f>AI23-AJ23</f>
        <v>1</v>
      </c>
      <c r="AM23" s="123">
        <f>AL23-AL24</f>
        <v>10</v>
      </c>
      <c r="AN23" s="123">
        <f>AF23*3+AG23</f>
        <v>4</v>
      </c>
      <c r="AO23" s="123">
        <f>AN23/AN24*10+BA23</f>
        <v>5</v>
      </c>
      <c r="AP23" s="123">
        <f>AO23*10000000+BI23*100+AM23/AM24*10+AI23/AI24*1++IF(AQ23=0,ROW(),AQ23)/2000000</f>
        <v>50000007.292415842</v>
      </c>
      <c r="AQ23" s="126">
        <f>VLOOKUP(AE23,db_fifarank,2,FALSE)</f>
        <v>1498.35</v>
      </c>
      <c r="AR23" s="125">
        <f>AP23/AP24</f>
        <v>0.57142858156743581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-9</v>
      </c>
      <c r="AM24" s="123">
        <f>MAX(AM20:AM23)+1</f>
        <v>15</v>
      </c>
      <c r="AN24" s="123">
        <f>MAX(AN20:AN23)+1</f>
        <v>8</v>
      </c>
      <c r="AO24" s="123">
        <f>MAX(AO20:AO23)+1</f>
        <v>9.75</v>
      </c>
      <c r="AP24" s="123">
        <f>MAX(AP20:AP23)+1</f>
        <v>87500011.209213912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2</v>
      </c>
      <c r="AL26" s="123">
        <f>AI26-AJ26</f>
        <v>1</v>
      </c>
      <c r="AM26" s="123">
        <f>AL26-AL30</f>
        <v>4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62500007.16750323</v>
      </c>
      <c r="AQ26" s="126">
        <f>VLOOKUP(AE26,db_fifarank,2,FALSE)</f>
        <v>1673.13</v>
      </c>
      <c r="AR26" s="125">
        <f>AP26/AP30</f>
        <v>0.71428571320031309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0</v>
      </c>
      <c r="BO26" s="25">
        <v>4</v>
      </c>
      <c r="BP26" s="112">
        <f>IF(OR(BM26="",BM27="",AND(BN26="",BN27&lt;&gt;""),AND(BN27="",BN26&lt;&gt;""),AND(BO26="",BO27&lt;&gt;""),AND(BO27="",BO26&lt;&gt;"")),"",BM26*1000+BN26*10+BO26)</f>
        <v>1004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3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5 - 3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1</v>
      </c>
      <c r="AL27" s="123">
        <f>AI27-AJ27</f>
        <v>0</v>
      </c>
      <c r="AM27" s="123">
        <f>AL27-AL30</f>
        <v>3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50000005.167418413</v>
      </c>
      <c r="AQ27" s="126">
        <f>VLOOKUP(AE27,db_fifarank,2,FALSE)</f>
        <v>1503.5</v>
      </c>
      <c r="AR27" s="125">
        <f>AP27/AP30</f>
        <v>0.57142856408500364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England</v>
      </c>
      <c r="BM27" s="62">
        <v>1</v>
      </c>
      <c r="BN27" s="64">
        <v>0</v>
      </c>
      <c r="BO27" s="27">
        <v>5</v>
      </c>
      <c r="BP27" s="113">
        <f>IF(BP26="","",BM27*1000+BN27*10+BO27)</f>
        <v>1005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3 - 2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4</v>
      </c>
      <c r="AL28" s="123">
        <f>AI28-AJ28</f>
        <v>-3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0.16745700166666666</v>
      </c>
      <c r="AQ28" s="126">
        <f>VLOOKUP(AE28,db_fifarank,2,FALSE)</f>
        <v>1580.67</v>
      </c>
      <c r="AR28" s="125">
        <f>AP28/AP30</f>
        <v>1.913794082379772E-9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England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1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1 - 1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3</v>
      </c>
      <c r="AL29" s="123">
        <f>AI29-AJ29</f>
        <v>2</v>
      </c>
      <c r="AM29" s="123">
        <f>AL29-AL30</f>
        <v>5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87500009.167466179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1 - 4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6</v>
      </c>
      <c r="AL30" s="123">
        <f>MIN(AL26:AL29)</f>
        <v>-3</v>
      </c>
      <c r="AM30" s="123">
        <f>MAX(AM26:AM29)+1</f>
        <v>6</v>
      </c>
      <c r="AN30" s="123">
        <f>MAX(AN26:AN29)+1</f>
        <v>8</v>
      </c>
      <c r="AO30" s="123">
        <f>MAX(AO26:AO29)+1</f>
        <v>9.75</v>
      </c>
      <c r="AP30" s="123">
        <f>MAX(AP26:AP29)+1</f>
        <v>87500010.167466179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2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3</v>
      </c>
      <c r="AE32" s="124" t="str">
        <f>VLOOKUP("Germany",T,lang,FALSE)</f>
        <v>Germany</v>
      </c>
      <c r="AF32" s="123">
        <f>COUNTIF($S$7:$T$78,"=" &amp; AE32 &amp; "_win")</f>
        <v>1</v>
      </c>
      <c r="AG32" s="123">
        <f>COUNTIF($S$7:$T$78,"=" &amp; AE32 &amp; "_draw")</f>
        <v>1</v>
      </c>
      <c r="AH32" s="123">
        <f>COUNTIF($S$7:$T$78,"=" &amp; AE32 &amp; "_lose")</f>
        <v>1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3</v>
      </c>
      <c r="AL32" s="123">
        <f>AI32-AJ32</f>
        <v>7</v>
      </c>
      <c r="AM32" s="123">
        <f>AL32-AL36</f>
        <v>21</v>
      </c>
      <c r="AN32" s="123">
        <f>AF32*3+AG32</f>
        <v>4</v>
      </c>
      <c r="AO32" s="123">
        <f>AN32/AN36*10+BA32</f>
        <v>5</v>
      </c>
      <c r="AP32" s="123">
        <f>AO32*10000000+BI32*100+AM32/AM36*10+AI32/AI36*1++IF(AQ32=0,ROW(),AQ32)/2000000</f>
        <v>50000010.455410637</v>
      </c>
      <c r="AQ32" s="126">
        <f>VLOOKUP(AE32,db_fifarank,2,FALSE)</f>
        <v>1730.37</v>
      </c>
      <c r="AR32" s="125">
        <f>AP32/AP36</f>
        <v>0.57142862738892042</v>
      </c>
      <c r="AS32" s="125" t="str">
        <f>IF(SUM(AF32:AH35)=12,J33,"1E")</f>
        <v>Ivory Coast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0</v>
      </c>
      <c r="G33" s="20">
        <v>0</v>
      </c>
      <c r="H33" s="80" t="str">
        <f>AE16</f>
        <v>Qatar</v>
      </c>
      <c r="J33" s="30" t="str">
        <f>VLOOKUP(1,AD32:AN35,2,FALSE)</f>
        <v>Ivory Coast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6 - 2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14</v>
      </c>
      <c r="AL33" s="123">
        <f>AI33-AJ33</f>
        <v>-14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7.3979991775082726E-12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0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5 - 2</v>
      </c>
      <c r="P34" s="34">
        <f>L34*3+M34</f>
        <v>5</v>
      </c>
      <c r="R34" s="123">
        <f>DATE(2026,6,18)+TIME(14,0,0)+gmt_delta</f>
        <v>46192.125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1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1</v>
      </c>
      <c r="AH34" s="123">
        <f>COUNTIF($S$7:$T$78,"=" &amp; AE34 &amp; "_lose")</f>
        <v>0</v>
      </c>
      <c r="AI34" s="123">
        <f>SUMIF($E$7:$E$78,$AE34,$F$7:$F$78) + SUMIF($H$7:$H$78,$AE34,$G$7:$G$78)</f>
        <v>6</v>
      </c>
      <c r="AJ34" s="123">
        <f>SUMIF($E$7:$E$78,$AE34,$G$7:$G$78) + SUMIF($H$7:$H$78,$AE34,$F$7:$F$78)</f>
        <v>2</v>
      </c>
      <c r="AL34" s="123">
        <f>AI34-AJ34</f>
        <v>4</v>
      </c>
      <c r="AM34" s="123">
        <f>AL34-AL36</f>
        <v>18</v>
      </c>
      <c r="AN34" s="123">
        <f>AF34*3+AG34</f>
        <v>7</v>
      </c>
      <c r="AO34" s="123">
        <f>AN34/AN36*10+BA34</f>
        <v>8.75</v>
      </c>
      <c r="AP34" s="123">
        <f>AO34*10000000+BI34*100+AM34/AM36*10+AI34/AI36*1++IF(AQ34=0,ROW(),AQ34)/2000000</f>
        <v>87500008.72803922</v>
      </c>
      <c r="AQ34" s="126">
        <f>VLOOKUP(AE34,db_fifarank,2,FALSE)</f>
        <v>1532.98</v>
      </c>
      <c r="AR34" s="125">
        <f>AP34/AP36</f>
        <v>0.9999999885714298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Germany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10 - 3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2</v>
      </c>
      <c r="AL35" s="123">
        <f>AI35-AJ35</f>
        <v>3</v>
      </c>
      <c r="AM35" s="123">
        <f>AL35-AL36</f>
        <v>17</v>
      </c>
      <c r="AN35" s="123">
        <f>AF35*3+AG35</f>
        <v>5</v>
      </c>
      <c r="AO35" s="123">
        <f>AN35/AN36*10+BA35</f>
        <v>6.25</v>
      </c>
      <c r="AP35" s="123">
        <f>AO35*10000000+BI35*100+AM35/AM36*10+AI35/AI36*1++IF(AQ35=0,ROW(),AQ35)/2000000</f>
        <v>62500008.182615571</v>
      </c>
      <c r="AQ35" s="126">
        <f>VLOOKUP(AE35,db_fifarank,2,FALSE)</f>
        <v>1594.78</v>
      </c>
      <c r="AR35" s="125">
        <f>AP35/AP36</f>
        <v>0.71428572838875415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Germany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0 - 14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4</v>
      </c>
      <c r="AI36" s="123">
        <f>MAX(AI32:AI35)+1</f>
        <v>11</v>
      </c>
      <c r="AL36" s="123">
        <f>MIN(AL32:AL35)</f>
        <v>-14</v>
      </c>
      <c r="AM36" s="123">
        <f>MAX(AM32:AM35)+1</f>
        <v>22</v>
      </c>
      <c r="AN36" s="123">
        <f>MAX(AN32:AN35)+1</f>
        <v>8</v>
      </c>
      <c r="AO36" s="123">
        <f>MAX(AO32:AO35)+1</f>
        <v>9.75</v>
      </c>
      <c r="AP36" s="123">
        <f>MAX(AP32:AP35)+1</f>
        <v>87500009.72803922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Iran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4</v>
      </c>
      <c r="AL38" s="123">
        <f>AI38-AJ38</f>
        <v>2</v>
      </c>
      <c r="AM38" s="123">
        <f>AL38-AL42</f>
        <v>5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87500009.191355109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Iran</v>
      </c>
      <c r="BM38" s="61">
        <v>0</v>
      </c>
      <c r="BN38" s="63">
        <v>1</v>
      </c>
      <c r="BO38" s="25">
        <v>4</v>
      </c>
      <c r="BP38" s="116">
        <f>IF(OR(BM38="",BM39="",AND(BN38="",BN39&lt;&gt;""),AND(BN39="",BN38&lt;&gt;""),AND(BO38="",BO39&lt;&gt;""),AND(BO39="",BO38&lt;&gt;"")),"",BM38*1000+BN38*10+BO38)</f>
        <v>14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1</v>
      </c>
      <c r="G39" s="20">
        <v>2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6 - 4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Germany_lose</v>
      </c>
      <c r="T39" s="127" t="str">
        <f t="shared" si="2"/>
        <v>Ivory Coast_win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-1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4</v>
      </c>
      <c r="AN39" s="123">
        <f>AF39*3+AG39</f>
        <v>6</v>
      </c>
      <c r="AO39" s="123">
        <f>AN39/AN42*10+BA39</f>
        <v>7.5</v>
      </c>
      <c r="AP39" s="123">
        <f>AO39*10000000+BI39*100+AM39/AM42*10+AI39/AI42*1++IF(AQ39=0,ROW(),AQ39)/2000000</f>
        <v>75000007.238925457</v>
      </c>
      <c r="AQ39" s="126">
        <f>VLOOKUP(AE39,db_fifarank,2,FALSE)</f>
        <v>1660.43</v>
      </c>
      <c r="AR39" s="125">
        <f>AP39/AP42</f>
        <v>0.85714284003975305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Mexico</v>
      </c>
      <c r="BM39" s="62">
        <v>0</v>
      </c>
      <c r="BN39" s="64">
        <v>1</v>
      </c>
      <c r="BO39" s="27">
        <v>3</v>
      </c>
      <c r="BP39" s="112">
        <f>IF(BP38="","",BM39*1000+BN39*10+BO39)</f>
        <v>13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4</v>
      </c>
      <c r="AL40" s="123">
        <f>AI40-AJ40</f>
        <v>-3</v>
      </c>
      <c r="AM40" s="123">
        <f>AL40-AL42</f>
        <v>0</v>
      </c>
      <c r="AN40" s="123">
        <f>AF40*3+AG40</f>
        <v>1</v>
      </c>
      <c r="AO40" s="123">
        <f>AN40/AN42*10+BA40</f>
        <v>1.25</v>
      </c>
      <c r="AP40" s="123">
        <f>AO40*10000000+BI40*100+AM40/AM42*10+AI40/AI42*1++IF(AQ40=0,ROW(),AQ40)/2000000</f>
        <v>12500000.143614529</v>
      </c>
      <c r="AQ40" s="126">
        <f>VLOOKUP(AE40,db_fifarank,2,FALSE)</f>
        <v>1514.77</v>
      </c>
      <c r="AR40" s="125">
        <f>AP40/AP42</f>
        <v>0.14285712785950638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5 - 5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5</v>
      </c>
      <c r="AJ41" s="123">
        <f>SUMIF($E$7:$E$78,$AE41,$G$7:$G$78) + SUMIF($H$7:$H$78,$AE41,$F$7:$F$78)</f>
        <v>5</v>
      </c>
      <c r="AL41" s="123">
        <f>AI41-AJ41</f>
        <v>0</v>
      </c>
      <c r="AM41" s="123">
        <f>AL41-AL42</f>
        <v>3</v>
      </c>
      <c r="AN41" s="123">
        <f>AF41*3+AG41</f>
        <v>3</v>
      </c>
      <c r="AO41" s="123">
        <f>AN41/AN42*10+BA41</f>
        <v>3.75</v>
      </c>
      <c r="AP41" s="123">
        <f>AO41*10000000+BI41*100+AM41/AM42*10+AI41/AI42*1++IF(AQ41=0,ROW(),AQ41)/2000000</f>
        <v>37500005.715027243</v>
      </c>
      <c r="AQ41" s="126">
        <f>VLOOKUP(AE41,db_fifarank,2,FALSE)</f>
        <v>1483.05</v>
      </c>
      <c r="AR41" s="125">
        <f>AP41/AP42</f>
        <v>0.42857144396918251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1 - 4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3</v>
      </c>
      <c r="AI42" s="123">
        <f>MAX(AI38:AI41)+1</f>
        <v>7</v>
      </c>
      <c r="AL42" s="123">
        <f>MIN(AL38:AL41)</f>
        <v>-3</v>
      </c>
      <c r="AM42" s="123">
        <f>MAX(AM38:AM41)+1</f>
        <v>6</v>
      </c>
      <c r="AN42" s="123">
        <f>MAX(AN38:AN41)+1</f>
        <v>8</v>
      </c>
      <c r="AO42" s="123">
        <f>MAX(AO38:AO41)+1</f>
        <v>9.75</v>
      </c>
      <c r="AP42" s="123">
        <f>MAX(AP38:AP41)+1</f>
        <v>87500010.191355109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2</v>
      </c>
      <c r="BN43" s="64"/>
      <c r="BO43" s="27"/>
      <c r="BP43" s="113">
        <f>IF(BP42="","",BM43*1000+BN43*10+BO43)</f>
        <v>2000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3</v>
      </c>
      <c r="AE44" s="124" t="str">
        <f>VLOOKUP("Belgium",T,lang,FALSE)</f>
        <v>Belgium</v>
      </c>
      <c r="AF44" s="123">
        <f>COUNTIF($S$7:$T$78,"=" &amp; AE44 &amp; "_win")</f>
        <v>1</v>
      </c>
      <c r="AG44" s="123">
        <f>COUNTIF($S$7:$T$78,"=" &amp; AE44 &amp; "_draw")</f>
        <v>1</v>
      </c>
      <c r="AH44" s="123">
        <f>COUNTIF($S$7:$T$78,"=" &amp; AE44 &amp; "_lose")</f>
        <v>1</v>
      </c>
      <c r="AI44" s="123">
        <f>SUMIF($E$7:$E$78,$AE44,$F$7:$F$78) + SUMIF($H$7:$H$78,$AE44,$G$7:$G$78)</f>
        <v>2</v>
      </c>
      <c r="AJ44" s="123">
        <f>SUMIF($E$7:$E$78,$AE44,$G$7:$G$78) + SUMIF($H$7:$H$78,$AE44,$F$7:$F$78)</f>
        <v>3</v>
      </c>
      <c r="AL44" s="123">
        <f>AI44-AJ44</f>
        <v>-1</v>
      </c>
      <c r="AM44" s="123">
        <f>AL44-AL48</f>
        <v>1</v>
      </c>
      <c r="AN44" s="123">
        <f>AF44*3+AG44</f>
        <v>4</v>
      </c>
      <c r="AO44" s="123">
        <f>AN44/AN48*10+BA44</f>
        <v>5.7208452419997178</v>
      </c>
      <c r="AP44" s="123">
        <f>AO44*10000000+BI44*100+AM44/AM48*10+AI44/AI48*1++IF(AQ44=0,ROW(),AQ44)/2000000</f>
        <v>57208454.92086453</v>
      </c>
      <c r="AQ44" s="126">
        <f>VLOOKUP(AE44,db_fifarank,2,FALSE)</f>
        <v>1734.71</v>
      </c>
      <c r="AR44" s="125">
        <f>AP44/AP48</f>
        <v>0.59782313760744787</v>
      </c>
      <c r="AS44" s="125" t="str">
        <f>IF(SUM(AF44:AH47)=12,J45,"1G")</f>
        <v>Iran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1</v>
      </c>
      <c r="AZ44" s="126">
        <f>AT44/AT48*1000+AU44/AU48*100+AY44/AY48*10+AV44/AV48</f>
        <v>3.333333333333333</v>
      </c>
      <c r="BA44" s="126">
        <f>AZ44/AZ48</f>
        <v>6.5595277140045906E-3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Iran</v>
      </c>
      <c r="K45" s="31">
        <f>L45+M45+N45</f>
        <v>3</v>
      </c>
      <c r="L45" s="31">
        <f>VLOOKUP(1,AD44:AN47,3,FALSE)</f>
        <v>2</v>
      </c>
      <c r="M45" s="31">
        <f>VLOOKUP(1,AD44:AN47,4,FALSE)</f>
        <v>0</v>
      </c>
      <c r="N45" s="31">
        <f>VLOOKUP(1,AD44:AN47,5,FALSE)</f>
        <v>1</v>
      </c>
      <c r="O45" s="31" t="str">
        <f>VLOOKUP(1,AD44:AN47,6,FALSE) &amp; " - " &amp; VLOOKUP(1,AD44:AN47,7,FALSE)</f>
        <v>3 - 2</v>
      </c>
      <c r="P45" s="32">
        <f>L45*3+M45</f>
        <v>6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1</v>
      </c>
      <c r="AL45" s="123">
        <f>AI45-AJ45</f>
        <v>2</v>
      </c>
      <c r="AM45" s="123">
        <f>AL45-AL48</f>
        <v>4</v>
      </c>
      <c r="AN45" s="123">
        <f>AF45*3+AG45</f>
        <v>6</v>
      </c>
      <c r="AO45" s="123">
        <f>AN45/AN48*10+BA45</f>
        <v>8.5714285714285712</v>
      </c>
      <c r="AP45" s="123">
        <f>AO45*10000000+BI45*100+AM45/AM48*10+AI45/AI48*1++IF(AQ45=0,ROW(),AQ45)/2000000</f>
        <v>85714294.465067342</v>
      </c>
      <c r="AQ45" s="126">
        <f>VLOOKUP(AE45,db_fifarank,2,FALSE)</f>
        <v>1563.24</v>
      </c>
      <c r="AR45" s="125">
        <f>AP45/AP48</f>
        <v>0.89570656165766793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-1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3 - 1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1</v>
      </c>
      <c r="AE46" s="124" t="str">
        <f>VLOOKUP("Iran",T,lang,FALSE)</f>
        <v>Iran</v>
      </c>
      <c r="AF46" s="123">
        <f>COUNTIF($S$7:$T$78,"=" &amp; AE46 &amp; "_win")</f>
        <v>2</v>
      </c>
      <c r="AG46" s="123">
        <f>COUNTIF($S$7:$T$78,"=" &amp; AE46 &amp; "_draw")</f>
        <v>0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2</v>
      </c>
      <c r="AL46" s="123">
        <f>AI46-AJ46</f>
        <v>1</v>
      </c>
      <c r="AM46" s="123">
        <f>AL46-AL48</f>
        <v>3</v>
      </c>
      <c r="AN46" s="123">
        <f>AF46*3+AG46</f>
        <v>6</v>
      </c>
      <c r="AO46" s="123">
        <f>AN46/AN48*10+BA46</f>
        <v>9.5694607131143705</v>
      </c>
      <c r="AP46" s="123">
        <f>AO46*10000000+BI46*100+AM46/AM48*10+AI46/AI48*1++IF(AQ46=0,ROW(),AQ46)/2000000</f>
        <v>95694613.881951347</v>
      </c>
      <c r="AQ46" s="126">
        <f>VLOOKUP(AE46,db_fifarank,2,FALSE)</f>
        <v>1615.3</v>
      </c>
      <c r="AR46" s="125">
        <f>AP46/AP48</f>
        <v>0.99999998955009117</v>
      </c>
      <c r="AT46" s="126" cm="1">
        <f t="array" ref="AT46">SUMPRODUCT(($S$7:$S$78=AE46&amp;"_win")*($U$7:$U$78))+SUMPRODUCT(($T$7:$T$78=AE46&amp;"_win")*($U$7:$U$78))</f>
        <v>1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1</v>
      </c>
      <c r="AY46" s="126">
        <f>AX46-MIN(AX44:AX47)</f>
        <v>2</v>
      </c>
      <c r="AZ46" s="126">
        <f>AT46/AT48*1000+AU46/AU48*100+AY46/AY48*10+AV46/AV48</f>
        <v>507.16666666666669</v>
      </c>
      <c r="BA46" s="126">
        <f>AZ46/AZ48</f>
        <v>0.99803214168579857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>
        <v>1</v>
      </c>
      <c r="BO46" s="25"/>
      <c r="BP46" s="116">
        <f>IF(OR(BM46="",BM47="",AND(BN46="",BN47&lt;&gt;""),AND(BN47="",BN46&lt;&gt;""),AND(BO46="",BO47&lt;&gt;""),AND(BO47="",BO46&lt;&gt;"")),"",BM46*1000+BN46*10+BO46)</f>
        <v>1010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0</v>
      </c>
      <c r="G47" s="20">
        <v>0</v>
      </c>
      <c r="H47" s="80" t="str">
        <f>AE57</f>
        <v>Senegal</v>
      </c>
      <c r="J47" s="33" t="str">
        <f>VLOOKUP(3,AD44:AN47,2,FALSE)</f>
        <v>Belgium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1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2</v>
      </c>
      <c r="AL47" s="123">
        <f>AI47-AJ47</f>
        <v>-2</v>
      </c>
      <c r="AM47" s="123">
        <f>AL47-AL48</f>
        <v>0</v>
      </c>
      <c r="AN47" s="123">
        <f>AF47*3+AG47</f>
        <v>1</v>
      </c>
      <c r="AO47" s="123">
        <f>AN47/AN48*10+BA47</f>
        <v>1.4351309562854331</v>
      </c>
      <c r="AP47" s="123">
        <f>AO47*10000000+BI47*100+AM47/AM48*10+AI47/AI48*1++IF(AQ47=0,ROW(),AQ47)/2000000</f>
        <v>14351309.563495116</v>
      </c>
      <c r="AQ47" s="126">
        <f>VLOOKUP(AE47,db_fifarank,2,FALSE)</f>
        <v>1281.57</v>
      </c>
      <c r="AR47" s="125">
        <f>AP47/AP48</f>
        <v>0.14996987637390943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1</v>
      </c>
      <c r="AZ47" s="126">
        <f>AT47/AT48*1000+AU47/AU48*100+AY47/AY48*10+AV47/AV48</f>
        <v>3.333333333333333</v>
      </c>
      <c r="BA47" s="126">
        <f>AZ47/AZ48</f>
        <v>6.5595277140045906E-3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>
        <v>0</v>
      </c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0 - 2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2</v>
      </c>
      <c r="AI48" s="123">
        <f>MAX(AI44:AI47)+1</f>
        <v>4</v>
      </c>
      <c r="AL48" s="123">
        <f>MIN(AL44:AL47)</f>
        <v>-2</v>
      </c>
      <c r="AM48" s="123">
        <f>MAX(AM44:AM47)+1</f>
        <v>5</v>
      </c>
      <c r="AN48" s="123">
        <f>MAX(AN44:AN47)+1</f>
        <v>7</v>
      </c>
      <c r="AO48" s="123">
        <f>MAX(AO44:AO47)+1</f>
        <v>10.569460713114371</v>
      </c>
      <c r="AP48" s="123">
        <f>MAX(AP44:AP47)+1</f>
        <v>95694614.881951347</v>
      </c>
      <c r="AT48" s="126">
        <f>MAX(AT44:AT47)-MIN(AT44:AT47)+1</f>
        <v>2</v>
      </c>
      <c r="AU48" s="126">
        <f>MAX(AU44:AU47)-MIN(AU44:AU47)+1</f>
        <v>1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3</v>
      </c>
      <c r="AZ48" s="126">
        <f>MAX(AZ44:AZ47)+1</f>
        <v>508.16666666666669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Senegal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2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0</v>
      </c>
      <c r="AL50" s="123">
        <f>AI50-AJ50</f>
        <v>6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90000010.024747729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Czech Republic</v>
      </c>
      <c r="BM50" s="61">
        <v>0</v>
      </c>
      <c r="BN50" s="63">
        <v>0</v>
      </c>
      <c r="BO50" s="25">
        <v>3</v>
      </c>
      <c r="BP50" s="112">
        <f>IF(OR(BM50="",BM51="",AND(BN50="",BN51&lt;&gt;""),AND(BN51="",BN50&lt;&gt;""),AND(BO50="",BO51&lt;&gt;""),AND(BO51="",BO50&lt;&gt;"")),"",BM50*1000+BN50*10+BO50)</f>
        <v>3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6 - 0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0.14354020785714286</v>
      </c>
      <c r="AQ51" s="126">
        <f>VLOOKUP(AE51,db_fifarank,2,FALSE)</f>
        <v>1366.13</v>
      </c>
      <c r="AR51" s="125">
        <f>AP51/AP54</f>
        <v>1.594891003043021E-9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>
        <v>0</v>
      </c>
      <c r="BO51" s="27">
        <v>4</v>
      </c>
      <c r="BP51" s="113">
        <f>IF(BP50="","",BM51*1000+BN51*10+BO51)</f>
        <v>4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3 - 1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2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30000001.95309167</v>
      </c>
      <c r="AQ52" s="126">
        <f>VLOOKUP(AE52,db_fifarank,2,FALSE)</f>
        <v>1421.43</v>
      </c>
      <c r="AR52" s="125">
        <f>AP52/AP54</f>
        <v>0.33333331420195522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Scotland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6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1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60000006.262741297</v>
      </c>
      <c r="AQ53" s="126">
        <f>VLOOKUP(AE53,db_fifarank,2,FALSE)</f>
        <v>1673.07</v>
      </c>
      <c r="AR53" s="125">
        <f>AP53/AP54</f>
        <v>0.66666665458788454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Senegal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1 - 6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7</v>
      </c>
      <c r="AL54" s="123">
        <f>MIN(AL50:AL53)</f>
        <v>-5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90000011.024747729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Ghana</v>
      </c>
      <c r="BM54" s="61">
        <v>0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2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Senegal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15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90000010.264827549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9</v>
      </c>
      <c r="AN57" s="123">
        <f>AF57*3+AG57</f>
        <v>4</v>
      </c>
      <c r="AO57" s="123">
        <f>AN57/AN60*10+BA57</f>
        <v>4.9803921568627452</v>
      </c>
      <c r="AP57" s="123">
        <f>AO57*10000000+BI57*100+AM57/AM60*10+AI57/AI60*1++IF(AQ57=0,ROW(),AQ57)/2000000</f>
        <v>49804025.67813208</v>
      </c>
      <c r="AQ57" s="126">
        <f>VLOOKUP(AE57,db_fifarank,2,FALSE)</f>
        <v>1688.99</v>
      </c>
      <c r="AR57" s="125">
        <f>AP57/AP60</f>
        <v>0.55337799382693786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</v>
      </c>
      <c r="BA57" s="126">
        <f>AZ57/AZ60</f>
        <v>0.98039215686274506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</v>
      </c>
      <c r="BI57" s="126">
        <f>BH57/BH60</f>
        <v>0.98039215686274506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5 - 2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10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0.11183468111111111</v>
      </c>
      <c r="AQ58" s="126">
        <f>VLOOKUP(AE58,db_fifarank,2,FALSE)</f>
        <v>1447.14</v>
      </c>
      <c r="AR58" s="125">
        <f>AP58/AP60</f>
        <v>1.2426074123705877E-9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0</v>
      </c>
      <c r="BN58" s="63">
        <v>1</v>
      </c>
      <c r="BO58" s="25"/>
      <c r="BP58" s="112">
        <f>IF(OR(BM58="",BM59="",AND(BN58="",BN59&lt;&gt;""),AND(BN59="",BN58&lt;&gt;""),AND(BO58="",BO59&lt;&gt;""),AND(BO59="",BO58&lt;&gt;"")),"",BM58*1000+BN58*10+BO58)</f>
        <v>10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4 - 4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Republic_win</v>
      </c>
      <c r="T59" s="127" t="str">
        <f t="shared" si="20"/>
        <v>Mexico_lose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2</v>
      </c>
      <c r="AL59" s="123">
        <f>AI59-AJ59</f>
        <v>3</v>
      </c>
      <c r="AM59" s="123">
        <f>AL59-AL60</f>
        <v>12</v>
      </c>
      <c r="AN59" s="123">
        <f>AF59*3+AG59</f>
        <v>4</v>
      </c>
      <c r="AO59" s="123">
        <f>AN59/AN60*10+BA59</f>
        <v>4.9803921568627452</v>
      </c>
      <c r="AP59" s="123">
        <f>AO59*10000000+BI59*100+AM59/AM60*10+AI59/AI60*1++IF(AQ59=0,ROW(),AQ59)/2000000</f>
        <v>49804027.664174162</v>
      </c>
      <c r="AQ59" s="126">
        <f>VLOOKUP(AE59,db_fifarank,2,FALSE)</f>
        <v>1550.94</v>
      </c>
      <c r="AR59" s="125">
        <f>AP59/AP60</f>
        <v>0.55337801589406932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</v>
      </c>
      <c r="BA59" s="126">
        <f>AZ59/AZ60</f>
        <v>0.98039215686274506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50</v>
      </c>
      <c r="BI59" s="126">
        <f>BH59/BH60</f>
        <v>0.98039215686274506</v>
      </c>
      <c r="BK59" s="132"/>
      <c r="BL59" s="26" t="str">
        <f>AS51</f>
        <v>Uruguay</v>
      </c>
      <c r="BM59" s="62">
        <v>0</v>
      </c>
      <c r="BN59" s="64">
        <v>0</v>
      </c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2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1 - 10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-9</v>
      </c>
      <c r="AM60" s="123">
        <f>MAX(AM56:AM59)+1</f>
        <v>16</v>
      </c>
      <c r="AN60" s="123">
        <f>MAX(AN56:AN59)+1</f>
        <v>10</v>
      </c>
      <c r="AO60" s="123">
        <f>MAX(AO56:AO59)+1</f>
        <v>10</v>
      </c>
      <c r="AP60" s="123">
        <f>MAX(AP56:AP59)+1</f>
        <v>90000011.264827549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51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51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2</v>
      </c>
      <c r="AL62" s="123">
        <f>AI62-AJ62</f>
        <v>4</v>
      </c>
      <c r="AM62" s="123">
        <f>AL62-AL66</f>
        <v>8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87500009.746969163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6 - 2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2</v>
      </c>
      <c r="AG63" s="123">
        <f>COUNTIF($S$7:$T$78,"=" &amp; AE63 &amp; "_draw")</f>
        <v>0</v>
      </c>
      <c r="AH63" s="123">
        <f>COUNTIF($S$7:$T$78,"=" &amp; AE63 &amp; "_lose")</f>
        <v>1</v>
      </c>
      <c r="AI63" s="123">
        <f>SUMIF($E$7:$E$78,$AE63,$F$7:$F$78) + SUMIF($H$7:$H$78,$AE63,$G$7:$G$78)</f>
        <v>6</v>
      </c>
      <c r="AJ63" s="123">
        <f>SUMIF($E$7:$E$78,$AE63,$G$7:$G$78) + SUMIF($H$7:$H$78,$AE63,$F$7:$F$78)</f>
        <v>4</v>
      </c>
      <c r="AL63" s="123">
        <f>AI63-AJ63</f>
        <v>2</v>
      </c>
      <c r="AM63" s="123">
        <f>AL63-AL66</f>
        <v>6</v>
      </c>
      <c r="AN63" s="123">
        <f>AF63*3+AG63</f>
        <v>6</v>
      </c>
      <c r="AO63" s="123">
        <f>AN63/AN66*10+BA63</f>
        <v>7.5</v>
      </c>
      <c r="AP63" s="123">
        <f>AO63*10000000+BI63*100+AM63/AM66*10+AI63/AI66*1++IF(AQ63=0,ROW(),AQ63)/2000000</f>
        <v>75000007.524591655</v>
      </c>
      <c r="AQ63" s="126">
        <f>VLOOKUP(AE63,db_fifarank,2,FALSE)</f>
        <v>1564.26</v>
      </c>
      <c r="AR63" s="125">
        <f>AP63/AP66</f>
        <v>0.85714283786176004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2</v>
      </c>
      <c r="G64" s="20">
        <v>3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6 - 4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2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4</v>
      </c>
      <c r="AL64" s="123">
        <f>AI64-AJ64</f>
        <v>-2</v>
      </c>
      <c r="AM64" s="123">
        <f>AL64-AL66</f>
        <v>2</v>
      </c>
      <c r="AN64" s="123">
        <f>AF64*3+AG64</f>
        <v>2</v>
      </c>
      <c r="AO64" s="123">
        <f>AN64/AN66*10+BA64</f>
        <v>2.5</v>
      </c>
      <c r="AP64" s="123">
        <f>AO64*10000000+BI64*100+AM64/AM66*10+AI64/AI66*1++IF(AQ64=0,ROW(),AQ64)/2000000</f>
        <v>25000002.508733235</v>
      </c>
      <c r="AQ64" s="126">
        <f>VLOOKUP(AE64,db_fifarank,2,FALSE)</f>
        <v>1593.45</v>
      </c>
      <c r="AR64" s="125">
        <f>AP64/AP66</f>
        <v>0.28571427929337928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7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1.25</v>
      </c>
      <c r="AP65" s="123">
        <f>AO65*10000000+BI65*100+AM65/AM66*10+AI65/AI66*1++IF(AQ65=0,ROW(),AQ65)/2000000</f>
        <v>12500000.429267155</v>
      </c>
      <c r="AQ65" s="126">
        <f>VLOOKUP(AE65,db_fifarank,2,FALSE)</f>
        <v>1391.45</v>
      </c>
      <c r="AR65" s="125">
        <f>AP65/AP66</f>
        <v>0.14285713021698265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3 - 7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3</v>
      </c>
      <c r="AI66" s="123">
        <f>MAX(AI62:AI65)+1</f>
        <v>7</v>
      </c>
      <c r="AL66" s="123">
        <f>MIN(AL62:AL65)</f>
        <v>-4</v>
      </c>
      <c r="AM66" s="123">
        <f>MAX(AM62:AM65)+1</f>
        <v>9</v>
      </c>
      <c r="AN66" s="123">
        <f>MAX(AN62:AN65)+1</f>
        <v>8</v>
      </c>
      <c r="AO66" s="123">
        <f>MAX(AO62:AO65)+1</f>
        <v>9.75</v>
      </c>
      <c r="AP66" s="123">
        <f>MAX(AP62:AP65)+1</f>
        <v>87500010.746969163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Bosnia and Herzegovina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Belgium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3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11</v>
      </c>
      <c r="AJ68" s="123">
        <f>SUMIF($E$7:$E$78,$AE68,$G$7:$G$78) + SUMIF($H$7:$H$78,$AE68,$F$7:$F$78)</f>
        <v>2</v>
      </c>
      <c r="AL68" s="123">
        <f>AI68-AJ68</f>
        <v>9</v>
      </c>
      <c r="AM68" s="123">
        <f>AL68-AL72</f>
        <v>18</v>
      </c>
      <c r="AN68" s="123">
        <f>AF68*3+AG68</f>
        <v>7</v>
      </c>
      <c r="AO68" s="123">
        <f>AN68/AN72*10+BA68</f>
        <v>9.7328431372549016</v>
      </c>
      <c r="AP68" s="123">
        <f>AO68*10000000+BI68*100+AM68/AM72*10+AI68/AI72*1++IF(AQ68=0,ROW(),AQ68)/2000000</f>
        <v>97328540.048095524</v>
      </c>
      <c r="AQ68" s="126">
        <f>VLOOKUP(AE68,db_fifarank,2,FALSE)</f>
        <v>1763.83</v>
      </c>
      <c r="AR68" s="125">
        <f>AP68/AP72</f>
        <v>0.99999998972552151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100.25</v>
      </c>
      <c r="BA68" s="126">
        <f>AZ68/AZ72</f>
        <v>0.98284313725490191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100.25</v>
      </c>
      <c r="BI68" s="126">
        <f>BH68/BH72</f>
        <v>0.98284313725490191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Bosnia and Herzegovina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11 - 2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Egypt_lose</v>
      </c>
      <c r="T69" s="127" t="str">
        <f t="shared" si="20"/>
        <v>Iran_win</v>
      </c>
      <c r="U69" s="123">
        <f t="shared" si="8"/>
        <v>1</v>
      </c>
      <c r="V69" s="123">
        <f t="shared" si="21"/>
        <v>0</v>
      </c>
      <c r="W69" s="123">
        <f t="shared" si="22"/>
        <v>1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-1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5</v>
      </c>
      <c r="AJ69" s="123">
        <f>SUMIF($E$7:$E$78,$AE69,$G$7:$G$78) + SUMIF($H$7:$H$78,$AE69,$F$7:$F$78)</f>
        <v>9</v>
      </c>
      <c r="AL69" s="123">
        <f>AI69-AJ69</f>
        <v>-4</v>
      </c>
      <c r="AM69" s="123">
        <f>AL69-AL72</f>
        <v>5</v>
      </c>
      <c r="AN69" s="123">
        <f>AF69*3+AG69</f>
        <v>1</v>
      </c>
      <c r="AO69" s="123">
        <f>AN69/AN72*10+BA69</f>
        <v>2.2401960784313726</v>
      </c>
      <c r="AP69" s="123">
        <f>AO69*10000000+BI69*100+AM69/AM72*10+AI69/AI72*1++IF(AQ69=0,ROW(),AQ69)/2000000</f>
        <v>22402062.852906361</v>
      </c>
      <c r="AQ69" s="126">
        <f>VLOOKUP(AE69,db_fifarank,2,FALSE)</f>
        <v>1478.35</v>
      </c>
      <c r="AR69" s="125">
        <f>AP69/AP72</f>
        <v>0.23016951257736656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4</v>
      </c>
      <c r="AW69" s="126" cm="1">
        <f t="array" ref="AW69">SUMPRODUCT(($E$7:$E$78=AE69)*($U$7:$U$78)*($G$7:$G$78))+SUMPRODUCT(($H$7:$H$78=AE69)*($U$7:$U$78)*($F$7:$F$78))</f>
        <v>4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101</v>
      </c>
      <c r="BA69" s="126">
        <f>AZ69/AZ72</f>
        <v>0.99019607843137258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4</v>
      </c>
      <c r="BE69" s="126" cm="1">
        <f t="array" ref="BE69">SUMPRODUCT(($E$7:$E$78=AE69)*($X$7:$X$78)*($G$7:$G$78))+SUMPRODUCT(($H$7:$H$78=AE69)*($X$7:$X$78)*($F$7:$F$78))</f>
        <v>4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101</v>
      </c>
      <c r="BI69" s="126">
        <f>BH69/BH72</f>
        <v>0.99019607843137258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0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Zealand_draw</v>
      </c>
      <c r="T70" s="127" t="str">
        <f t="shared" si="20"/>
        <v>Belgium_draw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0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4</v>
      </c>
      <c r="AJ70" s="123">
        <f>SUMIF($E$7:$E$78,$AE70,$G$7:$G$78) + SUMIF($H$7:$H$78,$AE70,$F$7:$F$78)</f>
        <v>13</v>
      </c>
      <c r="AL70" s="123">
        <f>AI70-AJ70</f>
        <v>-9</v>
      </c>
      <c r="AM70" s="123">
        <f>AL70-AL72</f>
        <v>0</v>
      </c>
      <c r="AN70" s="123">
        <f>AF70*3+AG70</f>
        <v>1</v>
      </c>
      <c r="AO70" s="123">
        <f>AN70/AN72*10+BA70</f>
        <v>2.2401960784313726</v>
      </c>
      <c r="AP70" s="123">
        <f>AO70*10000000+BI70*100+AM70/AM72*10+AI70/AI72*1++IF(AQ70=0,ROW(),AQ70)/2000000</f>
        <v>22402060.137987573</v>
      </c>
      <c r="AQ70" s="126">
        <f>VLOOKUP(AE70,db_fifarank,2,FALSE)</f>
        <v>1465.34</v>
      </c>
      <c r="AR70" s="125">
        <f>AP70/AP72</f>
        <v>0.23016948468299192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4</v>
      </c>
      <c r="AW70" s="126" cm="1">
        <f t="array" ref="AW70">SUMPRODUCT(($E$7:$E$78=AE70)*($U$7:$U$78)*($G$7:$G$78))+SUMPRODUCT(($H$7:$H$78=AE70)*($U$7:$U$78)*($F$7:$F$78))</f>
        <v>4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101</v>
      </c>
      <c r="BA70" s="126">
        <f>AZ70/AZ72</f>
        <v>0.99019607843137258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4</v>
      </c>
      <c r="BE70" s="126" cm="1">
        <f t="array" ref="BE70">SUMPRODUCT(($E$7:$E$78=AE70)*($X$7:$X$78)*($G$7:$G$78))+SUMPRODUCT(($H$7:$H$78=AE70)*($X$7:$X$78)*($F$7:$F$78))</f>
        <v>4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101</v>
      </c>
      <c r="BI70" s="126">
        <f>BH70/BH72</f>
        <v>0.99019607843137258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5 - 9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1</v>
      </c>
      <c r="AL71" s="123">
        <f>AI71-AJ71</f>
        <v>4</v>
      </c>
      <c r="AM71" s="123">
        <f>AL71-AL72</f>
        <v>13</v>
      </c>
      <c r="AN71" s="123">
        <f>AF71*3+AG71</f>
        <v>7</v>
      </c>
      <c r="AO71" s="123">
        <f>AN71/AN72*10+BA71</f>
        <v>9.7328431372549016</v>
      </c>
      <c r="AP71" s="123">
        <f>AO71*10000000+BI71*100+AM71/AM72*10+AI71/AI72*1++IF(AQ71=0,ROW(),AQ71)/2000000</f>
        <v>97328536.916481227</v>
      </c>
      <c r="AQ71" s="126">
        <f>VLOOKUP(AE71,db_fifarank,2,FALSE)</f>
        <v>1693.09</v>
      </c>
      <c r="AR71" s="125">
        <f>AP71/AP72</f>
        <v>0.99999995754981785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100.25</v>
      </c>
      <c r="BA71" s="126">
        <f>AZ71/AZ72</f>
        <v>0.98284313725490191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100.25</v>
      </c>
      <c r="BI71" s="126">
        <f>BH71/BH72</f>
        <v>0.98284313725490191</v>
      </c>
      <c r="BK71" s="132"/>
      <c r="BL71" s="26" t="str">
        <f>IF(group_round_completed,VLOOKUP('3rd places'!J3,AK80:AS91,9,FALSE),"3rd Group D/E/I/J/L")</f>
        <v>Croatia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4 - 13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12</v>
      </c>
      <c r="AL72" s="123">
        <f>MIN(AL68:AL71)</f>
        <v>-9</v>
      </c>
      <c r="AM72" s="123">
        <f>MAX(AM68:AM71)+1</f>
        <v>19</v>
      </c>
      <c r="AN72" s="123">
        <f>MAX(AN68:AN71)+1</f>
        <v>8</v>
      </c>
      <c r="AO72" s="123">
        <f>MAX(AO68:AO71)+1</f>
        <v>10.732843137254902</v>
      </c>
      <c r="AP72" s="123">
        <f>MAX(AP68:AP71)+1</f>
        <v>97328541.048095524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4</v>
      </c>
      <c r="AW72" s="126">
        <f>MAX(AW68:AW71)-MIN(AW68:AW71)+1</f>
        <v>4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4</v>
      </c>
      <c r="BE72" s="126">
        <f>MAX(BE68:BE71)-MIN(BE68:BE71)+1</f>
        <v>4</v>
      </c>
      <c r="BG72" s="126">
        <f>MAX(BG68:BG71)-MIN(BG68:BG71)+1</f>
        <v>1</v>
      </c>
      <c r="BH72" s="126">
        <f>MAX(BH68:BH71)+1</f>
        <v>102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0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1</v>
      </c>
      <c r="AG74" s="123">
        <f>COUNTIF($S$7:$T$78,"=" &amp; AE74 &amp; "_draw")</f>
        <v>2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3</v>
      </c>
      <c r="AL74" s="123">
        <f>AI74-AJ74</f>
        <v>3</v>
      </c>
      <c r="AM74" s="123">
        <f>AL74-AL78</f>
        <v>11</v>
      </c>
      <c r="AN74" s="123">
        <f>AF74*3+AG74</f>
        <v>5</v>
      </c>
      <c r="AO74" s="123">
        <f>AN74/AN78*10+BA74</f>
        <v>6.25</v>
      </c>
      <c r="AP74" s="123">
        <f>AO74*10000000+BI74*100+AM74/AM78*10+AI74/AI78*1++IF(AQ74=0,ROW(),AQ74)/2000000</f>
        <v>62500009.319594309</v>
      </c>
      <c r="AQ74" s="126">
        <f>VLOOKUP(AE74,db_fifarank,2,FALSE)</f>
        <v>1825.97</v>
      </c>
      <c r="AR74" s="125">
        <f>AP74/AP78</f>
        <v>0.71428573144247887</v>
      </c>
      <c r="AS74" s="125" t="str">
        <f>IF(SUM(AF74:AH77)=12,J75,"1L")</f>
        <v>Ghana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2</v>
      </c>
      <c r="G75" s="20">
        <v>0</v>
      </c>
      <c r="H75" s="80" t="str">
        <f>AE64</f>
        <v>Austria</v>
      </c>
      <c r="I75" s="69"/>
      <c r="J75" s="30" t="str">
        <f>VLOOKUP(1,AD74:AN77,2,FALSE)</f>
        <v>Ghana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5 - 1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9</v>
      </c>
      <c r="AN75" s="123">
        <f>AF75*3+AG75</f>
        <v>4</v>
      </c>
      <c r="AO75" s="123">
        <f>AN75/AN78*10+BA75</f>
        <v>5</v>
      </c>
      <c r="AP75" s="123">
        <f>AO75*10000000+BI75*100+AM75/AM78*10+AI75/AI78*1++IF(AQ75=0,ROW(),AQ75)/2000000</f>
        <v>50000007.495364033</v>
      </c>
      <c r="AQ75" s="126">
        <f>VLOOKUP(AE75,db_fifarank,2,FALSE)</f>
        <v>1717.07</v>
      </c>
      <c r="AR75" s="125">
        <f>AP75/AP78</f>
        <v>0.57142858560756682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6 - 3</v>
      </c>
      <c r="P76" s="34">
        <f>L76*3+M76</f>
        <v>5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1</v>
      </c>
      <c r="AE76" s="124" t="str">
        <f>VLOOKUP("Ghana",T,lang,FALSE)</f>
        <v>Ghana</v>
      </c>
      <c r="AF76" s="123">
        <f>COUNTIF($S$7:$T$78,"=" &amp; AE76 &amp; "_win")</f>
        <v>2</v>
      </c>
      <c r="AG76" s="123">
        <f>COUNTIF($S$7:$T$78,"=" &amp; AE76 &amp; "_draw")</f>
        <v>1</v>
      </c>
      <c r="AH76" s="123">
        <f>COUNTIF($S$7:$T$78,"=" &amp; AE76 &amp; "_lose")</f>
        <v>0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1</v>
      </c>
      <c r="AL76" s="123">
        <f>AI76-AJ76</f>
        <v>4</v>
      </c>
      <c r="AM76" s="123">
        <f>AL76-AL78</f>
        <v>12</v>
      </c>
      <c r="AN76" s="123">
        <f>AF76*3+AG76</f>
        <v>7</v>
      </c>
      <c r="AO76" s="123">
        <f>AN76/AN78*10+BA76</f>
        <v>8.75</v>
      </c>
      <c r="AP76" s="123">
        <f>AO76*10000000+BI76*100+AM76/AM78*10+AI76/AI78*1++IF(AQ76=0,ROW(),AQ76)/2000000</f>
        <v>87500009.945728108</v>
      </c>
      <c r="AQ76" s="126">
        <f>VLOOKUP(AE76,db_fifarank,2,FALSE)</f>
        <v>1346.31</v>
      </c>
      <c r="AR76" s="125">
        <f>AP76/AP78</f>
        <v>0.99999998857143002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4 - 3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8</v>
      </c>
      <c r="AL77" s="123">
        <f>AI77-AJ77</f>
        <v>-8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8.8036560415722819E-12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4</v>
      </c>
      <c r="G78" s="20">
        <v>4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0 - 8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4</v>
      </c>
      <c r="W78" s="123">
        <f t="shared" si="22"/>
        <v>4</v>
      </c>
      <c r="X78" s="123">
        <f t="shared" si="32"/>
        <v>1</v>
      </c>
      <c r="Y78" s="123">
        <f t="shared" si="33"/>
        <v>4</v>
      </c>
      <c r="Z78" s="123">
        <f t="shared" si="34"/>
        <v>4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4</v>
      </c>
      <c r="AI78" s="123">
        <f>MAX(AI74:AI77)+1</f>
        <v>7</v>
      </c>
      <c r="AL78" s="123">
        <f>MIN(AL74:AL77)</f>
        <v>-8</v>
      </c>
      <c r="AM78" s="123">
        <f>MAX(AM74:AM77)+1</f>
        <v>13</v>
      </c>
      <c r="AN78" s="123">
        <f>MAX(AN74:AN77)+1</f>
        <v>8</v>
      </c>
      <c r="AO78" s="123">
        <f>MAX(AO74:AO77)+1</f>
        <v>9.75</v>
      </c>
      <c r="AP78" s="123">
        <f>MAX(AP74:AP77)+1</f>
        <v>87500010.945728108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Mexico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6277.2735677877272</v>
      </c>
      <c r="AQ80" s="126">
        <f t="shared" ref="AQ80:AQ91" si="37">VLOOKUP($AE80,$AE$8:$AQ$78,13,FALSE)</f>
        <v>1681.03</v>
      </c>
      <c r="AR80" s="125" t="str">
        <f>IF(AD80&lt;=8,RIGHT(AK80,1),"")</f>
        <v>A</v>
      </c>
      <c r="AS80" s="129" t="str">
        <f>IF(AD80&lt;=8,AE80,"")</f>
        <v>Mexico</v>
      </c>
      <c r="AT80" s="130" t="str">
        <f>"Ⓐ "&amp;AE80</f>
        <v>Ⓐ Mexico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Germany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10 - 3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Canada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1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4092.4250206642423</v>
      </c>
      <c r="AQ81" s="126">
        <f t="shared" si="37"/>
        <v>1556.48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Scotland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5 - 4</v>
      </c>
      <c r="P82" s="101">
        <f t="shared" ref="P82:P92" si="48">L82*3+M82</f>
        <v>4</v>
      </c>
      <c r="AD82" s="123">
        <f t="shared" si="38"/>
        <v>2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5</v>
      </c>
      <c r="AJ82" s="123">
        <f t="shared" si="42"/>
        <v>4</v>
      </c>
      <c r="AK82" s="123" t="s">
        <v>3182</v>
      </c>
      <c r="AL82" s="123">
        <f t="shared" si="43"/>
        <v>1</v>
      </c>
      <c r="AM82" s="123">
        <f t="shared" si="44"/>
        <v>5</v>
      </c>
      <c r="AN82" s="123">
        <f t="shared" si="45"/>
        <v>4</v>
      </c>
      <c r="AP82" s="123">
        <f>AN82/AN92*10000+AM82/AM92*1000+AI82/AI92*100+IF(AQ82=0,ROW(),AQ82)/2000000</f>
        <v>8462.1219612962122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Ⓛ Croatia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4 - 3</v>
      </c>
      <c r="P83" s="101">
        <f t="shared" si="48"/>
        <v>4</v>
      </c>
      <c r="AD83" s="123">
        <f t="shared" si="38"/>
        <v>5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1</v>
      </c>
      <c r="AJ83" s="123">
        <f t="shared" si="42"/>
        <v>1</v>
      </c>
      <c r="AK83" s="123" t="s">
        <v>3184</v>
      </c>
      <c r="AL83" s="123">
        <f t="shared" si="43"/>
        <v>0</v>
      </c>
      <c r="AM83" s="123">
        <f t="shared" si="44"/>
        <v>4</v>
      </c>
      <c r="AN83" s="123">
        <f t="shared" si="45"/>
        <v>4</v>
      </c>
      <c r="AP83" s="123">
        <f>AN83/AN92*10000+AM83/AM92*1000+AI83/AI92*100+IF(AQ83=0,ROW(),AQ83)/2000000</f>
        <v>8342.4249941742437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Senegal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4 - 4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Ivory Coast</v>
      </c>
      <c r="T84" s="127" t="str" cm="1">
        <f t="array" ref="T84">IF(OR(S84="",S84="draw"),INDEX(T,86,lang),S84)</f>
        <v>Ivory Coast</v>
      </c>
      <c r="AD84" s="123">
        <f t="shared" si="38"/>
        <v>1</v>
      </c>
      <c r="AE84" s="124" t="str">
        <f>J35</f>
        <v>Germany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10</v>
      </c>
      <c r="AJ84" s="123">
        <f t="shared" si="42"/>
        <v>3</v>
      </c>
      <c r="AK84" s="123" t="s">
        <v>3185</v>
      </c>
      <c r="AL84" s="123">
        <f t="shared" si="43"/>
        <v>7</v>
      </c>
      <c r="AM84" s="123">
        <f t="shared" si="44"/>
        <v>11</v>
      </c>
      <c r="AN84" s="123">
        <f t="shared" si="45"/>
        <v>4</v>
      </c>
      <c r="AP84" s="123">
        <f>AN84/AN92*10000+AM84/AM92*1000+AI84/AI92*100+IF(AQ84=0,ROW(),AQ84)/2000000</f>
        <v>9007.5766227607564</v>
      </c>
      <c r="AQ84" s="126">
        <f t="shared" si="37"/>
        <v>1730.37</v>
      </c>
      <c r="AR84" s="125" t="str">
        <f t="shared" si="50"/>
        <v>ACDE</v>
      </c>
      <c r="AS84" s="129" t="str">
        <f t="shared" si="46"/>
        <v>Germany</v>
      </c>
      <c r="AT84" s="130" t="str">
        <f>"Ⓔ "&amp;AE84</f>
        <v>Ⓔ Germany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Ⓓ Paraguay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1 - 1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7</v>
      </c>
      <c r="AE85" s="124" t="str">
        <f>J41</f>
        <v>Tunisia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5</v>
      </c>
      <c r="AJ85" s="123">
        <f t="shared" si="42"/>
        <v>5</v>
      </c>
      <c r="AK85" s="123" t="s">
        <v>3186</v>
      </c>
      <c r="AL85" s="123">
        <f t="shared" si="43"/>
        <v>0</v>
      </c>
      <c r="AM85" s="123">
        <f t="shared" si="44"/>
        <v>4</v>
      </c>
      <c r="AN85" s="123">
        <f t="shared" si="45"/>
        <v>3</v>
      </c>
      <c r="AP85" s="123">
        <f>AN85/AN92*10000+AM85/AM92*1000+AI85/AI92*100+IF(AQ85=0,ROW(),AQ85)/2000000</f>
        <v>6378.7886203128783</v>
      </c>
      <c r="AQ85" s="126">
        <f t="shared" si="37"/>
        <v>1483.05</v>
      </c>
      <c r="AR85" s="125" t="str">
        <f t="shared" si="50"/>
        <v>ACDEF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Belgium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2 - 3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6</v>
      </c>
      <c r="AE86" s="124" t="str">
        <f>J47</f>
        <v>Belgium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3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4</v>
      </c>
      <c r="AP86" s="123">
        <f>AN86/AN92*10000+AM86/AM92*1000+AI86/AI92*100+IF(AQ86=0,ROW(),AQ86)/2000000</f>
        <v>8268.1826855368181</v>
      </c>
      <c r="AQ86" s="126">
        <f t="shared" si="37"/>
        <v>1734.71</v>
      </c>
      <c r="AR86" s="125" t="str">
        <f t="shared" si="50"/>
        <v>ACDEFG</v>
      </c>
      <c r="AS86" s="129" t="str">
        <f t="shared" si="46"/>
        <v>Belgium</v>
      </c>
      <c r="AT86" s="130" t="str">
        <f>"Ⓖ "&amp;AE86</f>
        <v>Ⓖ Belgium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Ⓕ Tunisia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5 - 5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6101.5158622301515</v>
      </c>
      <c r="AQ87" s="126">
        <f t="shared" si="37"/>
        <v>1421.43</v>
      </c>
      <c r="AR87" s="125" t="str">
        <f t="shared" si="50"/>
        <v>ACDEFG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Ⓐ Mexico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4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8369.6978141919699</v>
      </c>
      <c r="AQ88" s="126">
        <f t="shared" si="37"/>
        <v>1688.99</v>
      </c>
      <c r="AR88" s="125" t="str">
        <f t="shared" si="50"/>
        <v>ACDEFGI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10</v>
      </c>
      <c r="AE89" s="124" t="str">
        <f>J65</f>
        <v>Austria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2</v>
      </c>
      <c r="AP89" s="123">
        <f>AN89/AN92*10000+AM89/AM92*1000+AI89/AI92*100+IF(AQ89=0,ROW(),AQ89)/2000000</f>
        <v>4184.8492815734853</v>
      </c>
      <c r="AQ89" s="126">
        <f t="shared" si="37"/>
        <v>1593.45</v>
      </c>
      <c r="AR89" s="125" t="str">
        <f t="shared" si="50"/>
        <v>ACDEFGI</v>
      </c>
      <c r="AS89" s="129" t="str">
        <f t="shared" si="46"/>
        <v/>
      </c>
      <c r="AT89" s="130" t="str">
        <f>"Ⓙ "&amp;AE89</f>
        <v>Ⓙ Austria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Austria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2 - 4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5</v>
      </c>
      <c r="AJ90" s="123">
        <f t="shared" si="42"/>
        <v>9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2045.4552846295455</v>
      </c>
      <c r="AQ90" s="126">
        <f t="shared" si="37"/>
        <v>1478.35</v>
      </c>
      <c r="AR90" s="125" t="str">
        <f t="shared" si="50"/>
        <v>ACDEFGI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Canada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1 - 4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Iran</v>
      </c>
      <c r="T91" s="127" t="str" cm="1">
        <f t="array" ref="T91">IF(OR(S91="",S91="draw"),INDEX(T,93,lang),S91)</f>
        <v>Iran</v>
      </c>
      <c r="AD91" s="123">
        <f t="shared" si="38"/>
        <v>3</v>
      </c>
      <c r="AE91" s="124" t="str">
        <f>J77</f>
        <v>Croatia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4</v>
      </c>
      <c r="AJ91" s="123">
        <f>VLOOKUP($AE91,$AE$8:$AQ$78,6,FALSE)</f>
        <v>3</v>
      </c>
      <c r="AK91" s="123" t="s">
        <v>3192</v>
      </c>
      <c r="AL91" s="123">
        <f>VLOOKUP($AE91,$AE$8:$AQ$78,8,FALSE)</f>
        <v>1</v>
      </c>
      <c r="AM91" s="123">
        <f t="shared" si="44"/>
        <v>5</v>
      </c>
      <c r="AN91" s="123">
        <f>VLOOKUP($AE91,$AE$8:$AQ$78,10,FALSE)</f>
        <v>4</v>
      </c>
      <c r="AP91" s="123">
        <f>AN91/AN92*10000+AM91/AM92*1000+AI91/AI92*100+IF(AQ91=0,ROW(),AQ91)/2000000</f>
        <v>8453.0311615653027</v>
      </c>
      <c r="AQ91" s="126">
        <f t="shared" si="37"/>
        <v>1717.07</v>
      </c>
      <c r="AR91" s="125" t="str">
        <f t="shared" si="50"/>
        <v>ACDEFGIL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5 - 9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11</v>
      </c>
      <c r="AJ92" s="123">
        <f>MAX(AJ80:AJ91)+1</f>
        <v>10</v>
      </c>
      <c r="AL92" s="123">
        <f>MIN(AL80:AL91)</f>
        <v>-4</v>
      </c>
      <c r="AM92" s="123">
        <f>MAX(AM80:AM91)+1</f>
        <v>12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279</v>
      </c>
      <c r="C3" s="121" t="str">
        <f>'2026 World Cup'!AR91</f>
        <v>ACDEFGIL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Ghelichkhani, Mani</cp:lastModifiedBy>
  <cp:revision/>
  <dcterms:created xsi:type="dcterms:W3CDTF">2017-12-27T19:32:51Z</dcterms:created>
  <dcterms:modified xsi:type="dcterms:W3CDTF">2026-06-11T17:51:43Z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  <property fmtid="{D5CDD505-2E9C-101B-9397-08002B2CF9AE}" pid="10" name="MSIP_Label_19e68092-05df-4271-8e3e-b2a4c82ba797_Enabled">
    <vt:lpwstr>true</vt:lpwstr>
  </property>
  <property fmtid="{D5CDD505-2E9C-101B-9397-08002B2CF9AE}" pid="11" name="MSIP_Label_19e68092-05df-4271-8e3e-b2a4c82ba797_SetDate">
    <vt:lpwstr>2026-06-11T17:27:01Z</vt:lpwstr>
  </property>
  <property fmtid="{D5CDD505-2E9C-101B-9397-08002B2CF9AE}" pid="12" name="MSIP_Label_19e68092-05df-4271-8e3e-b2a4c82ba797_Method">
    <vt:lpwstr>Standard</vt:lpwstr>
  </property>
  <property fmtid="{D5CDD505-2E9C-101B-9397-08002B2CF9AE}" pid="13" name="MSIP_Label_19e68092-05df-4271-8e3e-b2a4c82ba797_Name">
    <vt:lpwstr>Amazon Confidential</vt:lpwstr>
  </property>
  <property fmtid="{D5CDD505-2E9C-101B-9397-08002B2CF9AE}" pid="14" name="MSIP_Label_19e68092-05df-4271-8e3e-b2a4c82ba797_SiteId">
    <vt:lpwstr>5280104a-472d-4538-9ccf-1e1d0efe8b1b</vt:lpwstr>
  </property>
  <property fmtid="{D5CDD505-2E9C-101B-9397-08002B2CF9AE}" pid="15" name="MSIP_Label_19e68092-05df-4271-8e3e-b2a4c82ba797_ActionId">
    <vt:lpwstr>55a76125-f5ab-49bf-9781-d3fc6a2ff241</vt:lpwstr>
  </property>
  <property fmtid="{D5CDD505-2E9C-101B-9397-08002B2CF9AE}" pid="16" name="MSIP_Label_19e68092-05df-4271-8e3e-b2a4c82ba797_ContentBits">
    <vt:lpwstr>0</vt:lpwstr>
  </property>
  <property fmtid="{D5CDD505-2E9C-101B-9397-08002B2CF9AE}" pid="17" name="MSIP_Label_19e68092-05df-4271-8e3e-b2a4c82ba797_Tag">
    <vt:lpwstr>10, 3, 0, 1</vt:lpwstr>
  </property>
</Properties>
</file>