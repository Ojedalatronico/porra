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o/Library/CloudStorage/Dropbox/1. FM/3. WinP/"/>
    </mc:Choice>
  </mc:AlternateContent>
  <xr:revisionPtr revIDLastSave="0" documentId="13_ncr:1_{9A1D8731-FB52-5A41-B45C-96C21EE3A623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6" i="3"/>
  <c r="S47" i="3"/>
  <c r="S67" i="3"/>
  <c r="S72" i="3"/>
  <c r="T19" i="3"/>
  <c r="S70" i="3"/>
  <c r="S42" i="3"/>
  <c r="S64" i="3"/>
  <c r="T41" i="3"/>
  <c r="S40" i="3"/>
  <c r="S62" i="3"/>
  <c r="T61" i="3"/>
  <c r="S38" i="3"/>
  <c r="S65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11" i="3"/>
  <c r="AR10" i="3"/>
  <c r="AR9" i="3"/>
  <c r="AR35" i="3"/>
  <c r="AR34" i="3"/>
  <c r="AR28" i="3" l="1"/>
  <c r="AR33" i="3"/>
  <c r="AD33" i="3" s="1"/>
  <c r="AR21" i="3"/>
  <c r="AR22" i="3"/>
  <c r="AD5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2" i="3"/>
  <c r="AD34" i="3"/>
  <c r="AD35" i="3"/>
  <c r="AD9" i="3"/>
  <c r="AD8" i="3"/>
  <c r="AD10" i="3"/>
  <c r="AD11" i="3"/>
  <c r="AD77" i="3" l="1"/>
  <c r="AD53" i="3"/>
  <c r="AD20" i="3"/>
  <c r="AD41" i="3"/>
  <c r="AD21" i="3"/>
  <c r="O24" i="3" s="1"/>
  <c r="AD75" i="3"/>
  <c r="AD29" i="3"/>
  <c r="M58" i="3"/>
  <c r="L58" i="3"/>
  <c r="M59" i="3"/>
  <c r="AD15" i="3"/>
  <c r="AD47" i="3"/>
  <c r="AD63" i="3"/>
  <c r="AD68" i="3"/>
  <c r="AD76" i="3"/>
  <c r="O60" i="3"/>
  <c r="AD70" i="3"/>
  <c r="AD26" i="3"/>
  <c r="M27" i="3" s="1"/>
  <c r="L59" i="3"/>
  <c r="N58" i="3"/>
  <c r="AD71" i="3"/>
  <c r="AD44" i="3"/>
  <c r="AD27" i="3"/>
  <c r="AD14" i="3"/>
  <c r="AD62" i="3"/>
  <c r="AD28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M39" i="3" s="1"/>
  <c r="AD50" i="3"/>
  <c r="N59" i="3"/>
  <c r="AD1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69" i="3" l="1"/>
  <c r="AS68" i="3" s="1"/>
  <c r="BL70" i="3" s="1"/>
  <c r="J24" i="3"/>
  <c r="M24" i="3"/>
  <c r="L24" i="3"/>
  <c r="N24" i="3"/>
  <c r="K24" i="3" s="1"/>
  <c r="L23" i="3"/>
  <c r="L22" i="3"/>
  <c r="M22" i="3"/>
  <c r="P22" i="3" s="1"/>
  <c r="J22" i="3"/>
  <c r="AS21" i="3" s="1"/>
  <c r="BL23" i="3" s="1"/>
  <c r="N22" i="3"/>
  <c r="O22" i="3"/>
  <c r="P58" i="3"/>
  <c r="O75" i="3"/>
  <c r="K58" i="3"/>
  <c r="M69" i="3"/>
  <c r="L69" i="3"/>
  <c r="O71" i="3"/>
  <c r="O69" i="3"/>
  <c r="P59" i="3"/>
  <c r="J45" i="3"/>
  <c r="AS44" i="3" s="1"/>
  <c r="BL38" i="3" s="1"/>
  <c r="O54" i="3"/>
  <c r="N69" i="3"/>
  <c r="N64" i="3"/>
  <c r="M76" i="3"/>
  <c r="J77" i="3"/>
  <c r="AE91" i="3" s="1"/>
  <c r="AQ91" i="3" s="1"/>
  <c r="N78" i="3"/>
  <c r="M77" i="3"/>
  <c r="L76" i="3"/>
  <c r="N45" i="3"/>
  <c r="N21" i="3"/>
  <c r="M21" i="3"/>
  <c r="J21" i="3"/>
  <c r="AS20" i="3" s="1"/>
  <c r="BL42" i="3" s="1"/>
  <c r="BS44" i="3" s="1"/>
  <c r="BZ48" i="3" s="1"/>
  <c r="L21" i="3"/>
  <c r="O21" i="3"/>
  <c r="P57" i="3"/>
  <c r="N16" i="3"/>
  <c r="L45" i="3"/>
  <c r="O27" i="3"/>
  <c r="J70" i="3"/>
  <c r="AS69" i="3" s="1"/>
  <c r="BL26" i="3" s="1"/>
  <c r="J27" i="3"/>
  <c r="AS26" i="3" s="1"/>
  <c r="BL34" i="3" s="1"/>
  <c r="K59" i="3"/>
  <c r="L27" i="3"/>
  <c r="P27" i="3" s="1"/>
  <c r="M71" i="3"/>
  <c r="N27" i="3"/>
  <c r="N77" i="3"/>
  <c r="O28" i="3"/>
  <c r="L71" i="3"/>
  <c r="N39" i="3"/>
  <c r="J39" i="3"/>
  <c r="AS38" i="3" s="1"/>
  <c r="BL22" i="3" s="1"/>
  <c r="O64" i="3"/>
  <c r="O63" i="3"/>
  <c r="L64" i="3"/>
  <c r="J64" i="3"/>
  <c r="AS63" i="3" s="1"/>
  <c r="BL31" i="3" s="1"/>
  <c r="O66" i="3"/>
  <c r="O65" i="3"/>
  <c r="L63" i="3"/>
  <c r="N63" i="3"/>
  <c r="J66" i="3"/>
  <c r="N65" i="3"/>
  <c r="N52" i="3"/>
  <c r="J63" i="3"/>
  <c r="AS62" i="3" s="1"/>
  <c r="BL58" i="3" s="1"/>
  <c r="BS60" i="3" s="1"/>
  <c r="BZ64" i="3" s="1"/>
  <c r="M65" i="3"/>
  <c r="O51" i="3"/>
  <c r="AJ88" i="3"/>
  <c r="M64" i="3"/>
  <c r="J65" i="3"/>
  <c r="AE89" i="3" s="1"/>
  <c r="AQ89" i="3" s="1"/>
  <c r="O17" i="3"/>
  <c r="M63" i="3"/>
  <c r="L65" i="3"/>
  <c r="O45" i="3"/>
  <c r="AI88" i="3"/>
  <c r="AG88" i="3"/>
  <c r="M16" i="3"/>
  <c r="N54" i="3"/>
  <c r="O46" i="3"/>
  <c r="N66" i="3"/>
  <c r="M45" i="3"/>
  <c r="L54" i="3"/>
  <c r="L48" i="3"/>
  <c r="L39" i="3"/>
  <c r="P39" i="3" s="1"/>
  <c r="L28" i="3"/>
  <c r="L17" i="3"/>
  <c r="L15" i="3"/>
  <c r="K57" i="3"/>
  <c r="J47" i="3"/>
  <c r="AE86" i="3" s="1"/>
  <c r="AQ86" i="3" s="1"/>
  <c r="J42" i="3"/>
  <c r="L30" i="3"/>
  <c r="M66" i="3"/>
  <c r="N51" i="3"/>
  <c r="O30" i="3"/>
  <c r="J29" i="3"/>
  <c r="AE83" i="3" s="1"/>
  <c r="AQ83" i="3" s="1"/>
  <c r="O18" i="3"/>
  <c r="L66" i="3"/>
  <c r="L51" i="3"/>
  <c r="M28" i="3"/>
  <c r="J30" i="3"/>
  <c r="M17" i="3"/>
  <c r="N18" i="3"/>
  <c r="M42" i="3"/>
  <c r="J52" i="3"/>
  <c r="AS51" i="3" s="1"/>
  <c r="BL59" i="3" s="1"/>
  <c r="N30" i="3"/>
  <c r="L18" i="3"/>
  <c r="J51" i="3"/>
  <c r="AS50" i="3" s="1"/>
  <c r="BL30" i="3" s="1"/>
  <c r="J28" i="3"/>
  <c r="AS27" i="3" s="1"/>
  <c r="BL62" i="3" s="1"/>
  <c r="BS61" i="3" s="1"/>
  <c r="M51" i="3"/>
  <c r="O39" i="3"/>
  <c r="M30" i="3"/>
  <c r="O23" i="3"/>
  <c r="L16" i="3"/>
  <c r="M54" i="3"/>
  <c r="J16" i="3"/>
  <c r="AS15" i="3" s="1"/>
  <c r="BL19" i="3" s="1"/>
  <c r="AF88" i="3"/>
  <c r="O29" i="3"/>
  <c r="M47" i="3"/>
  <c r="J78" i="3"/>
  <c r="J72" i="3"/>
  <c r="N70" i="3"/>
  <c r="N76" i="3"/>
  <c r="M70" i="3"/>
  <c r="L47" i="3"/>
  <c r="M75" i="3"/>
  <c r="L40" i="3"/>
  <c r="M78" i="3"/>
  <c r="L75" i="3"/>
  <c r="N71" i="3"/>
  <c r="O48" i="3"/>
  <c r="J48" i="3"/>
  <c r="O40" i="3"/>
  <c r="M29" i="3"/>
  <c r="M18" i="3"/>
  <c r="AN88" i="3"/>
  <c r="M41" i="3"/>
  <c r="J40" i="3"/>
  <c r="AS39" i="3" s="1"/>
  <c r="BL43" i="3" s="1"/>
  <c r="M48" i="3"/>
  <c r="J71" i="3"/>
  <c r="AE90" i="3" s="1"/>
  <c r="AQ90" i="3" s="1"/>
  <c r="L46" i="3"/>
  <c r="O77" i="3"/>
  <c r="N46" i="3"/>
  <c r="J41" i="3"/>
  <c r="AE85" i="3" s="1"/>
  <c r="AQ85" i="3" s="1"/>
  <c r="N40" i="3"/>
  <c r="J76" i="3"/>
  <c r="AS75" i="3" s="1"/>
  <c r="BL27" i="3" s="1"/>
  <c r="L70" i="3"/>
  <c r="N48" i="3"/>
  <c r="O76" i="3"/>
  <c r="M40" i="3"/>
  <c r="L29" i="3"/>
  <c r="J18" i="3"/>
  <c r="O42" i="3"/>
  <c r="N72" i="3"/>
  <c r="N47" i="3"/>
  <c r="J75" i="3"/>
  <c r="AS74" i="3" s="1"/>
  <c r="BL54" i="3" s="1"/>
  <c r="M72" i="3"/>
  <c r="O47" i="3"/>
  <c r="O78" i="3"/>
  <c r="N75" i="3"/>
  <c r="L72" i="3"/>
  <c r="M46" i="3"/>
  <c r="J46" i="3"/>
  <c r="AS45" i="3" s="1"/>
  <c r="BL63" i="3" s="1"/>
  <c r="L42" i="3"/>
  <c r="P42" i="3" s="1"/>
  <c r="N28" i="3"/>
  <c r="N29" i="3"/>
  <c r="O16" i="3"/>
  <c r="N17" i="3"/>
  <c r="O70" i="3"/>
  <c r="L77" i="3"/>
  <c r="O72" i="3"/>
  <c r="L78" i="3"/>
  <c r="AT88" i="3"/>
  <c r="N5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P24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K22" i="3" l="1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P23" i="3"/>
  <c r="P69" i="3"/>
  <c r="P45" i="3"/>
  <c r="K69" i="3"/>
  <c r="P76" i="3"/>
  <c r="AT91" i="3"/>
  <c r="AL91" i="3"/>
  <c r="AJ91" i="3"/>
  <c r="AI91" i="3"/>
  <c r="AH91" i="3"/>
  <c r="AG91" i="3"/>
  <c r="K77" i="3"/>
  <c r="AN91" i="3"/>
  <c r="AF91" i="3"/>
  <c r="K76" i="3"/>
  <c r="K21" i="3"/>
  <c r="P21" i="3"/>
  <c r="P71" i="3"/>
  <c r="AL83" i="3"/>
  <c r="K45" i="3"/>
  <c r="K27" i="3"/>
  <c r="K16" i="3"/>
  <c r="P54" i="3"/>
  <c r="K71" i="3"/>
  <c r="P63" i="3"/>
  <c r="K64" i="3"/>
  <c r="AI90" i="3"/>
  <c r="AN87" i="3"/>
  <c r="AL87" i="3"/>
  <c r="AT87" i="3"/>
  <c r="P16" i="3"/>
  <c r="AT89" i="3"/>
  <c r="AT86" i="3"/>
  <c r="AN89" i="3"/>
  <c r="AT82" i="3"/>
  <c r="AH82" i="3"/>
  <c r="AL86" i="3"/>
  <c r="AJ87" i="3"/>
  <c r="AG90" i="3"/>
  <c r="AG82" i="3"/>
  <c r="P64" i="3"/>
  <c r="AN82" i="3"/>
  <c r="AH90" i="3"/>
  <c r="AL89" i="3"/>
  <c r="AN86" i="3"/>
  <c r="AI86" i="3"/>
  <c r="AH86" i="3"/>
  <c r="AF87" i="3"/>
  <c r="AG89" i="3"/>
  <c r="AJ89" i="3"/>
  <c r="AJ86" i="3"/>
  <c r="AH87" i="3"/>
  <c r="AI89" i="3"/>
  <c r="AG87" i="3"/>
  <c r="AF82" i="3"/>
  <c r="AH89" i="3"/>
  <c r="AG86" i="3"/>
  <c r="AF89" i="3"/>
  <c r="AF86" i="3"/>
  <c r="P51" i="3"/>
  <c r="AF90" i="3"/>
  <c r="AL90" i="3"/>
  <c r="K78" i="3"/>
  <c r="P17" i="3"/>
  <c r="P46" i="3"/>
  <c r="P30" i="3"/>
  <c r="AJ82" i="3"/>
  <c r="AI82" i="3"/>
  <c r="P77" i="3"/>
  <c r="P72" i="3"/>
  <c r="K15" i="3"/>
  <c r="P75" i="3"/>
  <c r="AT90" i="3"/>
  <c r="K18" i="3"/>
  <c r="P47" i="3"/>
  <c r="P29" i="3"/>
  <c r="P70" i="3"/>
  <c r="K51" i="3"/>
  <c r="P48" i="3"/>
  <c r="P65" i="3"/>
  <c r="AJ90" i="3"/>
  <c r="P66" i="3"/>
  <c r="K63" i="3"/>
  <c r="K66" i="3"/>
  <c r="AT81" i="3"/>
  <c r="AL85" i="3"/>
  <c r="AN81" i="3"/>
  <c r="AJ85" i="3"/>
  <c r="K46" i="3"/>
  <c r="K17" i="3"/>
  <c r="AI85" i="3"/>
  <c r="K41" i="3"/>
  <c r="K65" i="3"/>
  <c r="P52" i="3"/>
  <c r="K29" i="3"/>
  <c r="K30" i="3"/>
  <c r="P28" i="3"/>
  <c r="K28" i="3"/>
  <c r="AN83" i="3"/>
  <c r="AN85" i="3"/>
  <c r="K42" i="3"/>
  <c r="K47" i="3"/>
  <c r="K70" i="3"/>
  <c r="K40" i="3"/>
  <c r="AJ83" i="3"/>
  <c r="AG83" i="3"/>
  <c r="AI83" i="3"/>
  <c r="K54" i="3"/>
  <c r="AI81" i="3"/>
  <c r="AF83" i="3"/>
  <c r="K39" i="3"/>
  <c r="AJ81" i="3"/>
  <c r="AG85" i="3"/>
  <c r="AH81" i="3"/>
  <c r="AG81" i="3"/>
  <c r="P78" i="3"/>
  <c r="AL81" i="3"/>
  <c r="P18" i="3"/>
  <c r="AH83" i="3"/>
  <c r="AH85" i="3"/>
  <c r="AF85" i="3"/>
  <c r="AF81" i="3"/>
  <c r="AT83" i="3"/>
  <c r="AT85" i="3"/>
  <c r="AN90" i="3"/>
  <c r="K48" i="3"/>
  <c r="K72" i="3"/>
  <c r="K75" i="3"/>
  <c r="P53" i="3"/>
  <c r="P40" i="3"/>
  <c r="P15" i="3"/>
  <c r="P41" i="3"/>
  <c r="K53" i="3"/>
  <c r="K23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L92" i="3"/>
  <c r="AM88" i="3" s="1"/>
  <c r="AF92" i="3"/>
  <c r="AI92" i="3"/>
  <c r="AG92" i="3"/>
  <c r="AN92" i="3"/>
  <c r="AH92" i="3"/>
  <c r="AS92" i="3"/>
  <c r="S103" i="3" l="1"/>
  <c r="T103" i="3" s="1" a="1"/>
  <c r="T103" i="3" s="1"/>
  <c r="CG24" i="3"/>
  <c r="CN48" i="3" s="1"/>
  <c r="AM91" i="3"/>
  <c r="AM83" i="3"/>
  <c r="AM84" i="3"/>
  <c r="AM85" i="3"/>
  <c r="AM86" i="3"/>
  <c r="AM87" i="3"/>
  <c r="AM81" i="3"/>
  <c r="AM80" i="3"/>
  <c r="AM89" i="3"/>
  <c r="AM90" i="3"/>
  <c r="AM82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2" i="3"/>
  <c r="AP88" i="3"/>
  <c r="AP90" i="3"/>
  <c r="AP86" i="3"/>
  <c r="AP84" i="3"/>
  <c r="AP83" i="3"/>
  <c r="AP89" i="3"/>
  <c r="AP81" i="3"/>
  <c r="AP85" i="3"/>
  <c r="AP91" i="3"/>
  <c r="CN37" i="3" l="1"/>
  <c r="CK68" i="3" s="1"/>
  <c r="S111" i="3"/>
  <c r="T111" i="3" s="1"/>
  <c r="AD89" i="3"/>
  <c r="AS89" i="3" s="1"/>
  <c r="AD90" i="3"/>
  <c r="AS90" i="3" s="1"/>
  <c r="AD83" i="3"/>
  <c r="AS83" i="3" s="1"/>
  <c r="AD86" i="3"/>
  <c r="AS86" i="3" s="1"/>
  <c r="AD84" i="3"/>
  <c r="AS84" i="3" s="1"/>
  <c r="AD82" i="3"/>
  <c r="AS82" i="3" s="1"/>
  <c r="AD91" i="3"/>
  <c r="AS91" i="3" s="1"/>
  <c r="AD88" i="3"/>
  <c r="AS88" i="3" s="1"/>
  <c r="AD81" i="3"/>
  <c r="AS81" i="3" s="1"/>
  <c r="AD85" i="3"/>
  <c r="AS85" i="3" s="1"/>
  <c r="AD80" i="3"/>
  <c r="AD87" i="3"/>
  <c r="AS87" i="3" s="1"/>
  <c r="M85" i="3" l="1"/>
  <c r="M81" i="3"/>
  <c r="J83" i="3"/>
  <c r="N81" i="3"/>
  <c r="M83" i="3"/>
  <c r="L92" i="3"/>
  <c r="J85" i="3"/>
  <c r="J84" i="3"/>
  <c r="M86" i="3"/>
  <c r="J86" i="3"/>
  <c r="L91" i="3"/>
  <c r="J91" i="3"/>
  <c r="M82" i="3"/>
  <c r="J82" i="3"/>
  <c r="J90" i="3"/>
  <c r="N83" i="3"/>
  <c r="O85" i="3"/>
  <c r="M90" i="3"/>
  <c r="O84" i="3"/>
  <c r="J81" i="3"/>
  <c r="L84" i="3"/>
  <c r="N91" i="3"/>
  <c r="N85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9" i="3"/>
  <c r="M84" i="3"/>
  <c r="L82" i="3"/>
  <c r="O92" i="3"/>
  <c r="L89" i="3"/>
  <c r="O82" i="3"/>
  <c r="L90" i="3"/>
  <c r="M92" i="3"/>
  <c r="O81" i="3"/>
  <c r="O86" i="3"/>
  <c r="N86" i="3"/>
  <c r="J89" i="3"/>
  <c r="L81" i="3"/>
  <c r="P81" i="3" s="1"/>
  <c r="M91" i="3"/>
  <c r="N89" i="3"/>
  <c r="O88" i="3"/>
  <c r="L85" i="3"/>
  <c r="N92" i="3"/>
  <c r="O89" i="3"/>
  <c r="O90" i="3"/>
  <c r="O91" i="3"/>
  <c r="N88" i="3"/>
  <c r="L87" i="3"/>
  <c r="L86" i="3"/>
  <c r="N87" i="3"/>
  <c r="N90" i="3"/>
  <c r="M87" i="3"/>
  <c r="J87" i="3"/>
  <c r="N84" i="3"/>
  <c r="L83" i="3"/>
  <c r="O83" i="3"/>
  <c r="N82" i="3"/>
  <c r="AS80" i="3"/>
  <c r="O87" i="3"/>
  <c r="M88" i="3"/>
  <c r="L88" i="3"/>
  <c r="J88" i="3"/>
  <c r="J92" i="3"/>
  <c r="P83" i="3" l="1"/>
  <c r="K92" i="3"/>
  <c r="P92" i="3"/>
  <c r="K86" i="3"/>
  <c r="P82" i="3"/>
  <c r="P90" i="3"/>
  <c r="P89" i="3"/>
  <c r="B3" i="4"/>
  <c r="K85" i="3"/>
  <c r="K91" i="3"/>
  <c r="P84" i="3"/>
  <c r="K89" i="3"/>
  <c r="D3" i="4"/>
  <c r="BL51" i="3" s="1"/>
  <c r="I3" i="4"/>
  <c r="BL15" i="3" s="1"/>
  <c r="G3" i="4"/>
  <c r="BL11" i="3" s="1"/>
  <c r="K82" i="3"/>
  <c r="K84" i="3"/>
  <c r="J3" i="4"/>
  <c r="BL71" i="3" s="1"/>
  <c r="K3" i="4"/>
  <c r="BL55" i="3" s="1"/>
  <c r="H3" i="4"/>
  <c r="BL39" i="3" s="1"/>
  <c r="E3" i="4"/>
  <c r="BL67" i="3" s="1"/>
  <c r="K90" i="3"/>
  <c r="P85" i="3"/>
  <c r="P86" i="3"/>
  <c r="K81" i="3"/>
  <c r="P91" i="3"/>
  <c r="K87" i="3"/>
  <c r="K88" i="3"/>
  <c r="P87" i="3"/>
  <c r="K83" i="3"/>
  <c r="P88" i="3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<sst xmlns="http://schemas.openxmlformats.org/spreadsheetml/2006/main" count="9785" uniqueCount="3699">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</sst>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16" zoomScale="368" workbookViewId="0">
      <selection activeCell="B2" sqref="B2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38" zoomScale="125" zoomScaleNormal="100" workbookViewId="0">
      <selection activeCell="CT52" sqref="CT52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90000009.948892459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7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0.28642915071428571</v>
      </c>
      <c r="AQ9" s="126">
        <f>VLOOKUP(AE9,db_fifarank,2,FALSE)</f>
        <v>1429.73</v>
      </c>
      <c r="AR9" s="125">
        <f>AP9/AP12</f>
        <v>3.1825457318770529E-9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3</v>
      </c>
      <c r="AL10" s="123">
        <f>AI10-AJ10</f>
        <v>2</v>
      </c>
      <c r="AM10" s="123">
        <f>AL10-AL12</f>
        <v>7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60000007.078716412</v>
      </c>
      <c r="AQ10" s="126">
        <f>VLOOKUP(AE10,db_fifarank,2,FALSE)</f>
        <v>1588.66</v>
      </c>
      <c r="AR10" s="125">
        <f>AP10/AP12</f>
        <v>0.66666666421616438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4 - 6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6</v>
      </c>
      <c r="AL11" s="123">
        <f>AI11-AJ11</f>
        <v>-2</v>
      </c>
      <c r="AM11" s="123">
        <f>AL11-AL12</f>
        <v>3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30000003.299451988</v>
      </c>
      <c r="AQ11" s="126">
        <f>VLOOKUP(AE11,db_fifarank,2,FALSE)</f>
        <v>1501.38</v>
      </c>
      <c r="AR11" s="125">
        <f>AP11/AP12</f>
        <v>0.33333332944245792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2 - 7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7</v>
      </c>
      <c r="AL12" s="123">
        <f>MIN(AL8:AL11)</f>
        <v>-5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90000010.948892459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3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3000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4</v>
      </c>
      <c r="BU13" s="64"/>
      <c r="BV13" s="27"/>
      <c r="BW13" s="113">
        <f>IF(BW12="","",BT13*1000+BU13*10+BV13)</f>
        <v>4000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3</v>
      </c>
      <c r="AL14" s="123">
        <f>AI14-AJ14</f>
        <v>0</v>
      </c>
      <c r="AM14" s="123">
        <f>AL14-AL18</f>
        <v>5</v>
      </c>
      <c r="AN14" s="123">
        <f>AF14*3+AG14</f>
        <v>4</v>
      </c>
      <c r="AO14" s="123">
        <f>AN14/AN18*10+BA14</f>
        <v>4.9805825242718447</v>
      </c>
      <c r="AP14" s="123">
        <f>AO14*10000000+BI14*100+AM14/AM18*10+AI14/AI18*1++IF(AQ14=0,ROW(),AQ14)/2000000</f>
        <v>49805927.843415774</v>
      </c>
      <c r="AQ14" s="126">
        <f>VLOOKUP(AE14,db_fifarank,2,FALSE)</f>
        <v>1556.48</v>
      </c>
      <c r="AR14" s="125">
        <f>AP14/AP18</f>
        <v>0.55339913036122945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7</v>
      </c>
      <c r="AL15" s="123">
        <f>AI15-AJ15</f>
        <v>-5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0.25069291999999999</v>
      </c>
      <c r="AQ15" s="126">
        <f>VLOOKUP(AE15,db_fifarank,2,FALSE)</f>
        <v>1385.84</v>
      </c>
      <c r="AR15" s="125">
        <f>AP15/AP18</f>
        <v>2.7854765471266582E-9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Australia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3 - 3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4</v>
      </c>
      <c r="AJ16" s="123">
        <f>SUMIF($E$7:$E$78,$AE16,$G$7:$G$78) + SUMIF($H$7:$H$78,$AE16,$F$7:$F$78)</f>
        <v>5</v>
      </c>
      <c r="AL16" s="123">
        <f>AI16-AJ16</f>
        <v>-1</v>
      </c>
      <c r="AM16" s="123">
        <f>AL16-AL18</f>
        <v>4</v>
      </c>
      <c r="AN16" s="123">
        <f>AF16*3+AG16</f>
        <v>4</v>
      </c>
      <c r="AO16" s="123">
        <f>AN16/AN18*10+BA16</f>
        <v>4.9805825242718447</v>
      </c>
      <c r="AP16" s="123">
        <f>AO16*10000000+BI16*100+AM16/AM18*10+AI16/AI18*1++IF(AQ16=0,ROW(),AQ16)/2000000</f>
        <v>49805927.135031685</v>
      </c>
      <c r="AQ16" s="126">
        <f>VLOOKUP(AE16,db_fifarank,2,FALSE)</f>
        <v>1454.96</v>
      </c>
      <c r="AR16" s="125">
        <f>AP16/AP18</f>
        <v>0.5533991224902961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4 - 5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1</v>
      </c>
      <c r="AL17" s="123">
        <f>AI17-AJ17</f>
        <v>6</v>
      </c>
      <c r="AM17" s="123">
        <f>AL17-AL18</f>
        <v>11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90000010.042491376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2</v>
      </c>
      <c r="CB17" s="64"/>
      <c r="CC17" s="27"/>
      <c r="CD17" s="113">
        <f>IF(CD16="","",CA17*1000+CB17*10+CC17)</f>
        <v>2000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8</v>
      </c>
      <c r="AL18" s="123">
        <f>MIN(AL14:AL17)</f>
        <v>-5</v>
      </c>
      <c r="AM18" s="123">
        <f>MAX(AM14:AM17)+1</f>
        <v>12</v>
      </c>
      <c r="AN18" s="123">
        <f>MAX(AN14:AN17)+1</f>
        <v>10</v>
      </c>
      <c r="AO18" s="123">
        <f>MAX(AO14:AO17)+1</f>
        <v>10</v>
      </c>
      <c r="AP18" s="123">
        <f>MAX(AP14:AP17)+1</f>
        <v>90000011.042491376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>
        <v>1</v>
      </c>
      <c r="BO18" s="25">
        <v>3</v>
      </c>
      <c r="BP18" s="112">
        <f>IF(OR(BM18="",BM19="",AND(BN18="",BN19&lt;&gt;""),AND(BN19="",BN18&lt;&gt;""),AND(BO18="",BO19&lt;&gt;""),AND(BO19="",BO18&lt;&gt;"")),"",BM18*1000+BN18*10+BO18)</f>
        <v>1013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>
        <v>1</v>
      </c>
      <c r="BO19" s="27">
        <v>4</v>
      </c>
      <c r="BP19" s="113">
        <f>IF(BP18="","",BM19*1000+BN19*10+BO19)</f>
        <v>1014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18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97305933.664424568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1</v>
      </c>
      <c r="BU20" s="63">
        <v>1</v>
      </c>
      <c r="BV20" s="25"/>
      <c r="BW20" s="116">
        <f>IF(OR(BT20="",BT21="",AND(BU20="",BU21&lt;&gt;""),AND(BU21="",BU20&lt;&gt;""),AND(BV20="",BV21&lt;&gt;""),AND(BV21="",BV20&lt;&gt;"")),"",BT20*1000+BU20*10+BV20)</f>
        <v>1010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2</v>
      </c>
      <c r="AL21" s="123">
        <f>AI21-AJ21</f>
        <v>5</v>
      </c>
      <c r="AM21" s="123">
        <f>AL21-AL24</f>
        <v>16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97305932.500679225</v>
      </c>
      <c r="AQ21" s="126">
        <f>VLOOKUP(AE21,db_fifarank,2,FALSE)</f>
        <v>1755.87</v>
      </c>
      <c r="AR21" s="125">
        <f>AP21/AP24</f>
        <v>0.99999997776348015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>
        <v>2</v>
      </c>
      <c r="BV21" s="27"/>
      <c r="BW21" s="112">
        <f>IF(BW20="","",BT21*1000+BU21*10+BV21)</f>
        <v>1020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6.6373649482668926E-12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>
        <v>2</v>
      </c>
      <c r="BO22" s="25"/>
      <c r="BP22" s="116">
        <f>IF(OR(BM22="",BM23="",AND(BN22="",BN23&lt;&gt;""),AND(BN23="",BN22&lt;&gt;""),AND(BO22="",BO23&lt;&gt;""),AND(BO23="",BO22&lt;&gt;"")),"",BM22*1000+BN22*10+BO22)</f>
        <v>2020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10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37500005.708351523</v>
      </c>
      <c r="AQ23" s="126">
        <f>VLOOKUP(AE23,db_fifarank,2,FALSE)</f>
        <v>1498.35</v>
      </c>
      <c r="AR23" s="125">
        <f>AP23/AP24</f>
        <v>0.38538251379709187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>
        <v>3</v>
      </c>
      <c r="BO23" s="27"/>
      <c r="BP23" s="112">
        <f>IF(BP22="","",BM23*1000+BN23*10+BO23)</f>
        <v>2030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3</v>
      </c>
      <c r="CI23" s="63">
        <v>4</v>
      </c>
      <c r="CJ23" s="25"/>
      <c r="CK23" s="112">
        <f>IF(OR(CH23="",CH24="",AND(CI23="",CI24&lt;&gt;""),AND(CI24="",CI23&lt;&gt;""),AND(CJ23="",CJ24&lt;&gt;""),AND(CJ24="",CJ23&lt;&gt;"")),"",CH23*1000+CI23*10+CJ23)</f>
        <v>3040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-11</v>
      </c>
      <c r="AM24" s="123">
        <f>MAX(AM20:AM23)+1</f>
        <v>19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97305934.664424568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3</v>
      </c>
      <c r="CI24" s="64">
        <v>3</v>
      </c>
      <c r="CJ24" s="27"/>
      <c r="CK24" s="113">
        <f>IF(CK23="","",CH24*1000+CI24*10+CJ24)</f>
        <v>3030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8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87500009.746868312</v>
      </c>
      <c r="AQ26" s="126">
        <f>VLOOKUP(AE26,db_fifarank,2,FALSE)</f>
        <v>1673.13</v>
      </c>
      <c r="AR26" s="125">
        <f>AP26/AP30</f>
        <v>0.99999998857143002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1013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6</v>
      </c>
      <c r="AL27" s="123">
        <f>AI27-AJ27</f>
        <v>-4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0.28646603571428569</v>
      </c>
      <c r="AQ27" s="126">
        <f>VLOOKUP(AE27,db_fifarank,2,FALSE)</f>
        <v>1503.5</v>
      </c>
      <c r="AR27" s="125">
        <f>AP27/AP30</f>
        <v>3.2738971489159334E-9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1</v>
      </c>
      <c r="BO27" s="27">
        <v>4</v>
      </c>
      <c r="BP27" s="113">
        <f>IF(BP26="","",BM27*1000+BN27*10+BO27)</f>
        <v>1014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5 - 4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4</v>
      </c>
      <c r="AL28" s="123">
        <f>AI28-AJ28</f>
        <v>-1</v>
      </c>
      <c r="AM28" s="123">
        <f>AL28-AL30</f>
        <v>3</v>
      </c>
      <c r="AN28" s="123">
        <f>AF28*3+AG28</f>
        <v>4</v>
      </c>
      <c r="AO28" s="123">
        <f>AN28/AN30*10+BA28</f>
        <v>5</v>
      </c>
      <c r="AP28" s="123">
        <f>AO28*10000000+BI28*100+AM28/AM30*10+AI28/AI30*1++IF(AQ28=0,ROW(),AQ28)/2000000</f>
        <v>50000003.762695096</v>
      </c>
      <c r="AQ28" s="126">
        <f>VLOOKUP(AE28,db_fifarank,2,FALSE)</f>
        <v>1580.67</v>
      </c>
      <c r="AR28" s="125">
        <f>AP28/AP30</f>
        <v>0.5714285442471746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5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62500006.27064079</v>
      </c>
      <c r="AQ29" s="126">
        <f>VLOOKUP(AE29,db_fifarank,2,FALSE)</f>
        <v>1599.04</v>
      </c>
      <c r="AR29" s="125">
        <f>AP29/AP30</f>
        <v>0.71428569822064514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87500010.746868312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3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0</v>
      </c>
      <c r="AL32" s="123">
        <f>AI32-AJ32</f>
        <v>10</v>
      </c>
      <c r="AM32" s="123">
        <f>AL32-AL36</f>
        <v>20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90000010.43376562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1</v>
      </c>
      <c r="V33" s="123">
        <f t="shared" si="3"/>
        <v>1</v>
      </c>
      <c r="W33" s="123">
        <f t="shared" si="4"/>
        <v>1</v>
      </c>
      <c r="X33" s="123">
        <f t="shared" si="9"/>
        <v>1</v>
      </c>
      <c r="Y33" s="123">
        <f t="shared" si="10"/>
        <v>1</v>
      </c>
      <c r="Z33" s="123">
        <f t="shared" si="11"/>
        <v>1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11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9.1556415909090916E-2</v>
      </c>
      <c r="AQ33" s="126">
        <f>VLOOKUP(AE33,db_fifarank,2,FALSE)</f>
        <v>1294.6500000000001</v>
      </c>
      <c r="AR33" s="125">
        <f>AP33/AP36</f>
        <v>1.017293380862187E-9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6</v>
      </c>
      <c r="AL34" s="123">
        <f>AI34-AJ34</f>
        <v>-2</v>
      </c>
      <c r="AM34" s="123">
        <f>AL34-AL36</f>
        <v>8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30000004.173926663</v>
      </c>
      <c r="AQ34" s="126">
        <f>VLOOKUP(AE34,db_fifarank,2,FALSE)</f>
        <v>1532.98</v>
      </c>
      <c r="AR34" s="125">
        <f>AP34/AP36</f>
        <v>0.33333333736301568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4 - 6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3</v>
      </c>
      <c r="AL35" s="123">
        <f>AI35-AJ35</f>
        <v>2</v>
      </c>
      <c r="AM35" s="123">
        <f>AL35-AL36</f>
        <v>12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60000006.169628561</v>
      </c>
      <c r="AQ35" s="126">
        <f>VLOOKUP(AE35,db_fifarank,2,FALSE)</f>
        <v>1594.78</v>
      </c>
      <c r="AR35" s="125">
        <f>AP35/AP36</f>
        <v>0.66666665052353702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1 - 11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11</v>
      </c>
      <c r="AL36" s="123">
        <f>MIN(AL32:AL35)</f>
        <v>-10</v>
      </c>
      <c r="AM36" s="123">
        <f>MAX(AM32:AM35)+1</f>
        <v>21</v>
      </c>
      <c r="AN36" s="123">
        <f>MAX(AN32:AN35)+1</f>
        <v>10</v>
      </c>
      <c r="AO36" s="123">
        <f>MAX(AO32:AO35)+1</f>
        <v>10</v>
      </c>
      <c r="AP36" s="123">
        <f>MAX(AP32:AP35)+1</f>
        <v>90000011.43376562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1</v>
      </c>
      <c r="AL38" s="123">
        <f>AI38-AJ38</f>
        <v>7</v>
      </c>
      <c r="AM38" s="123">
        <f>AL38-AL42</f>
        <v>13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90000010.175482109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60000006.270671487</v>
      </c>
      <c r="AQ39" s="126">
        <f>VLOOKUP(AE39,db_fifarank,2,FALSE)</f>
        <v>1660.43</v>
      </c>
      <c r="AR39" s="125">
        <f>AP39/AP42</f>
        <v>0.66666665355944699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5</v>
      </c>
      <c r="AL40" s="123">
        <f>AI40-AJ40</f>
        <v>-3</v>
      </c>
      <c r="AM40" s="123">
        <f>AL40-AL42</f>
        <v>3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30000002.365836751</v>
      </c>
      <c r="AQ40" s="126">
        <f>VLOOKUP(AE40,db_fifarank,2,FALSE)</f>
        <v>1514.77</v>
      </c>
      <c r="AR40" s="125">
        <f>AP40/AP42</f>
        <v>0.33333331822973572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7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0.11185263611111111</v>
      </c>
      <c r="AQ41" s="126">
        <f>VLOOKUP(AE41,db_fifarank,2,FALSE)</f>
        <v>1483.05</v>
      </c>
      <c r="AR41" s="125">
        <f>AP41/AP42</f>
        <v>1.2428069135793853E-9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9</v>
      </c>
      <c r="AL42" s="123">
        <f>MIN(AL38:AL41)</f>
        <v>-6</v>
      </c>
      <c r="AM42" s="123">
        <f>MAX(AM38:AM41)+1</f>
        <v>14</v>
      </c>
      <c r="AN42" s="123">
        <f>MAX(AN38:AN41)+1</f>
        <v>10</v>
      </c>
      <c r="AO42" s="123">
        <f>MAX(AO38:AO41)+1</f>
        <v>10</v>
      </c>
      <c r="AP42" s="123">
        <f>MAX(AP38:AP41)+1</f>
        <v>90000011.175482109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13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90000010.161581635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2</v>
      </c>
      <c r="AL45" s="123">
        <f>AI45-AJ45</f>
        <v>1</v>
      </c>
      <c r="AM45" s="123">
        <f>AL45-AL48</f>
        <v>8</v>
      </c>
      <c r="AN45" s="123">
        <f>AF45*3+AG45</f>
        <v>4</v>
      </c>
      <c r="AO45" s="123">
        <f>AN45/AN48*10+BA45</f>
        <v>4.9803921568627452</v>
      </c>
      <c r="AP45" s="123">
        <f>AO45*10000000+BI45*100+AM45/AM48*10+AI45/AI48*1++IF(AQ45=0,ROW(),AQ45)/2000000</f>
        <v>49804025.697910473</v>
      </c>
      <c r="AQ45" s="126">
        <f>VLOOKUP(AE45,db_fifarank,2,FALSE)</f>
        <v>1563.24</v>
      </c>
      <c r="AR45" s="125">
        <f>AP45/AP48</f>
        <v>0.55337799468152016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</v>
      </c>
      <c r="BA45" s="126">
        <f>AZ45/AZ48</f>
        <v>0.98039215686274506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</v>
      </c>
      <c r="BI45" s="126">
        <f>BH45/BH48</f>
        <v>0.98039215686274506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3 - 2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2</v>
      </c>
      <c r="AL46" s="123">
        <f>AI46-AJ46</f>
        <v>0</v>
      </c>
      <c r="AM46" s="123">
        <f>AL46-AL48</f>
        <v>7</v>
      </c>
      <c r="AN46" s="123">
        <f>AF46*3+AG46</f>
        <v>4</v>
      </c>
      <c r="AO46" s="123">
        <f>AN46/AN48*10+BA46</f>
        <v>4.9803921568627452</v>
      </c>
      <c r="AP46" s="123">
        <f>AO46*10000000+BI46*100+AM46/AM48*10+AI46/AI48*1++IF(AQ46=0,ROW(),AQ46)/2000000</f>
        <v>49804024.858650789</v>
      </c>
      <c r="AQ46" s="126">
        <f>VLOOKUP(AE46,db_fifarank,2,FALSE)</f>
        <v>1615.3</v>
      </c>
      <c r="AR46" s="125">
        <f>AP46/AP48</f>
        <v>0.55337798535641369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2 - 2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7</v>
      </c>
      <c r="AL47" s="123">
        <f>AI47-AJ47</f>
        <v>-7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7.1198324503489868E-12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8</v>
      </c>
      <c r="AL48" s="123">
        <f>MIN(AL44:AL47)</f>
        <v>-7</v>
      </c>
      <c r="AM48" s="123">
        <f>MAX(AM44:AM47)+1</f>
        <v>14</v>
      </c>
      <c r="AN48" s="123">
        <f>MAX(AN44:AN47)+1</f>
        <v>10</v>
      </c>
      <c r="AO48" s="123">
        <f>MAX(AO44:AO47)+1</f>
        <v>10</v>
      </c>
      <c r="AP48" s="123">
        <f>MAX(AP44:AP47)+1</f>
        <v>90000011.161581635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>
        <v>2</v>
      </c>
      <c r="CC48" s="25"/>
      <c r="CD48" s="112">
        <f>IF(OR(CA48="",CA49="",AND(CB48="",CB49&lt;&gt;""),AND(CB49="",CB48&lt;&gt;""),AND(CC48="",CC49&lt;&gt;""),AND(CC49="",CC48&lt;&gt;"")),"",CA48*1000+CB48*10+CC48)</f>
        <v>1020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2</v>
      </c>
      <c r="CP48" s="63">
        <v>3</v>
      </c>
      <c r="CQ48" s="25"/>
      <c r="CR48" s="111">
        <f>IF(OR(CO48="",CO49="",AND(CP48="",CP49&lt;&gt;""),AND(CP49="",CP48&lt;&gt;""),AND(CQ48="",CQ49&lt;&gt;""),AND(CQ49="",CQ48&lt;&gt;"")),"",CO48*1000+CP48*10+CQ48)</f>
        <v>2030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>
        <v>1</v>
      </c>
      <c r="CC49" s="27"/>
      <c r="CD49" s="113">
        <f>IF(CD48="","",CA49*1000+CB49*10+CC49)</f>
        <v>1010</v>
      </c>
      <c r="CK49" s="114"/>
      <c r="CL49" s="115"/>
      <c r="CM49" s="132"/>
      <c r="CN49" s="26" t="str">
        <f>IF(CK55&gt;CK56,CG56,IF(CK55&lt;CK56,CG55,""))</f>
        <v>Brazil</v>
      </c>
      <c r="CO49" s="62">
        <v>2</v>
      </c>
      <c r="CP49" s="64">
        <v>2</v>
      </c>
      <c r="CQ49" s="27"/>
      <c r="CR49" s="111">
        <f>IF(CR48="","",CO49*1000+CP49*10+CQ49)</f>
        <v>2020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90000010.321793824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9.1592155909090908E-2</v>
      </c>
      <c r="AQ51" s="126">
        <f>VLOOKUP(AE51,db_fifarank,2,FALSE)</f>
        <v>1366.13</v>
      </c>
      <c r="AR51" s="125">
        <f>AP51/AP54</f>
        <v>1.0176904931889886E-9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7</v>
      </c>
      <c r="AL52" s="123">
        <f>AI52-AJ52</f>
        <v>-5</v>
      </c>
      <c r="AM52" s="123">
        <f>AL52-AL54</f>
        <v>2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30000001.358999487</v>
      </c>
      <c r="AQ52" s="126">
        <f>VLOOKUP(AE52,db_fifarank,2,FALSE)</f>
        <v>1421.43</v>
      </c>
      <c r="AR52" s="125">
        <f>AP52/AP54</f>
        <v>0.33333330650076126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60000006.33773493</v>
      </c>
      <c r="AQ53" s="126">
        <f>VLOOKUP(AE53,db_fifarank,2,FALSE)</f>
        <v>1673.07</v>
      </c>
      <c r="AR53" s="125">
        <f>AP53/AP54</f>
        <v>0.66666665322080587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-7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90000011.321793824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Algeria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2</v>
      </c>
      <c r="AL56" s="123">
        <f>AI56-AJ56</f>
        <v>8</v>
      </c>
      <c r="AM56" s="123">
        <f>AL56-AL60</f>
        <v>18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90000010.383713767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4</v>
      </c>
      <c r="AL57" s="123">
        <f>AI57-AJ57</f>
        <v>2</v>
      </c>
      <c r="AM57" s="123">
        <f>AL57-AL60</f>
        <v>12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60000006.862088516</v>
      </c>
      <c r="AQ57" s="126">
        <f>VLOOKUP(AE57,db_fifarank,2,FALSE)</f>
        <v>1688.99</v>
      </c>
      <c r="AR57" s="125">
        <f>AP57/AP60</f>
        <v>0.66666665858829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10</v>
      </c>
      <c r="AL58" s="123">
        <f>AI58-AJ58</f>
        <v>-10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8.0396656497638623E-12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>
        <v>2</v>
      </c>
      <c r="BO58" s="25"/>
      <c r="BP58" s="112">
        <f>IF(OR(BM58="",BM59="",AND(BN58="",BN59&lt;&gt;""),AND(BN59="",BN58&lt;&gt;""),AND(BO58="",BO59&lt;&gt;""),AND(BO59="",BO58&lt;&gt;"")),"",BM58*1000+BN58*10+BO58)</f>
        <v>1020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10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30000005.718478817</v>
      </c>
      <c r="AQ59" s="126">
        <f>VLOOKUP(AE59,db_fifarank,2,FALSE)</f>
        <v>1550.94</v>
      </c>
      <c r="AR59" s="125">
        <f>AP59/AP60</f>
        <v>0.3333333547100813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>
        <v>1</v>
      </c>
      <c r="BO59" s="27"/>
      <c r="BP59" s="113">
        <f>IF(BP58="","",BM59*1000+BN59*10+BO59)</f>
        <v>1010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0 - 10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11</v>
      </c>
      <c r="AL60" s="123">
        <f>MIN(AL56:AL59)</f>
        <v>-10</v>
      </c>
      <c r="AM60" s="123">
        <f>MAX(AM56:AM59)+1</f>
        <v>19</v>
      </c>
      <c r="AN60" s="123">
        <f>MAX(AN56:AN59)+1</f>
        <v>10</v>
      </c>
      <c r="AO60" s="123">
        <f>MAX(AO56:AO59)+1</f>
        <v>10</v>
      </c>
      <c r="AP60" s="123">
        <f>MAX(AP56:AP59)+1</f>
        <v>90000011.383713767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0</v>
      </c>
      <c r="AL62" s="123">
        <f>AI62-AJ62</f>
        <v>9</v>
      </c>
      <c r="AM62" s="123">
        <f>AL62-AL66</f>
        <v>15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90000010.275937423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>
        <v>1</v>
      </c>
      <c r="BO62" s="25">
        <v>5</v>
      </c>
      <c r="BP62" s="116">
        <f>IF(OR(BM62="",BM63="",AND(BN62="",BN63&lt;&gt;""),AND(BN63="",BN62&lt;&gt;""),AND(BO62="",BO63&lt;&gt;""),AND(BO63="",BO62&lt;&gt;"")),"",BM62*1000+BN62*10+BO62)</f>
        <v>1015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3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30000002.075782128</v>
      </c>
      <c r="AQ63" s="126">
        <f>VLOOKUP(AE63,db_fifarank,2,FALSE)</f>
        <v>1564.26</v>
      </c>
      <c r="AR63" s="125">
        <f>AP63/AP66</f>
        <v>0.33333331463485033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>
        <v>1</v>
      </c>
      <c r="BO63" s="27">
        <v>4</v>
      </c>
      <c r="BP63" s="112">
        <f>IF(BP62="","",BM63*1000+BN63*10+BO63)</f>
        <v>1014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60000004.150796726</v>
      </c>
      <c r="AQ64" s="126">
        <f>VLOOKUP(AE64,db_fifarank,2,FALSE)</f>
        <v>1593.45</v>
      </c>
      <c r="AR64" s="125">
        <f>AP64/AP66</f>
        <v>0.66666662926117259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>
        <v>2</v>
      </c>
      <c r="CC64" s="25">
        <v>3</v>
      </c>
      <c r="CD64" s="116">
        <f>IF(OR(CA64="",CA65="",AND(CB64="",CB65&lt;&gt;""),AND(CB65="",CB64&lt;&gt;""),AND(CC64="",CC65&lt;&gt;""),AND(CC65="",CC64&lt;&gt;"")),"",CA64*1000+CB64*10+CC64)</f>
        <v>2023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8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0.20069572500000002</v>
      </c>
      <c r="AQ65" s="126">
        <f>VLOOKUP(AE65,db_fifarank,2,FALSE)</f>
        <v>1391.45</v>
      </c>
      <c r="AR65" s="125">
        <f>AP65/AP66</f>
        <v>2.2299522206133148E-9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>
        <v>2</v>
      </c>
      <c r="CC65" s="27">
        <v>5</v>
      </c>
      <c r="CD65" s="112">
        <f>IF(CD64="","",CA65*1000+CB65*10+CC65)</f>
        <v>2025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10</v>
      </c>
      <c r="AL66" s="123">
        <f>MIN(AL62:AL65)</f>
        <v>-6</v>
      </c>
      <c r="AM66" s="123">
        <f>MAX(AM62:AM65)+1</f>
        <v>16</v>
      </c>
      <c r="AN66" s="123">
        <f>MAX(AN62:AN65)+1</f>
        <v>10</v>
      </c>
      <c r="AO66" s="123">
        <f>MAX(AO62:AO65)+1</f>
        <v>10</v>
      </c>
      <c r="AP66" s="123">
        <f>MAX(AP62:AP65)+1</f>
        <v>90000011.275937423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>
        <v>2</v>
      </c>
      <c r="BO66" s="25"/>
      <c r="BP66" s="112">
        <f>IF(OR(BM66="",BM67="",AND(BN66="",BN67&lt;&gt;""),AND(BN67="",BN66&lt;&gt;""),AND(BO66="",BO67&lt;&gt;""),AND(BO67="",BO66&lt;&gt;"")),"",BM66*1000+BN66*10+BO66)</f>
        <v>1020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>
        <v>1</v>
      </c>
      <c r="BO67" s="27"/>
      <c r="BP67" s="113">
        <f>IF(BP66="","",BM67*1000+BN67*10+BO67)</f>
        <v>1010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90000010.131651148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1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7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19805923.50171005</v>
      </c>
      <c r="AQ69" s="126">
        <f>VLOOKUP(AE69,db_fifarank,2,FALSE)</f>
        <v>1478.35</v>
      </c>
      <c r="AR69" s="125">
        <f>AP69/AP72</f>
        <v>0.22006578946682726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8 - 5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7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19805923.501703545</v>
      </c>
      <c r="AQ70" s="126">
        <f>VLOOKUP(AE70,db_fifarank,2,FALSE)</f>
        <v>1465.34</v>
      </c>
      <c r="AR70" s="125">
        <f>AP70/AP72</f>
        <v>0.22006578946675498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2 - 7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8</v>
      </c>
      <c r="AJ71" s="123">
        <f>SUMIF($E$7:$E$78,$AE71,$G$7:$G$78) + SUMIF($H$7:$H$78,$AE71,$F$7:$F$78)</f>
        <v>5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60000006.954692692</v>
      </c>
      <c r="AQ71" s="126">
        <f>VLOOKUP(AE71,db_fifarank,2,FALSE)</f>
        <v>1693.09</v>
      </c>
      <c r="AR71" s="125">
        <f>AP71/AP72</f>
        <v>0.66666666148435538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Norway</v>
      </c>
      <c r="BM71" s="62">
        <v>2</v>
      </c>
      <c r="BN71" s="64"/>
      <c r="BO71" s="27"/>
      <c r="BP71" s="112">
        <f>IF(BP70="","",BM71*1000+BN71*10+BO71)</f>
        <v>2000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90000011.131651148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0</v>
      </c>
      <c r="AL74" s="123">
        <f>AI74-AJ74</f>
        <v>8</v>
      </c>
      <c r="AM74" s="123">
        <f>AL74-AL78</f>
        <v>15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90000010.264801875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8 - 0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10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60000006.917525202</v>
      </c>
      <c r="AQ75" s="126">
        <f>VLOOKUP(AE75,db_fifarank,2,FALSE)</f>
        <v>1717.07</v>
      </c>
      <c r="AR75" s="125">
        <f>AP75/AP78</f>
        <v>0.6666666600850818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8</v>
      </c>
      <c r="AL76" s="123">
        <f>AI76-AJ76</f>
        <v>-7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0.1117842661111111</v>
      </c>
      <c r="AQ76" s="126">
        <f>VLOOKUP(AE76,db_fifarank,2,FALSE)</f>
        <v>1346.31</v>
      </c>
      <c r="AR76" s="125">
        <f>AP76/AP78</f>
        <v>1.2420472457743884E-9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3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3 - 7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7</v>
      </c>
      <c r="AL77" s="123">
        <f>AI77-AJ77</f>
        <v>-4</v>
      </c>
      <c r="AM77" s="123">
        <f>AL77-AL78</f>
        <v>3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30000002.209103651</v>
      </c>
      <c r="AQ77" s="126">
        <f>VLOOKUP(AE77,db_fifarank,2,FALSE)</f>
        <v>1540.64</v>
      </c>
      <c r="AR77" s="125">
        <f>AP77/AP78</f>
        <v>0.33333331615744316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-7</v>
      </c>
      <c r="AM78" s="123">
        <f>MAX(AM74:AM77)+1</f>
        <v>16</v>
      </c>
      <c r="AN78" s="123">
        <f>MAX(AN74:AN77)+1</f>
        <v>10</v>
      </c>
      <c r="AO78" s="123">
        <f>MAX(AO74:AO77)+1</f>
        <v>10</v>
      </c>
      <c r="AP78" s="123">
        <f>MAX(AP74:AP77)+1</f>
        <v>90000011.264801875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6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6566.6674173566671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Iran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8733.3340608133312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Qatar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4 - 5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6733.3340825083342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Australia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3 - 4</v>
      </c>
      <c r="P83" s="101">
        <f t="shared" si="48"/>
        <v>4</v>
      </c>
      <c r="AD83" s="123">
        <f t="shared" si="38"/>
        <v>3</v>
      </c>
      <c r="AE83" s="124" t="str">
        <f>J29</f>
        <v>Australia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8716.6674570016658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Norway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6</v>
      </c>
      <c r="AK84" s="123" t="s">
        <v>3185</v>
      </c>
      <c r="AL84" s="123">
        <f t="shared" si="43"/>
        <v>-2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6566.6674331566674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6366.6674240516659</v>
      </c>
      <c r="AQ85" s="126">
        <f t="shared" si="37"/>
        <v>1514.77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Ⓔ Ivory Coast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2</v>
      </c>
      <c r="AK86" s="123" t="s">
        <v>3187</v>
      </c>
      <c r="AL86" s="123">
        <f t="shared" si="43"/>
        <v>0</v>
      </c>
      <c r="AM86" s="123">
        <f t="shared" si="44"/>
        <v>5</v>
      </c>
      <c r="AN86" s="123">
        <f t="shared" si="45"/>
        <v>4</v>
      </c>
      <c r="AP86" s="123">
        <f>AN86/AN92*10000+AM86/AM92*1000+AI86/AI92*100+IF(AQ86=0,ROW(),AQ86)/2000000</f>
        <v>8866.6674743166677</v>
      </c>
      <c r="AQ86" s="126">
        <f t="shared" si="37"/>
        <v>1615.3</v>
      </c>
      <c r="AR86" s="125" t="str">
        <f t="shared" si="50"/>
        <v>ABCDEG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Czech Republic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6033.3340440483335</v>
      </c>
      <c r="AQ87" s="126">
        <f t="shared" si="37"/>
        <v>1421.43</v>
      </c>
      <c r="AR87" s="125" t="str">
        <f t="shared" si="50"/>
        <v>ABCDEG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Ⓙ Algeria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4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6916.6674421366661</v>
      </c>
      <c r="AQ88" s="126">
        <f t="shared" si="37"/>
        <v>1550.94</v>
      </c>
      <c r="AR88" s="125" t="str">
        <f t="shared" si="50"/>
        <v>ABCDEGI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Sweden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8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6366.6674487966657</v>
      </c>
      <c r="AQ89" s="126">
        <f t="shared" si="37"/>
        <v>1564.26</v>
      </c>
      <c r="AR89" s="125" t="str">
        <f t="shared" si="50"/>
        <v>ABCDEGIJ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Panama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3 - 7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7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2033.3340725083333</v>
      </c>
      <c r="AQ90" s="126">
        <f t="shared" si="37"/>
        <v>1478.35</v>
      </c>
      <c r="AR90" s="125" t="str">
        <f t="shared" si="50"/>
        <v>ABCDEGIJ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2 - 7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7</v>
      </c>
      <c r="AK91" s="123" t="s">
        <v>3192</v>
      </c>
      <c r="AL91" s="123">
        <f>VLOOKUP($AE91,$AE$8:$AQ$78,8,FALSE)</f>
        <v>-4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6216.6674369866669</v>
      </c>
      <c r="AQ91" s="126">
        <f t="shared" si="37"/>
        <v>1540.64</v>
      </c>
      <c r="AR91" s="125" t="str">
        <f t="shared" si="50"/>
        <v>ABCDEGIJ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34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476</v>
      </c>
      <c r="C3" s="121" t="str">
        <f>'2026 World Cup'!AR91</f>
        <v>ABCDEGIJ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Fernando Mora</cp:lastModifiedBy>
  <cp:revision/>
  <dcterms:created xsi:type="dcterms:W3CDTF">2017-12-27T19:32:51Z</dcterms:created>
  <dcterms:modified xsi:type="dcterms:W3CDTF">2026-06-03T21:17:00Z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