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on\Downloads\"/>
    </mc:Choice>
  </mc:AlternateContent>
  <xr:revisionPtr revIDLastSave="0" documentId="13_ncr:1_{DBCDDF76-8DB6-4F75-9CB3-DE35FBBAE8CD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AA14" i="3" s="1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E50" i="3"/>
  <c r="H26" i="3"/>
  <c r="E78" i="3"/>
  <c r="AA78" i="3" s="1"/>
  <c r="H54" i="3"/>
  <c r="H29" i="3"/>
  <c r="H78" i="3"/>
  <c r="H53" i="3"/>
  <c r="E30" i="3"/>
  <c r="AA30" i="3" s="1"/>
  <c r="E77" i="3"/>
  <c r="E54" i="3"/>
  <c r="H30" i="3"/>
  <c r="H73" i="3"/>
  <c r="E51" i="3"/>
  <c r="E28" i="3"/>
  <c r="E74" i="3"/>
  <c r="H52" i="3"/>
  <c r="H28" i="3"/>
  <c r="H74" i="3"/>
  <c r="H51" i="3"/>
  <c r="E27" i="3"/>
  <c r="AA27" i="3" s="1"/>
  <c r="E73" i="3"/>
  <c r="E52" i="3"/>
  <c r="H27" i="3"/>
  <c r="E71" i="3"/>
  <c r="AA71" i="3" s="1"/>
  <c r="H43" i="3"/>
  <c r="H20" i="3"/>
  <c r="E59" i="3"/>
  <c r="E31" i="3"/>
  <c r="AA31" i="3" s="1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AA9" i="3" s="1"/>
  <c r="D7" i="3"/>
  <c r="AA28" i="3" l="1"/>
  <c r="AA19" i="3"/>
  <c r="AA45" i="3"/>
  <c r="AA34" i="3"/>
  <c r="AA12" i="3"/>
  <c r="AA76" i="3"/>
  <c r="AA67" i="3"/>
  <c r="AA65" i="3"/>
  <c r="AA50" i="3"/>
  <c r="AA54" i="3"/>
  <c r="AA52" i="3"/>
  <c r="AA69" i="3"/>
  <c r="AA46" i="3"/>
  <c r="AA70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28" i="3" l="1"/>
  <c r="AD58" i="3"/>
  <c r="AR33" i="3"/>
  <c r="AR34" i="3"/>
  <c r="AR35" i="3"/>
  <c r="AR9" i="3"/>
  <c r="AR10" i="3"/>
  <c r="AR11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8" i="3" l="1"/>
  <c r="M58" i="3"/>
  <c r="AD33" i="3"/>
  <c r="AD76" i="3"/>
  <c r="AD75" i="3"/>
  <c r="AD10" i="3"/>
  <c r="AD35" i="3"/>
  <c r="AD9" i="3"/>
  <c r="AD32" i="3"/>
  <c r="AD22" i="3"/>
  <c r="AD34" i="3"/>
  <c r="AD11" i="3"/>
  <c r="AD41" i="3"/>
  <c r="AD62" i="3"/>
  <c r="M63" i="3" s="1"/>
  <c r="AD44" i="3"/>
  <c r="AD70" i="3"/>
  <c r="AD28" i="3"/>
  <c r="AD27" i="3"/>
  <c r="AD68" i="3"/>
  <c r="L58" i="3"/>
  <c r="O60" i="3"/>
  <c r="AD77" i="3"/>
  <c r="M59" i="3"/>
  <c r="L59" i="3"/>
  <c r="N58" i="3"/>
  <c r="AD15" i="3"/>
  <c r="AD29" i="3"/>
  <c r="AD47" i="3"/>
  <c r="AD71" i="3"/>
  <c r="AD20" i="3"/>
  <c r="AD53" i="3"/>
  <c r="AD63" i="3"/>
  <c r="AD21" i="3"/>
  <c r="AD26" i="3"/>
  <c r="AD14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N10" i="3" l="1"/>
  <c r="J10" i="3"/>
  <c r="AS9" i="3" s="1"/>
  <c r="BL18" i="3" s="1"/>
  <c r="O10" i="3"/>
  <c r="L10" i="3"/>
  <c r="M10" i="3"/>
  <c r="J16" i="3"/>
  <c r="AS15" i="3" s="1"/>
  <c r="BL19" i="3" s="1"/>
  <c r="N11" i="3"/>
  <c r="J75" i="3"/>
  <c r="AS74" i="3" s="1"/>
  <c r="BL54" i="3" s="1"/>
  <c r="P58" i="3"/>
  <c r="J45" i="3"/>
  <c r="AS44" i="3" s="1"/>
  <c r="BL38" i="3" s="1"/>
  <c r="J51" i="3"/>
  <c r="AS50" i="3" s="1"/>
  <c r="BL30" i="3" s="1"/>
  <c r="M11" i="3"/>
  <c r="L33" i="3"/>
  <c r="J12" i="3"/>
  <c r="O11" i="3"/>
  <c r="J11" i="3"/>
  <c r="AE80" i="3" s="1"/>
  <c r="AQ80" i="3" s="1"/>
  <c r="O63" i="3"/>
  <c r="M34" i="3"/>
  <c r="N63" i="3"/>
  <c r="L63" i="3"/>
  <c r="P63" i="3" s="1"/>
  <c r="L11" i="3"/>
  <c r="M45" i="3"/>
  <c r="O45" i="3"/>
  <c r="M64" i="3"/>
  <c r="N36" i="3"/>
  <c r="M36" i="3"/>
  <c r="O36" i="3"/>
  <c r="L36" i="3"/>
  <c r="M33" i="3"/>
  <c r="N34" i="3"/>
  <c r="O33" i="3"/>
  <c r="O46" i="3"/>
  <c r="N33" i="3"/>
  <c r="L45" i="3"/>
  <c r="J33" i="3"/>
  <c r="AS32" i="3" s="1"/>
  <c r="BL10" i="3" s="1"/>
  <c r="N12" i="3"/>
  <c r="N45" i="3"/>
  <c r="J36" i="3"/>
  <c r="N21" i="3"/>
  <c r="M12" i="3"/>
  <c r="O35" i="3"/>
  <c r="N75" i="3"/>
  <c r="O34" i="3"/>
  <c r="O9" i="3"/>
  <c r="O75" i="3"/>
  <c r="J63" i="3"/>
  <c r="AS62" i="3" s="1"/>
  <c r="BL58" i="3" s="1"/>
  <c r="BS60" i="3" s="1"/>
  <c r="BZ64" i="3" s="1"/>
  <c r="N35" i="3"/>
  <c r="L35" i="3"/>
  <c r="J34" i="3"/>
  <c r="AS33" i="3" s="1"/>
  <c r="BL46" i="3" s="1"/>
  <c r="O76" i="3"/>
  <c r="J35" i="3"/>
  <c r="AE84" i="3" s="1"/>
  <c r="AQ84" i="3" s="1"/>
  <c r="L9" i="3"/>
  <c r="M76" i="3"/>
  <c r="L34" i="3"/>
  <c r="J9" i="3"/>
  <c r="AS8" i="3" s="1"/>
  <c r="BL50" i="3" s="1"/>
  <c r="L42" i="3"/>
  <c r="L12" i="3"/>
  <c r="L39" i="3"/>
  <c r="O12" i="3"/>
  <c r="L40" i="3"/>
  <c r="M35" i="3"/>
  <c r="J64" i="3"/>
  <c r="AS63" i="3" s="1"/>
  <c r="BL31" i="3" s="1"/>
  <c r="N9" i="3"/>
  <c r="L75" i="3"/>
  <c r="M9" i="3"/>
  <c r="N72" i="3"/>
  <c r="J76" i="3"/>
  <c r="AS75" i="3" s="1"/>
  <c r="BL27" i="3" s="1"/>
  <c r="L69" i="3"/>
  <c r="M69" i="3"/>
  <c r="J72" i="3"/>
  <c r="N64" i="3"/>
  <c r="O72" i="3"/>
  <c r="O40" i="3"/>
  <c r="J69" i="3"/>
  <c r="AS68" i="3" s="1"/>
  <c r="BL70" i="3" s="1"/>
  <c r="L46" i="3"/>
  <c r="J71" i="3"/>
  <c r="AE90" i="3" s="1"/>
  <c r="AQ90" i="3" s="1"/>
  <c r="M65" i="3"/>
  <c r="L64" i="3"/>
  <c r="L71" i="3"/>
  <c r="M71" i="3"/>
  <c r="O69" i="3"/>
  <c r="N69" i="3"/>
  <c r="O51" i="3"/>
  <c r="O47" i="3"/>
  <c r="M29" i="3"/>
  <c r="N77" i="3"/>
  <c r="O30" i="3"/>
  <c r="O27" i="3"/>
  <c r="J65" i="3"/>
  <c r="AE89" i="3" s="1"/>
  <c r="AQ89" i="3" s="1"/>
  <c r="N29" i="3"/>
  <c r="L66" i="3"/>
  <c r="M27" i="3"/>
  <c r="L29" i="3"/>
  <c r="O65" i="3"/>
  <c r="N65" i="3"/>
  <c r="L65" i="3"/>
  <c r="O48" i="3"/>
  <c r="N52" i="3"/>
  <c r="P59" i="3"/>
  <c r="N46" i="3"/>
  <c r="N27" i="3"/>
  <c r="L47" i="3"/>
  <c r="J27" i="3"/>
  <c r="AS26" i="3" s="1"/>
  <c r="BL34" i="3" s="1"/>
  <c r="J46" i="3"/>
  <c r="AS45" i="3" s="1"/>
  <c r="BL63" i="3" s="1"/>
  <c r="J28" i="3"/>
  <c r="AS27" i="3" s="1"/>
  <c r="BL62" i="3" s="1"/>
  <c r="BS61" i="3" s="1"/>
  <c r="N47" i="3"/>
  <c r="O78" i="3"/>
  <c r="M47" i="3"/>
  <c r="O42" i="3"/>
  <c r="J29" i="3"/>
  <c r="AE83" i="3" s="1"/>
  <c r="AQ83" i="3" s="1"/>
  <c r="L78" i="3"/>
  <c r="M78" i="3"/>
  <c r="J30" i="3"/>
  <c r="K59" i="3"/>
  <c r="N66" i="3"/>
  <c r="O28" i="3"/>
  <c r="L30" i="3"/>
  <c r="M40" i="3"/>
  <c r="O18" i="3"/>
  <c r="N78" i="3"/>
  <c r="L76" i="3"/>
  <c r="N28" i="3"/>
  <c r="N71" i="3"/>
  <c r="J40" i="3"/>
  <c r="AS39" i="3" s="1"/>
  <c r="BL43" i="3" s="1"/>
  <c r="N51" i="3"/>
  <c r="L51" i="3"/>
  <c r="M51" i="3"/>
  <c r="M77" i="3"/>
  <c r="M72" i="3"/>
  <c r="M28" i="3"/>
  <c r="J42" i="3"/>
  <c r="J47" i="3"/>
  <c r="AE86" i="3" s="1"/>
  <c r="AQ86" i="3" s="1"/>
  <c r="J77" i="3"/>
  <c r="AE91" i="3" s="1"/>
  <c r="AQ91" i="3" s="1"/>
  <c r="N76" i="3"/>
  <c r="L72" i="3"/>
  <c r="J66" i="3"/>
  <c r="N48" i="3"/>
  <c r="N40" i="3"/>
  <c r="M30" i="3"/>
  <c r="L18" i="3"/>
  <c r="AT88" i="3"/>
  <c r="O77" i="3"/>
  <c r="M75" i="3"/>
  <c r="O71" i="3"/>
  <c r="O66" i="3"/>
  <c r="O39" i="3"/>
  <c r="L27" i="3"/>
  <c r="L16" i="3"/>
  <c r="AI88" i="3"/>
  <c r="M70" i="3"/>
  <c r="J41" i="3"/>
  <c r="AE85" i="3" s="1"/>
  <c r="AQ85" i="3" s="1"/>
  <c r="J78" i="3"/>
  <c r="L77" i="3"/>
  <c r="M39" i="3"/>
  <c r="O29" i="3"/>
  <c r="M16" i="3"/>
  <c r="L54" i="3"/>
  <c r="O64" i="3"/>
  <c r="J48" i="3"/>
  <c r="L15" i="3"/>
  <c r="O54" i="3"/>
  <c r="M54" i="3"/>
  <c r="M66" i="3"/>
  <c r="L48" i="3"/>
  <c r="L28" i="3"/>
  <c r="N18" i="3"/>
  <c r="K58" i="3"/>
  <c r="N54" i="3"/>
  <c r="J39" i="3"/>
  <c r="AS38" i="3" s="1"/>
  <c r="BL22" i="3" s="1"/>
  <c r="N16" i="3"/>
  <c r="J52" i="3"/>
  <c r="AS51" i="3" s="1"/>
  <c r="BL59" i="3" s="1"/>
  <c r="M46" i="3"/>
  <c r="M42" i="3"/>
  <c r="N30" i="3"/>
  <c r="AJ88" i="3"/>
  <c r="J24" i="3"/>
  <c r="L22" i="3"/>
  <c r="O21" i="3"/>
  <c r="M17" i="3"/>
  <c r="N24" i="3"/>
  <c r="L23" i="3"/>
  <c r="O24" i="3"/>
  <c r="J70" i="3"/>
  <c r="AS69" i="3" s="1"/>
  <c r="BL26" i="3" s="1"/>
  <c r="N70" i="3"/>
  <c r="M24" i="3"/>
  <c r="P57" i="3"/>
  <c r="L24" i="3"/>
  <c r="L70" i="3"/>
  <c r="M48" i="3"/>
  <c r="M22" i="3"/>
  <c r="L17" i="3"/>
  <c r="M41" i="3"/>
  <c r="M18" i="3"/>
  <c r="O70" i="3"/>
  <c r="L21" i="3"/>
  <c r="O17" i="3"/>
  <c r="N22" i="3"/>
  <c r="J21" i="3"/>
  <c r="AS20" i="3" s="1"/>
  <c r="BL42" i="3" s="1"/>
  <c r="BS44" i="3" s="1"/>
  <c r="BZ48" i="3" s="1"/>
  <c r="M21" i="3"/>
  <c r="J22" i="3"/>
  <c r="AS21" i="3" s="1"/>
  <c r="BL23" i="3" s="1"/>
  <c r="O22" i="3"/>
  <c r="AN88" i="3"/>
  <c r="N53" i="3"/>
  <c r="J18" i="3"/>
  <c r="AG88" i="3"/>
  <c r="K57" i="3"/>
  <c r="O16" i="3"/>
  <c r="AF88" i="3"/>
  <c r="N17" i="3"/>
  <c r="O2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P15" i="3" s="1"/>
  <c r="O15" i="3"/>
  <c r="J15" i="3"/>
  <c r="AS14" i="3" s="1"/>
  <c r="BL66" i="3" s="1"/>
  <c r="K10" i="3"/>
  <c r="P10" i="3"/>
  <c r="S91" i="3" l="1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P34" i="3"/>
  <c r="P45" i="3"/>
  <c r="P11" i="3"/>
  <c r="K63" i="3"/>
  <c r="K34" i="3"/>
  <c r="K11" i="3"/>
  <c r="AJ84" i="3"/>
  <c r="AN80" i="3"/>
  <c r="P18" i="3"/>
  <c r="P51" i="3"/>
  <c r="AJ80" i="3"/>
  <c r="P30" i="3"/>
  <c r="P17" i="3"/>
  <c r="AL90" i="3"/>
  <c r="AT80" i="3"/>
  <c r="P9" i="3"/>
  <c r="P22" i="3"/>
  <c r="K29" i="3"/>
  <c r="K45" i="3"/>
  <c r="K65" i="3"/>
  <c r="P29" i="3"/>
  <c r="P64" i="3"/>
  <c r="K33" i="3"/>
  <c r="P54" i="3"/>
  <c r="AJ82" i="3"/>
  <c r="K40" i="3"/>
  <c r="P33" i="3"/>
  <c r="K36" i="3"/>
  <c r="AG89" i="3"/>
  <c r="AN90" i="3"/>
  <c r="AL80" i="3"/>
  <c r="P27" i="3"/>
  <c r="P42" i="3"/>
  <c r="AF89" i="3"/>
  <c r="P39" i="3"/>
  <c r="AN91" i="3"/>
  <c r="P12" i="3"/>
  <c r="AI82" i="3"/>
  <c r="AT90" i="3"/>
  <c r="AN83" i="3"/>
  <c r="P76" i="3"/>
  <c r="P16" i="3"/>
  <c r="K47" i="3"/>
  <c r="P65" i="3"/>
  <c r="P35" i="3"/>
  <c r="P36" i="3"/>
  <c r="AI90" i="3"/>
  <c r="AI80" i="3"/>
  <c r="AH90" i="3"/>
  <c r="AH80" i="3"/>
  <c r="AH83" i="3"/>
  <c r="K39" i="3"/>
  <c r="AN89" i="3"/>
  <c r="AG90" i="3"/>
  <c r="P28" i="3"/>
  <c r="P75" i="3"/>
  <c r="AI83" i="3"/>
  <c r="AT89" i="3"/>
  <c r="AG80" i="3"/>
  <c r="AG83" i="3"/>
  <c r="AJ89" i="3"/>
  <c r="AF90" i="3"/>
  <c r="K12" i="3"/>
  <c r="AF80" i="3"/>
  <c r="P40" i="3"/>
  <c r="AI89" i="3"/>
  <c r="AL83" i="3"/>
  <c r="AJ90" i="3"/>
  <c r="AJ83" i="3"/>
  <c r="AH89" i="3"/>
  <c r="AI84" i="3"/>
  <c r="AF84" i="3"/>
  <c r="AJ86" i="3"/>
  <c r="K64" i="3"/>
  <c r="K35" i="3"/>
  <c r="AH86" i="3"/>
  <c r="AG84" i="3"/>
  <c r="AG86" i="3"/>
  <c r="P69" i="3"/>
  <c r="AH82" i="3"/>
  <c r="AT84" i="3"/>
  <c r="AH84" i="3"/>
  <c r="P47" i="3"/>
  <c r="AN84" i="3"/>
  <c r="AL84" i="3"/>
  <c r="AG82" i="3"/>
  <c r="AF82" i="3"/>
  <c r="K30" i="3"/>
  <c r="K17" i="3"/>
  <c r="K46" i="3"/>
  <c r="AT82" i="3"/>
  <c r="AN82" i="3"/>
  <c r="P78" i="3"/>
  <c r="K9" i="3"/>
  <c r="AF86" i="3"/>
  <c r="K48" i="3"/>
  <c r="K77" i="3"/>
  <c r="K27" i="3"/>
  <c r="K22" i="3"/>
  <c r="K51" i="3"/>
  <c r="AF83" i="3"/>
  <c r="P77" i="3"/>
  <c r="K69" i="3"/>
  <c r="P71" i="3"/>
  <c r="AT83" i="3"/>
  <c r="AI86" i="3"/>
  <c r="K75" i="3"/>
  <c r="K41" i="3"/>
  <c r="AT86" i="3"/>
  <c r="K72" i="3"/>
  <c r="AJ81" i="3"/>
  <c r="AH81" i="3"/>
  <c r="K28" i="3"/>
  <c r="P23" i="3"/>
  <c r="AI81" i="3"/>
  <c r="P46" i="3"/>
  <c r="AT85" i="3"/>
  <c r="AH85" i="3"/>
  <c r="P41" i="3"/>
  <c r="AN81" i="3"/>
  <c r="AG85" i="3"/>
  <c r="K71" i="3"/>
  <c r="AL81" i="3"/>
  <c r="AF85" i="3"/>
  <c r="P70" i="3"/>
  <c r="K42" i="3"/>
  <c r="AG81" i="3"/>
  <c r="K16" i="3"/>
  <c r="K78" i="3"/>
  <c r="AF81" i="3"/>
  <c r="AT91" i="3"/>
  <c r="P72" i="3"/>
  <c r="K15" i="3"/>
  <c r="K53" i="3"/>
  <c r="P66" i="3"/>
  <c r="AT81" i="3"/>
  <c r="AL89" i="3"/>
  <c r="K76" i="3"/>
  <c r="AL91" i="3"/>
  <c r="AJ91" i="3"/>
  <c r="AI91" i="3"/>
  <c r="AF91" i="3"/>
  <c r="P48" i="3"/>
  <c r="AN85" i="3"/>
  <c r="K66" i="3"/>
  <c r="AJ85" i="3"/>
  <c r="AL85" i="3"/>
  <c r="AI85" i="3"/>
  <c r="AN86" i="3"/>
  <c r="AH91" i="3"/>
  <c r="K18" i="3"/>
  <c r="AL86" i="3"/>
  <c r="AG91" i="3"/>
  <c r="K54" i="3"/>
  <c r="P21" i="3"/>
  <c r="K24" i="3"/>
  <c r="P52" i="3"/>
  <c r="AT87" i="3"/>
  <c r="P24" i="3"/>
  <c r="AN87" i="3"/>
  <c r="K21" i="3"/>
  <c r="AL87" i="3"/>
  <c r="AJ87" i="3"/>
  <c r="AH87" i="3"/>
  <c r="K70" i="3"/>
  <c r="AG87" i="3"/>
  <c r="AF87" i="3"/>
  <c r="P53" i="3"/>
  <c r="K23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N92" i="3"/>
  <c r="AI92" i="3"/>
  <c r="AJ92" i="3"/>
  <c r="AH92" i="3"/>
  <c r="AG92" i="3"/>
  <c r="AL92" i="3"/>
  <c r="AM88" i="3" s="1"/>
  <c r="AS92" i="3"/>
  <c r="S103" i="3" l="1"/>
  <c r="T103" i="3" s="1" a="1"/>
  <c r="T103" i="3" s="1"/>
  <c r="CG24" i="3"/>
  <c r="S111" i="3" s="1"/>
  <c r="T111" i="3" s="1"/>
  <c r="AM90" i="3"/>
  <c r="AM82" i="3"/>
  <c r="AM91" i="3"/>
  <c r="AM83" i="3"/>
  <c r="AM89" i="3"/>
  <c r="AM87" i="3"/>
  <c r="AM84" i="3"/>
  <c r="AM81" i="3"/>
  <c r="AM80" i="3"/>
  <c r="AM86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5" i="3"/>
  <c r="AP82" i="3"/>
  <c r="AP90" i="3"/>
  <c r="AP86" i="3"/>
  <c r="AP84" i="3"/>
  <c r="AP81" i="3"/>
  <c r="AP91" i="3"/>
  <c r="AP83" i="3"/>
  <c r="AP88" i="3"/>
  <c r="AP89" i="3"/>
  <c r="AP80" i="3"/>
  <c r="CN37" i="3" l="1"/>
  <c r="CK68" i="3" s="1"/>
  <c r="CN48" i="3"/>
  <c r="AD85" i="3"/>
  <c r="AS85" i="3" s="1"/>
  <c r="AD90" i="3"/>
  <c r="AS90" i="3" s="1"/>
  <c r="AD88" i="3"/>
  <c r="AS88" i="3" s="1"/>
  <c r="AD89" i="3"/>
  <c r="AS89" i="3" s="1"/>
  <c r="AD81" i="3"/>
  <c r="AS81" i="3" s="1"/>
  <c r="AD91" i="3"/>
  <c r="AS91" i="3" s="1"/>
  <c r="AD84" i="3"/>
  <c r="AS84" i="3" s="1"/>
  <c r="AD83" i="3"/>
  <c r="AS83" i="3" s="1"/>
  <c r="AD86" i="3"/>
  <c r="AS86" i="3" s="1"/>
  <c r="AD87" i="3"/>
  <c r="AS87" i="3" s="1"/>
  <c r="AD82" i="3"/>
  <c r="AS82" i="3" s="1"/>
  <c r="AD80" i="3"/>
  <c r="L92" i="3" l="1"/>
  <c r="M92" i="3"/>
  <c r="N92" i="3"/>
  <c r="O90" i="3"/>
  <c r="AS80" i="3"/>
  <c r="L90" i="3"/>
  <c r="N90" i="3"/>
  <c r="M87" i="3"/>
  <c r="J82" i="3"/>
  <c r="M84" i="3"/>
  <c r="O87" i="3"/>
  <c r="O82" i="3"/>
  <c r="M88" i="3"/>
  <c r="J84" i="3"/>
  <c r="M90" i="3"/>
  <c r="L81" i="3"/>
  <c r="J92" i="3"/>
  <c r="O81" i="3"/>
  <c r="J88" i="3"/>
  <c r="N88" i="3"/>
  <c r="N82" i="3"/>
  <c r="O88" i="3"/>
  <c r="J81" i="3"/>
  <c r="M81" i="3"/>
  <c r="L84" i="3"/>
  <c r="L88" i="3"/>
  <c r="N84" i="3"/>
  <c r="O84" i="3"/>
  <c r="N81" i="3"/>
  <c r="N87" i="3"/>
  <c r="L87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7" i="3"/>
  <c r="M82" i="3"/>
  <c r="O92" i="3"/>
  <c r="J90" i="3"/>
  <c r="L82" i="3"/>
  <c r="L83" i="3"/>
  <c r="L85" i="3"/>
  <c r="O83" i="3"/>
  <c r="L89" i="3"/>
  <c r="N91" i="3"/>
  <c r="M83" i="3"/>
  <c r="L91" i="3"/>
  <c r="N83" i="3"/>
  <c r="J83" i="3"/>
  <c r="N86" i="3"/>
  <c r="J89" i="3"/>
  <c r="M91" i="3"/>
  <c r="J85" i="3"/>
  <c r="O91" i="3"/>
  <c r="O89" i="3"/>
  <c r="M85" i="3"/>
  <c r="J91" i="3"/>
  <c r="J86" i="3"/>
  <c r="O85" i="3"/>
  <c r="N85" i="3"/>
  <c r="L86" i="3"/>
  <c r="M86" i="3"/>
  <c r="O86" i="3"/>
  <c r="M89" i="3"/>
  <c r="N89" i="3"/>
  <c r="K92" i="3" l="1"/>
  <c r="P92" i="3"/>
  <c r="P82" i="3"/>
  <c r="P88" i="3"/>
  <c r="K87" i="3"/>
  <c r="K90" i="3"/>
  <c r="K83" i="3"/>
  <c r="K88" i="3"/>
  <c r="K84" i="3"/>
  <c r="P86" i="3"/>
  <c r="K86" i="3"/>
  <c r="K82" i="3"/>
  <c r="P85" i="3"/>
  <c r="P90" i="3"/>
  <c r="P84" i="3"/>
  <c r="K81" i="3"/>
  <c r="K91" i="3"/>
  <c r="P83" i="3"/>
  <c r="P81" i="3"/>
  <c r="K3" i="4"/>
  <c r="BL55" i="3" s="1"/>
  <c r="D3" i="4"/>
  <c r="BL51" i="3" s="1"/>
  <c r="J3" i="4"/>
  <c r="BL71" i="3" s="1"/>
  <c r="P91" i="3"/>
  <c r="P89" i="3"/>
  <c r="G3" i="4"/>
  <c r="BL11" i="3" s="1"/>
  <c r="I3" i="4"/>
  <c r="BL15" i="3" s="1"/>
  <c r="P87" i="3"/>
  <c r="H3" i="4"/>
  <c r="BL39" i="3" s="1"/>
  <c r="B3" i="4"/>
  <c r="E3" i="4"/>
  <c r="BL67" i="3" s="1"/>
  <c r="K85" i="3"/>
  <c r="K89" i="3"/>
  <c r="BS53" i="3"/>
  <c r="BS52" i="3"/>
  <c r="BZ49" i="3" s="1"/>
  <c r="CG55" i="3" s="1"/>
  <c r="CN38" i="3" s="1"/>
  <c r="BS69" i="3"/>
  <c r="BZ65" i="3" s="1"/>
  <c r="CG56" i="3" s="1"/>
  <c r="CN49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<sst xmlns="http://schemas.openxmlformats.org/spreadsheetml/2006/main" count="9785" uniqueCount="3699">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</sst>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17" workbookViewId="0">
      <selection activeCell="B21" sqref="B21:B29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2000000}">
      <formula1>$F$44:$F$47</formula1>
    </dataValidation>
    <dataValidation type="list" allowBlank="1" showInputMessage="1" showErrorMessage="1" promptTitle="Select Your Favorite Team" prompt="Use drop-down List" sqref="C12" xr:uid="{00000000-0002-0000-0100-000003000000}">
      <formula1>teams</formula1>
    </dataValidation>
    <dataValidation type="list" allowBlank="1" showInputMessage="1" showErrorMessage="1" promptTitle="Select GTM-time" prompt="Use drop-down List" sqref="C8" xr:uid="{00000000-0002-0000-0100-000004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00000000-0002-0000-0100-000005000000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sqref="A1:P1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1</v>
      </c>
      <c r="V8" s="123">
        <f t="shared" si="3"/>
        <v>2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4</v>
      </c>
      <c r="AL8" s="123">
        <f>AI8-AJ8</f>
        <v>3</v>
      </c>
      <c r="AM8" s="123">
        <f>AL8-AL12</f>
        <v>5</v>
      </c>
      <c r="AN8" s="123">
        <f>AF8*3+AG8</f>
        <v>7</v>
      </c>
      <c r="AO8" s="123">
        <f>AN8/AN12*10+BA8</f>
        <v>8.7578482668410729</v>
      </c>
      <c r="AP8" s="123">
        <f>AO8*10000000+BI8*100+AM8/AM12*10+AI8/AI12*1++IF(AQ8=0,ROW(),AQ8)/2000000</f>
        <v>87578491.877584577</v>
      </c>
      <c r="AQ8" s="126">
        <f>VLOOKUP(AE8,db_fifarank,2,FALSE)</f>
        <v>1681.03</v>
      </c>
      <c r="AR8" s="125">
        <f>AP8/AP12</f>
        <v>0.9999999885816715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2</v>
      </c>
      <c r="AZ8" s="126">
        <f>AT8/AT12*1000+AU8/AU12*100+AY8/AY12*10+AV8/AV12</f>
        <v>4</v>
      </c>
      <c r="BA8" s="126">
        <f>AZ8/AZ12</f>
        <v>7.8482668410725966E-3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7 - 4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5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1.2578482668410726</v>
      </c>
      <c r="AP9" s="123">
        <f>AO9*10000000+BI9*100+AM9/AM12*10+AI9/AI12*1++IF(AQ9=0,ROW(),AQ9)/2000000</f>
        <v>12578483.04412559</v>
      </c>
      <c r="AQ9" s="126">
        <f>VLOOKUP(AE9,db_fifarank,2,FALSE)</f>
        <v>1429.73</v>
      </c>
      <c r="AR9" s="125">
        <f>AP9/AP12</f>
        <v>0.14362525125555126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2</v>
      </c>
      <c r="AZ9" s="126">
        <f>AT9/AT12*1000+AU9/AU12*100+AY9/AY12*10+AV9/AV12</f>
        <v>4</v>
      </c>
      <c r="BA9" s="126">
        <f>AZ9/AZ12</f>
        <v>7.8482668410725966E-3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2</v>
      </c>
      <c r="AN10" s="123">
        <f>AF10*3+AG10</f>
        <v>4</v>
      </c>
      <c r="AO10" s="123">
        <f>AN10/AN12*10+BA10</f>
        <v>5.9980379332897318</v>
      </c>
      <c r="AP10" s="123">
        <f>AO10*10000000+BI10*100+AM10/AM12*10+AI10/AI12*1++IF(AQ10=0,ROW(),AQ10)/2000000</f>
        <v>59980383.167024985</v>
      </c>
      <c r="AQ10" s="126">
        <f>VLOOKUP(AE10,db_fifarank,2,FALSE)</f>
        <v>1588.66</v>
      </c>
      <c r="AR10" s="125">
        <f>AP10/AP12</f>
        <v>0.68487571772746003</v>
      </c>
      <c r="AT10" s="126" cm="1">
        <f t="array" ref="AT10">SUMPRODUCT(($S$7:$S$78=AE10&amp;"_win")*($U$7:$U$78))+SUMPRODUCT(($T$7:$T$78=AE10&amp;"_win")*($U$7:$U$78))</f>
        <v>1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2</v>
      </c>
      <c r="AY10" s="126">
        <f>AX10-MIN(AX8:AX11)</f>
        <v>4</v>
      </c>
      <c r="AZ10" s="126">
        <f>AT10/AT12*1000+AU10/AU12*100+AY10/AY12*10+AV10/AV12</f>
        <v>508.66666666666669</v>
      </c>
      <c r="BA10" s="126">
        <f>AZ10/AZ12</f>
        <v>0.99803793328973189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4 - 5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5</v>
      </c>
      <c r="AL11" s="123">
        <f>AI11-AJ11</f>
        <v>-1</v>
      </c>
      <c r="AM11" s="123">
        <f>AL11-AL12</f>
        <v>1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50000002.167417355</v>
      </c>
      <c r="AQ11" s="126">
        <f>VLOOKUP(AE11,db_fifarank,2,FALSE)</f>
        <v>1501.38</v>
      </c>
      <c r="AR11" s="125">
        <f>AP11/AP12</f>
        <v>0.57091644905680594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-2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1</v>
      </c>
      <c r="AH12" s="123">
        <f t="shared" si="12"/>
        <v>3</v>
      </c>
      <c r="AI12" s="123">
        <f>MAX(AI8:AI11)+1</f>
        <v>8</v>
      </c>
      <c r="AL12" s="123">
        <f>MIN(AL8:AL11)</f>
        <v>-2</v>
      </c>
      <c r="AM12" s="123">
        <f>MAX(AM8:AM11)+1</f>
        <v>6</v>
      </c>
      <c r="AN12" s="123">
        <f>MAX(AN8:AN11)+1</f>
        <v>8</v>
      </c>
      <c r="AO12" s="123">
        <f>MAX(AO8:AO11)+1</f>
        <v>9.7578482668410729</v>
      </c>
      <c r="AP12" s="123">
        <f>MAX(AP8:AP11)+1</f>
        <v>87578492.877584577</v>
      </c>
      <c r="AT12" s="126">
        <f>MAX(AT8:AT11)-MIN(AT8:AT11)+1</f>
        <v>2</v>
      </c>
      <c r="AU12" s="126">
        <f>MAX(AU8:AU11)-MIN(AU8:AU11)+1</f>
        <v>1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5</v>
      </c>
      <c r="AZ12" s="126">
        <f>MAX(AZ8:AZ11)+1</f>
        <v>509.66666666666669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6</v>
      </c>
      <c r="AL14" s="123">
        <f>AI14-AJ14</f>
        <v>0</v>
      </c>
      <c r="AM14" s="123">
        <f>AL14-AL18</f>
        <v>3</v>
      </c>
      <c r="AN14" s="123">
        <f>AF14*3+AG14</f>
        <v>4</v>
      </c>
      <c r="AO14" s="123">
        <f>AN14/AN18*10+BA14</f>
        <v>4</v>
      </c>
      <c r="AP14" s="123">
        <f>AO14*10000000+BI14*100+AM14/AM18*10+AI14/AI18*1++IF(AQ14=0,ROW(),AQ14)/2000000</f>
        <v>40000005.143635385</v>
      </c>
      <c r="AQ14" s="126">
        <f>VLOOKUP(AE14,db_fifarank,2,FALSE)</f>
        <v>1556.48</v>
      </c>
      <c r="AR14" s="125">
        <f>AP14/AP18</f>
        <v>0.44444445009275735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6 - 3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4</v>
      </c>
      <c r="AL15" s="123">
        <f>AI15-AJ15</f>
        <v>0</v>
      </c>
      <c r="AM15" s="123">
        <f>AL15-AL18</f>
        <v>3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30000004.857835777</v>
      </c>
      <c r="AQ15" s="126">
        <f>VLOOKUP(AE15,db_fifarank,2,FALSE)</f>
        <v>1385.84</v>
      </c>
      <c r="AR15" s="125">
        <f>AP15/AP18</f>
        <v>0.33333334868189157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Tunisia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6 - 6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5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</v>
      </c>
      <c r="AP16" s="123">
        <f>AO16*10000000+BI16*100+AM16/AM18*10+AI16/AI18*1++IF(AQ16=0,ROW(),AQ16)/2000000</f>
        <v>10000000.286441766</v>
      </c>
      <c r="AQ16" s="126">
        <f>VLOOKUP(AE16,db_fifarank,2,FALSE)</f>
        <v>1454.96</v>
      </c>
      <c r="AR16" s="125">
        <f>AP16/AP18</f>
        <v>0.11111110141800083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4 - 4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3</v>
      </c>
      <c r="AL17" s="123">
        <f>AI17-AJ17</f>
        <v>3</v>
      </c>
      <c r="AM17" s="123">
        <f>AL17-AL18</f>
        <v>6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90000009.429396123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2 - 5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7</v>
      </c>
      <c r="AL18" s="123">
        <f>MIN(AL14:AL17)</f>
        <v>-3</v>
      </c>
      <c r="AM18" s="123">
        <f>MAX(AM14:AM17)+1</f>
        <v>7</v>
      </c>
      <c r="AN18" s="123">
        <f>MAX(AN14:AN17)+1</f>
        <v>10</v>
      </c>
      <c r="AO18" s="123">
        <f>MAX(AO14:AO17)+1</f>
        <v>10</v>
      </c>
      <c r="AP18" s="123">
        <f>MAX(AP14:AP17)+1</f>
        <v>90000010.429396123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14</v>
      </c>
      <c r="AJ20" s="123">
        <f>SUMIF($E$7:$E$78,$AE20,$G$7:$G$78) + SUMIF($H$7:$H$78,$AE20,$F$7:$F$78)</f>
        <v>4</v>
      </c>
      <c r="AL20" s="123">
        <f>AI20-AJ20</f>
        <v>10</v>
      </c>
      <c r="AM20" s="123">
        <f>AL20-AL24</f>
        <v>21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90000010.479668468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14 - 4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5</v>
      </c>
      <c r="AL21" s="123">
        <f>AI21-AJ21</f>
        <v>2</v>
      </c>
      <c r="AM21" s="123">
        <f>AL21-AL24</f>
        <v>13</v>
      </c>
      <c r="AN21" s="123">
        <f>AF21*3+AG21</f>
        <v>4</v>
      </c>
      <c r="AO21" s="123">
        <f>AN21/AN24*10+BA21</f>
        <v>4.9806451612903224</v>
      </c>
      <c r="AP21" s="123">
        <f>AO21*10000000+BI21*100+AM21/AM24*10+AI21/AI24*1++IF(AQ21=0,ROW(),AQ21)/2000000</f>
        <v>49806556.054054856</v>
      </c>
      <c r="AQ21" s="126">
        <f>VLOOKUP(AE21,db_fifarank,2,FALSE)</f>
        <v>1755.87</v>
      </c>
      <c r="AR21" s="125">
        <f>AP21/AP24</f>
        <v>0.55340610779040234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7 - 5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12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6.7312521666666666E-2</v>
      </c>
      <c r="AQ22" s="126">
        <f>VLOOKUP(AE22,db_fifarank,2,FALSE)</f>
        <v>1291.71</v>
      </c>
      <c r="AR22" s="125">
        <f>AP22/AP24</f>
        <v>7.4791681200921798E-10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4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6 - 7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6</v>
      </c>
      <c r="AJ23" s="123">
        <f>SUMIF($E$7:$E$78,$AE23,$G$7:$G$78) + SUMIF($H$7:$H$78,$AE23,$F$7:$F$78)</f>
        <v>7</v>
      </c>
      <c r="AL23" s="123">
        <f>AI23-AJ23</f>
        <v>-1</v>
      </c>
      <c r="AM23" s="123">
        <f>AL23-AL24</f>
        <v>10</v>
      </c>
      <c r="AN23" s="123">
        <f>AF23*3+AG23</f>
        <v>4</v>
      </c>
      <c r="AO23" s="123">
        <f>AN23/AN24*10+BA23</f>
        <v>4.9806451612903224</v>
      </c>
      <c r="AP23" s="123">
        <f>AO23*10000000+BI23*100+AM23/AM24*10+AI23/AI24*1++IF(AQ23=0,ROW(),AQ23)/2000000</f>
        <v>49806554.623623073</v>
      </c>
      <c r="AQ23" s="126">
        <f>VLOOKUP(AE23,db_fifarank,2,FALSE)</f>
        <v>1498.35</v>
      </c>
      <c r="AR23" s="125">
        <f>AP23/AP24</f>
        <v>0.55340609189671786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2</v>
      </c>
      <c r="AW23" s="126" cm="1">
        <f t="array" ref="AW23">SUMPRODUCT(($E$7:$E$78=AE23)*($U$7:$U$78)*($G$7:$G$78))+SUMPRODUCT(($H$7:$H$78=AE23)*($U$7:$U$78)*($F$7:$F$78))</f>
        <v>2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50.666666666666664</v>
      </c>
      <c r="BA23" s="126">
        <f>AZ23/AZ24</f>
        <v>0.98064516129032253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2</v>
      </c>
      <c r="BE23" s="126" cm="1">
        <f t="array" ref="BE23">SUMPRODUCT(($E$7:$E$78=AE23)*($X$7:$X$78)*($G$7:$G$78))+SUMPRODUCT(($H$7:$H$78=AE23)*($X$7:$X$78)*($F$7:$F$78))</f>
        <v>2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50.666666666666664</v>
      </c>
      <c r="BI23" s="126">
        <f>BH23/BH24</f>
        <v>0.98064516129032253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1 - 12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15</v>
      </c>
      <c r="AL24" s="123">
        <f>MIN(AL20:AL23)</f>
        <v>-11</v>
      </c>
      <c r="AM24" s="123">
        <f>MAX(AM20:AM23)+1</f>
        <v>22</v>
      </c>
      <c r="AN24" s="123">
        <f>MAX(AN20:AN23)+1</f>
        <v>10</v>
      </c>
      <c r="AO24" s="123">
        <f>MAX(AO20:AO23)+1</f>
        <v>10</v>
      </c>
      <c r="AP24" s="123">
        <f>MAX(AP20:AP23)+1</f>
        <v>90000011.479668468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5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4</v>
      </c>
      <c r="AL26" s="123">
        <f>AI26-AJ26</f>
        <v>2</v>
      </c>
      <c r="AM26" s="123">
        <f>AL26-AL30</f>
        <v>7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62500007.600836568</v>
      </c>
      <c r="AQ26" s="126">
        <f>VLOOKUP(AE26,db_fifarank,2,FALSE)</f>
        <v>1673.13</v>
      </c>
      <c r="AR26" s="125">
        <f>AP26/AP30</f>
        <v>0.71428571216629955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9 - 5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8</v>
      </c>
      <c r="AL27" s="123">
        <f>AI27-AJ27</f>
        <v>-5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0.30075174999999998</v>
      </c>
      <c r="AQ27" s="126">
        <f>VLOOKUP(AE27,db_fifarank,2,FALSE)</f>
        <v>1503.5</v>
      </c>
      <c r="AR27" s="125">
        <f>AP27/AP30</f>
        <v>3.4371624289392162E-9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3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6 - 4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3</v>
      </c>
      <c r="W28" s="123">
        <f t="shared" si="4"/>
        <v>3</v>
      </c>
      <c r="X28" s="123">
        <f t="shared" si="9"/>
        <v>1</v>
      </c>
      <c r="Y28" s="123">
        <f t="shared" si="10"/>
        <v>3</v>
      </c>
      <c r="Z28" s="123">
        <f t="shared" si="11"/>
        <v>3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5</v>
      </c>
      <c r="AJ28" s="123">
        <f>SUMIF($E$7:$E$78,$AE28,$G$7:$G$78) + SUMIF($H$7:$H$78,$AE28,$F$7:$F$78)</f>
        <v>6</v>
      </c>
      <c r="AL28" s="123">
        <f>AI28-AJ28</f>
        <v>-1</v>
      </c>
      <c r="AM28" s="123">
        <f>AL28-AL30</f>
        <v>4</v>
      </c>
      <c r="AN28" s="123">
        <f>AF28*3+AG28</f>
        <v>4</v>
      </c>
      <c r="AO28" s="123">
        <f>AN28/AN30*10+BA28</f>
        <v>5</v>
      </c>
      <c r="AP28" s="123">
        <f>AO28*10000000+BI28*100+AM28/AM30*10+AI28/AI30*1++IF(AQ28=0,ROW(),AQ28)/2000000</f>
        <v>50000004.500790335</v>
      </c>
      <c r="AQ28" s="126">
        <f>VLOOKUP(AE28,db_fifarank,2,FALSE)</f>
        <v>1580.67</v>
      </c>
      <c r="AR28" s="125">
        <f>AP28/AP30</f>
        <v>0.57142855167728279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5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5 - 6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9</v>
      </c>
      <c r="AJ29" s="123">
        <f>SUMIF($E$7:$E$78,$AE29,$G$7:$G$78) + SUMIF($H$7:$H$78,$AE29,$F$7:$F$78)</f>
        <v>5</v>
      </c>
      <c r="AL29" s="123">
        <f>AI29-AJ29</f>
        <v>4</v>
      </c>
      <c r="AM29" s="123">
        <f>AL29-AL30</f>
        <v>9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87500009.900799528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4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3 - 8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10</v>
      </c>
      <c r="AL30" s="123">
        <f>MIN(AL26:AL29)</f>
        <v>-5</v>
      </c>
      <c r="AM30" s="123">
        <f>MAX(AM26:AM29)+1</f>
        <v>10</v>
      </c>
      <c r="AN30" s="123">
        <f>MAX(AN26:AN29)+1</f>
        <v>8</v>
      </c>
      <c r="AO30" s="123">
        <f>MAX(AO26:AO29)+1</f>
        <v>9.75</v>
      </c>
      <c r="AP30" s="123">
        <f>MAX(AP26:AP29)+1</f>
        <v>87500010.900799528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11</v>
      </c>
      <c r="AJ32" s="123">
        <f>SUMIF($E$7:$E$78,$AE32,$G$7:$G$78) + SUMIF($H$7:$H$78,$AE32,$F$7:$F$78)</f>
        <v>1</v>
      </c>
      <c r="AL32" s="123">
        <f>AI32-AJ32</f>
        <v>10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90000010.361976311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11 - 1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3</v>
      </c>
      <c r="AJ33" s="123">
        <f>SUMIF($E$7:$E$78,$AE33,$G$7:$G$78) + SUMIF($H$7:$H$78,$AE33,$F$7:$F$78)</f>
        <v>8</v>
      </c>
      <c r="AL33" s="123">
        <f>AI33-AJ33</f>
        <v>-5</v>
      </c>
      <c r="AM33" s="123">
        <f>AL33-AL36</f>
        <v>2</v>
      </c>
      <c r="AN33" s="123">
        <f>AF33*3+AG33</f>
        <v>3</v>
      </c>
      <c r="AO33" s="123">
        <f>AN33/AN36*10+BA33</f>
        <v>3</v>
      </c>
      <c r="AP33" s="123">
        <f>AO33*10000000+BI33*100+AM33/AM36*10+AI33/AI36*1++IF(AQ33=0,ROW(),AQ33)/2000000</f>
        <v>30000001.361758437</v>
      </c>
      <c r="AQ33" s="126">
        <f>VLOOKUP(AE33,db_fifarank,2,FALSE)</f>
        <v>1294.6500000000001</v>
      </c>
      <c r="AR33" s="125">
        <f>AP33/AP36</f>
        <v>0.33333330638259229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3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0</v>
      </c>
      <c r="AH34" s="123">
        <f>COUNTIF($S$7:$T$78,"=" &amp; AE34 &amp; "_lose")</f>
        <v>3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8</v>
      </c>
      <c r="AL34" s="123">
        <f>AI34-AJ34</f>
        <v>-7</v>
      </c>
      <c r="AM34" s="123">
        <f>AL34-AL36</f>
        <v>0</v>
      </c>
      <c r="AN34" s="123">
        <f>AF34*3+AG34</f>
        <v>0</v>
      </c>
      <c r="AO34" s="123">
        <f>AN34/AN36*10+BA34</f>
        <v>0</v>
      </c>
      <c r="AP34" s="123">
        <f>AO34*10000000+BI34*100+AM34/AM36*10+AI34/AI36*1++IF(AQ34=0,ROW(),AQ34)/2000000</f>
        <v>8.4099823333333323E-2</v>
      </c>
      <c r="AQ34" s="126">
        <f>VLOOKUP(AE34,db_fifarank,2,FALSE)</f>
        <v>1532.98</v>
      </c>
      <c r="AR34" s="125">
        <f>AP34/AP36</f>
        <v>9.3444236351357032E-10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1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3 - 8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4</v>
      </c>
      <c r="AL35" s="123">
        <f>AI35-AJ35</f>
        <v>2</v>
      </c>
      <c r="AM35" s="123">
        <f>AL35-AL36</f>
        <v>9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60000005.500797391</v>
      </c>
      <c r="AQ35" s="126">
        <f>VLOOKUP(AE35,db_fifarank,2,FALSE)</f>
        <v>1594.78</v>
      </c>
      <c r="AR35" s="125">
        <f>AP35/AP36</f>
        <v>0.66666664362385308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2</v>
      </c>
      <c r="G36" s="20">
        <v>2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2</v>
      </c>
      <c r="W36" s="123">
        <f t="shared" si="4"/>
        <v>2</v>
      </c>
      <c r="X36" s="123">
        <f t="shared" si="9"/>
        <v>1</v>
      </c>
      <c r="Y36" s="123">
        <f t="shared" si="10"/>
        <v>2</v>
      </c>
      <c r="Z36" s="123">
        <f t="shared" si="11"/>
        <v>2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12</v>
      </c>
      <c r="AL36" s="123">
        <f>MIN(AL32:AL35)</f>
        <v>-7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90000011.361976311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2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4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4</v>
      </c>
      <c r="AL38" s="123">
        <f>AI38-AJ38</f>
        <v>4</v>
      </c>
      <c r="AM38" s="123">
        <f>AL38-AL42</f>
        <v>6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90000009.461196393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4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8 - 4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7</v>
      </c>
      <c r="AL39" s="123">
        <f>AI39-AJ39</f>
        <v>-2</v>
      </c>
      <c r="AM39" s="123">
        <f>AL39-AL42</f>
        <v>0</v>
      </c>
      <c r="AN39" s="123">
        <f>AF39*3+AG39</f>
        <v>1</v>
      </c>
      <c r="AO39" s="123">
        <f>AN39/AN42*10+BA39</f>
        <v>1</v>
      </c>
      <c r="AP39" s="123">
        <f>AO39*10000000+BI39*100+AM39/AM42*10+AI39/AI42*1++IF(AQ39=0,ROW(),AQ39)/2000000</f>
        <v>10000000.55638577</v>
      </c>
      <c r="AQ39" s="126">
        <f>VLOOKUP(AE39,db_fifarank,2,FALSE)</f>
        <v>1660.43</v>
      </c>
      <c r="AR39" s="125">
        <f>AP39/AP42</f>
        <v>0.11111110437811873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1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4 - 5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1</v>
      </c>
      <c r="AN40" s="123">
        <f>AF40*3+AG40</f>
        <v>4</v>
      </c>
      <c r="AO40" s="123">
        <f>AN40/AN42*10+BA40</f>
        <v>4</v>
      </c>
      <c r="AP40" s="123">
        <f>AO40*10000000+BI40*100+AM40/AM42*10+AI40/AI42*1++IF(AQ40=0,ROW(),AQ40)/2000000</f>
        <v>40000001.873773254</v>
      </c>
      <c r="AQ40" s="126">
        <f>VLOOKUP(AE40,db_fifarank,2,FALSE)</f>
        <v>1514.77</v>
      </c>
      <c r="AR40" s="125">
        <f>AP40/AP42</f>
        <v>0.44444441360392178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4 - 5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5</v>
      </c>
      <c r="AL41" s="123">
        <f>AI41-AJ41</f>
        <v>-1</v>
      </c>
      <c r="AM41" s="123">
        <f>AL41-AL42</f>
        <v>1</v>
      </c>
      <c r="AN41" s="123">
        <f>AF41*3+AG41</f>
        <v>2</v>
      </c>
      <c r="AO41" s="123">
        <f>AN41/AN42*10+BA41</f>
        <v>2</v>
      </c>
      <c r="AP41" s="123">
        <f>AO41*10000000+BI41*100+AM41/AM42*10+AI41/AI42*1++IF(AQ41=0,ROW(),AQ41)/2000000</f>
        <v>20000001.8737574</v>
      </c>
      <c r="AQ41" s="126">
        <f>VLOOKUP(AE41,db_fifarank,2,FALSE)</f>
        <v>1483.05</v>
      </c>
      <c r="AR41" s="125">
        <f>AP41/AP42</f>
        <v>0.2222222172116349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2</v>
      </c>
      <c r="G42" s="20">
        <v>2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5 - 7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9</v>
      </c>
      <c r="AL42" s="123">
        <f>MIN(AL38:AL41)</f>
        <v>-2</v>
      </c>
      <c r="AM42" s="123">
        <f>MAX(AM38:AM41)+1</f>
        <v>7</v>
      </c>
      <c r="AN42" s="123">
        <f>MAX(AN38:AN41)+1</f>
        <v>10</v>
      </c>
      <c r="AO42" s="123">
        <f>MAX(AO38:AO41)+1</f>
        <v>10</v>
      </c>
      <c r="AP42" s="123">
        <f>MAX(AP38:AP41)+1</f>
        <v>90000010.461196393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5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3</v>
      </c>
      <c r="AL44" s="123">
        <f>AI44-AJ44</f>
        <v>4</v>
      </c>
      <c r="AM44" s="123">
        <f>AL44-AL48</f>
        <v>7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90000009.625867352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7 - 3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4</v>
      </c>
      <c r="AL45" s="123">
        <f>AI45-AJ45</f>
        <v>1</v>
      </c>
      <c r="AM45" s="123">
        <f>AL45-AL48</f>
        <v>4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60000005.625781618</v>
      </c>
      <c r="AQ45" s="126">
        <f>VLOOKUP(AE45,db_fifarank,2,FALSE)</f>
        <v>1563.24</v>
      </c>
      <c r="AR45" s="125">
        <f>AP45/AP48</f>
        <v>0.66666665046522466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5 - 4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5</v>
      </c>
      <c r="AL46" s="123">
        <f>AI46-AJ46</f>
        <v>-2</v>
      </c>
      <c r="AM46" s="123">
        <f>AL46-AL48</f>
        <v>1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19805924.926778525</v>
      </c>
      <c r="AQ46" s="126">
        <f>VLOOKUP(AE46,db_fifarank,2,FALSE)</f>
        <v>1615.3</v>
      </c>
      <c r="AR46" s="125">
        <f>AP46/AP48</f>
        <v>0.22006580653764951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3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3 - 5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6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19805923.676611658</v>
      </c>
      <c r="AQ47" s="126">
        <f>VLOOKUP(AE47,db_fifarank,2,FALSE)</f>
        <v>1281.57</v>
      </c>
      <c r="AR47" s="125">
        <f>AP47/AP48</f>
        <v>0.22006579264690818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4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5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3 - 6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8</v>
      </c>
      <c r="AL48" s="123">
        <f>MIN(AL44:AL47)</f>
        <v>-3</v>
      </c>
      <c r="AM48" s="123">
        <f>MAX(AM44:AM47)+1</f>
        <v>8</v>
      </c>
      <c r="AN48" s="123">
        <f>MAX(AN44:AN47)+1</f>
        <v>10</v>
      </c>
      <c r="AO48" s="123">
        <f>MAX(AO44:AO47)+1</f>
        <v>10</v>
      </c>
      <c r="AP48" s="123">
        <f>MAX(AP44:AP47)+1</f>
        <v>90000010.625867352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4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Argentina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2</v>
      </c>
      <c r="AL50" s="123">
        <f>AI50-AJ50</f>
        <v>8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90000010.243362442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4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9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19805923.574381214</v>
      </c>
      <c r="AQ51" s="126">
        <f>VLOOKUP(AE51,db_fifarank,2,FALSE)</f>
        <v>1366.13</v>
      </c>
      <c r="AR51" s="125">
        <f>AP51/AP54</f>
        <v>0.22006579000113083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8 - 5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7</v>
      </c>
      <c r="AL52" s="123">
        <f>AI52-AJ52</f>
        <v>-5</v>
      </c>
      <c r="AM52" s="123">
        <f>AL52-AL54</f>
        <v>1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19805924.150166441</v>
      </c>
      <c r="AQ52" s="126">
        <f>VLOOKUP(AE52,db_fifarank,2,FALSE)</f>
        <v>1421.43</v>
      </c>
      <c r="AR52" s="125">
        <f>AP52/AP54</f>
        <v>0.22006579639874368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5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5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60000006.728109263</v>
      </c>
      <c r="AQ53" s="126">
        <f>VLOOKUP(AE53,db_fifarank,2,FALSE)</f>
        <v>1673.07</v>
      </c>
      <c r="AR53" s="125">
        <f>AP53/AP54</f>
        <v>0.66666665813927106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3 - 9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11</v>
      </c>
      <c r="AL54" s="123">
        <f>MIN(AL50:AL53)</f>
        <v>-6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90000011.243362442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5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12</v>
      </c>
      <c r="AJ56" s="123">
        <f>SUMIF($E$7:$E$78,$AE56,$G$7:$G$78) + SUMIF($H$7:$H$78,$AE56,$F$7:$F$78)</f>
        <v>4</v>
      </c>
      <c r="AL56" s="123">
        <f>AI56-AJ56</f>
        <v>8</v>
      </c>
      <c r="AM56" s="123">
        <f>AL56-AL60</f>
        <v>15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90000010.299015582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3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12 - 4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7</v>
      </c>
      <c r="AJ57" s="123">
        <f>SUMIF($E$7:$E$78,$AE57,$G$7:$G$78) + SUMIF($H$7:$H$78,$AE57,$F$7:$F$78)</f>
        <v>6</v>
      </c>
      <c r="AL57" s="123">
        <f>AI57-AJ57</f>
        <v>1</v>
      </c>
      <c r="AM57" s="123">
        <f>AL57-AL60</f>
        <v>8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60000005.53930603</v>
      </c>
      <c r="AQ57" s="126">
        <f>VLOOKUP(AE57,db_fifarank,2,FALSE)</f>
        <v>1688.99</v>
      </c>
      <c r="AR57" s="125">
        <f>AP57/AP60</f>
        <v>0.66666664451810254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7 - 6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9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0.15456972384615386</v>
      </c>
      <c r="AQ58" s="126">
        <f>VLOOKUP(AE58,db_fifarank,2,FALSE)</f>
        <v>1447.14</v>
      </c>
      <c r="AR58" s="125">
        <f>AP58/AP60</f>
        <v>1.7174411604528826E-9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6</v>
      </c>
      <c r="AL59" s="123">
        <f>AI59-AJ59</f>
        <v>-2</v>
      </c>
      <c r="AM59" s="123">
        <f>AL59-AL60</f>
        <v>5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30000003.433467779</v>
      </c>
      <c r="AQ59" s="126">
        <f>VLOOKUP(AE59,db_fifarank,2,FALSE)</f>
        <v>1550.94</v>
      </c>
      <c r="AR59" s="125">
        <f>AP59/AP60</f>
        <v>0.33333332963476991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13</v>
      </c>
      <c r="AL60" s="123">
        <f>MIN(AL56:AL59)</f>
        <v>-7</v>
      </c>
      <c r="AM60" s="123">
        <f>MAX(AM56:AM59)+1</f>
        <v>16</v>
      </c>
      <c r="AN60" s="123">
        <f>MAX(AN56:AN59)+1</f>
        <v>10</v>
      </c>
      <c r="AO60" s="123">
        <f>MAX(AO56:AO59)+1</f>
        <v>10</v>
      </c>
      <c r="AP60" s="123">
        <f>MAX(AP56:AP59)+1</f>
        <v>90000011.299015582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2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Curaçao_win</v>
      </c>
      <c r="T61" s="127" t="str">
        <f t="shared" si="20"/>
        <v>Ivory Coast_lose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15</v>
      </c>
      <c r="AJ62" s="123">
        <f>SUMIF($E$7:$E$78,$AE62,$G$7:$G$78) + SUMIF($H$7:$H$78,$AE62,$F$7:$F$78)</f>
        <v>2</v>
      </c>
      <c r="AL62" s="123">
        <f>AI62-AJ62</f>
        <v>13</v>
      </c>
      <c r="AM62" s="123">
        <f>AL62-AL66</f>
        <v>20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90000010.46224694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15 - 2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8</v>
      </c>
      <c r="AL63" s="123">
        <f>AI63-AJ63</f>
        <v>-5</v>
      </c>
      <c r="AM63" s="123">
        <f>AL63-AL66</f>
        <v>2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19805924.441633955</v>
      </c>
      <c r="AQ63" s="126">
        <f>VLOOKUP(AE63,db_fifarank,2,FALSE)</f>
        <v>1564.26</v>
      </c>
      <c r="AR63" s="125">
        <f>AP63/AP66</f>
        <v>0.22006579910206026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5 - 6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6</v>
      </c>
      <c r="AL64" s="123">
        <f>AI64-AJ64</f>
        <v>-1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60000003.170439586</v>
      </c>
      <c r="AQ64" s="126">
        <f>VLOOKUP(AE64,db_fifarank,2,FALSE)</f>
        <v>1593.45</v>
      </c>
      <c r="AR64" s="125">
        <f>AP64/AP66</f>
        <v>0.66666661698824659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3 - 8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10</v>
      </c>
      <c r="AL65" s="123">
        <f>AI65-AJ65</f>
        <v>-7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19805923.489166599</v>
      </c>
      <c r="AQ65" s="126">
        <f>VLOOKUP(AE65,db_fifarank,2,FALSE)</f>
        <v>1391.45</v>
      </c>
      <c r="AR65" s="125">
        <f>AP65/AP66</f>
        <v>0.22006578851909098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3 - 10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16</v>
      </c>
      <c r="AL66" s="123">
        <f>MIN(AL62:AL65)</f>
        <v>-7</v>
      </c>
      <c r="AM66" s="123">
        <f>MAX(AM62:AM65)+1</f>
        <v>21</v>
      </c>
      <c r="AN66" s="123">
        <f>MAX(AN62:AN65)+1</f>
        <v>10</v>
      </c>
      <c r="AO66" s="123">
        <f>MAX(AO62:AO65)+1</f>
        <v>10</v>
      </c>
      <c r="AP66" s="123">
        <f>MAX(AP62:AP65)+1</f>
        <v>90000011.46224694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Curaçao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13</v>
      </c>
      <c r="AJ68" s="123">
        <f>SUMIF($E$7:$E$78,$AE68,$G$7:$G$78) + SUMIF($H$7:$H$78,$AE68,$F$7:$F$78)</f>
        <v>1</v>
      </c>
      <c r="AL68" s="123">
        <f>AI68-AJ68</f>
        <v>12</v>
      </c>
      <c r="AM68" s="123">
        <f>AL68-AL72</f>
        <v>23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90000010.512786672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13 - 1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8</v>
      </c>
      <c r="AL69" s="123">
        <f>AI69-AJ69</f>
        <v>-5</v>
      </c>
      <c r="AM69" s="123">
        <f>AL69-AL72</f>
        <v>6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30000002.715024889</v>
      </c>
      <c r="AQ69" s="126">
        <f>VLOOKUP(AE69,db_fifarank,2,FALSE)</f>
        <v>1478.35</v>
      </c>
      <c r="AR69" s="125">
        <f>AP69/AP72</f>
        <v>0.33333332086032752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8 - 4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11</v>
      </c>
      <c r="AL70" s="123">
        <f>AI70-AJ70</f>
        <v>-11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8.140776736410823E-12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3 - 8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8</v>
      </c>
      <c r="AJ71" s="123">
        <f>SUMIF($E$7:$E$78,$AE71,$G$7:$G$78) + SUMIF($H$7:$H$78,$AE71,$F$7:$F$78)</f>
        <v>4</v>
      </c>
      <c r="AL71" s="123">
        <f>AI71-AJ71</f>
        <v>4</v>
      </c>
      <c r="AM71" s="123">
        <f>AL71-AL72</f>
        <v>15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60000006.822275117</v>
      </c>
      <c r="AQ71" s="126">
        <f>VLOOKUP(AE71,db_fifarank,2,FALSE)</f>
        <v>1693.09</v>
      </c>
      <c r="AR71" s="125">
        <f>AP71/AP72</f>
        <v>0.66666665718982343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Norway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0 - 11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14</v>
      </c>
      <c r="AL72" s="123">
        <f>MIN(AL68:AL71)</f>
        <v>-11</v>
      </c>
      <c r="AM72" s="123">
        <f>MAX(AM68:AM71)+1</f>
        <v>24</v>
      </c>
      <c r="AN72" s="123">
        <f>MAX(AN68:AN71)+1</f>
        <v>10</v>
      </c>
      <c r="AO72" s="123">
        <f>MAX(AO68:AO71)+1</f>
        <v>10</v>
      </c>
      <c r="AP72" s="123">
        <f>MAX(AP68:AP71)+1</f>
        <v>90000011.512786672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5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11</v>
      </c>
      <c r="AJ74" s="123">
        <f>SUMIF($E$7:$E$78,$AE74,$G$7:$G$78) + SUMIF($H$7:$H$78,$AE74,$F$7:$F$78)</f>
        <v>5</v>
      </c>
      <c r="AL74" s="123">
        <f>AI74-AJ74</f>
        <v>6</v>
      </c>
      <c r="AM74" s="123">
        <f>AL74-AL78</f>
        <v>12</v>
      </c>
      <c r="AN74" s="123">
        <f>AF74*3+AG74</f>
        <v>7</v>
      </c>
      <c r="AO74" s="123">
        <f>AN74/AN78*10+BA74</f>
        <v>9.7401960784313726</v>
      </c>
      <c r="AP74" s="123">
        <f>AO74*10000000+BI74*100+AM74/AM78*10+AI74/AI78*1++IF(AQ74=0,ROW(),AQ74)/2000000</f>
        <v>97402069.952270448</v>
      </c>
      <c r="AQ74" s="126">
        <f>VLOOKUP(AE74,db_fifarank,2,FALSE)</f>
        <v>1825.97</v>
      </c>
      <c r="AR74" s="125">
        <f>AP74/AP78</f>
        <v>0.99999998973327786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3</v>
      </c>
      <c r="AW74" s="126" cm="1">
        <f t="array" ref="AW74">SUMPRODUCT(($E$7:$E$78=AE74)*($U$7:$U$78)*($G$7:$G$78))+SUMPRODUCT(($H$7:$H$78=AE74)*($U$7:$U$78)*($F$7:$F$78))</f>
        <v>3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101</v>
      </c>
      <c r="BA74" s="126">
        <f>AZ74/AZ78</f>
        <v>0.99019607843137258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3</v>
      </c>
      <c r="BE74" s="126" cm="1">
        <f t="array" ref="BE74">SUMPRODUCT(($E$7:$E$78=AE74)*($X$7:$X$78)*($G$7:$G$78))+SUMPRODUCT(($H$7:$H$78=AE74)*($X$7:$X$78)*($F$7:$F$78))</f>
        <v>3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101</v>
      </c>
      <c r="BI74" s="126">
        <f>BH74/BH78</f>
        <v>0.99019607843137258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11 - 5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11</v>
      </c>
      <c r="AJ75" s="123">
        <f>SUMIF($E$7:$E$78,$AE75,$G$7:$G$78) + SUMIF($H$7:$H$78,$AE75,$F$7:$F$78)</f>
        <v>6</v>
      </c>
      <c r="AL75" s="123">
        <f>AI75-AJ75</f>
        <v>5</v>
      </c>
      <c r="AM75" s="123">
        <f>AL75-AL78</f>
        <v>11</v>
      </c>
      <c r="AN75" s="123">
        <f>AF75*3+AG75</f>
        <v>7</v>
      </c>
      <c r="AO75" s="123">
        <f>AN75/AN78*10+BA75</f>
        <v>9.7401960784313726</v>
      </c>
      <c r="AP75" s="123">
        <f>AO75*10000000+BI75*100+AM75/AM78*10+AI75/AI78*1++IF(AQ75=0,ROW(),AQ75)/2000000</f>
        <v>97402069.182985231</v>
      </c>
      <c r="AQ75" s="126">
        <f>VLOOKUP(AE75,db_fifarank,2,FALSE)</f>
        <v>1717.07</v>
      </c>
      <c r="AR75" s="125">
        <f>AP75/AP78</f>
        <v>0.9999999818352403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3</v>
      </c>
      <c r="AW75" s="126" cm="1">
        <f t="array" ref="AW75">SUMPRODUCT(($E$7:$E$78=AE75)*($U$7:$U$78)*($G$7:$G$78))+SUMPRODUCT(($H$7:$H$78=AE75)*($U$7:$U$78)*($F$7:$F$78))</f>
        <v>3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101</v>
      </c>
      <c r="BA75" s="126">
        <f>AZ75/AZ78</f>
        <v>0.99019607843137258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3</v>
      </c>
      <c r="BE75" s="126" cm="1">
        <f t="array" ref="BE75">SUMPRODUCT(($E$7:$E$78=AE75)*($X$7:$X$78)*($G$7:$G$78))+SUMPRODUCT(($H$7:$H$78=AE75)*($X$7:$X$78)*($F$7:$F$78))</f>
        <v>3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101</v>
      </c>
      <c r="BI75" s="126">
        <f>BH75/BH78</f>
        <v>0.99019607843137258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6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11 - 6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10</v>
      </c>
      <c r="AL76" s="123">
        <f>AI76-AJ76</f>
        <v>-6</v>
      </c>
      <c r="AM76" s="123">
        <f>AL76-AL78</f>
        <v>0</v>
      </c>
      <c r="AN76" s="123">
        <f>AF76*3+AG76</f>
        <v>1</v>
      </c>
      <c r="AO76" s="123">
        <f>AN76/AN78*10+BA76</f>
        <v>2.2336601307189543</v>
      </c>
      <c r="AP76" s="123">
        <f>AO76*10000000+BI76*100+AM76/AM78*10+AI76/AI78*1++IF(AQ76=0,ROW(),AQ76)/2000000</f>
        <v>22336700.007209104</v>
      </c>
      <c r="AQ76" s="126">
        <f>VLOOKUP(AE76,db_fifarank,2,FALSE)</f>
        <v>1346.31</v>
      </c>
      <c r="AR76" s="125">
        <f>AP76/AP78</f>
        <v>0.22932469288209148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100.33333333333333</v>
      </c>
      <c r="BA76" s="126">
        <f>AZ76/AZ78</f>
        <v>0.9836601307189542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100.33333333333333</v>
      </c>
      <c r="BI76" s="126">
        <f>BH76/BH78</f>
        <v>0.9836601307189542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3 - 8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8</v>
      </c>
      <c r="AL77" s="123">
        <f>AI77-AJ77</f>
        <v>-5</v>
      </c>
      <c r="AM77" s="123">
        <f>AL77-AL78</f>
        <v>1</v>
      </c>
      <c r="AN77" s="123">
        <f>AF77*3+AG77</f>
        <v>1</v>
      </c>
      <c r="AO77" s="123">
        <f>AN77/AN78*10+BA77</f>
        <v>2.2336601307189543</v>
      </c>
      <c r="AP77" s="123">
        <f>AO77*10000000+BI77*100+AM77/AM78*10+AI77/AI78*1++IF(AQ77=0,ROW(),AQ77)/2000000</f>
        <v>22336700.693203703</v>
      </c>
      <c r="AQ77" s="126">
        <f>VLOOKUP(AE77,db_fifarank,2,FALSE)</f>
        <v>1540.64</v>
      </c>
      <c r="AR77" s="125">
        <f>AP77/AP78</f>
        <v>0.22932469992500742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100.33333333333333</v>
      </c>
      <c r="BA77" s="126">
        <f>AZ77/AZ78</f>
        <v>0.9836601307189542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100.33333333333333</v>
      </c>
      <c r="BI77" s="126">
        <f>BH77/BH78</f>
        <v>0.9836601307189542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4 - 10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12</v>
      </c>
      <c r="AL78" s="123">
        <f>MIN(AL74:AL77)</f>
        <v>-6</v>
      </c>
      <c r="AM78" s="123">
        <f>MAX(AM74:AM77)+1</f>
        <v>13</v>
      </c>
      <c r="AN78" s="123">
        <f>MAX(AN74:AN77)+1</f>
        <v>8</v>
      </c>
      <c r="AO78" s="123">
        <f>MAX(AO74:AO77)+1</f>
        <v>10.740196078431373</v>
      </c>
      <c r="AP78" s="123">
        <f>MAX(AP74:AP77)+1</f>
        <v>97402070.952270448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102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102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5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4</v>
      </c>
      <c r="AP80" s="123">
        <f>AN80/AN92*10000+AM80/AM92*1000+AI80/AI92*100+IF(AQ80=0,ROW(),AQ80)/2000000</f>
        <v>8723.8102744995231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6 - 7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5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6890.4768833961898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Australia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5 - 6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6</v>
      </c>
      <c r="AJ82" s="123">
        <f t="shared" si="42"/>
        <v>7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4</v>
      </c>
      <c r="AP82" s="123">
        <f>AN82/AN92*10000+AM82/AM92*1000+AI82/AI92*100+IF(AQ82=0,ROW(),AQ82)/2000000</f>
        <v>8752.3817015559525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Ⓐ Czech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4 - 5</v>
      </c>
      <c r="P83" s="101">
        <f t="shared" si="48"/>
        <v>4</v>
      </c>
      <c r="AD83" s="123">
        <f t="shared" si="38"/>
        <v>2</v>
      </c>
      <c r="AE83" s="124" t="str">
        <f>J29</f>
        <v>Australia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5</v>
      </c>
      <c r="AJ83" s="123">
        <f t="shared" si="42"/>
        <v>6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8738.0960284302364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Ⓑ Bosnia and Herzegovina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Curaçao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8</v>
      </c>
      <c r="AK84" s="123" t="s">
        <v>3185</v>
      </c>
      <c r="AL84" s="123">
        <f t="shared" si="43"/>
        <v>-5</v>
      </c>
      <c r="AM84" s="123">
        <f t="shared" si="44"/>
        <v>0</v>
      </c>
      <c r="AN84" s="123">
        <f t="shared" si="45"/>
        <v>3</v>
      </c>
      <c r="AP84" s="123">
        <f>AN84/AN92*10000+AM84/AM92*1000+AI84/AI92*100+IF(AQ84=0,ROW(),AQ84)/2000000</f>
        <v>6042.8577901821427</v>
      </c>
      <c r="AQ84" s="126">
        <f t="shared" si="37"/>
        <v>1294.6500000000001</v>
      </c>
      <c r="AR84" s="125" t="str">
        <f t="shared" si="50"/>
        <v>ABCDE</v>
      </c>
      <c r="AS84" s="129" t="str">
        <f t="shared" si="46"/>
        <v>Curaçao</v>
      </c>
      <c r="AT84" s="130" t="str">
        <f>"Ⓔ "&amp;AE84</f>
        <v>Ⓔ Curaçao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Ⓘ Norway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4 - 6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Tunisia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2</v>
      </c>
      <c r="AP85" s="123">
        <f>AN85/AN92*10000+AM85/AM92*1000+AI85/AI92*100+IF(AQ85=0,ROW(),AQ85)/2000000</f>
        <v>4723.810265334524</v>
      </c>
      <c r="AQ85" s="126">
        <f t="shared" si="37"/>
        <v>1483.05</v>
      </c>
      <c r="AR85" s="125" t="str">
        <f t="shared" si="50"/>
        <v>ABCDEF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Ⓚ DR Congo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3 - 8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3</v>
      </c>
      <c r="AN86" s="123">
        <f t="shared" si="45"/>
        <v>1</v>
      </c>
      <c r="AP86" s="123">
        <f>AN86/AN92*10000+AM86/AM92*1000+AI86/AI92*100+IF(AQ86=0,ROW(),AQ86)/2000000</f>
        <v>2542.8579505071425</v>
      </c>
      <c r="AQ86" s="126">
        <f t="shared" si="37"/>
        <v>1615.3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Ⓔ Curaçao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3 - 8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2028.5721392864286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Tunisia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4 - 5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5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6557.1436326128569</v>
      </c>
      <c r="AQ88" s="126">
        <f t="shared" si="37"/>
        <v>1550.94</v>
      </c>
      <c r="AR88" s="125" t="str">
        <f t="shared" si="50"/>
        <v>ABCDEFI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10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3</v>
      </c>
      <c r="AJ89" s="123">
        <f t="shared" si="42"/>
        <v>8</v>
      </c>
      <c r="AK89" s="123" t="s">
        <v>3190</v>
      </c>
      <c r="AL89" s="123">
        <f t="shared" si="43"/>
        <v>-5</v>
      </c>
      <c r="AM89" s="123">
        <f t="shared" si="44"/>
        <v>0</v>
      </c>
      <c r="AN89" s="123">
        <f t="shared" si="45"/>
        <v>1</v>
      </c>
      <c r="AP89" s="123">
        <f>AN89/AN92*10000+AM89/AM92*1000+AI89/AI92*100+IF(AQ89=0,ROW(),AQ89)/2000000</f>
        <v>2042.857924987143</v>
      </c>
      <c r="AQ89" s="126">
        <f t="shared" si="37"/>
        <v>1564.26</v>
      </c>
      <c r="AR89" s="125" t="str">
        <f t="shared" si="50"/>
        <v>ABCDEFI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3 - 8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6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3</v>
      </c>
      <c r="AJ90" s="123">
        <f t="shared" si="42"/>
        <v>8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6042.8578820321427</v>
      </c>
      <c r="AQ90" s="126">
        <f t="shared" si="37"/>
        <v>1478.35</v>
      </c>
      <c r="AR90" s="125" t="str">
        <f t="shared" si="50"/>
        <v>ABCDEFIK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Panama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3 - 8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11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8</v>
      </c>
      <c r="AK91" s="123" t="s">
        <v>3192</v>
      </c>
      <c r="AL91" s="123">
        <f>VLOOKUP($AE91,$AE$8:$AQ$78,8,FALSE)</f>
        <v>-5</v>
      </c>
      <c r="AM91" s="123">
        <f t="shared" si="44"/>
        <v>0</v>
      </c>
      <c r="AN91" s="123">
        <f>VLOOKUP($AE91,$AE$8:$AQ$78,10,FALSE)</f>
        <v>1</v>
      </c>
      <c r="AP91" s="123">
        <f>AN91/AN92*10000+AM91/AM92*1000+AI91/AI92*100+IF(AQ91=0,ROW(),AQ91)/2000000</f>
        <v>2042.8579131771428</v>
      </c>
      <c r="AQ91" s="126">
        <f t="shared" si="37"/>
        <v>1540.64</v>
      </c>
      <c r="AR91" s="125" t="str">
        <f t="shared" si="50"/>
        <v>ABCDEFIK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9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0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1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2000000}">
      <formula1>"0,1,2,3,4,5,6,7,8,9,10,11,12,13,14,15,16,17,18,19,20"</formula1>
    </dataValidation>
    <dataValidation type="list" allowBlank="1" showInputMessage="1" showErrorMessage="1" sqref="F7:G78" xr:uid="{00000000-0002-0000-0200-000003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00000000-0004-0000-0200-000003000000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485</v>
      </c>
      <c r="C3" s="121" t="str">
        <f>'2026 World Cup'!AR91</f>
        <v>ABCDEFIK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2026-06-08T15:35:38Z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