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39025B0E-4B3A-FA41-A299-6F9A69D22C3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<sst xmlns="http://schemas.openxmlformats.org/spreadsheetml/2006/main" count="9785" uniqueCount="3699">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</sst>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V31" zoomScaleNormal="100" workbookViewId="0">
      <selection activeCell="CO39" sqref="CO39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87500009.40560241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12500000.334048199</v>
      </c>
      <c r="AQ9" s="126">
        <f>VLOOKUP(AE9,db_fifarank,2,FALSE)</f>
        <v>1429.73</v>
      </c>
      <c r="AR9" s="125">
        <f>AP9/AP12</f>
        <v>0.14285712968609948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3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5</v>
      </c>
      <c r="AL10" s="123">
        <f>AI10-AJ10</f>
        <v>-1</v>
      </c>
      <c r="AM10" s="123">
        <f>AL10-AL12</f>
        <v>2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37500003.524603851</v>
      </c>
      <c r="AQ10" s="126">
        <f>VLOOKUP(AE10,db_fifarank,2,FALSE)</f>
        <v>1588.66</v>
      </c>
      <c r="AR10" s="125">
        <f>AP10/AP12</f>
        <v>0.42857141788640085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62500006.381703071</v>
      </c>
      <c r="AQ11" s="126">
        <f>VLOOKUP(AE11,db_fifarank,2,FALSE)</f>
        <v>1501.38</v>
      </c>
      <c r="AR11" s="125">
        <f>AP11/AP12</f>
        <v>0.71428570227577193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87500010.40560241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Senegal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3</v>
      </c>
      <c r="AL14" s="123">
        <f>AI14-AJ14</f>
        <v>-1</v>
      </c>
      <c r="AM14" s="123">
        <f>AL14-AL18</f>
        <v>1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30000002.000778239</v>
      </c>
      <c r="AQ14" s="126">
        <f>VLOOKUP(AE14,db_fifarank,2,FALSE)</f>
        <v>1556.48</v>
      </c>
      <c r="AR14" s="125">
        <f>AP14/AP18</f>
        <v>0.33333331790682896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Senegal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3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0</v>
      </c>
      <c r="AN15" s="123">
        <f>AF15*3+AG15</f>
        <v>1</v>
      </c>
      <c r="AO15" s="123">
        <f>AN15/AN18*10+BA15</f>
        <v>1</v>
      </c>
      <c r="AP15" s="123">
        <f>AO15*10000000+BI15*100+AM15/AM18*10+AI15/AI18*1++IF(AQ15=0,ROW(),AQ15)/2000000</f>
        <v>10000000.334026255</v>
      </c>
      <c r="AQ15" s="126">
        <f>VLOOKUP(AE15,db_fifarank,2,FALSE)</f>
        <v>1385.84</v>
      </c>
      <c r="AR15" s="125">
        <f>AP15/AP18</f>
        <v>0.11111110227005647</v>
      </c>
      <c r="AS15" s="125" t="str">
        <f>IF(SUM(AF14:AH17)=12,J16,"2B")</f>
        <v>Qatar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Qatar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2 - 2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2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2</v>
      </c>
      <c r="AL16" s="123">
        <f>AI16-AJ16</f>
        <v>0</v>
      </c>
      <c r="AM16" s="123">
        <f>AL16-AL18</f>
        <v>2</v>
      </c>
      <c r="AN16" s="123">
        <f>AF16*3+AG16</f>
        <v>4</v>
      </c>
      <c r="AO16" s="123">
        <f>AN16/AN18*10+BA16</f>
        <v>4</v>
      </c>
      <c r="AP16" s="123">
        <f>AO16*10000000+BI16*100+AM16/AM18*10+AI16/AI18*1++IF(AQ16=0,ROW(),AQ16)/2000000</f>
        <v>40000003.667394154</v>
      </c>
      <c r="AQ16" s="126">
        <f>VLOOKUP(AE16,db_fifarank,2,FALSE)</f>
        <v>1454.96</v>
      </c>
      <c r="AR16" s="125">
        <f>AP16/AP18</f>
        <v>0.44444443498343555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5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90000009.167491361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6</v>
      </c>
      <c r="AL18" s="123">
        <f>MIN(AL14:AL17)</f>
        <v>-2</v>
      </c>
      <c r="AM18" s="123">
        <f>MAX(AM14:AM17)+1</f>
        <v>6</v>
      </c>
      <c r="AN18" s="123">
        <f>MAX(AN14:AN17)+1</f>
        <v>10</v>
      </c>
      <c r="AO18" s="123">
        <f>MAX(AO14:AO17)+1</f>
        <v>10</v>
      </c>
      <c r="AP18" s="123">
        <f>MAX(AP14:AP17)+1</f>
        <v>90000010.167491361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Qatar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3</v>
      </c>
      <c r="AL20" s="123">
        <f>AI20-AJ20</f>
        <v>5</v>
      </c>
      <c r="AM20" s="123">
        <f>AL20-AL24</f>
        <v>12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97306559.797958061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11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97306558.917613521</v>
      </c>
      <c r="AQ21" s="126">
        <f>VLOOKUP(AE21,db_fifarank,2,FALSE)</f>
        <v>1755.87</v>
      </c>
      <c r="AR21" s="125">
        <f>AP21/AP24</f>
        <v>0.99999998067607643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6.6373222391552554E-12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France_lose</v>
      </c>
      <c r="T23" s="127" t="str">
        <f t="shared" si="2"/>
        <v>Senegal_win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-1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6</v>
      </c>
      <c r="AL23" s="123">
        <f>AI23-AJ23</f>
        <v>-2</v>
      </c>
      <c r="AM23" s="123">
        <f>AL23-AL24</f>
        <v>5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37500004.291347474</v>
      </c>
      <c r="AQ23" s="126">
        <f>VLOOKUP(AE23,db_fifarank,2,FALSE)</f>
        <v>1498.35</v>
      </c>
      <c r="AR23" s="125">
        <f>AP23/AP24</f>
        <v>0.38538001943373995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2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Iraq_win</v>
      </c>
      <c r="T24" s="127" t="str">
        <f t="shared" si="2"/>
        <v>Norway_lose</v>
      </c>
      <c r="U24" s="123">
        <f t="shared" si="8"/>
        <v>1</v>
      </c>
      <c r="V24" s="123">
        <f t="shared" si="3"/>
        <v>2</v>
      </c>
      <c r="W24" s="123">
        <f t="shared" si="4"/>
        <v>1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-7</v>
      </c>
      <c r="AM24" s="123">
        <f>MAX(AM20:AM23)+1</f>
        <v>13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97306560.797958061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0</v>
      </c>
      <c r="W26" s="123">
        <f t="shared" si="4"/>
        <v>0</v>
      </c>
      <c r="X26" s="123">
        <f t="shared" si="9"/>
        <v>1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0</v>
      </c>
      <c r="AH26" s="123">
        <f>COUNTIF($S$7:$T$78,"=" &amp; AE26 &amp; "_lose")</f>
        <v>3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8</v>
      </c>
      <c r="AL26" s="123">
        <f>AI26-AJ26</f>
        <v>-6</v>
      </c>
      <c r="AM26" s="123">
        <f>AL26-AL30</f>
        <v>0</v>
      </c>
      <c r="AN26" s="123">
        <f>AF26*3+AG26</f>
        <v>0</v>
      </c>
      <c r="AO26" s="123">
        <f>AN26/AN30*10+BA26</f>
        <v>0</v>
      </c>
      <c r="AP26" s="123">
        <f>AO26*10000000+BI26*100+AM26/AM30*10+AI26/AI30*1++IF(AQ26=0,ROW(),AQ26)/2000000</f>
        <v>0.25083656500000001</v>
      </c>
      <c r="AQ26" s="126">
        <f>VLOOKUP(AE26,db_fifarank,2,FALSE)</f>
        <v>1673.13</v>
      </c>
      <c r="AR26" s="125">
        <f>AP26/AP30</f>
        <v>2.7870726024871671E-9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2</v>
      </c>
      <c r="AL27" s="123">
        <f>AI27-AJ27</f>
        <v>3</v>
      </c>
      <c r="AM27" s="123">
        <f>AL27-AL30</f>
        <v>9</v>
      </c>
      <c r="AN27" s="123">
        <f>AF27*3+AG27</f>
        <v>6</v>
      </c>
      <c r="AO27" s="123">
        <f>AN27/AN30*10+BA27</f>
        <v>6</v>
      </c>
      <c r="AP27" s="123">
        <f>AO27*10000000+BI27*100+AM27/AM30*10+AI27/AI30*1++IF(AQ27=0,ROW(),AQ27)/2000000</f>
        <v>60000008.125751749</v>
      </c>
      <c r="AQ27" s="126">
        <f>VLOOKUP(AE27,db_fifarank,2,FALSE)</f>
        <v>1503.5</v>
      </c>
      <c r="AR27" s="125">
        <f>AP27/AP30</f>
        <v>0.66666667515675027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3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4</v>
      </c>
      <c r="AN28" s="123">
        <f>AF28*3+AG28</f>
        <v>3</v>
      </c>
      <c r="AO28" s="123">
        <f>AN28/AN30*10+BA28</f>
        <v>3</v>
      </c>
      <c r="AP28" s="123">
        <f>AO28*10000000+BI28*100+AM28/AM30*10+AI28/AI30*1++IF(AQ28=0,ROW(),AQ28)/2000000</f>
        <v>30000003.709123667</v>
      </c>
      <c r="AQ28" s="126">
        <f>VLOOKUP(AE28,db_fifarank,2,FALSE)</f>
        <v>1580.67</v>
      </c>
      <c r="AR28" s="125">
        <f>AP28/AP30</f>
        <v>0.33333333364779555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2</v>
      </c>
      <c r="AL29" s="123">
        <f>AI29-AJ29</f>
        <v>5</v>
      </c>
      <c r="AM29" s="123">
        <f>AL29-AL30</f>
        <v>11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90000010.042466193</v>
      </c>
      <c r="AQ29" s="126">
        <f>VLOOKUP(AE29,db_fifarank,2,FALSE)</f>
        <v>1599.04</v>
      </c>
      <c r="AR29" s="125">
        <f>AP29/AP30</f>
        <v>0.9999999888888903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2 - 8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8</v>
      </c>
      <c r="AL30" s="123">
        <f>MIN(AL26:AL29)</f>
        <v>-6</v>
      </c>
      <c r="AM30" s="123">
        <f>MAX(AM26:AM29)+1</f>
        <v>12</v>
      </c>
      <c r="AN30" s="123">
        <f>MAX(AN26:AN29)+1</f>
        <v>10</v>
      </c>
      <c r="AO30" s="123">
        <f>MAX(AO26:AO29)+1</f>
        <v>10</v>
      </c>
      <c r="AP30" s="123">
        <f>MAX(AP26:AP29)+1</f>
        <v>90000011.042466193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90000009.966774285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6</v>
      </c>
      <c r="AL33" s="123">
        <f>AI33-AJ33</f>
        <v>-5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1.3960812187721377E-9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7 - 4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6</v>
      </c>
      <c r="AL34" s="123">
        <f>AI34-AJ34</f>
        <v>-3</v>
      </c>
      <c r="AM34" s="123">
        <f>AL34-AL36</f>
        <v>2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30000002.193948306</v>
      </c>
      <c r="AQ34" s="126">
        <f>VLOOKUP(AE34,db_fifarank,2,FALSE)</f>
        <v>1532.98</v>
      </c>
      <c r="AR34" s="125">
        <f>AP34/AP36</f>
        <v>0.33333331709285619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7</v>
      </c>
      <c r="AJ35" s="123">
        <f>SUMIF($E$7:$E$78,$AE35,$G$7:$G$78) + SUMIF($H$7:$H$78,$AE35,$F$7:$F$78)</f>
        <v>4</v>
      </c>
      <c r="AL35" s="123">
        <f>AI35-AJ35</f>
        <v>3</v>
      </c>
      <c r="AM35" s="123">
        <f>AL35-AL36</f>
        <v>8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60000008.148524664</v>
      </c>
      <c r="AQ35" s="126">
        <f>VLOOKUP(AE35,db_fifarank,2,FALSE)</f>
        <v>1594.78</v>
      </c>
      <c r="AR35" s="125">
        <f>AP35/AP36</f>
        <v>0.66666667597046336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-5</v>
      </c>
      <c r="AM36" s="123">
        <f>MAX(AM32:AM35)+1</f>
        <v>11</v>
      </c>
      <c r="AN36" s="123">
        <f>MAX(AN32:AN35)+1</f>
        <v>10</v>
      </c>
      <c r="AO36" s="123">
        <f>MAX(AO32:AO35)+1</f>
        <v>10</v>
      </c>
      <c r="AP36" s="123">
        <f>MAX(AP32:AP35)+1</f>
        <v>90000010.966774285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3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2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8</v>
      </c>
      <c r="AN38" s="123">
        <f>AF38*3+AG38</f>
        <v>5</v>
      </c>
      <c r="AO38" s="123">
        <f>AN38/AN42*10+BA38</f>
        <v>9.3187170117742593</v>
      </c>
      <c r="AP38" s="123">
        <f>AO38*10000000+BI38*100+AM38/AM42*10+AI38/AI42*1++IF(AQ38=0,ROW(),AQ38)/2000000</f>
        <v>93187277.929169402</v>
      </c>
      <c r="AQ38" s="126">
        <f>VLOOKUP(AE38,db_fifarank,2,FALSE)</f>
        <v>1757.87</v>
      </c>
      <c r="AR38" s="125">
        <f>AP38/AP42</f>
        <v>0.99999998926892153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2</v>
      </c>
      <c r="AV38" s="126" cm="1">
        <f t="array" ref="AV38">SUMPRODUCT(($E$7:$E$78=AE38)*($U$7:$U$78)*($F$7:$F$78))+SUMPRODUCT(($H$7:$H$78=AE38)*($U$7:$U$78)*($G$7:$G$78))</f>
        <v>3</v>
      </c>
      <c r="AW38" s="126" cm="1">
        <f t="array" ref="AW38">SUMPRODUCT(($E$7:$E$78=AE38)*($U$7:$U$78)*($G$7:$G$78))+SUMPRODUCT(($H$7:$H$78=AE38)*($U$7:$U$78)*($F$7:$F$78))</f>
        <v>3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67.416666666666657</v>
      </c>
      <c r="BA38" s="126">
        <f>AZ38/AZ42</f>
        <v>0.98538367844092567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1</v>
      </c>
      <c r="M39" s="31">
        <f>VLOOKUP(1,AD38:AN41,4,FALSE)</f>
        <v>2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5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6</v>
      </c>
      <c r="AN39" s="123">
        <f>AF39*3+AG39</f>
        <v>5</v>
      </c>
      <c r="AO39" s="123">
        <f>AN39/AN42*10+BA39</f>
        <v>9.3187170117742593</v>
      </c>
      <c r="AP39" s="123">
        <f>AO39*10000000+BI39*100+AM39/AM42*10+AI39/AI42*1++IF(AQ39=0,ROW(),AQ39)/2000000</f>
        <v>93187275.564041331</v>
      </c>
      <c r="AQ39" s="126">
        <f>VLOOKUP(AE39,db_fifarank,2,FALSE)</f>
        <v>1660.43</v>
      </c>
      <c r="AR39" s="125">
        <f>AP39/AP42</f>
        <v>0.99999996388854673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2</v>
      </c>
      <c r="AV39" s="126" cm="1">
        <f t="array" ref="AV39">SUMPRODUCT(($E$7:$E$78=AE39)*($U$7:$U$78)*($F$7:$F$78))+SUMPRODUCT(($H$7:$H$78=AE39)*($U$7:$U$78)*($G$7:$G$78))</f>
        <v>3</v>
      </c>
      <c r="AW39" s="126" cm="1">
        <f t="array" ref="AW39">SUMPRODUCT(($E$7:$E$78=AE39)*($U$7:$U$78)*($G$7:$G$78))+SUMPRODUCT(($H$7:$H$78=AE39)*($U$7:$U$78)*($F$7:$F$78))</f>
        <v>3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67.416666666666657</v>
      </c>
      <c r="BA39" s="126">
        <f>AZ39/AZ42</f>
        <v>0.98538367844092567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5 - 4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2</v>
      </c>
      <c r="AL40" s="123">
        <f>AI40-AJ40</f>
        <v>1</v>
      </c>
      <c r="AM40" s="123">
        <f>AL40-AL42</f>
        <v>6</v>
      </c>
      <c r="AN40" s="123">
        <f>AF40*3+AG40</f>
        <v>5</v>
      </c>
      <c r="AO40" s="123">
        <f>AN40/AN42*10+BA40</f>
        <v>9.3150629313844906</v>
      </c>
      <c r="AP40" s="123">
        <f>AO40*10000000+BI40*100+AM40/AM42*10+AI40/AI42*1++IF(AQ40=0,ROW(),AQ40)/2000000</f>
        <v>93150636.40984039</v>
      </c>
      <c r="AQ40" s="126">
        <f>VLOOKUP(AE40,db_fifarank,2,FALSE)</f>
        <v>1514.77</v>
      </c>
      <c r="AR40" s="125">
        <f>AP40/AP42</f>
        <v>0.99960678625076216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2</v>
      </c>
      <c r="AV40" s="126" cm="1">
        <f t="array" ref="AV40">SUMPRODUCT(($E$7:$E$78=AE40)*($U$7:$U$78)*($F$7:$F$78))+SUMPRODUCT(($H$7:$H$78=AE40)*($U$7:$U$78)*($G$7:$G$78))</f>
        <v>2</v>
      </c>
      <c r="AW40" s="126" cm="1">
        <f t="array" ref="AW40">SUMPRODUCT(($E$7:$E$78=AE40)*($U$7:$U$78)*($G$7:$G$78))+SUMPRODUCT(($H$7:$H$78=AE40)*($U$7:$U$78)*($F$7:$F$78))</f>
        <v>2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67.166666666666657</v>
      </c>
      <c r="BA40" s="126">
        <f>AZ40/AZ42</f>
        <v>0.98172959805115712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2</v>
      </c>
      <c r="N41" s="23">
        <f>VLOOKUP(3,AD38:AN41,5,FALSE)</f>
        <v>0</v>
      </c>
      <c r="O41" s="23" t="str">
        <f>VLOOKUP(3,AD38:AN41,6,FALSE) &amp; " - " &amp; VLOOKUP(3,AD38:AN41,7,FALSE)</f>
        <v>3 - 2</v>
      </c>
      <c r="P41" s="34">
        <f>L41*3+M41</f>
        <v>5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1</v>
      </c>
      <c r="V41" s="123">
        <f t="shared" si="3"/>
        <v>1</v>
      </c>
      <c r="W41" s="123">
        <f t="shared" si="4"/>
        <v>1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1.5409685689641241E-9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2</v>
      </c>
      <c r="AG42" s="123">
        <f t="shared" si="18"/>
        <v>3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9</v>
      </c>
      <c r="AN42" s="123">
        <f>MAX(AN38:AN41)+1</f>
        <v>6</v>
      </c>
      <c r="AO42" s="123">
        <f>MAX(AO38:AO41)+1</f>
        <v>10.318717011774259</v>
      </c>
      <c r="AP42" s="123">
        <f>MAX(AP38:AP41)+1</f>
        <v>93187278.929169402</v>
      </c>
      <c r="AT42" s="126">
        <f>MAX(AT38:AT41)-MIN(AT38:AT41)+1</f>
        <v>1</v>
      </c>
      <c r="AU42" s="126">
        <f>MAX(AU38:AU41)-MIN(AU38:AU41)+1</f>
        <v>3</v>
      </c>
      <c r="AV42" s="126">
        <f>MAX(AV38:AV41)-MIN(AV38:AV41)+1</f>
        <v>4</v>
      </c>
      <c r="AW42" s="126">
        <f>MAX(AW38:AW41)-MIN(AW38:AW41)+1</f>
        <v>4</v>
      </c>
      <c r="AY42" s="126">
        <f>MAX(AY38:AY41)-MIN(AY38:AY41)+1</f>
        <v>1</v>
      </c>
      <c r="AZ42" s="126">
        <f>MAX(AZ38:AZ41)+1</f>
        <v>68.416666666666657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2</v>
      </c>
      <c r="AL44" s="123">
        <f>AI44-AJ44</f>
        <v>2</v>
      </c>
      <c r="AM44" s="123">
        <f>AL44-AL48</f>
        <v>5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87500009.134200677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4 - 2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3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50000005.800781615</v>
      </c>
      <c r="AQ45" s="126">
        <f>VLOOKUP(AE45,db_fifarank,2,FALSE)</f>
        <v>1563.24</v>
      </c>
      <c r="AR45" s="125">
        <f>AP45/AP48</f>
        <v>0.57142857154068338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3 - 2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2</v>
      </c>
      <c r="AL46" s="123">
        <f>AI46-AJ46</f>
        <v>1</v>
      </c>
      <c r="AM46" s="123">
        <f>AL46-AL48</f>
        <v>4</v>
      </c>
      <c r="AN46" s="123">
        <f>AF46*3+AG46</f>
        <v>5</v>
      </c>
      <c r="AO46" s="123">
        <f>AN46/AN48*10+BA46</f>
        <v>6.25</v>
      </c>
      <c r="AP46" s="123">
        <f>AO46*10000000+BI46*100+AM46/AM48*10+AI46/AI48*1++IF(AQ46=0,ROW(),AQ46)/2000000</f>
        <v>62500007.267474316</v>
      </c>
      <c r="AQ46" s="126">
        <f>VLOOKUP(AE46,db_fifarank,2,FALSE)</f>
        <v>1615.3</v>
      </c>
      <c r="AR46" s="125">
        <f>AP46/AP48</f>
        <v>0.71428571461439483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3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4 - 4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0.20064078500000002</v>
      </c>
      <c r="AQ47" s="126">
        <f>VLOOKUP(AE47,db_fifarank,2,FALSE)</f>
        <v>1281.57</v>
      </c>
      <c r="AR47" s="125">
        <f>AP47/AP48</f>
        <v>2.2930372772788583E-9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France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1 - 4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1</v>
      </c>
      <c r="V48" s="123">
        <f t="shared" si="21"/>
        <v>2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5</v>
      </c>
      <c r="AL48" s="123">
        <f>MIN(AL44:AL47)</f>
        <v>-3</v>
      </c>
      <c r="AM48" s="123">
        <f>MAX(AM44:AM47)+1</f>
        <v>6</v>
      </c>
      <c r="AN48" s="123">
        <f>MAX(AN44:AN47)+1</f>
        <v>8</v>
      </c>
      <c r="AO48" s="123">
        <f>MAX(AO44:AO47)+1</f>
        <v>9.75</v>
      </c>
      <c r="AP48" s="123">
        <f>MAX(AP44:AP47)+1</f>
        <v>87500010.134200677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Germany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Norway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Norway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90000010.285029113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0.22004463472573438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6</v>
      </c>
      <c r="AL52" s="123">
        <f>AI52-AJ52</f>
        <v>-6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19804019.608553853</v>
      </c>
      <c r="AQ52" s="126">
        <f>VLOOKUP(AE52,db_fifarank,2,FALSE)</f>
        <v>1421.43</v>
      </c>
      <c r="AR52" s="125">
        <f>AP52/AP54</f>
        <v>0.2200446347260416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60000006.171291083</v>
      </c>
      <c r="AQ53" s="126">
        <f>VLOOKUP(AE53,db_fifarank,2,FALSE)</f>
        <v>1673.07</v>
      </c>
      <c r="AR53" s="125">
        <f>AP53/AP54</f>
        <v>0.66666665164376127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Norway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11</v>
      </c>
      <c r="AL54" s="123">
        <f>MIN(AL50:AL53)</f>
        <v>-6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90000011.285029113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0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Norway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0</v>
      </c>
      <c r="AH56" s="123">
        <f>COUNTIF($S$7:$T$78,"=" &amp; AE56 &amp; "_lose")</f>
        <v>2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5</v>
      </c>
      <c r="AL56" s="123">
        <f>AI56-AJ56</f>
        <v>0</v>
      </c>
      <c r="AM56" s="123">
        <f>AL56-AL60</f>
        <v>2</v>
      </c>
      <c r="AN56" s="123">
        <f>AF56*3+AG56</f>
        <v>3</v>
      </c>
      <c r="AO56" s="123">
        <f>AN56/AN60*10+BA56</f>
        <v>3.9980333027402648</v>
      </c>
      <c r="AP56" s="123">
        <f>AO56*10000000+BI56*100+AM56/AM60*10+AI56/AI60*1++IF(AQ56=0,ROW(),AQ56)/2000000</f>
        <v>39980336.510484166</v>
      </c>
      <c r="AQ56" s="126">
        <f>VLOOKUP(AE56,db_fifarank,2,FALSE)</f>
        <v>1877.32</v>
      </c>
      <c r="AR56" s="125">
        <f>AP56/AP60</f>
        <v>0.44390256823068741</v>
      </c>
      <c r="AS56" s="125" t="str">
        <f>IF(SUM(AF56:AH59)=12,J57,"1I")</f>
        <v>Senegal</v>
      </c>
      <c r="AT56" s="126" cm="1">
        <f t="array" ref="AT56">SUMPRODUCT(($S$7:$S$78=AE56&amp;"_win")*($U$7:$U$78))+SUMPRODUCT(($T$7:$T$78=AE56&amp;"_win")*($U$7:$U$78))</f>
        <v>1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4</v>
      </c>
      <c r="AW56" s="126" cm="1">
        <f t="array" ref="AW56">SUMPRODUCT(($E$7:$E$78=AE56)*($U$7:$U$78)*($G$7:$G$78))+SUMPRODUCT(($H$7:$H$78=AE56)*($U$7:$U$78)*($F$7:$F$78))</f>
        <v>3</v>
      </c>
      <c r="AX56" s="126">
        <f>AV56-AW56</f>
        <v>1</v>
      </c>
      <c r="AY56" s="126">
        <f>AX56-MIN(AX56:AX59)</f>
        <v>2</v>
      </c>
      <c r="AZ56" s="126">
        <f>AT56/AT60*1000+AU56/AU60*100+AY56/AY60*10+AV56/AV60</f>
        <v>507.4666666666667</v>
      </c>
      <c r="BA56" s="126">
        <f>AZ56/AZ60</f>
        <v>0.9980333027402648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Senegal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7 - 3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1</v>
      </c>
      <c r="AE57" s="124" t="str">
        <f>VLOOKUP("Senegal",T,lang,FALSE)</f>
        <v>Senegal</v>
      </c>
      <c r="AF57" s="123">
        <f>COUNTIF($S$7:$T$78,"=" &amp; AE57 &amp; "_win")</f>
        <v>3</v>
      </c>
      <c r="AG57" s="123">
        <f>COUNTIF($S$7:$T$78,"=" &amp; AE57 &amp; "_draw")</f>
        <v>0</v>
      </c>
      <c r="AH57" s="123">
        <f>COUNTIF($S$7:$T$78,"=" &amp; AE57 &amp; "_lose")</f>
        <v>0</v>
      </c>
      <c r="AI57" s="123">
        <f>SUMIF($E$7:$E$78,$AE57,$F$7:$F$78) + SUMIF($H$7:$H$78,$AE57,$G$7:$G$78)</f>
        <v>7</v>
      </c>
      <c r="AJ57" s="123">
        <f>SUMIF($E$7:$E$78,$AE57,$G$7:$G$78) + SUMIF($H$7:$H$78,$AE57,$F$7:$F$78)</f>
        <v>3</v>
      </c>
      <c r="AL57" s="123">
        <f>AI57-AJ57</f>
        <v>4</v>
      </c>
      <c r="AM57" s="123">
        <f>AL57-AL60</f>
        <v>6</v>
      </c>
      <c r="AN57" s="123">
        <f>AF57*3+AG57</f>
        <v>9</v>
      </c>
      <c r="AO57" s="123">
        <f>AN57/AN60*10+BA57</f>
        <v>9.0065556575324504</v>
      </c>
      <c r="AP57" s="123">
        <f>AO57*10000000+BI57*100+AM57/AM60*10+AI57/AI60*1++IF(AQ57=0,ROW(),AQ57)/2000000</f>
        <v>90065566.022597566</v>
      </c>
      <c r="AQ57" s="126">
        <f>VLOOKUP(AE57,db_fifarank,2,FALSE)</f>
        <v>1688.99</v>
      </c>
      <c r="AR57" s="125">
        <f>AP57/AP60</f>
        <v>0.99999998889697772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1</v>
      </c>
      <c r="AZ57" s="126">
        <f>AT57/AT60*1000+AU57/AU60*100+AY57/AY60*10+AV57/AV60</f>
        <v>3.333333333333333</v>
      </c>
      <c r="BA57" s="126">
        <f>AZ57/AZ60</f>
        <v>6.5556575324505042E-3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1</v>
      </c>
      <c r="M58" s="23">
        <f>VLOOKUP(2,AD56:AN59,4,FALSE)</f>
        <v>0</v>
      </c>
      <c r="N58" s="23">
        <f>VLOOKUP(2,AD56:AN59,5,FALSE)</f>
        <v>2</v>
      </c>
      <c r="O58" s="23" t="str">
        <f>VLOOKUP(2,AD56:AN59,6,FALSE) &amp; " - " &amp; VLOOKUP(2,AD56:AN59,7,FALSE)</f>
        <v>5 - 5</v>
      </c>
      <c r="P58" s="34">
        <f>L58*3+M58</f>
        <v>3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5</v>
      </c>
      <c r="AL58" s="123">
        <f>AI58-AJ58</f>
        <v>-2</v>
      </c>
      <c r="AM58" s="123">
        <f>AL58-AL60</f>
        <v>0</v>
      </c>
      <c r="AN58" s="123">
        <f>AF58*3+AG58</f>
        <v>3</v>
      </c>
      <c r="AO58" s="123">
        <f>AN58/AN60*10+BA58</f>
        <v>3.9841353087714699</v>
      </c>
      <c r="AP58" s="123">
        <f>AO58*10000000+BI58*100+AM58/AM60*10+AI58/AI60*1++IF(AQ58=0,ROW(),AQ58)/2000000</f>
        <v>39841353.463438272</v>
      </c>
      <c r="AQ58" s="126">
        <f>VLOOKUP(AE58,db_fifarank,2,FALSE)</f>
        <v>1447.14</v>
      </c>
      <c r="AR58" s="125">
        <f>AP58/AP60</f>
        <v>0.44235943635864777</v>
      </c>
      <c r="AT58" s="126" cm="1">
        <f t="array" ref="AT58">SUMPRODUCT(($S$7:$S$78=AE58&amp;"_win")*($U$7:$U$78))+SUMPRODUCT(($T$7:$T$78=AE58&amp;"_win")*($U$7:$U$78))</f>
        <v>1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2</v>
      </c>
      <c r="AW58" s="126" cm="1">
        <f t="array" ref="AW58">SUMPRODUCT(($E$7:$E$78=AE58)*($U$7:$U$78)*($G$7:$G$78))+SUMPRODUCT(($H$7:$H$78=AE58)*($U$7:$U$78)*($F$7:$F$78))</f>
        <v>3</v>
      </c>
      <c r="AX58" s="126">
        <f>AV58-AW58</f>
        <v>-1</v>
      </c>
      <c r="AY58" s="126">
        <f>AX58-MIN(AX56:AX59)</f>
        <v>0</v>
      </c>
      <c r="AZ58" s="126">
        <f>AT58/AT60*1000+AU58/AU60*100+AY58/AY60*10+AV58/AV60</f>
        <v>500.4</v>
      </c>
      <c r="BA58" s="126">
        <f>AZ58/AZ60</f>
        <v>0.98413530877146971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5 - 7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7</v>
      </c>
      <c r="AL59" s="123">
        <f>AI59-AJ59</f>
        <v>-2</v>
      </c>
      <c r="AM59" s="123">
        <f>AL59-AL60</f>
        <v>0</v>
      </c>
      <c r="AN59" s="123">
        <f>AF59*3+AG59</f>
        <v>3</v>
      </c>
      <c r="AO59" s="123">
        <f>AN59/AN60*10+BA59</f>
        <v>3.991477645207814</v>
      </c>
      <c r="AP59" s="123">
        <f>AO59*10000000+BI59*100+AM59/AM60*10+AI59/AI60*1++IF(AQ59=0,ROW(),AQ59)/2000000</f>
        <v>39914777.077853613</v>
      </c>
      <c r="AQ59" s="126">
        <f>VLOOKUP(AE59,db_fifarank,2,FALSE)</f>
        <v>1550.94</v>
      </c>
      <c r="AR59" s="125">
        <f>AP59/AP60</f>
        <v>0.44317466038757014</v>
      </c>
      <c r="AT59" s="126" cm="1">
        <f t="array" ref="AT59">SUMPRODUCT(($S$7:$S$78=AE59&amp;"_win")*($U$7:$U$78))+SUMPRODUCT(($T$7:$T$78=AE59&amp;"_win")*($U$7:$U$78))</f>
        <v>1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4</v>
      </c>
      <c r="AW59" s="126" cm="1">
        <f t="array" ref="AW59">SUMPRODUCT(($E$7:$E$78=AE59)*($U$7:$U$78)*($G$7:$G$78))+SUMPRODUCT(($H$7:$H$78=AE59)*($U$7:$U$78)*($F$7:$F$78))</f>
        <v>4</v>
      </c>
      <c r="AX59" s="126">
        <f>AV59-AW59</f>
        <v>0</v>
      </c>
      <c r="AY59" s="126">
        <f>AX59-MIN(AX56:AX59)</f>
        <v>1</v>
      </c>
      <c r="AZ59" s="126">
        <f>AT59/AT60*1000+AU59/AU60*100+AY59/AY60*10+AV59/AV60</f>
        <v>504.13333333333333</v>
      </c>
      <c r="BA59" s="126">
        <f>AZ59/AZ60</f>
        <v>0.99147764520781423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1</v>
      </c>
      <c r="M60" s="36">
        <f>VLOOKUP(4,AD56:AN59,4,FALSE)</f>
        <v>0</v>
      </c>
      <c r="N60" s="36">
        <f>VLOOKUP(4,AD56:AN59,5,FALSE)</f>
        <v>2</v>
      </c>
      <c r="O60" s="36" t="str">
        <f>VLOOKUP(4,AD56:AN59,6,FALSE) &amp; " - " &amp; VLOOKUP(4,AD56:AN59,7,FALSE)</f>
        <v>3 - 5</v>
      </c>
      <c r="P60" s="37">
        <f>L60*3+M60</f>
        <v>3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1</v>
      </c>
      <c r="AH60" s="123">
        <f t="shared" si="27"/>
        <v>3</v>
      </c>
      <c r="AI60" s="123">
        <f>MAX(AI56:AI59)+1</f>
        <v>8</v>
      </c>
      <c r="AL60" s="123">
        <f>MIN(AL56:AL59)</f>
        <v>-2</v>
      </c>
      <c r="AM60" s="123">
        <f>MAX(AM56:AM59)+1</f>
        <v>7</v>
      </c>
      <c r="AN60" s="123">
        <f>MAX(AN56:AN59)+1</f>
        <v>10</v>
      </c>
      <c r="AO60" s="123">
        <f>MAX(AO56:AO59)+1</f>
        <v>10.00655565753245</v>
      </c>
      <c r="AP60" s="123">
        <f>MAX(AP56:AP59)+1</f>
        <v>90065567.022597566</v>
      </c>
      <c r="AT60" s="126">
        <f>MAX(AT56:AT59)-MIN(AT56:AT59)+1</f>
        <v>2</v>
      </c>
      <c r="AU60" s="126">
        <f>MAX(AU56:AU59)-MIN(AU56:AU59)+1</f>
        <v>1</v>
      </c>
      <c r="AV60" s="126">
        <f>MAX(AV56:AV59)-MIN(AV56:AV59)+1</f>
        <v>5</v>
      </c>
      <c r="AW60" s="126">
        <f>MAX(AW56:AW59)-MIN(AW56:AW59)+1</f>
        <v>5</v>
      </c>
      <c r="AY60" s="126">
        <f>MAX(AY56:AY59)-MIN(AY56:AY59)+1</f>
        <v>3</v>
      </c>
      <c r="AZ60" s="126">
        <f>MAX(AZ56:AZ59)+1</f>
        <v>508.4666666666667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Iran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0</v>
      </c>
      <c r="AL62" s="123">
        <f>AI62-AJ62</f>
        <v>5</v>
      </c>
      <c r="AM62" s="123">
        <f>AL62-AL66</f>
        <v>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90000009.584270746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1</v>
      </c>
      <c r="AN63" s="123">
        <f>AF63*3+AG63</f>
        <v>2</v>
      </c>
      <c r="AO63" s="123">
        <f>AN63/AN66*10+BA63</f>
        <v>2.9853658536585366</v>
      </c>
      <c r="AP63" s="123">
        <f>AO63*10000000+BI63*100+AM63/AM66*10+AI63/AI66*1++IF(AQ63=0,ROW(),AQ63)/2000000</f>
        <v>29853660.120700825</v>
      </c>
      <c r="AQ63" s="126">
        <f>VLOOKUP(AE63,db_fifarank,2,FALSE)</f>
        <v>1564.26</v>
      </c>
      <c r="AR63" s="125">
        <f>AP63/AP66</f>
        <v>0.33170729566467777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2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67.333333333333329</v>
      </c>
      <c r="BA63" s="126">
        <f>AZ63/AZ66</f>
        <v>0.98536585365853657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0</v>
      </c>
      <c r="M64" s="23">
        <f>VLOOKUP(2,AD62:AN65,4,FALSE)</f>
        <v>2</v>
      </c>
      <c r="N64" s="23">
        <f>VLOOKUP(2,AD62:AN65,5,FALSE)</f>
        <v>1</v>
      </c>
      <c r="O64" s="23" t="str">
        <f>VLOOKUP(2,AD62:AN65,6,FALSE) &amp; " - " &amp; VLOOKUP(2,AD62:AN65,7,FALSE)</f>
        <v>2 - 3</v>
      </c>
      <c r="P64" s="34">
        <f>L64*3+M64</f>
        <v>2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1</v>
      </c>
      <c r="AJ64" s="123">
        <f>SUMIF($E$7:$E$78,$AE64,$G$7:$G$78) + SUMIF($H$7:$H$78,$AE64,$F$7:$F$78)</f>
        <v>3</v>
      </c>
      <c r="AL64" s="123">
        <f>AI64-AJ64</f>
        <v>-2</v>
      </c>
      <c r="AM64" s="123">
        <f>AL64-AL66</f>
        <v>0</v>
      </c>
      <c r="AN64" s="123">
        <f>AF64*3+AG64</f>
        <v>2</v>
      </c>
      <c r="AO64" s="123">
        <f>AN64/AN66*10+BA64</f>
        <v>2.9804878048780488</v>
      </c>
      <c r="AP64" s="123">
        <f>AO64*10000000+BI64*100+AM64/AM66*10+AI64/AI66*1++IF(AQ64=0,ROW(),AQ64)/2000000</f>
        <v>29804976.255459566</v>
      </c>
      <c r="AQ64" s="126">
        <f>VLOOKUP(AE64,db_fifarank,2,FALSE)</f>
        <v>1593.45</v>
      </c>
      <c r="AR64" s="125">
        <f>AP64/AP66</f>
        <v>0.33116636389227899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2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66.999999999999986</v>
      </c>
      <c r="BA64" s="126">
        <f>AZ64/AZ66</f>
        <v>0.98048780487804865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3</v>
      </c>
      <c r="AL65" s="123">
        <f>AI65-AJ65</f>
        <v>-2</v>
      </c>
      <c r="AM65" s="123">
        <f>AL65-AL66</f>
        <v>0</v>
      </c>
      <c r="AN65" s="123">
        <f>AF65*3+AG65</f>
        <v>2</v>
      </c>
      <c r="AO65" s="123">
        <f>AN65/AN66*10+BA65</f>
        <v>2.9804878048780488</v>
      </c>
      <c r="AP65" s="123">
        <f>AO65*10000000+BI65*100+AM65/AM66*10+AI65/AI66*1++IF(AQ65=0,ROW(),AQ65)/2000000</f>
        <v>29804976.255358566</v>
      </c>
      <c r="AQ65" s="126">
        <f>VLOOKUP(AE65,db_fifarank,2,FALSE)</f>
        <v>1391.45</v>
      </c>
      <c r="AR65" s="125">
        <f>AP65/AP66</f>
        <v>0.33116636389115678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2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66.999999999999986</v>
      </c>
      <c r="BA65" s="126">
        <f>AZ65/AZ66</f>
        <v>0.98048780487804865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2</v>
      </c>
      <c r="N66" s="36">
        <f>VLOOKUP(4,AD62:AN65,5,FALSE)</f>
        <v>1</v>
      </c>
      <c r="O66" s="36" t="str">
        <f>VLOOKUP(4,AD62:AN65,6,FALSE) &amp; " - " &amp; VLOOKUP(4,AD62:AN65,7,FALSE)</f>
        <v>1 - 3</v>
      </c>
      <c r="P66" s="37">
        <f>L66*3+M66</f>
        <v>2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2</v>
      </c>
      <c r="AI66" s="123">
        <f>MAX(AI62:AI65)+1</f>
        <v>6</v>
      </c>
      <c r="AL66" s="123">
        <f>MIN(AL62:AL65)</f>
        <v>-2</v>
      </c>
      <c r="AM66" s="123">
        <f>MAX(AM62:AM65)+1</f>
        <v>8</v>
      </c>
      <c r="AN66" s="123">
        <f>MAX(AN62:AN65)+1</f>
        <v>10</v>
      </c>
      <c r="AO66" s="123">
        <f>MAX(AO62:AO65)+1</f>
        <v>10</v>
      </c>
      <c r="AP66" s="123">
        <f>MAX(AP62:AP65)+1</f>
        <v>90000010.584270746</v>
      </c>
      <c r="AT66" s="126">
        <f>MAX(AT62:AT65)-MIN(AT62:AT65)+1</f>
        <v>1</v>
      </c>
      <c r="AU66" s="126">
        <f>MAX(AU62:AU65)-MIN(AU62:AU65)+1</f>
        <v>3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68.333333333333329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3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Norway_win</v>
      </c>
      <c r="T67" s="127" t="str">
        <f t="shared" si="20"/>
        <v>France_lose</v>
      </c>
      <c r="U67" s="123">
        <f t="shared" si="8"/>
        <v>1</v>
      </c>
      <c r="V67" s="123">
        <f t="shared" si="21"/>
        <v>3</v>
      </c>
      <c r="W67" s="123">
        <f t="shared" si="22"/>
        <v>2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1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19805924.246154495</v>
      </c>
      <c r="AQ69" s="126">
        <f>VLOOKUP(AE69,db_fifarank,2,FALSE)</f>
        <v>1478.35</v>
      </c>
      <c r="AR69" s="125">
        <f>AP69/AP72</f>
        <v>0.22006579792234177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3 - 3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19805923.412814658</v>
      </c>
      <c r="AQ70" s="126">
        <f>VLOOKUP(AE70,db_fifarank,2,FALSE)</f>
        <v>1465.34</v>
      </c>
      <c r="AR70" s="125">
        <f>AP70/AP72</f>
        <v>0.22006578866301138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3</v>
      </c>
      <c r="AL71" s="123">
        <f>AI71-AJ71</f>
        <v>0</v>
      </c>
      <c r="AM71" s="123">
        <f>AL71-AL72</f>
        <v>4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60000003.667513214</v>
      </c>
      <c r="AQ71" s="126">
        <f>VLOOKUP(AE71,db_fifarank,2,FALSE)</f>
        <v>1693.09</v>
      </c>
      <c r="AR71" s="125">
        <f>AP71/AP72</f>
        <v>0.66666662551728162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-4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4</v>
      </c>
      <c r="AL74" s="123">
        <f>AI74-AJ74</f>
        <v>3</v>
      </c>
      <c r="AM74" s="123">
        <f>AL74-AL78</f>
        <v>10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87500009.966822073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7 - 4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5</v>
      </c>
      <c r="AL75" s="123">
        <f>AI75-AJ75</f>
        <v>2</v>
      </c>
      <c r="AM75" s="123">
        <f>AL75-AL78</f>
        <v>9</v>
      </c>
      <c r="AN75" s="123">
        <f>AF75*3+AG75</f>
        <v>4</v>
      </c>
      <c r="AO75" s="123">
        <f>AN75/AN78*10+BA75</f>
        <v>5</v>
      </c>
      <c r="AP75" s="123">
        <f>AO75*10000000+BI75*100+AM75/AM78*10+AI75/AI78*1++IF(AQ75=0,ROW(),AQ75)/2000000</f>
        <v>50000009.057676718</v>
      </c>
      <c r="AQ75" s="126">
        <f>VLOOKUP(AE75,db_fifarank,2,FALSE)</f>
        <v>1717.07</v>
      </c>
      <c r="AR75" s="125">
        <f>AP75/AP78</f>
        <v>0.57142860332481027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3</v>
      </c>
      <c r="AL76" s="123">
        <f>AI76-AJ76</f>
        <v>2</v>
      </c>
      <c r="AM76" s="123">
        <f>AL76-AL78</f>
        <v>9</v>
      </c>
      <c r="AN76" s="123">
        <f>AF76*3+AG76</f>
        <v>6</v>
      </c>
      <c r="AO76" s="123">
        <f>AN76/AN78*10+BA76</f>
        <v>7.5</v>
      </c>
      <c r="AP76" s="123">
        <f>AO76*10000000+BI76*100+AM76/AM78*10+AI76/AI78*1++IF(AQ76=0,ROW(),AQ76)/2000000</f>
        <v>75000008.807491347</v>
      </c>
      <c r="AQ76" s="126">
        <f>VLOOKUP(AE76,db_fifarank,2,FALSE)</f>
        <v>1346.31</v>
      </c>
      <c r="AR76" s="125">
        <f>AP76/AP78</f>
        <v>0.8571428503698082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7 - 5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8.8036560394499497E-12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-7</v>
      </c>
      <c r="AM78" s="123">
        <f>MAX(AM74:AM77)+1</f>
        <v>11</v>
      </c>
      <c r="AN78" s="123">
        <f>MAX(AN74:AN77)+1</f>
        <v>8</v>
      </c>
      <c r="AO78" s="123">
        <f>MAX(AO74:AO77)+1</f>
        <v>9.75</v>
      </c>
      <c r="AP78" s="123">
        <f>MAX(AP74:AP77)+1</f>
        <v>87500010.966822073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5605.5563498855554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3 - 2</v>
      </c>
      <c r="P81" s="98">
        <f>L81*3+M81</f>
        <v>5</v>
      </c>
      <c r="AD81" s="123">
        <f t="shared" ref="AD81:AD91" si="38">COUNTIF($AP$80:$AP$91,CONCATENATE("&gt;=",AP81))</f>
        <v>5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5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5580.5563337955555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Croatia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7 - 5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6</v>
      </c>
      <c r="AK82" s="123" t="s">
        <v>3182</v>
      </c>
      <c r="AL82" s="123">
        <f t="shared" si="43"/>
        <v>-2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5494.4451936194446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Egypt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8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5481.945234779444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6</v>
      </c>
      <c r="AK84" s="123" t="s">
        <v>3185</v>
      </c>
      <c r="AL84" s="123">
        <f t="shared" si="43"/>
        <v>-3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5370.8340998233334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Ⓑ Canada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Senegal</v>
      </c>
      <c r="T85" s="127" t="str" cm="1">
        <f t="array" ref="T85">IF(OR(S85="",S85="draw"),INDEX(T,87,lang),S85)</f>
        <v>Senegal</v>
      </c>
      <c r="AD85" s="123">
        <f t="shared" si="38"/>
        <v>1</v>
      </c>
      <c r="AE85" s="124" t="str">
        <f>J41</f>
        <v>Sweden</v>
      </c>
      <c r="AF85" s="123">
        <f t="shared" si="39"/>
        <v>1</v>
      </c>
      <c r="AG85" s="123">
        <f t="shared" si="49"/>
        <v>2</v>
      </c>
      <c r="AH85" s="123">
        <f t="shared" si="40"/>
        <v>0</v>
      </c>
      <c r="AI85" s="123">
        <f t="shared" si="41"/>
        <v>3</v>
      </c>
      <c r="AJ85" s="123">
        <f t="shared" si="42"/>
        <v>2</v>
      </c>
      <c r="AK85" s="123" t="s">
        <v>3186</v>
      </c>
      <c r="AL85" s="123">
        <f t="shared" si="43"/>
        <v>1</v>
      </c>
      <c r="AM85" s="123">
        <f t="shared" si="44"/>
        <v>7</v>
      </c>
      <c r="AN85" s="123">
        <f t="shared" si="45"/>
        <v>5</v>
      </c>
      <c r="AP85" s="123">
        <f>AN85/AN92*10000+AM85/AM92*1000+AI85/AI92*100+IF(AQ85=0,ROW(),AQ85)/2000000</f>
        <v>9148.6118684961111</v>
      </c>
      <c r="AQ85" s="126">
        <f t="shared" si="37"/>
        <v>1514.77</v>
      </c>
      <c r="AR85" s="125" t="str">
        <f t="shared" si="50"/>
        <v>ABCDF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Norway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5 - 7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3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4</v>
      </c>
      <c r="AK86" s="123" t="s">
        <v>3187</v>
      </c>
      <c r="AL86" s="123">
        <f t="shared" si="43"/>
        <v>0</v>
      </c>
      <c r="AM86" s="123">
        <f t="shared" si="44"/>
        <v>6</v>
      </c>
      <c r="AN86" s="123">
        <f t="shared" si="45"/>
        <v>4</v>
      </c>
      <c r="AP86" s="123">
        <f>AN86/AN92*10000+AM86/AM92*1000+AI86/AI92*100+IF(AQ86=0,ROW(),AQ86)/2000000</f>
        <v>7383.3341149533335</v>
      </c>
      <c r="AQ86" s="126">
        <f t="shared" si="37"/>
        <v>1563.24</v>
      </c>
      <c r="AR86" s="125" t="str">
        <f t="shared" si="50"/>
        <v>ABCDFG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6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1666.6673773816665</v>
      </c>
      <c r="AQ87" s="126">
        <f t="shared" si="37"/>
        <v>1421.43</v>
      </c>
      <c r="AR87" s="125" t="str">
        <f t="shared" si="50"/>
        <v>ABCDFG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Australia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6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7</v>
      </c>
      <c r="AK88" s="123" t="s">
        <v>3189</v>
      </c>
      <c r="AL88" s="123">
        <f t="shared" si="43"/>
        <v>-2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5506.9452199144444</v>
      </c>
      <c r="AQ88" s="126">
        <f t="shared" si="37"/>
        <v>1550.94</v>
      </c>
      <c r="AR88" s="125" t="str">
        <f t="shared" si="50"/>
        <v>ABCDFGI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Ivory Coast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Austria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4</v>
      </c>
      <c r="AN89" s="123">
        <f t="shared" si="45"/>
        <v>2</v>
      </c>
      <c r="AP89" s="123">
        <f>AN89/AN92*10000+AM89/AM92*1000+AI89/AI92*100+IF(AQ89=0,ROW(),AQ89)/2000000</f>
        <v>3790.2785745027772</v>
      </c>
      <c r="AQ89" s="126">
        <f t="shared" si="37"/>
        <v>1593.45</v>
      </c>
      <c r="AR89" s="125" t="str">
        <f t="shared" si="50"/>
        <v>ABCDFGI</v>
      </c>
      <c r="AS89" s="129" t="str">
        <f t="shared" si="46"/>
        <v/>
      </c>
      <c r="AT89" s="130" t="str">
        <f>"Ⓙ "&amp;AE89</f>
        <v>Ⓙ Austria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Austria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3</v>
      </c>
      <c r="AN90" s="123">
        <f t="shared" si="45"/>
        <v>1</v>
      </c>
      <c r="AP90" s="123">
        <f>AN90/AN92*10000+AM90/AM92*1000+AI90/AI92*100+IF(AQ90=0,ROW(),AQ90)/2000000</f>
        <v>2012.5007391749998</v>
      </c>
      <c r="AQ90" s="126">
        <f t="shared" si="37"/>
        <v>1478.35</v>
      </c>
      <c r="AR90" s="125" t="str">
        <f t="shared" si="50"/>
        <v>ABCDFGI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7</v>
      </c>
      <c r="AJ91" s="123">
        <f>VLOOKUP($AE91,$AE$8:$AQ$78,6,FALSE)</f>
        <v>5</v>
      </c>
      <c r="AK91" s="123" t="s">
        <v>3192</v>
      </c>
      <c r="AL91" s="123">
        <f>VLOOKUP($AE91,$AE$8:$AQ$78,8,FALSE)</f>
        <v>2</v>
      </c>
      <c r="AM91" s="123">
        <f t="shared" si="44"/>
        <v>8</v>
      </c>
      <c r="AN91" s="123">
        <f>VLOOKUP($AE91,$AE$8:$AQ$78,10,FALSE)</f>
        <v>4</v>
      </c>
      <c r="AP91" s="123">
        <f>AN91/AN92*10000+AM91/AM92*1000+AI91/AI92*100+IF(AQ91=0,ROW(),AQ91)/2000000</f>
        <v>7643.0564140905544</v>
      </c>
      <c r="AQ91" s="126">
        <f t="shared" si="37"/>
        <v>1717.07</v>
      </c>
      <c r="AR91" s="125" t="str">
        <f t="shared" si="50"/>
        <v>ABCDFGIL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8</v>
      </c>
      <c r="AJ92" s="123">
        <f>MAX(AJ80:AJ91)+1</f>
        <v>8</v>
      </c>
      <c r="AL92" s="123">
        <f>MIN(AL80:AL91)</f>
        <v>-6</v>
      </c>
      <c r="AM92" s="123">
        <f>MAX(AM80:AM91)+1</f>
        <v>9</v>
      </c>
      <c r="AN92" s="123">
        <f>MAX(AN80:AN91)+1</f>
        <v>6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454</v>
      </c>
      <c r="C3" s="121" t="str">
        <f>'2026 World Cup'!AR91</f>
        <v>ABCDFGIL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