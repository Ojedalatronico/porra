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íctor\Desktop\"/>
    </mc:Choice>
  </mc:AlternateContent>
  <xr:revisionPtr revIDLastSave="0" documentId="8_{6304BEEF-1A7A-400F-BC4B-5B4D43425F9A}" xr6:coauthVersionLast="47" xr6:coauthVersionMax="47" xr10:uidLastSave="{00000000-0000-0000-0000-000000000000}"/>
  <bookViews>
    <workbookView xWindow="-120" yWindow="-120" windowWidth="24240" windowHeight="1764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6" i="3"/>
  <c r="S47" i="3"/>
  <c r="S67" i="3"/>
  <c r="T23" i="3"/>
  <c r="T48" i="3"/>
  <c r="T43" i="3"/>
  <c r="S72" i="3"/>
  <c r="T19" i="3"/>
  <c r="S70" i="3"/>
  <c r="S42" i="3"/>
  <c r="S64" i="3"/>
  <c r="T18" i="3"/>
  <c r="T63" i="3"/>
  <c r="T41" i="3"/>
  <c r="S40" i="3"/>
  <c r="S62" i="3"/>
  <c r="S38" i="3"/>
  <c r="S65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CK68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5" i="3"/>
  <c r="AR34" i="3"/>
  <c r="AR33" i="3"/>
  <c r="AR10" i="3" l="1"/>
  <c r="AR9" i="3"/>
  <c r="AR11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3" i="3"/>
  <c r="AD32" i="3"/>
  <c r="AD34" i="3"/>
  <c r="AD35" i="3"/>
  <c r="AD11" i="3" l="1"/>
  <c r="AD10" i="3"/>
  <c r="AD9" i="3"/>
  <c r="AD8" i="3"/>
  <c r="AD68" i="3"/>
  <c r="M69" i="3" s="1"/>
  <c r="M59" i="3"/>
  <c r="AD14" i="3"/>
  <c r="M58" i="3"/>
  <c r="AD44" i="3"/>
  <c r="AD22" i="3"/>
  <c r="AD28" i="3"/>
  <c r="AD70" i="3"/>
  <c r="AD75" i="3"/>
  <c r="AD15" i="3"/>
  <c r="O60" i="3"/>
  <c r="L58" i="3"/>
  <c r="N58" i="3"/>
  <c r="AD26" i="3"/>
  <c r="AD27" i="3"/>
  <c r="AD47" i="3"/>
  <c r="AD77" i="3"/>
  <c r="L59" i="3"/>
  <c r="P59" i="3" s="1"/>
  <c r="AD41" i="3"/>
  <c r="AD20" i="3"/>
  <c r="AD21" i="3"/>
  <c r="AD63" i="3"/>
  <c r="AD76" i="3"/>
  <c r="AD62" i="3"/>
  <c r="M63" i="3" s="1"/>
  <c r="AD74" i="3"/>
  <c r="AD71" i="3"/>
  <c r="AD53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9" i="3"/>
  <c r="N9" i="3"/>
  <c r="M9" i="3"/>
  <c r="J9" i="3"/>
  <c r="AS8" i="3" s="1"/>
  <c r="BL50" i="3" s="1"/>
  <c r="L9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P58" i="3" l="1"/>
  <c r="N17" i="3"/>
  <c r="M12" i="3"/>
  <c r="J11" i="3"/>
  <c r="AE80" i="3" s="1"/>
  <c r="AQ80" i="3" s="1"/>
  <c r="O11" i="3"/>
  <c r="N10" i="3"/>
  <c r="O12" i="3"/>
  <c r="L12" i="3"/>
  <c r="P12" i="3" s="1"/>
  <c r="M10" i="3"/>
  <c r="M11" i="3"/>
  <c r="L11" i="3"/>
  <c r="N11" i="3"/>
  <c r="N12" i="3"/>
  <c r="O10" i="3"/>
  <c r="J12" i="3"/>
  <c r="J10" i="3"/>
  <c r="AS9" i="3" s="1"/>
  <c r="BL18" i="3" s="1"/>
  <c r="L10" i="3"/>
  <c r="J45" i="3"/>
  <c r="AS44" i="3" s="1"/>
  <c r="BL38" i="3" s="1"/>
  <c r="O28" i="3"/>
  <c r="L69" i="3"/>
  <c r="P69" i="3" s="1"/>
  <c r="J69" i="3"/>
  <c r="AS68" i="3" s="1"/>
  <c r="BL70" i="3" s="1"/>
  <c r="O69" i="3"/>
  <c r="N69" i="3"/>
  <c r="L71" i="3"/>
  <c r="N75" i="3"/>
  <c r="O47" i="3"/>
  <c r="K58" i="3"/>
  <c r="O45" i="3"/>
  <c r="L45" i="3"/>
  <c r="M45" i="3"/>
  <c r="N45" i="3"/>
  <c r="N22" i="3"/>
  <c r="L51" i="3"/>
  <c r="M51" i="3"/>
  <c r="J30" i="3"/>
  <c r="L18" i="3"/>
  <c r="N18" i="3"/>
  <c r="O29" i="3"/>
  <c r="L30" i="3"/>
  <c r="N30" i="3"/>
  <c r="O30" i="3"/>
  <c r="O18" i="3"/>
  <c r="J18" i="3"/>
  <c r="L15" i="3"/>
  <c r="M18" i="3"/>
  <c r="N28" i="3"/>
  <c r="J63" i="3"/>
  <c r="AS62" i="3" s="1"/>
  <c r="BL58" i="3" s="1"/>
  <c r="BS60" i="3" s="1"/>
  <c r="BZ64" i="3" s="1"/>
  <c r="M65" i="3"/>
  <c r="O64" i="3"/>
  <c r="L63" i="3"/>
  <c r="P63" i="3" s="1"/>
  <c r="M66" i="3"/>
  <c r="O65" i="3"/>
  <c r="O63" i="3"/>
  <c r="N63" i="3"/>
  <c r="M30" i="3"/>
  <c r="L29" i="3"/>
  <c r="K59" i="3"/>
  <c r="O78" i="3"/>
  <c r="N78" i="3"/>
  <c r="L27" i="3"/>
  <c r="M27" i="3"/>
  <c r="J27" i="3"/>
  <c r="AS26" i="3" s="1"/>
  <c r="BL34" i="3" s="1"/>
  <c r="O75" i="3"/>
  <c r="O27" i="3"/>
  <c r="N27" i="3"/>
  <c r="O17" i="3"/>
  <c r="J24" i="3"/>
  <c r="N24" i="3"/>
  <c r="M24" i="3"/>
  <c r="N29" i="3"/>
  <c r="M21" i="3"/>
  <c r="L24" i="3"/>
  <c r="L23" i="3"/>
  <c r="O22" i="3"/>
  <c r="M22" i="3"/>
  <c r="M29" i="3"/>
  <c r="N21" i="3"/>
  <c r="L21" i="3"/>
  <c r="O24" i="3"/>
  <c r="J21" i="3"/>
  <c r="AS20" i="3" s="1"/>
  <c r="BL42" i="3" s="1"/>
  <c r="BS44" i="3" s="1"/>
  <c r="L22" i="3"/>
  <c r="J22" i="3"/>
  <c r="AS21" i="3" s="1"/>
  <c r="BL23" i="3" s="1"/>
  <c r="J29" i="3"/>
  <c r="AE83" i="3" s="1"/>
  <c r="AQ83" i="3" s="1"/>
  <c r="O21" i="3"/>
  <c r="M64" i="3"/>
  <c r="N65" i="3"/>
  <c r="J64" i="3"/>
  <c r="AS63" i="3" s="1"/>
  <c r="BL31" i="3" s="1"/>
  <c r="J65" i="3"/>
  <c r="AE89" i="3" s="1"/>
  <c r="AQ89" i="3" s="1"/>
  <c r="O40" i="3"/>
  <c r="L54" i="3"/>
  <c r="O51" i="3"/>
  <c r="L65" i="3"/>
  <c r="J51" i="3"/>
  <c r="AS50" i="3" s="1"/>
  <c r="BL30" i="3" s="1"/>
  <c r="L64" i="3"/>
  <c r="N51" i="3"/>
  <c r="J77" i="3"/>
  <c r="AE91" i="3" s="1"/>
  <c r="AQ91" i="3" s="1"/>
  <c r="M77" i="3"/>
  <c r="O77" i="3"/>
  <c r="L76" i="3"/>
  <c r="L75" i="3"/>
  <c r="M16" i="3"/>
  <c r="L77" i="3"/>
  <c r="M76" i="3"/>
  <c r="J76" i="3"/>
  <c r="AS75" i="3" s="1"/>
  <c r="BL27" i="3" s="1"/>
  <c r="J78" i="3"/>
  <c r="O76" i="3"/>
  <c r="N76" i="3"/>
  <c r="M17" i="3"/>
  <c r="M75" i="3"/>
  <c r="N77" i="3"/>
  <c r="L78" i="3"/>
  <c r="J75" i="3"/>
  <c r="AS74" i="3" s="1"/>
  <c r="BL54" i="3" s="1"/>
  <c r="M78" i="3"/>
  <c r="L17" i="3"/>
  <c r="J16" i="3"/>
  <c r="AS15" i="3" s="1"/>
  <c r="BL19" i="3" s="1"/>
  <c r="L47" i="3"/>
  <c r="L16" i="3"/>
  <c r="O16" i="3"/>
  <c r="N16" i="3"/>
  <c r="N47" i="3"/>
  <c r="AJ88" i="3"/>
  <c r="J28" i="3"/>
  <c r="AS27" i="3" s="1"/>
  <c r="BL62" i="3" s="1"/>
  <c r="BS61" i="3" s="1"/>
  <c r="AI88" i="3"/>
  <c r="AG88" i="3"/>
  <c r="AN88" i="3"/>
  <c r="M47" i="3"/>
  <c r="N53" i="3"/>
  <c r="M28" i="3"/>
  <c r="L28" i="3"/>
  <c r="O48" i="3"/>
  <c r="J47" i="3"/>
  <c r="AE86" i="3" s="1"/>
  <c r="AQ86" i="3" s="1"/>
  <c r="O23" i="3"/>
  <c r="M48" i="3"/>
  <c r="AF88" i="3"/>
  <c r="N72" i="3"/>
  <c r="J52" i="3"/>
  <c r="AS51" i="3" s="1"/>
  <c r="BL59" i="3" s="1"/>
  <c r="L72" i="3"/>
  <c r="L40" i="3"/>
  <c r="O72" i="3"/>
  <c r="N39" i="3"/>
  <c r="J46" i="3"/>
  <c r="AS45" i="3" s="1"/>
  <c r="BL63" i="3" s="1"/>
  <c r="N70" i="3"/>
  <c r="L70" i="3"/>
  <c r="M46" i="3"/>
  <c r="O66" i="3"/>
  <c r="M42" i="3"/>
  <c r="J41" i="3"/>
  <c r="AE85" i="3" s="1"/>
  <c r="AQ85" i="3" s="1"/>
  <c r="O70" i="3"/>
  <c r="J66" i="3"/>
  <c r="O39" i="3"/>
  <c r="AT88" i="3"/>
  <c r="N46" i="3"/>
  <c r="J39" i="3"/>
  <c r="AS38" i="3" s="1"/>
  <c r="BL22" i="3" s="1"/>
  <c r="M39" i="3"/>
  <c r="M72" i="3"/>
  <c r="M70" i="3"/>
  <c r="L48" i="3"/>
  <c r="O42" i="3"/>
  <c r="J40" i="3"/>
  <c r="AS39" i="3" s="1"/>
  <c r="BL43" i="3" s="1"/>
  <c r="K57" i="3"/>
  <c r="O71" i="3"/>
  <c r="J42" i="3"/>
  <c r="J70" i="3"/>
  <c r="AS69" i="3" s="1"/>
  <c r="BL26" i="3" s="1"/>
  <c r="N71" i="3"/>
  <c r="N66" i="3"/>
  <c r="N64" i="3"/>
  <c r="J48" i="3"/>
  <c r="L42" i="3"/>
  <c r="L39" i="3"/>
  <c r="O46" i="3"/>
  <c r="M40" i="3"/>
  <c r="J71" i="3"/>
  <c r="AE90" i="3" s="1"/>
  <c r="AQ90" i="3" s="1"/>
  <c r="M71" i="3"/>
  <c r="L46" i="3"/>
  <c r="J72" i="3"/>
  <c r="L66" i="3"/>
  <c r="N48" i="3"/>
  <c r="N40" i="3"/>
  <c r="N52" i="3"/>
  <c r="M54" i="3"/>
  <c r="O54" i="3"/>
  <c r="N54" i="3"/>
  <c r="M41" i="3"/>
  <c r="P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9" i="3"/>
  <c r="K9" i="3"/>
  <c r="AL80" i="3" l="1"/>
  <c r="AN80" i="3"/>
  <c r="AH80" i="3"/>
  <c r="AJ80" i="3"/>
  <c r="AI80" i="3"/>
  <c r="AF80" i="3"/>
  <c r="AG80" i="3"/>
  <c r="AT80" i="3"/>
  <c r="K69" i="3"/>
  <c r="K12" i="3"/>
  <c r="K10" i="3"/>
  <c r="P10" i="3"/>
  <c r="P11" i="3"/>
  <c r="K11" i="3"/>
  <c r="P71" i="3"/>
  <c r="P48" i="3"/>
  <c r="P15" i="3"/>
  <c r="P16" i="3"/>
  <c r="K45" i="3"/>
  <c r="P45" i="3"/>
  <c r="P51" i="3"/>
  <c r="K51" i="3"/>
  <c r="P18" i="3"/>
  <c r="P30" i="3"/>
  <c r="K30" i="3"/>
  <c r="P66" i="3"/>
  <c r="K18" i="3"/>
  <c r="P27" i="3"/>
  <c r="P65" i="3"/>
  <c r="K64" i="3"/>
  <c r="P64" i="3"/>
  <c r="K63" i="3"/>
  <c r="K24" i="3"/>
  <c r="P17" i="3"/>
  <c r="AT89" i="3"/>
  <c r="AL89" i="3"/>
  <c r="AJ89" i="3"/>
  <c r="AT91" i="3"/>
  <c r="K27" i="3"/>
  <c r="AI89" i="3"/>
  <c r="P24" i="3"/>
  <c r="AG89" i="3"/>
  <c r="AH89" i="3"/>
  <c r="AF89" i="3"/>
  <c r="AN89" i="3"/>
  <c r="P22" i="3"/>
  <c r="P21" i="3"/>
  <c r="AJ83" i="3"/>
  <c r="AI83" i="3"/>
  <c r="AH83" i="3"/>
  <c r="AG91" i="3"/>
  <c r="AG83" i="3"/>
  <c r="AF83" i="3"/>
  <c r="AT83" i="3"/>
  <c r="AN83" i="3"/>
  <c r="AL83" i="3"/>
  <c r="K21" i="3"/>
  <c r="AJ87" i="3"/>
  <c r="P77" i="3"/>
  <c r="K22" i="3"/>
  <c r="K77" i="3"/>
  <c r="AF91" i="3"/>
  <c r="AN91" i="3"/>
  <c r="AL91" i="3"/>
  <c r="AJ91" i="3"/>
  <c r="AI91" i="3"/>
  <c r="AH91" i="3"/>
  <c r="P54" i="3"/>
  <c r="K47" i="3"/>
  <c r="K29" i="3"/>
  <c r="K17" i="3"/>
  <c r="P47" i="3"/>
  <c r="P23" i="3"/>
  <c r="P29" i="3"/>
  <c r="K65" i="3"/>
  <c r="P75" i="3"/>
  <c r="K75" i="3"/>
  <c r="K16" i="3"/>
  <c r="P76" i="3"/>
  <c r="K76" i="3"/>
  <c r="AF87" i="3"/>
  <c r="AL87" i="3"/>
  <c r="P28" i="3"/>
  <c r="K78" i="3"/>
  <c r="AH82" i="3"/>
  <c r="AJ82" i="3"/>
  <c r="P78" i="3"/>
  <c r="P72" i="3"/>
  <c r="AI82" i="3"/>
  <c r="AF82" i="3"/>
  <c r="AG82" i="3"/>
  <c r="AT82" i="3"/>
  <c r="AN82" i="3"/>
  <c r="AG86" i="3"/>
  <c r="AF86" i="3"/>
  <c r="AN86" i="3"/>
  <c r="AT86" i="3"/>
  <c r="AL86" i="3"/>
  <c r="AJ86" i="3"/>
  <c r="AI86" i="3"/>
  <c r="AH86" i="3"/>
  <c r="K54" i="3"/>
  <c r="AI90" i="3"/>
  <c r="K48" i="3"/>
  <c r="AH87" i="3"/>
  <c r="AG87" i="3"/>
  <c r="AH85" i="3"/>
  <c r="AT87" i="3"/>
  <c r="AN87" i="3"/>
  <c r="P46" i="3"/>
  <c r="K28" i="3"/>
  <c r="K53" i="3"/>
  <c r="K46" i="3"/>
  <c r="P39" i="3"/>
  <c r="P42" i="3"/>
  <c r="K40" i="3"/>
  <c r="AH81" i="3"/>
  <c r="AG81" i="3"/>
  <c r="K71" i="3"/>
  <c r="K39" i="3"/>
  <c r="K42" i="3"/>
  <c r="AH90" i="3"/>
  <c r="P40" i="3"/>
  <c r="AG90" i="3"/>
  <c r="AF90" i="3"/>
  <c r="AT90" i="3"/>
  <c r="AN90" i="3"/>
  <c r="P70" i="3"/>
  <c r="AL90" i="3"/>
  <c r="AJ90" i="3"/>
  <c r="K70" i="3"/>
  <c r="AG85" i="3"/>
  <c r="K72" i="3"/>
  <c r="AF85" i="3"/>
  <c r="AT85" i="3"/>
  <c r="AN85" i="3"/>
  <c r="K15" i="3"/>
  <c r="P41" i="3"/>
  <c r="AL85" i="3"/>
  <c r="AJ85" i="3"/>
  <c r="AI85" i="3"/>
  <c r="K41" i="3"/>
  <c r="K66" i="3"/>
  <c r="AF81" i="3"/>
  <c r="AT81" i="3"/>
  <c r="AJ81" i="3"/>
  <c r="K23" i="3"/>
  <c r="AN81" i="3"/>
  <c r="AL81" i="3"/>
  <c r="AI81" i="3"/>
  <c r="P52" i="3"/>
  <c r="P53" i="3"/>
  <c r="AL82" i="3"/>
  <c r="AI87" i="3"/>
  <c r="K52" i="3"/>
  <c r="AH92" i="3" l="1"/>
  <c r="AG92" i="3"/>
  <c r="AN92" i="3"/>
  <c r="AI92" i="3"/>
  <c r="AJ92" i="3"/>
  <c r="AF92" i="3"/>
  <c r="AS92" i="3"/>
  <c r="AL92" i="3"/>
  <c r="AM88" i="3" s="1"/>
  <c r="AM80" i="3" l="1"/>
  <c r="AM90" i="3"/>
  <c r="AM89" i="3"/>
  <c r="AM82" i="3"/>
  <c r="AM87" i="3"/>
  <c r="AM85" i="3"/>
  <c r="AM84" i="3"/>
  <c r="AM91" i="3"/>
  <c r="AM86" i="3"/>
  <c r="AM83" i="3"/>
  <c r="AM8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5" i="3" l="1"/>
  <c r="AP89" i="3"/>
  <c r="AP86" i="3"/>
  <c r="AP81" i="3"/>
  <c r="AP88" i="3"/>
  <c r="AP90" i="3"/>
  <c r="AP80" i="3"/>
  <c r="AP84" i="3"/>
  <c r="AP91" i="3"/>
  <c r="AP83" i="3"/>
  <c r="AP82" i="3"/>
  <c r="AD91" i="3" l="1"/>
  <c r="AS91" i="3" s="1"/>
  <c r="AD86" i="3"/>
  <c r="AS86" i="3" s="1"/>
  <c r="AD90" i="3"/>
  <c r="AS90" i="3" s="1"/>
  <c r="AD81" i="3"/>
  <c r="AS81" i="3" s="1"/>
  <c r="AD88" i="3"/>
  <c r="AS88" i="3" s="1"/>
  <c r="AD87" i="3"/>
  <c r="AS87" i="3" s="1"/>
  <c r="AD83" i="3"/>
  <c r="AS83" i="3" s="1"/>
  <c r="AD82" i="3"/>
  <c r="AS82" i="3" s="1"/>
  <c r="AD84" i="3"/>
  <c r="AS84" i="3" s="1"/>
  <c r="AD80" i="3"/>
  <c r="AD89" i="3"/>
  <c r="AS89" i="3" s="1"/>
  <c r="AD85" i="3"/>
  <c r="AS85" i="3" s="1"/>
  <c r="O87" i="3" l="1"/>
  <c r="J91" i="3"/>
  <c r="N81" i="3"/>
  <c r="J82" i="3"/>
  <c r="N88" i="3"/>
  <c r="O85" i="3"/>
  <c r="L90" i="3"/>
  <c r="J86" i="3"/>
  <c r="J84" i="3"/>
  <c r="J88" i="3"/>
  <c r="N92" i="3"/>
  <c r="L92" i="3"/>
  <c r="N89" i="3"/>
  <c r="J87" i="3"/>
  <c r="L89" i="3"/>
  <c r="N86" i="3"/>
  <c r="N83" i="3"/>
  <c r="N91" i="3"/>
  <c r="O88" i="3"/>
  <c r="L88" i="3"/>
  <c r="J92" i="3"/>
  <c r="L82" i="3"/>
  <c r="M89" i="3"/>
  <c r="O84" i="3"/>
  <c r="L86" i="3"/>
  <c r="M83" i="3"/>
  <c r="O90" i="3"/>
  <c r="M87" i="3"/>
  <c r="J89" i="3"/>
  <c r="J83" i="3"/>
  <c r="M92" i="3"/>
  <c r="L87" i="3"/>
  <c r="O86" i="3"/>
  <c r="M82" i="3"/>
  <c r="M90" i="3"/>
  <c r="N87" i="3"/>
  <c r="N90" i="3"/>
  <c r="AS80" i="3"/>
  <c r="O92" i="3"/>
  <c r="J81" i="3"/>
  <c r="M84" i="3"/>
  <c r="O82" i="3"/>
  <c r="M86" i="3"/>
  <c r="L85" i="3"/>
  <c r="M81" i="3"/>
  <c r="J90" i="3"/>
  <c r="O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1" i="3"/>
  <c r="M88" i="3"/>
  <c r="O89" i="3"/>
  <c r="M91" i="3"/>
  <c r="N84" i="3"/>
  <c r="L83" i="3"/>
  <c r="L91" i="3"/>
  <c r="L84" i="3"/>
  <c r="O91" i="3"/>
  <c r="N85" i="3"/>
  <c r="M85" i="3"/>
  <c r="N82" i="3"/>
  <c r="J85" i="3"/>
  <c r="O83" i="3"/>
  <c r="P92" i="3" l="1"/>
  <c r="P88" i="3"/>
  <c r="P87" i="3"/>
  <c r="K92" i="3"/>
  <c r="P91" i="3"/>
  <c r="K88" i="3"/>
  <c r="P85" i="3"/>
  <c r="P81" i="3"/>
  <c r="P89" i="3"/>
  <c r="K91" i="3"/>
  <c r="P86" i="3"/>
  <c r="K89" i="3"/>
  <c r="K90" i="3"/>
  <c r="K82" i="3"/>
  <c r="K83" i="3"/>
  <c r="P90" i="3"/>
  <c r="P82" i="3"/>
  <c r="D3" i="4"/>
  <c r="BL51" i="3" s="1"/>
  <c r="K86" i="3"/>
  <c r="K87" i="3"/>
  <c r="G3" i="4"/>
  <c r="BL11" i="3" s="1"/>
  <c r="K81" i="3"/>
  <c r="P83" i="3"/>
  <c r="J3" i="4"/>
  <c r="BL71" i="3" s="1"/>
  <c r="I3" i="4"/>
  <c r="BL15" i="3" s="1"/>
  <c r="P84" i="3"/>
  <c r="B3" i="4"/>
  <c r="H3" i="4"/>
  <c r="BL39" i="3" s="1"/>
  <c r="K3" i="4"/>
  <c r="BL55" i="3" s="1"/>
  <c r="E3" i="4"/>
  <c r="BL67" i="3" s="1"/>
  <c r="K85" i="3"/>
  <c r="K84" i="3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<sst xmlns="http://schemas.openxmlformats.org/spreadsheetml/2006/main" count="9785" uniqueCount="3699">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</sst>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K22" zoomScaleNormal="100" workbookViewId="0">
      <selection activeCell="CO49" sqref="CO4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3</v>
      </c>
      <c r="AL8" s="123">
        <f>AI8-AJ8</f>
        <v>4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87500009.76472941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6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12500000.250714865</v>
      </c>
      <c r="AQ9" s="126">
        <f>VLOOKUP(AE9,db_fifarank,2,FALSE)</f>
        <v>1429.73</v>
      </c>
      <c r="AR9" s="125">
        <f>AP9/AP12</f>
        <v>0.14285712814738899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2</v>
      </c>
      <c r="W10" s="123">
        <f t="shared" si="4"/>
        <v>2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5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62500006.056349881</v>
      </c>
      <c r="AQ10" s="126">
        <f>VLOOKUP(AE10,db_fifarank,2,FALSE)</f>
        <v>1588.66</v>
      </c>
      <c r="AR10" s="125">
        <f>AP10/AP12</f>
        <v>0.71428569562580169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3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37500003.709084027</v>
      </c>
      <c r="AQ11" s="126">
        <f>VLOOKUP(AE11,db_fifarank,2,FALSE)</f>
        <v>1501.38</v>
      </c>
      <c r="AR11" s="125">
        <f>AP11/AP12</f>
        <v>0.42857141823575629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8</v>
      </c>
      <c r="AL12" s="123">
        <f>MIN(AL8:AL11)</f>
        <v>-4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87500010.76472941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4</v>
      </c>
      <c r="AL14" s="123">
        <f>AI14-AJ14</f>
        <v>-2</v>
      </c>
      <c r="AM14" s="123">
        <f>AL14-AL18</f>
        <v>3</v>
      </c>
      <c r="AN14" s="123">
        <f>AF14*3+AG14</f>
        <v>3</v>
      </c>
      <c r="AO14" s="123">
        <f>AN14/AN18*10+BA14</f>
        <v>3.75</v>
      </c>
      <c r="AP14" s="123">
        <f>AO14*10000000+BI14*100+AM14/AM18*10+AI14/AI18*1++IF(AQ14=0,ROW(),AQ14)/2000000</f>
        <v>37500003.334111579</v>
      </c>
      <c r="AQ14" s="126">
        <f>VLOOKUP(AE14,db_fifarank,2,FALSE)</f>
        <v>1556.48</v>
      </c>
      <c r="AR14" s="125">
        <f>AP14/AP18</f>
        <v>0.38538249149415749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1</v>
      </c>
      <c r="AL15" s="123">
        <f>AI15-AJ15</f>
        <v>4</v>
      </c>
      <c r="AM15" s="123">
        <f>AL15-AL18</f>
        <v>9</v>
      </c>
      <c r="AN15" s="123">
        <f>AF15*3+AG15</f>
        <v>7</v>
      </c>
      <c r="AO15" s="123">
        <f>AN15/AN18*10+BA15</f>
        <v>9.7305825242718456</v>
      </c>
      <c r="AP15" s="123">
        <f>AO15*10000000+BI15*100+AM15/AM18*10+AI15/AI18*1++IF(AQ15=0,ROW(),AQ15)/2000000</f>
        <v>97305933.134997129</v>
      </c>
      <c r="AQ15" s="126">
        <f>VLOOKUP(AE15,db_fifarank,2,FALSE)</f>
        <v>1385.84</v>
      </c>
      <c r="AR15" s="125">
        <f>AP15/AP18</f>
        <v>0.99999998972313442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7.4762141329503342E-12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8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97305932.135128915</v>
      </c>
      <c r="AQ17" s="126">
        <f>VLOOKUP(AE17,db_fifarank,2,FALSE)</f>
        <v>1649.4</v>
      </c>
      <c r="AR17" s="125">
        <f>AP17/AP18</f>
        <v>0.99999997944762331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97305934.134997129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16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97306559.990064651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14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97306558.613591403</v>
      </c>
      <c r="AQ21" s="126">
        <f>VLOOKUP(AE21,db_fifarank,2,FALSE)</f>
        <v>1755.87</v>
      </c>
      <c r="AR21" s="125">
        <f>AP21/AP24</f>
        <v>0.99999997557746134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6.6373222260515827E-12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10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37500006.383102119</v>
      </c>
      <c r="AQ23" s="126">
        <f>VLOOKUP(AE23,db_fifarank,2,FALSE)</f>
        <v>1498.35</v>
      </c>
      <c r="AR23" s="125">
        <f>AP23/AP24</f>
        <v>0.38538004016944966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-10</v>
      </c>
      <c r="AM24" s="123">
        <f>MAX(AM20:AM23)+1</f>
        <v>17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97306560.990064651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5</v>
      </c>
      <c r="AL26" s="123">
        <f>AI26-AJ26</f>
        <v>1</v>
      </c>
      <c r="AM26" s="123">
        <f>AL26-AL30</f>
        <v>6</v>
      </c>
      <c r="AN26" s="123">
        <f>AF26*3+AG26</f>
        <v>5</v>
      </c>
      <c r="AO26" s="123">
        <f>AN26/AN30*10+BA26</f>
        <v>9.3187276858162935</v>
      </c>
      <c r="AP26" s="123">
        <f>AO26*10000000+BI26*100+AM26/AM30*10+AI26/AI30*1++IF(AQ26=0,ROW(),AQ26)/2000000</f>
        <v>93187285.216142356</v>
      </c>
      <c r="AQ26" s="126">
        <f>VLOOKUP(AE26,db_fifarank,2,FALSE)</f>
        <v>1673.13</v>
      </c>
      <c r="AR26" s="125">
        <f>AP26/AP30</f>
        <v>0.99999998926892242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4</v>
      </c>
      <c r="AW26" s="126" cm="1">
        <f t="array" ref="AW26">SUMPRODUCT(($E$7:$E$78=AE26)*($U$7:$U$78)*($G$7:$G$78))+SUMPRODUCT(($H$7:$H$78=AE26)*($U$7:$U$78)*($F$7:$F$78))</f>
        <v>4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67.466666666666654</v>
      </c>
      <c r="BA26" s="126">
        <f>AZ26/AZ30</f>
        <v>0.98539435248296003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6 - 5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3</v>
      </c>
      <c r="AL27" s="123">
        <f>AI27-AJ27</f>
        <v>2</v>
      </c>
      <c r="AM27" s="123">
        <f>AL27-AL30</f>
        <v>7</v>
      </c>
      <c r="AN27" s="123">
        <f>AF27*3+AG27</f>
        <v>5</v>
      </c>
      <c r="AO27" s="123">
        <f>AN27/AN30*10+BA27</f>
        <v>9.3158065563128858</v>
      </c>
      <c r="AP27" s="123">
        <f>AO27*10000000+BI27*100+AM27/AM30*10+AI27/AI30*1++IF(AQ27=0,ROW(),AQ27)/2000000</f>
        <v>93158173.086418748</v>
      </c>
      <c r="AQ27" s="126">
        <f>VLOOKUP(AE27,db_fifarank,2,FALSE)</f>
        <v>1503.5</v>
      </c>
      <c r="AR27" s="125">
        <f>AP27/AP30</f>
        <v>0.99968758474566921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2</v>
      </c>
      <c r="AV27" s="126" cm="1">
        <f t="array" ref="AV27">SUMPRODUCT(($E$7:$E$78=AE27)*($U$7:$U$78)*($F$7:$F$78))+SUMPRODUCT(($H$7:$H$78=AE27)*($U$7:$U$78)*($G$7:$G$78))</f>
        <v>3</v>
      </c>
      <c r="AW27" s="126" cm="1">
        <f t="array" ref="AW27">SUMPRODUCT(($E$7:$E$78=AE27)*($U$7:$U$78)*($G$7:$G$78))+SUMPRODUCT(($H$7:$H$78=AE27)*($U$7:$U$78)*($F$7:$F$78))</f>
        <v>3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67.266666666666652</v>
      </c>
      <c r="BA27" s="126">
        <f>AZ27/AZ30</f>
        <v>0.98247322297955209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7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0.28650462071428567</v>
      </c>
      <c r="AQ28" s="126">
        <f>VLOOKUP(AE28,db_fifarank,2,FALSE)</f>
        <v>1580.67</v>
      </c>
      <c r="AR28" s="125">
        <f>AP28/AP30</f>
        <v>3.0745033185080127E-9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5 - 3</v>
      </c>
      <c r="P29" s="34">
        <f>L29*3+M29</f>
        <v>5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7</v>
      </c>
      <c r="AN29" s="123">
        <f>AF29*3+AG29</f>
        <v>5</v>
      </c>
      <c r="AO29" s="123">
        <f>AN29/AN30*10+BA29</f>
        <v>9.3158065563128858</v>
      </c>
      <c r="AP29" s="123">
        <f>AO29*10000000+BI29*100+AM29/AM30*10+AI29/AI30*1++IF(AQ29=0,ROW(),AQ29)/2000000</f>
        <v>93158173.229323655</v>
      </c>
      <c r="AQ29" s="126">
        <f>VLOOKUP(AE29,db_fifarank,2,FALSE)</f>
        <v>1599.04</v>
      </c>
      <c r="AR29" s="125">
        <f>AP29/AP30</f>
        <v>0.99968758627919285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3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67.266666666666652</v>
      </c>
      <c r="BA29" s="126">
        <f>AZ29/AZ30</f>
        <v>0.98247322297955209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-5</v>
      </c>
      <c r="AM30" s="123">
        <f>MAX(AM26:AM29)+1</f>
        <v>8</v>
      </c>
      <c r="AN30" s="123">
        <f>MAX(AN26:AN29)+1</f>
        <v>6</v>
      </c>
      <c r="AO30" s="123">
        <f>MAX(AO26:AO29)+1</f>
        <v>10.318727685816294</v>
      </c>
      <c r="AP30" s="123">
        <f>MAX(AP26:AP29)+1</f>
        <v>93187286.216142356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5</v>
      </c>
      <c r="AW30" s="126">
        <f>MAX(AW26:AW29)-MIN(AW26:AW29)+1</f>
        <v>5</v>
      </c>
      <c r="AY30" s="126">
        <f>MAX(AY26:AY29)-MIN(AY26:AY29)+1</f>
        <v>1</v>
      </c>
      <c r="AZ30" s="126">
        <f>MAX(AZ26:AZ29)+1</f>
        <v>68.466666666666654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1</v>
      </c>
      <c r="AL32" s="123">
        <f>AI32-AJ32</f>
        <v>11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90000010.423942119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6</v>
      </c>
      <c r="AL33" s="123">
        <f>AI33-AJ33</f>
        <v>-5</v>
      </c>
      <c r="AM33" s="123">
        <f>AL33-AL36</f>
        <v>3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30000001.577570401</v>
      </c>
      <c r="AQ33" s="126">
        <f>VLOOKUP(AE33,db_fifarank,2,FALSE)</f>
        <v>1294.6500000000001</v>
      </c>
      <c r="AR33" s="125">
        <f>AP33/AP36</f>
        <v>0.33333330855099974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8</v>
      </c>
      <c r="AL34" s="123">
        <f>AI34-AJ34</f>
        <v>-8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7.6648999999999999E-4</v>
      </c>
      <c r="AQ34" s="126">
        <f>VLOOKUP(AE34,db_fifarank,2,FALSE)</f>
        <v>1532.98</v>
      </c>
      <c r="AR34" s="125">
        <f>AP34/AP36</f>
        <v>8.5165544745263848E-12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10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60000005.385412775</v>
      </c>
      <c r="AQ35" s="126">
        <f>VLOOKUP(AE35,db_fifarank,2,FALSE)</f>
        <v>1594.78</v>
      </c>
      <c r="AR35" s="125">
        <f>AP35/AP36</f>
        <v>0.66666664188279601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13</v>
      </c>
      <c r="AL36" s="123">
        <f>MIN(AL32:AL35)</f>
        <v>-8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90000011.423942119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5</v>
      </c>
      <c r="AL38" s="123">
        <f>AI38-AJ38</f>
        <v>3</v>
      </c>
      <c r="AM38" s="123">
        <f>AL38-AL42</f>
        <v>8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87500009.778656721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5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8 - 5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6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50000006.223052435</v>
      </c>
      <c r="AQ39" s="126">
        <f>VLOOKUP(AE39,db_fifarank,2,FALSE)</f>
        <v>1660.43</v>
      </c>
      <c r="AR39" s="125">
        <f>AP39/AP42</f>
        <v>0.57142857215794307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6 - 4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4</v>
      </c>
      <c r="AL40" s="123">
        <f>AI40-AJ40</f>
        <v>2</v>
      </c>
      <c r="AM40" s="123">
        <f>AL40-AL42</f>
        <v>7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62500008.445201822</v>
      </c>
      <c r="AQ40" s="126">
        <f>VLOOKUP(AE40,db_fifarank,2,FALSE)</f>
        <v>1514.77</v>
      </c>
      <c r="AR40" s="125">
        <f>AP40/AP42</f>
        <v>0.71428572281327107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6 - 6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7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0.2229637472222222</v>
      </c>
      <c r="AQ41" s="126">
        <f>VLOOKUP(AE41,db_fifarank,2,FALSE)</f>
        <v>1483.05</v>
      </c>
      <c r="AR41" s="125">
        <f>AP41/AP42</f>
        <v>2.5481567972173121E-9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9</v>
      </c>
      <c r="AL42" s="123">
        <f>MIN(AL38:AL41)</f>
        <v>-5</v>
      </c>
      <c r="AM42" s="123">
        <f>MAX(AM38:AM41)+1</f>
        <v>9</v>
      </c>
      <c r="AN42" s="123">
        <f>MAX(AN38:AN41)+1</f>
        <v>8</v>
      </c>
      <c r="AO42" s="123">
        <f>MAX(AO38:AO41)+1</f>
        <v>9.75</v>
      </c>
      <c r="AP42" s="123">
        <f>MAX(AP38:AP41)+1</f>
        <v>87500010.778656721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90000009.875867352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60000006.625781618</v>
      </c>
      <c r="AQ45" s="126">
        <f>VLOOKUP(AE45,db_fifarank,2,FALSE)</f>
        <v>1563.24</v>
      </c>
      <c r="AR45" s="125">
        <f>AP45/AP48</f>
        <v>0.66666665972448291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19805923.426778525</v>
      </c>
      <c r="AQ46" s="126">
        <f>VLOOKUP(AE46,db_fifarank,2,FALSE)</f>
        <v>1615.3</v>
      </c>
      <c r="AR46" s="125">
        <f>AP46/AP48</f>
        <v>0.22006578925969103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6</v>
      </c>
      <c r="AL47" s="123">
        <f>AI47-AJ47</f>
        <v>-3</v>
      </c>
      <c r="AM47" s="123">
        <f>AL47-AL48</f>
        <v>1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19805924.676611658</v>
      </c>
      <c r="AQ47" s="126">
        <f>VLOOKUP(AE47,db_fifarank,2,FALSE)</f>
        <v>1281.57</v>
      </c>
      <c r="AR47" s="125">
        <f>AP47/AP48</f>
        <v>0.22006580314672416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90000010.875867352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9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9.1592155909090908E-2</v>
      </c>
      <c r="AQ51" s="126">
        <f>VLOOKUP(AE51,db_fifarank,2,FALSE)</f>
        <v>1366.13</v>
      </c>
      <c r="AR51" s="125">
        <f>AP51/AP54</f>
        <v>1.0176904928194568E-9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1</v>
      </c>
      <c r="AH52" s="123">
        <f>COUNTIF($S$7:$T$78,"=" &amp; AE52 &amp; "_lose")</f>
        <v>1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6</v>
      </c>
      <c r="AN52" s="123">
        <f>AF52*3+AG52</f>
        <v>4</v>
      </c>
      <c r="AO52" s="123">
        <f>AN52/AN54*10+BA52</f>
        <v>4.9805825242718447</v>
      </c>
      <c r="AP52" s="123">
        <f>AO52*10000000+BI52*100+AM52/AM54*10+AI52/AI54*1++IF(AQ52=0,ROW(),AQ52)/2000000</f>
        <v>49805926.907742195</v>
      </c>
      <c r="AQ52" s="126">
        <f>VLOOKUP(AE52,db_fifarank,2,FALSE)</f>
        <v>1421.43</v>
      </c>
      <c r="AR52" s="125">
        <f>AP52/AP54</f>
        <v>0.55339911804651709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3 - 5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9</v>
      </c>
      <c r="AN53" s="123">
        <f>AF53*3+AG53</f>
        <v>4</v>
      </c>
      <c r="AO53" s="123">
        <f>AN53/AN54*10+BA53</f>
        <v>4.9805825242718447</v>
      </c>
      <c r="AP53" s="123">
        <f>AO53*10000000+BI53*100+AM53/AM54*10+AI53/AI54*1++IF(AQ53=0,ROW(),AQ53)/2000000</f>
        <v>49805928.756352857</v>
      </c>
      <c r="AQ53" s="126">
        <f>VLOOKUP(AE53,db_fifarank,2,FALSE)</f>
        <v>1673.07</v>
      </c>
      <c r="AR53" s="125">
        <f>AP53/AP54</f>
        <v>0.55339913858663303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11</v>
      </c>
      <c r="AL54" s="123">
        <f>MIN(AL50:AL53)</f>
        <v>-8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90000010.056494221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3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30000002.945288938</v>
      </c>
      <c r="AQ57" s="126">
        <f>VLOOKUP(AE57,db_fifarank,2,FALSE)</f>
        <v>1688.99</v>
      </c>
      <c r="AR57" s="125">
        <f>AP57/AP60</f>
        <v>0.33333332510878838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7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0.22294579222222222</v>
      </c>
      <c r="AQ58" s="126">
        <f>VLOOKUP(AE58,db_fifarank,2,FALSE)</f>
        <v>1447.14</v>
      </c>
      <c r="AR58" s="125">
        <f>AP58/AP60</f>
        <v>2.4771751648149926E-9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4</v>
      </c>
      <c r="AL59" s="123">
        <f>AI59-AJ59</f>
        <v>1</v>
      </c>
      <c r="AM59" s="123">
        <f>AL59-AL60</f>
        <v>6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60000005.556331024</v>
      </c>
      <c r="AQ59" s="126">
        <f>VLOOKUP(AE59,db_fifarank,2,FALSE)</f>
        <v>1550.94</v>
      </c>
      <c r="AR59" s="125">
        <f>AP59/AP60</f>
        <v>0.66666664650372331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-5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90000011.056494221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1</v>
      </c>
      <c r="AL62" s="123">
        <f>AI62-AJ62</f>
        <v>9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90000010.285028324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30000002.773509402</v>
      </c>
      <c r="AQ63" s="126">
        <f>VLOOKUP(AE63,db_fifarank,2,FALSE)</f>
        <v>1564.26</v>
      </c>
      <c r="AR63" s="125">
        <f>AP63/AP66</f>
        <v>0.33333332235370466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4 - 5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5</v>
      </c>
      <c r="AL64" s="123">
        <f>AI64-AJ64</f>
        <v>-1</v>
      </c>
      <c r="AM64" s="123">
        <f>AL64-AL66</f>
        <v>5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40000003.489433095</v>
      </c>
      <c r="AQ64" s="126">
        <f>VLOOKUP(AE64,db_fifarank,2,FALSE)</f>
        <v>1593.45</v>
      </c>
      <c r="AR64" s="125">
        <f>AP64/AP66</f>
        <v>0.44444442748739049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2</v>
      </c>
      <c r="W65" s="123">
        <f t="shared" si="22"/>
        <v>2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10000000.091604818</v>
      </c>
      <c r="AQ65" s="126">
        <f>VLOOKUP(AE65,db_fifarank,2,FALSE)</f>
        <v>1391.45</v>
      </c>
      <c r="AR65" s="125">
        <f>AP65/AP66</f>
        <v>0.11111109819681031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1 - 7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11</v>
      </c>
      <c r="AL66" s="123">
        <f>MIN(AL62:AL65)</f>
        <v>-6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90000011.285028324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90000010.234215245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Brazil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19805923.401710052</v>
      </c>
      <c r="AQ69" s="126">
        <f>VLOOKUP(AE69,db_fifarank,2,FALSE)</f>
        <v>1478.35</v>
      </c>
      <c r="AR69" s="125">
        <f>AP69/AP72</f>
        <v>0.22006578810492911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2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19805924.835036878</v>
      </c>
      <c r="AQ70" s="126">
        <f>VLOOKUP(AE70,db_fifarank,2,FALSE)</f>
        <v>1465.34</v>
      </c>
      <c r="AR70" s="125">
        <f>AP70/AP72</f>
        <v>0.22006580403078074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60000005.834179878</v>
      </c>
      <c r="AQ71" s="126">
        <f>VLOOKUP(AE71,db_fifarank,2,FALSE)</f>
        <v>1693.09</v>
      </c>
      <c r="AR71" s="125">
        <f>AP71/AP72</f>
        <v>0.66666664827448063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Paraguay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90000011.234215245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2</v>
      </c>
      <c r="AL74" s="123">
        <f>AI74-AJ74</f>
        <v>7</v>
      </c>
      <c r="AM74" s="123">
        <f>AL74-AL78</f>
        <v>13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90000010.186627269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4</v>
      </c>
      <c r="AL75" s="123">
        <f>AI75-AJ75</f>
        <v>4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60000007.943715677</v>
      </c>
      <c r="AQ75" s="126">
        <f>VLOOKUP(AE75,db_fifarank,2,FALSE)</f>
        <v>1717.07</v>
      </c>
      <c r="AR75" s="125">
        <f>AP75/AP78</f>
        <v>0.66666667206626784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8 - 4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7</v>
      </c>
      <c r="AL76" s="123">
        <f>AI76-AJ76</f>
        <v>-5</v>
      </c>
      <c r="AM76" s="123">
        <f>AL76-AL78</f>
        <v>1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19805924.215929743</v>
      </c>
      <c r="AQ76" s="126">
        <f>VLOOKUP(AE76,db_fifarank,2,FALSE)</f>
        <v>1346.31</v>
      </c>
      <c r="AR76" s="125">
        <f>AP76/AP78</f>
        <v>0.22006579726817438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2 - 7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19805923.401741195</v>
      </c>
      <c r="AQ77" s="126">
        <f>VLOOKUP(AE77,db_fifarank,2,FALSE)</f>
        <v>1540.64</v>
      </c>
      <c r="AR77" s="125">
        <f>AP77/AP78</f>
        <v>0.22006578822163608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1 - 7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10</v>
      </c>
      <c r="AL78" s="123">
        <f>MIN(AL74:AL77)</f>
        <v>-6</v>
      </c>
      <c r="AM78" s="123">
        <f>MAX(AM74:AM77)+1</f>
        <v>14</v>
      </c>
      <c r="AN78" s="123">
        <f>MAX(AN74:AN77)+1</f>
        <v>10</v>
      </c>
      <c r="AO78" s="123">
        <f>MAX(AO74:AO77)+1</f>
        <v>10</v>
      </c>
      <c r="AP78" s="123">
        <f>MAX(AP74:AP77)+1</f>
        <v>90000011.186627269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5542.8578935471432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5 - 3</v>
      </c>
      <c r="P81" s="98">
        <f>L81*3+M81</f>
        <v>5</v>
      </c>
      <c r="AD81" s="123">
        <f t="shared" ref="AD81:AD91" si="38">COUNTIF($AP$80:$AP$91,CONCATENATE("&gt;=",AP81))</f>
        <v>8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5403.5722068114283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Japan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6 - 6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5696.4293206035718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Saudi Arabia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3 - 5</v>
      </c>
      <c r="P83" s="101">
        <f t="shared" si="48"/>
        <v>4</v>
      </c>
      <c r="AD83" s="123">
        <f t="shared" si="38"/>
        <v>1</v>
      </c>
      <c r="AE83" s="124" t="str">
        <f>J29</f>
        <v>Paraguay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5</v>
      </c>
      <c r="AJ83" s="123">
        <f t="shared" si="42"/>
        <v>3</v>
      </c>
      <c r="AK83" s="123" t="s">
        <v>3184</v>
      </c>
      <c r="AL83" s="123">
        <f t="shared" si="43"/>
        <v>2</v>
      </c>
      <c r="AM83" s="123">
        <f t="shared" si="44"/>
        <v>7</v>
      </c>
      <c r="AN83" s="123">
        <f t="shared" si="45"/>
        <v>5</v>
      </c>
      <c r="AP83" s="123">
        <f>AN83/AN92*10000+AM83/AM92*1000+AI83/AI92*100+IF(AQ83=0,ROW(),AQ83)/2000000</f>
        <v>9279.7626565119044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6</v>
      </c>
      <c r="AK84" s="123" t="s">
        <v>3185</v>
      </c>
      <c r="AL84" s="123">
        <f t="shared" si="43"/>
        <v>-5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5014.2863616107143</v>
      </c>
      <c r="AQ84" s="126">
        <f t="shared" si="37"/>
        <v>1294.6500000000001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Curaçao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Czech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6</v>
      </c>
      <c r="AJ85" s="123">
        <f t="shared" si="42"/>
        <v>6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7377.3817825959513</v>
      </c>
      <c r="AQ85" s="126">
        <f t="shared" si="37"/>
        <v>1660.43</v>
      </c>
      <c r="AR85" s="125" t="str">
        <f t="shared" si="50"/>
        <v>ABCDF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1959.5244503088095</v>
      </c>
      <c r="AQ86" s="126">
        <f t="shared" si="37"/>
        <v>1281.57</v>
      </c>
      <c r="AR86" s="125" t="str">
        <f t="shared" si="50"/>
        <v>ABCDF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Saudi Arabia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3</v>
      </c>
      <c r="AN87" s="123">
        <f t="shared" si="45"/>
        <v>4</v>
      </c>
      <c r="AP87" s="123">
        <f>AN87/AN92*10000+AM87/AM92*1000+AI87/AI92*100+IF(AQ87=0,ROW(),AQ87)/2000000</f>
        <v>7084.5245202388096</v>
      </c>
      <c r="AQ87" s="126">
        <f t="shared" si="37"/>
        <v>1421.43</v>
      </c>
      <c r="AR87" s="125" t="str">
        <f t="shared" si="50"/>
        <v>ABCDFH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Canada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5432.1437016378568</v>
      </c>
      <c r="AQ88" s="126">
        <f t="shared" si="37"/>
        <v>1688.99</v>
      </c>
      <c r="AR88" s="125" t="str">
        <f t="shared" si="50"/>
        <v>ABCDFHI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Curaçao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5417.8579249871427</v>
      </c>
      <c r="AQ89" s="126">
        <f t="shared" si="37"/>
        <v>1564.26</v>
      </c>
      <c r="AR89" s="125" t="str">
        <f t="shared" si="50"/>
        <v>ABCDFHIJ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New Zealand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1820.2388279080951</v>
      </c>
      <c r="AQ90" s="126">
        <f t="shared" si="37"/>
        <v>1465.34</v>
      </c>
      <c r="AR90" s="125" t="str">
        <f t="shared" si="50"/>
        <v>ABCDFHIJ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7</v>
      </c>
      <c r="AK91" s="123" t="s">
        <v>3192</v>
      </c>
      <c r="AL91" s="123">
        <f>VLOOKUP($AE91,$AE$8:$AQ$78,8,FALSE)</f>
        <v>-5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1695.2387683930951</v>
      </c>
      <c r="AQ91" s="126">
        <f t="shared" si="37"/>
        <v>1346.31</v>
      </c>
      <c r="AR91" s="125" t="str">
        <f t="shared" si="50"/>
        <v>ABCDFHIJ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Ghana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-5</v>
      </c>
      <c r="AM92" s="123">
        <f>MAX(AM80:AM91)+1</f>
        <v>8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Germany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Germany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200" yWindow="459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450</v>
      </c>
      <c r="C3" s="121" t="str">
        <f>'2026 World Cup'!AR91</f>
        <v>ABCDFHIJ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Víctor</cp:lastModifiedBy>
  <cp:revision/>
  <dcterms:created xsi:type="dcterms:W3CDTF">2017-12-27T19:32:51Z</dcterms:created>
  <dcterms:modified xsi:type="dcterms:W3CDTF">2026-06-09T21:37:26Z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