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vonordisk-my.sharepoint.com/personal/vqyg_novonordisk_com/Documents/Escritorio/"/>
    </mc:Choice>
  </mc:AlternateContent>
  <xr:revisionPtr revIDLastSave="213" documentId="8_{436B76E4-0C7F-4A0A-8051-DFB6A995F258}" xr6:coauthVersionLast="47" xr6:coauthVersionMax="47" xr10:uidLastSave="{D251F7ED-C4E7-4F4C-919F-0EE27D2A03C3}"/>
  <bookViews>
    <workbookView xWindow="-110" yWindow="-110" windowWidth="19420" windowHeight="115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S51" i="3"/>
  <c r="S30" i="3"/>
  <c r="T30" i="3" s="1"/>
  <c r="S78" i="3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S19" i="3"/>
  <c r="S20" i="3"/>
  <c r="T20" i="3" s="1"/>
  <c r="S44" i="3"/>
  <c r="T44" i="3" s="1"/>
  <c r="S46" i="3"/>
  <c r="T46" i="3" s="1"/>
  <c r="S21" i="3"/>
  <c r="S45" i="3"/>
  <c r="T45" i="3" s="1"/>
  <c r="S18" i="3"/>
  <c r="T18" i="3" s="1"/>
  <c r="S63" i="3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T28" i="3"/>
  <c r="T51" i="3"/>
  <c r="S54" i="3"/>
  <c r="S77" i="3"/>
  <c r="T78" i="3"/>
  <c r="S50" i="3"/>
  <c r="S76" i="3"/>
  <c r="S47" i="3"/>
  <c r="S67" i="3"/>
  <c r="T43" i="3"/>
  <c r="S72" i="3"/>
  <c r="T19" i="3"/>
  <c r="S70" i="3"/>
  <c r="T21" i="3"/>
  <c r="S42" i="3"/>
  <c r="S64" i="3"/>
  <c r="T63" i="3"/>
  <c r="T41" i="3"/>
  <c r="S40" i="3"/>
  <c r="S62" i="3"/>
  <c r="T61" i="3"/>
  <c r="S38" i="3"/>
  <c r="S65" i="3"/>
  <c r="T37" i="3"/>
  <c r="S55" i="3"/>
  <c r="S57" i="3"/>
  <c r="T8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7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10" i="3"/>
  <c r="AD57" i="3"/>
  <c r="AR11" i="3"/>
  <c r="AR9" i="3"/>
  <c r="AR28" i="3"/>
  <c r="AR35" i="3"/>
  <c r="AR33" i="3"/>
  <c r="AR34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10" i="3" l="1"/>
  <c r="AD53" i="3"/>
  <c r="AD9" i="3"/>
  <c r="AD11" i="3"/>
  <c r="AD8" i="3"/>
  <c r="AD76" i="3"/>
  <c r="AD34" i="3"/>
  <c r="M58" i="3"/>
  <c r="AD20" i="3"/>
  <c r="M59" i="3"/>
  <c r="AD14" i="3"/>
  <c r="AD32" i="3"/>
  <c r="AD75" i="3"/>
  <c r="AD35" i="3"/>
  <c r="AD28" i="3"/>
  <c r="AD68" i="3"/>
  <c r="L69" i="3" s="1"/>
  <c r="L58" i="3"/>
  <c r="L59" i="3"/>
  <c r="O60" i="3"/>
  <c r="AD41" i="3"/>
  <c r="N58" i="3"/>
  <c r="AD63" i="3"/>
  <c r="AD15" i="3"/>
  <c r="AD22" i="3"/>
  <c r="AD33" i="3"/>
  <c r="AD71" i="3"/>
  <c r="AD29" i="3"/>
  <c r="AD21" i="3"/>
  <c r="AD26" i="3"/>
  <c r="AD62" i="3"/>
  <c r="AD27" i="3"/>
  <c r="AD44" i="3"/>
  <c r="O45" i="3" s="1"/>
  <c r="AD77" i="3"/>
  <c r="AD74" i="3"/>
  <c r="AD47" i="3"/>
  <c r="AD70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L39" i="3" s="1"/>
  <c r="AD50" i="3"/>
  <c r="N59" i="3"/>
  <c r="AD17" i="3"/>
  <c r="J75" i="3" l="1"/>
  <c r="AS74" i="3" s="1"/>
  <c r="BL54" i="3" s="1"/>
  <c r="O11" i="3"/>
  <c r="P58" i="3"/>
  <c r="L33" i="3"/>
  <c r="O10" i="3"/>
  <c r="N10" i="3"/>
  <c r="J12" i="3"/>
  <c r="L27" i="3"/>
  <c r="N21" i="3"/>
  <c r="N12" i="3"/>
  <c r="L10" i="3"/>
  <c r="O33" i="3"/>
  <c r="M10" i="3"/>
  <c r="L11" i="3"/>
  <c r="M33" i="3"/>
  <c r="J9" i="3"/>
  <c r="AS8" i="3" s="1"/>
  <c r="BL50" i="3" s="1"/>
  <c r="J11" i="3"/>
  <c r="AE80" i="3" s="1"/>
  <c r="AQ80" i="3" s="1"/>
  <c r="J21" i="3"/>
  <c r="AS20" i="3" s="1"/>
  <c r="BL42" i="3" s="1"/>
  <c r="BS44" i="3" s="1"/>
  <c r="BZ48" i="3" s="1"/>
  <c r="M12" i="3"/>
  <c r="O12" i="3"/>
  <c r="L12" i="3"/>
  <c r="M9" i="3"/>
  <c r="L9" i="3"/>
  <c r="J10" i="3"/>
  <c r="AS9" i="3" s="1"/>
  <c r="BL18" i="3" s="1"/>
  <c r="N9" i="3"/>
  <c r="M11" i="3"/>
  <c r="O9" i="3"/>
  <c r="N11" i="3"/>
  <c r="P59" i="3"/>
  <c r="M21" i="3"/>
  <c r="O21" i="3"/>
  <c r="L21" i="3"/>
  <c r="M45" i="3"/>
  <c r="M16" i="3"/>
  <c r="O47" i="3"/>
  <c r="L16" i="3"/>
  <c r="J33" i="3"/>
  <c r="AS32" i="3" s="1"/>
  <c r="BL10" i="3" s="1"/>
  <c r="N33" i="3"/>
  <c r="O16" i="3"/>
  <c r="N16" i="3"/>
  <c r="J16" i="3"/>
  <c r="AS15" i="3" s="1"/>
  <c r="BL19" i="3" s="1"/>
  <c r="L45" i="3"/>
  <c r="M18" i="3"/>
  <c r="K58" i="3"/>
  <c r="N70" i="3"/>
  <c r="N17" i="3"/>
  <c r="M35" i="3"/>
  <c r="J45" i="3"/>
  <c r="AS44" i="3" s="1"/>
  <c r="BL38" i="3" s="1"/>
  <c r="N65" i="3"/>
  <c r="J71" i="3"/>
  <c r="AE90" i="3" s="1"/>
  <c r="AQ90" i="3" s="1"/>
  <c r="J69" i="3"/>
  <c r="AS68" i="3" s="1"/>
  <c r="BL70" i="3" s="1"/>
  <c r="M69" i="3"/>
  <c r="P69" i="3" s="1"/>
  <c r="J18" i="3"/>
  <c r="O76" i="3"/>
  <c r="O78" i="3"/>
  <c r="N75" i="3"/>
  <c r="O75" i="3"/>
  <c r="O24" i="3"/>
  <c r="L78" i="3"/>
  <c r="L75" i="3"/>
  <c r="J72" i="3"/>
  <c r="O69" i="3"/>
  <c r="N69" i="3"/>
  <c r="J34" i="3"/>
  <c r="AS33" i="3" s="1"/>
  <c r="BL46" i="3" s="1"/>
  <c r="J35" i="3"/>
  <c r="AE84" i="3" s="1"/>
  <c r="AQ84" i="3" s="1"/>
  <c r="M77" i="3"/>
  <c r="J77" i="3"/>
  <c r="AE91" i="3" s="1"/>
  <c r="AQ91" i="3" s="1"/>
  <c r="M65" i="3"/>
  <c r="L77" i="3"/>
  <c r="M47" i="3"/>
  <c r="O77" i="3"/>
  <c r="K59" i="3"/>
  <c r="J76" i="3"/>
  <c r="AS75" i="3" s="1"/>
  <c r="BL27" i="3" s="1"/>
  <c r="L46" i="3"/>
  <c r="J39" i="3"/>
  <c r="AS38" i="3" s="1"/>
  <c r="BL22" i="3" s="1"/>
  <c r="M24" i="3"/>
  <c r="L70" i="3"/>
  <c r="N24" i="3"/>
  <c r="J70" i="3"/>
  <c r="AS69" i="3" s="1"/>
  <c r="BL26" i="3" s="1"/>
  <c r="N34" i="3"/>
  <c r="L24" i="3"/>
  <c r="N36" i="3"/>
  <c r="M22" i="3"/>
  <c r="O29" i="3"/>
  <c r="L18" i="3"/>
  <c r="O40" i="3"/>
  <c r="N39" i="3"/>
  <c r="M34" i="3"/>
  <c r="N18" i="3"/>
  <c r="J29" i="3"/>
  <c r="AE83" i="3" s="1"/>
  <c r="AQ83" i="3" s="1"/>
  <c r="O18" i="3"/>
  <c r="M54" i="3"/>
  <c r="O65" i="3"/>
  <c r="L47" i="3"/>
  <c r="J30" i="3"/>
  <c r="J24" i="3"/>
  <c r="L66" i="3"/>
  <c r="O51" i="3"/>
  <c r="N47" i="3"/>
  <c r="M36" i="3"/>
  <c r="L30" i="3"/>
  <c r="O23" i="3"/>
  <c r="L29" i="3"/>
  <c r="M63" i="3"/>
  <c r="L63" i="3"/>
  <c r="J36" i="3"/>
  <c r="N22" i="3"/>
  <c r="L42" i="3"/>
  <c r="M70" i="3"/>
  <c r="M51" i="3"/>
  <c r="L65" i="3"/>
  <c r="N29" i="3"/>
  <c r="J40" i="3"/>
  <c r="AS39" i="3" s="1"/>
  <c r="BL43" i="3" s="1"/>
  <c r="M41" i="3"/>
  <c r="N46" i="3"/>
  <c r="J27" i="3"/>
  <c r="AS26" i="3" s="1"/>
  <c r="BL34" i="3" s="1"/>
  <c r="N35" i="3"/>
  <c r="AT88" i="3"/>
  <c r="O36" i="3"/>
  <c r="AN88" i="3"/>
  <c r="J47" i="3"/>
  <c r="AE86" i="3" s="1"/>
  <c r="AQ86" i="3" s="1"/>
  <c r="J48" i="3"/>
  <c r="M30" i="3"/>
  <c r="AG88" i="3"/>
  <c r="M78" i="3"/>
  <c r="J65" i="3"/>
  <c r="AE89" i="3" s="1"/>
  <c r="AQ89" i="3" s="1"/>
  <c r="L48" i="3"/>
  <c r="M39" i="3"/>
  <c r="P39" i="3" s="1"/>
  <c r="L36" i="3"/>
  <c r="L28" i="3"/>
  <c r="L22" i="3"/>
  <c r="P22" i="3" s="1"/>
  <c r="AF88" i="3"/>
  <c r="O64" i="3"/>
  <c r="O46" i="3"/>
  <c r="M27" i="3"/>
  <c r="O63" i="3"/>
  <c r="M29" i="3"/>
  <c r="N63" i="3"/>
  <c r="N27" i="3"/>
  <c r="J22" i="3"/>
  <c r="AS21" i="3" s="1"/>
  <c r="BL23" i="3" s="1"/>
  <c r="J51" i="3"/>
  <c r="AS50" i="3" s="1"/>
  <c r="BL30" i="3" s="1"/>
  <c r="L35" i="3"/>
  <c r="O27" i="3"/>
  <c r="N51" i="3"/>
  <c r="J46" i="3"/>
  <c r="AS45" i="3" s="1"/>
  <c r="BL63" i="3" s="1"/>
  <c r="O30" i="3"/>
  <c r="L51" i="3"/>
  <c r="L34" i="3"/>
  <c r="M28" i="3"/>
  <c r="O22" i="3"/>
  <c r="AJ88" i="3"/>
  <c r="J52" i="3"/>
  <c r="AS51" i="3" s="1"/>
  <c r="BL59" i="3" s="1"/>
  <c r="O35" i="3"/>
  <c r="AI88" i="3"/>
  <c r="N48" i="3"/>
  <c r="J63" i="3"/>
  <c r="AS62" i="3" s="1"/>
  <c r="BL58" i="3" s="1"/>
  <c r="BS60" i="3" s="1"/>
  <c r="BZ64" i="3" s="1"/>
  <c r="O39" i="3"/>
  <c r="O34" i="3"/>
  <c r="O28" i="3"/>
  <c r="L23" i="3"/>
  <c r="N78" i="3"/>
  <c r="M48" i="3"/>
  <c r="O48" i="3"/>
  <c r="N40" i="3"/>
  <c r="N64" i="3"/>
  <c r="M64" i="3"/>
  <c r="K57" i="3"/>
  <c r="L64" i="3"/>
  <c r="J41" i="3"/>
  <c r="AE85" i="3" s="1"/>
  <c r="AQ85" i="3" s="1"/>
  <c r="M72" i="3"/>
  <c r="J66" i="3"/>
  <c r="L17" i="3"/>
  <c r="P57" i="3"/>
  <c r="O71" i="3"/>
  <c r="M66" i="3"/>
  <c r="L15" i="3"/>
  <c r="O54" i="3"/>
  <c r="M17" i="3"/>
  <c r="O72" i="3"/>
  <c r="J42" i="3"/>
  <c r="N72" i="3"/>
  <c r="J64" i="3"/>
  <c r="AS63" i="3" s="1"/>
  <c r="BL31" i="3" s="1"/>
  <c r="M42" i="3"/>
  <c r="L76" i="3"/>
  <c r="L72" i="3"/>
  <c r="M76" i="3"/>
  <c r="O66" i="3"/>
  <c r="L54" i="3"/>
  <c r="P54" i="3" s="1"/>
  <c r="O17" i="3"/>
  <c r="J78" i="3"/>
  <c r="N71" i="3"/>
  <c r="N66" i="3"/>
  <c r="N52" i="3"/>
  <c r="M46" i="3"/>
  <c r="N76" i="3"/>
  <c r="M71" i="3"/>
  <c r="N45" i="3"/>
  <c r="O42" i="3"/>
  <c r="N30" i="3"/>
  <c r="J28" i="3"/>
  <c r="AS27" i="3" s="1"/>
  <c r="BL62" i="3" s="1"/>
  <c r="BS61" i="3" s="1"/>
  <c r="M75" i="3"/>
  <c r="L71" i="3"/>
  <c r="N54" i="3"/>
  <c r="L40" i="3"/>
  <c r="N28" i="3"/>
  <c r="N77" i="3"/>
  <c r="O70" i="3"/>
  <c r="M40" i="3"/>
  <c r="N53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S91" i="3" l="1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7" i="3"/>
  <c r="T87" i="3" s="1" a="1"/>
  <c r="T87" i="3" s="1"/>
  <c r="BS29" i="3"/>
  <c r="S89" i="3"/>
  <c r="T89" i="3" s="1" a="1"/>
  <c r="T89" i="3" s="1"/>
  <c r="BS21" i="3"/>
  <c r="S88" i="3"/>
  <c r="T88" i="3" s="1" a="1"/>
  <c r="T88" i="3" s="1"/>
  <c r="BS20" i="3"/>
  <c r="P21" i="3"/>
  <c r="P33" i="3"/>
  <c r="K10" i="3"/>
  <c r="P63" i="3"/>
  <c r="P9" i="3"/>
  <c r="K33" i="3"/>
  <c r="P27" i="3"/>
  <c r="P12" i="3"/>
  <c r="K12" i="3"/>
  <c r="AN80" i="3"/>
  <c r="AL80" i="3"/>
  <c r="AT80" i="3"/>
  <c r="AJ80" i="3"/>
  <c r="P10" i="3"/>
  <c r="P11" i="3"/>
  <c r="K9" i="3"/>
  <c r="AI80" i="3"/>
  <c r="AH80" i="3"/>
  <c r="AG80" i="3"/>
  <c r="AF80" i="3"/>
  <c r="K11" i="3"/>
  <c r="P16" i="3"/>
  <c r="K21" i="3"/>
  <c r="AL84" i="3"/>
  <c r="AJ84" i="3"/>
  <c r="P76" i="3"/>
  <c r="P45" i="3"/>
  <c r="AT84" i="3"/>
  <c r="AN84" i="3"/>
  <c r="K16" i="3"/>
  <c r="K45" i="3"/>
  <c r="AI84" i="3"/>
  <c r="AF84" i="3"/>
  <c r="AF90" i="3"/>
  <c r="AG90" i="3"/>
  <c r="P18" i="3"/>
  <c r="AH84" i="3"/>
  <c r="AG84" i="3"/>
  <c r="P41" i="3"/>
  <c r="P77" i="3"/>
  <c r="P34" i="3"/>
  <c r="K69" i="3"/>
  <c r="AJ90" i="3"/>
  <c r="P35" i="3"/>
  <c r="AT90" i="3"/>
  <c r="AN90" i="3"/>
  <c r="AI90" i="3"/>
  <c r="AH90" i="3"/>
  <c r="P75" i="3"/>
  <c r="K75" i="3"/>
  <c r="P70" i="3"/>
  <c r="AF89" i="3"/>
  <c r="AL90" i="3"/>
  <c r="P66" i="3"/>
  <c r="P71" i="3"/>
  <c r="K29" i="3"/>
  <c r="AF91" i="3"/>
  <c r="AG89" i="3"/>
  <c r="AL91" i="3"/>
  <c r="K15" i="3"/>
  <c r="K34" i="3"/>
  <c r="P28" i="3"/>
  <c r="P65" i="3"/>
  <c r="AI91" i="3"/>
  <c r="P51" i="3"/>
  <c r="P47" i="3"/>
  <c r="K18" i="3"/>
  <c r="AJ91" i="3"/>
  <c r="K48" i="3"/>
  <c r="K77" i="3"/>
  <c r="AT82" i="3"/>
  <c r="AH91" i="3"/>
  <c r="AN82" i="3"/>
  <c r="AG91" i="3"/>
  <c r="P24" i="3"/>
  <c r="AL87" i="3"/>
  <c r="K65" i="3"/>
  <c r="P64" i="3"/>
  <c r="AN87" i="3"/>
  <c r="AJ87" i="3"/>
  <c r="K39" i="3"/>
  <c r="P48" i="3"/>
  <c r="K24" i="3"/>
  <c r="AT89" i="3"/>
  <c r="P29" i="3"/>
  <c r="K35" i="3"/>
  <c r="AN89" i="3"/>
  <c r="AL89" i="3"/>
  <c r="K47" i="3"/>
  <c r="AJ89" i="3"/>
  <c r="AT91" i="3"/>
  <c r="P46" i="3"/>
  <c r="AI89" i="3"/>
  <c r="AN91" i="3"/>
  <c r="P23" i="3"/>
  <c r="P36" i="3"/>
  <c r="K66" i="3"/>
  <c r="AH89" i="3"/>
  <c r="K51" i="3"/>
  <c r="AT83" i="3"/>
  <c r="AN83" i="3"/>
  <c r="P15" i="3"/>
  <c r="P52" i="3"/>
  <c r="K28" i="3"/>
  <c r="K78" i="3"/>
  <c r="AI83" i="3"/>
  <c r="AH83" i="3"/>
  <c r="AG83" i="3"/>
  <c r="K36" i="3"/>
  <c r="AT87" i="3"/>
  <c r="K40" i="3"/>
  <c r="P17" i="3"/>
  <c r="P42" i="3"/>
  <c r="K72" i="3"/>
  <c r="AL83" i="3"/>
  <c r="AJ83" i="3"/>
  <c r="AF83" i="3"/>
  <c r="K27" i="3"/>
  <c r="K30" i="3"/>
  <c r="K22" i="3"/>
  <c r="AL81" i="3"/>
  <c r="AT85" i="3"/>
  <c r="AJ86" i="3"/>
  <c r="P78" i="3"/>
  <c r="K42" i="3"/>
  <c r="AJ81" i="3"/>
  <c r="K63" i="3"/>
  <c r="AI81" i="3"/>
  <c r="AL85" i="3"/>
  <c r="AH86" i="3"/>
  <c r="K64" i="3"/>
  <c r="K70" i="3"/>
  <c r="AI85" i="3"/>
  <c r="AH85" i="3"/>
  <c r="K41" i="3"/>
  <c r="AT86" i="3"/>
  <c r="AT81" i="3"/>
  <c r="P30" i="3"/>
  <c r="AN86" i="3"/>
  <c r="AG86" i="3"/>
  <c r="AF86" i="3"/>
  <c r="AG85" i="3"/>
  <c r="P72" i="3"/>
  <c r="AN81" i="3"/>
  <c r="AL86" i="3"/>
  <c r="AN85" i="3"/>
  <c r="AI86" i="3"/>
  <c r="AH81" i="3"/>
  <c r="AJ85" i="3"/>
  <c r="AG81" i="3"/>
  <c r="AF85" i="3"/>
  <c r="K53" i="3"/>
  <c r="AF82" i="3"/>
  <c r="AF87" i="3"/>
  <c r="K46" i="3"/>
  <c r="K54" i="3"/>
  <c r="K76" i="3"/>
  <c r="AG87" i="3"/>
  <c r="AI82" i="3"/>
  <c r="AG82" i="3"/>
  <c r="K17" i="3"/>
  <c r="P40" i="3"/>
  <c r="K23" i="3"/>
  <c r="AH87" i="3"/>
  <c r="P53" i="3"/>
  <c r="K71" i="3"/>
  <c r="AJ82" i="3"/>
  <c r="AH82" i="3"/>
  <c r="AF81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S92" i="3"/>
  <c r="AN92" i="3"/>
  <c r="AF92" i="3"/>
  <c r="AH92" i="3"/>
  <c r="AJ92" i="3"/>
  <c r="AI92" i="3"/>
  <c r="AG92" i="3"/>
  <c r="AL92" i="3"/>
  <c r="AM88" i="3" s="1"/>
  <c r="S103" i="3" l="1"/>
  <c r="T103" i="3" s="1" a="1"/>
  <c r="T103" i="3" s="1"/>
  <c r="CG24" i="3"/>
  <c r="S111" i="3" s="1"/>
  <c r="T111" i="3" s="1"/>
  <c r="AM87" i="3"/>
  <c r="AM81" i="3"/>
  <c r="AM80" i="3"/>
  <c r="AM89" i="3"/>
  <c r="AM90" i="3"/>
  <c r="AM91" i="3"/>
  <c r="AM82" i="3"/>
  <c r="AM83" i="3"/>
  <c r="AM86" i="3"/>
  <c r="AM84" i="3"/>
  <c r="AM85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9" i="3"/>
  <c r="AP84" i="3"/>
  <c r="AP82" i="3"/>
  <c r="AP80" i="3"/>
  <c r="AP85" i="3"/>
  <c r="AP91" i="3"/>
  <c r="AP83" i="3"/>
  <c r="AP88" i="3"/>
  <c r="AP90" i="3"/>
  <c r="AP86" i="3"/>
  <c r="AP81" i="3"/>
  <c r="CN37" i="3" l="1"/>
  <c r="CN48" i="3"/>
  <c r="AD85" i="3"/>
  <c r="AS85" i="3" s="1"/>
  <c r="AD84" i="3"/>
  <c r="AS84" i="3" s="1"/>
  <c r="AD89" i="3"/>
  <c r="AS89" i="3" s="1"/>
  <c r="AD81" i="3"/>
  <c r="AS81" i="3" s="1"/>
  <c r="AD83" i="3"/>
  <c r="AS83" i="3" s="1"/>
  <c r="AD86" i="3"/>
  <c r="AS86" i="3" s="1"/>
  <c r="AD80" i="3"/>
  <c r="AS80" i="3" s="1"/>
  <c r="AD88" i="3"/>
  <c r="AS88" i="3" s="1"/>
  <c r="AD90" i="3"/>
  <c r="AS90" i="3" s="1"/>
  <c r="AD82" i="3"/>
  <c r="AS82" i="3" s="1"/>
  <c r="AD87" i="3"/>
  <c r="AS87" i="3" s="1"/>
  <c r="AD91" i="3"/>
  <c r="AS91" i="3" s="1"/>
  <c r="N91" i="3" l="1"/>
  <c r="J81" i="3"/>
  <c r="M91" i="3"/>
  <c r="M85" i="3"/>
  <c r="O81" i="3"/>
  <c r="J89" i="3"/>
  <c r="O84" i="3"/>
  <c r="O88" i="3"/>
  <c r="O90" i="3"/>
  <c r="N81" i="3"/>
  <c r="N84" i="3"/>
  <c r="J84" i="3"/>
  <c r="O87" i="3"/>
  <c r="N88" i="3"/>
  <c r="M88" i="3"/>
  <c r="M89" i="3"/>
  <c r="L89" i="3"/>
  <c r="O86" i="3"/>
  <c r="L85" i="3"/>
  <c r="M81" i="3"/>
  <c r="O91" i="3"/>
  <c r="J88" i="3"/>
  <c r="O82" i="3"/>
  <c r="N83" i="3"/>
  <c r="L91" i="3"/>
  <c r="L86" i="3"/>
  <c r="O85" i="3"/>
  <c r="L90" i="3"/>
  <c r="N85" i="3"/>
  <c r="J91" i="3"/>
  <c r="L81" i="3"/>
  <c r="M84" i="3"/>
  <c r="M90" i="3"/>
  <c r="M87" i="3"/>
  <c r="J92" i="3"/>
  <c r="M83" i="3"/>
  <c r="M82" i="3"/>
  <c r="O89" i="3"/>
  <c r="J86" i="3"/>
  <c r="N86" i="3"/>
  <c r="N82" i="3"/>
  <c r="M86" i="3"/>
  <c r="N87" i="3"/>
  <c r="L84" i="3"/>
  <c r="J90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9" i="3"/>
  <c r="L87" i="3"/>
  <c r="J82" i="3"/>
  <c r="O92" i="3"/>
  <c r="J87" i="3"/>
  <c r="N92" i="3"/>
  <c r="L82" i="3"/>
  <c r="L88" i="3"/>
  <c r="L83" i="3"/>
  <c r="J83" i="3"/>
  <c r="N90" i="3"/>
  <c r="O83" i="3"/>
  <c r="M92" i="3"/>
  <c r="L92" i="3"/>
  <c r="J85" i="3"/>
  <c r="P91" i="3" l="1"/>
  <c r="P88" i="3"/>
  <c r="P86" i="3"/>
  <c r="K89" i="3"/>
  <c r="K91" i="3"/>
  <c r="K86" i="3"/>
  <c r="P85" i="3"/>
  <c r="P90" i="3"/>
  <c r="K85" i="3"/>
  <c r="K82" i="3"/>
  <c r="P83" i="3"/>
  <c r="P81" i="3"/>
  <c r="K92" i="3"/>
  <c r="P82" i="3"/>
  <c r="K81" i="3"/>
  <c r="K87" i="3"/>
  <c r="K84" i="3"/>
  <c r="P89" i="3"/>
  <c r="K90" i="3"/>
  <c r="K83" i="3"/>
  <c r="K88" i="3"/>
  <c r="P87" i="3"/>
  <c r="P84" i="3"/>
  <c r="E3" i="4"/>
  <c r="BL67" i="3" s="1"/>
  <c r="P92" i="3"/>
  <c r="K3" i="4"/>
  <c r="BL55" i="3" s="1"/>
  <c r="D3" i="4"/>
  <c r="BL51" i="3" s="1"/>
  <c r="B3" i="4"/>
  <c r="G3" i="4"/>
  <c r="BL11" i="3" s="1"/>
  <c r="I3" i="4"/>
  <c r="BL15" i="3" s="1"/>
  <c r="J3" i="4"/>
  <c r="BL71" i="3" s="1"/>
  <c r="H3" i="4"/>
  <c r="BL39" i="3" s="1"/>
  <c r="BS53" i="3"/>
  <c r="BS52" i="3"/>
  <c r="BS69" i="3"/>
  <c r="BZ65" i="3" s="1"/>
  <c r="CG56" i="3" s="1"/>
  <c r="CN38" i="3" s="1"/>
  <c r="CK68" i="3" s="1"/>
  <c r="BS68" i="3"/>
  <c r="BZ49" i="3" l="1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<sst xmlns="http://schemas.openxmlformats.org/spreadsheetml/2006/main" count="9785" uniqueCount="3699">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</sst>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L30" zoomScaleNormal="100" workbookViewId="0">
      <selection activeCell="CO49" sqref="CO49"/>
    </sheetView>
  </sheetViews>
  <sheetFormatPr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2</v>
      </c>
      <c r="AL8" s="123">
        <f>AI8-AJ8</f>
        <v>3</v>
      </c>
      <c r="AM8" s="123">
        <f>AL8-AL12</f>
        <v>5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90000009.167507172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0</v>
      </c>
      <c r="AH9" s="123">
        <f>COUNTIF($S$7:$T$78,"=" &amp; AE9 &amp; "_lose")</f>
        <v>2</v>
      </c>
      <c r="AI9" s="123">
        <f>SUMIF($E$7:$E$78,$AE9,$F$7:$F$78) + SUMIF($H$7:$H$78,$AE9,$G$7:$G$78)</f>
        <v>4</v>
      </c>
      <c r="AJ9" s="123">
        <f>SUMIF($E$7:$E$78,$AE9,$G$7:$G$78) + SUMIF($H$7:$H$78,$AE9,$F$7:$F$78)</f>
        <v>5</v>
      </c>
      <c r="AL9" s="123">
        <f>AI9-AJ9</f>
        <v>-1</v>
      </c>
      <c r="AM9" s="123">
        <f>AL9-AL12</f>
        <v>1</v>
      </c>
      <c r="AN9" s="123">
        <f>AF9*3+AG9</f>
        <v>3</v>
      </c>
      <c r="AO9" s="123">
        <f>AN9/AN12*10+BA9</f>
        <v>3</v>
      </c>
      <c r="AP9" s="123">
        <f>AO9*10000000+BI9*100+AM9/AM12*10+AI9/AI12*1++IF(AQ9=0,ROW(),AQ9)/2000000</f>
        <v>30000002.3340482</v>
      </c>
      <c r="AQ9" s="126">
        <f>VLOOKUP(AE9,db_fifarank,2,FALSE)</f>
        <v>1429.73</v>
      </c>
      <c r="AR9" s="125">
        <f>AP9/AP12</f>
        <v>0.33333332160976958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3 - 3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3</v>
      </c>
      <c r="AL10" s="123">
        <f>AI10-AJ10</f>
        <v>0</v>
      </c>
      <c r="AM10" s="123">
        <f>AL10-AL12</f>
        <v>2</v>
      </c>
      <c r="AN10" s="123">
        <f>AF10*3+AG10</f>
        <v>4</v>
      </c>
      <c r="AO10" s="123">
        <f>AN10/AN12*10+BA10</f>
        <v>4</v>
      </c>
      <c r="AP10" s="123">
        <f>AO10*10000000+BI10*100+AM10/AM12*10+AI10/AI12*1++IF(AQ10=0,ROW(),AQ10)/2000000</f>
        <v>40000003.834127665</v>
      </c>
      <c r="AQ10" s="126">
        <f>VLOOKUP(AE10,db_fifarank,2,FALSE)</f>
        <v>1588.66</v>
      </c>
      <c r="AR10" s="125">
        <f>AP10/AP12</f>
        <v>0.44444443683595186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4 - 5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5</v>
      </c>
      <c r="AL11" s="123">
        <f>AI11-AJ11</f>
        <v>-2</v>
      </c>
      <c r="AM11" s="123">
        <f>AL11-AL12</f>
        <v>0</v>
      </c>
      <c r="AN11" s="123">
        <f>AF11*3+AG11</f>
        <v>1</v>
      </c>
      <c r="AO11" s="123">
        <f>AN11/AN12*10+BA11</f>
        <v>1</v>
      </c>
      <c r="AP11" s="123">
        <f>AO11*10000000+BI11*100+AM11/AM12*10+AI11/AI12*1++IF(AQ11=0,ROW(),AQ11)/2000000</f>
        <v>10000000.500750691</v>
      </c>
      <c r="AQ11" s="126">
        <f>VLOOKUP(AE11,db_fifarank,2,FALSE)</f>
        <v>1501.38</v>
      </c>
      <c r="AR11" s="125">
        <f>AP11/AP12</f>
        <v>0.11111110412253047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3 - 5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3</v>
      </c>
      <c r="AI12" s="123">
        <f>MAX(AI8:AI11)+1</f>
        <v>6</v>
      </c>
      <c r="AL12" s="123">
        <f>MIN(AL8:AL11)</f>
        <v>-2</v>
      </c>
      <c r="AM12" s="123">
        <f>MAX(AM8:AM11)+1</f>
        <v>6</v>
      </c>
      <c r="AN12" s="123">
        <f>MAX(AN8:AN11)+1</f>
        <v>10</v>
      </c>
      <c r="AO12" s="123">
        <f>MAX(AO8:AO11)+1</f>
        <v>10</v>
      </c>
      <c r="AP12" s="123">
        <f>MAX(AP8:AP11)+1</f>
        <v>90000010.167507172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0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2</v>
      </c>
      <c r="AL14" s="123">
        <f>AI14-AJ14</f>
        <v>3</v>
      </c>
      <c r="AM14" s="123">
        <f>AL14-AL18</f>
        <v>7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60000008.403556019</v>
      </c>
      <c r="AQ14" s="126">
        <f>VLOOKUP(AE14,db_fifarank,2,FALSE)</f>
        <v>1556.48</v>
      </c>
      <c r="AR14" s="125">
        <f>AP14/AP18</f>
        <v>0.66666668030089038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7 - 3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6</v>
      </c>
      <c r="AL15" s="123">
        <f>AI15-AJ15</f>
        <v>-4</v>
      </c>
      <c r="AM15" s="123">
        <f>AL15-AL18</f>
        <v>0</v>
      </c>
      <c r="AN15" s="123">
        <f>AF15*3+AG15</f>
        <v>1</v>
      </c>
      <c r="AO15" s="123">
        <f>AN15/AN18*10+BA15</f>
        <v>1.9805825242718447</v>
      </c>
      <c r="AP15" s="123">
        <f>AO15*10000000+BI15*100+AM15/AM18*10+AI15/AI18*1++IF(AQ15=0,ROW(),AQ15)/2000000</f>
        <v>19805923.551663794</v>
      </c>
      <c r="AQ15" s="126">
        <f>VLOOKUP(AE15,db_fifarank,2,FALSE)</f>
        <v>1385.84</v>
      </c>
      <c r="AR15" s="125">
        <f>AP15/AP18</f>
        <v>0.22006579091909534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50.5</v>
      </c>
      <c r="BA15" s="126">
        <f>AZ15/AZ18</f>
        <v>0.98058252427184467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2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5 - 2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5</v>
      </c>
      <c r="AL16" s="123">
        <f>AI16-AJ16</f>
        <v>-3</v>
      </c>
      <c r="AM16" s="123">
        <f>AL16-AL18</f>
        <v>1</v>
      </c>
      <c r="AN16" s="123">
        <f>AF16*3+AG16</f>
        <v>1</v>
      </c>
      <c r="AO16" s="123">
        <f>AN16/AN18*10+BA16</f>
        <v>1.9805825242718447</v>
      </c>
      <c r="AP16" s="123">
        <f>AO16*10000000+BI16*100+AM16/AM18*10+AI16/AI18*1++IF(AQ16=0,ROW(),AQ16)/2000000</f>
        <v>19805924.662809465</v>
      </c>
      <c r="AQ16" s="126">
        <f>VLOOKUP(AE16,db_fifarank,2,FALSE)</f>
        <v>1454.96</v>
      </c>
      <c r="AR16" s="125">
        <f>AP16/AP18</f>
        <v>0.22006580326515687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1</v>
      </c>
      <c r="AW16" s="126" cm="1">
        <f t="array" ref="AW16">SUMPRODUCT(($E$7:$E$78=AE16)*($U$7:$U$78)*($G$7:$G$78))+SUMPRODUCT(($H$7:$H$78=AE16)*($U$7:$U$78)*($F$7:$F$78))</f>
        <v>1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50.5</v>
      </c>
      <c r="BA16" s="126">
        <f>AZ16/AZ18</f>
        <v>0.98058252427184467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1</v>
      </c>
      <c r="BE16" s="126" cm="1">
        <f t="array" ref="BE16">SUMPRODUCT(($E$7:$E$78=AE16)*($X$7:$X$78)*($G$7:$G$78))+SUMPRODUCT(($H$7:$H$78=AE16)*($X$7:$X$78)*($F$7:$F$78))</f>
        <v>1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50.5</v>
      </c>
      <c r="BI16" s="126">
        <f>BH16/BH18</f>
        <v>0.98058252427184467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0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2 - 5</v>
      </c>
      <c r="P17" s="34">
        <f>L17*3+M17</f>
        <v>1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3</v>
      </c>
      <c r="AL17" s="123">
        <f>AI17-AJ17</f>
        <v>4</v>
      </c>
      <c r="AM17" s="123">
        <f>AL17-AL18</f>
        <v>8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90000009.7647136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2 - 6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3</v>
      </c>
      <c r="AI18" s="123">
        <f>MAX(AI14:AI17)+1</f>
        <v>8</v>
      </c>
      <c r="AL18" s="123">
        <f>MIN(AL14:AL17)</f>
        <v>-4</v>
      </c>
      <c r="AM18" s="123">
        <f>MAX(AM14:AM17)+1</f>
        <v>9</v>
      </c>
      <c r="AN18" s="123">
        <f>MAX(AN14:AN17)+1</f>
        <v>10</v>
      </c>
      <c r="AO18" s="123">
        <f>MAX(AO14:AO17)+1</f>
        <v>10</v>
      </c>
      <c r="AP18" s="123">
        <f>MAX(AP14:AP17)+1</f>
        <v>90000010.7647136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1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5</v>
      </c>
      <c r="AJ20" s="123">
        <f>SUMIF($E$7:$E$78,$AE20,$G$7:$G$78) + SUMIF($H$7:$H$78,$AE20,$F$7:$F$78)</f>
        <v>0</v>
      </c>
      <c r="AL20" s="123">
        <f>AI20-AJ20</f>
        <v>5</v>
      </c>
      <c r="AM20" s="123">
        <f>AL20-AL24</f>
        <v>12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90000010.064983144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5 - 0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4</v>
      </c>
      <c r="AL21" s="123">
        <f>AI21-AJ21</f>
        <v>1</v>
      </c>
      <c r="AM21" s="123">
        <f>AL21-AL24</f>
        <v>8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60000006.98805742</v>
      </c>
      <c r="AQ21" s="126">
        <f>VLOOKUP(AE21,db_fifarank,2,FALSE)</f>
        <v>1755.87</v>
      </c>
      <c r="AR21" s="125">
        <f>AP21/AP24</f>
        <v>0.66666666234891148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5 - 4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8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0.16731252166666666</v>
      </c>
      <c r="AQ22" s="126">
        <f>VLOOKUP(AE22,db_fifarank,2,FALSE)</f>
        <v>1291.71</v>
      </c>
      <c r="AR22" s="125">
        <f>AP22/AP24</f>
        <v>1.8590277899617278E-9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4 - 3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3</v>
      </c>
      <c r="AL23" s="123">
        <f>AI23-AJ23</f>
        <v>1</v>
      </c>
      <c r="AM23" s="123">
        <f>AL23-AL24</f>
        <v>8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30000006.821261995</v>
      </c>
      <c r="AQ23" s="126">
        <f>VLOOKUP(AE23,db_fifarank,2,FALSE)</f>
        <v>1498.35</v>
      </c>
      <c r="AR23" s="125">
        <f>AP23/AP24</f>
        <v>0.33333336814370995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6</v>
      </c>
      <c r="AL24" s="123">
        <f>MIN(AL20:AL23)</f>
        <v>-7</v>
      </c>
      <c r="AM24" s="123">
        <f>MAX(AM20:AM23)+1</f>
        <v>13</v>
      </c>
      <c r="AN24" s="123">
        <f>MAX(AN20:AN23)+1</f>
        <v>10</v>
      </c>
      <c r="AO24" s="123">
        <f>MAX(AO20:AO23)+1</f>
        <v>10</v>
      </c>
      <c r="AP24" s="123">
        <f>MAX(AP20:AP23)+1</f>
        <v>90000011.064983144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1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3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3</v>
      </c>
      <c r="AL26" s="123">
        <f>AI26-AJ26</f>
        <v>2</v>
      </c>
      <c r="AM26" s="123">
        <f>AL26-AL30</f>
        <v>7</v>
      </c>
      <c r="AN26" s="123">
        <f>AF26*3+AG26</f>
        <v>7</v>
      </c>
      <c r="AO26" s="123">
        <f>AN26/AN30*10+BA26</f>
        <v>9.7306451612903224</v>
      </c>
      <c r="AP26" s="123">
        <f>AO26*10000000+BI26*100+AM26/AM30*10+AI26/AI30*1++IF(AQ26=0,ROW(),AQ26)/2000000</f>
        <v>97306558.081033692</v>
      </c>
      <c r="AQ26" s="126">
        <f>VLOOKUP(AE26,db_fifarank,2,FALSE)</f>
        <v>1673.13</v>
      </c>
      <c r="AR26" s="125">
        <f>AP26/AP30</f>
        <v>0.99999997573571542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2</v>
      </c>
      <c r="AW26" s="126" cm="1">
        <f t="array" ref="AW26">SUMPRODUCT(($E$7:$E$78=AE26)*($U$7:$U$78)*($G$7:$G$78))+SUMPRODUCT(($H$7:$H$78=AE26)*($U$7:$U$78)*($F$7:$F$78))</f>
        <v>2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50.666666666666664</v>
      </c>
      <c r="BA26" s="126">
        <f>AZ26/AZ30</f>
        <v>0.98064516129032253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2</v>
      </c>
      <c r="BE26" s="126" cm="1">
        <f t="array" ref="BE26">SUMPRODUCT(($E$7:$E$78=AE26)*($X$7:$X$78)*($G$7:$G$78))+SUMPRODUCT(($H$7:$H$78=AE26)*($X$7:$X$78)*($F$7:$F$78))</f>
        <v>2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50.666666666666664</v>
      </c>
      <c r="BI26" s="126">
        <f>BH26/BH30</f>
        <v>0.98064516129032253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7 - 4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5</v>
      </c>
      <c r="AJ27" s="123">
        <f>SUMIF($E$7:$E$78,$AE27,$G$7:$G$78) + SUMIF($H$7:$H$78,$AE27,$F$7:$F$78)</f>
        <v>5</v>
      </c>
      <c r="AL27" s="123">
        <f>AI27-AJ27</f>
        <v>0</v>
      </c>
      <c r="AM27" s="123">
        <f>AL27-AL30</f>
        <v>5</v>
      </c>
      <c r="AN27" s="123">
        <f>AF27*3+AG27</f>
        <v>3</v>
      </c>
      <c r="AO27" s="123">
        <f>AN27/AN30*10+BA27</f>
        <v>3.75</v>
      </c>
      <c r="AP27" s="123">
        <f>AO27*10000000+BI27*100+AM27/AM30*10+AI27/AI30*1++IF(AQ27=0,ROW(),AQ27)/2000000</f>
        <v>37500006.181307301</v>
      </c>
      <c r="AQ27" s="126">
        <f>VLOOKUP(AE27,db_fifarank,2,FALSE)</f>
        <v>1503.5</v>
      </c>
      <c r="AR27" s="125">
        <f>AP27/AP30</f>
        <v>0.38538004026581346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3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5 - 3</v>
      </c>
      <c r="P28" s="34">
        <f>L28*3+M28</f>
        <v>7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7</v>
      </c>
      <c r="AL28" s="123">
        <f>AI28-AJ28</f>
        <v>-5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0.25079033499999998</v>
      </c>
      <c r="AQ28" s="126">
        <f>VLOOKUP(AE28,db_fifarank,2,FALSE)</f>
        <v>1580.67</v>
      </c>
      <c r="AR28" s="125">
        <f>AP28/AP30</f>
        <v>2.5773219591828746E-9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5 - 5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7</v>
      </c>
      <c r="AJ29" s="123">
        <f>SUMIF($E$7:$E$78,$AE29,$G$7:$G$78) + SUMIF($H$7:$H$78,$AE29,$F$7:$F$78)</f>
        <v>4</v>
      </c>
      <c r="AL29" s="123">
        <f>AI29-AJ29</f>
        <v>3</v>
      </c>
      <c r="AM29" s="123">
        <f>AL29-AL30</f>
        <v>8</v>
      </c>
      <c r="AN29" s="123">
        <f>AF29*3+AG29</f>
        <v>7</v>
      </c>
      <c r="AO29" s="123">
        <f>AN29/AN30*10+BA29</f>
        <v>9.7306451612903224</v>
      </c>
      <c r="AP29" s="123">
        <f>AO29*10000000+BI29*100+AM29/AM30*10+AI29/AI30*1++IF(AQ29=0,ROW(),AQ29)/2000000</f>
        <v>97306559.442107767</v>
      </c>
      <c r="AQ29" s="126">
        <f>VLOOKUP(AE29,db_fifarank,2,FALSE)</f>
        <v>1599.04</v>
      </c>
      <c r="AR29" s="125">
        <f>AP29/AP30</f>
        <v>0.99999998972320059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2</v>
      </c>
      <c r="AW29" s="126" cm="1">
        <f t="array" ref="AW29">SUMPRODUCT(($E$7:$E$78=AE29)*($U$7:$U$78)*($G$7:$G$78))+SUMPRODUCT(($H$7:$H$78=AE29)*($U$7:$U$78)*($F$7:$F$78))</f>
        <v>2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50.666666666666664</v>
      </c>
      <c r="BA29" s="126">
        <f>AZ29/AZ30</f>
        <v>0.98064516129032253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2</v>
      </c>
      <c r="BE29" s="126" cm="1">
        <f t="array" ref="BE29">SUMPRODUCT(($E$7:$E$78=AE29)*($X$7:$X$78)*($G$7:$G$78))+SUMPRODUCT(($H$7:$H$78=AE29)*($X$7:$X$78)*($F$7:$F$78))</f>
        <v>2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50.666666666666664</v>
      </c>
      <c r="BI29" s="126">
        <f>BH29/BH30</f>
        <v>0.98064516129032253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2 - 7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4</v>
      </c>
      <c r="AI30" s="123">
        <f>MAX(AI26:AI29)+1</f>
        <v>8</v>
      </c>
      <c r="AL30" s="123">
        <f>MIN(AL26:AL29)</f>
        <v>-5</v>
      </c>
      <c r="AM30" s="123">
        <f>MAX(AM26:AM29)+1</f>
        <v>9</v>
      </c>
      <c r="AN30" s="123">
        <f>MAX(AN26:AN29)+1</f>
        <v>8</v>
      </c>
      <c r="AO30" s="123">
        <f>MAX(AO26:AO29)+1</f>
        <v>10.730645161290322</v>
      </c>
      <c r="AP30" s="123">
        <f>MAX(AP26:AP29)+1</f>
        <v>97306560.442107767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3</v>
      </c>
      <c r="AW30" s="126">
        <f>MAX(AW26:AW29)-MIN(AW26:AW29)+1</f>
        <v>3</v>
      </c>
      <c r="AY30" s="126">
        <f>MAX(AY26:AY29)-MIN(AY26:AY29)+1</f>
        <v>1</v>
      </c>
      <c r="AZ30" s="126">
        <f>MAX(AZ26:AZ29)+1</f>
        <v>51.666666666666664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3</v>
      </c>
      <c r="BE30" s="126">
        <f>MAX(BE26:BE29)-MIN(BE26:BE29)+1</f>
        <v>3</v>
      </c>
      <c r="BG30" s="126">
        <f>MAX(BG26:BG29)-MIN(BG26:BG29)+1</f>
        <v>1</v>
      </c>
      <c r="BH30" s="126">
        <f>MAX(BH26:BH29)+1</f>
        <v>51.666666666666664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2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Republic_lose</v>
      </c>
      <c r="T31" s="127" t="str">
        <f t="shared" si="2"/>
        <v>South Africa_win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-1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3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2</v>
      </c>
      <c r="AL32" s="123">
        <f>AI32-AJ32</f>
        <v>5</v>
      </c>
      <c r="AM32" s="123">
        <f>AL32-AL36</f>
        <v>10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90000009.966774285</v>
      </c>
      <c r="AQ32" s="126">
        <f>VLOOKUP(AE32,db_fifarank,2,FALSE)</f>
        <v>1730.37</v>
      </c>
      <c r="AR32" s="125">
        <f>AP32/AP36</f>
        <v>0.99999998888889019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6</v>
      </c>
      <c r="AL33" s="123">
        <f>AI33-AJ33</f>
        <v>-5</v>
      </c>
      <c r="AM33" s="123">
        <f>AL33-AL36</f>
        <v>0</v>
      </c>
      <c r="AN33" s="123">
        <f>AF33*3+AG33</f>
        <v>1</v>
      </c>
      <c r="AO33" s="123">
        <f>AN33/AN36*10+BA33</f>
        <v>1.9805825242718447</v>
      </c>
      <c r="AP33" s="123">
        <f>AO33*10000000+BI33*100+AM33/AM36*10+AI33/AI36*1++IF(AQ33=0,ROW(),AQ33)/2000000</f>
        <v>19805923.4266182</v>
      </c>
      <c r="AQ33" s="126">
        <f>VLOOKUP(AE33,db_fifarank,2,FALSE)</f>
        <v>1294.6500000000001</v>
      </c>
      <c r="AR33" s="125">
        <f>AP33/AP36</f>
        <v>0.22006578903562626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1</v>
      </c>
      <c r="AV33" s="126" cm="1">
        <f t="array" ref="AV33">SUMPRODUCT(($E$7:$E$78=AE33)*($U$7:$U$78)*($F$7:$F$78))+SUMPRODUCT(($H$7:$H$78=AE33)*($U$7:$U$78)*($G$7:$G$78))</f>
        <v>1</v>
      </c>
      <c r="AW33" s="126" cm="1">
        <f t="array" ref="AW33">SUMPRODUCT(($E$7:$E$78=AE33)*($U$7:$U$78)*($G$7:$G$78))+SUMPRODUCT(($H$7:$H$78=AE33)*($U$7:$U$78)*($F$7:$F$78))</f>
        <v>1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50.5</v>
      </c>
      <c r="BA33" s="126">
        <f>AZ33/AZ36</f>
        <v>0.98058252427184467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1</v>
      </c>
      <c r="BD33" s="126" cm="1">
        <f t="array" ref="BD33">SUMPRODUCT(($E$7:$E$78=AE33)*($X$7:$X$78)*($F$7:$F$78))+SUMPRODUCT(($H$7:$H$78=AE33)*($X$7:$X$78)*($G$7:$G$78))</f>
        <v>1</v>
      </c>
      <c r="BE33" s="126" cm="1">
        <f t="array" ref="BE33">SUMPRODUCT(($E$7:$E$78=AE33)*($X$7:$X$78)*($G$7:$G$78))+SUMPRODUCT(($H$7:$H$78=AE33)*($X$7:$X$78)*($F$7:$F$78))</f>
        <v>1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50.5</v>
      </c>
      <c r="BI33" s="126">
        <f>BH33/BH36</f>
        <v>0.98058252427184467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6 - 2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1</v>
      </c>
      <c r="AH34" s="123">
        <f>COUNTIF($S$7:$T$78,"=" &amp; AE34 &amp; "_lose")</f>
        <v>2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6</v>
      </c>
      <c r="AL34" s="123">
        <f>AI34-AJ34</f>
        <v>-4</v>
      </c>
      <c r="AM34" s="123">
        <f>AL34-AL36</f>
        <v>1</v>
      </c>
      <c r="AN34" s="123">
        <f>AF34*3+AG34</f>
        <v>1</v>
      </c>
      <c r="AO34" s="123">
        <f>AN34/AN36*10+BA34</f>
        <v>1.9805825242718447</v>
      </c>
      <c r="AP34" s="123">
        <f>AO34*10000000+BI34*100+AM34/AM36*10+AI34/AI36*1++IF(AQ34=0,ROW(),AQ34)/2000000</f>
        <v>19805924.460828274</v>
      </c>
      <c r="AQ34" s="126">
        <f>VLOOKUP(AE34,db_fifarank,2,FALSE)</f>
        <v>1532.98</v>
      </c>
      <c r="AR34" s="125">
        <f>AP34/AP36</f>
        <v>0.2200658005268479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2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1</v>
      </c>
      <c r="N35" s="23">
        <f>VLOOKUP(3,AD32:AN35,5,FALSE)</f>
        <v>2</v>
      </c>
      <c r="O35" s="23" t="str">
        <f>VLOOKUP(3,AD32:AN35,6,FALSE) &amp; " - " &amp; VLOOKUP(3,AD32:AN35,7,FALSE)</f>
        <v>2 - 6</v>
      </c>
      <c r="P35" s="34">
        <f>L35*3+M35</f>
        <v>1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2</v>
      </c>
      <c r="AL35" s="123">
        <f>AI35-AJ35</f>
        <v>4</v>
      </c>
      <c r="AM35" s="123">
        <f>AL35-AL36</f>
        <v>9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60000008.932615571</v>
      </c>
      <c r="AQ35" s="126">
        <f>VLOOKUP(AE35,db_fifarank,2,FALSE)</f>
        <v>1594.78</v>
      </c>
      <c r="AR35" s="125">
        <f>AP35/AP36</f>
        <v>0.6666666846825835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Algeria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1 - 6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3</v>
      </c>
      <c r="AI36" s="123">
        <f>MAX(AI32:AI35)+1</f>
        <v>8</v>
      </c>
      <c r="AL36" s="123">
        <f>MIN(AL32:AL35)</f>
        <v>-5</v>
      </c>
      <c r="AM36" s="123">
        <f>MAX(AM32:AM35)+1</f>
        <v>11</v>
      </c>
      <c r="AN36" s="123">
        <f>MAX(AN32:AN35)+1</f>
        <v>10</v>
      </c>
      <c r="AO36" s="123">
        <f>MAX(AO32:AO35)+1</f>
        <v>10</v>
      </c>
      <c r="AP36" s="123">
        <f>MAX(AP32:AP35)+1</f>
        <v>90000010.966774285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0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1</v>
      </c>
      <c r="AL38" s="123">
        <f>AI38-AJ38</f>
        <v>5</v>
      </c>
      <c r="AM38" s="123">
        <f>AL38-AL42</f>
        <v>10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90000009.948930874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6 - 1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4</v>
      </c>
      <c r="AL39" s="123">
        <f>AI39-AJ39</f>
        <v>0</v>
      </c>
      <c r="AM39" s="123">
        <f>AL39-AL42</f>
        <v>5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60000005.11771334</v>
      </c>
      <c r="AQ39" s="126">
        <f>VLOOKUP(AE39,db_fifarank,2,FALSE)</f>
        <v>1660.43</v>
      </c>
      <c r="AR39" s="125">
        <f>AP39/AP42</f>
        <v>0.6666666424269595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South Africa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4 - 4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4</v>
      </c>
      <c r="AL40" s="123">
        <f>AI40-AJ40</f>
        <v>0</v>
      </c>
      <c r="AM40" s="123">
        <f>AL40-AL42</f>
        <v>5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30000005.117640503</v>
      </c>
      <c r="AQ40" s="126">
        <f>VLOOKUP(AE40,db_fifarank,2,FALSE)</f>
        <v>1514.77</v>
      </c>
      <c r="AR40" s="125">
        <f>AP40/AP42</f>
        <v>0.33333334964440775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4 - 4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6</v>
      </c>
      <c r="AL41" s="123">
        <f>AI41-AJ41</f>
        <v>-5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0.14359866785714284</v>
      </c>
      <c r="AQ41" s="126">
        <f>VLOOKUP(AE41,db_fifarank,2,FALSE)</f>
        <v>1483.05</v>
      </c>
      <c r="AR41" s="125">
        <f>AP41/AP42</f>
        <v>1.595540559863106E-9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1 - 6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7</v>
      </c>
      <c r="AL42" s="123">
        <f>MIN(AL38:AL41)</f>
        <v>-5</v>
      </c>
      <c r="AM42" s="123">
        <f>MAX(AM38:AM41)+1</f>
        <v>11</v>
      </c>
      <c r="AN42" s="123">
        <f>MAX(AN38:AN41)+1</f>
        <v>10</v>
      </c>
      <c r="AO42" s="123">
        <f>MAX(AO38:AO41)+1</f>
        <v>10</v>
      </c>
      <c r="AP42" s="123">
        <f>MAX(AP38:AP41)+1</f>
        <v>90000010.948930874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2</v>
      </c>
      <c r="AL44" s="123">
        <f>AI44-AJ44</f>
        <v>4</v>
      </c>
      <c r="AM44" s="123">
        <f>AL44-AL48</f>
        <v>6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90000009.42943877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2</v>
      </c>
      <c r="AH45" s="123">
        <f>COUNTIF($S$7:$T$78,"=" &amp; AE45 &amp; "_lose")</f>
        <v>1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3</v>
      </c>
      <c r="AL45" s="123">
        <f>AI45-AJ45</f>
        <v>-1</v>
      </c>
      <c r="AM45" s="123">
        <f>AL45-AL48</f>
        <v>1</v>
      </c>
      <c r="AN45" s="123">
        <f>AF45*3+AG45</f>
        <v>2</v>
      </c>
      <c r="AO45" s="123">
        <f>AN45/AN48*10+BA45</f>
        <v>2.9853300733496333</v>
      </c>
      <c r="AP45" s="123">
        <f>AO45*10000000+BI45*100+AM45/AM48*10+AI45/AI48*1++IF(AQ45=0,ROW(),AQ45)/2000000</f>
        <v>29853400.5068161</v>
      </c>
      <c r="AQ45" s="126">
        <f>VLOOKUP(AE45,db_fifarank,2,FALSE)</f>
        <v>1563.24</v>
      </c>
      <c r="AR45" s="125">
        <f>AP45/AP48</f>
        <v>0.33170441163694719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2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67.166666666666657</v>
      </c>
      <c r="BA45" s="126">
        <f>AZ45/AZ48</f>
        <v>0.9853300733496333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0</v>
      </c>
      <c r="M46" s="23">
        <f>VLOOKUP(2,AD44:AN47,4,FALSE)</f>
        <v>2</v>
      </c>
      <c r="N46" s="23">
        <f>VLOOKUP(2,AD44:AN47,5,FALSE)</f>
        <v>1</v>
      </c>
      <c r="O46" s="23" t="str">
        <f>VLOOKUP(2,AD44:AN47,6,FALSE) &amp; " - " &amp; VLOOKUP(2,AD44:AN47,7,FALSE)</f>
        <v>2 - 3</v>
      </c>
      <c r="P46" s="34">
        <f>L46*3+M46</f>
        <v>2</v>
      </c>
      <c r="R46" s="123">
        <f>DATE(2026,6,21)+TIME(14,0,0)+gmt_delta</f>
        <v>46195.125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1</v>
      </c>
      <c r="V46" s="123">
        <f t="shared" si="3"/>
        <v>1</v>
      </c>
      <c r="W46" s="123">
        <f t="shared" si="4"/>
        <v>1</v>
      </c>
      <c r="X46" s="123">
        <f t="shared" si="9"/>
        <v>1</v>
      </c>
      <c r="Y46" s="123">
        <f t="shared" si="10"/>
        <v>1</v>
      </c>
      <c r="Z46" s="123">
        <f t="shared" si="11"/>
        <v>1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1</v>
      </c>
      <c r="AL46" s="123">
        <f>AI46-AJ46</f>
        <v>-1</v>
      </c>
      <c r="AM46" s="123">
        <f>AL46-AL48</f>
        <v>1</v>
      </c>
      <c r="AN46" s="123">
        <f>AF46*3+AG46</f>
        <v>2</v>
      </c>
      <c r="AO46" s="123">
        <f>AN46/AN48*10+BA46</f>
        <v>2.9779951100244499</v>
      </c>
      <c r="AP46" s="123">
        <f>AO46*10000000+BI46*100+AM46/AM48*10+AI46/AI48*1++IF(AQ46=0,ROW(),AQ46)/2000000</f>
        <v>29779952.529623579</v>
      </c>
      <c r="AQ46" s="126">
        <f>VLOOKUP(AE46,db_fifarank,2,FALSE)</f>
        <v>1615.3</v>
      </c>
      <c r="AR46" s="125">
        <f>AP46/AP48</f>
        <v>0.33088832309604527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2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66.666666666666657</v>
      </c>
      <c r="BA46" s="126">
        <f>AZ46/AZ48</f>
        <v>0.97799511002444983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2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2 - 4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2</v>
      </c>
      <c r="W47" s="123">
        <f t="shared" ref="W47:W78" si="22">U47*G47</f>
        <v>2</v>
      </c>
      <c r="X47" s="123">
        <f t="shared" si="9"/>
        <v>1</v>
      </c>
      <c r="Y47" s="123">
        <f t="shared" si="10"/>
        <v>2</v>
      </c>
      <c r="Z47" s="123">
        <f t="shared" si="11"/>
        <v>2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2</v>
      </c>
      <c r="AH47" s="123">
        <f>COUNTIF($S$7:$T$78,"=" &amp; AE47 &amp; "_lose")</f>
        <v>1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4</v>
      </c>
      <c r="AL47" s="123">
        <f>AI47-AJ47</f>
        <v>-2</v>
      </c>
      <c r="AM47" s="123">
        <f>AL47-AL48</f>
        <v>0</v>
      </c>
      <c r="AN47" s="123">
        <f>AF47*3+AG47</f>
        <v>2</v>
      </c>
      <c r="AO47" s="123">
        <f>AN47/AN48*10+BA47</f>
        <v>2.9853300733496333</v>
      </c>
      <c r="AP47" s="123">
        <f>AO47*10000000+BI47*100+AM47/AM48*10+AI47/AI48*1++IF(AQ47=0,ROW(),AQ47)/2000000</f>
        <v>29853399.078103833</v>
      </c>
      <c r="AQ47" s="126">
        <f>VLOOKUP(AE47,db_fifarank,2,FALSE)</f>
        <v>1281.57</v>
      </c>
      <c r="AR47" s="125">
        <f>AP47/AP48</f>
        <v>0.33170439576236832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2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67.166666666666657</v>
      </c>
      <c r="BA47" s="126">
        <f>AZ47/AZ48</f>
        <v>0.9853300733496333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2</v>
      </c>
      <c r="N48" s="36">
        <f>VLOOKUP(4,AD44:AN47,5,FALSE)</f>
        <v>1</v>
      </c>
      <c r="O48" s="36" t="str">
        <f>VLOOKUP(4,AD44:AN47,6,FALSE) &amp; " - " &amp; VLOOKUP(4,AD44:AN47,7,FALSE)</f>
        <v>0 - 1</v>
      </c>
      <c r="P48" s="37">
        <f>L48*3+M48</f>
        <v>2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2</v>
      </c>
      <c r="AI48" s="123">
        <f>MAX(AI44:AI47)+1</f>
        <v>7</v>
      </c>
      <c r="AL48" s="123">
        <f>MIN(AL44:AL47)</f>
        <v>-2</v>
      </c>
      <c r="AM48" s="123">
        <f>MAX(AM44:AM47)+1</f>
        <v>7</v>
      </c>
      <c r="AN48" s="123">
        <f>MAX(AN44:AN47)+1</f>
        <v>10</v>
      </c>
      <c r="AO48" s="123">
        <f>MAX(AO44:AO47)+1</f>
        <v>10</v>
      </c>
      <c r="AP48" s="123">
        <f>MAX(AP44:AP47)+1</f>
        <v>90000010.42943877</v>
      </c>
      <c r="AT48" s="126">
        <f>MAX(AT44:AT47)-MIN(AT44:AT47)+1</f>
        <v>1</v>
      </c>
      <c r="AU48" s="126">
        <f>MAX(AU44:AU47)-MIN(AU44:AU47)+1</f>
        <v>3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68.166666666666657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England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2</v>
      </c>
      <c r="AL50" s="123">
        <f>AI50-AJ50</f>
        <v>7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90000010.186652496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9 - 2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3</v>
      </c>
      <c r="AJ51" s="123">
        <f>SUMIF($E$7:$E$78,$AE51,$G$7:$G$78) + SUMIF($H$7:$H$78,$AE51,$F$7:$F$78)</f>
        <v>9</v>
      </c>
      <c r="AL51" s="123">
        <f>AI51-AJ51</f>
        <v>-6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0.30068306499999997</v>
      </c>
      <c r="AQ51" s="126">
        <f>VLOOKUP(AE51,db_fifarank,2,FALSE)</f>
        <v>1366.13</v>
      </c>
      <c r="AR51" s="125">
        <f>AP51/AP54</f>
        <v>3.3409225291806734E-9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Saudi Arabia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4 - 3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5</v>
      </c>
      <c r="AL52" s="123">
        <f>AI52-AJ52</f>
        <v>-2</v>
      </c>
      <c r="AM52" s="123">
        <f>AL52-AL54</f>
        <v>4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30000003.157853574</v>
      </c>
      <c r="AQ52" s="126">
        <f>VLOOKUP(AE52,db_fifarank,2,FALSE)</f>
        <v>1421.43</v>
      </c>
      <c r="AR52" s="125">
        <f>AP52/AP54</f>
        <v>0.33333332698854978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3</v>
      </c>
      <c r="AL53" s="123">
        <f>AI53-AJ53</f>
        <v>1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60000005.400836535</v>
      </c>
      <c r="AQ53" s="126">
        <f>VLOOKUP(AE53,db_fifarank,2,FALSE)</f>
        <v>1673.07</v>
      </c>
      <c r="AR53" s="125">
        <f>AP53/AP54</f>
        <v>0.6666666438118718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3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3 - 9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10</v>
      </c>
      <c r="AL54" s="123">
        <f>MIN(AL50:AL53)</f>
        <v>-6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90000011.186652496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1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1</v>
      </c>
      <c r="AL56" s="123">
        <f>AI56-AJ56</f>
        <v>7</v>
      </c>
      <c r="AM56" s="123">
        <f>AL56-AL60</f>
        <v>14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90000010.223160878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5</v>
      </c>
      <c r="AL57" s="123">
        <f>AI57-AJ57</f>
        <v>-1</v>
      </c>
      <c r="AM57" s="123">
        <f>AL57-AL60</f>
        <v>6</v>
      </c>
      <c r="AN57" s="123">
        <f>AF57*3+AG57</f>
        <v>4</v>
      </c>
      <c r="AO57" s="123">
        <f>AN57/AN60*10+BA57</f>
        <v>4.9806451612903224</v>
      </c>
      <c r="AP57" s="123">
        <f>AO57*10000000+BI57*100+AM57/AM60*10+AI57/AI60*1++IF(AQ57=0,ROW(),AQ57)/2000000</f>
        <v>49806554.122708291</v>
      </c>
      <c r="AQ57" s="126">
        <f>VLOOKUP(AE57,db_fifarank,2,FALSE)</f>
        <v>1688.99</v>
      </c>
      <c r="AR57" s="125">
        <f>AP57/AP60</f>
        <v>0.55340608790825263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2</v>
      </c>
      <c r="AW57" s="126" cm="1">
        <f t="array" ref="AW57">SUMPRODUCT(($E$7:$E$78=AE57)*($U$7:$U$78)*($G$7:$G$78))+SUMPRODUCT(($H$7:$H$78=AE57)*($U$7:$U$78)*($F$7:$F$78))</f>
        <v>2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50.666666666666664</v>
      </c>
      <c r="BA57" s="126">
        <f>AZ57/AZ60</f>
        <v>0.98064516129032253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2</v>
      </c>
      <c r="BE57" s="126" cm="1">
        <f t="array" ref="BE57">SUMPRODUCT(($E$7:$E$78=AE57)*($X$7:$X$78)*($G$7:$G$78))+SUMPRODUCT(($H$7:$H$78=AE57)*($X$7:$X$78)*($F$7:$F$78))</f>
        <v>2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50.666666666666664</v>
      </c>
      <c r="BI57" s="126">
        <f>BH57/BH60</f>
        <v>0.98064516129032253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5 - 4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1</v>
      </c>
      <c r="W58" s="123">
        <f t="shared" si="22"/>
        <v>1</v>
      </c>
      <c r="X58" s="123">
        <f t="shared" si="9"/>
        <v>1</v>
      </c>
      <c r="Y58" s="123">
        <f t="shared" si="10"/>
        <v>1</v>
      </c>
      <c r="Z58" s="123">
        <f t="shared" si="11"/>
        <v>1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8.0396656641059883E-12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4 - 5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4</v>
      </c>
      <c r="AL59" s="123">
        <f>AI59-AJ59</f>
        <v>1</v>
      </c>
      <c r="AM59" s="123">
        <f>AL59-AL60</f>
        <v>8</v>
      </c>
      <c r="AN59" s="123">
        <f>AF59*3+AG59</f>
        <v>4</v>
      </c>
      <c r="AO59" s="123">
        <f>AN59/AN60*10+BA59</f>
        <v>4.9806451612903224</v>
      </c>
      <c r="AP59" s="123">
        <f>AO59*10000000+BI59*100+AM59/AM60*10+AI59/AI60*1++IF(AQ59=0,ROW(),AQ59)/2000000</f>
        <v>49806555.567083709</v>
      </c>
      <c r="AQ59" s="126">
        <f>VLOOKUP(AE59,db_fifarank,2,FALSE)</f>
        <v>1550.94</v>
      </c>
      <c r="AR59" s="125">
        <f>AP59/AP60</f>
        <v>0.5534061039568664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2</v>
      </c>
      <c r="AW59" s="126" cm="1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50.666666666666664</v>
      </c>
      <c r="BA59" s="126">
        <f>AZ59/AZ60</f>
        <v>0.98064516129032253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2</v>
      </c>
      <c r="BE59" s="126" cm="1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 t="shared" si="26"/>
        <v>50.666666666666664</v>
      </c>
      <c r="BI59" s="126">
        <f>BH59/BH60</f>
        <v>0.98064516129032253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9</v>
      </c>
      <c r="AL60" s="123">
        <f>MIN(AL56:AL59)</f>
        <v>-7</v>
      </c>
      <c r="AM60" s="123">
        <f>MAX(AM56:AM59)+1</f>
        <v>15</v>
      </c>
      <c r="AN60" s="123">
        <f>MAX(AN56:AN59)+1</f>
        <v>10</v>
      </c>
      <c r="AO60" s="123">
        <f>MAX(AO56:AO59)+1</f>
        <v>10</v>
      </c>
      <c r="AP60" s="123">
        <f>MAX(AP56:AP59)+1</f>
        <v>90000011.223160878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1</v>
      </c>
      <c r="V61" s="123">
        <f t="shared" si="21"/>
        <v>1</v>
      </c>
      <c r="W61" s="123">
        <f t="shared" si="22"/>
        <v>1</v>
      </c>
      <c r="X61" s="123">
        <f t="shared" si="9"/>
        <v>1</v>
      </c>
      <c r="Y61" s="123">
        <f t="shared" si="10"/>
        <v>1</v>
      </c>
      <c r="Z61" s="123">
        <f t="shared" si="11"/>
        <v>1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1</v>
      </c>
      <c r="AL62" s="123">
        <f>AI62-AJ62</f>
        <v>5</v>
      </c>
      <c r="AM62" s="123">
        <f>AL62-AL66</f>
        <v>10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90000009.948989362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6 - 1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3</v>
      </c>
      <c r="AL63" s="123">
        <f>AI63-AJ63</f>
        <v>0</v>
      </c>
      <c r="AM63" s="123">
        <f>AL63-AL66</f>
        <v>5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49805928.275778972</v>
      </c>
      <c r="AQ63" s="126">
        <f>VLOOKUP(AE63,db_fifarank,2,FALSE)</f>
        <v>1564.26</v>
      </c>
      <c r="AR63" s="125">
        <f>AP63/AP66</f>
        <v>0.55339913574019695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5 - 5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5</v>
      </c>
      <c r="AL64" s="123">
        <f>AI64-AJ64</f>
        <v>0</v>
      </c>
      <c r="AM64" s="123">
        <f>AL64-AL66</f>
        <v>5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49805928.561507858</v>
      </c>
      <c r="AQ64" s="126">
        <f>VLOOKUP(AE64,db_fifarank,2,FALSE)</f>
        <v>1593.45</v>
      </c>
      <c r="AR64" s="125">
        <f>AP64/AP66</f>
        <v>0.55339913891496195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3 - 3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2</v>
      </c>
      <c r="W65" s="123">
        <f t="shared" si="22"/>
        <v>2</v>
      </c>
      <c r="X65" s="123">
        <f t="shared" si="9"/>
        <v>1</v>
      </c>
      <c r="Y65" s="123">
        <f t="shared" si="10"/>
        <v>2</v>
      </c>
      <c r="Z65" s="123">
        <f t="shared" si="11"/>
        <v>2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7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0.28641001071428568</v>
      </c>
      <c r="AQ65" s="126">
        <f>VLOOKUP(AE65,db_fifarank,2,FALSE)</f>
        <v>1391.45</v>
      </c>
      <c r="AR65" s="125">
        <f>AP65/AP66</f>
        <v>3.1823330652328311E-9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3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2 - 7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7</v>
      </c>
      <c r="AL66" s="123">
        <f>MIN(AL62:AL65)</f>
        <v>-5</v>
      </c>
      <c r="AM66" s="123">
        <f>MAX(AM62:AM65)+1</f>
        <v>11</v>
      </c>
      <c r="AN66" s="123">
        <f>MAX(AN62:AN65)+1</f>
        <v>10</v>
      </c>
      <c r="AO66" s="123">
        <f>MAX(AO62:AO65)+1</f>
        <v>10</v>
      </c>
      <c r="AP66" s="123">
        <f>MAX(AP62:AP65)+1</f>
        <v>90000010.948989362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New Zealand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2</v>
      </c>
      <c r="AL68" s="123">
        <f>AI68-AJ68</f>
        <v>7</v>
      </c>
      <c r="AM68" s="123">
        <f>AL68-AL72</f>
        <v>14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90000010.234215245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Portugal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0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9 - 2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7</v>
      </c>
      <c r="AL69" s="123">
        <f>AI69-AJ69</f>
        <v>-7</v>
      </c>
      <c r="AM69" s="123">
        <f>AL69-AL72</f>
        <v>0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19804019.608582314</v>
      </c>
      <c r="AQ69" s="126">
        <f>VLOOKUP(AE69,db_fifarank,2,FALSE)</f>
        <v>1478.35</v>
      </c>
      <c r="AR69" s="125">
        <f>AP69/AP72</f>
        <v>0.22004463485059469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6 - 3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5</v>
      </c>
      <c r="AL70" s="123">
        <f>AI70-AJ70</f>
        <v>-3</v>
      </c>
      <c r="AM70" s="123">
        <f>AL70-AL72</f>
        <v>4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19804022.475242477</v>
      </c>
      <c r="AQ70" s="126">
        <f>VLOOKUP(AE70,db_fifarank,2,FALSE)</f>
        <v>1465.34</v>
      </c>
      <c r="AR70" s="125">
        <f>AP70/AP72</f>
        <v>0.2200446667023703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2</v>
      </c>
      <c r="G71" s="20">
        <v>3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2 - 5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3</v>
      </c>
      <c r="AL71" s="123">
        <f>AI71-AJ71</f>
        <v>3</v>
      </c>
      <c r="AM71" s="123">
        <f>AL71-AL72</f>
        <v>10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60000007.267513208</v>
      </c>
      <c r="AQ71" s="126">
        <f>VLOOKUP(AE71,db_fifarank,2,FALSE)</f>
        <v>1693.09</v>
      </c>
      <c r="AR71" s="125">
        <f>AP71/AP72</f>
        <v>0.66666666420040455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Paraguay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0 - 7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10</v>
      </c>
      <c r="AL72" s="123">
        <f>MIN(AL68:AL71)</f>
        <v>-7</v>
      </c>
      <c r="AM72" s="123">
        <f>MAX(AM68:AM71)+1</f>
        <v>15</v>
      </c>
      <c r="AN72" s="123">
        <f>MAX(AN68:AN71)+1</f>
        <v>10</v>
      </c>
      <c r="AO72" s="123">
        <f>MAX(AO68:AO71)+1</f>
        <v>10</v>
      </c>
      <c r="AP72" s="123">
        <f>MAX(AP68:AP71)+1</f>
        <v>90000011.234215245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2</v>
      </c>
      <c r="AL74" s="123">
        <f>AI74-AJ74</f>
        <v>6</v>
      </c>
      <c r="AM74" s="123">
        <f>AL74-AL78</f>
        <v>9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90000009.889801875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8 - 2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5</v>
      </c>
      <c r="AL75" s="123">
        <f>AI75-AJ75</f>
        <v>0</v>
      </c>
      <c r="AM75" s="123">
        <f>AL75-AL78</f>
        <v>3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60000003.55641409</v>
      </c>
      <c r="AQ75" s="126">
        <f>VLOOKUP(AE75,db_fifarank,2,FALSE)</f>
        <v>1717.07</v>
      </c>
      <c r="AR75" s="125">
        <f>AP75/AP78</f>
        <v>0.6666666255171847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5 - 5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5</v>
      </c>
      <c r="AL76" s="123">
        <f>AI76-AJ76</f>
        <v>-3</v>
      </c>
      <c r="AM76" s="123">
        <f>AL76-AL78</f>
        <v>0</v>
      </c>
      <c r="AN76" s="123">
        <f>AF76*3+AG76</f>
        <v>1</v>
      </c>
      <c r="AO76" s="123">
        <f>AN76/AN78*10+BA76</f>
        <v>1.9805825242718447</v>
      </c>
      <c r="AP76" s="123">
        <f>AO76*10000000+BI76*100+AM76/AM78*10+AI76/AI78*1++IF(AQ76=0,ROW(),AQ76)/2000000</f>
        <v>19805923.523866255</v>
      </c>
      <c r="AQ76" s="126">
        <f>VLOOKUP(AE76,db_fifarank,2,FALSE)</f>
        <v>1346.31</v>
      </c>
      <c r="AR76" s="125">
        <f>AP76/AP78</f>
        <v>0.2200657903043711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3 - 6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3</v>
      </c>
      <c r="AJ77" s="123">
        <f>SUMIF($E$7:$E$78,$AE77,$G$7:$G$78) + SUMIF($H$7:$H$78,$AE77,$F$7:$F$78)</f>
        <v>6</v>
      </c>
      <c r="AL77" s="123">
        <f>AI77-AJ77</f>
        <v>-3</v>
      </c>
      <c r="AM77" s="123">
        <f>AL77-AL78</f>
        <v>0</v>
      </c>
      <c r="AN77" s="123">
        <f>AF77*3+AG77</f>
        <v>1</v>
      </c>
      <c r="AO77" s="123">
        <f>AN77/AN78*10+BA77</f>
        <v>1.9805825242718447</v>
      </c>
      <c r="AP77" s="123">
        <f>AO77*10000000+BI77*100+AM77/AM78*10+AI77/AI78*1++IF(AQ77=0,ROW(),AQ77)/2000000</f>
        <v>19805923.635074526</v>
      </c>
      <c r="AQ77" s="126">
        <f>VLOOKUP(AE77,db_fifarank,2,FALSE)</f>
        <v>1540.64</v>
      </c>
      <c r="AR77" s="125">
        <f>AP77/AP78</f>
        <v>0.2200657915400184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50.5</v>
      </c>
      <c r="BA77" s="126">
        <f>AZ77/AZ78</f>
        <v>0.98058252427184467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50.5</v>
      </c>
      <c r="BI77" s="126">
        <f>BH77/BH78</f>
        <v>0.98058252427184467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2 - 5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9</v>
      </c>
      <c r="AL78" s="123">
        <f>MIN(AL74:AL77)</f>
        <v>-3</v>
      </c>
      <c r="AM78" s="123">
        <f>MAX(AM74:AM77)+1</f>
        <v>10</v>
      </c>
      <c r="AN78" s="123">
        <f>MAX(AN74:AN77)+1</f>
        <v>10</v>
      </c>
      <c r="AO78" s="123">
        <f>MAX(AO74:AO77)+1</f>
        <v>10</v>
      </c>
      <c r="AP78" s="123">
        <f>MAX(AP74:AP77)+1</f>
        <v>90000010.889801875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6</v>
      </c>
      <c r="AE80" s="124" t="str">
        <f>J11</f>
        <v>South Africa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4</v>
      </c>
      <c r="AJ80" s="123">
        <f>VLOOKUP($AE80,$AE$8:$AQ$78,6,FALSE)</f>
        <v>5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6566.6673815316672</v>
      </c>
      <c r="AQ80" s="126">
        <f t="shared" ref="AQ80:AQ91" si="37">VLOOKUP($AE80,$AE$8:$AQ$78,13,FALSE)</f>
        <v>1429.73</v>
      </c>
      <c r="AR80" s="125" t="str">
        <f>IF(AD80&lt;=8,RIGHT(AK80,1),"")</f>
        <v>A</v>
      </c>
      <c r="AS80" s="129" t="str">
        <f>IF(AD80&lt;=8,AE80,"")</f>
        <v>South Africa</v>
      </c>
      <c r="AT80" s="130" t="str">
        <f>"Ⓐ "&amp;AE80</f>
        <v>Ⓐ South Africa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Ⓙ Algeria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3 - 3</v>
      </c>
      <c r="P81" s="98">
        <f>L81*3+M81</f>
        <v>4</v>
      </c>
      <c r="AD81" s="123">
        <f t="shared" ref="AD81:AD91" si="38">COUNTIF($AP$80:$AP$91,CONCATENATE("&gt;=",AP81))</f>
        <v>11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-3</v>
      </c>
      <c r="AM81" s="123">
        <f t="shared" ref="AM81:AM91" si="44">AL81-$AL$92</f>
        <v>1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2200.00072748</v>
      </c>
      <c r="AQ81" s="126">
        <f t="shared" si="37"/>
        <v>1454.96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Qatar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Senegal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4 - 5</v>
      </c>
      <c r="P82" s="101">
        <f t="shared" ref="P82:P92" si="48">L82*3+M82</f>
        <v>4</v>
      </c>
      <c r="AD82" s="123">
        <f t="shared" si="38"/>
        <v>3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3</v>
      </c>
      <c r="AK82" s="123" t="s">
        <v>3182</v>
      </c>
      <c r="AL82" s="123">
        <f t="shared" si="43"/>
        <v>1</v>
      </c>
      <c r="AM82" s="123">
        <f t="shared" si="44"/>
        <v>5</v>
      </c>
      <c r="AN82" s="123">
        <f t="shared" si="45"/>
        <v>3</v>
      </c>
      <c r="AP82" s="123">
        <f>AN82/AN92*10000+AM82/AM92*1000+AI82/AI92*100+IF(AQ82=0,ROW(),AQ82)/2000000</f>
        <v>6900.0007491750002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Ⓒ Scotland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4 - 3</v>
      </c>
      <c r="P83" s="101">
        <f t="shared" si="48"/>
        <v>3</v>
      </c>
      <c r="AD83" s="123">
        <f t="shared" si="38"/>
        <v>4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5</v>
      </c>
      <c r="AJ83" s="123">
        <f t="shared" si="42"/>
        <v>5</v>
      </c>
      <c r="AK83" s="123" t="s">
        <v>3184</v>
      </c>
      <c r="AL83" s="123">
        <f t="shared" si="43"/>
        <v>0</v>
      </c>
      <c r="AM83" s="123">
        <f t="shared" si="44"/>
        <v>4</v>
      </c>
      <c r="AN83" s="123">
        <f t="shared" si="45"/>
        <v>3</v>
      </c>
      <c r="AP83" s="123">
        <f>AN83/AN92*10000+AM83/AM92*1000+AI83/AI92*100+IF(AQ83=0,ROW(),AQ83)/2000000</f>
        <v>6750.0007517499998</v>
      </c>
      <c r="AQ83" s="126">
        <f t="shared" si="37"/>
        <v>1503.5</v>
      </c>
      <c r="AR83" s="125" t="str">
        <f t="shared" si="50"/>
        <v>ACD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Ⓓ Paraguay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5 - 5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12</v>
      </c>
      <c r="AE84" s="124" t="str">
        <f>J35</f>
        <v>Ivory Coast</v>
      </c>
      <c r="AF84" s="123">
        <f t="shared" si="39"/>
        <v>0</v>
      </c>
      <c r="AG84" s="123">
        <f t="shared" si="49"/>
        <v>1</v>
      </c>
      <c r="AH84" s="123">
        <f t="shared" si="40"/>
        <v>2</v>
      </c>
      <c r="AI84" s="123">
        <f t="shared" si="41"/>
        <v>2</v>
      </c>
      <c r="AJ84" s="123">
        <f t="shared" si="42"/>
        <v>6</v>
      </c>
      <c r="AK84" s="123" t="s">
        <v>3185</v>
      </c>
      <c r="AL84" s="123">
        <f t="shared" si="43"/>
        <v>-4</v>
      </c>
      <c r="AM84" s="123">
        <f t="shared" si="44"/>
        <v>0</v>
      </c>
      <c r="AN84" s="123">
        <f t="shared" si="45"/>
        <v>1</v>
      </c>
      <c r="AP84" s="123">
        <f>AN84/AN92*10000+AM84/AM92*1000+AI84/AI92*100+IF(AQ84=0,ROW(),AQ84)/2000000</f>
        <v>2033.3340998233332</v>
      </c>
      <c r="AQ84" s="126">
        <f t="shared" si="37"/>
        <v>1532.98</v>
      </c>
      <c r="AR84" s="125" t="str">
        <f t="shared" si="50"/>
        <v>ACD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Ⓕ Sweden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5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4</v>
      </c>
      <c r="AJ85" s="123">
        <f t="shared" si="42"/>
        <v>4</v>
      </c>
      <c r="AK85" s="123" t="s">
        <v>3186</v>
      </c>
      <c r="AL85" s="123">
        <f t="shared" si="43"/>
        <v>0</v>
      </c>
      <c r="AM85" s="123">
        <f t="shared" si="44"/>
        <v>4</v>
      </c>
      <c r="AN85" s="123">
        <f t="shared" si="45"/>
        <v>3</v>
      </c>
      <c r="AP85" s="123">
        <f>AN85/AN92*10000+AM85/AM92*1000+AI85/AI92*100+IF(AQ85=0,ROW(),AQ85)/2000000</f>
        <v>6733.3340907183338</v>
      </c>
      <c r="AQ85" s="126">
        <f t="shared" si="37"/>
        <v>1514.77</v>
      </c>
      <c r="AR85" s="125" t="str">
        <f t="shared" si="50"/>
        <v>ACDF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Ⓐ South Africa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8</v>
      </c>
      <c r="AE86" s="124" t="str">
        <f>J47</f>
        <v>New Zealand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2</v>
      </c>
      <c r="AJ86" s="123">
        <f t="shared" si="42"/>
        <v>4</v>
      </c>
      <c r="AK86" s="123" t="s">
        <v>3187</v>
      </c>
      <c r="AL86" s="123">
        <f t="shared" si="43"/>
        <v>-2</v>
      </c>
      <c r="AM86" s="123">
        <f t="shared" si="44"/>
        <v>2</v>
      </c>
      <c r="AN86" s="123">
        <f t="shared" si="45"/>
        <v>2</v>
      </c>
      <c r="AP86" s="123">
        <f>AN86/AN92*10000+AM86/AM92*1000+AI86/AI92*100+IF(AQ86=0,ROW(),AQ86)/2000000</f>
        <v>4366.6673074516657</v>
      </c>
      <c r="AQ86" s="126">
        <f t="shared" si="37"/>
        <v>1281.57</v>
      </c>
      <c r="AR86" s="125" t="str">
        <f t="shared" si="50"/>
        <v>ACDFG</v>
      </c>
      <c r="AS86" s="129" t="str">
        <f t="shared" si="46"/>
        <v>New Zealand</v>
      </c>
      <c r="AT86" s="130" t="str">
        <f>"Ⓖ "&amp;AE86</f>
        <v>Ⓖ New Zealand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Ⓗ Saudi Arabia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7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5</v>
      </c>
      <c r="AK87" s="123" t="s">
        <v>3188</v>
      </c>
      <c r="AL87" s="123">
        <f t="shared" si="43"/>
        <v>-2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6383.3340440483335</v>
      </c>
      <c r="AQ87" s="126">
        <f t="shared" si="37"/>
        <v>1421.43</v>
      </c>
      <c r="AR87" s="125" t="str">
        <f t="shared" si="50"/>
        <v>ACDFGH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Ⓖ New Zealand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2 - 4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2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5</v>
      </c>
      <c r="AK88" s="123" t="s">
        <v>3189</v>
      </c>
      <c r="AL88" s="123">
        <f t="shared" si="43"/>
        <v>-1</v>
      </c>
      <c r="AM88" s="123">
        <f t="shared" si="44"/>
        <v>3</v>
      </c>
      <c r="AN88" s="123">
        <f t="shared" si="45"/>
        <v>4</v>
      </c>
      <c r="AP88" s="123">
        <f>AN88/AN92*10000+AM88/AM92*1000+AI88/AI92*100+IF(AQ88=0,ROW(),AQ88)/2000000</f>
        <v>8566.667511161666</v>
      </c>
      <c r="AQ88" s="126">
        <f t="shared" si="37"/>
        <v>1688.99</v>
      </c>
      <c r="AR88" s="125" t="str">
        <f t="shared" si="50"/>
        <v>ACDFGHI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Ⓛ Panama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3 - 6</v>
      </c>
      <c r="P89" s="104">
        <f t="shared" si="48"/>
        <v>1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3</v>
      </c>
      <c r="AJ89" s="123">
        <f t="shared" si="42"/>
        <v>3</v>
      </c>
      <c r="AK89" s="123" t="s">
        <v>3190</v>
      </c>
      <c r="AL89" s="123">
        <f t="shared" si="43"/>
        <v>0</v>
      </c>
      <c r="AM89" s="123">
        <f t="shared" si="44"/>
        <v>4</v>
      </c>
      <c r="AN89" s="123">
        <f t="shared" si="45"/>
        <v>4</v>
      </c>
      <c r="AP89" s="123">
        <f>AN89/AN92*10000+AM89/AM92*1000+AI89/AI92*100+IF(AQ89=0,ROW(),AQ89)/2000000</f>
        <v>8716.6674487966666</v>
      </c>
      <c r="AQ89" s="126">
        <f t="shared" si="37"/>
        <v>1564.26</v>
      </c>
      <c r="AR89" s="125" t="str">
        <f t="shared" si="50"/>
        <v>ACDFGHIJ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Uzbekistan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2 - 5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10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5</v>
      </c>
      <c r="AK90" s="123" t="s">
        <v>3191</v>
      </c>
      <c r="AL90" s="123">
        <f t="shared" si="43"/>
        <v>-3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2200.0007326700002</v>
      </c>
      <c r="AQ90" s="126">
        <f t="shared" si="37"/>
        <v>1465.34</v>
      </c>
      <c r="AR90" s="125" t="str">
        <f t="shared" si="50"/>
        <v>ACDFGHIJ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Ⓑ Qatar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9</v>
      </c>
      <c r="AE91" s="124" t="str">
        <f>J77</f>
        <v>Panama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6</v>
      </c>
      <c r="AK91" s="123" t="s">
        <v>3192</v>
      </c>
      <c r="AL91" s="123">
        <f>VLOOKUP($AE91,$AE$8:$AQ$78,8,FALSE)</f>
        <v>-3</v>
      </c>
      <c r="AM91" s="123">
        <f t="shared" si="44"/>
        <v>1</v>
      </c>
      <c r="AN91" s="123">
        <f>VLOOKUP($AE91,$AE$8:$AQ$78,10,FALSE)</f>
        <v>1</v>
      </c>
      <c r="AP91" s="123">
        <f>AN91/AN92*10000+AM91/AM92*1000+AI91/AI92*100+IF(AQ91=0,ROW(),AQ91)/2000000</f>
        <v>2216.6674369866664</v>
      </c>
      <c r="AQ91" s="126">
        <f t="shared" si="37"/>
        <v>1540.64</v>
      </c>
      <c r="AR91" s="125" t="str">
        <f t="shared" si="50"/>
        <v>ACDFGHIJ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Ⓔ Ivory Coast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2 - 6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7</v>
      </c>
      <c r="AL92" s="123">
        <f>MIN(AL80:AL91)</f>
        <v>-4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250</v>
      </c>
      <c r="C3" s="121" t="str">
        <f>'2026 World Cup'!AR91</f>
        <v>ACDFGHIJ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3J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3D</v>
      </c>
      <c r="K3" s="122" t="str">
        <f>VLOOKUP($C3,$C$6:$K$500,9,FALSE)</f>
        <v>3I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Metadata/LabelInfo.xml><?xml version="1.0" encoding="utf-8"?>
<clbl:labelList xmlns:clbl="http://schemas.microsoft.com/office/2020/mipLabelMetadata">
  <clbl:label id="{f743b317-4758-44cb-8b65-8b43e4619766}" enabled="1" method="Standard" siteId="{fdfed7bd-9f6a-44a1-b694-6e39c468c1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VQYG (Vicente Serrano Gil)</cp:lastModifiedBy>
  <cp:revision/>
  <dcterms:created xsi:type="dcterms:W3CDTF">2017-12-27T19:32:51Z</dcterms:created>
  <dcterms:modified xsi:type="dcterms:W3CDTF">2026-06-07T14:27:09Z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