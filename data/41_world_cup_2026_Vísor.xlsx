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delgadoc\Downloads\"/>
    </mc:Choice>
  </mc:AlternateContent>
  <xr:revisionPtr revIDLastSave="0" documentId="8_{579B1263-33EC-4342-8A9C-176C11F23E45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3" i="3"/>
  <c r="S72" i="3"/>
  <c r="T19" i="3"/>
  <c r="T46" i="3"/>
  <c r="S70" i="3"/>
  <c r="S42" i="3"/>
  <c r="S64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3" i="3"/>
  <c r="AR34" i="3"/>
  <c r="AR35" i="3"/>
  <c r="AR28" i="3"/>
  <c r="AR21" i="3"/>
  <c r="AR22" i="3"/>
  <c r="AR10" i="3"/>
  <c r="AR11" i="3"/>
  <c r="AR9" i="3"/>
  <c r="AD9" i="3" s="1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M58" i="3" s="1"/>
  <c r="AR16" i="3"/>
  <c r="AR17" i="3"/>
  <c r="AD59" i="3"/>
  <c r="AD27" i="3" l="1"/>
  <c r="AD75" i="3"/>
  <c r="AD53" i="3"/>
  <c r="AD77" i="3"/>
  <c r="AD33" i="3"/>
  <c r="AD32" i="3"/>
  <c r="AD35" i="3"/>
  <c r="AD10" i="3"/>
  <c r="AD34" i="3"/>
  <c r="AD11" i="3"/>
  <c r="L58" i="3"/>
  <c r="P58" i="3" s="1"/>
  <c r="AD70" i="3"/>
  <c r="O60" i="3"/>
  <c r="AD8" i="3"/>
  <c r="AD62" i="3"/>
  <c r="M63" i="3" s="1"/>
  <c r="AD44" i="3"/>
  <c r="M59" i="3"/>
  <c r="L59" i="3"/>
  <c r="N58" i="3"/>
  <c r="AD15" i="3"/>
  <c r="AD28" i="3"/>
  <c r="AD41" i="3"/>
  <c r="AD29" i="3"/>
  <c r="AD71" i="3"/>
  <c r="AD47" i="3"/>
  <c r="AD63" i="3"/>
  <c r="AD68" i="3"/>
  <c r="L69" i="3" s="1"/>
  <c r="AD20" i="3"/>
  <c r="AD21" i="3"/>
  <c r="AD76" i="3"/>
  <c r="AD26" i="3"/>
  <c r="AD14" i="3"/>
  <c r="J16" i="3" s="1"/>
  <c r="AS15" i="3" s="1"/>
  <c r="BL19" i="3" s="1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L12" i="3" l="1"/>
  <c r="N76" i="3"/>
  <c r="M45" i="3"/>
  <c r="L51" i="3"/>
  <c r="L39" i="3"/>
  <c r="L33" i="3"/>
  <c r="N33" i="3"/>
  <c r="J33" i="3"/>
  <c r="AS32" i="3" s="1"/>
  <c r="BL10" i="3" s="1"/>
  <c r="O36" i="3"/>
  <c r="O34" i="3"/>
  <c r="L36" i="3"/>
  <c r="M35" i="3"/>
  <c r="N36" i="3"/>
  <c r="M34" i="3"/>
  <c r="J36" i="3"/>
  <c r="M36" i="3"/>
  <c r="O35" i="3"/>
  <c r="N35" i="3"/>
  <c r="M33" i="3"/>
  <c r="O33" i="3"/>
  <c r="N34" i="3"/>
  <c r="L27" i="3"/>
  <c r="O9" i="3"/>
  <c r="N12" i="3"/>
  <c r="N9" i="3"/>
  <c r="N21" i="3"/>
  <c r="L34" i="3"/>
  <c r="J69" i="3"/>
  <c r="AS68" i="3" s="1"/>
  <c r="BL70" i="3" s="1"/>
  <c r="J35" i="3"/>
  <c r="AE84" i="3" s="1"/>
  <c r="AQ84" i="3" s="1"/>
  <c r="L35" i="3"/>
  <c r="J34" i="3"/>
  <c r="AS33" i="3" s="1"/>
  <c r="BL46" i="3" s="1"/>
  <c r="K58" i="3"/>
  <c r="M9" i="3"/>
  <c r="N47" i="3"/>
  <c r="O12" i="3"/>
  <c r="P59" i="3"/>
  <c r="J63" i="3"/>
  <c r="AS62" i="3" s="1"/>
  <c r="BL58" i="3" s="1"/>
  <c r="BS60" i="3" s="1"/>
  <c r="BZ64" i="3" s="1"/>
  <c r="O65" i="3"/>
  <c r="N11" i="3"/>
  <c r="L63" i="3"/>
  <c r="P63" i="3" s="1"/>
  <c r="L10" i="3"/>
  <c r="L72" i="3"/>
  <c r="O69" i="3"/>
  <c r="O45" i="3"/>
  <c r="O11" i="3"/>
  <c r="N29" i="3"/>
  <c r="L45" i="3"/>
  <c r="L11" i="3"/>
  <c r="O51" i="3"/>
  <c r="O10" i="3"/>
  <c r="J12" i="3"/>
  <c r="J11" i="3"/>
  <c r="AE80" i="3" s="1"/>
  <c r="AQ80" i="3" s="1"/>
  <c r="N10" i="3"/>
  <c r="M10" i="3"/>
  <c r="M46" i="3"/>
  <c r="N45" i="3"/>
  <c r="L30" i="3"/>
  <c r="M65" i="3"/>
  <c r="J45" i="3"/>
  <c r="AS44" i="3" s="1"/>
  <c r="BL38" i="3" s="1"/>
  <c r="M27" i="3"/>
  <c r="L9" i="3"/>
  <c r="N65" i="3"/>
  <c r="AT88" i="3"/>
  <c r="J47" i="3"/>
  <c r="AE86" i="3" s="1"/>
  <c r="AQ86" i="3" s="1"/>
  <c r="J9" i="3"/>
  <c r="AS8" i="3" s="1"/>
  <c r="BL50" i="3" s="1"/>
  <c r="K59" i="3"/>
  <c r="O47" i="3"/>
  <c r="N30" i="3"/>
  <c r="O63" i="3"/>
  <c r="N63" i="3"/>
  <c r="J10" i="3"/>
  <c r="AS9" i="3" s="1"/>
  <c r="BL18" i="3" s="1"/>
  <c r="M12" i="3"/>
  <c r="M11" i="3"/>
  <c r="J51" i="3"/>
  <c r="AS50" i="3" s="1"/>
  <c r="BL30" i="3" s="1"/>
  <c r="O17" i="3"/>
  <c r="L29" i="3"/>
  <c r="N51" i="3"/>
  <c r="L54" i="3"/>
  <c r="N52" i="3"/>
  <c r="M66" i="3"/>
  <c r="J48" i="3"/>
  <c r="N54" i="3"/>
  <c r="J46" i="3"/>
  <c r="AS45" i="3" s="1"/>
  <c r="BL63" i="3" s="1"/>
  <c r="O29" i="3"/>
  <c r="L66" i="3"/>
  <c r="O77" i="3"/>
  <c r="L18" i="3"/>
  <c r="L77" i="3"/>
  <c r="M75" i="3"/>
  <c r="M16" i="3"/>
  <c r="O22" i="3"/>
  <c r="N48" i="3"/>
  <c r="J75" i="3"/>
  <c r="AS74" i="3" s="1"/>
  <c r="BL54" i="3" s="1"/>
  <c r="AN88" i="3"/>
  <c r="J52" i="3"/>
  <c r="AS51" i="3" s="1"/>
  <c r="BL59" i="3" s="1"/>
  <c r="AJ88" i="3"/>
  <c r="L17" i="3"/>
  <c r="O66" i="3"/>
  <c r="N69" i="3"/>
  <c r="O21" i="3"/>
  <c r="N66" i="3"/>
  <c r="M22" i="3"/>
  <c r="L21" i="3"/>
  <c r="M72" i="3"/>
  <c r="J65" i="3"/>
  <c r="AE89" i="3" s="1"/>
  <c r="AQ89" i="3" s="1"/>
  <c r="L64" i="3"/>
  <c r="M51" i="3"/>
  <c r="O40" i="3"/>
  <c r="J22" i="3"/>
  <c r="AS21" i="3" s="1"/>
  <c r="BL23" i="3" s="1"/>
  <c r="N53" i="3"/>
  <c r="O24" i="3"/>
  <c r="L22" i="3"/>
  <c r="M69" i="3"/>
  <c r="P69" i="3" s="1"/>
  <c r="L65" i="3"/>
  <c r="O64" i="3"/>
  <c r="N64" i="3"/>
  <c r="M64" i="3"/>
  <c r="J21" i="3"/>
  <c r="AS20" i="3" s="1"/>
  <c r="BL42" i="3" s="1"/>
  <c r="BS44" i="3" s="1"/>
  <c r="P57" i="3"/>
  <c r="J66" i="3"/>
  <c r="J24" i="3"/>
  <c r="J64" i="3"/>
  <c r="AS63" i="3" s="1"/>
  <c r="BL31" i="3" s="1"/>
  <c r="M21" i="3"/>
  <c r="N22" i="3"/>
  <c r="M71" i="3"/>
  <c r="M78" i="3"/>
  <c r="J70" i="3"/>
  <c r="AS69" i="3" s="1"/>
  <c r="BL26" i="3" s="1"/>
  <c r="N70" i="3"/>
  <c r="M54" i="3"/>
  <c r="M39" i="3"/>
  <c r="O30" i="3"/>
  <c r="J27" i="3"/>
  <c r="AS26" i="3" s="1"/>
  <c r="BL34" i="3" s="1"/>
  <c r="N24" i="3"/>
  <c r="L16" i="3"/>
  <c r="AI88" i="3"/>
  <c r="N18" i="3"/>
  <c r="L15" i="3"/>
  <c r="L75" i="3"/>
  <c r="L71" i="3"/>
  <c r="O48" i="3"/>
  <c r="J41" i="3"/>
  <c r="AE85" i="3" s="1"/>
  <c r="AQ85" i="3" s="1"/>
  <c r="N78" i="3"/>
  <c r="M70" i="3"/>
  <c r="L48" i="3"/>
  <c r="L46" i="3"/>
  <c r="O42" i="3"/>
  <c r="M28" i="3"/>
  <c r="J28" i="3"/>
  <c r="AS27" i="3" s="1"/>
  <c r="BL62" i="3" s="1"/>
  <c r="BS61" i="3" s="1"/>
  <c r="M24" i="3"/>
  <c r="J18" i="3"/>
  <c r="AG88" i="3"/>
  <c r="K57" i="3"/>
  <c r="N75" i="3"/>
  <c r="J39" i="3"/>
  <c r="AS38" i="3" s="1"/>
  <c r="BL22" i="3" s="1"/>
  <c r="O76" i="3"/>
  <c r="J40" i="3"/>
  <c r="AS39" i="3" s="1"/>
  <c r="BL43" i="3" s="1"/>
  <c r="O78" i="3"/>
  <c r="N40" i="3"/>
  <c r="N28" i="3"/>
  <c r="M29" i="3"/>
  <c r="P29" i="3" s="1"/>
  <c r="O18" i="3"/>
  <c r="O70" i="3"/>
  <c r="J71" i="3"/>
  <c r="AE90" i="3" s="1"/>
  <c r="AQ90" i="3" s="1"/>
  <c r="L76" i="3"/>
  <c r="J72" i="3"/>
  <c r="L70" i="3"/>
  <c r="M48" i="3"/>
  <c r="N46" i="3"/>
  <c r="L40" i="3"/>
  <c r="M30" i="3"/>
  <c r="J29" i="3"/>
  <c r="AE83" i="3" s="1"/>
  <c r="AQ83" i="3" s="1"/>
  <c r="L24" i="3"/>
  <c r="O16" i="3"/>
  <c r="AF88" i="3"/>
  <c r="N17" i="3"/>
  <c r="O71" i="3"/>
  <c r="J76" i="3"/>
  <c r="AS75" i="3" s="1"/>
  <c r="BL27" i="3" s="1"/>
  <c r="O75" i="3"/>
  <c r="O72" i="3"/>
  <c r="N39" i="3"/>
  <c r="N71" i="3"/>
  <c r="M42" i="3"/>
  <c r="O23" i="3"/>
  <c r="M18" i="3"/>
  <c r="M41" i="3"/>
  <c r="L78" i="3"/>
  <c r="O46" i="3"/>
  <c r="O39" i="3"/>
  <c r="J42" i="3"/>
  <c r="O27" i="3"/>
  <c r="N27" i="3"/>
  <c r="M17" i="3"/>
  <c r="N77" i="3"/>
  <c r="M76" i="3"/>
  <c r="M47" i="3"/>
  <c r="L47" i="3"/>
  <c r="M40" i="3"/>
  <c r="O28" i="3"/>
  <c r="J30" i="3"/>
  <c r="N16" i="3"/>
  <c r="M77" i="3"/>
  <c r="J78" i="3"/>
  <c r="N72" i="3"/>
  <c r="L42" i="3"/>
  <c r="L28" i="3"/>
  <c r="J77" i="3"/>
  <c r="AE91" i="3" s="1"/>
  <c r="AQ91" i="3" s="1"/>
  <c r="O54" i="3"/>
  <c r="L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12" i="3" l="1"/>
  <c r="P39" i="3"/>
  <c r="P33" i="3"/>
  <c r="P34" i="3"/>
  <c r="K33" i="3"/>
  <c r="K36" i="3"/>
  <c r="K34" i="3"/>
  <c r="P35" i="3"/>
  <c r="P36" i="3"/>
  <c r="P27" i="3"/>
  <c r="AF80" i="3"/>
  <c r="AT84" i="3"/>
  <c r="K35" i="3"/>
  <c r="AN84" i="3"/>
  <c r="AH80" i="3"/>
  <c r="P72" i="3"/>
  <c r="AJ84" i="3"/>
  <c r="AL84" i="3"/>
  <c r="P9" i="3"/>
  <c r="AH84" i="3"/>
  <c r="AF84" i="3"/>
  <c r="K45" i="3"/>
  <c r="AL90" i="3"/>
  <c r="P10" i="3"/>
  <c r="AH83" i="3"/>
  <c r="AI84" i="3"/>
  <c r="AG84" i="3"/>
  <c r="K18" i="3"/>
  <c r="AL80" i="3"/>
  <c r="AJ80" i="3"/>
  <c r="AI80" i="3"/>
  <c r="AF86" i="3"/>
  <c r="AG80" i="3"/>
  <c r="AT90" i="3"/>
  <c r="P75" i="3"/>
  <c r="K10" i="3"/>
  <c r="AT80" i="3"/>
  <c r="AH86" i="3"/>
  <c r="K63" i="3"/>
  <c r="AG86" i="3"/>
  <c r="P45" i="3"/>
  <c r="K9" i="3"/>
  <c r="AN80" i="3"/>
  <c r="P11" i="3"/>
  <c r="K12" i="3"/>
  <c r="AJ90" i="3"/>
  <c r="K65" i="3"/>
  <c r="AI90" i="3"/>
  <c r="AG85" i="3"/>
  <c r="P47" i="3"/>
  <c r="P21" i="3"/>
  <c r="K30" i="3"/>
  <c r="P46" i="3"/>
  <c r="K17" i="3"/>
  <c r="P66" i="3"/>
  <c r="P28" i="3"/>
  <c r="K11" i="3"/>
  <c r="AT86" i="3"/>
  <c r="K27" i="3"/>
  <c r="K51" i="3"/>
  <c r="P17" i="3"/>
  <c r="AN86" i="3"/>
  <c r="P64" i="3"/>
  <c r="P22" i="3"/>
  <c r="K21" i="3"/>
  <c r="P77" i="3"/>
  <c r="K75" i="3"/>
  <c r="P54" i="3"/>
  <c r="K15" i="3"/>
  <c r="AL86" i="3"/>
  <c r="AJ86" i="3"/>
  <c r="AN90" i="3"/>
  <c r="K66" i="3"/>
  <c r="P65" i="3"/>
  <c r="AI83" i="3"/>
  <c r="AI86" i="3"/>
  <c r="P71" i="3"/>
  <c r="P41" i="3"/>
  <c r="AH85" i="3"/>
  <c r="AT87" i="3"/>
  <c r="K41" i="3"/>
  <c r="AN87" i="3"/>
  <c r="AT89" i="3"/>
  <c r="AF82" i="3"/>
  <c r="AT85" i="3"/>
  <c r="K54" i="3"/>
  <c r="AI89" i="3"/>
  <c r="P53" i="3"/>
  <c r="AF85" i="3"/>
  <c r="P78" i="3"/>
  <c r="AT82" i="3"/>
  <c r="AL89" i="3"/>
  <c r="P24" i="3"/>
  <c r="K69" i="3"/>
  <c r="P15" i="3"/>
  <c r="P76" i="3"/>
  <c r="P42" i="3"/>
  <c r="P16" i="3"/>
  <c r="K78" i="3"/>
  <c r="AJ87" i="3"/>
  <c r="AL85" i="3"/>
  <c r="K71" i="3"/>
  <c r="AN82" i="3"/>
  <c r="AJ89" i="3"/>
  <c r="AN85" i="3"/>
  <c r="K22" i="3"/>
  <c r="AJ85" i="3"/>
  <c r="K48" i="3"/>
  <c r="AL87" i="3"/>
  <c r="AN89" i="3"/>
  <c r="AG87" i="3"/>
  <c r="P23" i="3"/>
  <c r="AI85" i="3"/>
  <c r="K72" i="3"/>
  <c r="P70" i="3"/>
  <c r="K16" i="3"/>
  <c r="AH89" i="3"/>
  <c r="AI82" i="3"/>
  <c r="AG89" i="3"/>
  <c r="K40" i="3"/>
  <c r="K42" i="3"/>
  <c r="AJ82" i="3"/>
  <c r="K64" i="3"/>
  <c r="K77" i="3"/>
  <c r="AH82" i="3"/>
  <c r="K39" i="3"/>
  <c r="P51" i="3"/>
  <c r="AF89" i="3"/>
  <c r="P52" i="3"/>
  <c r="K47" i="3"/>
  <c r="AH90" i="3"/>
  <c r="AL91" i="3"/>
  <c r="AL81" i="3"/>
  <c r="P40" i="3"/>
  <c r="K46" i="3"/>
  <c r="AH87" i="3"/>
  <c r="K70" i="3"/>
  <c r="AG90" i="3"/>
  <c r="AJ91" i="3"/>
  <c r="AG83" i="3"/>
  <c r="AF83" i="3"/>
  <c r="AN81" i="3"/>
  <c r="P18" i="3"/>
  <c r="K29" i="3"/>
  <c r="AJ81" i="3"/>
  <c r="AF90" i="3"/>
  <c r="AI91" i="3"/>
  <c r="K23" i="3"/>
  <c r="AI81" i="3"/>
  <c r="AT83" i="3"/>
  <c r="K28" i="3"/>
  <c r="AF87" i="3"/>
  <c r="AH91" i="3"/>
  <c r="AN83" i="3"/>
  <c r="AT81" i="3"/>
  <c r="K24" i="3"/>
  <c r="K53" i="3"/>
  <c r="AT91" i="3"/>
  <c r="AN91" i="3"/>
  <c r="AH81" i="3"/>
  <c r="K76" i="3"/>
  <c r="AG91" i="3"/>
  <c r="AG81" i="3"/>
  <c r="AL83" i="3"/>
  <c r="P30" i="3"/>
  <c r="P48" i="3"/>
  <c r="AF91" i="3"/>
  <c r="AF81" i="3"/>
  <c r="AG82" i="3"/>
  <c r="AJ83" i="3"/>
  <c r="AL82" i="3"/>
  <c r="AI87" i="3"/>
  <c r="K52" i="3"/>
  <c r="AN92" i="3" l="1"/>
  <c r="AJ92" i="3"/>
  <c r="AI92" i="3"/>
  <c r="AH92" i="3"/>
  <c r="AF92" i="3"/>
  <c r="AG92" i="3"/>
  <c r="AS92" i="3"/>
  <c r="AL92" i="3"/>
  <c r="AM88" i="3" s="1"/>
  <c r="AM85" i="3" l="1"/>
  <c r="AM86" i="3"/>
  <c r="AM81" i="3"/>
  <c r="AM80" i="3"/>
  <c r="AM90" i="3"/>
  <c r="AM82" i="3"/>
  <c r="AM91" i="3"/>
  <c r="AM84" i="3"/>
  <c r="AM87" i="3"/>
  <c r="AM89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4" i="3" l="1"/>
  <c r="AP81" i="3"/>
  <c r="AP80" i="3"/>
  <c r="AP85" i="3"/>
  <c r="AP91" i="3"/>
  <c r="AP83" i="3"/>
  <c r="AP82" i="3"/>
  <c r="AP88" i="3"/>
  <c r="AP90" i="3"/>
  <c r="AP89" i="3"/>
  <c r="AP86" i="3"/>
  <c r="AD86" i="3" l="1"/>
  <c r="AS86" i="3" s="1"/>
  <c r="AD89" i="3"/>
  <c r="AS89" i="3" s="1"/>
  <c r="AD87" i="3"/>
  <c r="AS87" i="3" s="1"/>
  <c r="AD83" i="3"/>
  <c r="AS83" i="3" s="1"/>
  <c r="AD85" i="3"/>
  <c r="AS85" i="3" s="1"/>
  <c r="AD91" i="3"/>
  <c r="AS91" i="3" s="1"/>
  <c r="AD80" i="3"/>
  <c r="AD88" i="3"/>
  <c r="AS88" i="3" s="1"/>
  <c r="AD90" i="3"/>
  <c r="AS90" i="3" s="1"/>
  <c r="AD81" i="3"/>
  <c r="AS81" i="3" s="1"/>
  <c r="AD82" i="3"/>
  <c r="AS82" i="3" s="1"/>
  <c r="AD84" i="3"/>
  <c r="AS84" i="3" s="1"/>
  <c r="L81" i="3" l="1"/>
  <c r="AS80" i="3"/>
  <c r="N81" i="3"/>
  <c r="M81" i="3"/>
  <c r="J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O81" i="3"/>
  <c r="N92" i="3"/>
  <c r="M91" i="3"/>
  <c r="O83" i="3"/>
  <c r="N88" i="3"/>
  <c r="N83" i="3"/>
  <c r="O86" i="3"/>
  <c r="O84" i="3"/>
  <c r="L86" i="3"/>
  <c r="O88" i="3"/>
  <c r="O87" i="3"/>
  <c r="N82" i="3"/>
  <c r="O90" i="3"/>
  <c r="J91" i="3"/>
  <c r="J92" i="3"/>
  <c r="J83" i="3"/>
  <c r="J89" i="3"/>
  <c r="M92" i="3"/>
  <c r="N86" i="3"/>
  <c r="M86" i="3"/>
  <c r="O92" i="3"/>
  <c r="L91" i="3"/>
  <c r="J84" i="3"/>
  <c r="L87" i="3"/>
  <c r="J86" i="3"/>
  <c r="M82" i="3"/>
  <c r="L82" i="3"/>
  <c r="L84" i="3"/>
  <c r="M90" i="3"/>
  <c r="M88" i="3"/>
  <c r="N90" i="3"/>
  <c r="L92" i="3"/>
  <c r="J90" i="3"/>
  <c r="L90" i="3"/>
  <c r="L83" i="3"/>
  <c r="J85" i="3"/>
  <c r="M89" i="3"/>
  <c r="N89" i="3"/>
  <c r="J87" i="3"/>
  <c r="L89" i="3"/>
  <c r="J82" i="3"/>
  <c r="O89" i="3"/>
  <c r="O91" i="3"/>
  <c r="L88" i="3"/>
  <c r="O85" i="3"/>
  <c r="N85" i="3"/>
  <c r="M84" i="3"/>
  <c r="M87" i="3"/>
  <c r="N91" i="3"/>
  <c r="M85" i="3"/>
  <c r="L85" i="3"/>
  <c r="P85" i="3" s="1"/>
  <c r="M83" i="3"/>
  <c r="O82" i="3"/>
  <c r="N87" i="3"/>
  <c r="J88" i="3"/>
  <c r="N84" i="3"/>
  <c r="P81" i="3" l="1"/>
  <c r="P89" i="3"/>
  <c r="K81" i="3"/>
  <c r="K91" i="3"/>
  <c r="K85" i="3"/>
  <c r="P91" i="3"/>
  <c r="K89" i="3"/>
  <c r="K83" i="3"/>
  <c r="K88" i="3"/>
  <c r="K92" i="3"/>
  <c r="K82" i="3"/>
  <c r="K84" i="3"/>
  <c r="P90" i="3"/>
  <c r="P88" i="3"/>
  <c r="K86" i="3"/>
  <c r="P82" i="3"/>
  <c r="P87" i="3"/>
  <c r="P92" i="3"/>
  <c r="K90" i="3"/>
  <c r="F3" i="4"/>
  <c r="BL35" i="3" s="1"/>
  <c r="H3" i="4"/>
  <c r="BL39" i="3" s="1"/>
  <c r="E3" i="4"/>
  <c r="BL67" i="3" s="1"/>
  <c r="J3" i="4"/>
  <c r="BL71" i="3" s="1"/>
  <c r="K3" i="4"/>
  <c r="BL55" i="3" s="1"/>
  <c r="I3" i="4"/>
  <c r="BL15" i="3" s="1"/>
  <c r="D3" i="4"/>
  <c r="G3" i="4"/>
  <c r="BL11" i="3" s="1"/>
  <c r="P83" i="3"/>
  <c r="P84" i="3"/>
  <c r="P86" i="3"/>
  <c r="K87" i="3"/>
  <c r="B3" i="4"/>
  <c r="BS53" i="3"/>
  <c r="BS52" i="3"/>
  <c r="BZ49" i="3" s="1"/>
  <c r="CG55" i="3" s="1"/>
  <c r="BL51" i="3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<sst xmlns="http://schemas.openxmlformats.org/spreadsheetml/2006/main" count="9785" uniqueCount="3699">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</sst>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22" zoomScaleNormal="100" workbookViewId="0">
      <selection activeCell="CP28" sqref="CP2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4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90000008.834173843</v>
      </c>
      <c r="AQ8" s="126">
        <f>VLOOKUP(AE8,db_fifarank,2,FALSE)</f>
        <v>1681.03</v>
      </c>
      <c r="AR8" s="125">
        <f>AP8/AP12</f>
        <v>0.99999998888889008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0</v>
      </c>
      <c r="W9" s="123">
        <f t="shared" si="4"/>
        <v>0</v>
      </c>
      <c r="X9" s="123">
        <f t="shared" si="9"/>
        <v>1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1</v>
      </c>
      <c r="AJ9" s="123">
        <f>SUMIF($E$7:$E$78,$AE9,$G$7:$G$78) + SUMIF($H$7:$H$78,$AE9,$F$7:$F$78)</f>
        <v>2</v>
      </c>
      <c r="AL9" s="123">
        <f>AI9-AJ9</f>
        <v>-1</v>
      </c>
      <c r="AM9" s="123">
        <f>AL9-AL12</f>
        <v>0</v>
      </c>
      <c r="AN9" s="123">
        <f>AF9*3+AG9</f>
        <v>2</v>
      </c>
      <c r="AO9" s="123">
        <f>AN9/AN12*10+BA9</f>
        <v>2.9804878048780488</v>
      </c>
      <c r="AP9" s="123">
        <f>AO9*10000000+BI9*100+AM9/AM12*10+AI9/AI12*1++IF(AQ9=0,ROW(),AQ9)/2000000</f>
        <v>29804976.255377706</v>
      </c>
      <c r="AQ9" s="126">
        <f>VLOOKUP(AE9,db_fifarank,2,FALSE)</f>
        <v>1429.73</v>
      </c>
      <c r="AR9" s="125">
        <f>AP9/AP12</f>
        <v>0.33116636665144539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2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66.999999999999986</v>
      </c>
      <c r="BA9" s="126">
        <f>AZ9/AZ12</f>
        <v>0.98048780487804865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</v>
      </c>
      <c r="BI9" s="126">
        <f>BH9/BH12</f>
        <v>0.98039215686274506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0</v>
      </c>
      <c r="M10" s="23">
        <f>VLOOKUP(2,AD8:AN11,4,FALSE)</f>
        <v>2</v>
      </c>
      <c r="N10" s="23">
        <f>VLOOKUP(2,AD8:AN11,5,FALSE)</f>
        <v>1</v>
      </c>
      <c r="O10" s="23" t="str">
        <f>VLOOKUP(2,AD8:AN11,6,FALSE) &amp; " - " &amp; VLOOKUP(2,AD8:AN11,7,FALSE)</f>
        <v>3 - 4</v>
      </c>
      <c r="P10" s="34">
        <f>L10*3+M10</f>
        <v>2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0</v>
      </c>
      <c r="AN10" s="123">
        <f>AF10*3+AG10</f>
        <v>2</v>
      </c>
      <c r="AO10" s="123">
        <f>AN10/AN12*10+BA10</f>
        <v>2.9804878048780488</v>
      </c>
      <c r="AP10" s="123">
        <f>AO10*10000000+BI10*100+AM10/AM12*10+AI10/AI12*1++IF(AQ10=0,ROW(),AQ10)/2000000</f>
        <v>29804976.422123834</v>
      </c>
      <c r="AQ10" s="126">
        <f>VLOOKUP(AE10,db_fifarank,2,FALSE)</f>
        <v>1588.66</v>
      </c>
      <c r="AR10" s="125">
        <f>AP10/AP12</f>
        <v>0.33116636850417996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66.999999999999986</v>
      </c>
      <c r="BA10" s="126">
        <f>AZ10/AZ12</f>
        <v>0.98048780487804865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</v>
      </c>
      <c r="BI10" s="126">
        <f>BH10/BH12</f>
        <v>0.98039215686274506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0</v>
      </c>
      <c r="AN11" s="123">
        <f>AF11*3+AG11</f>
        <v>2</v>
      </c>
      <c r="AO11" s="123">
        <f>AN11/AN12*10+BA11</f>
        <v>2.9853658536585366</v>
      </c>
      <c r="AP11" s="123">
        <f>AO11*10000000+BI11*100+AM11/AM12*10+AI11/AI12*1++IF(AQ11=0,ROW(),AQ11)/2000000</f>
        <v>29853659.037336055</v>
      </c>
      <c r="AQ11" s="126">
        <f>VLOOKUP(AE11,db_fifarank,2,FALSE)</f>
        <v>1501.38</v>
      </c>
      <c r="AR11" s="125">
        <f>AP11/AP12</f>
        <v>0.33170728639187708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1 - 2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2</v>
      </c>
      <c r="AI12" s="123">
        <f>MAX(AI8:AI11)+1</f>
        <v>6</v>
      </c>
      <c r="AL12" s="123">
        <f>MIN(AL8:AL11)</f>
        <v>-1</v>
      </c>
      <c r="AM12" s="123">
        <f>MAX(AM8:AM11)+1</f>
        <v>5</v>
      </c>
      <c r="AN12" s="123">
        <f>MAX(AN8:AN11)+1</f>
        <v>10</v>
      </c>
      <c r="AO12" s="123">
        <f>MAX(AO8:AO11)+1</f>
        <v>10</v>
      </c>
      <c r="AP12" s="123">
        <f>MAX(AP8:AP11)+1</f>
        <v>90000009.834173843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2</v>
      </c>
      <c r="AL14" s="123">
        <f>AI14-AJ14</f>
        <v>0</v>
      </c>
      <c r="AM14" s="123">
        <f>AL14-AL18</f>
        <v>4</v>
      </c>
      <c r="AN14" s="123">
        <f>AF14*3+AG14</f>
        <v>4</v>
      </c>
      <c r="AO14" s="123">
        <f>AN14/AN18*10+BA14</f>
        <v>4.9803921568627452</v>
      </c>
      <c r="AP14" s="123">
        <f>AO14*10000000+BI14*100+AM14/AM18*10+AI14/AI18*1++IF(AQ14=0,ROW(),AQ14)/2000000</f>
        <v>49804024.338780113</v>
      </c>
      <c r="AQ14" s="126">
        <f>VLOOKUP(AE14,db_fifarank,2,FALSE)</f>
        <v>1556.48</v>
      </c>
      <c r="AR14" s="125">
        <f>AP14/AP18</f>
        <v>0.55337798213007083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</v>
      </c>
      <c r="BA14" s="126">
        <f>AZ14/AZ18</f>
        <v>0.98039215686274506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</v>
      </c>
      <c r="BI14" s="126">
        <f>BH14/BH18</f>
        <v>0.98039215686274506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2</v>
      </c>
      <c r="AL15" s="123">
        <f>AI15-AJ15</f>
        <v>0</v>
      </c>
      <c r="AM15" s="123">
        <f>AL15-AL18</f>
        <v>4</v>
      </c>
      <c r="AN15" s="123">
        <f>AF15*3+AG15</f>
        <v>4</v>
      </c>
      <c r="AO15" s="123">
        <f>AN15/AN18*10+BA15</f>
        <v>4.9803921568627452</v>
      </c>
      <c r="AP15" s="123">
        <f>AO15*10000000+BI15*100+AM15/AM18*10+AI15/AI18*1++IF(AQ15=0,ROW(),AQ15)/2000000</f>
        <v>49804024.338694789</v>
      </c>
      <c r="AQ15" s="126">
        <f>VLOOKUP(AE15,db_fifarank,2,FALSE)</f>
        <v>1385.84</v>
      </c>
      <c r="AR15" s="125">
        <f>AP15/AP18</f>
        <v>0.55337798212912281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8.0831101459108391E-12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90000009.746856451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90000010.746856451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1</v>
      </c>
      <c r="BP18" s="112">
        <f>IF(OR(BM18="",BM19="",AND(BN18="",BN19&lt;&gt;""),AND(BN19="",BN18&lt;&gt;""),AND(BO18="",BO19&lt;&gt;""),AND(BO19="",BO18&lt;&gt;"")),"",BM18*1000+BN18*10+BO18)</f>
        <v>1011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>
        <v>2</v>
      </c>
      <c r="BP19" s="113">
        <f>IF(BP18="","",BM19*1000+BN19*10+BO19)</f>
        <v>1012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16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97306559.990064651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15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97306559.201826692</v>
      </c>
      <c r="AQ21" s="126">
        <f>VLOOKUP(AE21,db_fifarank,2,FALSE)</f>
        <v>1755.87</v>
      </c>
      <c r="AR21" s="125">
        <f>AP21/AP24</f>
        <v>0.99999998162263737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6.6373222260515827E-12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37500005.59486682</v>
      </c>
      <c r="AQ23" s="126">
        <f>VLOOKUP(AE23,db_fifarank,2,FALSE)</f>
        <v>1498.35</v>
      </c>
      <c r="AR23" s="125">
        <f>AP23/AP24</f>
        <v>0.38538003206891369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3</v>
      </c>
      <c r="BN23" s="64"/>
      <c r="BO23" s="27"/>
      <c r="BP23" s="112">
        <f>IF(BP22="","",BM23*1000+BN23*10+BO23)</f>
        <v>3000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17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97306560.990064651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6</v>
      </c>
      <c r="AN26" s="123">
        <f>AF26*3+AG26</f>
        <v>5</v>
      </c>
      <c r="AO26" s="123">
        <f>AN26/AN30*10+BA26</f>
        <v>9.3139158576051777</v>
      </c>
      <c r="AP26" s="123">
        <f>AO26*10000000+BI26*100+AM26/AM30*10+AI26/AI30*1++IF(AQ26=0,ROW(),AQ26)/2000000</f>
        <v>93139263.968474105</v>
      </c>
      <c r="AQ26" s="126">
        <f>VLOOKUP(AE26,db_fifarank,2,FALSE)</f>
        <v>1673.13</v>
      </c>
      <c r="AR26" s="125">
        <f>AP26/AP30</f>
        <v>0.99999996361521915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6</v>
      </c>
      <c r="AN27" s="123">
        <f>AF27*3+AG27</f>
        <v>4</v>
      </c>
      <c r="AO27" s="123">
        <f>AN27/AN30*10+BA27</f>
        <v>6.6666666666666661</v>
      </c>
      <c r="AP27" s="123">
        <f>AO27*10000000+BI27*100+AM27/AM30*10+AI27/AI30*1++IF(AQ27=0,ROW(),AQ27)/2000000</f>
        <v>66666674.000751741</v>
      </c>
      <c r="AQ27" s="126">
        <f>VLOOKUP(AE27,db_fifarank,2,FALSE)</f>
        <v>1503.5</v>
      </c>
      <c r="AR27" s="125">
        <f>AP27/AP30</f>
        <v>0.71577408640103524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6</v>
      </c>
      <c r="AL28" s="123">
        <f>AI28-AJ28</f>
        <v>-5</v>
      </c>
      <c r="AM28" s="123">
        <f>AL28-AL30</f>
        <v>0</v>
      </c>
      <c r="AN28" s="123">
        <f>AF28*3+AG28</f>
        <v>1</v>
      </c>
      <c r="AO28" s="123">
        <f>AN28/AN30*10+BA28</f>
        <v>1.6666666666666665</v>
      </c>
      <c r="AP28" s="123">
        <f>AO28*10000000+BI28*100+AM28/AM30*10+AI28/AI30*1++IF(AQ28=0,ROW(),AQ28)/2000000</f>
        <v>16666666.834123667</v>
      </c>
      <c r="AQ28" s="126">
        <f>VLOOKUP(AE28,db_fifarank,2,FALSE)</f>
        <v>1580.67</v>
      </c>
      <c r="AR28" s="125">
        <f>AP28/AP30</f>
        <v>0.17894350371237636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2</v>
      </c>
      <c r="AL29" s="123">
        <f>AI29-AJ29</f>
        <v>3</v>
      </c>
      <c r="AM29" s="123">
        <f>AL29-AL30</f>
        <v>8</v>
      </c>
      <c r="AN29" s="123">
        <f>AF29*3+AG29</f>
        <v>5</v>
      </c>
      <c r="AO29" s="123">
        <f>AN29/AN30*10+BA29</f>
        <v>9.3139158576051777</v>
      </c>
      <c r="AP29" s="123">
        <f>AO29*10000000+BI29*100+AM29/AM30*10+AI29/AI30*1++IF(AQ29=0,ROW(),AQ29)/2000000</f>
        <v>93139266.357325941</v>
      </c>
      <c r="AQ29" s="126">
        <f>VLOOKUP(AE29,db_fifarank,2,FALSE)</f>
        <v>1599.04</v>
      </c>
      <c r="AR29" s="125">
        <f>AP29/AP30</f>
        <v>0.99999998926338984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-5</v>
      </c>
      <c r="AM30" s="123">
        <f>MAX(AM26:AM29)+1</f>
        <v>9</v>
      </c>
      <c r="AN30" s="123">
        <f>MAX(AN26:AN29)+1</f>
        <v>6</v>
      </c>
      <c r="AO30" s="123">
        <f>MAX(AO26:AO29)+1</f>
        <v>10.313915857605178</v>
      </c>
      <c r="AP30" s="123">
        <f>MAX(AP26:AP29)+1</f>
        <v>93139267.357325941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30000004.709099822</v>
      </c>
      <c r="AQ34" s="126">
        <f>VLOOKUP(AE34,db_fifarank,2,FALSE)</f>
        <v>1532.98</v>
      </c>
      <c r="AR34" s="125">
        <f>AP34/AP36</f>
        <v>0.33333334393535191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60000006.806352943</v>
      </c>
      <c r="AQ35" s="126">
        <f>VLOOKUP(AE35,db_fifarank,2,FALSE)</f>
        <v>1594.78</v>
      </c>
      <c r="AR35" s="125">
        <f>AP35/AP36</f>
        <v>0.66666665885018861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Korea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Germany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9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87500009.858021781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>
        <v>1</v>
      </c>
      <c r="BO38" s="25"/>
      <c r="BP38" s="116">
        <f>IF(OR(BM38="",BM39="",AND(BN38="",BN39&lt;&gt;""),AND(BN39="",BN38&lt;&gt;""),AND(BO38="",BO39&lt;&gt;""),AND(BO39="",BO38&lt;&gt;"")),"",BM38*1000+BN38*10+BO38)</f>
        <v>1010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3</v>
      </c>
      <c r="CP38" s="64"/>
      <c r="CQ38" s="27"/>
      <c r="CR38" s="111">
        <f>IF(CR37="","",CO38*1000+CP38*10+CQ38)</f>
        <v>3000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6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50000006.572258793</v>
      </c>
      <c r="AQ39" s="126">
        <f>VLOOKUP(AE39,db_fifarank,2,FALSE)</f>
        <v>1660.43</v>
      </c>
      <c r="AR39" s="125">
        <f>AP39/AP42</f>
        <v>0.57142857563056992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>
        <v>2</v>
      </c>
      <c r="BO39" s="27"/>
      <c r="BP39" s="112">
        <f>IF(BP38="","",BM39*1000+BN39*10+BO39)</f>
        <v>1020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3</v>
      </c>
      <c r="AL40" s="123">
        <f>AI40-AJ40</f>
        <v>3</v>
      </c>
      <c r="AM40" s="123">
        <f>AL40-AL42</f>
        <v>9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62500009.85790024</v>
      </c>
      <c r="AQ40" s="126">
        <f>VLOOKUP(AE40,db_fifarank,2,FALSE)</f>
        <v>1514.77</v>
      </c>
      <c r="AR40" s="125">
        <f>AP40/AP42</f>
        <v>0.71428573831051578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1.6411274290028055E-9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10</v>
      </c>
      <c r="AN42" s="123">
        <f>MAX(AN38:AN41)+1</f>
        <v>8</v>
      </c>
      <c r="AO42" s="123">
        <f>MAX(AO38:AO41)+1</f>
        <v>9.75</v>
      </c>
      <c r="AP42" s="123">
        <f>MAX(AP38:AP41)+1</f>
        <v>87500010.858021781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7</v>
      </c>
      <c r="AO44" s="123">
        <f>AN44/AN48*10+BA44</f>
        <v>9.7401477832512313</v>
      </c>
      <c r="AP44" s="123">
        <f>AO44*10000000+BI44*100+AM44/AM48*10+AI44/AI48*1++IF(AQ44=0,ROW(),AQ44)/2000000</f>
        <v>97401586.43149133</v>
      </c>
      <c r="AQ44" s="126">
        <f>VLOOKUP(AE44,db_fifarank,2,FALSE)</f>
        <v>1734.71</v>
      </c>
      <c r="AR44" s="125">
        <f>AP44/AP48</f>
        <v>0.9999999897332269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100.5</v>
      </c>
      <c r="BA44" s="126">
        <f>AZ44/AZ48</f>
        <v>0.99014778325123154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100.5</v>
      </c>
      <c r="BI44" s="126">
        <f>BH44/BH48</f>
        <v>0.99014778325123154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1</v>
      </c>
      <c r="V45" s="123">
        <f t="shared" si="3"/>
        <v>1</v>
      </c>
      <c r="W45" s="123">
        <f t="shared" si="4"/>
        <v>1</v>
      </c>
      <c r="X45" s="123">
        <f t="shared" si="9"/>
        <v>1</v>
      </c>
      <c r="Y45" s="123">
        <f t="shared" si="10"/>
        <v>1</v>
      </c>
      <c r="Z45" s="123">
        <f t="shared" si="11"/>
        <v>1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2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3</v>
      </c>
      <c r="AL45" s="123">
        <f>AI45-AJ45</f>
        <v>-2</v>
      </c>
      <c r="AM45" s="123">
        <f>AL45-AL48</f>
        <v>2</v>
      </c>
      <c r="AN45" s="123">
        <f>AF45*3+AG45</f>
        <v>1</v>
      </c>
      <c r="AO45" s="123">
        <f>AN45/AN48*10+BA45</f>
        <v>2.2352216748768474</v>
      </c>
      <c r="AP45" s="123">
        <f>AO45*10000000+BI45*100+AM45/AM48*10+AI45/AI48*1++IF(AQ45=0,ROW(),AQ45)/2000000</f>
        <v>22352317.938384254</v>
      </c>
      <c r="AQ45" s="126">
        <f>VLOOKUP(AE45,db_fifarank,2,FALSE)</f>
        <v>1563.24</v>
      </c>
      <c r="AR45" s="125">
        <f>AP45/AP48</f>
        <v>0.22948617705133448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</v>
      </c>
      <c r="BA45" s="126">
        <f>AZ45/AZ48</f>
        <v>0.98522167487684731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</v>
      </c>
      <c r="BI45" s="126">
        <f>BH45/BH48</f>
        <v>0.98522167487684731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0</v>
      </c>
      <c r="W46" s="123">
        <f t="shared" si="4"/>
        <v>0</v>
      </c>
      <c r="X46" s="123">
        <f t="shared" si="9"/>
        <v>1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1</v>
      </c>
      <c r="AH46" s="123">
        <f>COUNTIF($S$7:$T$78,"=" &amp; AE46 &amp; "_lose")</f>
        <v>0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2</v>
      </c>
      <c r="AL46" s="123">
        <f>AI46-AJ46</f>
        <v>3</v>
      </c>
      <c r="AM46" s="123">
        <f>AL46-AL48</f>
        <v>7</v>
      </c>
      <c r="AN46" s="123">
        <f>AF46*3+AG46</f>
        <v>7</v>
      </c>
      <c r="AO46" s="123">
        <f>AN46/AN48*10+BA46</f>
        <v>9.7401477832512313</v>
      </c>
      <c r="AP46" s="123">
        <f>AO46*10000000+BI46*100+AM46/AM48*10+AI46/AI48*1++IF(AQ46=0,ROW(),AQ46)/2000000</f>
        <v>97401586.431431621</v>
      </c>
      <c r="AQ46" s="126">
        <f>VLOOKUP(AE46,db_fifarank,2,FALSE)</f>
        <v>1615.3</v>
      </c>
      <c r="AR46" s="125">
        <f>AP46/AP48</f>
        <v>0.99999998973261384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0.99014778325123154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0.99014778325123154</v>
      </c>
      <c r="BK46" s="13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3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2.2352216748768474</v>
      </c>
      <c r="AP47" s="123">
        <f>AO47*10000000+BI47*100+AM47/AM48*10+AI47/AI48*1++IF(AQ47=0,ROW(),AQ47)/2000000</f>
        <v>22352315.438243415</v>
      </c>
      <c r="AQ47" s="126">
        <f>VLOOKUP(AE47,db_fifarank,2,FALSE)</f>
        <v>1281.57</v>
      </c>
      <c r="AR47" s="125">
        <f>AP47/AP48</f>
        <v>0.22948615138295569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</v>
      </c>
      <c r="BA47" s="126">
        <f>AZ47/AZ48</f>
        <v>0.98522167487684731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</v>
      </c>
      <c r="BI47" s="126">
        <f>BH47/BH48</f>
        <v>0.98522167487684731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6</v>
      </c>
      <c r="AL48" s="123">
        <f>MIN(AL44:AL47)</f>
        <v>-4</v>
      </c>
      <c r="AM48" s="123">
        <f>MAX(AM44:AM47)+1</f>
        <v>8</v>
      </c>
      <c r="AN48" s="123">
        <f>MAX(AN44:AN47)+1</f>
        <v>8</v>
      </c>
      <c r="AO48" s="123">
        <f>MAX(AO44:AO47)+1</f>
        <v>10.740147783251231</v>
      </c>
      <c r="AP48" s="123">
        <f>MAX(AP44:AP47)+1</f>
        <v>97401587.43149133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101.5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>
        <v>1</v>
      </c>
      <c r="CQ48" s="25"/>
      <c r="CR48" s="111">
        <f>IF(OR(CO48="",CO49="",AND(CP48="",CP49&lt;&gt;""),AND(CP49="",CP48&lt;&gt;""),AND(CQ48="",CQ49&lt;&gt;""),AND(CQ49="",CQ48&lt;&gt;"")),"",CO48*1000+CP48*10+CQ48)</f>
        <v>1010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>
        <v>2</v>
      </c>
      <c r="CQ49" s="27"/>
      <c r="CR49" s="111">
        <f>IF(CR48="","",CO49*1000+CP49*10+CQ49)</f>
        <v>1020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19805923.401653942</v>
      </c>
      <c r="AQ51" s="126">
        <f>VLOOKUP(AE51,db_fifarank,2,FALSE)</f>
        <v>1366.13</v>
      </c>
      <c r="AR51" s="125">
        <f>AP51/AP54</f>
        <v>0.22006578822060491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1</v>
      </c>
      <c r="V52" s="123">
        <f t="shared" si="21"/>
        <v>1</v>
      </c>
      <c r="W52" s="123">
        <f t="shared" si="22"/>
        <v>1</v>
      </c>
      <c r="X52" s="123">
        <f t="shared" si="9"/>
        <v>1</v>
      </c>
      <c r="Y52" s="123">
        <f t="shared" si="10"/>
        <v>1</v>
      </c>
      <c r="Z52" s="123">
        <f t="shared" si="11"/>
        <v>1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19805923.401681591</v>
      </c>
      <c r="AQ52" s="126">
        <f>VLOOKUP(AE52,db_fifarank,2,FALSE)</f>
        <v>1421.43</v>
      </c>
      <c r="AR52" s="125">
        <f>AP52/AP54</f>
        <v>0.22006578822091213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60000005.400836535</v>
      </c>
      <c r="AQ53" s="126">
        <f>VLOOKUP(AE53,db_fifarank,2,FALSE)</f>
        <v>1673.07</v>
      </c>
      <c r="AR53" s="125">
        <f>AP53/AP54</f>
        <v>0.6666666438118718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90000010.264827549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10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60000006.806400046</v>
      </c>
      <c r="AQ57" s="126">
        <f>VLOOKUP(AE57,db_fifarank,2,FALSE)</f>
        <v>1688.99</v>
      </c>
      <c r="AR57" s="125">
        <f>AP57/AP60</f>
        <v>0.66666665885016774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8.0396656603839211E-12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6</v>
      </c>
      <c r="AL59" s="123">
        <f>AI59-AJ59</f>
        <v>-1</v>
      </c>
      <c r="AM59" s="123">
        <f>AL59-AL60</f>
        <v>7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30000004.931331027</v>
      </c>
      <c r="AQ59" s="126">
        <f>VLOOKUP(AE59,db_fifarank,2,FALSE)</f>
        <v>1550.94</v>
      </c>
      <c r="AR59" s="125">
        <f>AP59/AP60</f>
        <v>0.33333334640431517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0</v>
      </c>
      <c r="W60" s="123">
        <f t="shared" si="22"/>
        <v>0</v>
      </c>
      <c r="X60" s="123">
        <f t="shared" si="9"/>
        <v>1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90000011.264827549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90000009.948989362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>
        <v>1</v>
      </c>
      <c r="BO62" s="25">
        <v>1</v>
      </c>
      <c r="BP62" s="116">
        <f>IF(OR(BM62="",BM63="",AND(BN62="",BN63&lt;&gt;""),AND(BN63="",BN62&lt;&gt;""),AND(BO62="",BO63&lt;&gt;""),AND(BO63="",BO62&lt;&gt;"")),"",BM62*1000+BN62*10+BO62)</f>
        <v>1011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1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30000001.195587326</v>
      </c>
      <c r="AQ63" s="126">
        <f>VLOOKUP(AE63,db_fifarank,2,FALSE)</f>
        <v>1564.26</v>
      </c>
      <c r="AR63" s="125">
        <f>AP63/AP66</f>
        <v>0.33333330606582784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>
        <v>1</v>
      </c>
      <c r="BO63" s="27">
        <v>0</v>
      </c>
      <c r="BP63" s="112">
        <f>IF(BP62="","",BM63*1000+BN63*10+BO63)</f>
        <v>1010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60000004.9748227</v>
      </c>
      <c r="AQ64" s="126">
        <f>VLOOKUP(AE64,db_fifarank,2,FALSE)</f>
        <v>1593.45</v>
      </c>
      <c r="AR64" s="125">
        <f>AP64/AP66</f>
        <v>0.66666664083885274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7.7302768373475684E-12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3</v>
      </c>
      <c r="CB65" s="64"/>
      <c r="CC65" s="27"/>
      <c r="CD65" s="112">
        <f>IF(CD64="","",CA65*1000+CB65*10+CC65)</f>
        <v>3000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0 - 4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7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90000010.948989362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19805923.39261914</v>
      </c>
      <c r="AQ69" s="126">
        <f>VLOOKUP(AE69,db_fifarank,2,FALSE)</f>
        <v>1478.35</v>
      </c>
      <c r="AR69" s="125">
        <f>AP69/AP72</f>
        <v>0.22006578787980785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19805923.392612636</v>
      </c>
      <c r="AQ70" s="126">
        <f>VLOOKUP(AE70,db_fifarank,2,FALSE)</f>
        <v>1465.34</v>
      </c>
      <c r="AR70" s="125">
        <f>AP70/AP72</f>
        <v>0.22006578787973557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60000006.171301089</v>
      </c>
      <c r="AQ71" s="126">
        <f>VLOOKUP(AE71,db_fifarank,2,FALSE)</f>
        <v>1693.09</v>
      </c>
      <c r="AR71" s="125">
        <f>AP71/AP72</f>
        <v>0.6666666516442894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90000009.723135203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1</v>
      </c>
      <c r="AH75" s="123">
        <f>COUNTIF($S$7:$T$78,"=" &amp; AE75 &amp; "_lose")</f>
        <v>2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5</v>
      </c>
      <c r="AL75" s="123">
        <f>AI75-AJ75</f>
        <v>-3</v>
      </c>
      <c r="AM75" s="123">
        <f>AL75-AL78</f>
        <v>0</v>
      </c>
      <c r="AN75" s="123">
        <f>AF75*3+AG75</f>
        <v>1</v>
      </c>
      <c r="AO75" s="123">
        <f>AN75/AN78*10+BA75</f>
        <v>1.9805825242718447</v>
      </c>
      <c r="AP75" s="123">
        <f>AO75*10000000+BI75*100+AM75/AM78*10+AI75/AI78*1++IF(AQ75=0,ROW(),AQ75)/2000000</f>
        <v>19805923.635162741</v>
      </c>
      <c r="AQ75" s="126">
        <f>VLOOKUP(AE75,db_fifarank,2,FALSE)</f>
        <v>1717.07</v>
      </c>
      <c r="AR75" s="125">
        <f>AP75/AP78</f>
        <v>0.22006579194852779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4</v>
      </c>
      <c r="AN76" s="123">
        <f>AF76*3+AG76</f>
        <v>6</v>
      </c>
      <c r="AO76" s="123">
        <f>AN76/AN78*10+BA76</f>
        <v>6</v>
      </c>
      <c r="AP76" s="123">
        <f>AO76*10000000+BI76*100+AM76/AM78*10+AI76/AI78*1++IF(AQ76=0,ROW(),AQ76)/2000000</f>
        <v>60000005.111784264</v>
      </c>
      <c r="AQ76" s="126">
        <f>VLOOKUP(AE76,db_fifarank,2,FALSE)</f>
        <v>1346.31</v>
      </c>
      <c r="AR76" s="125">
        <f>AP76/AP78</f>
        <v>0.66666664403364118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19805923.468407862</v>
      </c>
      <c r="AQ77" s="126">
        <f>VLOOKUP(AE77,db_fifarank,2,FALSE)</f>
        <v>1540.64</v>
      </c>
      <c r="AR77" s="125">
        <f>AP77/AP78</f>
        <v>0.22006579009569602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-3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90000010.723135203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4658.3341276633328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6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8783.3340262533347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Japan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6675.0007491750002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Bosnia and Herzegovina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7</v>
      </c>
      <c r="AN83" s="123">
        <f t="shared" si="45"/>
        <v>4</v>
      </c>
      <c r="AP83" s="123">
        <f>AN83/AN92*10000+AM83/AM92*1000+AI83/AI92*100+IF(AQ83=0,ROW(),AQ83)/2000000</f>
        <v>8941.6674184166659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6675.0007664900004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6</v>
      </c>
      <c r="AN85" s="123">
        <f t="shared" si="45"/>
        <v>4</v>
      </c>
      <c r="AP85" s="123">
        <f>AN85/AN92*10000+AM85/AM92*1000+AI85/AI92*100+IF(AQ85=0,ROW(),AQ85)/2000000</f>
        <v>8816.667496881666</v>
      </c>
      <c r="AQ85" s="126">
        <f t="shared" si="37"/>
        <v>1660.43</v>
      </c>
      <c r="AR85" s="125" t="str">
        <f t="shared" si="50"/>
        <v>ABCDEF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Egypt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1</v>
      </c>
      <c r="AP86" s="123">
        <f>AN86/AN92*10000+AM86/AM92*1000+AI86/AI92*100+IF(AQ86=0,ROW(),AQ86)/2000000</f>
        <v>2516.6674482866665</v>
      </c>
      <c r="AQ86" s="126">
        <f t="shared" si="37"/>
        <v>1563.24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3188</v>
      </c>
      <c r="AL87" s="123">
        <f t="shared" si="43"/>
        <v>-5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2141.6673773816665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Korea Republic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6708.334108803333</v>
      </c>
      <c r="AQ88" s="126">
        <f t="shared" si="37"/>
        <v>1550.94</v>
      </c>
      <c r="AR88" s="125" t="str">
        <f t="shared" si="50"/>
        <v>ABCDEFI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Egypt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6408.3341154633326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Croatia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2016.6674058416668</v>
      </c>
      <c r="AQ90" s="126">
        <f t="shared" si="37"/>
        <v>1478.35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10</v>
      </c>
      <c r="AE91" s="124" t="str">
        <f>J77</f>
        <v>Croatia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2408.3341918683336</v>
      </c>
      <c r="AQ91" s="126">
        <f t="shared" si="37"/>
        <v>1717.07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-6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Germany</v>
      </c>
      <c r="T111" s="127" t="str">
        <f>S111</f>
        <v>Germany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VICTOR MANUEL DELGADO CASADO</cp:lastModifiedBy>
  <cp:revision/>
  <dcterms:created xsi:type="dcterms:W3CDTF">2017-12-27T19:32:51Z</dcterms:created>
  <dcterms:modified xsi:type="dcterms:W3CDTF">2026-06-08T09:00:20Z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