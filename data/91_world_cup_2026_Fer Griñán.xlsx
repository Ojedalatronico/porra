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erna\Desktop\"/>
    </mc:Choice>
  </mc:AlternateContent>
  <bookViews>
    <workbookView xWindow="0" yWindow="0" windowWidth="19020" windowHeight="9576" firstSheet="1" activeTab="2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19" i="3"/>
  <c r="T46" i="3"/>
  <c r="S70" i="3"/>
  <c r="T21" i="3"/>
  <c r="S42" i="3"/>
  <c r="S64" i="3"/>
  <c r="S40" i="3"/>
  <c r="S62" i="3"/>
  <c r="S38" i="3"/>
  <c r="S65" i="3"/>
  <c r="T37" i="3"/>
  <c r="S55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0" i="3" l="1"/>
  <c r="AR11" i="3"/>
  <c r="AR9" i="3"/>
  <c r="AR33" i="3"/>
  <c r="AR34" i="3"/>
  <c r="AR35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D44" i="3" s="1"/>
  <c r="AR64" i="3"/>
  <c r="AR39" i="3"/>
  <c r="AD56" i="3"/>
  <c r="AR16" i="3"/>
  <c r="AR17" i="3"/>
  <c r="AD59" i="3"/>
  <c r="AD62" i="3" l="1"/>
  <c r="AD9" i="3"/>
  <c r="M58" i="3"/>
  <c r="AD14" i="3"/>
  <c r="AD11" i="3"/>
  <c r="AD10" i="3"/>
  <c r="AD8" i="3"/>
  <c r="L12" i="3" s="1"/>
  <c r="AD33" i="3"/>
  <c r="AD75" i="3"/>
  <c r="AD28" i="3"/>
  <c r="AD77" i="3"/>
  <c r="M59" i="3"/>
  <c r="AD35" i="3"/>
  <c r="AD41" i="3"/>
  <c r="AD32" i="3"/>
  <c r="AD70" i="3"/>
  <c r="AD34" i="3"/>
  <c r="O60" i="3"/>
  <c r="AD68" i="3"/>
  <c r="M69" i="3" s="1"/>
  <c r="L58" i="3"/>
  <c r="AD15" i="3"/>
  <c r="N58" i="3"/>
  <c r="AD74" i="3"/>
  <c r="L59" i="3"/>
  <c r="AD76" i="3"/>
  <c r="AD47" i="3"/>
  <c r="AD22" i="3"/>
  <c r="AD71" i="3"/>
  <c r="AD20" i="3"/>
  <c r="AD21" i="3"/>
  <c r="AD29" i="3"/>
  <c r="AD26" i="3"/>
  <c r="AD27" i="3"/>
  <c r="AD63" i="3"/>
  <c r="AD53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45" i="3" s="1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J12" i="3"/>
  <c r="J45" i="3"/>
  <c r="AS44" i="3" s="1"/>
  <c r="BL38" i="3" s="1"/>
  <c r="L63" i="3"/>
  <c r="M63" i="3"/>
  <c r="N63" i="3"/>
  <c r="O63" i="3"/>
  <c r="J63" i="3"/>
  <c r="AS62" i="3" s="1"/>
  <c r="BL58" i="3" s="1"/>
  <c r="BS60" i="3" s="1"/>
  <c r="BZ64" i="3" s="1"/>
  <c r="N12" i="3" l="1"/>
  <c r="O9" i="3"/>
  <c r="O33" i="3"/>
  <c r="O18" i="3"/>
  <c r="N9" i="3"/>
  <c r="J10" i="3"/>
  <c r="AS9" i="3" s="1"/>
  <c r="BL18" i="3" s="1"/>
  <c r="M11" i="3"/>
  <c r="M12" i="3"/>
  <c r="P12" i="3" s="1"/>
  <c r="O11" i="3"/>
  <c r="M9" i="3"/>
  <c r="O12" i="3"/>
  <c r="L33" i="3"/>
  <c r="O10" i="3"/>
  <c r="J11" i="3"/>
  <c r="AE80" i="3" s="1"/>
  <c r="AQ80" i="3" s="1"/>
  <c r="N33" i="3"/>
  <c r="N11" i="3"/>
  <c r="L10" i="3"/>
  <c r="M75" i="3"/>
  <c r="L11" i="3"/>
  <c r="M10" i="3"/>
  <c r="L9" i="3"/>
  <c r="N10" i="3"/>
  <c r="J9" i="3"/>
  <c r="AS8" i="3" s="1"/>
  <c r="BL50" i="3" s="1"/>
  <c r="N66" i="3"/>
  <c r="J34" i="3"/>
  <c r="AS33" i="3" s="1"/>
  <c r="BL46" i="3" s="1"/>
  <c r="J33" i="3"/>
  <c r="AS32" i="3" s="1"/>
  <c r="BL10" i="3" s="1"/>
  <c r="N17" i="3"/>
  <c r="P59" i="3"/>
  <c r="L65" i="3"/>
  <c r="O45" i="3"/>
  <c r="L45" i="3"/>
  <c r="P45" i="3" s="1"/>
  <c r="N45" i="3"/>
  <c r="J35" i="3"/>
  <c r="AE84" i="3" s="1"/>
  <c r="AQ84" i="3" s="1"/>
  <c r="O51" i="3"/>
  <c r="N34" i="3"/>
  <c r="J36" i="3"/>
  <c r="M33" i="3"/>
  <c r="O36" i="3"/>
  <c r="L36" i="3"/>
  <c r="M34" i="3"/>
  <c r="N35" i="3"/>
  <c r="M40" i="3"/>
  <c r="O46" i="3"/>
  <c r="L78" i="3"/>
  <c r="N36" i="3"/>
  <c r="M36" i="3"/>
  <c r="M35" i="3"/>
  <c r="L35" i="3"/>
  <c r="O35" i="3"/>
  <c r="L76" i="3"/>
  <c r="J69" i="3"/>
  <c r="AS68" i="3" s="1"/>
  <c r="BL70" i="3" s="1"/>
  <c r="L34" i="3"/>
  <c r="J65" i="3"/>
  <c r="AE89" i="3" s="1"/>
  <c r="AQ89" i="3" s="1"/>
  <c r="L69" i="3"/>
  <c r="P69" i="3" s="1"/>
  <c r="O34" i="3"/>
  <c r="M78" i="3"/>
  <c r="M76" i="3"/>
  <c r="L18" i="3"/>
  <c r="N18" i="3"/>
  <c r="N78" i="3"/>
  <c r="M17" i="3"/>
  <c r="K59" i="3"/>
  <c r="M18" i="3"/>
  <c r="J18" i="3"/>
  <c r="J76" i="3"/>
  <c r="AS75" i="3" s="1"/>
  <c r="BL27" i="3" s="1"/>
  <c r="O16" i="3"/>
  <c r="M16" i="3"/>
  <c r="J78" i="3"/>
  <c r="J16" i="3"/>
  <c r="AS15" i="3" s="1"/>
  <c r="BL19" i="3" s="1"/>
  <c r="L71" i="3"/>
  <c r="K58" i="3"/>
  <c r="N75" i="3"/>
  <c r="O69" i="3"/>
  <c r="L16" i="3"/>
  <c r="N16" i="3"/>
  <c r="O75" i="3"/>
  <c r="L75" i="3"/>
  <c r="N69" i="3"/>
  <c r="J75" i="3"/>
  <c r="AS74" i="3" s="1"/>
  <c r="BL54" i="3" s="1"/>
  <c r="P58" i="3"/>
  <c r="N29" i="3"/>
  <c r="M51" i="3"/>
  <c r="J77" i="3"/>
  <c r="AE91" i="3" s="1"/>
  <c r="AQ91" i="3" s="1"/>
  <c r="N22" i="3"/>
  <c r="N51" i="3"/>
  <c r="O77" i="3"/>
  <c r="L77" i="3"/>
  <c r="O76" i="3"/>
  <c r="N77" i="3"/>
  <c r="M77" i="3"/>
  <c r="O78" i="3"/>
  <c r="L51" i="3"/>
  <c r="L23" i="3"/>
  <c r="J29" i="3"/>
  <c r="AE83" i="3" s="1"/>
  <c r="AQ83" i="3" s="1"/>
  <c r="L46" i="3"/>
  <c r="O29" i="3"/>
  <c r="J30" i="3"/>
  <c r="M24" i="3"/>
  <c r="M21" i="3"/>
  <c r="L39" i="3"/>
  <c r="N39" i="3"/>
  <c r="M22" i="3"/>
  <c r="O27" i="3"/>
  <c r="N27" i="3"/>
  <c r="L40" i="3"/>
  <c r="N76" i="3"/>
  <c r="J21" i="3"/>
  <c r="AS20" i="3" s="1"/>
  <c r="BL42" i="3" s="1"/>
  <c r="BS44" i="3" s="1"/>
  <c r="L29" i="3"/>
  <c r="M27" i="3"/>
  <c r="J27" i="3"/>
  <c r="AS26" i="3" s="1"/>
  <c r="BL34" i="3" s="1"/>
  <c r="L24" i="3"/>
  <c r="J39" i="3"/>
  <c r="AS38" i="3" s="1"/>
  <c r="BL22" i="3" s="1"/>
  <c r="L21" i="3"/>
  <c r="J52" i="3"/>
  <c r="AS51" i="3" s="1"/>
  <c r="BL59" i="3" s="1"/>
  <c r="J22" i="3"/>
  <c r="AS21" i="3" s="1"/>
  <c r="BL23" i="3" s="1"/>
  <c r="N54" i="3"/>
  <c r="J51" i="3"/>
  <c r="AS50" i="3" s="1"/>
  <c r="BL30" i="3" s="1"/>
  <c r="J24" i="3"/>
  <c r="N65" i="3"/>
  <c r="L30" i="3"/>
  <c r="K57" i="3"/>
  <c r="M54" i="3"/>
  <c r="M65" i="3"/>
  <c r="O30" i="3"/>
  <c r="O22" i="3"/>
  <c r="L66" i="3"/>
  <c r="O65" i="3"/>
  <c r="M30" i="3"/>
  <c r="O24" i="3"/>
  <c r="J71" i="3"/>
  <c r="AE90" i="3" s="1"/>
  <c r="AQ90" i="3" s="1"/>
  <c r="M28" i="3"/>
  <c r="N21" i="3"/>
  <c r="J72" i="3"/>
  <c r="O70" i="3"/>
  <c r="O28" i="3"/>
  <c r="L22" i="3"/>
  <c r="N70" i="3"/>
  <c r="O39" i="3"/>
  <c r="L28" i="3"/>
  <c r="O21" i="3"/>
  <c r="M41" i="3"/>
  <c r="J70" i="3"/>
  <c r="AS69" i="3" s="1"/>
  <c r="BL26" i="3" s="1"/>
  <c r="N53" i="3"/>
  <c r="M70" i="3"/>
  <c r="M39" i="3"/>
  <c r="L27" i="3"/>
  <c r="N24" i="3"/>
  <c r="O48" i="3"/>
  <c r="O23" i="3"/>
  <c r="O64" i="3"/>
  <c r="L70" i="3"/>
  <c r="N46" i="3"/>
  <c r="O40" i="3"/>
  <c r="N64" i="3"/>
  <c r="N47" i="3"/>
  <c r="M64" i="3"/>
  <c r="AT88" i="3"/>
  <c r="J47" i="3"/>
  <c r="AE86" i="3" s="1"/>
  <c r="AQ86" i="3" s="1"/>
  <c r="AI88" i="3"/>
  <c r="L47" i="3"/>
  <c r="M48" i="3"/>
  <c r="AN88" i="3"/>
  <c r="AG88" i="3"/>
  <c r="J41" i="3"/>
  <c r="AE85" i="3" s="1"/>
  <c r="AQ85" i="3" s="1"/>
  <c r="M47" i="3"/>
  <c r="J42" i="3"/>
  <c r="M29" i="3"/>
  <c r="L17" i="3"/>
  <c r="AF88" i="3"/>
  <c r="P57" i="3"/>
  <c r="L48" i="3"/>
  <c r="J40" i="3"/>
  <c r="AS39" i="3" s="1"/>
  <c r="BL43" i="3" s="1"/>
  <c r="L64" i="3"/>
  <c r="AJ88" i="3"/>
  <c r="N40" i="3"/>
  <c r="O71" i="3"/>
  <c r="O66" i="3"/>
  <c r="L54" i="3"/>
  <c r="O47" i="3"/>
  <c r="O17" i="3"/>
  <c r="L42" i="3"/>
  <c r="N48" i="3"/>
  <c r="M46" i="3"/>
  <c r="J64" i="3"/>
  <c r="AS63" i="3" s="1"/>
  <c r="BL31" i="3" s="1"/>
  <c r="J66" i="3"/>
  <c r="N71" i="3"/>
  <c r="M71" i="3"/>
  <c r="M66" i="3"/>
  <c r="O42" i="3"/>
  <c r="N30" i="3"/>
  <c r="J28" i="3"/>
  <c r="AS27" i="3" s="1"/>
  <c r="BL62" i="3" s="1"/>
  <c r="BS61" i="3" s="1"/>
  <c r="L15" i="3"/>
  <c r="O54" i="3"/>
  <c r="J46" i="3"/>
  <c r="AS45" i="3" s="1"/>
  <c r="BL63" i="3" s="1"/>
  <c r="O72" i="3"/>
  <c r="N72" i="3"/>
  <c r="J48" i="3"/>
  <c r="M72" i="3"/>
  <c r="M42" i="3"/>
  <c r="L72" i="3"/>
  <c r="N52" i="3"/>
  <c r="N2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63" i="3"/>
  <c r="K63" i="3"/>
  <c r="P11" i="3" l="1"/>
  <c r="K12" i="3"/>
  <c r="AF91" i="3"/>
  <c r="P33" i="3"/>
  <c r="K9" i="3"/>
  <c r="K10" i="3"/>
  <c r="AT80" i="3"/>
  <c r="AN80" i="3"/>
  <c r="AJ80" i="3"/>
  <c r="AF80" i="3"/>
  <c r="P10" i="3"/>
  <c r="AG80" i="3"/>
  <c r="AL80" i="3"/>
  <c r="AI80" i="3"/>
  <c r="AH80" i="3"/>
  <c r="P9" i="3"/>
  <c r="K11" i="3"/>
  <c r="P75" i="3"/>
  <c r="K45" i="3"/>
  <c r="AF84" i="3"/>
  <c r="AG84" i="3"/>
  <c r="P65" i="3"/>
  <c r="AH84" i="3"/>
  <c r="AI84" i="3"/>
  <c r="K33" i="3"/>
  <c r="AJ84" i="3"/>
  <c r="AT84" i="3"/>
  <c r="AN84" i="3"/>
  <c r="AL84" i="3"/>
  <c r="P41" i="3"/>
  <c r="P36" i="3"/>
  <c r="AI91" i="3"/>
  <c r="P34" i="3"/>
  <c r="P35" i="3"/>
  <c r="K36" i="3"/>
  <c r="AJ91" i="3"/>
  <c r="P40" i="3"/>
  <c r="AL91" i="3"/>
  <c r="K35" i="3"/>
  <c r="P78" i="3"/>
  <c r="K34" i="3"/>
  <c r="P76" i="3"/>
  <c r="AF89" i="3"/>
  <c r="K76" i="3"/>
  <c r="AN91" i="3"/>
  <c r="K69" i="3"/>
  <c r="AH89" i="3"/>
  <c r="AI89" i="3"/>
  <c r="AG89" i="3"/>
  <c r="K78" i="3"/>
  <c r="AJ89" i="3"/>
  <c r="P18" i="3"/>
  <c r="AJ87" i="3"/>
  <c r="AN89" i="3"/>
  <c r="AL89" i="3"/>
  <c r="P15" i="3"/>
  <c r="K77" i="3"/>
  <c r="AT89" i="3"/>
  <c r="P71" i="3"/>
  <c r="K18" i="3"/>
  <c r="P16" i="3"/>
  <c r="P77" i="3"/>
  <c r="AT91" i="3"/>
  <c r="K17" i="3"/>
  <c r="K22" i="3"/>
  <c r="AH91" i="3"/>
  <c r="AG91" i="3"/>
  <c r="P66" i="3"/>
  <c r="P64" i="3"/>
  <c r="AF90" i="3"/>
  <c r="P39" i="3"/>
  <c r="P21" i="3"/>
  <c r="K16" i="3"/>
  <c r="AJ82" i="3"/>
  <c r="K75" i="3"/>
  <c r="K51" i="3"/>
  <c r="AG83" i="3"/>
  <c r="P27" i="3"/>
  <c r="AF83" i="3"/>
  <c r="AI90" i="3"/>
  <c r="AI83" i="3"/>
  <c r="AH90" i="3"/>
  <c r="P24" i="3"/>
  <c r="AH82" i="3"/>
  <c r="AH83" i="3"/>
  <c r="AG90" i="3"/>
  <c r="AI82" i="3"/>
  <c r="P23" i="3"/>
  <c r="K54" i="3"/>
  <c r="AG82" i="3"/>
  <c r="P51" i="3"/>
  <c r="K39" i="3"/>
  <c r="K40" i="3"/>
  <c r="AL87" i="3"/>
  <c r="P52" i="3"/>
  <c r="AT83" i="3"/>
  <c r="AN83" i="3"/>
  <c r="AH87" i="3"/>
  <c r="K21" i="3"/>
  <c r="AL83" i="3"/>
  <c r="K24" i="3"/>
  <c r="AG87" i="3"/>
  <c r="AJ83" i="3"/>
  <c r="AF87" i="3"/>
  <c r="P22" i="3"/>
  <c r="AF82" i="3"/>
  <c r="P17" i="3"/>
  <c r="K71" i="3"/>
  <c r="K28" i="3"/>
  <c r="K65" i="3"/>
  <c r="P29" i="3"/>
  <c r="AJ86" i="3"/>
  <c r="K64" i="3"/>
  <c r="K27" i="3"/>
  <c r="AT82" i="3"/>
  <c r="AT87" i="3"/>
  <c r="K47" i="3"/>
  <c r="K70" i="3"/>
  <c r="P30" i="3"/>
  <c r="AT86" i="3"/>
  <c r="P72" i="3"/>
  <c r="AF86" i="3"/>
  <c r="P54" i="3"/>
  <c r="AN82" i="3"/>
  <c r="AN87" i="3"/>
  <c r="K23" i="3"/>
  <c r="P28" i="3"/>
  <c r="P47" i="3"/>
  <c r="AT85" i="3"/>
  <c r="P70" i="3"/>
  <c r="AJ85" i="3"/>
  <c r="K48" i="3"/>
  <c r="AH85" i="3"/>
  <c r="AJ81" i="3"/>
  <c r="AG81" i="3"/>
  <c r="K66" i="3"/>
  <c r="AI81" i="3"/>
  <c r="AG85" i="3"/>
  <c r="AT90" i="3"/>
  <c r="AF85" i="3"/>
  <c r="AN90" i="3"/>
  <c r="AH81" i="3"/>
  <c r="AL90" i="3"/>
  <c r="K15" i="3"/>
  <c r="K30" i="3"/>
  <c r="K41" i="3"/>
  <c r="AJ90" i="3"/>
  <c r="K53" i="3"/>
  <c r="K42" i="3"/>
  <c r="K46" i="3"/>
  <c r="K29" i="3"/>
  <c r="P53" i="3"/>
  <c r="P48" i="3"/>
  <c r="P42" i="3"/>
  <c r="AN85" i="3"/>
  <c r="AN86" i="3"/>
  <c r="AF81" i="3"/>
  <c r="P46" i="3"/>
  <c r="AL85" i="3"/>
  <c r="AL86" i="3"/>
  <c r="K72" i="3"/>
  <c r="AT81" i="3"/>
  <c r="AI85" i="3"/>
  <c r="AI86" i="3"/>
  <c r="AN81" i="3"/>
  <c r="AH86" i="3"/>
  <c r="AL81" i="3"/>
  <c r="AG86" i="3"/>
  <c r="AL82" i="3"/>
  <c r="AI87" i="3"/>
  <c r="K52" i="3"/>
  <c r="AJ92" i="3" l="1"/>
  <c r="AS92" i="3"/>
  <c r="AG92" i="3"/>
  <c r="AF92" i="3"/>
  <c r="AN92" i="3"/>
  <c r="AH92" i="3"/>
  <c r="AL92" i="3"/>
  <c r="AM88" i="3" s="1"/>
  <c r="AI92" i="3"/>
  <c r="AM87" i="3" l="1"/>
  <c r="AM80" i="3"/>
  <c r="AM89" i="3"/>
  <c r="AM90" i="3"/>
  <c r="AM91" i="3"/>
  <c r="AM81" i="3"/>
  <c r="AM82" i="3"/>
  <c r="AM83" i="3"/>
  <c r="AM86" i="3"/>
  <c r="AM84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0" i="3" l="1"/>
  <c r="AP85" i="3"/>
  <c r="AP91" i="3"/>
  <c r="AP83" i="3"/>
  <c r="AP82" i="3"/>
  <c r="AP88" i="3"/>
  <c r="AP90" i="3"/>
  <c r="AP89" i="3"/>
  <c r="AP86" i="3"/>
  <c r="AP84" i="3"/>
  <c r="AP81" i="3"/>
  <c r="AD82" i="3" l="1"/>
  <c r="AS82" i="3" s="1"/>
  <c r="AD91" i="3"/>
  <c r="AS91" i="3" s="1"/>
  <c r="AD81" i="3"/>
  <c r="AS81" i="3" s="1"/>
  <c r="AD88" i="3"/>
  <c r="AS88" i="3" s="1"/>
  <c r="AD90" i="3"/>
  <c r="AS90" i="3" s="1"/>
  <c r="AD85" i="3"/>
  <c r="AS85" i="3" s="1"/>
  <c r="AD87" i="3"/>
  <c r="AS87" i="3" s="1"/>
  <c r="AD86" i="3"/>
  <c r="AS86" i="3" s="1"/>
  <c r="AD83" i="3"/>
  <c r="AS83" i="3" s="1"/>
  <c r="AD84" i="3"/>
  <c r="AS84" i="3" s="1"/>
  <c r="AD89" i="3"/>
  <c r="AS89" i="3" s="1"/>
  <c r="AD80" i="3"/>
  <c r="O83" i="3" l="1"/>
  <c r="L86" i="3"/>
  <c r="L81" i="3"/>
  <c r="O91" i="3"/>
  <c r="N84" i="3"/>
  <c r="N90" i="3"/>
  <c r="L83" i="3"/>
  <c r="N85" i="3"/>
  <c r="J91" i="3"/>
  <c r="J83" i="3"/>
  <c r="M92" i="3"/>
  <c r="O82" i="3"/>
  <c r="N83" i="3"/>
  <c r="J89" i="3"/>
  <c r="L90" i="3"/>
  <c r="J81" i="3"/>
  <c r="L92" i="3"/>
  <c r="M91" i="3"/>
  <c r="O84" i="3"/>
  <c r="M90" i="3"/>
  <c r="AS80" i="3"/>
  <c r="O81" i="3"/>
  <c r="N89" i="3"/>
  <c r="M89" i="3"/>
  <c r="L89" i="3"/>
  <c r="O86" i="3"/>
  <c r="M81" i="3"/>
  <c r="P81" i="3" s="1"/>
  <c r="O90" i="3"/>
  <c r="O88" i="3"/>
  <c r="M87" i="3"/>
  <c r="O89" i="3"/>
  <c r="J87" i="3"/>
  <c r="M85" i="3"/>
  <c r="J85" i="3"/>
  <c r="J8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8" i="3"/>
  <c r="L85" i="3"/>
  <c r="L87" i="3"/>
  <c r="J88" i="3"/>
  <c r="O87" i="3"/>
  <c r="N86" i="3"/>
  <c r="N81" i="3"/>
  <c r="M88" i="3"/>
  <c r="M86" i="3"/>
  <c r="K86" i="3" s="1"/>
  <c r="N91" i="3"/>
  <c r="J86" i="3"/>
  <c r="J92" i="3"/>
  <c r="M82" i="3"/>
  <c r="M83" i="3"/>
  <c r="N82" i="3"/>
  <c r="J90" i="3"/>
  <c r="N87" i="3"/>
  <c r="L91" i="3"/>
  <c r="J84" i="3"/>
  <c r="N88" i="3"/>
  <c r="N92" i="3"/>
  <c r="O92" i="3"/>
  <c r="L84" i="3"/>
  <c r="O85" i="3"/>
  <c r="M84" i="3"/>
  <c r="L82" i="3"/>
  <c r="P89" i="3"/>
  <c r="P82" i="3" l="1"/>
  <c r="P92" i="3"/>
  <c r="K81" i="3"/>
  <c r="P83" i="3"/>
  <c r="K91" i="3"/>
  <c r="K87" i="3"/>
  <c r="P85" i="3"/>
  <c r="K90" i="3"/>
  <c r="K89" i="3"/>
  <c r="B3" i="4"/>
  <c r="P90" i="3"/>
  <c r="K88" i="3"/>
  <c r="J3" i="4"/>
  <c r="BL71" i="3" s="1"/>
  <c r="K85" i="3"/>
  <c r="K92" i="3"/>
  <c r="P87" i="3"/>
  <c r="K83" i="3"/>
  <c r="K84" i="3"/>
  <c r="P88" i="3"/>
  <c r="G3" i="4"/>
  <c r="BL11" i="3" s="1"/>
  <c r="D3" i="4"/>
  <c r="BL51" i="3" s="1"/>
  <c r="K82" i="3"/>
  <c r="P84" i="3"/>
  <c r="P86" i="3"/>
  <c r="I3" i="4"/>
  <c r="BL15" i="3" s="1"/>
  <c r="H3" i="4"/>
  <c r="BL39" i="3" s="1"/>
  <c r="E3" i="4"/>
  <c r="BL67" i="3" s="1"/>
  <c r="P91" i="3"/>
  <c r="K3" i="4"/>
  <c r="BL55" i="3" s="1"/>
  <c r="BS53" i="3"/>
  <c r="BS52" i="3"/>
  <c r="BZ49" i="3" s="1"/>
  <c r="CG55" i="3" s="1"/>
  <c r="BS69" i="3"/>
  <c r="BS68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<sst xmlns="http://schemas.openxmlformats.org/spreadsheetml/2006/main" count="9785" uniqueCount="3699">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</sst>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11.png"/><Relationship Id="rId34" Type="http://schemas.openxmlformats.org/officeDocument/2006/relationships/image" Target="../media/image34.svg"/><Relationship Id="rId42" Type="http://schemas.openxmlformats.org/officeDocument/2006/relationships/image" Target="../media/image25.jpeg"/><Relationship Id="rId47" Type="http://schemas.openxmlformats.org/officeDocument/2006/relationships/image" Target="../media/image30.jpeg"/><Relationship Id="rId50" Type="http://schemas.openxmlformats.org/officeDocument/2006/relationships/image" Target="../media/image33.jpeg"/><Relationship Id="rId55" Type="http://schemas.openxmlformats.org/officeDocument/2006/relationships/image" Target="../media/image38.jpeg"/><Relationship Id="rId63" Type="http://schemas.openxmlformats.org/officeDocument/2006/relationships/image" Target="../media/image46.jpeg"/><Relationship Id="rId7" Type="http://schemas.openxmlformats.org/officeDocument/2006/relationships/image" Target="../media/image4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20.jpeg"/><Relationship Id="rId40" Type="http://schemas.openxmlformats.org/officeDocument/2006/relationships/image" Target="../media/image23.jpeg"/><Relationship Id="rId45" Type="http://schemas.openxmlformats.org/officeDocument/2006/relationships/image" Target="../media/image28.jpeg"/><Relationship Id="rId53" Type="http://schemas.openxmlformats.org/officeDocument/2006/relationships/image" Target="../media/image36.jpeg"/><Relationship Id="rId58" Type="http://schemas.openxmlformats.org/officeDocument/2006/relationships/image" Target="../media/image41.jpeg"/><Relationship Id="rId66" Type="http://schemas.openxmlformats.org/officeDocument/2006/relationships/image" Target="../media/image49.jpeg"/><Relationship Id="rId5" Type="http://schemas.openxmlformats.org/officeDocument/2006/relationships/image" Target="../media/image3.png"/><Relationship Id="rId61" Type="http://schemas.openxmlformats.org/officeDocument/2006/relationships/image" Target="../media/image44.jpeg"/><Relationship Id="rId19" Type="http://schemas.openxmlformats.org/officeDocument/2006/relationships/image" Target="../media/image10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14.png"/><Relationship Id="rId30" Type="http://schemas.openxmlformats.org/officeDocument/2006/relationships/image" Target="../media/image30.svg"/><Relationship Id="rId35" Type="http://schemas.openxmlformats.org/officeDocument/2006/relationships/image" Target="../media/image18.png"/><Relationship Id="rId43" Type="http://schemas.openxmlformats.org/officeDocument/2006/relationships/image" Target="../media/image26.jpeg"/><Relationship Id="rId48" Type="http://schemas.openxmlformats.org/officeDocument/2006/relationships/image" Target="../media/image31.jpeg"/><Relationship Id="rId56" Type="http://schemas.openxmlformats.org/officeDocument/2006/relationships/image" Target="../media/image39.jpeg"/><Relationship Id="rId64" Type="http://schemas.openxmlformats.org/officeDocument/2006/relationships/image" Target="../media/image47.jpeg"/><Relationship Id="rId8" Type="http://schemas.openxmlformats.org/officeDocument/2006/relationships/image" Target="../media/image8.svg"/><Relationship Id="rId51" Type="http://schemas.openxmlformats.org/officeDocument/2006/relationships/image" Target="../media/image34.jpeg"/><Relationship Id="rId3" Type="http://schemas.openxmlformats.org/officeDocument/2006/relationships/image" Target="../media/image2.png"/><Relationship Id="rId12" Type="http://schemas.openxmlformats.org/officeDocument/2006/relationships/image" Target="../media/image12.svg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image" Target="../media/image21.jpeg"/><Relationship Id="rId46" Type="http://schemas.openxmlformats.org/officeDocument/2006/relationships/image" Target="../media/image29.jpeg"/><Relationship Id="rId59" Type="http://schemas.openxmlformats.org/officeDocument/2006/relationships/image" Target="../media/image42.jpeg"/><Relationship Id="rId20" Type="http://schemas.openxmlformats.org/officeDocument/2006/relationships/image" Target="../media/image20.svg"/><Relationship Id="rId41" Type="http://schemas.openxmlformats.org/officeDocument/2006/relationships/image" Target="../media/image24.jpeg"/><Relationship Id="rId54" Type="http://schemas.openxmlformats.org/officeDocument/2006/relationships/image" Target="../media/image37.jpeg"/><Relationship Id="rId62" Type="http://schemas.openxmlformats.org/officeDocument/2006/relationships/image" Target="../media/image45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../media/image28.svg"/><Relationship Id="rId36" Type="http://schemas.openxmlformats.org/officeDocument/2006/relationships/image" Target="../media/image19.png"/><Relationship Id="rId49" Type="http://schemas.openxmlformats.org/officeDocument/2006/relationships/image" Target="../media/image32.jpeg"/><Relationship Id="rId57" Type="http://schemas.openxmlformats.org/officeDocument/2006/relationships/image" Target="../media/image40.jpeg"/><Relationship Id="rId10" Type="http://schemas.openxmlformats.org/officeDocument/2006/relationships/image" Target="../media/image10.svg"/><Relationship Id="rId31" Type="http://schemas.openxmlformats.org/officeDocument/2006/relationships/image" Target="../media/image16.png"/><Relationship Id="rId44" Type="http://schemas.openxmlformats.org/officeDocument/2006/relationships/image" Target="../media/image27.jpeg"/><Relationship Id="rId52" Type="http://schemas.openxmlformats.org/officeDocument/2006/relationships/image" Target="../media/image35.jpeg"/><Relationship Id="rId60" Type="http://schemas.openxmlformats.org/officeDocument/2006/relationships/image" Target="../media/image43.jpeg"/><Relationship Id="rId65" Type="http://schemas.openxmlformats.org/officeDocument/2006/relationships/image" Target="../media/image48.jpeg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39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ref="I17:I64">
    <sortCondition ref="I17:I64"/>
  </sortState>
  <dataValidations count="6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Minutes" prompt="Use drop-down List" sqref="C10">
      <formula1>$F$44:$F$47</formula1>
    </dataValidation>
    <dataValidation type="list" allowBlank="1" showInputMessage="1" showErrorMessage="1" promptTitle="Select Your Favorite Team" prompt="Use drop-down List" sqref="C12">
      <formula1>teams</formula1>
    </dataValidation>
    <dataValidation type="list" allowBlank="1" showInputMessage="1" showErrorMessage="1" promptTitle="Select GTM-time" prompt="Use drop-down List" sqref="C8">
      <formula1>$F$18:$F$42</formula1>
    </dataValidation>
    <dataValidation type="list" allowBlank="1" showInputMessage="1" showErrorMessage="1" promptTitle="Highlight Group Matches" prompt="Include all group-stage matches for your selected team" sqref="C14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R111"/>
  <sheetViews>
    <sheetView showGridLines="0" tabSelected="1" zoomScaleNormal="100" workbookViewId="0">
      <selection activeCell="CQ49" sqref="CQ49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87500009.372269079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12500000.200714864</v>
      </c>
      <c r="AQ9" s="126">
        <f>VLOOKUP(AE9,db_fifarank,2,FALSE)</f>
        <v>1429.73</v>
      </c>
      <c r="AR9" s="125">
        <f>AP9/AP12</f>
        <v>0.1428571282167119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62500006.315080047</v>
      </c>
      <c r="AQ10" s="126">
        <f>VLOOKUP(AE10,db_fifarank,2,FALSE)</f>
        <v>1588.66</v>
      </c>
      <c r="AR10" s="125">
        <f>AP10/AP12</f>
        <v>0.71428570178647488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2</v>
      </c>
      <c r="AN11" s="123">
        <f>AF11*3+AG11</f>
        <v>2</v>
      </c>
      <c r="AO11" s="123">
        <f>AN11/AN12*10+BA11</f>
        <v>2.5</v>
      </c>
      <c r="AP11" s="123">
        <f>AO11*10000000+BI11*100+AM11/AM12*10+AI11/AI12*1++IF(AQ11=0,ROW(),AQ11)/2000000</f>
        <v>25000003.257893547</v>
      </c>
      <c r="AQ11" s="126">
        <f>VLOOKUP(AE11,db_fifarank,2,FALSE)</f>
        <v>1501.38</v>
      </c>
      <c r="AR11" s="125">
        <f>AP11/AP12</f>
        <v>0.28571428907872071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5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87500010.372269079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7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60000007.834111579</v>
      </c>
      <c r="AQ14" s="126">
        <f>VLOOKUP(AE14,db_fifarank,2,FALSE)</f>
        <v>1556.48</v>
      </c>
      <c r="AR14" s="125">
        <f>AP14/AP18</f>
        <v>0.66666667469389529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4 - 0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6</v>
      </c>
      <c r="AL15" s="123">
        <f>AI15-AJ15</f>
        <v>-5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0.16735958666666667</v>
      </c>
      <c r="AQ15" s="126">
        <f>VLOOKUP(AE15,db_fifarank,2,FALSE)</f>
        <v>1385.84</v>
      </c>
      <c r="AR15" s="125">
        <f>AP15/AP18</f>
        <v>1.859550742554724E-9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3</v>
      </c>
      <c r="AL16" s="123">
        <f>AI16-AJ16</f>
        <v>-1</v>
      </c>
      <c r="AM16" s="123">
        <f>AL16-AL18</f>
        <v>4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30000004.334060811</v>
      </c>
      <c r="AQ16" s="126">
        <f>VLOOKUP(AE16,db_fifarank,2,FALSE)</f>
        <v>1454.96</v>
      </c>
      <c r="AR16" s="125">
        <f>AP16/AP18</f>
        <v>0.33333334198033621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0</v>
      </c>
      <c r="AL17" s="123">
        <f>AI17-AJ17</f>
        <v>4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90000009.667491376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90000010.667491376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>
        <v>0</v>
      </c>
      <c r="BO18" s="25">
        <v>3</v>
      </c>
      <c r="BP18" s="112">
        <f>IF(OR(BM18="",BM19="",AND(BN18="",BN19&lt;&gt;""),AND(BN19="",BN18&lt;&gt;""),AND(BO18="",BO19&lt;&gt;""),AND(BO19="",BO18&lt;&gt;"")),"",BM18*1000+BN18*10+BO18)</f>
        <v>1003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>
        <v>0</v>
      </c>
      <c r="BO19" s="27">
        <v>2</v>
      </c>
      <c r="BP19" s="113">
        <f>IF(BP18="","",BM19*1000+BN19*10+BO19)</f>
        <v>1002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16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97306559.97895354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2</v>
      </c>
      <c r="AL21" s="123">
        <f>AI21-AJ21</f>
        <v>6</v>
      </c>
      <c r="AM21" s="123">
        <f>AL21-AL24</f>
        <v>16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97306559.978950888</v>
      </c>
      <c r="AQ21" s="126">
        <f>VLOOKUP(AE21,db_fifarank,2,FALSE)</f>
        <v>1755.87</v>
      </c>
      <c r="AR21" s="125">
        <f>AP21/AP24</f>
        <v>0.99999998972317339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8 - 2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6.6373222268094757E-12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>
        <v>0</v>
      </c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8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37500004.928853758</v>
      </c>
      <c r="AQ23" s="126">
        <f>VLOOKUP(AE23,db_fifarank,2,FALSE)</f>
        <v>1498.35</v>
      </c>
      <c r="AR23" s="125">
        <f>AP23/AP24</f>
        <v>0.38538002526843634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>
        <v>1</v>
      </c>
      <c r="BO23" s="27"/>
      <c r="BP23" s="112">
        <f>IF(BP22="","",BM23*1000+BN23*10+BO23)</f>
        <v>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-10</v>
      </c>
      <c r="AM24" s="123">
        <f>MAX(AM20:AM23)+1</f>
        <v>17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97306560.97895354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Uruguay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3</v>
      </c>
      <c r="AL26" s="123">
        <f>AI26-AJ26</f>
        <v>-1</v>
      </c>
      <c r="AM26" s="123">
        <f>AL26-AL30</f>
        <v>3</v>
      </c>
      <c r="AN26" s="123">
        <f>AF26*3+AG26</f>
        <v>3</v>
      </c>
      <c r="AO26" s="123">
        <f>AN26/AN30*10+BA26</f>
        <v>3</v>
      </c>
      <c r="AP26" s="123">
        <f>AO26*10000000+BI26*100+AM26/AM30*10+AI26/AI30*1++IF(AQ26=0,ROW(),AQ26)/2000000</f>
        <v>30000003.66750323</v>
      </c>
      <c r="AQ26" s="126">
        <f>VLOOKUP(AE26,db_fifarank,2,FALSE)</f>
        <v>1673.13</v>
      </c>
      <c r="AR26" s="125">
        <f>AP26/AP30</f>
        <v>0.33333333436847373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5 - 1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2</v>
      </c>
      <c r="AL27" s="123">
        <f>AI27-AJ27</f>
        <v>1</v>
      </c>
      <c r="AM27" s="123">
        <f>AL27-AL30</f>
        <v>5</v>
      </c>
      <c r="AN27" s="123">
        <f>AF27*3+AG27</f>
        <v>6</v>
      </c>
      <c r="AO27" s="123">
        <f>AN27/AN30*10+BA27</f>
        <v>6</v>
      </c>
      <c r="AP27" s="123">
        <f>AO27*10000000+BI27*100+AM27/AM30*10+AI27/AI30*1++IF(AQ27=0,ROW(),AQ27)/2000000</f>
        <v>60000006.056307301</v>
      </c>
      <c r="AQ27" s="126">
        <f>VLOOKUP(AE27,db_fifarank,2,FALSE)</f>
        <v>1503.5</v>
      </c>
      <c r="AR27" s="125">
        <f>AP27/AP30</f>
        <v>0.66666665452918072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3 - 2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0.16745700166666666</v>
      </c>
      <c r="AQ28" s="126">
        <f>VLOOKUP(AE28,db_fifarank,2,FALSE)</f>
        <v>1580.67</v>
      </c>
      <c r="AR28" s="125">
        <f>AP28/AP30</f>
        <v>1.8606331301673015E-9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2 - 3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1</v>
      </c>
      <c r="AL29" s="123">
        <f>AI29-AJ29</f>
        <v>4</v>
      </c>
      <c r="AM29" s="123">
        <f>AL29-AL30</f>
        <v>8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90000009.723021746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Uruguay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1 - 5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6</v>
      </c>
      <c r="AL30" s="123">
        <f>MIN(AL26:AL29)</f>
        <v>-4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90000010.723021746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Uruguay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15</v>
      </c>
      <c r="AN32" s="123">
        <f>AF32*3+AG32</f>
        <v>7</v>
      </c>
      <c r="AO32" s="123">
        <f>AN32/AN36*10+BA32</f>
        <v>9.7306451612903224</v>
      </c>
      <c r="AP32" s="123">
        <f>AO32*10000000+BI32*100+AM32/AM36*10+AI32/AI36*1++IF(AQ32=0,ROW(),AQ32)/2000000</f>
        <v>97306559.953284547</v>
      </c>
      <c r="AQ32" s="126">
        <f>VLOOKUP(AE32,db_fifarank,2,FALSE)</f>
        <v>1730.37</v>
      </c>
      <c r="AR32" s="125">
        <f>AP32/AP36</f>
        <v>0.9999999897232007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2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50.666666666666664</v>
      </c>
      <c r="BA32" s="126">
        <f>AZ32/AZ36</f>
        <v>0.98064516129032253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2</v>
      </c>
      <c r="BE32" s="126" cm="1">
        <f t="array" ref="BE32">SUMPRODUCT(($E$7:$E$78=AE32)*($X$7:$X$78)*($G$7:$G$78))+SUMPRODUCT(($H$7:$H$78=AE32)*($X$7:$X$78)*($F$7:$F$78))</f>
        <v>2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50.666666666666664</v>
      </c>
      <c r="BI32" s="126">
        <f>BH32/BH36</f>
        <v>0.98064516129032253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Uruguay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6.6524291235692862E-12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7 - 2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5</v>
      </c>
      <c r="AL34" s="123">
        <f>AI34-AJ34</f>
        <v>-4</v>
      </c>
      <c r="AM34" s="123">
        <f>AL34-AL36</f>
        <v>4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37500002.600766495</v>
      </c>
      <c r="AQ34" s="126">
        <f>VLOOKUP(AE34,db_fifarank,2,FALSE)</f>
        <v>1532.98</v>
      </c>
      <c r="AR34" s="125">
        <f>AP34/AP36</f>
        <v>0.3853800014448121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7</v>
      </c>
      <c r="AJ35" s="123">
        <f>SUMIF($E$7:$E$78,$AE35,$G$7:$G$78) + SUMIF($H$7:$H$78,$AE35,$F$7:$F$78)</f>
        <v>2</v>
      </c>
      <c r="AL35" s="123">
        <f>AI35-AJ35</f>
        <v>5</v>
      </c>
      <c r="AM35" s="123">
        <f>AL35-AL36</f>
        <v>13</v>
      </c>
      <c r="AN35" s="123">
        <f>AF35*3+AG35</f>
        <v>7</v>
      </c>
      <c r="AO35" s="123">
        <f>AN35/AN36*10+BA35</f>
        <v>9.7306451612903224</v>
      </c>
      <c r="AP35" s="123">
        <f>AO35*10000000+BI35*100+AM35/AM36*10+AI35/AI36*1++IF(AQ35=0,ROW(),AQ35)/2000000</f>
        <v>97306558.503216743</v>
      </c>
      <c r="AQ35" s="126">
        <f>VLOOKUP(AE35,db_fifarank,2,FALSE)</f>
        <v>1594.78</v>
      </c>
      <c r="AR35" s="125">
        <f>AP35/AP36</f>
        <v>0.99999997482114489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2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50.666666666666664</v>
      </c>
      <c r="BA35" s="126">
        <f>AZ35/AZ36</f>
        <v>0.98064516129032253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2</v>
      </c>
      <c r="BE35" s="126" cm="1">
        <f t="array" ref="BE35">SUMPRODUCT(($E$7:$E$78=AE35)*($X$7:$X$78)*($G$7:$G$78))+SUMPRODUCT(($H$7:$H$78=AE35)*($X$7:$X$78)*($F$7:$F$78))</f>
        <v>2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50.666666666666664</v>
      </c>
      <c r="BI35" s="126">
        <f>BH35/BH36</f>
        <v>0.98064516129032253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10</v>
      </c>
      <c r="AL36" s="123">
        <f>MIN(AL32:AL35)</f>
        <v>-8</v>
      </c>
      <c r="AM36" s="123">
        <f>MAX(AM32:AM35)+1</f>
        <v>16</v>
      </c>
      <c r="AN36" s="123">
        <f>MAX(AN32:AN35)+1</f>
        <v>8</v>
      </c>
      <c r="AO36" s="123">
        <f>MAX(AO32:AO35)+1</f>
        <v>10.730645161290322</v>
      </c>
      <c r="AP36" s="123">
        <f>MAX(AP32:AP35)+1</f>
        <v>97306560.953284547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51.666666666666664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51.666666666666664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>
        <v>0</v>
      </c>
      <c r="BV36" s="25">
        <v>4</v>
      </c>
      <c r="BW36" s="116">
        <f>IF(OR(BT36="",BT37="",AND(BU36="",BU37&lt;&gt;""),AND(BU37="",BU36&lt;&gt;""),AND(BV36="",BV37&lt;&gt;""),AND(BV37="",BV36&lt;&gt;"")),"",BT36*1000+BU36*10+BV36)</f>
        <v>4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>
        <v>0</v>
      </c>
      <c r="BV37" s="27">
        <v>3</v>
      </c>
      <c r="BW37" s="112">
        <f>IF(BW36="","",BT37*1000+BU37*10+BV37)</f>
        <v>3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>
        <v>0</v>
      </c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2</v>
      </c>
      <c r="AL38" s="123">
        <f>AI38-AJ38</f>
        <v>5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90000010.042545602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0</v>
      </c>
      <c r="BN38" s="63">
        <v>0</v>
      </c>
      <c r="BO38" s="25">
        <v>4</v>
      </c>
      <c r="BP38" s="116">
        <f>IF(OR(BM38="",BM39="",AND(BN38="",BN39&lt;&gt;""),AND(BN39="",BN38&lt;&gt;""),AND(BO38="",BO39&lt;&gt;""),AND(BO39="",BO38&lt;&gt;"")),"",BM38*1000+BN38*10+BO38)</f>
        <v>4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1</v>
      </c>
      <c r="CP38" s="64">
        <v>1</v>
      </c>
      <c r="CQ38" s="27"/>
      <c r="CR38" s="111">
        <f>IF(CR37="","",CO38*1000+CP38*10+CQ38)</f>
        <v>1010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7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60000006.334163554</v>
      </c>
      <c r="AQ39" s="126">
        <f>VLOOKUP(AE39,db_fifarank,2,FALSE)</f>
        <v>1660.43</v>
      </c>
      <c r="AR39" s="125">
        <f>AP39/AP42</f>
        <v>0.66666665524962898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Saudi Arabia</v>
      </c>
      <c r="BM39" s="62">
        <v>0</v>
      </c>
      <c r="BN39" s="64">
        <v>0</v>
      </c>
      <c r="BO39" s="27">
        <v>2</v>
      </c>
      <c r="BP39" s="112">
        <f>IF(BP38="","",BM39*1000+BN39*10+BO39)</f>
        <v>2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6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30000005.375757385</v>
      </c>
      <c r="AQ40" s="126">
        <f>VLOOKUP(AE40,db_fifarank,2,FALSE)</f>
        <v>1514.77</v>
      </c>
      <c r="AR40" s="125">
        <f>AP40/AP42</f>
        <v>0.33333335216565158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3 - 3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8.239165655762638E-12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8</v>
      </c>
      <c r="AL42" s="123">
        <f>MIN(AL38:AL41)</f>
        <v>-6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90000011.042545602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0</v>
      </c>
      <c r="AL44" s="123">
        <f>AI44-AJ44</f>
        <v>6</v>
      </c>
      <c r="AM44" s="123">
        <f>AL44-AL48</f>
        <v>10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90000009.948919296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6 - 0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4</v>
      </c>
      <c r="AL45" s="123">
        <f>AI45-AJ45</f>
        <v>-3</v>
      </c>
      <c r="AM45" s="123">
        <f>AL45-AL48</f>
        <v>1</v>
      </c>
      <c r="AN45" s="123">
        <f>AF45*3+AG45</f>
        <v>2</v>
      </c>
      <c r="AO45" s="123">
        <f>AN45/AN48*10+BA45</f>
        <v>2</v>
      </c>
      <c r="AP45" s="123">
        <f>AO45*10000000+BI45*100+AM45/AM48*10+AI45/AI48*1++IF(AQ45=0,ROW(),AQ45)/2000000</f>
        <v>20000001.052729674</v>
      </c>
      <c r="AQ45" s="126">
        <f>VLOOKUP(AE45,db_fifarank,2,FALSE)</f>
        <v>1563.24</v>
      </c>
      <c r="AR45" s="125">
        <f>AP45/AP48</f>
        <v>0.22222220688485184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2 - 1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1</v>
      </c>
      <c r="AL46" s="123">
        <f>AI46-AJ46</f>
        <v>1</v>
      </c>
      <c r="AM46" s="123">
        <f>AL46-AL48</f>
        <v>5</v>
      </c>
      <c r="AN46" s="123">
        <f>AF46*3+AG46</f>
        <v>4</v>
      </c>
      <c r="AO46" s="123">
        <f>AN46/AN48*10+BA46</f>
        <v>4</v>
      </c>
      <c r="AP46" s="123">
        <f>AO46*10000000+BI46*100+AM46/AM48*10+AI46/AI48*1++IF(AQ46=0,ROW(),AQ46)/2000000</f>
        <v>40000004.831976481</v>
      </c>
      <c r="AQ46" s="126">
        <f>VLOOKUP(AE46,db_fifarank,2,FALSE)</f>
        <v>1615.3</v>
      </c>
      <c r="AR46" s="125">
        <f>AP46/AP48</f>
        <v>0.44444444406433481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0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10000000.143497929</v>
      </c>
      <c r="AQ47" s="126">
        <f>VLOOKUP(AE47,db_fifarank,2,FALSE)</f>
        <v>1281.57</v>
      </c>
      <c r="AR47" s="125">
        <f>AP47/AP48</f>
        <v>0.11111109918834967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>
        <v>0</v>
      </c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7</v>
      </c>
      <c r="AL48" s="123">
        <f>MIN(AL44:AL47)</f>
        <v>-4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90000010.948919296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Uruguay</v>
      </c>
      <c r="CO48" s="61">
        <v>0</v>
      </c>
      <c r="CP48" s="63">
        <v>0</v>
      </c>
      <c r="CQ48" s="25">
        <v>3</v>
      </c>
      <c r="CR48" s="111">
        <f>IF(OR(CO48="",CO49="",AND(CP48="",CP49&lt;&gt;""),AND(CP49="",CP48&lt;&gt;""),AND(CQ48="",CQ49&lt;&gt;""),AND(CQ49="",CQ48&lt;&gt;"")),"",CO48*1000+CP48*10+CQ48)</f>
        <v>3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Portugal</v>
      </c>
      <c r="CO49" s="62">
        <v>0</v>
      </c>
      <c r="CP49" s="64">
        <v>0</v>
      </c>
      <c r="CQ49" s="27">
        <v>4</v>
      </c>
      <c r="CR49" s="111">
        <f>IF(CR48="","",CO49*1000+CP49*10+CQ49)</f>
        <v>4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2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2</v>
      </c>
      <c r="AL50" s="123">
        <f>AI50-AJ50</f>
        <v>4</v>
      </c>
      <c r="AM50" s="123">
        <f>AL50-AL54</f>
        <v>11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97305932.513447553</v>
      </c>
      <c r="AQ50" s="126">
        <f>VLOOKUP(AE50,db_fifarank,2,FALSE)</f>
        <v>1876.4</v>
      </c>
      <c r="AR50" s="125">
        <f>AP50/AP54</f>
        <v>0.99999998053429007</v>
      </c>
      <c r="AS50" s="125" t="str">
        <f>IF(SUM(AF50:AH53)=12,J51,"1H")</f>
        <v>Uruguay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31">
        <v>79</v>
      </c>
      <c r="BL50" s="24" t="str">
        <f>AS8</f>
        <v>Mexico</v>
      </c>
      <c r="BM50" s="61">
        <v>0</v>
      </c>
      <c r="BN50" s="63">
        <v>0</v>
      </c>
      <c r="BO50" s="25">
        <v>2</v>
      </c>
      <c r="BP50" s="112">
        <f>IF(OR(BM50="",BM51="",AND(BN50="",BN51&lt;&gt;""),AND(BN51="",BN50&lt;&gt;""),AND(BO50="",BO51&lt;&gt;""),AND(BO51="",BO50&lt;&gt;"")),"",BM50*1000+BN50*10+BO50)</f>
        <v>2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Uruguay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7 - 2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7.0197671309429793E-12</v>
      </c>
      <c r="AS51" s="125" t="str">
        <f>IF(SUM(AF50:AH53)=12,J52,"2H")</f>
        <v>Spain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>
        <v>0</v>
      </c>
      <c r="BO51" s="27">
        <v>3</v>
      </c>
      <c r="BP51" s="113">
        <f>IF(BP50="","",BM51*1000+BN51*10+BO51)</f>
        <v>3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Spain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6 - 2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5</v>
      </c>
      <c r="AL52" s="123">
        <f>AI52-AJ52</f>
        <v>-2</v>
      </c>
      <c r="AM52" s="123">
        <f>AL52-AL54</f>
        <v>5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37500004.221864566</v>
      </c>
      <c r="AQ52" s="126">
        <f>VLOOKUP(AE52,db_fifarank,2,FALSE)</f>
        <v>1421.43</v>
      </c>
      <c r="AR52" s="125">
        <f>AP52/AP54</f>
        <v>0.38538249953791776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Scotland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1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2</v>
      </c>
      <c r="AL53" s="123">
        <f>AI53-AJ53</f>
        <v>5</v>
      </c>
      <c r="AM53" s="123">
        <f>AL53-AL54</f>
        <v>12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97305933.40757665</v>
      </c>
      <c r="AQ53" s="126">
        <f>VLOOKUP(AE53,db_fifarank,2,FALSE)</f>
        <v>1673.07</v>
      </c>
      <c r="AR53" s="125">
        <f>AP53/AP54</f>
        <v>0.99999998972313453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8</v>
      </c>
      <c r="AL54" s="123">
        <f>MIN(AL50:AL53)</f>
        <v>-7</v>
      </c>
      <c r="AM54" s="123">
        <f>MAX(AM50:AM53)+1</f>
        <v>13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97305934.40757665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16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90000010.312703371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5</v>
      </c>
      <c r="AL57" s="123">
        <f>AI57-AJ57</f>
        <v>-3</v>
      </c>
      <c r="AM57" s="123">
        <f>AL57-AL60</f>
        <v>6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30000003.730256256</v>
      </c>
      <c r="AQ57" s="126">
        <f>VLOOKUP(AE57,db_fifarank,2,FALSE)</f>
        <v>1688.99</v>
      </c>
      <c r="AR57" s="125">
        <f>AP57/AP60</f>
        <v>0.33333333288172373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7 - 2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9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8.0396656561071921E-12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2</v>
      </c>
      <c r="AL59" s="123">
        <f>AI59-AJ59</f>
        <v>5</v>
      </c>
      <c r="AM59" s="123">
        <f>AL59-AL60</f>
        <v>14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60000008.936069593</v>
      </c>
      <c r="AQ59" s="126">
        <f>VLOOKUP(AE59,db_fifarank,2,FALSE)</f>
        <v>1550.94</v>
      </c>
      <c r="AR59" s="125">
        <f>AP59/AP60</f>
        <v>0.66666668215852409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Spain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-9</v>
      </c>
      <c r="AM60" s="123">
        <f>MAX(AM56:AM59)+1</f>
        <v>17</v>
      </c>
      <c r="AN60" s="123">
        <f>MAX(AN56:AN59)+1</f>
        <v>10</v>
      </c>
      <c r="AO60" s="123">
        <f>MAX(AO56:AO59)+1</f>
        <v>10</v>
      </c>
      <c r="AP60" s="123">
        <f>MAX(AP56:AP59)+1</f>
        <v>90000011.312703371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2</v>
      </c>
      <c r="W62" s="123">
        <f t="shared" si="22"/>
        <v>2</v>
      </c>
      <c r="X62" s="123">
        <f t="shared" si="9"/>
        <v>1</v>
      </c>
      <c r="Y62" s="123">
        <f t="shared" si="10"/>
        <v>2</v>
      </c>
      <c r="Z62" s="123">
        <f t="shared" si="11"/>
        <v>2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0</v>
      </c>
      <c r="AL62" s="123">
        <f>AI62-AJ62</f>
        <v>7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90000010.042604089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4</v>
      </c>
      <c r="AL63" s="123">
        <f>AI63-AJ63</f>
        <v>-4</v>
      </c>
      <c r="AM63" s="123">
        <f>AL63-AL66</f>
        <v>0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19804019.608625267</v>
      </c>
      <c r="AQ63" s="126">
        <f>VLOOKUP(AE63,db_fifarank,2,FALSE)</f>
        <v>1564.26</v>
      </c>
      <c r="AR63" s="125">
        <f>AP63/AP66</f>
        <v>0.22004463531954974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4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60000003.709130064</v>
      </c>
      <c r="AQ64" s="126">
        <f>VLOOKUP(AE64,db_fifarank,2,FALSE)</f>
        <v>1593.45</v>
      </c>
      <c r="AR64" s="125">
        <f>AP64/AP66</f>
        <v>0.66666662608216054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>
        <v>0</v>
      </c>
      <c r="CC64" s="25">
        <v>3</v>
      </c>
      <c r="CD64" s="116">
        <f>IF(OR(CA64="",CA65="",AND(CB64="",CB65&lt;&gt;""),AND(CB65="",CB64&lt;&gt;""),AND(CC64="",CC65&lt;&gt;""),AND(CC65="",CC64&lt;&gt;"")),"",CA64*1000+CB64*10+CC64)</f>
        <v>3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1 - 4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4</v>
      </c>
      <c r="AL65" s="123">
        <f>AI65-AJ65</f>
        <v>-3</v>
      </c>
      <c r="AM65" s="123">
        <f>AL65-AL66</f>
        <v>1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19804020.566872194</v>
      </c>
      <c r="AQ65" s="126">
        <f>VLOOKUP(AE65,db_fifarank,2,FALSE)</f>
        <v>1391.45</v>
      </c>
      <c r="AR65" s="125">
        <f>AP65/AP66</f>
        <v>0.22004464596673654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>
        <v>0</v>
      </c>
      <c r="CC65" s="27">
        <v>4</v>
      </c>
      <c r="CD65" s="112">
        <f>IF(CD64="","",CA65*1000+CB65*10+CC65)</f>
        <v>4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8</v>
      </c>
      <c r="AL66" s="123">
        <f>MIN(AL62:AL65)</f>
        <v>-4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90000011.042604089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Ivory Coast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0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90000010.106651142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Brazil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7 - 0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0.22004463516248129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3 - 2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4</v>
      </c>
      <c r="AL70" s="123">
        <f>AI70-AJ70</f>
        <v>-3</v>
      </c>
      <c r="AM70" s="123">
        <f>AL70-AL72</f>
        <v>2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19804021.27203735</v>
      </c>
      <c r="AQ70" s="126">
        <f>VLOOKUP(AE70,db_fifarank,2,FALSE)</f>
        <v>1465.34</v>
      </c>
      <c r="AR70" s="125">
        <f>AP70/AP72</f>
        <v>0.22004465364531273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2</v>
      </c>
      <c r="AL71" s="123">
        <f>AI71-AJ71</f>
        <v>1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60000004.991231158</v>
      </c>
      <c r="AQ71" s="126">
        <f>VLOOKUP(AE71,db_fifarank,2,FALSE)</f>
        <v>1693.09</v>
      </c>
      <c r="AR71" s="125">
        <f>AP71/AP72</f>
        <v>0.66666663985330399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90000011.106651142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1</v>
      </c>
      <c r="AL74" s="123">
        <f>AI74-AJ74</f>
        <v>3</v>
      </c>
      <c r="AM74" s="123">
        <f>AL74-AL78</f>
        <v>9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97305933.101883858</v>
      </c>
      <c r="AQ74" s="126">
        <f>VLOOKUP(AE74,db_fifarank,2,FALSE)</f>
        <v>1825.97</v>
      </c>
      <c r="AR74" s="125">
        <f>AP74/AP78</f>
        <v>0.99999998972313442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4 - 1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1</v>
      </c>
      <c r="AL75" s="123">
        <f>AI75-AJ75</f>
        <v>3</v>
      </c>
      <c r="AM75" s="123">
        <f>AL75-AL78</f>
        <v>9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97305933.10182941</v>
      </c>
      <c r="AQ75" s="126">
        <f>VLOOKUP(AE75,db_fifarank,2,FALSE)</f>
        <v>1717.07</v>
      </c>
      <c r="AR75" s="125">
        <f>AP75/AP78</f>
        <v>0.99999998972257487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4 - 1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6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37500006.600673154</v>
      </c>
      <c r="AQ76" s="126">
        <f>VLOOKUP(AE76,db_fifarank,2,FALSE)</f>
        <v>1346.31</v>
      </c>
      <c r="AR76" s="125">
        <f>AP76/AP78</f>
        <v>0.38538252519531746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3 - 3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7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0.20077032</v>
      </c>
      <c r="AQ77" s="126">
        <f>VLOOKUP(AE77,db_fifarank,2,FALSE)</f>
        <v>1540.64</v>
      </c>
      <c r="AR77" s="125">
        <f>AP77/AP78</f>
        <v>2.0632895809805813E-9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5</v>
      </c>
      <c r="AL78" s="123">
        <f>MIN(AL74:AL77)</f>
        <v>-6</v>
      </c>
      <c r="AM78" s="123">
        <f>MAX(AM74:AM77)+1</f>
        <v>10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97305934.101883858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5650.0007506900001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Sweden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0</v>
      </c>
      <c r="N81" s="97">
        <f>VLOOKUP(1,$AD$80:$AN$91,5,FALSE)</f>
        <v>2</v>
      </c>
      <c r="O81" s="97" t="str">
        <f>VLOOKUP(1,$AD$80:$AN$91,6,FALSE) &amp; " - " &amp; VLOOKUP(1,$AD$80:$AN$91,7,FALSE)</f>
        <v>3 - 3</v>
      </c>
      <c r="P81" s="98">
        <f>L81*3+M81</f>
        <v>3</v>
      </c>
      <c r="AD81" s="123">
        <f t="shared" ref="AD81:AD91" si="38">COUNTIF($AP$80:$AP$91,CONCATENATE("&gt;=",AP81))</f>
        <v>4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8150.00072748</v>
      </c>
      <c r="AQ81" s="126">
        <f t="shared" si="37"/>
        <v>1454.96</v>
      </c>
      <c r="AR81" s="125" t="str">
        <f>AR80&amp;IF(AD81&lt;=8,RIGHT(AK81,1),"")</f>
        <v>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Ghana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3 - 3</v>
      </c>
      <c r="P82" s="101">
        <f t="shared" ref="P82:P92" si="48">L82*3+M82</f>
        <v>3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7950.0007491750002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United States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2 - 3</v>
      </c>
      <c r="P83" s="101">
        <f t="shared" si="48"/>
        <v>3</v>
      </c>
      <c r="AD83" s="123">
        <f t="shared" si="38"/>
        <v>3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8150.0008365650001</v>
      </c>
      <c r="AQ83" s="126">
        <f t="shared" si="37"/>
        <v>1673.13</v>
      </c>
      <c r="AR83" s="125" t="str">
        <f t="shared" si="50"/>
        <v>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Qatar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5</v>
      </c>
      <c r="AK84" s="123" t="s">
        <v>3185</v>
      </c>
      <c r="AL84" s="123">
        <f t="shared" si="43"/>
        <v>-4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7525.0007664900004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Ⓗ Saudi Arabia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3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8375.0007573849998</v>
      </c>
      <c r="AQ85" s="126">
        <f t="shared" si="37"/>
        <v>1514.77</v>
      </c>
      <c r="AR85" s="125" t="str">
        <f t="shared" si="50"/>
        <v>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Egypt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1</v>
      </c>
      <c r="AN86" s="123">
        <f t="shared" si="45"/>
        <v>2</v>
      </c>
      <c r="AP86" s="123">
        <f>AN86/AN92*10000+AM86/AM92*1000+AI86/AI92*100+IF(AQ86=0,ROW(),AQ86)/2000000</f>
        <v>5225.0007816200005</v>
      </c>
      <c r="AQ86" s="126">
        <f t="shared" si="37"/>
        <v>1563.24</v>
      </c>
      <c r="AR86" s="125" t="str">
        <f t="shared" si="50"/>
        <v>BCDEF</v>
      </c>
      <c r="AS86" s="129" t="str">
        <f t="shared" si="46"/>
        <v/>
      </c>
      <c r="AT86" s="130" t="str">
        <f>"Ⓖ "&amp;AE86</f>
        <v>Ⓖ Egypt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Uruguay</v>
      </c>
      <c r="T87" s="127" t="str" cm="1">
        <f t="array" ref="T87">IF(OR(S87="",S87="draw"),INDEX(T,89,lang),S87)</f>
        <v>Uruguay</v>
      </c>
      <c r="AD87" s="123">
        <f t="shared" si="38"/>
        <v>5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5</v>
      </c>
      <c r="AK87" s="123" t="s">
        <v>3188</v>
      </c>
      <c r="AL87" s="123">
        <f t="shared" si="43"/>
        <v>-2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7975.0007107150004</v>
      </c>
      <c r="AQ87" s="126">
        <f t="shared" si="37"/>
        <v>1421.43</v>
      </c>
      <c r="AR87" s="125" t="str">
        <f t="shared" si="50"/>
        <v>BCDEFH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Ivory Coast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5</v>
      </c>
      <c r="AK88" s="123" t="s">
        <v>3189</v>
      </c>
      <c r="AL88" s="123">
        <f t="shared" si="43"/>
        <v>-3</v>
      </c>
      <c r="AM88" s="123">
        <f t="shared" si="44"/>
        <v>1</v>
      </c>
      <c r="AN88" s="123">
        <f t="shared" si="45"/>
        <v>3</v>
      </c>
      <c r="AP88" s="123">
        <f>AN88/AN92*10000+AM88/AM92*1000+AI88/AI92*100+IF(AQ88=0,ROW(),AQ88)/2000000</f>
        <v>7750.0008444949999</v>
      </c>
      <c r="AQ88" s="126">
        <f t="shared" si="37"/>
        <v>1688.99</v>
      </c>
      <c r="AR88" s="125" t="str">
        <f t="shared" si="50"/>
        <v>BCDEFHI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Czech Republic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2 - 3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Jordan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1</v>
      </c>
      <c r="AJ89" s="123">
        <f t="shared" si="42"/>
        <v>4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1</v>
      </c>
      <c r="AP89" s="123">
        <f>AN89/AN92*10000+AM89/AM92*1000+AI89/AI92*100+IF(AQ89=0,ROW(),AQ89)/2000000</f>
        <v>2725.0006957249998</v>
      </c>
      <c r="AQ89" s="126">
        <f t="shared" si="37"/>
        <v>1391.45</v>
      </c>
      <c r="AR89" s="125" t="str">
        <f t="shared" si="50"/>
        <v>BCDEFHI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Egypt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2725.0007326700002</v>
      </c>
      <c r="AQ90" s="126">
        <f t="shared" si="37"/>
        <v>1465.34</v>
      </c>
      <c r="AR90" s="125" t="str">
        <f t="shared" si="50"/>
        <v>BCDEFHI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2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4</v>
      </c>
      <c r="AN91" s="123">
        <f>VLOOKUP($AE91,$AE$8:$AQ$78,10,FALSE)</f>
        <v>3</v>
      </c>
      <c r="AP91" s="123">
        <f>AN91/AN92*10000+AM91/AM92*1000+AI91/AI92*100+IF(AQ91=0,ROW(),AQ91)/2000000</f>
        <v>8375.0006731550002</v>
      </c>
      <c r="AQ91" s="126">
        <f t="shared" si="37"/>
        <v>1346.31</v>
      </c>
      <c r="AR91" s="125" t="str">
        <f t="shared" si="50"/>
        <v>BCDEFHIL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Jordan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4</v>
      </c>
      <c r="AJ92" s="123">
        <f>MAX(AJ80:AJ91)+1</f>
        <v>6</v>
      </c>
      <c r="AL92" s="123">
        <f>MIN(AL80:AL91)</f>
        <v>-4</v>
      </c>
      <c r="AM92" s="123">
        <f>MAX(AM80:AM91)+1</f>
        <v>5</v>
      </c>
      <c r="AN92" s="123">
        <f>MAX(AN80:AN91)+1</f>
        <v>4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Uruguay</v>
      </c>
      <c r="T97" s="127" t="str" cm="1">
        <f t="array" ref="T97">IF(OR(S97="",S97="draw"),INDEX(T,96,lang),S97)</f>
        <v>Uruguay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Uruguay</v>
      </c>
      <c r="T103" s="127" t="str" cm="1">
        <f t="array" ref="T103">IF(OR(S103="",S103="draw"),INDEX(T,99,lang),S103)</f>
        <v>Uruguay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>
      <formula1>"0,1,2,3,4,5,6,7,8,9,10,11,12,13,14,15,16,17,18,19,20"</formula1>
    </dataValidation>
    <dataValidation type="list" allowBlank="1" showInputMessage="1" showErrorMessage="1" sqref="F7:G78">
      <formula1>"0,1,2,3,4,5,6,7,8,9"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26 Schedule in Excel" display="Home Page: www.excely.com"/>
    <hyperlink ref="C83:G88" r:id="rId3" tooltip="World Cup 2026 Interactive Schedule Online - www.wallchart.io" display="http://www.wallchart.io/football/world-cup-2026.html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153</v>
      </c>
      <c r="C3" s="121" t="str">
        <f>'2026 World Cup'!AR91</f>
        <v>BCDEFHIL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fer esteban</cp:lastModifiedBy>
  <cp:revision/>
  <dcterms:created xsi:type="dcterms:W3CDTF">2017-12-27T19:32:51Z</dcterms:created>
  <dcterms:modified xsi:type="dcterms:W3CDTF">2026-06-10T22:49:15Z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