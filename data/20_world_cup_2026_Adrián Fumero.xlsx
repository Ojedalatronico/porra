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v1\Downloads\"/>
    </mc:Choice>
  </mc:AlternateContent>
  <xr:revisionPtr revIDLastSave="0" documentId="13_ncr:1_{12938C87-A0EE-43B0-ACC1-A1DEBE6DF4D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5" i="3"/>
  <c r="S47" i="3"/>
  <c r="S67" i="3"/>
  <c r="S72" i="3"/>
  <c r="T19" i="3"/>
  <c r="S70" i="3"/>
  <c r="S42" i="3"/>
  <c r="S64" i="3"/>
  <c r="T41" i="3"/>
  <c r="S40" i="3"/>
  <c r="S62" i="3"/>
  <c r="T16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9" i="3"/>
  <c r="AR33" i="3"/>
  <c r="AR34" i="3"/>
  <c r="AR35" i="3"/>
  <c r="AR28" i="3"/>
  <c r="AR21" i="3"/>
  <c r="AR10" i="3"/>
  <c r="AR1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D15" i="3" s="1"/>
  <c r="AR45" i="3"/>
  <c r="AR63" i="3"/>
  <c r="AR47" i="3"/>
  <c r="AR64" i="3"/>
  <c r="AR39" i="3"/>
  <c r="AD56" i="3"/>
  <c r="AR16" i="3"/>
  <c r="AR17" i="3"/>
  <c r="AD59" i="3"/>
  <c r="AD33" i="3"/>
  <c r="AD32" i="3"/>
  <c r="AD9" i="3"/>
  <c r="AD8" i="3"/>
  <c r="AD10" i="3"/>
  <c r="AD11" i="3"/>
  <c r="AD35" i="3" l="1"/>
  <c r="M58" i="3"/>
  <c r="AD77" i="3"/>
  <c r="AD34" i="3"/>
  <c r="M34" i="3" s="1"/>
  <c r="AD26" i="3"/>
  <c r="M27" i="3" s="1"/>
  <c r="AD44" i="3"/>
  <c r="AD62" i="3"/>
  <c r="O63" i="3" s="1"/>
  <c r="N58" i="3"/>
  <c r="AD76" i="3"/>
  <c r="AD74" i="3"/>
  <c r="AD71" i="3"/>
  <c r="L58" i="3"/>
  <c r="AD75" i="3"/>
  <c r="M59" i="3"/>
  <c r="AD22" i="3"/>
  <c r="AD70" i="3"/>
  <c r="AD41" i="3"/>
  <c r="O60" i="3"/>
  <c r="L59" i="3"/>
  <c r="AD14" i="3"/>
  <c r="AD28" i="3"/>
  <c r="AD21" i="3"/>
  <c r="AD29" i="3"/>
  <c r="AD20" i="3"/>
  <c r="AD27" i="3"/>
  <c r="AD63" i="3"/>
  <c r="AD47" i="3"/>
  <c r="AD53" i="3"/>
  <c r="AD68" i="3"/>
  <c r="O69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36" i="3"/>
  <c r="J33" i="3"/>
  <c r="AS32" i="3" s="1"/>
  <c r="BL10" i="3" s="1"/>
  <c r="N33" i="3"/>
  <c r="L33" i="3"/>
  <c r="O33" i="3"/>
  <c r="M33" i="3"/>
  <c r="L36" i="3"/>
  <c r="O36" i="3"/>
  <c r="M36" i="3"/>
  <c r="N36" i="3"/>
  <c r="S88" i="3" l="1"/>
  <c r="T88" i="3" s="1" a="1"/>
  <c r="T88" i="3" s="1"/>
  <c r="BS20" i="3"/>
  <c r="O27" i="3"/>
  <c r="J35" i="3"/>
  <c r="AE84" i="3" s="1"/>
  <c r="AQ84" i="3" s="1"/>
  <c r="L35" i="3"/>
  <c r="N35" i="3"/>
  <c r="O35" i="3"/>
  <c r="N27" i="3"/>
  <c r="J27" i="3"/>
  <c r="AS26" i="3" s="1"/>
  <c r="BL34" i="3" s="1"/>
  <c r="J34" i="3"/>
  <c r="AS33" i="3" s="1"/>
  <c r="BL46" i="3" s="1"/>
  <c r="O34" i="3"/>
  <c r="M35" i="3"/>
  <c r="L30" i="3"/>
  <c r="L27" i="3"/>
  <c r="L34" i="3"/>
  <c r="P34" i="3" s="1"/>
  <c r="N75" i="3"/>
  <c r="N34" i="3"/>
  <c r="N65" i="3"/>
  <c r="J63" i="3"/>
  <c r="AS62" i="3" s="1"/>
  <c r="BL58" i="3" s="1"/>
  <c r="BS60" i="3" s="1"/>
  <c r="BZ64" i="3" s="1"/>
  <c r="N63" i="3"/>
  <c r="M63" i="3"/>
  <c r="O75" i="3"/>
  <c r="N45" i="3"/>
  <c r="L75" i="3"/>
  <c r="J45" i="3"/>
  <c r="AS44" i="3" s="1"/>
  <c r="BL38" i="3" s="1"/>
  <c r="L45" i="3"/>
  <c r="L51" i="3"/>
  <c r="M45" i="3"/>
  <c r="K58" i="3"/>
  <c r="N39" i="3"/>
  <c r="L63" i="3"/>
  <c r="O45" i="3"/>
  <c r="P58" i="3"/>
  <c r="N30" i="3"/>
  <c r="O30" i="3"/>
  <c r="N77" i="3"/>
  <c r="J77" i="3"/>
  <c r="AE91" i="3" s="1"/>
  <c r="AQ91" i="3" s="1"/>
  <c r="O77" i="3"/>
  <c r="L77" i="3"/>
  <c r="M75" i="3"/>
  <c r="O21" i="3"/>
  <c r="O76" i="3"/>
  <c r="J75" i="3"/>
  <c r="AS74" i="3" s="1"/>
  <c r="BL54" i="3" s="1"/>
  <c r="J30" i="3"/>
  <c r="M30" i="3"/>
  <c r="O78" i="3"/>
  <c r="J18" i="3"/>
  <c r="O39" i="3"/>
  <c r="M39" i="3"/>
  <c r="M78" i="3"/>
  <c r="M65" i="3"/>
  <c r="L76" i="3"/>
  <c r="J65" i="3"/>
  <c r="AE89" i="3" s="1"/>
  <c r="AQ89" i="3" s="1"/>
  <c r="N78" i="3"/>
  <c r="J78" i="3"/>
  <c r="L65" i="3"/>
  <c r="L78" i="3"/>
  <c r="O65" i="3"/>
  <c r="M76" i="3"/>
  <c r="N76" i="3"/>
  <c r="M77" i="3"/>
  <c r="M64" i="3"/>
  <c r="M51" i="3"/>
  <c r="P59" i="3"/>
  <c r="M70" i="3"/>
  <c r="J46" i="3"/>
  <c r="AS45" i="3" s="1"/>
  <c r="BL63" i="3" s="1"/>
  <c r="M29" i="3"/>
  <c r="N71" i="3"/>
  <c r="O64" i="3"/>
  <c r="J76" i="3"/>
  <c r="AS75" i="3" s="1"/>
  <c r="BL27" i="3" s="1"/>
  <c r="M71" i="3"/>
  <c r="J29" i="3"/>
  <c r="AE83" i="3" s="1"/>
  <c r="AQ83" i="3" s="1"/>
  <c r="O70" i="3"/>
  <c r="N70" i="3"/>
  <c r="N52" i="3"/>
  <c r="O51" i="3"/>
  <c r="O16" i="3"/>
  <c r="J64" i="3"/>
  <c r="AS63" i="3" s="1"/>
  <c r="BL31" i="3" s="1"/>
  <c r="J47" i="3"/>
  <c r="AE86" i="3" s="1"/>
  <c r="AQ86" i="3" s="1"/>
  <c r="N16" i="3"/>
  <c r="M54" i="3"/>
  <c r="L40" i="3"/>
  <c r="M18" i="3"/>
  <c r="L29" i="3"/>
  <c r="L17" i="3"/>
  <c r="L18" i="3"/>
  <c r="J16" i="3"/>
  <c r="AS15" i="3" s="1"/>
  <c r="BL19" i="3" s="1"/>
  <c r="N64" i="3"/>
  <c r="N18" i="3"/>
  <c r="J66" i="3"/>
  <c r="O29" i="3"/>
  <c r="O17" i="3"/>
  <c r="L15" i="3"/>
  <c r="N17" i="3"/>
  <c r="O66" i="3"/>
  <c r="N66" i="3"/>
  <c r="N29" i="3"/>
  <c r="M66" i="3"/>
  <c r="J51" i="3"/>
  <c r="AS50" i="3" s="1"/>
  <c r="BL30" i="3" s="1"/>
  <c r="M16" i="3"/>
  <c r="J69" i="3"/>
  <c r="AS68" i="3" s="1"/>
  <c r="BL70" i="3" s="1"/>
  <c r="L66" i="3"/>
  <c r="N51" i="3"/>
  <c r="J71" i="3"/>
  <c r="AE90" i="3" s="1"/>
  <c r="AQ90" i="3" s="1"/>
  <c r="M42" i="3"/>
  <c r="L28" i="3"/>
  <c r="L24" i="3"/>
  <c r="M46" i="3"/>
  <c r="J28" i="3"/>
  <c r="AS27" i="3" s="1"/>
  <c r="BL62" i="3" s="1"/>
  <c r="BS61" i="3" s="1"/>
  <c r="M22" i="3"/>
  <c r="AT88" i="3"/>
  <c r="N28" i="3"/>
  <c r="L21" i="3"/>
  <c r="AN88" i="3"/>
  <c r="N48" i="3"/>
  <c r="O48" i="3"/>
  <c r="M28" i="3"/>
  <c r="AJ88" i="3"/>
  <c r="J48" i="3"/>
  <c r="O46" i="3"/>
  <c r="J41" i="3"/>
  <c r="AE85" i="3" s="1"/>
  <c r="AQ85" i="3" s="1"/>
  <c r="O23" i="3"/>
  <c r="J22" i="3"/>
  <c r="AS21" i="3" s="1"/>
  <c r="BL23" i="3" s="1"/>
  <c r="AI88" i="3"/>
  <c r="J21" i="3"/>
  <c r="AS20" i="3" s="1"/>
  <c r="BL42" i="3" s="1"/>
  <c r="BS44" i="3" s="1"/>
  <c r="BZ48" i="3" s="1"/>
  <c r="J42" i="3"/>
  <c r="O28" i="3"/>
  <c r="N22" i="3"/>
  <c r="J24" i="3"/>
  <c r="AG88" i="3"/>
  <c r="L46" i="3"/>
  <c r="M21" i="3"/>
  <c r="AF88" i="3"/>
  <c r="N24" i="3"/>
  <c r="L23" i="3"/>
  <c r="O22" i="3"/>
  <c r="L48" i="3"/>
  <c r="L47" i="3"/>
  <c r="N21" i="3"/>
  <c r="O18" i="3"/>
  <c r="K59" i="3"/>
  <c r="N46" i="3"/>
  <c r="M48" i="3"/>
  <c r="N47" i="3"/>
  <c r="O24" i="3"/>
  <c r="M17" i="3"/>
  <c r="M24" i="3"/>
  <c r="M47" i="3"/>
  <c r="L22" i="3"/>
  <c r="L16" i="3"/>
  <c r="O40" i="3"/>
  <c r="O47" i="3"/>
  <c r="L64" i="3"/>
  <c r="L71" i="3"/>
  <c r="J39" i="3"/>
  <c r="AS38" i="3" s="1"/>
  <c r="BL22" i="3" s="1"/>
  <c r="L54" i="3"/>
  <c r="J40" i="3"/>
  <c r="AS39" i="3" s="1"/>
  <c r="BL43" i="3" s="1"/>
  <c r="K57" i="3"/>
  <c r="J70" i="3"/>
  <c r="AS69" i="3" s="1"/>
  <c r="BL26" i="3" s="1"/>
  <c r="L70" i="3"/>
  <c r="N54" i="3"/>
  <c r="N40" i="3"/>
  <c r="P57" i="3"/>
  <c r="J52" i="3"/>
  <c r="AS51" i="3" s="1"/>
  <c r="BL59" i="3" s="1"/>
  <c r="J72" i="3"/>
  <c r="N69" i="3"/>
  <c r="O72" i="3"/>
  <c r="O42" i="3"/>
  <c r="O54" i="3"/>
  <c r="N72" i="3"/>
  <c r="M72" i="3"/>
  <c r="M40" i="3"/>
  <c r="N53" i="3"/>
  <c r="M69" i="3"/>
  <c r="L72" i="3"/>
  <c r="L42" i="3"/>
  <c r="M41" i="3"/>
  <c r="O71" i="3"/>
  <c r="L39" i="3"/>
  <c r="L69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6" i="3"/>
  <c r="K36" i="3"/>
  <c r="P33" i="3"/>
  <c r="K33" i="3"/>
  <c r="AF84" i="3"/>
  <c r="AG84" i="3"/>
  <c r="AI84" i="3"/>
  <c r="AN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T84" i="3" l="1"/>
  <c r="AH84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AL84" i="3"/>
  <c r="K27" i="3"/>
  <c r="AJ84" i="3"/>
  <c r="K35" i="3"/>
  <c r="P35" i="3"/>
  <c r="P27" i="3"/>
  <c r="K34" i="3"/>
  <c r="P30" i="3"/>
  <c r="K45" i="3"/>
  <c r="P63" i="3"/>
  <c r="P75" i="3"/>
  <c r="P45" i="3"/>
  <c r="P51" i="3"/>
  <c r="K63" i="3"/>
  <c r="AF91" i="3"/>
  <c r="AH91" i="3"/>
  <c r="AN91" i="3"/>
  <c r="AJ91" i="3"/>
  <c r="AI91" i="3"/>
  <c r="P39" i="3"/>
  <c r="AG91" i="3"/>
  <c r="AT91" i="3"/>
  <c r="AL91" i="3"/>
  <c r="K75" i="3"/>
  <c r="K30" i="3"/>
  <c r="P77" i="3"/>
  <c r="P78" i="3"/>
  <c r="K65" i="3"/>
  <c r="AJ86" i="3"/>
  <c r="AT86" i="3"/>
  <c r="P70" i="3"/>
  <c r="AL86" i="3"/>
  <c r="P54" i="3"/>
  <c r="K22" i="3"/>
  <c r="P18" i="3"/>
  <c r="AN89" i="3"/>
  <c r="AL89" i="3"/>
  <c r="AJ89" i="3"/>
  <c r="AI89" i="3"/>
  <c r="AH89" i="3"/>
  <c r="AT89" i="3"/>
  <c r="AN86" i="3"/>
  <c r="P76" i="3"/>
  <c r="P65" i="3"/>
  <c r="AI86" i="3"/>
  <c r="K78" i="3"/>
  <c r="P40" i="3"/>
  <c r="P22" i="3"/>
  <c r="K29" i="3"/>
  <c r="K71" i="3"/>
  <c r="K77" i="3"/>
  <c r="AF86" i="3"/>
  <c r="AG89" i="3"/>
  <c r="P29" i="3"/>
  <c r="AF89" i="3"/>
  <c r="P64" i="3"/>
  <c r="AI83" i="3"/>
  <c r="AF83" i="3"/>
  <c r="AH83" i="3"/>
  <c r="K76" i="3"/>
  <c r="P71" i="3"/>
  <c r="AH85" i="3"/>
  <c r="AG85" i="3"/>
  <c r="P15" i="3"/>
  <c r="P17" i="3"/>
  <c r="P21" i="3"/>
  <c r="AF85" i="3"/>
  <c r="K51" i="3"/>
  <c r="K66" i="3"/>
  <c r="AN82" i="3"/>
  <c r="AJ82" i="3"/>
  <c r="AI82" i="3"/>
  <c r="AG83" i="3"/>
  <c r="K18" i="3"/>
  <c r="AF82" i="3"/>
  <c r="K48" i="3"/>
  <c r="AN83" i="3"/>
  <c r="P16" i="3"/>
  <c r="AG82" i="3"/>
  <c r="AT83" i="3"/>
  <c r="AL83" i="3"/>
  <c r="P23" i="3"/>
  <c r="AJ83" i="3"/>
  <c r="P42" i="3"/>
  <c r="K46" i="3"/>
  <c r="P28" i="3"/>
  <c r="K23" i="3"/>
  <c r="AN85" i="3"/>
  <c r="AL85" i="3"/>
  <c r="P48" i="3"/>
  <c r="K16" i="3"/>
  <c r="AJ85" i="3"/>
  <c r="AI85" i="3"/>
  <c r="P66" i="3"/>
  <c r="AN90" i="3"/>
  <c r="AL90" i="3"/>
  <c r="K21" i="3"/>
  <c r="AJ90" i="3"/>
  <c r="AI90" i="3"/>
  <c r="P46" i="3"/>
  <c r="K28" i="3"/>
  <c r="AH90" i="3"/>
  <c r="AG90" i="3"/>
  <c r="AF90" i="3"/>
  <c r="K15" i="3"/>
  <c r="AT90" i="3"/>
  <c r="P47" i="3"/>
  <c r="AH86" i="3"/>
  <c r="K64" i="3"/>
  <c r="K70" i="3"/>
  <c r="K40" i="3"/>
  <c r="AT82" i="3"/>
  <c r="AT85" i="3"/>
  <c r="AG86" i="3"/>
  <c r="P72" i="3"/>
  <c r="K54" i="3"/>
  <c r="K24" i="3"/>
  <c r="K17" i="3"/>
  <c r="P24" i="3"/>
  <c r="K47" i="3"/>
  <c r="AF81" i="3"/>
  <c r="K41" i="3"/>
  <c r="P69" i="3"/>
  <c r="P52" i="3"/>
  <c r="AH82" i="3"/>
  <c r="P41" i="3"/>
  <c r="K69" i="3"/>
  <c r="AN87" i="3"/>
  <c r="P53" i="3"/>
  <c r="AL87" i="3"/>
  <c r="AT81" i="3"/>
  <c r="K39" i="3"/>
  <c r="AH87" i="3"/>
  <c r="AG87" i="3"/>
  <c r="K72" i="3"/>
  <c r="AN81" i="3"/>
  <c r="AJ87" i="3"/>
  <c r="AJ81" i="3"/>
  <c r="K42" i="3"/>
  <c r="K53" i="3"/>
  <c r="AT87" i="3"/>
  <c r="AL81" i="3"/>
  <c r="AF87" i="3"/>
  <c r="AI81" i="3"/>
  <c r="AH81" i="3"/>
  <c r="AG8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F92" i="3"/>
  <c r="AH92" i="3"/>
  <c r="AS92" i="3"/>
  <c r="AJ92" i="3"/>
  <c r="AI92" i="3"/>
  <c r="AN92" i="3"/>
  <c r="AL92" i="3"/>
  <c r="AM88" i="3" s="1"/>
  <c r="S103" i="3" l="1"/>
  <c r="T103" i="3" s="1" a="1"/>
  <c r="T103" i="3" s="1"/>
  <c r="CG24" i="3"/>
  <c r="AM87" i="3"/>
  <c r="AM86" i="3"/>
  <c r="AM81" i="3"/>
  <c r="AM82" i="3"/>
  <c r="AM91" i="3"/>
  <c r="AM83" i="3"/>
  <c r="AM84" i="3"/>
  <c r="AM85" i="3"/>
  <c r="AM80" i="3"/>
  <c r="AM89" i="3"/>
  <c r="AM9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CN48" i="3" s="1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K68" i="3" s="1"/>
  <c r="S111" i="3"/>
  <c r="T111" i="3" s="1"/>
  <c r="AD91" i="3"/>
  <c r="AS91" i="3" s="1"/>
  <c r="AD84" i="3"/>
  <c r="AS84" i="3" s="1"/>
  <c r="AD89" i="3"/>
  <c r="AS89" i="3" s="1"/>
  <c r="AD88" i="3"/>
  <c r="AS88" i="3" s="1"/>
  <c r="AD86" i="3"/>
  <c r="AS86" i="3" s="1"/>
  <c r="AD82" i="3"/>
  <c r="AS82" i="3" s="1"/>
  <c r="AD80" i="3"/>
  <c r="AD90" i="3"/>
  <c r="AS90" i="3" s="1"/>
  <c r="AD83" i="3"/>
  <c r="AS83" i="3" s="1"/>
  <c r="AD87" i="3"/>
  <c r="AS87" i="3" s="1"/>
  <c r="AD81" i="3"/>
  <c r="AS81" i="3" s="1"/>
  <c r="AD85" i="3"/>
  <c r="AS85" i="3" s="1"/>
  <c r="O82" i="3" l="1"/>
  <c r="N82" i="3"/>
  <c r="L82" i="3"/>
  <c r="M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AS80" i="3"/>
  <c r="M85" i="3"/>
  <c r="M87" i="3"/>
  <c r="M92" i="3"/>
  <c r="J82" i="3"/>
  <c r="L83" i="3"/>
  <c r="N86" i="3"/>
  <c r="L87" i="3"/>
  <c r="N91" i="3"/>
  <c r="M83" i="3"/>
  <c r="N84" i="3"/>
  <c r="M86" i="3"/>
  <c r="O88" i="3"/>
  <c r="N87" i="3"/>
  <c r="O83" i="3"/>
  <c r="O87" i="3"/>
  <c r="N92" i="3"/>
  <c r="M88" i="3"/>
  <c r="J88" i="3"/>
  <c r="J90" i="3"/>
  <c r="N81" i="3"/>
  <c r="J89" i="3"/>
  <c r="N89" i="3"/>
  <c r="O90" i="3"/>
  <c r="O91" i="3"/>
  <c r="N90" i="3"/>
  <c r="J84" i="3"/>
  <c r="L81" i="3"/>
  <c r="N88" i="3"/>
  <c r="J81" i="3"/>
  <c r="O85" i="3"/>
  <c r="L92" i="3"/>
  <c r="M89" i="3"/>
  <c r="J86" i="3"/>
  <c r="L89" i="3"/>
  <c r="O89" i="3"/>
  <c r="N83" i="3"/>
  <c r="L85" i="3"/>
  <c r="M84" i="3"/>
  <c r="O84" i="3"/>
  <c r="O92" i="3"/>
  <c r="J85" i="3"/>
  <c r="L84" i="3"/>
  <c r="M81" i="3"/>
  <c r="L86" i="3"/>
  <c r="L90" i="3"/>
  <c r="N85" i="3"/>
  <c r="J91" i="3"/>
  <c r="M90" i="3"/>
  <c r="M91" i="3"/>
  <c r="J87" i="3"/>
  <c r="J83" i="3"/>
  <c r="O81" i="3"/>
  <c r="O86" i="3"/>
  <c r="L88" i="3"/>
  <c r="L91" i="3"/>
  <c r="J92" i="3"/>
  <c r="P82" i="3" l="1"/>
  <c r="K82" i="3"/>
  <c r="P85" i="3"/>
  <c r="P92" i="3"/>
  <c r="P81" i="3"/>
  <c r="K83" i="3"/>
  <c r="P83" i="3"/>
  <c r="K87" i="3"/>
  <c r="P87" i="3"/>
  <c r="P86" i="3"/>
  <c r="B3" i="4"/>
  <c r="D3" i="4"/>
  <c r="BL51" i="3" s="1"/>
  <c r="BS52" i="3" s="1"/>
  <c r="BZ49" i="3" s="1"/>
  <c r="CG55" i="3" s="1"/>
  <c r="CN49" i="3" s="1"/>
  <c r="J3" i="4"/>
  <c r="BL71" i="3" s="1"/>
  <c r="H3" i="4"/>
  <c r="BL39" i="3" s="1"/>
  <c r="K3" i="4"/>
  <c r="BL55" i="3" s="1"/>
  <c r="K84" i="3"/>
  <c r="K86" i="3"/>
  <c r="G3" i="4"/>
  <c r="BL11" i="3" s="1"/>
  <c r="P90" i="3"/>
  <c r="E3" i="4"/>
  <c r="BL67" i="3" s="1"/>
  <c r="K89" i="3"/>
  <c r="K92" i="3"/>
  <c r="P91" i="3"/>
  <c r="I3" i="4"/>
  <c r="BL15" i="3" s="1"/>
  <c r="K88" i="3"/>
  <c r="K90" i="3"/>
  <c r="P89" i="3"/>
  <c r="K85" i="3"/>
  <c r="K81" i="3"/>
  <c r="P88" i="3"/>
  <c r="P84" i="3"/>
  <c r="K91" i="3"/>
  <c r="BS53" i="3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<sst xmlns="http://schemas.openxmlformats.org/spreadsheetml/2006/main" count="9785" uniqueCount="3699">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</sst>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J21" zoomScale="85" zoomScaleNormal="85" workbookViewId="0">
      <selection activeCell="CO50" sqref="CO50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5</v>
      </c>
      <c r="AN8" s="123">
        <f>AF8*3+AG8</f>
        <v>5</v>
      </c>
      <c r="AO8" s="123">
        <f>AN8/AN12*10+BA8</f>
        <v>9.3186991869918714</v>
      </c>
      <c r="AP8" s="123">
        <f>AO8*10000000+BI8*100+AM8/AM12*10+AI8/AI12*1++IF(AQ8=0,ROW(),AQ8)/2000000</f>
        <v>93187098.350201741</v>
      </c>
      <c r="AQ8" s="126">
        <f>VLOOKUP(AE8,db_fifarank,2,FALSE)</f>
        <v>1681.03</v>
      </c>
      <c r="AR8" s="125">
        <f>AP8/AP12</f>
        <v>0.99999997393972373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67.333333333333329</v>
      </c>
      <c r="BA8" s="126">
        <f>AZ8/AZ12</f>
        <v>0.98536585365853657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2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67.333333333333329</v>
      </c>
      <c r="BI8" s="126">
        <f>BH8/BH12</f>
        <v>0.98536585365853657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0.40071486500000003</v>
      </c>
      <c r="AQ9" s="126">
        <f>VLOOKUP(AE9,db_fifarank,2,FALSE)</f>
        <v>1429.73</v>
      </c>
      <c r="AR9" s="125">
        <f>AP9/AP12</f>
        <v>4.300110869976374E-9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5</v>
      </c>
      <c r="AN10" s="123">
        <f>AF10*3+AG10</f>
        <v>5</v>
      </c>
      <c r="AO10" s="123">
        <f>AN10/AN12*10+BA10</f>
        <v>9.3186991869918714</v>
      </c>
      <c r="AP10" s="123">
        <f>AO10*10000000+BI10*100+AM10/AM12*10+AI10/AI12*1++IF(AQ10=0,ROW(),AQ10)/2000000</f>
        <v>93187098.350155562</v>
      </c>
      <c r="AQ10" s="126">
        <f>VLOOKUP(AE10,db_fifarank,2,FALSE)</f>
        <v>1588.66</v>
      </c>
      <c r="AR10" s="125">
        <f>AP10/AP12</f>
        <v>0.99999997393922813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67.333333333333329</v>
      </c>
      <c r="BA10" s="126">
        <f>AZ10/AZ12</f>
        <v>0.98536585365853657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2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67.333333333333329</v>
      </c>
      <c r="BI10" s="126">
        <f>BH10/BH12</f>
        <v>0.98536585365853657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4 - 3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6</v>
      </c>
      <c r="AN11" s="123">
        <f>AF11*3+AG11</f>
        <v>5</v>
      </c>
      <c r="AO11" s="123">
        <f>AN11/AN12*10+BA11</f>
        <v>9.3186991869918714</v>
      </c>
      <c r="AP11" s="123">
        <f>AO11*10000000+BI11*100+AM11/AM12*10+AI11/AI12*1++IF(AQ11=0,ROW(),AQ11)/2000000</f>
        <v>93187099.778683335</v>
      </c>
      <c r="AQ11" s="126">
        <f>VLOOKUP(AE11,db_fifarank,2,FALSE)</f>
        <v>1501.38</v>
      </c>
      <c r="AR11" s="125">
        <f>AP11/AP12</f>
        <v>0.99999998926890099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2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67.333333333333329</v>
      </c>
      <c r="BI11" s="126">
        <f>BH11/BH12</f>
        <v>0.98536585365853657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-4</v>
      </c>
      <c r="AM12" s="123">
        <f>MAX(AM8:AM11)+1</f>
        <v>7</v>
      </c>
      <c r="AN12" s="123">
        <f>MAX(AN8:AN11)+1</f>
        <v>6</v>
      </c>
      <c r="AO12" s="123">
        <f>MAX(AO8:AO11)+1</f>
        <v>10.318699186991871</v>
      </c>
      <c r="AP12" s="123">
        <f>MAX(AP8:AP11)+1</f>
        <v>93187100.778683335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3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68.333333333333329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5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62500006.917444907</v>
      </c>
      <c r="AQ14" s="126">
        <f>VLOOKUP(AE14,db_fifarank,2,FALSE)</f>
        <v>1556.48</v>
      </c>
      <c r="AR14" s="125">
        <f>AP14/AP18</f>
        <v>0.71428570694093829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4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50000005.667359583</v>
      </c>
      <c r="AQ15" s="126">
        <f>VLOOKUP(AE15,db_fifarank,2,FALSE)</f>
        <v>1385.84</v>
      </c>
      <c r="AR15" s="125">
        <f>AP15/AP18</f>
        <v>0.57142856707736367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6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0.33406081333333332</v>
      </c>
      <c r="AQ16" s="126">
        <f>VLOOKUP(AE16,db_fifarank,2,FALSE)</f>
        <v>1454.96</v>
      </c>
      <c r="AR16" s="125">
        <f>AP16/AP18</f>
        <v>3.817837404854159E-9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87500009.584158033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87500010.584158033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1</v>
      </c>
      <c r="AL20" s="123">
        <f>AI20-AJ20</f>
        <v>9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90000010.354415938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4</v>
      </c>
      <c r="AL21" s="123">
        <f>AI21-AJ21</f>
        <v>0</v>
      </c>
      <c r="AM21" s="123">
        <f>AL21-AL24</f>
        <v>8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49805928.109929614</v>
      </c>
      <c r="AQ21" s="126">
        <f>VLOOKUP(AE21,db_fifarank,2,FALSE)</f>
        <v>1755.87</v>
      </c>
      <c r="AR21" s="125">
        <f>AP21/AP24</f>
        <v>0.55339913140450769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4 - 4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7.1761657613203234E-12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7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49805927.463336207</v>
      </c>
      <c r="AQ23" s="126">
        <f>VLOOKUP(AE23,db_fifarank,2,FALSE)</f>
        <v>1498.35</v>
      </c>
      <c r="AR23" s="125">
        <f>AP23/AP24</f>
        <v>0.55339912422013748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-8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90000011.354415938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90000009.429407984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</v>
      </c>
      <c r="AP27" s="123">
        <f>AO27*10000000+BI27*100+AM27/AM30*10+AI27/AI30*1++IF(AQ27=0,ROW(),AQ27)/2000000</f>
        <v>10000000.42932318</v>
      </c>
      <c r="AQ27" s="126">
        <f>VLOOKUP(AE27,db_fifarank,2,FALSE)</f>
        <v>1503.5</v>
      </c>
      <c r="AR27" s="125">
        <f>AP27/AP30</f>
        <v>0.11111110300555728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4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2</v>
      </c>
      <c r="AP28" s="123">
        <f>AO28*10000000+BI28*100+AM28/AM30*10+AI28/AI30*1++IF(AQ28=0,ROW(),AQ28)/2000000</f>
        <v>20000000.286504623</v>
      </c>
      <c r="AQ28" s="126">
        <f>VLOOKUP(AE28,db_fifarank,2,FALSE)</f>
        <v>1580.67</v>
      </c>
      <c r="AR28" s="125">
        <f>AP28/AP30</f>
        <v>0.22222219965398488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4</v>
      </c>
      <c r="AL29" s="123">
        <f>AI29-AJ29</f>
        <v>0</v>
      </c>
      <c r="AM29" s="123">
        <f>AL29-AL30</f>
        <v>2</v>
      </c>
      <c r="AN29" s="123">
        <f>AF29*3+AG29</f>
        <v>4</v>
      </c>
      <c r="AO29" s="123">
        <f>AN29/AN30*10+BA29</f>
        <v>4</v>
      </c>
      <c r="AP29" s="123">
        <f>AO29*10000000+BI29*100+AM29/AM30*10+AI29/AI30*1++IF(AQ29=0,ROW(),AQ29)/2000000</f>
        <v>40000003.429370955</v>
      </c>
      <c r="AQ29" s="126">
        <f>VLOOKUP(AE29,db_fifarank,2,FALSE)</f>
        <v>1599.04</v>
      </c>
      <c r="AR29" s="125">
        <f>AP29/AP30</f>
        <v>0.44444443104531839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-2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90000010.429407984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90000010.161579475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7.1924991080038842E-12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3</v>
      </c>
      <c r="AL34" s="123">
        <f>AI34-AJ34</f>
        <v>3</v>
      </c>
      <c r="AM34" s="123">
        <f>AL34-AL36</f>
        <v>11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60000008.607909352</v>
      </c>
      <c r="AQ34" s="126">
        <f>VLOOKUP(AE34,db_fifarank,2,FALSE)</f>
        <v>1532.98</v>
      </c>
      <c r="AR34" s="125">
        <f>AP34/AP36</f>
        <v>0.66666667963173587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8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30000006.215083104</v>
      </c>
      <c r="AQ35" s="126">
        <f>VLOOKUP(AE35,db_fifarank,2,FALSE)</f>
        <v>1594.78</v>
      </c>
      <c r="AR35" s="125">
        <f>AP35/AP36</f>
        <v>0.33333336105062561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90000011.161579475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87500009.608021781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3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25000004.179401644</v>
      </c>
      <c r="AQ39" s="126">
        <f>VLOOKUP(AE39,db_fifarank,2,FALSE)</f>
        <v>1660.43</v>
      </c>
      <c r="AR39" s="125">
        <f>AP39/AP42</f>
        <v>0.28571429884043587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3</v>
      </c>
      <c r="AL40" s="123">
        <f>AI40-AJ40</f>
        <v>2</v>
      </c>
      <c r="AM40" s="123">
        <f>AL40-AL42</f>
        <v>6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62500008.215043098</v>
      </c>
      <c r="AQ40" s="126">
        <f>VLOOKUP(AE40,db_fifarank,2,FALSE)</f>
        <v>1514.77</v>
      </c>
      <c r="AR40" s="125">
        <f>AP40/AP42</f>
        <v>0.71428572157582404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12500000.143598668</v>
      </c>
      <c r="AQ41" s="126">
        <f>VLOOKUP(AE41,db_fifarank,2,FALSE)</f>
        <v>1483.05</v>
      </c>
      <c r="AR41" s="125">
        <f>AP41/AP42</f>
        <v>0.14285712717905316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90000009.875867352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1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5</v>
      </c>
      <c r="AL45" s="123">
        <f>AI45-AJ45</f>
        <v>-3</v>
      </c>
      <c r="AM45" s="123">
        <f>AL45-AL48</f>
        <v>0</v>
      </c>
      <c r="AN45" s="123">
        <f>AF45*3+AG45</f>
        <v>1</v>
      </c>
      <c r="AO45" s="123">
        <f>AN45/AN48*10+BA45</f>
        <v>1</v>
      </c>
      <c r="AP45" s="123">
        <f>AO45*10000000+BI45*100+AM45/AM48*10+AI45/AI48*1++IF(AQ45=0,ROW(),AQ45)/2000000</f>
        <v>10000000.25078162</v>
      </c>
      <c r="AQ45" s="126">
        <f>VLOOKUP(AE45,db_fifarank,2,FALSE)</f>
        <v>1563.24</v>
      </c>
      <c r="AR45" s="125">
        <f>AP45/AP48</f>
        <v>0.11111110047057811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1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3 - 5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2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20000002.37580765</v>
      </c>
      <c r="AQ46" s="126">
        <f>VLOOKUP(AE46,db_fifarank,2,FALSE)</f>
        <v>1615.3</v>
      </c>
      <c r="AR46" s="125">
        <f>AP46/AP48</f>
        <v>0.2222222217660916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5</v>
      </c>
      <c r="AL47" s="123">
        <f>AI47-AJ47</f>
        <v>-2</v>
      </c>
      <c r="AM47" s="123">
        <f>AL47-AL48</f>
        <v>1</v>
      </c>
      <c r="AN47" s="123">
        <f>AF47*3+AG47</f>
        <v>4</v>
      </c>
      <c r="AO47" s="123">
        <f>AN47/AN48*10+BA47</f>
        <v>4</v>
      </c>
      <c r="AP47" s="123">
        <f>AO47*10000000+BI47*100+AM47/AM48*10+AI47/AI48*1++IF(AQ47=0,ROW(),AQ47)/2000000</f>
        <v>40000001.375640787</v>
      </c>
      <c r="AQ47" s="126">
        <f>VLOOKUP(AE47,db_fifarank,2,FALSE)</f>
        <v>1281.57</v>
      </c>
      <c r="AR47" s="125">
        <f>AP47/AP48</f>
        <v>0.44444440602135982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Egypt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8</v>
      </c>
      <c r="AL48" s="123">
        <f>MIN(AL44:AL47)</f>
        <v>-3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90000010.875867352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10</v>
      </c>
      <c r="AN50" s="123">
        <f>AF50*3+AG50</f>
        <v>7</v>
      </c>
      <c r="AO50" s="123">
        <f>AN50/AN54*10+BA50</f>
        <v>9.7401960784313726</v>
      </c>
      <c r="AP50" s="123">
        <f>AO50*10000000+BI50*100+AM50/AM54*10+AI50/AI54*1++IF(AQ50=0,ROW(),AQ50)/2000000</f>
        <v>97402069.752911717</v>
      </c>
      <c r="AQ50" s="126">
        <f>VLOOKUP(AE50,db_fifarank,2,FALSE)</f>
        <v>1876.4</v>
      </c>
      <c r="AR50" s="125">
        <f>AP50/AP54</f>
        <v>0.99999998973327786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101</v>
      </c>
      <c r="BA50" s="126">
        <f>AZ50/AZ54</f>
        <v>0.99019607843137258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101</v>
      </c>
      <c r="BI50" s="126">
        <f>BH50/BH54</f>
        <v>0.99019607843137258</v>
      </c>
      <c r="BK50" s="131">
        <v>79</v>
      </c>
      <c r="BL50" s="24" t="str">
        <f>AS8</f>
        <v>Czech Republic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2.2401960784313726</v>
      </c>
      <c r="AP51" s="123">
        <f>AO51*10000000+BI51*100+AM51/AM54*10+AI51/AI54*1++IF(AQ51=0,ROW(),AQ51)/2000000</f>
        <v>22402059.947461776</v>
      </c>
      <c r="AQ51" s="126">
        <f>VLOOKUP(AE51,db_fifarank,2,FALSE)</f>
        <v>1366.13</v>
      </c>
      <c r="AR51" s="125">
        <f>AP51/AP54</f>
        <v>0.22999572569962118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101</v>
      </c>
      <c r="BA51" s="126">
        <f>AZ51/AZ54</f>
        <v>0.99019607843137258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101</v>
      </c>
      <c r="BI51" s="126">
        <f>BH51/BH54</f>
        <v>0.99019607843137258</v>
      </c>
      <c r="BK51" s="13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1</v>
      </c>
      <c r="AN52" s="123">
        <f>AF52*3+AG52</f>
        <v>1</v>
      </c>
      <c r="AO52" s="123">
        <f>AN52/AN54*10+BA52</f>
        <v>2.2401960784313726</v>
      </c>
      <c r="AP52" s="123">
        <f>AO52*10000000+BI52*100+AM52/AM54*10+AI52/AI54*1++IF(AQ52=0,ROW(),AQ52)/2000000</f>
        <v>22402060.856580336</v>
      </c>
      <c r="AQ52" s="126">
        <f>VLOOKUP(AE52,db_fifarank,2,FALSE)</f>
        <v>1421.43</v>
      </c>
      <c r="AR52" s="125">
        <f>AP52/AP54</f>
        <v>0.22999573503328885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101</v>
      </c>
      <c r="BA52" s="126">
        <f>AZ52/AZ54</f>
        <v>0.99019607843137258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101</v>
      </c>
      <c r="BI52" s="126">
        <f>BH52/BH54</f>
        <v>0.99019607843137258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Ecuador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9</v>
      </c>
      <c r="AN53" s="123">
        <f>AF53*3+AG53</f>
        <v>7</v>
      </c>
      <c r="AO53" s="123">
        <f>AN53/AN54*10+BA53</f>
        <v>9.7401960784313726</v>
      </c>
      <c r="AP53" s="123">
        <f>AO53*10000000+BI53*100+AM53/AM54*10+AI53/AI54*1++IF(AQ53=0,ROW(),AQ53)/2000000</f>
        <v>97402068.700862005</v>
      </c>
      <c r="AQ53" s="126">
        <f>VLOOKUP(AE53,db_fifarank,2,FALSE)</f>
        <v>1673.07</v>
      </c>
      <c r="AR53" s="125">
        <f>AP53/AP54</f>
        <v>0.99999997893217574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101</v>
      </c>
      <c r="BA53" s="126">
        <f>AZ53/AZ54</f>
        <v>0.99019607843137258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101</v>
      </c>
      <c r="BI53" s="126">
        <f>BH53/BH54</f>
        <v>0.99019607843137258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7</v>
      </c>
      <c r="AL54" s="123">
        <f>MIN(AL50:AL53)</f>
        <v>-5</v>
      </c>
      <c r="AM54" s="123">
        <f>MAX(AM50:AM53)+1</f>
        <v>11</v>
      </c>
      <c r="AN54" s="123">
        <f>MAX(AN50:AN53)+1</f>
        <v>8</v>
      </c>
      <c r="AO54" s="123">
        <f>MAX(AO50:AO53)+1</f>
        <v>10.740196078431373</v>
      </c>
      <c r="AP54" s="123">
        <f>MAX(AP50:AP53)+1</f>
        <v>97402070.752911717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102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102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49805929.516101077</v>
      </c>
      <c r="AQ57" s="126">
        <f>VLOOKUP(AE57,db_fifarank,2,FALSE)</f>
        <v>1688.99</v>
      </c>
      <c r="AR57" s="125">
        <f>AP57/AP60</f>
        <v>0.55339914821390945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7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49805928.676746339</v>
      </c>
      <c r="AQ59" s="126">
        <f>VLOOKUP(AE59,db_fifarank,2,FALSE)</f>
        <v>1550.94</v>
      </c>
      <c r="AR59" s="125">
        <f>AP59/AP60</f>
        <v>0.55339913888774683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90000010.223159641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49805926.190641887</v>
      </c>
      <c r="AQ63" s="126">
        <f>VLOOKUP(AE63,db_fifarank,2,FALSE)</f>
        <v>1564.26</v>
      </c>
      <c r="AR63" s="125">
        <f>AP63/AP66</f>
        <v>0.55339911088617022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New Zealand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49805927.635100931</v>
      </c>
      <c r="AQ64" s="126">
        <f>VLOOKUP(AE64,db_fifarank,2,FALSE)</f>
        <v>1593.45</v>
      </c>
      <c r="AR64" s="125">
        <f>AP64/AP66</f>
        <v>0.55339912693571314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7.7302768137985474E-12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-6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90000011.223159641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19805923.412821162</v>
      </c>
      <c r="AQ69" s="126">
        <f>VLOOKUP(AE69,db_fifarank,2,FALSE)</f>
        <v>1478.35</v>
      </c>
      <c r="AR69" s="125">
        <f>AP69/AP72</f>
        <v>0.22006578866308366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6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19805925.301703546</v>
      </c>
      <c r="AQ70" s="126">
        <f>VLOOKUP(AE70,db_fifarank,2,FALSE)</f>
        <v>1465.34</v>
      </c>
      <c r="AR70" s="125">
        <f>AP70/AP72</f>
        <v>0.22006580965066311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60000006.38973543</v>
      </c>
      <c r="AQ71" s="126">
        <f>VLOOKUP(AE71,db_fifarank,2,FALSE)</f>
        <v>1693.09</v>
      </c>
      <c r="AR71" s="125">
        <f>AP71/AP72</f>
        <v>0.66666665576419148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90000010.106682211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60000006.77970469</v>
      </c>
      <c r="AQ75" s="126">
        <f>VLOOKUP(AE75,db_fifarank,2,FALSE)</f>
        <v>1717.07</v>
      </c>
      <c r="AR75" s="125">
        <f>AP75/AP78</f>
        <v>0.6666666597249995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30000003.452596232</v>
      </c>
      <c r="AQ76" s="126">
        <f>VLOOKUP(AE76,db_fifarank,2,FALSE)</f>
        <v>1346.31</v>
      </c>
      <c r="AR76" s="125">
        <f>AP76/AP78</f>
        <v>0.33333333055965397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1.3974478275443452E-9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90000011.106682211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5</v>
      </c>
      <c r="AP80" s="123">
        <f>AN80/AN92*10000+AM80/AM92*1000+AI80/AI92*100+IF(AQ80=0,ROW(),AQ80)/2000000</f>
        <v>9246.6674609966685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Korea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4 - 3</v>
      </c>
      <c r="P81" s="98">
        <f>L81*3+M81</f>
        <v>5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7413.3340262533329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7226.6674158416663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3706.6674570016667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4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5746.6674640566671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2 - 4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3893.334163548333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Ecuador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3893.3341409833329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1686.6673773816665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7393.334108803333</v>
      </c>
      <c r="AQ88" s="126">
        <f t="shared" si="37"/>
        <v>1550.94</v>
      </c>
      <c r="AR88" s="125" t="str">
        <f t="shared" si="50"/>
        <v>ABCEFI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7040.0007821299987</v>
      </c>
      <c r="AQ89" s="126">
        <f t="shared" si="37"/>
        <v>1564.26</v>
      </c>
      <c r="AR89" s="125" t="str">
        <f t="shared" si="50"/>
        <v>ABCEFIJ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1893.3340660033332</v>
      </c>
      <c r="AQ90" s="126">
        <f t="shared" si="37"/>
        <v>1465.34</v>
      </c>
      <c r="AR90" s="125" t="str">
        <f t="shared" si="50"/>
        <v>ABCEFIJ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5393.3340064883332</v>
      </c>
      <c r="AQ91" s="126">
        <f t="shared" si="37"/>
        <v>1346.31</v>
      </c>
      <c r="AR91" s="125" t="str">
        <f t="shared" si="50"/>
        <v>ABCEFIJL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6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408</v>
      </c>
      <c r="C3" s="121" t="str">
        <f>'2026 World Cup'!AR91</f>
        <v>ABCEFIJL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Adrian Fumero Valdes (TES)</cp:lastModifiedBy>
  <cp:revision/>
  <dcterms:created xsi:type="dcterms:W3CDTF">2017-12-27T19:32:51Z</dcterms:created>
  <dcterms:modified xsi:type="dcterms:W3CDTF">2026-06-05T12:15:43Z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