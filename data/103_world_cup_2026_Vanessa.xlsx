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70858\Desktop\"/>
    </mc:Choice>
  </mc:AlternateContent>
  <xr:revisionPtr revIDLastSave="0" documentId="13_ncr:1_{946674F8-B529-454E-A242-7DF476CB9636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P53" i="3"/>
  <c r="BK53" i="3" s="1" a="1"/>
  <c r="BP29" i="3"/>
  <c r="BK29" i="3" s="1" a="1"/>
  <c r="BP17" i="3"/>
  <c r="BK17" i="3" s="1" a="1"/>
  <c r="BP45" i="3"/>
  <c r="BK45" i="3" s="1" a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P49" i="3"/>
  <c r="BK49" i="3" s="1" a="1"/>
  <c r="BK41" i="3" a="1"/>
  <c r="BP37" i="3"/>
  <c r="BK37" i="3" s="1" a="1"/>
  <c r="BP33" i="3"/>
  <c r="BK33" i="3" s="1" a="1"/>
  <c r="BP25" i="3"/>
  <c r="BK25" i="3" s="1" a="1"/>
  <c r="BP21" i="3"/>
  <c r="BK21" i="3" s="1" a="1"/>
  <c r="BP13" i="3"/>
  <c r="BK13" i="3" s="1" a="1"/>
  <c r="BP9" i="3"/>
  <c r="BK9" i="3" s="1" a="1"/>
  <c r="I15" i="2"/>
  <c r="AA14" i="3" l="1"/>
  <c r="AA7" i="2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63" i="3"/>
  <c r="T61" i="3"/>
  <c r="T56" i="3"/>
  <c r="T53" i="3"/>
  <c r="T51" i="3"/>
  <c r="T48" i="3"/>
  <c r="T46" i="3"/>
  <c r="T43" i="3"/>
  <c r="T41" i="3"/>
  <c r="T37" i="3"/>
  <c r="T35" i="3"/>
  <c r="T33" i="3"/>
  <c r="T28" i="3"/>
  <c r="T27" i="3"/>
  <c r="T26" i="3"/>
  <c r="T25" i="3"/>
  <c r="T23" i="3"/>
  <c r="T21" i="3"/>
  <c r="T19" i="3"/>
  <c r="T18" i="3"/>
  <c r="T16" i="3"/>
  <c r="T12" i="3"/>
  <c r="T8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 l="1"/>
  <c r="AP58" i="3" s="1"/>
  <c r="BI59" i="3"/>
  <c r="AP59" i="3" s="1"/>
  <c r="BI57" i="3"/>
  <c r="AP57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8" i="3" l="1"/>
  <c r="AR59" i="3"/>
  <c r="AR56" i="3"/>
  <c r="AD57" i="3" s="1"/>
  <c r="AR11" i="3"/>
  <c r="AR10" i="3"/>
  <c r="AR9" i="3"/>
  <c r="AR22" i="3"/>
  <c r="AR21" i="3"/>
  <c r="AR28" i="3"/>
  <c r="AR35" i="3"/>
  <c r="AR34" i="3"/>
  <c r="AR33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8" i="3" l="1"/>
  <c r="AD59" i="3"/>
  <c r="AD56" i="3"/>
  <c r="AD53" i="3"/>
  <c r="AD44" i="3"/>
  <c r="AD14" i="3"/>
  <c r="AD77" i="3"/>
  <c r="AD33" i="3"/>
  <c r="AD32" i="3"/>
  <c r="AD74" i="3"/>
  <c r="AD76" i="3"/>
  <c r="AD28" i="3"/>
  <c r="AD29" i="3"/>
  <c r="AD71" i="3"/>
  <c r="AD22" i="3"/>
  <c r="AD63" i="3"/>
  <c r="AD68" i="3"/>
  <c r="AD62" i="3"/>
  <c r="AD75" i="3"/>
  <c r="AD10" i="3"/>
  <c r="AD70" i="3"/>
  <c r="AD47" i="3"/>
  <c r="AD41" i="3"/>
  <c r="AD21" i="3"/>
  <c r="AD20" i="3"/>
  <c r="AD34" i="3"/>
  <c r="AD35" i="3"/>
  <c r="AD27" i="3"/>
  <c r="AD26" i="3"/>
  <c r="AD15" i="3"/>
  <c r="AD9" i="3"/>
  <c r="AD8" i="3"/>
  <c r="AD11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M58" i="3" l="1"/>
  <c r="O60" i="3"/>
  <c r="N58" i="3"/>
  <c r="L59" i="3"/>
  <c r="L58" i="3"/>
  <c r="M59" i="3"/>
  <c r="L57" i="3"/>
  <c r="L60" i="3"/>
  <c r="J57" i="3"/>
  <c r="AS56" i="3" s="1"/>
  <c r="BL14" i="3" s="1"/>
  <c r="O57" i="3"/>
  <c r="M57" i="3"/>
  <c r="J59" i="3"/>
  <c r="AE88" i="3" s="1"/>
  <c r="AQ88" i="3" s="1"/>
  <c r="M60" i="3"/>
  <c r="N60" i="3"/>
  <c r="O58" i="3"/>
  <c r="N57" i="3"/>
  <c r="J60" i="3"/>
  <c r="J58" i="3"/>
  <c r="AS57" i="3" s="1"/>
  <c r="BL47" i="3" s="1"/>
  <c r="BS45" i="3" s="1"/>
  <c r="BZ48" i="3" s="1"/>
  <c r="O59" i="3"/>
  <c r="N59" i="3"/>
  <c r="J45" i="3"/>
  <c r="AS44" i="3" s="1"/>
  <c r="BL38" i="3" s="1"/>
  <c r="M45" i="3"/>
  <c r="N45" i="3"/>
  <c r="L45" i="3"/>
  <c r="O45" i="3"/>
  <c r="J16" i="3"/>
  <c r="AS15" i="3" s="1"/>
  <c r="BL19" i="3" s="1"/>
  <c r="N16" i="3"/>
  <c r="O16" i="3"/>
  <c r="L16" i="3"/>
  <c r="M16" i="3"/>
  <c r="M33" i="3"/>
  <c r="L36" i="3"/>
  <c r="L33" i="3"/>
  <c r="M36" i="3"/>
  <c r="N36" i="3"/>
  <c r="J36" i="3"/>
  <c r="J33" i="3"/>
  <c r="AS32" i="3" s="1"/>
  <c r="BL10" i="3" s="1"/>
  <c r="N33" i="3"/>
  <c r="O33" i="3"/>
  <c r="O36" i="3"/>
  <c r="O47" i="3"/>
  <c r="N17" i="3"/>
  <c r="L23" i="3"/>
  <c r="M47" i="3"/>
  <c r="L75" i="3"/>
  <c r="O75" i="3"/>
  <c r="N75" i="3"/>
  <c r="J75" i="3"/>
  <c r="AS74" i="3" s="1"/>
  <c r="BL54" i="3" s="1"/>
  <c r="M75" i="3"/>
  <c r="M41" i="3"/>
  <c r="N53" i="3"/>
  <c r="O54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N21" i="3"/>
  <c r="N22" i="3"/>
  <c r="J30" i="3"/>
  <c r="M29" i="3"/>
  <c r="N29" i="3"/>
  <c r="L28" i="3"/>
  <c r="O30" i="3"/>
  <c r="N30" i="3"/>
  <c r="J42" i="3"/>
  <c r="N39" i="3"/>
  <c r="L40" i="3"/>
  <c r="O39" i="3"/>
  <c r="N47" i="3"/>
  <c r="O46" i="3"/>
  <c r="L48" i="3"/>
  <c r="L51" i="3"/>
  <c r="N54" i="3"/>
  <c r="L63" i="3"/>
  <c r="M64" i="3"/>
  <c r="M65" i="3"/>
  <c r="N66" i="3"/>
  <c r="J63" i="3"/>
  <c r="AS62" i="3" s="1"/>
  <c r="BL58" i="3" s="1"/>
  <c r="BS60" i="3" s="1"/>
  <c r="BZ64" i="3" s="1"/>
  <c r="O69" i="3"/>
  <c r="N71" i="3"/>
  <c r="J71" i="3"/>
  <c r="AE90" i="3" s="1"/>
  <c r="AQ90" i="3" s="1"/>
  <c r="L76" i="3"/>
  <c r="O76" i="3"/>
  <c r="J77" i="3"/>
  <c r="AE91" i="3" s="1"/>
  <c r="AQ91" i="3" s="1"/>
  <c r="L10" i="3"/>
  <c r="O10" i="3"/>
  <c r="N11" i="3"/>
  <c r="M11" i="3"/>
  <c r="J10" i="3"/>
  <c r="AS9" i="3" s="1"/>
  <c r="BL18" i="3" s="1"/>
  <c r="L15" i="3"/>
  <c r="O17" i="3"/>
  <c r="L17" i="3"/>
  <c r="M18" i="3"/>
  <c r="J18" i="3"/>
  <c r="M17" i="3"/>
  <c r="O18" i="3"/>
  <c r="N18" i="3"/>
  <c r="L18" i="3"/>
  <c r="M22" i="3"/>
  <c r="N24" i="3"/>
  <c r="O21" i="3"/>
  <c r="O24" i="3"/>
  <c r="M21" i="3"/>
  <c r="J28" i="3"/>
  <c r="AS27" i="3" s="1"/>
  <c r="BL62" i="3" s="1"/>
  <c r="N27" i="3"/>
  <c r="O29" i="3"/>
  <c r="O28" i="3"/>
  <c r="N28" i="3"/>
  <c r="L35" i="3"/>
  <c r="J41" i="3"/>
  <c r="AE85" i="3" s="1"/>
  <c r="AQ85" i="3" s="1"/>
  <c r="L39" i="3"/>
  <c r="O42" i="3"/>
  <c r="L54" i="3"/>
  <c r="L64" i="3"/>
  <c r="L66" i="3"/>
  <c r="J65" i="3"/>
  <c r="AE89" i="3" s="1"/>
  <c r="AQ89" i="3" s="1"/>
  <c r="N69" i="3"/>
  <c r="L71" i="3"/>
  <c r="O72" i="3"/>
  <c r="O77" i="3"/>
  <c r="J24" i="3"/>
  <c r="J22" i="3"/>
  <c r="AS21" i="3" s="1"/>
  <c r="BL23" i="3" s="1"/>
  <c r="J21" i="3"/>
  <c r="AS20" i="3" s="1"/>
  <c r="BL42" i="3" s="1"/>
  <c r="BS44" i="3" s="1"/>
  <c r="L21" i="3"/>
  <c r="L24" i="3"/>
  <c r="M24" i="3"/>
  <c r="L22" i="3"/>
  <c r="O22" i="3"/>
  <c r="O23" i="3"/>
  <c r="J29" i="3"/>
  <c r="AE83" i="3" s="1"/>
  <c r="AQ83" i="3" s="1"/>
  <c r="J27" i="3"/>
  <c r="AS26" i="3" s="1"/>
  <c r="BL34" i="3" s="1"/>
  <c r="M27" i="3"/>
  <c r="L29" i="3"/>
  <c r="L27" i="3"/>
  <c r="M28" i="3"/>
  <c r="O27" i="3"/>
  <c r="L30" i="3"/>
  <c r="N35" i="3"/>
  <c r="M34" i="3"/>
  <c r="J39" i="3"/>
  <c r="AS38" i="3" s="1"/>
  <c r="BL22" i="3" s="1"/>
  <c r="O40" i="3"/>
  <c r="M39" i="3"/>
  <c r="J47" i="3"/>
  <c r="AE86" i="3" s="1"/>
  <c r="AQ86" i="3" s="1"/>
  <c r="N46" i="3"/>
  <c r="O48" i="3"/>
  <c r="N48" i="3"/>
  <c r="M48" i="3"/>
  <c r="M51" i="3"/>
  <c r="N51" i="3"/>
  <c r="O51" i="3"/>
  <c r="N63" i="3"/>
  <c r="N64" i="3"/>
  <c r="N65" i="3"/>
  <c r="O66" i="3"/>
  <c r="L69" i="3"/>
  <c r="L70" i="3"/>
  <c r="M71" i="3"/>
  <c r="N72" i="3"/>
  <c r="M76" i="3"/>
  <c r="M78" i="3"/>
  <c r="J76" i="3"/>
  <c r="AS75" i="3" s="1"/>
  <c r="BL27" i="3" s="1"/>
  <c r="M77" i="3"/>
  <c r="M30" i="3"/>
  <c r="M40" i="3"/>
  <c r="M42" i="3"/>
  <c r="L47" i="3"/>
  <c r="M46" i="3"/>
  <c r="M70" i="3"/>
  <c r="M72" i="3"/>
  <c r="J70" i="3"/>
  <c r="AS69" i="3" s="1"/>
  <c r="BL26" i="3" s="1"/>
  <c r="J35" i="3"/>
  <c r="AE84" i="3" s="1"/>
  <c r="AQ84" i="3" s="1"/>
  <c r="J34" i="3"/>
  <c r="AS33" i="3" s="1"/>
  <c r="BL46" i="3" s="1"/>
  <c r="M35" i="3"/>
  <c r="O34" i="3"/>
  <c r="O35" i="3"/>
  <c r="L34" i="3"/>
  <c r="N34" i="3"/>
  <c r="J40" i="3"/>
  <c r="AS39" i="3" s="1"/>
  <c r="BL43" i="3" s="1"/>
  <c r="L42" i="3"/>
  <c r="N40" i="3"/>
  <c r="J46" i="3"/>
  <c r="AS45" i="3" s="1"/>
  <c r="BL63" i="3" s="1"/>
  <c r="J52" i="3"/>
  <c r="AS51" i="3" s="1"/>
  <c r="BL59" i="3" s="1"/>
  <c r="M63" i="3"/>
  <c r="O64" i="3"/>
  <c r="M66" i="3"/>
  <c r="J64" i="3"/>
  <c r="AS63" i="3" s="1"/>
  <c r="BL31" i="3" s="1"/>
  <c r="N70" i="3"/>
  <c r="L72" i="3"/>
  <c r="J69" i="3"/>
  <c r="AS68" i="3" s="1"/>
  <c r="BL70" i="3" s="1"/>
  <c r="N76" i="3"/>
  <c r="N78" i="3"/>
  <c r="O78" i="3"/>
  <c r="J48" i="3"/>
  <c r="L46" i="3"/>
  <c r="M54" i="3"/>
  <c r="J51" i="3"/>
  <c r="AS50" i="3" s="1"/>
  <c r="BL30" i="3" s="1"/>
  <c r="N52" i="3"/>
  <c r="O63" i="3"/>
  <c r="L65" i="3"/>
  <c r="O65" i="3"/>
  <c r="J66" i="3"/>
  <c r="M69" i="3"/>
  <c r="O70" i="3"/>
  <c r="O71" i="3"/>
  <c r="J72" i="3"/>
  <c r="J78" i="3"/>
  <c r="L78" i="3"/>
  <c r="L77" i="3"/>
  <c r="N77" i="3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BS61" i="3" l="1"/>
  <c r="S91" i="3"/>
  <c r="T91" i="3" s="1" a="1"/>
  <c r="BS37" i="3"/>
  <c r="S90" i="3"/>
  <c r="T90" i="3" s="1" a="1"/>
  <c r="BS36" i="3"/>
  <c r="S89" i="3"/>
  <c r="T89" i="3" s="1" a="1"/>
  <c r="BS21" i="3"/>
  <c r="S86" i="3"/>
  <c r="T86" i="3" s="1" a="1"/>
  <c r="BS28" i="3"/>
  <c r="S87" i="3"/>
  <c r="T87" i="3" s="1" a="1"/>
  <c r="BS29" i="3"/>
  <c r="S88" i="3"/>
  <c r="T88" i="3" s="1" a="1"/>
  <c r="BS20" i="3"/>
  <c r="P59" i="3"/>
  <c r="K58" i="3"/>
  <c r="P58" i="3"/>
  <c r="P57" i="3"/>
  <c r="K59" i="3"/>
  <c r="K57" i="3"/>
  <c r="AF88" i="3"/>
  <c r="AG88" i="3"/>
  <c r="AI88" i="3"/>
  <c r="AJ88" i="3"/>
  <c r="AN88" i="3"/>
  <c r="AT88" i="3"/>
  <c r="AH88" i="3"/>
  <c r="K60" i="3"/>
  <c r="AL88" i="3"/>
  <c r="P60" i="3"/>
  <c r="K45" i="3"/>
  <c r="P45" i="3"/>
  <c r="P16" i="3"/>
  <c r="K16" i="3"/>
  <c r="P36" i="3"/>
  <c r="K36" i="3"/>
  <c r="P33" i="3"/>
  <c r="K33" i="3"/>
  <c r="P75" i="3"/>
  <c r="P53" i="3"/>
  <c r="P52" i="3"/>
  <c r="K75" i="3"/>
  <c r="P65" i="3"/>
  <c r="P63" i="3"/>
  <c r="AF87" i="3"/>
  <c r="AG87" i="3"/>
  <c r="AH87" i="3"/>
  <c r="AJ87" i="3"/>
  <c r="AL87" i="3"/>
  <c r="AN87" i="3"/>
  <c r="AT87" i="3"/>
  <c r="AF86" i="3"/>
  <c r="AG86" i="3"/>
  <c r="AH86" i="3"/>
  <c r="AI86" i="3"/>
  <c r="AJ86" i="3"/>
  <c r="AL86" i="3"/>
  <c r="AN86" i="3"/>
  <c r="AT86" i="3"/>
  <c r="P39" i="3"/>
  <c r="K39" i="3"/>
  <c r="AF85" i="3"/>
  <c r="AG85" i="3"/>
  <c r="AH85" i="3"/>
  <c r="AI85" i="3"/>
  <c r="AJ85" i="3"/>
  <c r="AL85" i="3"/>
  <c r="AN85" i="3"/>
  <c r="AT85" i="3"/>
  <c r="K30" i="3"/>
  <c r="P30" i="3"/>
  <c r="P28" i="3"/>
  <c r="K28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P15" i="3"/>
  <c r="K24" i="3"/>
  <c r="P24" i="3"/>
  <c r="P21" i="3"/>
  <c r="AF82" i="3"/>
  <c r="AG82" i="3"/>
  <c r="AH82" i="3"/>
  <c r="AI82" i="3"/>
  <c r="AJ82" i="3"/>
  <c r="AN82" i="3"/>
  <c r="AT82" i="3"/>
  <c r="P18" i="3"/>
  <c r="K18" i="3"/>
  <c r="P17" i="3"/>
  <c r="K17" i="3"/>
  <c r="AF81" i="3"/>
  <c r="AG81" i="3"/>
  <c r="AH81" i="3"/>
  <c r="AI81" i="3"/>
  <c r="AJ81" i="3"/>
  <c r="AL81" i="3"/>
  <c r="AN81" i="3"/>
  <c r="AT81" i="3"/>
  <c r="K15" i="3"/>
  <c r="AJ80" i="3"/>
  <c r="AT80" i="3"/>
  <c r="AN80" i="3"/>
  <c r="P12" i="3"/>
  <c r="AH80" i="3"/>
  <c r="K11" i="3"/>
  <c r="AG91" i="3"/>
  <c r="AJ91" i="3"/>
  <c r="AN91" i="3"/>
  <c r="K78" i="3"/>
  <c r="K40" i="3"/>
  <c r="P40" i="3"/>
  <c r="K42" i="3"/>
  <c r="P42" i="3"/>
  <c r="P41" i="3"/>
  <c r="AI84" i="3"/>
  <c r="AL84" i="3"/>
  <c r="K27" i="3"/>
  <c r="K22" i="3"/>
  <c r="K21" i="3"/>
  <c r="P10" i="3"/>
  <c r="AL80" i="3"/>
  <c r="P9" i="3"/>
  <c r="K23" i="3"/>
  <c r="AF91" i="3"/>
  <c r="AI91" i="3"/>
  <c r="AL91" i="3"/>
  <c r="P77" i="3"/>
  <c r="P78" i="3"/>
  <c r="K51" i="3"/>
  <c r="P51" i="3"/>
  <c r="P48" i="3"/>
  <c r="P46" i="3"/>
  <c r="K47" i="3"/>
  <c r="P47" i="3"/>
  <c r="AJ84" i="3"/>
  <c r="AN84" i="3"/>
  <c r="K9" i="3"/>
  <c r="AH91" i="3"/>
  <c r="AT91" i="3"/>
  <c r="K77" i="3"/>
  <c r="K48" i="3"/>
  <c r="K46" i="3"/>
  <c r="K41" i="3"/>
  <c r="AH84" i="3"/>
  <c r="AT84" i="3"/>
  <c r="K10" i="3"/>
  <c r="AG80" i="3"/>
  <c r="AI80" i="3"/>
  <c r="P76" i="3"/>
  <c r="K76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K65" i="3"/>
  <c r="P64" i="3"/>
  <c r="K64" i="3"/>
  <c r="K63" i="3"/>
  <c r="P54" i="3"/>
  <c r="K54" i="3"/>
  <c r="K53" i="3"/>
  <c r="P35" i="3"/>
  <c r="K35" i="3"/>
  <c r="P34" i="3"/>
  <c r="K34" i="3"/>
  <c r="AG84" i="3"/>
  <c r="AF80" i="3"/>
  <c r="P11" i="3"/>
  <c r="K12" i="3"/>
  <c r="AF84" i="3"/>
  <c r="AL82" i="3"/>
  <c r="AI87" i="3"/>
  <c r="K52" i="3"/>
  <c r="S98" i="3" l="1"/>
  <c r="T98" i="3" s="1" a="1"/>
  <c r="BZ33" i="3"/>
  <c r="U103" i="3" s="1"/>
  <c r="AC103" i="3" s="1" a="1"/>
  <c r="S97" i="3"/>
  <c r="T97" i="3" s="1" a="1"/>
  <c r="BZ32" i="3"/>
  <c r="BZ17" i="3"/>
  <c r="S96" i="3"/>
  <c r="T96" i="3" s="1" a="1"/>
  <c r="AL92" i="3"/>
  <c r="AM88" i="3" s="1"/>
  <c r="AI92" i="3"/>
  <c r="AJ92" i="3"/>
  <c r="AG92" i="3"/>
  <c r="AF92" i="3"/>
  <c r="AH92" i="3"/>
  <c r="AS92" i="3"/>
  <c r="AN92" i="3"/>
  <c r="S103" i="3" l="1"/>
  <c r="T103" i="3" s="1" a="1"/>
  <c r="CG24" i="3"/>
  <c r="S111" i="3" s="1"/>
  <c r="T111" i="3" s="1"/>
  <c r="S102" i="3"/>
  <c r="T102" i="3" s="1" a="1"/>
  <c r="CG23" i="3"/>
  <c r="AM83" i="3"/>
  <c r="AM91" i="3"/>
  <c r="AM82" i="3"/>
  <c r="AM81" i="3"/>
  <c r="AM87" i="3"/>
  <c r="AM85" i="3"/>
  <c r="AM90" i="3"/>
  <c r="AM89" i="3"/>
  <c r="AM80" i="3"/>
  <c r="AM86" i="3"/>
  <c r="AM84" i="3"/>
  <c r="S85" i="3"/>
  <c r="T85" i="3" s="1" a="1"/>
  <c r="BS13" i="3"/>
  <c r="S84" i="3"/>
  <c r="T84" i="3" s="1" a="1"/>
  <c r="BS12" i="3"/>
  <c r="CN37" i="3" l="1"/>
  <c r="CK68" i="3" s="1"/>
  <c r="CN48" i="3"/>
  <c r="AM92" i="3"/>
  <c r="AP87" i="3" s="1"/>
  <c r="BZ16" i="3"/>
  <c r="U102" i="3" s="1"/>
  <c r="AC102" i="3" s="1" a="1"/>
  <c r="S95" i="3"/>
  <c r="T95" i="3" s="1" a="1"/>
  <c r="AP81" i="3" l="1"/>
  <c r="AP89" i="3"/>
  <c r="AP86" i="3"/>
  <c r="AP84" i="3"/>
  <c r="AP90" i="3"/>
  <c r="AP88" i="3"/>
  <c r="AP82" i="3"/>
  <c r="AP83" i="3"/>
  <c r="AP91" i="3"/>
  <c r="AP85" i="3"/>
  <c r="AP80" i="3"/>
  <c r="AD89" i="3" l="1"/>
  <c r="AS89" i="3" s="1"/>
  <c r="AD86" i="3"/>
  <c r="AS86" i="3" s="1"/>
  <c r="AD83" i="3"/>
  <c r="AS83" i="3" s="1"/>
  <c r="AD91" i="3"/>
  <c r="AS91" i="3" s="1"/>
  <c r="AD82" i="3"/>
  <c r="AS82" i="3" s="1"/>
  <c r="AD80" i="3"/>
  <c r="AD81" i="3"/>
  <c r="AS81" i="3" s="1"/>
  <c r="AD85" i="3"/>
  <c r="AS85" i="3" s="1"/>
  <c r="AD90" i="3"/>
  <c r="AS90" i="3" s="1"/>
  <c r="AD88" i="3"/>
  <c r="AS88" i="3" s="1"/>
  <c r="AD87" i="3"/>
  <c r="AS87" i="3" s="1"/>
  <c r="AD84" i="3"/>
  <c r="AS84" i="3" s="1"/>
  <c r="M88" i="3" l="1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N83" i="3"/>
  <c r="O82" i="3"/>
  <c r="M84" i="3"/>
  <c r="N92" i="3"/>
  <c r="J82" i="3"/>
  <c r="J90" i="3"/>
  <c r="M82" i="3"/>
  <c r="M86" i="3"/>
  <c r="N86" i="3"/>
  <c r="M92" i="3"/>
  <c r="J91" i="3"/>
  <c r="J84" i="3"/>
  <c r="L86" i="3"/>
  <c r="L87" i="3"/>
  <c r="J83" i="3"/>
  <c r="M81" i="3"/>
  <c r="L85" i="3"/>
  <c r="O84" i="3"/>
  <c r="L89" i="3"/>
  <c r="M89" i="3"/>
  <c r="O85" i="3"/>
  <c r="N88" i="3"/>
  <c r="J92" i="3"/>
  <c r="P88" i="3" l="1"/>
  <c r="P92" i="3"/>
  <c r="K84" i="3"/>
  <c r="P83" i="3"/>
  <c r="K91" i="3"/>
  <c r="K82" i="3"/>
  <c r="P81" i="3"/>
  <c r="K90" i="3"/>
  <c r="K83" i="3"/>
  <c r="K81" i="3"/>
  <c r="K87" i="3"/>
  <c r="P86" i="3"/>
  <c r="K92" i="3"/>
  <c r="P84" i="3"/>
  <c r="P87" i="3"/>
  <c r="K85" i="3"/>
  <c r="P82" i="3"/>
  <c r="P85" i="3"/>
  <c r="P90" i="3"/>
  <c r="K89" i="3"/>
  <c r="K86" i="3"/>
  <c r="P91" i="3"/>
  <c r="K88" i="3"/>
  <c r="E3" i="4"/>
  <c r="H3" i="4"/>
  <c r="BL39" i="3" s="1"/>
  <c r="I3" i="4"/>
  <c r="BL15" i="3" s="1"/>
  <c r="G3" i="4"/>
  <c r="BL11" i="3" s="1"/>
  <c r="J3" i="4"/>
  <c r="B3" i="4"/>
  <c r="D3" i="4"/>
  <c r="K3" i="4"/>
  <c r="P89" i="3"/>
  <c r="BS53" i="3"/>
  <c r="BS52" i="3"/>
  <c r="BS69" i="3"/>
  <c r="BZ65" i="3" s="1"/>
  <c r="CG56" i="3" s="1"/>
  <c r="CN38" i="3" s="1"/>
  <c r="BZ49" i="3" l="1"/>
  <c r="CG55" i="3" s="1"/>
  <c r="CN49" i="3" s="1"/>
  <c r="BL71" i="3"/>
  <c r="BL67" i="3"/>
  <c r="BS68" i="3" s="1"/>
  <c r="BL51" i="3"/>
  <c r="BL5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<sst xmlns="http://schemas.openxmlformats.org/spreadsheetml/2006/main" count="9785" uniqueCount="3699">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</sst>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abSelected="1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opLeftCell="BV63" zoomScaleNormal="100" workbookViewId="0">
      <selection activeCell="CP39" sqref="CP39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3</v>
      </c>
      <c r="AN8" s="123">
        <f>AF8*3+AG8</f>
        <v>5</v>
      </c>
      <c r="AO8" s="123">
        <f>AN8/AN12*10+BA8</f>
        <v>8.3398896355788672</v>
      </c>
      <c r="AP8" s="123">
        <f>AO8*10000000+BI8*100+AM8/AM12*10+AI8/AI12*1++IF(AQ8=0,ROW(),AQ8)/2000000</f>
        <v>83398904.523295864</v>
      </c>
      <c r="AQ8" s="126">
        <f>VLOOKUP(AE8,db_fifarank,2,FALSE)</f>
        <v>1681.03</v>
      </c>
      <c r="AR8" s="125">
        <f>AP8/AP12</f>
        <v>0.99999998800943501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1</v>
      </c>
      <c r="AZ8" s="126">
        <f>AT8/AT12*1000+AU8/AU12*100+AY8/AY12*10+AV8/AV12</f>
        <v>3.333333333333333</v>
      </c>
      <c r="BA8" s="126">
        <f>AZ8/AZ12</f>
        <v>6.556302245533518E-3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4</v>
      </c>
      <c r="AJ9" s="123">
        <f>SUMIF($E$7:$E$78,$AE9,$G$7:$G$78) + SUMIF($H$7:$H$78,$AE9,$F$7:$F$78)</f>
        <v>5</v>
      </c>
      <c r="AL9" s="123">
        <f>AI9-AJ9</f>
        <v>-1</v>
      </c>
      <c r="AM9" s="123">
        <f>AL9-AL12</f>
        <v>0</v>
      </c>
      <c r="AN9" s="123">
        <f>AF9*3+AG9</f>
        <v>4</v>
      </c>
      <c r="AO9" s="123">
        <f>AN9/AN12*10+BA9</f>
        <v>7.6646997759930056</v>
      </c>
      <c r="AP9" s="123">
        <f>AO9*10000000+BI9*100+AM9/AM12*10+AI9/AI12*1++IF(AQ9=0,ROW(),AQ9)/2000000</f>
        <v>76646998.427311599</v>
      </c>
      <c r="AQ9" s="126">
        <f>VLOOKUP(AE9,db_fifarank,2,FALSE)</f>
        <v>1429.73</v>
      </c>
      <c r="AR9" s="125">
        <f>AP9/AP12</f>
        <v>0.91904081889781819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1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3</v>
      </c>
      <c r="AW9" s="126" cm="1">
        <f t="array" ref="AW9">SUMPRODUCT(($E$7:$E$78=AE9)*($U$7:$U$78)*($G$7:$G$78))+SUMPRODUCT(($H$7:$H$78=AE9)*($U$7:$U$78)*($F$7:$F$78))</f>
        <v>2</v>
      </c>
      <c r="AX9" s="126">
        <f>AV9-AW9</f>
        <v>1</v>
      </c>
      <c r="AY9" s="126">
        <f>AX9-MIN(AX8:AX11)</f>
        <v>2</v>
      </c>
      <c r="AZ9" s="126">
        <f>AT9/AT12*1000+AU9/AU12*100+AY9/AY12*10+AV9/AV12</f>
        <v>507.41666666666669</v>
      </c>
      <c r="BA9" s="126">
        <f>AZ9/AZ12</f>
        <v>0.99803310932633993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4 - 5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5</v>
      </c>
      <c r="AL10" s="123">
        <f>AI10-AJ10</f>
        <v>0</v>
      </c>
      <c r="AM10" s="123">
        <f>AL10-AL12</f>
        <v>1</v>
      </c>
      <c r="AN10" s="123">
        <f>AF10*3+AG10</f>
        <v>4</v>
      </c>
      <c r="AO10" s="123">
        <f>AN10/AN12*10+BA10</f>
        <v>6.6676501120034963</v>
      </c>
      <c r="AP10" s="123">
        <f>AO10*10000000+BI10*100+AM10/AM12*10+AI10/AI12*1++IF(AQ10=0,ROW(),AQ10)/2000000</f>
        <v>66676504.454162627</v>
      </c>
      <c r="AQ10" s="126">
        <f>VLOOKUP(AE10,db_fifarank,2,FALSE)</f>
        <v>1588.66</v>
      </c>
      <c r="AR10" s="125">
        <f>AP10/AP12</f>
        <v>0.79948896254445256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3</v>
      </c>
      <c r="AX10" s="126">
        <f>AV10-AW10</f>
        <v>-1</v>
      </c>
      <c r="AY10" s="126">
        <f>AX10-MIN(AX8:AX11)</f>
        <v>0</v>
      </c>
      <c r="AZ10" s="126">
        <f>AT10/AT12*1000+AU10/AU12*100+AY10/AY12*10+AV10/AV12</f>
        <v>0.5</v>
      </c>
      <c r="BA10" s="126">
        <f>AZ10/AZ12</f>
        <v>9.8344533683002774E-4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>
        <v>1</v>
      </c>
      <c r="BO10" s="25"/>
      <c r="BP10" s="112">
        <f>IF(OR(BM10="",BM11="",AND(BN10="",BN11&lt;&gt;""),AND(BN11="",BN10&lt;&gt;""),AND(BO10="",BO11&lt;&gt;""),AND(BO11="",BO10&lt;&gt;"")),"",BM10*1000+BN10*10+BO10)</f>
        <v>2010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5 - 5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4</v>
      </c>
      <c r="AL11" s="123">
        <f>AI11-AJ11</f>
        <v>-1</v>
      </c>
      <c r="AM11" s="123">
        <f>AL11-AL12</f>
        <v>0</v>
      </c>
      <c r="AN11" s="123">
        <f>AF11*3+AG11</f>
        <v>2</v>
      </c>
      <c r="AO11" s="123">
        <f>AN11/AN12*10+BA11</f>
        <v>3.3398896355788668</v>
      </c>
      <c r="AP11" s="123">
        <f>AO11*10000000+BI11*100+AM11/AM12*10+AI11/AI12*1++IF(AQ11=0,ROW(),AQ11)/2000000</f>
        <v>33398896.856539357</v>
      </c>
      <c r="AQ11" s="126">
        <f>VLOOKUP(AE11,db_fifarank,2,FALSE)</f>
        <v>1501.38</v>
      </c>
      <c r="AR11" s="125">
        <f>AP11/AP12</f>
        <v>0.40047164464538476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1</v>
      </c>
      <c r="AZ11" s="126">
        <f>AT11/AT12*1000+AU11/AU12*100+AY11/AY12*10+AV11/AV12</f>
        <v>3.333333333333333</v>
      </c>
      <c r="BA11" s="126">
        <f>AZ11/AZ12</f>
        <v>6.556302245533518E-3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Morocco</v>
      </c>
      <c r="BM11" s="62">
        <v>2</v>
      </c>
      <c r="BN11" s="64">
        <v>0</v>
      </c>
      <c r="BO11" s="27"/>
      <c r="BP11" s="113">
        <f>IF(BP10="","",BM11*1000+BN11*10+BO11)</f>
        <v>2000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3 - 4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2</v>
      </c>
      <c r="AH12" s="123">
        <f t="shared" si="12"/>
        <v>2</v>
      </c>
      <c r="AI12" s="123">
        <f>MAX(AI8:AI11)+1</f>
        <v>6</v>
      </c>
      <c r="AL12" s="123">
        <f>MIN(AL8:AL11)</f>
        <v>-1</v>
      </c>
      <c r="AM12" s="123">
        <f>MAX(AM8:AM11)+1</f>
        <v>4</v>
      </c>
      <c r="AN12" s="123">
        <f>MAX(AN8:AN11)+1</f>
        <v>6</v>
      </c>
      <c r="AO12" s="123">
        <f>MAX(AO8:AO11)+1</f>
        <v>9.3398896355788672</v>
      </c>
      <c r="AP12" s="123">
        <f>MAX(AP8:AP11)+1</f>
        <v>83398905.523295864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4</v>
      </c>
      <c r="AW12" s="126">
        <f>MAX(AW8:AW11)-MIN(AW8:AW11)+1</f>
        <v>4</v>
      </c>
      <c r="AY12" s="126">
        <f>MAX(AY8:AY11)-MIN(AY8:AY11)+1</f>
        <v>3</v>
      </c>
      <c r="AZ12" s="126">
        <f>MAX(AZ8:AZ11)+1</f>
        <v>508.41666666666669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3</v>
      </c>
      <c r="AL14" s="123">
        <f>AI14-AJ14</f>
        <v>-2</v>
      </c>
      <c r="AM14" s="123">
        <f>AL14-AL18</f>
        <v>0</v>
      </c>
      <c r="AN14" s="123">
        <f>AF14*3+AG14</f>
        <v>3</v>
      </c>
      <c r="AO14" s="123">
        <f>AN14/AN18*10+BA14</f>
        <v>3.75</v>
      </c>
      <c r="AP14" s="123">
        <f>AO14*10000000+BI14*100+AM14/AM18*10+AI14/AI18*1++IF(AQ14=0,ROW(),AQ14)/2000000</f>
        <v>37500000.250778243</v>
      </c>
      <c r="AQ14" s="126">
        <f>VLOOKUP(AE14,db_fifarank,2,FALSE)</f>
        <v>1556.48</v>
      </c>
      <c r="AR14" s="125">
        <f>AP14/AP18</f>
        <v>0.42857138204567657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3 - 0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2</v>
      </c>
      <c r="AL15" s="123">
        <f>AI15-AJ15</f>
        <v>-1</v>
      </c>
      <c r="AM15" s="123">
        <f>AL15-AL18</f>
        <v>1</v>
      </c>
      <c r="AN15" s="123">
        <f>AF15*3+AG15</f>
        <v>2</v>
      </c>
      <c r="AO15" s="123">
        <f>AN15/AN18*10+BA15</f>
        <v>2.5</v>
      </c>
      <c r="AP15" s="123">
        <f>AO15*10000000+BI15*100+AM15/AM18*10+AI15/AI18*1++IF(AQ15=0,ROW(),AQ15)/2000000</f>
        <v>25000001.917359587</v>
      </c>
      <c r="AQ15" s="126">
        <f>VLOOKUP(AE15,db_fifarank,2,FALSE)</f>
        <v>1385.84</v>
      </c>
      <c r="AR15" s="125">
        <f>AP15/AP18</f>
        <v>0.28571427469910499</v>
      </c>
      <c r="AS15" s="125" t="str">
        <f>IF(SUM(AF14:AH17)=12,J16,"2B")</f>
        <v>Qatar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Saudi Arabia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Qatar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2 - 2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2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2</v>
      </c>
      <c r="AL16" s="123">
        <f>AI16-AJ16</f>
        <v>0</v>
      </c>
      <c r="AM16" s="123">
        <f>AL16-AL18</f>
        <v>2</v>
      </c>
      <c r="AN16" s="123">
        <f>AF16*3+AG16</f>
        <v>4</v>
      </c>
      <c r="AO16" s="123">
        <f>AN16/AN18*10+BA16</f>
        <v>5</v>
      </c>
      <c r="AP16" s="123">
        <f>AO16*10000000+BI16*100+AM16/AM18*10+AI16/AI18*1++IF(AQ16=0,ROW(),AQ16)/2000000</f>
        <v>50000003.834060818</v>
      </c>
      <c r="AQ16" s="126">
        <f>VLOOKUP(AE16,db_fifarank,2,FALSE)</f>
        <v>1454.96</v>
      </c>
      <c r="AR16" s="125">
        <f>AP16/AP18</f>
        <v>0.57142854939068599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0</v>
      </c>
      <c r="AL17" s="123">
        <f>AI17-AJ17</f>
        <v>3</v>
      </c>
      <c r="AM17" s="123">
        <f>AL17-AL18</f>
        <v>5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87500009.084158033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3</v>
      </c>
      <c r="CB17" s="64"/>
      <c r="CC17" s="27"/>
      <c r="CD17" s="113">
        <f>IF(CD16="","",CA17*1000+CB17*10+CC17)</f>
        <v>3000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1 - 2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3</v>
      </c>
      <c r="AI18" s="123">
        <f>MAX(AI14:AI17)+1</f>
        <v>4</v>
      </c>
      <c r="AL18" s="123">
        <f>MIN(AL14:AL17)</f>
        <v>-2</v>
      </c>
      <c r="AM18" s="123">
        <f>MAX(AM14:AM17)+1</f>
        <v>6</v>
      </c>
      <c r="AN18" s="123">
        <f>MAX(AN14:AN17)+1</f>
        <v>8</v>
      </c>
      <c r="AO18" s="123">
        <f>MAX(AO14:AO17)+1</f>
        <v>9.75</v>
      </c>
      <c r="AP18" s="123">
        <f>MAX(AP14:AP17)+1</f>
        <v>87500010.084158033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South Africa</v>
      </c>
      <c r="BM18" s="61">
        <v>0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Qatar</v>
      </c>
      <c r="BM19" s="62">
        <v>0</v>
      </c>
      <c r="BN19" s="64">
        <v>0</v>
      </c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2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5</v>
      </c>
      <c r="AL20" s="123">
        <f>AI20-AJ20</f>
        <v>2</v>
      </c>
      <c r="AM20" s="123">
        <f>AL20-AL24</f>
        <v>6</v>
      </c>
      <c r="AN20" s="123">
        <f>AF20*3+AG20</f>
        <v>5</v>
      </c>
      <c r="AO20" s="123">
        <f>AN20/AN24*10+BA20</f>
        <v>6.25</v>
      </c>
      <c r="AP20" s="123">
        <f>AO20*10000000+BI20*100+AM20/AM24*10+AI20/AI24*1++IF(AQ20=0,ROW(),AQ20)/2000000</f>
        <v>62500009.447309151</v>
      </c>
      <c r="AQ20" s="126">
        <f>VLOOKUP(AE20,db_fifarank,2,FALSE)</f>
        <v>1761.16</v>
      </c>
      <c r="AR20" s="125">
        <f>AP20/AP24</f>
        <v>0.71428573901269155</v>
      </c>
      <c r="AS20" s="125" t="str">
        <f>IF(SUM(AF20:AH23)=12,J21,"1C")</f>
        <v>Scotland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South Africa</v>
      </c>
      <c r="BT20" s="61">
        <v>2</v>
      </c>
      <c r="BU20" s="63">
        <v>0</v>
      </c>
      <c r="BV20" s="25"/>
      <c r="BW20" s="116">
        <f>IF(OR(BT20="",BT21="",AND(BU20="",BU21&lt;&gt;""),AND(BU21="",BU20&lt;&gt;""),AND(BV20="",BV21&lt;&gt;""),AND(BV21="",BV20&lt;&gt;"")),"",BT20*1000+BU20*10+BV20)</f>
        <v>2000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Scotland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5 - 3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4</v>
      </c>
      <c r="AL21" s="123">
        <f>AI21-AJ21</f>
        <v>0</v>
      </c>
      <c r="AM21" s="123">
        <f>AL21-AL24</f>
        <v>4</v>
      </c>
      <c r="AN21" s="123">
        <f>AF21*3+AG21</f>
        <v>4</v>
      </c>
      <c r="AO21" s="123">
        <f>AN21/AN24*10+BA21</f>
        <v>5</v>
      </c>
      <c r="AP21" s="123">
        <f>AO21*10000000+BI21*100+AM21/AM24*10+AI21/AI24*1++IF(AQ21=0,ROW(),AQ21)/2000000</f>
        <v>50000006.215163648</v>
      </c>
      <c r="AQ21" s="126">
        <f>VLOOKUP(AE21,db_fifarank,2,FALSE)</f>
        <v>1755.87</v>
      </c>
      <c r="AR21" s="125">
        <f>AP21/AP24</f>
        <v>0.5714285758651988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Brazil</v>
      </c>
      <c r="BT21" s="62">
        <v>2</v>
      </c>
      <c r="BU21" s="64">
        <v>1</v>
      </c>
      <c r="BV21" s="27"/>
      <c r="BW21" s="112">
        <f>IF(BW20="","",BT21*1000+BU21*10+BV21)</f>
        <v>2010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2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7 - 5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0.125645855</v>
      </c>
      <c r="AQ22" s="126">
        <f>VLOOKUP(AE22,db_fifarank,2,FALSE)</f>
        <v>1291.71</v>
      </c>
      <c r="AR22" s="125">
        <f>AP22/AP24</f>
        <v>1.4359524612267146E-9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1</v>
      </c>
      <c r="AE23" s="124" t="str">
        <f>VLOOKUP("Scotland",T,lang,FALSE)</f>
        <v>Scotland</v>
      </c>
      <c r="AF23" s="123">
        <f>COUNTIF($S$7:$T$78,"=" &amp; AE23 &amp; "_win")</f>
        <v>2</v>
      </c>
      <c r="AG23" s="123">
        <f>COUNTIF($S$7:$T$78,"=" &amp; AE23 &amp; "_draw")</f>
        <v>1</v>
      </c>
      <c r="AH23" s="123">
        <f>COUNTIF($S$7:$T$78,"=" &amp; AE23 &amp; "_lose")</f>
        <v>0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3</v>
      </c>
      <c r="AL23" s="123">
        <f>AI23-AJ23</f>
        <v>2</v>
      </c>
      <c r="AM23" s="123">
        <f>AL23-AL24</f>
        <v>6</v>
      </c>
      <c r="AN23" s="123">
        <f>AF23*3+AG23</f>
        <v>7</v>
      </c>
      <c r="AO23" s="123">
        <f>AN23/AN24*10+BA23</f>
        <v>8.75</v>
      </c>
      <c r="AP23" s="123">
        <f>AO23*10000000+BI23*100+AM23/AM24*10+AI23/AI24*1++IF(AQ23=0,ROW(),AQ23)/2000000</f>
        <v>87500009.197177738</v>
      </c>
      <c r="AQ23" s="126">
        <f>VLOOKUP(AE23,db_fifarank,2,FALSE)</f>
        <v>1498.35</v>
      </c>
      <c r="AR23" s="125">
        <f>AP23/AP24</f>
        <v>0.99999998857142991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3</v>
      </c>
      <c r="BN23" s="64"/>
      <c r="BO23" s="27"/>
      <c r="BP23" s="112">
        <f>IF(BP22="","",BM23*1000+BN23*10+BO23)</f>
        <v>3000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Brazil</v>
      </c>
      <c r="CH23" s="61">
        <v>1</v>
      </c>
      <c r="CI23" s="63">
        <v>0</v>
      </c>
      <c r="CJ23" s="25">
        <v>3</v>
      </c>
      <c r="CK23" s="112">
        <f>IF(OR(CH23="",CH24="",AND(CI23="",CI24&lt;&gt;""),AND(CI24="",CI23&lt;&gt;""),AND(CJ23="",CJ24&lt;&gt;""),AND(CJ24="",CJ23&lt;&gt;"")),"",CH23*1000+CI23*10+CJ23)</f>
        <v>1003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1 - 5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8</v>
      </c>
      <c r="AL24" s="123">
        <f>MIN(AL20:AL23)</f>
        <v>-4</v>
      </c>
      <c r="AM24" s="123">
        <f>MAX(AM20:AM23)+1</f>
        <v>7</v>
      </c>
      <c r="AN24" s="123">
        <f>MAX(AN20:AN23)+1</f>
        <v>8</v>
      </c>
      <c r="AO24" s="123">
        <f>MAX(AO20:AO23)+1</f>
        <v>9.75</v>
      </c>
      <c r="AP24" s="123">
        <f>MAX(AP20:AP23)+1</f>
        <v>87500010.197177738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0</v>
      </c>
      <c r="CJ24" s="27">
        <v>5</v>
      </c>
      <c r="CK24" s="113">
        <f>IF(CK23="","",CH24*1000+CI24*10+CJ24)</f>
        <v>1005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5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87500006.822265133</v>
      </c>
      <c r="AQ26" s="126">
        <f>VLOOKUP(AE26,db_fifarank,2,FALSE)</f>
        <v>1673.13</v>
      </c>
      <c r="AR26" s="125">
        <f>AP26/AP30</f>
        <v>0.99999998857142958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Portugal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12500000.286466036</v>
      </c>
      <c r="AQ27" s="126">
        <f>VLOOKUP(AE27,db_fifarank,2,FALSE)</f>
        <v>1503.5</v>
      </c>
      <c r="AR27" s="125">
        <f>AP27/AP30</f>
        <v>0.14285713335999614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25000000.143647477</v>
      </c>
      <c r="AQ28" s="126">
        <f>VLOOKUP(AE28,db_fifarank,2,FALSE)</f>
        <v>1580.67</v>
      </c>
      <c r="AR28" s="125">
        <f>AP28/AP30</f>
        <v>0.2857142618138831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Portugal</v>
      </c>
      <c r="BT28" s="61">
        <v>1</v>
      </c>
      <c r="BU28" s="63">
        <v>0</v>
      </c>
      <c r="BV28" s="25">
        <v>3</v>
      </c>
      <c r="BW28" s="112">
        <f>IF(OR(BT28="",BT29="",AND(BU28="",BU29&lt;&gt;""),AND(BU29="",BU28&lt;&gt;""),AND(BV28="",BV29&lt;&gt;""),AND(BV29="",BV28&lt;&gt;"")),"",BT28*1000+BU28*10+BV28)</f>
        <v>1003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1 - 4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7</v>
      </c>
      <c r="AN29" s="123">
        <f>AF29*3+AG29</f>
        <v>6</v>
      </c>
      <c r="AO29" s="123">
        <f>AN29/AN30*10+BA29</f>
        <v>7.5</v>
      </c>
      <c r="AP29" s="123">
        <f>AO29*10000000+BI29*100+AM29/AM30*10+AI29/AI30*1++IF(AQ29=0,ROW(),AQ29)/2000000</f>
        <v>75000009.607942373</v>
      </c>
      <c r="AQ29" s="126">
        <f>VLOOKUP(AE29,db_fifarank,2,FALSE)</f>
        <v>1599.04</v>
      </c>
      <c r="AR29" s="125">
        <f>AP29/AP30</f>
        <v>0.85714289032163915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>
        <v>0</v>
      </c>
      <c r="BV29" s="27">
        <v>4</v>
      </c>
      <c r="BW29" s="113">
        <f>IF(BW28="","",BT29*1000+BU29*10+BV29)</f>
        <v>1004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4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87500007.822265133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14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87500010.234198526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7.3979990501646865E-12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Egypt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4 - 3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3</v>
      </c>
      <c r="AL34" s="123">
        <f>AI34-AJ34</f>
        <v>-1</v>
      </c>
      <c r="AM34" s="123">
        <f>AL34-AL36</f>
        <v>6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50000004.200766496</v>
      </c>
      <c r="AQ34" s="126">
        <f>VLOOKUP(AE34,db_fifarank,2,FALSE)</f>
        <v>1532.98</v>
      </c>
      <c r="AR34" s="125">
        <f>AP34/AP36</f>
        <v>0.57142854607114024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8</v>
      </c>
      <c r="AN35" s="123">
        <f>AF35*3+AG35</f>
        <v>5</v>
      </c>
      <c r="AO35" s="123">
        <f>AN35/AN36*10+BA35</f>
        <v>6.25</v>
      </c>
      <c r="AP35" s="123">
        <f>AO35*10000000+BI35*100+AM35/AM36*10+AI35/AI36*1++IF(AQ35=0,ROW(),AQ35)/2000000</f>
        <v>62500005.734130725</v>
      </c>
      <c r="AQ35" s="126">
        <f>VLOOKUP(AE35,db_fifarank,2,FALSE)</f>
        <v>1594.78</v>
      </c>
      <c r="AR35" s="125">
        <f>AP35/AP36</f>
        <v>0.71428568811089721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2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Scotland_win</v>
      </c>
      <c r="T36" s="127" t="str">
        <f t="shared" si="2"/>
        <v>Morocco_lose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10</v>
      </c>
      <c r="AL36" s="123">
        <f>MIN(AL32:AL35)</f>
        <v>-7</v>
      </c>
      <c r="AM36" s="123">
        <f>MAX(AM32:AM35)+1</f>
        <v>15</v>
      </c>
      <c r="AN36" s="123">
        <f>MAX(AN32:AN35)+1</f>
        <v>8</v>
      </c>
      <c r="AO36" s="123">
        <f>MAX(AO32:AO35)+1</f>
        <v>9.75</v>
      </c>
      <c r="AP36" s="123">
        <f>MAX(AP32:AP35)+1</f>
        <v>87500011.234198526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0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Egypt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4</v>
      </c>
      <c r="AL38" s="123">
        <f>AI38-AJ38</f>
        <v>2</v>
      </c>
      <c r="AM38" s="123">
        <f>AL38-AL42</f>
        <v>4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87500008.858021781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>
        <v>0</v>
      </c>
      <c r="BO38" s="25">
        <v>5</v>
      </c>
      <c r="BP38" s="116">
        <f>IF(OR(BM38="",BM39="",AND(BN38="",BN39&lt;&gt;""),AND(BN39="",BN38&lt;&gt;""),AND(BO38="",BO39&lt;&gt;""),AND(BO39="",BO38&lt;&gt;"")),"",BM38*1000+BN38*10+BO38)</f>
        <v>1005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>
        <v>0</v>
      </c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6 - 4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6</v>
      </c>
      <c r="AL39" s="123">
        <f>AI39-AJ39</f>
        <v>-1</v>
      </c>
      <c r="AM39" s="123">
        <f>AL39-AL42</f>
        <v>1</v>
      </c>
      <c r="AN39" s="123">
        <f>AF39*3+AG39</f>
        <v>2</v>
      </c>
      <c r="AO39" s="123">
        <f>AN39/AN42*10+BA39</f>
        <v>2.5</v>
      </c>
      <c r="AP39" s="123">
        <f>AO39*10000000+BI39*100+AM39/AM42*10+AI39/AI42*1++IF(AQ39=0,ROW(),AQ39)/2000000</f>
        <v>25000002.715115927</v>
      </c>
      <c r="AQ39" s="126">
        <f>VLOOKUP(AE39,db_fifarank,2,FALSE)</f>
        <v>1660.43</v>
      </c>
      <c r="AR39" s="125">
        <f>AP39/AP42</f>
        <v>0.28571428455472325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>
        <v>0</v>
      </c>
      <c r="BO39" s="27">
        <v>4</v>
      </c>
      <c r="BP39" s="112">
        <f>IF(BP38="","",BM39*1000+BN39*10+BO39)</f>
        <v>1004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5 - 4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4</v>
      </c>
      <c r="AL40" s="123">
        <f>AI40-AJ40</f>
        <v>1</v>
      </c>
      <c r="AM40" s="123">
        <f>AL40-AL42</f>
        <v>3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62500006.715043098</v>
      </c>
      <c r="AQ40" s="126">
        <f>VLOOKUP(AE40,db_fifarank,2,FALSE)</f>
        <v>1514.77</v>
      </c>
      <c r="AR40" s="125">
        <f>AP40/AP42</f>
        <v>0.71428571055541723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2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5 - 6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3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12500000.143598668</v>
      </c>
      <c r="AQ41" s="126">
        <f>VLOOKUP(AE41,db_fifarank,2,FALSE)</f>
        <v>1483.05</v>
      </c>
      <c r="AR41" s="125">
        <f>AP41/AP42</f>
        <v>0.14285712840354267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1 - 3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5</v>
      </c>
      <c r="AN42" s="123">
        <f>MAX(AN38:AN41)+1</f>
        <v>8</v>
      </c>
      <c r="AO42" s="123">
        <f>MAX(AO38:AO41)+1</f>
        <v>9.75</v>
      </c>
      <c r="AP42" s="123">
        <f>MAX(AP38:AP41)+1</f>
        <v>87500009.858021781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Scotland</v>
      </c>
      <c r="BM42" s="61">
        <v>1</v>
      </c>
      <c r="BN42" s="63">
        <v>1</v>
      </c>
      <c r="BO42" s="25"/>
      <c r="BP42" s="112">
        <f>IF(OR(BM42="",BM43="",AND(BN42="",BN43&lt;&gt;""),AND(BN43="",BN42&lt;&gt;""),AND(BO42="",BO43&lt;&gt;""),AND(BO43="",BO42&lt;&gt;"")),"",BM42*1000+BN42*10+BO42)</f>
        <v>1010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>
        <v>0</v>
      </c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1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7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60000009.584200688</v>
      </c>
      <c r="AQ44" s="126">
        <f>VLOOKUP(AE44,db_fifarank,2,FALSE)</f>
        <v>1734.71</v>
      </c>
      <c r="AR44" s="125">
        <f>AP44/AP48</f>
        <v>0.6666666959914983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Scotland</v>
      </c>
      <c r="BT44" s="61">
        <v>2</v>
      </c>
      <c r="BU44" s="63">
        <v>0</v>
      </c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4 - 1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3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1</v>
      </c>
      <c r="AL45" s="123">
        <f>AI45-AJ45</f>
        <v>3</v>
      </c>
      <c r="AM45" s="123">
        <f>AL45-AL48</f>
        <v>7</v>
      </c>
      <c r="AN45" s="123">
        <f>AF45*3+AG45</f>
        <v>9</v>
      </c>
      <c r="AO45" s="123">
        <f>AN45/AN48*10+BA45</f>
        <v>9</v>
      </c>
      <c r="AP45" s="123">
        <f>AO45*10000000+BI45*100+AM45/AM48*10+AI45/AI48*1++IF(AQ45=0,ROW(),AQ45)/2000000</f>
        <v>90000009.417448297</v>
      </c>
      <c r="AQ45" s="126">
        <f>VLOOKUP(AE45,db_fifarank,2,FALSE)</f>
        <v>1563.24</v>
      </c>
      <c r="AR45" s="125">
        <f>AP45/AP48</f>
        <v>0.99999998888889019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2</v>
      </c>
      <c r="BU45" s="64">
        <v>1</v>
      </c>
      <c r="BV45" s="27"/>
      <c r="BW45" s="113">
        <f>IF(BW44="","",BT45*1000+BU45*10+BV45)</f>
        <v>2010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19805923.468445193</v>
      </c>
      <c r="AQ46" s="126">
        <f>VLOOKUP(AE46,db_fifarank,2,FALSE)</f>
        <v>1615.3</v>
      </c>
      <c r="AR46" s="125">
        <f>AP46/AP48</f>
        <v>0.22006579084356884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1 - 3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2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19805925.968278326</v>
      </c>
      <c r="AQ47" s="126">
        <f>VLOOKUP(AE47,db_fifarank,2,FALSE)</f>
        <v>1281.57</v>
      </c>
      <c r="AR47" s="125">
        <f>AP47/AP48</f>
        <v>0.22006581861948932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6</v>
      </c>
      <c r="AL48" s="123">
        <f>MIN(AL44:AL47)</f>
        <v>-4</v>
      </c>
      <c r="AM48" s="123">
        <f>MAX(AM44:AM47)+1</f>
        <v>8</v>
      </c>
      <c r="AN48" s="123">
        <f>MAX(AN44:AN47)+1</f>
        <v>10</v>
      </c>
      <c r="AO48" s="123">
        <f>MAX(AO44:AO47)+1</f>
        <v>10</v>
      </c>
      <c r="AP48" s="123">
        <f>MAX(AP44:AP47)+1</f>
        <v>90000010.417448297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Brazil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2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Croatia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32"/>
      <c r="CN49" s="26" t="str">
        <f>IF(CK55&gt;CK56,CG56,IF(CK55&lt;CK56,CG55,""))</f>
        <v>Croatia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4</v>
      </c>
      <c r="AJ50" s="123">
        <f>SUMIF($E$7:$E$78,$AE50,$G$7:$G$78) + SUMIF($H$7:$H$78,$AE50,$F$7:$F$78)</f>
        <v>0</v>
      </c>
      <c r="AL50" s="123">
        <f>AI50-AJ50</f>
        <v>4</v>
      </c>
      <c r="AM50" s="123">
        <f>AL50-AL54</f>
        <v>10</v>
      </c>
      <c r="AN50" s="123">
        <f>AF50*3+AG50</f>
        <v>7</v>
      </c>
      <c r="AO50" s="123">
        <f>AN50/AN54*10+BA50</f>
        <v>9.7303921568627452</v>
      </c>
      <c r="AP50" s="123">
        <f>AO50*10000000+BI50*100+AM50/AM54*10+AI50/AI54*1++IF(AQ50=0,ROW(),AQ50)/2000000</f>
        <v>97304029.499690428</v>
      </c>
      <c r="AQ50" s="126">
        <f>VLOOKUP(AE50,db_fifarank,2,FALSE)</f>
        <v>1876.4</v>
      </c>
      <c r="AR50" s="125">
        <f>AP50/AP54</f>
        <v>0.99999998972293347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</v>
      </c>
      <c r="BA50" s="126">
        <f>AZ50/AZ54</f>
        <v>0.98039215686274506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</v>
      </c>
      <c r="BI50" s="126">
        <f>BH50/BH54</f>
        <v>0.98039215686274506</v>
      </c>
      <c r="BK50" s="131">
        <v>79</v>
      </c>
      <c r="BL50" s="24" t="str">
        <f>AS8</f>
        <v>Mexico</v>
      </c>
      <c r="BM50" s="61">
        <v>2</v>
      </c>
      <c r="BN50" s="63">
        <v>0</v>
      </c>
      <c r="BO50" s="25">
        <v>3</v>
      </c>
      <c r="BP50" s="112">
        <f>IF(OR(BM50="",BM51="",AND(BN50="",BN51&lt;&gt;""),AND(BN51="",BN50&lt;&gt;""),AND(BO50="",BO51&lt;&gt;""),AND(BO51="",BO50&lt;&gt;"")),"",BM50*1000+BN50*10+BO50)</f>
        <v>2003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4 - 0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0.20068306500000002</v>
      </c>
      <c r="AQ51" s="126">
        <f>VLOOKUP(AE51,db_fifarank,2,FALSE)</f>
        <v>1366.13</v>
      </c>
      <c r="AR51" s="125">
        <f>AP51/AP54</f>
        <v>2.0624332205913967E-9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2</v>
      </c>
      <c r="BN51" s="64">
        <v>0</v>
      </c>
      <c r="BO51" s="27">
        <v>2</v>
      </c>
      <c r="BP51" s="113">
        <f>IF(BP50="","",BM51*1000+BN51*10+BO51)</f>
        <v>2002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4 - 0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4</v>
      </c>
      <c r="AL52" s="123">
        <f>AI52-AJ52</f>
        <v>-2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37500004.03707435</v>
      </c>
      <c r="AQ52" s="126">
        <f>VLOOKUP(AE52,db_fifarank,2,FALSE)</f>
        <v>1421.43</v>
      </c>
      <c r="AR52" s="125">
        <f>AP52/AP54</f>
        <v>0.38539003825944967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0</v>
      </c>
      <c r="AL53" s="123">
        <f>AI53-AJ53</f>
        <v>4</v>
      </c>
      <c r="AM53" s="123">
        <f>AL53-AL54</f>
        <v>10</v>
      </c>
      <c r="AN53" s="123">
        <f>AF53*3+AG53</f>
        <v>7</v>
      </c>
      <c r="AO53" s="123">
        <f>AN53/AN54*10+BA53</f>
        <v>9.7303921568627452</v>
      </c>
      <c r="AP53" s="123">
        <f>AO53*10000000+BI53*100+AM53/AM54*10+AI53/AI54*1++IF(AQ53=0,ROW(),AQ53)/2000000</f>
        <v>97304029.499588758</v>
      </c>
      <c r="AQ53" s="126">
        <f>VLOOKUP(AE53,db_fifarank,2,FALSE)</f>
        <v>1673.07</v>
      </c>
      <c r="AR53" s="125">
        <f>AP53/AP54</f>
        <v>0.99999998972188853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</v>
      </c>
      <c r="BA53" s="126">
        <f>AZ53/AZ54</f>
        <v>0.98039215686274506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</v>
      </c>
      <c r="BI53" s="126">
        <f>BH53/BH54</f>
        <v>0.98039215686274506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5</v>
      </c>
      <c r="AL54" s="123">
        <f>MIN(AL50:AL53)</f>
        <v>-6</v>
      </c>
      <c r="AM54" s="123">
        <f>MAX(AM50:AM53)+1</f>
        <v>11</v>
      </c>
      <c r="AN54" s="123">
        <f>MAX(AN50:AN53)+1</f>
        <v>8</v>
      </c>
      <c r="AO54" s="123">
        <f>MAX(AO50:AO53)+1</f>
        <v>10.730392156862745</v>
      </c>
      <c r="AP54" s="123">
        <f>MAX(AP50:AP53)+1</f>
        <v>97304030.499690428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Croatia</v>
      </c>
      <c r="CH55" s="61">
        <v>0</v>
      </c>
      <c r="CI55" s="63">
        <v>0</v>
      </c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1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10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97306559.669267103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>
        <v>1</v>
      </c>
      <c r="CJ56" s="27"/>
      <c r="CK56" s="112">
        <f>IF(CK55="","",CH56*1000+CI56*10+CJ56)</f>
        <v>10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4</v>
      </c>
      <c r="AL57" s="123">
        <f>AI57-AJ57</f>
        <v>-2</v>
      </c>
      <c r="AM57" s="123">
        <f>AL57-AL60</f>
        <v>3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37500002.928117223</v>
      </c>
      <c r="AQ57" s="126">
        <f>VLOOKUP(AE57,db_fifarank,2,FALSE)</f>
        <v>1688.99</v>
      </c>
      <c r="AR57" s="125">
        <f>AP57/AP60</f>
        <v>0.38538000593377325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4 - 2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1.0351159192888022E-9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2</v>
      </c>
      <c r="AL59" s="123">
        <f>AI59-AJ59</f>
        <v>2</v>
      </c>
      <c r="AM59" s="123">
        <f>AL59-AL60</f>
        <v>7</v>
      </c>
      <c r="AN59" s="123">
        <f>AF59*3+AG59</f>
        <v>7</v>
      </c>
      <c r="AO59" s="123">
        <f>AN59/AN60*10+BA59</f>
        <v>9.7306451612903224</v>
      </c>
      <c r="AP59" s="123">
        <f>AO59*10000000+BI59*100+AM59/AM60*10+AI59/AI60*1++IF(AQ59=0,ROW(),AQ59)/2000000</f>
        <v>97306556.441831186</v>
      </c>
      <c r="AQ59" s="126">
        <f>VLOOKUP(AE59,db_fifarank,2,FALSE)</f>
        <v>1550.94</v>
      </c>
      <c r="AR59" s="125">
        <f>AP59/AP60</f>
        <v>0.99999995655548934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3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1</v>
      </c>
      <c r="V60" s="123">
        <f t="shared" si="21"/>
        <v>3</v>
      </c>
      <c r="W60" s="123">
        <f t="shared" si="22"/>
        <v>2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-5</v>
      </c>
      <c r="AM60" s="123">
        <f>MAX(AM56:AM59)+1</f>
        <v>11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97306560.669267103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>
        <v>0</v>
      </c>
      <c r="BV60" s="25">
        <v>4</v>
      </c>
      <c r="BW60" s="112">
        <f>IF(OR(BT60="",BT61="",AND(BU60="",BU61&lt;&gt;""),AND(BU61="",BU60&lt;&gt;""),AND(BV60="",BV61&lt;&gt;""),AND(BV61="",BV60&lt;&gt;"")),"",BT60*1000+BU60*10+BV60)</f>
        <v>2004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Belgium</v>
      </c>
      <c r="BT61" s="62">
        <v>2</v>
      </c>
      <c r="BU61" s="64">
        <v>0</v>
      </c>
      <c r="BV61" s="27">
        <v>3</v>
      </c>
      <c r="BW61" s="113">
        <f>IF(BW60="","",BT61*1000+BU61*10+BV61)</f>
        <v>2003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3</v>
      </c>
      <c r="AL62" s="123">
        <f>AI62-AJ62</f>
        <v>3</v>
      </c>
      <c r="AM62" s="123">
        <f>AL62-AL66</f>
        <v>5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87500009.191413596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6 - 3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1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50000002.096020222</v>
      </c>
      <c r="AQ63" s="126">
        <f>VLOOKUP(AE63,db_fifarank,2,FALSE)</f>
        <v>1564.26</v>
      </c>
      <c r="AR63" s="125">
        <f>AP63/AP66</f>
        <v>0.57142852882692274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3</v>
      </c>
      <c r="AH64" s="123">
        <f>COUNTIF($S$7:$T$78,"=" &amp; AE64 &amp; "_lose")</f>
        <v>0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2</v>
      </c>
      <c r="AN64" s="123">
        <f>AF64*3+AG64</f>
        <v>3</v>
      </c>
      <c r="AO64" s="123">
        <f>AN64/AN66*10+BA64</f>
        <v>3.75</v>
      </c>
      <c r="AP64" s="123">
        <f>AO64*10000000+BI64*100+AM64/AM66*10+AI64/AI66*1++IF(AQ64=0,ROW(),AQ64)/2000000</f>
        <v>37500003.762701489</v>
      </c>
      <c r="AQ64" s="126">
        <f>VLOOKUP(AE64,db_fifarank,2,FALSE)</f>
        <v>1593.45</v>
      </c>
      <c r="AR64" s="125">
        <f>AP64/AP66</f>
        <v>0.42857142165660428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0</v>
      </c>
      <c r="M65" s="23">
        <f>VLOOKUP(3,AD62:AN65,4,FALSE)</f>
        <v>3</v>
      </c>
      <c r="N65" s="23">
        <f>VLOOKUP(3,AD62:AN65,5,FALSE)</f>
        <v>0</v>
      </c>
      <c r="O65" s="23" t="str">
        <f>VLOOKUP(3,AD62:AN65,6,FALSE) &amp; " - " &amp; VLOOKUP(3,AD62:AN65,7,FALSE)</f>
        <v>3 - 3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2</v>
      </c>
      <c r="AL65" s="123">
        <f>AI65-AJ65</f>
        <v>-2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12500000.000695726</v>
      </c>
      <c r="AQ65" s="126">
        <f>VLOOKUP(AE65,db_fifarank,2,FALSE)</f>
        <v>1391.45</v>
      </c>
      <c r="AR65" s="125">
        <f>AP65/AP66</f>
        <v>0.14285712622605334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Colombia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0 - 2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-2</v>
      </c>
      <c r="AM66" s="123">
        <f>MAX(AM62:AM65)+1</f>
        <v>6</v>
      </c>
      <c r="AN66" s="123">
        <f>MAX(AN62:AN65)+1</f>
        <v>8</v>
      </c>
      <c r="AO66" s="123">
        <f>MAX(AO62:AO65)+1</f>
        <v>9.75</v>
      </c>
      <c r="AP66" s="123">
        <f>MAX(AP62:AP65)+1</f>
        <v>87500010.191413596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Austria</v>
      </c>
      <c r="BM67" s="62">
        <v>2</v>
      </c>
      <c r="BN67" s="64"/>
      <c r="BO67" s="27"/>
      <c r="BP67" s="113">
        <f>IF(BP66="","",BM67*1000+BN67*10+BO67)</f>
        <v>2000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10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97306559.519210353</v>
      </c>
      <c r="AQ68" s="126">
        <f>VLOOKUP(AE68,db_fifarank,2,FALSE)</f>
        <v>1763.83</v>
      </c>
      <c r="AR68" s="125">
        <f>AP68/AP72</f>
        <v>0.99999998843896409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Austria</v>
      </c>
      <c r="BT68" s="61">
        <v>1</v>
      </c>
      <c r="BU68" s="63">
        <v>0</v>
      </c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7 - 3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3</v>
      </c>
      <c r="AL69" s="123">
        <f>AI69-AJ69</f>
        <v>-2</v>
      </c>
      <c r="AM69" s="123">
        <f>AL69-AL72</f>
        <v>4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37500003.762102805</v>
      </c>
      <c r="AQ69" s="126">
        <f>VLOOKUP(AE69,db_fifarank,2,FALSE)</f>
        <v>1478.35</v>
      </c>
      <c r="AR69" s="125">
        <f>AP69/AP72</f>
        <v>0.38538001460385235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Colombia</v>
      </c>
      <c r="BT69" s="62">
        <v>1</v>
      </c>
      <c r="BU69" s="64">
        <v>1</v>
      </c>
      <c r="BV69" s="27"/>
      <c r="BW69" s="112">
        <f>IF(BW68="","",BT69*1000+BU69*10+BV69)</f>
        <v>1010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0.12573266999999999</v>
      </c>
      <c r="AQ70" s="126">
        <f>VLOOKUP(AE70,db_fifarank,2,FALSE)</f>
        <v>1465.34</v>
      </c>
      <c r="AR70" s="125">
        <f>AP70/AP72</f>
        <v>1.2921294223908699E-9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Colombia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1 - 3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97306559.644174993</v>
      </c>
      <c r="AQ71" s="126">
        <f>VLOOKUP(AE71,db_fifarank,2,FALSE)</f>
        <v>1693.09</v>
      </c>
      <c r="AR71" s="125">
        <f>AP71/AP72</f>
        <v>0.99999998972320059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Senegal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0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1 - 7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8</v>
      </c>
      <c r="AL72" s="123">
        <f>MIN(AL68:AL71)</f>
        <v>-6</v>
      </c>
      <c r="AM72" s="123">
        <f>MAX(AM68:AM71)+1</f>
        <v>11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97306560.644174993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7</v>
      </c>
      <c r="AN74" s="123">
        <f>AF74*3+AG74</f>
        <v>7</v>
      </c>
      <c r="AO74" s="123">
        <f>AN74/AN78*10+BA74</f>
        <v>9.7306451612903224</v>
      </c>
      <c r="AP74" s="123">
        <f>AO74*10000000+BI74*100+AM74/AM78*10+AI74/AI78*1++IF(AQ74=0,ROW(),AQ74)/2000000</f>
        <v>97306558.011665657</v>
      </c>
      <c r="AQ74" s="126">
        <f>VLOOKUP(AE74,db_fifarank,2,FALSE)</f>
        <v>1825.97</v>
      </c>
      <c r="AR74" s="125">
        <f>AP74/AP78</f>
        <v>0.99999997487949421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50.666666666666664</v>
      </c>
      <c r="BA74" s="126">
        <f>AZ74/AZ78</f>
        <v>0.98064516129032253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50.666666666666664</v>
      </c>
      <c r="BI74" s="126">
        <f>BH74/BH78</f>
        <v>0.98064516129032253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8 - 4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8</v>
      </c>
      <c r="AJ75" s="123">
        <f>SUMIF($E$7:$E$78,$AE75,$G$7:$G$78) + SUMIF($H$7:$H$78,$AE75,$F$7:$F$78)</f>
        <v>4</v>
      </c>
      <c r="AL75" s="123">
        <f>AI75-AJ75</f>
        <v>4</v>
      </c>
      <c r="AM75" s="123">
        <f>AL75-AL78</f>
        <v>8</v>
      </c>
      <c r="AN75" s="123">
        <f>AF75*3+AG75</f>
        <v>7</v>
      </c>
      <c r="AO75" s="123">
        <f>AN75/AN78*10+BA75</f>
        <v>9.7306451612903224</v>
      </c>
      <c r="AP75" s="123">
        <f>AO75*10000000+BI75*100+AM75/AM78*10+AI75/AI78*1++IF(AQ75=0,ROW(),AQ75)/2000000</f>
        <v>97306559.456055671</v>
      </c>
      <c r="AQ75" s="126">
        <f>VLOOKUP(AE75,db_fifarank,2,FALSE)</f>
        <v>1717.07</v>
      </c>
      <c r="AR75" s="125">
        <f>AP75/AP78</f>
        <v>0.99999998972320059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1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5</v>
      </c>
      <c r="AL76" s="123">
        <f>AI76-AJ76</f>
        <v>-4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0.1117842661111111</v>
      </c>
      <c r="AQ76" s="126">
        <f>VLOOKUP(AE76,db_fifarank,2,FALSE)</f>
        <v>1346.31</v>
      </c>
      <c r="AR76" s="125">
        <f>AP76/AP78</f>
        <v>1.1487844764751875E-9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1</v>
      </c>
      <c r="AN77" s="123">
        <f>AF77*3+AG77</f>
        <v>3</v>
      </c>
      <c r="AO77" s="123">
        <f>AN77/AN78*10+BA77</f>
        <v>3.75</v>
      </c>
      <c r="AP77" s="123">
        <f>AO77*10000000+BI77*100+AM77/AM78*10+AI77/AI78*1++IF(AQ77=0,ROW(),AQ77)/2000000</f>
        <v>37500001.334103659</v>
      </c>
      <c r="AQ77" s="126">
        <f>VLOOKUP(AE77,db_fifarank,2,FALSE)</f>
        <v>1540.64</v>
      </c>
      <c r="AR77" s="125">
        <f>AP77/AP78</f>
        <v>0.38537999039683379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10.730645161290322</v>
      </c>
      <c r="AP78" s="123">
        <f>MAX(AP74:AP77)+1</f>
        <v>97306560.456055671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5</v>
      </c>
      <c r="AJ80" s="123">
        <f>VLOOKUP($AE80,$AE$8:$AQ$78,6,FALSE)</f>
        <v>5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8833.3341276633346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Korea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6266.6674449066668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Morocco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Morocco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8816.6675446016652</v>
      </c>
      <c r="AQ82" s="126">
        <f t="shared" si="37"/>
        <v>1755.87</v>
      </c>
      <c r="AR82" s="125" t="str">
        <f t="shared" ref="AR82:AR91" si="50">AR81&amp;IF(AD82&lt;=8,RIGHT(AK82,1),"")</f>
        <v>ABC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1</v>
      </c>
      <c r="AJ83" s="123">
        <f t="shared" si="42"/>
        <v>4</v>
      </c>
      <c r="AK83" s="123" t="s">
        <v>3184</v>
      </c>
      <c r="AL83" s="123">
        <f t="shared" si="43"/>
        <v>-3</v>
      </c>
      <c r="AM83" s="123">
        <f t="shared" si="44"/>
        <v>0</v>
      </c>
      <c r="AN83" s="123">
        <f t="shared" si="45"/>
        <v>2</v>
      </c>
      <c r="AP83" s="123">
        <f>AN83/AN92*10000+AM83/AM92*1000+AI83/AI92*100+IF(AQ83=0,ROW(),AQ83)/2000000</f>
        <v>4016.6674570016667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Ⓙ Austria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3</v>
      </c>
      <c r="AK84" s="123" t="s">
        <v>3185</v>
      </c>
      <c r="AL84" s="123">
        <f t="shared" si="43"/>
        <v>-1</v>
      </c>
      <c r="AM84" s="123">
        <f t="shared" si="44"/>
        <v>2</v>
      </c>
      <c r="AN84" s="123">
        <f t="shared" si="45"/>
        <v>4</v>
      </c>
      <c r="AP84" s="123">
        <f>AN84/AN92*10000+AM84/AM92*1000+AI84/AI92*100+IF(AQ84=0,ROW(),AQ84)/2000000</f>
        <v>8533.3340998233343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5</v>
      </c>
      <c r="AJ85" s="123">
        <f t="shared" si="42"/>
        <v>6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4583.334163548333</v>
      </c>
      <c r="AQ85" s="126">
        <f t="shared" si="37"/>
        <v>1660.43</v>
      </c>
      <c r="AR85" s="125" t="str">
        <f t="shared" si="50"/>
        <v>ABCE</v>
      </c>
      <c r="AS85" s="129" t="str">
        <f t="shared" si="46"/>
        <v/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1</v>
      </c>
      <c r="AP86" s="123">
        <f>AN86/AN92*10000+AM86/AM92*1000+AI86/AI92*100+IF(AQ86=0,ROW(),AQ86)/2000000</f>
        <v>2266.6673074516666</v>
      </c>
      <c r="AQ86" s="126">
        <f t="shared" si="37"/>
        <v>1281.57</v>
      </c>
      <c r="AR86" s="125" t="str">
        <f t="shared" si="50"/>
        <v>ABCE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Canada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4</v>
      </c>
      <c r="AK87" s="123" t="s">
        <v>3188</v>
      </c>
      <c r="AL87" s="123">
        <f t="shared" si="43"/>
        <v>-2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6283.3340440483335</v>
      </c>
      <c r="AQ87" s="126">
        <f t="shared" si="37"/>
        <v>1421.43</v>
      </c>
      <c r="AR87" s="125" t="str">
        <f t="shared" si="50"/>
        <v>ABCEH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1 - 3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South Africa</v>
      </c>
      <c r="T88" s="127" t="str" cm="1">
        <f t="array" ref="T88">IF(OR(S88="",S88="draw"),INDEX(T,90,lang),S88)</f>
        <v>South Africa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4</v>
      </c>
      <c r="AK88" s="123" t="s">
        <v>3189</v>
      </c>
      <c r="AL88" s="123">
        <f t="shared" si="43"/>
        <v>-2</v>
      </c>
      <c r="AM88" s="123">
        <f t="shared" si="44"/>
        <v>1</v>
      </c>
      <c r="AN88" s="123">
        <f t="shared" si="45"/>
        <v>3</v>
      </c>
      <c r="AP88" s="123">
        <f>AN88/AN92*10000+AM88/AM92*1000+AI88/AI92*100+IF(AQ88=0,ROW(),AQ88)/2000000</f>
        <v>6283.3341778283329</v>
      </c>
      <c r="AQ88" s="126">
        <f t="shared" si="37"/>
        <v>1688.99</v>
      </c>
      <c r="AR88" s="125" t="str">
        <f t="shared" si="50"/>
        <v>ABCEHI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4</v>
      </c>
      <c r="AE89" s="124" t="str">
        <f>J65</f>
        <v>Austria</v>
      </c>
      <c r="AF89" s="123">
        <f t="shared" si="39"/>
        <v>0</v>
      </c>
      <c r="AG89" s="123">
        <f t="shared" si="49"/>
        <v>3</v>
      </c>
      <c r="AH89" s="123">
        <f t="shared" si="40"/>
        <v>0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6800.0007967250003</v>
      </c>
      <c r="AQ89" s="126">
        <f t="shared" si="37"/>
        <v>1593.45</v>
      </c>
      <c r="AR89" s="125" t="str">
        <f t="shared" si="50"/>
        <v>ABCEHIJ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Japan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5 - 6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8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3</v>
      </c>
      <c r="AK90" s="123" t="s">
        <v>3191</v>
      </c>
      <c r="AL90" s="123">
        <f t="shared" si="43"/>
        <v>-2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6266.6674058416666</v>
      </c>
      <c r="AQ90" s="126">
        <f t="shared" si="37"/>
        <v>1478.35</v>
      </c>
      <c r="AR90" s="125" t="str">
        <f t="shared" si="50"/>
        <v>ABCEHIJK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9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0</v>
      </c>
      <c r="AN91" s="123">
        <f>VLOOKUP($AE91,$AE$8:$AQ$78,10,FALSE)</f>
        <v>3</v>
      </c>
      <c r="AP91" s="123">
        <f>AN91/AN92*10000+AM91/AM92*1000+AI91/AI92*100+IF(AQ91=0,ROW(),AQ91)/2000000</f>
        <v>6033.3341036533329</v>
      </c>
      <c r="AQ91" s="126">
        <f t="shared" si="37"/>
        <v>1540.64</v>
      </c>
      <c r="AR91" s="125" t="str">
        <f t="shared" si="50"/>
        <v>ABCEHIJK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1 - 3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 cm="1">
        <f t="array" ref="T98">IF(OR(S98="",S98="draw"),INDEX(T,97,lang),S98)</f>
        <v>Egypt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Brazil</v>
      </c>
      <c r="T102" s="127" t="str" cm="1">
        <f t="array" ref="T102">IF(OR(S102="",S102="draw"),INDEX(T,98,lang),S102)</f>
        <v>Brazil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Egypt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34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395</v>
      </c>
      <c r="C3" s="121" t="str">
        <f>'2026 World Cup'!AR91</f>
        <v>ABCEHIJK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8ce290be-5ae8-4434-9797-15177c020e10}" enabled="1" method="Standard" siteId="{c37d7c16-d7c7-4558-93d2-a635b596c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María Vanessa Jiménez Torres</cp:lastModifiedBy>
  <cp:revision/>
  <dcterms:created xsi:type="dcterms:W3CDTF">2017-12-27T19:32:51Z</dcterms:created>
  <dcterms:modified xsi:type="dcterms:W3CDTF">2026-06-11T18:14:46Z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