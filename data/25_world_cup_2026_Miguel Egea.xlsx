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on\Downloads\"/>
    </mc:Choice>
  </mc:AlternateContent>
  <xr:revisionPtr revIDLastSave="0" documentId="13_ncr:1_{6667481B-FCA5-415C-9C63-7BEB40AD2901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S47" i="3"/>
  <c r="S67" i="3"/>
  <c r="T23" i="3"/>
  <c r="T48" i="3"/>
  <c r="T43" i="3"/>
  <c r="S72" i="3"/>
  <c r="T46" i="3"/>
  <c r="S70" i="3"/>
  <c r="T21" i="3"/>
  <c r="S42" i="3"/>
  <c r="S64" i="3"/>
  <c r="T41" i="3"/>
  <c r="S40" i="3"/>
  <c r="S62" i="3"/>
  <c r="T61" i="3"/>
  <c r="S38" i="3"/>
  <c r="S65" i="3"/>
  <c r="T37" i="3"/>
  <c r="S55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6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28" i="3" l="1"/>
  <c r="AR9" i="3"/>
  <c r="AR10" i="3"/>
  <c r="AR11" i="3"/>
  <c r="AD8" i="3" s="1"/>
  <c r="AR33" i="3"/>
  <c r="AR34" i="3"/>
  <c r="AR35" i="3"/>
  <c r="AD35" i="3" s="1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75" i="3"/>
  <c r="AD33" i="3" l="1"/>
  <c r="AD9" i="3"/>
  <c r="AD11" i="3"/>
  <c r="AD10" i="3"/>
  <c r="AD34" i="3"/>
  <c r="O34" i="3" s="1"/>
  <c r="AD32" i="3"/>
  <c r="L36" i="3" s="1"/>
  <c r="AD15" i="3"/>
  <c r="AD28" i="3"/>
  <c r="AD41" i="3"/>
  <c r="M58" i="3"/>
  <c r="AD62" i="3"/>
  <c r="N63" i="3" s="1"/>
  <c r="AD44" i="3"/>
  <c r="N46" i="3" s="1"/>
  <c r="AD63" i="3"/>
  <c r="AD76" i="3"/>
  <c r="AD27" i="3"/>
  <c r="AD70" i="3"/>
  <c r="L58" i="3"/>
  <c r="O60" i="3"/>
  <c r="AD71" i="3"/>
  <c r="AD29" i="3"/>
  <c r="AD47" i="3"/>
  <c r="L59" i="3"/>
  <c r="AD68" i="3"/>
  <c r="O69" i="3" s="1"/>
  <c r="AD20" i="3"/>
  <c r="M59" i="3"/>
  <c r="N58" i="3"/>
  <c r="AD21" i="3"/>
  <c r="AD26" i="3"/>
  <c r="AD14" i="3"/>
  <c r="AD74" i="3"/>
  <c r="N76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M51" i="3" s="1"/>
  <c r="N59" i="3"/>
  <c r="AD17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33" i="3"/>
  <c r="AS32" i="3" s="1"/>
  <c r="BL10" i="3" s="1"/>
  <c r="N33" i="3"/>
  <c r="L33" i="3"/>
  <c r="O33" i="3"/>
  <c r="M33" i="3"/>
  <c r="M36" i="3"/>
  <c r="N35" i="3"/>
  <c r="M34" i="3"/>
  <c r="N36" i="3"/>
  <c r="N34" i="3"/>
  <c r="M35" i="3" l="1"/>
  <c r="L54" i="3"/>
  <c r="N11" i="3"/>
  <c r="O10" i="3"/>
  <c r="J10" i="3"/>
  <c r="AS9" i="3" s="1"/>
  <c r="BL18" i="3" s="1"/>
  <c r="L10" i="3"/>
  <c r="O51" i="3"/>
  <c r="J51" i="3"/>
  <c r="AS50" i="3" s="1"/>
  <c r="BL30" i="3" s="1"/>
  <c r="L63" i="3"/>
  <c r="J11" i="3"/>
  <c r="AE80" i="3" s="1"/>
  <c r="AQ80" i="3" s="1"/>
  <c r="L51" i="3"/>
  <c r="N51" i="3"/>
  <c r="J69" i="3"/>
  <c r="AS68" i="3" s="1"/>
  <c r="BL70" i="3" s="1"/>
  <c r="N69" i="3"/>
  <c r="M69" i="3"/>
  <c r="M11" i="3"/>
  <c r="P11" i="3" s="1"/>
  <c r="L77" i="3"/>
  <c r="L69" i="3"/>
  <c r="J63" i="3"/>
  <c r="AS62" i="3" s="1"/>
  <c r="BL58" i="3" s="1"/>
  <c r="BS60" i="3" s="1"/>
  <c r="BZ64" i="3" s="1"/>
  <c r="O63" i="3"/>
  <c r="M63" i="3"/>
  <c r="O65" i="3"/>
  <c r="L46" i="3"/>
  <c r="O40" i="3"/>
  <c r="J45" i="3"/>
  <c r="AS44" i="3" s="1"/>
  <c r="BL38" i="3" s="1"/>
  <c r="BS37" i="3" s="1"/>
  <c r="J46" i="3"/>
  <c r="AS45" i="3" s="1"/>
  <c r="BL63" i="3" s="1"/>
  <c r="N54" i="3"/>
  <c r="N52" i="3"/>
  <c r="O29" i="3"/>
  <c r="J34" i="3"/>
  <c r="AS33" i="3" s="1"/>
  <c r="BL46" i="3" s="1"/>
  <c r="M65" i="3"/>
  <c r="O36" i="3"/>
  <c r="J35" i="3"/>
  <c r="AE84" i="3" s="1"/>
  <c r="AQ84" i="3" s="1"/>
  <c r="J65" i="3"/>
  <c r="AE89" i="3" s="1"/>
  <c r="AQ89" i="3" s="1"/>
  <c r="N65" i="3"/>
  <c r="L35" i="3"/>
  <c r="P35" i="3" s="1"/>
  <c r="O77" i="3"/>
  <c r="L65" i="3"/>
  <c r="M46" i="3"/>
  <c r="L34" i="3"/>
  <c r="K34" i="3" s="1"/>
  <c r="J36" i="3"/>
  <c r="O64" i="3"/>
  <c r="O46" i="3"/>
  <c r="O35" i="3"/>
  <c r="J28" i="3"/>
  <c r="AS27" i="3" s="1"/>
  <c r="BL62" i="3" s="1"/>
  <c r="M72" i="3"/>
  <c r="L17" i="3"/>
  <c r="P58" i="3"/>
  <c r="N30" i="3"/>
  <c r="N28" i="3"/>
  <c r="O47" i="3"/>
  <c r="N45" i="3"/>
  <c r="O27" i="3"/>
  <c r="L72" i="3"/>
  <c r="J48" i="3"/>
  <c r="O30" i="3"/>
  <c r="M28" i="3"/>
  <c r="M30" i="3"/>
  <c r="J75" i="3"/>
  <c r="AS74" i="3" s="1"/>
  <c r="BL54" i="3" s="1"/>
  <c r="O28" i="3"/>
  <c r="N75" i="3"/>
  <c r="M47" i="3"/>
  <c r="J27" i="3"/>
  <c r="AS26" i="3" s="1"/>
  <c r="BL34" i="3" s="1"/>
  <c r="S90" i="3" s="1"/>
  <c r="T90" i="3" s="1" a="1"/>
  <c r="T90" i="3" s="1"/>
  <c r="O75" i="3"/>
  <c r="O76" i="3"/>
  <c r="M78" i="3"/>
  <c r="L75" i="3"/>
  <c r="J76" i="3"/>
  <c r="AS75" i="3" s="1"/>
  <c r="BL27" i="3" s="1"/>
  <c r="S86" i="3" s="1"/>
  <c r="T86" i="3" s="1" a="1"/>
  <c r="T86" i="3" s="1"/>
  <c r="N78" i="3"/>
  <c r="L76" i="3"/>
  <c r="O48" i="3"/>
  <c r="J29" i="3"/>
  <c r="AE83" i="3" s="1"/>
  <c r="AQ83" i="3" s="1"/>
  <c r="O78" i="3"/>
  <c r="M76" i="3"/>
  <c r="J30" i="3"/>
  <c r="L78" i="3"/>
  <c r="N77" i="3"/>
  <c r="J78" i="3"/>
  <c r="M45" i="3"/>
  <c r="L18" i="3"/>
  <c r="M77" i="3"/>
  <c r="M75" i="3"/>
  <c r="O18" i="3"/>
  <c r="O71" i="3"/>
  <c r="M42" i="3"/>
  <c r="J41" i="3"/>
  <c r="AE85" i="3" s="1"/>
  <c r="AQ85" i="3" s="1"/>
  <c r="J42" i="3"/>
  <c r="M39" i="3"/>
  <c r="O42" i="3"/>
  <c r="N71" i="3"/>
  <c r="L71" i="3"/>
  <c r="N70" i="3"/>
  <c r="L40" i="3"/>
  <c r="M17" i="3"/>
  <c r="O39" i="3"/>
  <c r="J70" i="3"/>
  <c r="AS69" i="3" s="1"/>
  <c r="BL26" i="3" s="1"/>
  <c r="J71" i="3"/>
  <c r="AE90" i="3" s="1"/>
  <c r="AQ90" i="3" s="1"/>
  <c r="M70" i="3"/>
  <c r="L48" i="3"/>
  <c r="M40" i="3"/>
  <c r="L28" i="3"/>
  <c r="L16" i="3"/>
  <c r="AN88" i="3"/>
  <c r="N24" i="3"/>
  <c r="J40" i="3"/>
  <c r="AS39" i="3" s="1"/>
  <c r="BL43" i="3" s="1"/>
  <c r="O70" i="3"/>
  <c r="J72" i="3"/>
  <c r="L70" i="3"/>
  <c r="M48" i="3"/>
  <c r="L47" i="3"/>
  <c r="L42" i="3"/>
  <c r="L29" i="3"/>
  <c r="N16" i="3"/>
  <c r="AI88" i="3"/>
  <c r="M18" i="3"/>
  <c r="M71" i="3"/>
  <c r="M27" i="3"/>
  <c r="M16" i="3"/>
  <c r="L15" i="3"/>
  <c r="M66" i="3"/>
  <c r="O72" i="3"/>
  <c r="L39" i="3"/>
  <c r="O45" i="3"/>
  <c r="N39" i="3"/>
  <c r="M29" i="3"/>
  <c r="N40" i="3"/>
  <c r="N47" i="3"/>
  <c r="N72" i="3"/>
  <c r="J77" i="3"/>
  <c r="AE91" i="3" s="1"/>
  <c r="AQ91" i="3" s="1"/>
  <c r="N48" i="3"/>
  <c r="J47" i="3"/>
  <c r="AE86" i="3" s="1"/>
  <c r="AQ86" i="3" s="1"/>
  <c r="J39" i="3"/>
  <c r="AS38" i="3" s="1"/>
  <c r="BL22" i="3" s="1"/>
  <c r="L30" i="3"/>
  <c r="N27" i="3"/>
  <c r="L22" i="3"/>
  <c r="M24" i="3"/>
  <c r="L21" i="3"/>
  <c r="J64" i="3"/>
  <c r="AS63" i="3" s="1"/>
  <c r="BL31" i="3" s="1"/>
  <c r="N64" i="3"/>
  <c r="J22" i="3"/>
  <c r="AS21" i="3" s="1"/>
  <c r="BL23" i="3" s="1"/>
  <c r="S89" i="3" s="1"/>
  <c r="T89" i="3" s="1" a="1"/>
  <c r="T89" i="3" s="1"/>
  <c r="M64" i="3"/>
  <c r="J24" i="3"/>
  <c r="J66" i="3"/>
  <c r="L64" i="3"/>
  <c r="M22" i="3"/>
  <c r="O23" i="3"/>
  <c r="M54" i="3"/>
  <c r="P54" i="3" s="1"/>
  <c r="N66" i="3"/>
  <c r="N22" i="3"/>
  <c r="O22" i="3"/>
  <c r="O66" i="3"/>
  <c r="L66" i="3"/>
  <c r="N21" i="3"/>
  <c r="K58" i="3"/>
  <c r="N29" i="3"/>
  <c r="O24" i="3"/>
  <c r="O17" i="3"/>
  <c r="AT88" i="3"/>
  <c r="AJ88" i="3"/>
  <c r="S87" i="3"/>
  <c r="T87" i="3" s="1" a="1"/>
  <c r="T87" i="3" s="1"/>
  <c r="BS29" i="3"/>
  <c r="N18" i="3"/>
  <c r="N53" i="3"/>
  <c r="S88" i="3"/>
  <c r="T88" i="3" s="1" a="1"/>
  <c r="T88" i="3" s="1"/>
  <c r="BS20" i="3"/>
  <c r="P59" i="3"/>
  <c r="K59" i="3"/>
  <c r="O21" i="3"/>
  <c r="M41" i="3"/>
  <c r="J52" i="3"/>
  <c r="AS51" i="3" s="1"/>
  <c r="BL59" i="3" s="1"/>
  <c r="M21" i="3"/>
  <c r="J18" i="3"/>
  <c r="AG88" i="3"/>
  <c r="K57" i="3"/>
  <c r="L24" i="3"/>
  <c r="O16" i="3"/>
  <c r="AF88" i="3"/>
  <c r="N17" i="3"/>
  <c r="L45" i="3"/>
  <c r="L27" i="3"/>
  <c r="J21" i="3"/>
  <c r="AS20" i="3" s="1"/>
  <c r="BL42" i="3" s="1"/>
  <c r="BS44" i="3" s="1"/>
  <c r="J16" i="3"/>
  <c r="AS15" i="3" s="1"/>
  <c r="BL19" i="3" s="1"/>
  <c r="O54" i="3"/>
  <c r="L23" i="3"/>
  <c r="P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63" i="3"/>
  <c r="K63" i="3"/>
  <c r="P51" i="3"/>
  <c r="P36" i="3"/>
  <c r="K36" i="3"/>
  <c r="P33" i="3"/>
  <c r="K33" i="3"/>
  <c r="AF84" i="3"/>
  <c r="AG84" i="3"/>
  <c r="AH84" i="3"/>
  <c r="AI84" i="3"/>
  <c r="AJ84" i="3"/>
  <c r="AL84" i="3"/>
  <c r="AN84" i="3"/>
  <c r="AT84" i="3"/>
  <c r="K10" i="3"/>
  <c r="P10" i="3"/>
  <c r="AF80" i="3"/>
  <c r="P9" i="3"/>
  <c r="K9" i="3"/>
  <c r="P12" i="3"/>
  <c r="K12" i="3"/>
  <c r="K51" i="3" l="1"/>
  <c r="AT80" i="3"/>
  <c r="AN80" i="3"/>
  <c r="AL80" i="3"/>
  <c r="AJ80" i="3"/>
  <c r="AI80" i="3"/>
  <c r="AH80" i="3"/>
  <c r="AG80" i="3"/>
  <c r="K72" i="3"/>
  <c r="P69" i="3"/>
  <c r="AL90" i="3"/>
  <c r="AJ90" i="3"/>
  <c r="AI90" i="3"/>
  <c r="K11" i="3"/>
  <c r="AG90" i="3"/>
  <c r="P46" i="3"/>
  <c r="S91" i="3"/>
  <c r="T91" i="3" s="1" a="1"/>
  <c r="T91" i="3" s="1"/>
  <c r="K54" i="3"/>
  <c r="P47" i="3"/>
  <c r="K69" i="3"/>
  <c r="P78" i="3"/>
  <c r="P21" i="3"/>
  <c r="P65" i="3"/>
  <c r="S97" i="3"/>
  <c r="T97" i="3" s="1" a="1"/>
  <c r="T97" i="3" s="1"/>
  <c r="BZ32" i="3"/>
  <c r="P24" i="3"/>
  <c r="BS61" i="3"/>
  <c r="P72" i="3"/>
  <c r="P29" i="3"/>
  <c r="AT89" i="3"/>
  <c r="AJ89" i="3"/>
  <c r="AI81" i="3"/>
  <c r="AH89" i="3"/>
  <c r="P77" i="3"/>
  <c r="K77" i="3"/>
  <c r="K35" i="3"/>
  <c r="K46" i="3"/>
  <c r="K27" i="3"/>
  <c r="P45" i="3"/>
  <c r="K29" i="3"/>
  <c r="AI89" i="3"/>
  <c r="AG89" i="3"/>
  <c r="AF89" i="3"/>
  <c r="AG81" i="3"/>
  <c r="P39" i="3"/>
  <c r="AF81" i="3"/>
  <c r="P22" i="3"/>
  <c r="K65" i="3"/>
  <c r="AN89" i="3"/>
  <c r="P16" i="3"/>
  <c r="P17" i="3"/>
  <c r="AL89" i="3"/>
  <c r="AF83" i="3"/>
  <c r="P66" i="3"/>
  <c r="P71" i="3"/>
  <c r="P18" i="3"/>
  <c r="AT83" i="3"/>
  <c r="K18" i="3"/>
  <c r="AI83" i="3"/>
  <c r="AL83" i="3"/>
  <c r="AJ83" i="3"/>
  <c r="AH83" i="3"/>
  <c r="P42" i="3"/>
  <c r="AN83" i="3"/>
  <c r="AG83" i="3"/>
  <c r="K45" i="3"/>
  <c r="BS36" i="3"/>
  <c r="K22" i="3"/>
  <c r="P34" i="3"/>
  <c r="AH90" i="3"/>
  <c r="K75" i="3"/>
  <c r="K30" i="3"/>
  <c r="K78" i="3"/>
  <c r="P28" i="3"/>
  <c r="AN81" i="3"/>
  <c r="AT86" i="3"/>
  <c r="AL81" i="3"/>
  <c r="AJ86" i="3"/>
  <c r="K42" i="3"/>
  <c r="P41" i="3"/>
  <c r="AT81" i="3"/>
  <c r="AJ81" i="3"/>
  <c r="AI86" i="3"/>
  <c r="AH86" i="3"/>
  <c r="AT90" i="3"/>
  <c r="AH81" i="3"/>
  <c r="AN90" i="3"/>
  <c r="K16" i="3"/>
  <c r="P27" i="3"/>
  <c r="K28" i="3"/>
  <c r="P75" i="3"/>
  <c r="K21" i="3"/>
  <c r="BS28" i="3"/>
  <c r="K40" i="3"/>
  <c r="K66" i="3"/>
  <c r="K71" i="3"/>
  <c r="K17" i="3"/>
  <c r="P70" i="3"/>
  <c r="K76" i="3"/>
  <c r="P30" i="3"/>
  <c r="K48" i="3"/>
  <c r="K24" i="3"/>
  <c r="K39" i="3"/>
  <c r="P40" i="3"/>
  <c r="AG86" i="3"/>
  <c r="AF86" i="3"/>
  <c r="AF90" i="3"/>
  <c r="AH85" i="3"/>
  <c r="P76" i="3"/>
  <c r="AF85" i="3"/>
  <c r="K15" i="3"/>
  <c r="AG82" i="3"/>
  <c r="K47" i="3"/>
  <c r="AF82" i="3"/>
  <c r="AT85" i="3"/>
  <c r="AG85" i="3"/>
  <c r="AN85" i="3"/>
  <c r="K70" i="3"/>
  <c r="AL85" i="3"/>
  <c r="AJ85" i="3"/>
  <c r="AN86" i="3"/>
  <c r="P48" i="3"/>
  <c r="AI85" i="3"/>
  <c r="AL86" i="3"/>
  <c r="AG87" i="3"/>
  <c r="AF91" i="3"/>
  <c r="AT91" i="3"/>
  <c r="AN91" i="3"/>
  <c r="P15" i="3"/>
  <c r="AL91" i="3"/>
  <c r="AH87" i="3"/>
  <c r="AJ91" i="3"/>
  <c r="AN87" i="3"/>
  <c r="AI91" i="3"/>
  <c r="P64" i="3"/>
  <c r="AT87" i="3"/>
  <c r="AL87" i="3"/>
  <c r="AH91" i="3"/>
  <c r="AJ87" i="3"/>
  <c r="AG91" i="3"/>
  <c r="P23" i="3"/>
  <c r="AT82" i="3"/>
  <c r="K53" i="3"/>
  <c r="AN82" i="3"/>
  <c r="AI82" i="3"/>
  <c r="K64" i="3"/>
  <c r="BS21" i="3"/>
  <c r="AJ82" i="3"/>
  <c r="AH82" i="3"/>
  <c r="K41" i="3"/>
  <c r="AF87" i="3"/>
  <c r="K23" i="3"/>
  <c r="P52" i="3"/>
  <c r="P53" i="3"/>
  <c r="AL82" i="3"/>
  <c r="AI87" i="3"/>
  <c r="K52" i="3"/>
  <c r="S103" i="3" l="1"/>
  <c r="T103" i="3" s="1" a="1"/>
  <c r="T103" i="3" s="1"/>
  <c r="CG24" i="3"/>
  <c r="S111" i="3" s="1"/>
  <c r="T111" i="3" s="1"/>
  <c r="S98" i="3"/>
  <c r="T98" i="3" s="1" a="1"/>
  <c r="T98" i="3" s="1"/>
  <c r="BZ33" i="3"/>
  <c r="U103" i="3" s="1"/>
  <c r="AC103" i="3" s="1" a="1"/>
  <c r="AC103" i="3" s="1"/>
  <c r="BZ17" i="3"/>
  <c r="U102" i="3" s="1"/>
  <c r="AC102" i="3" s="1" a="1"/>
  <c r="AC102" i="3" s="1"/>
  <c r="S96" i="3"/>
  <c r="T96" i="3" s="1" a="1"/>
  <c r="T96" i="3" s="1"/>
  <c r="AG92" i="3"/>
  <c r="AF92" i="3"/>
  <c r="AN92" i="3"/>
  <c r="AL92" i="3"/>
  <c r="AM88" i="3" s="1"/>
  <c r="AS92" i="3"/>
  <c r="AJ92" i="3"/>
  <c r="AI92" i="3"/>
  <c r="AH92" i="3"/>
  <c r="AM91" i="3" l="1"/>
  <c r="AM90" i="3"/>
  <c r="AM82" i="3"/>
  <c r="AM83" i="3"/>
  <c r="AM84" i="3"/>
  <c r="AM85" i="3"/>
  <c r="AM89" i="3"/>
  <c r="AM86" i="3"/>
  <c r="AM87" i="3"/>
  <c r="AM81" i="3"/>
  <c r="AM80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8" i="3"/>
  <c r="AP85" i="3"/>
  <c r="AP91" i="3"/>
  <c r="AP83" i="3"/>
  <c r="AP82" i="3"/>
  <c r="AP90" i="3"/>
  <c r="AP81" i="3"/>
  <c r="AP86" i="3"/>
  <c r="AP89" i="3"/>
  <c r="AP84" i="3"/>
  <c r="AD84" i="3" s="1"/>
  <c r="AS84" i="3" s="1"/>
  <c r="AP80" i="3"/>
  <c r="CN37" i="3" l="1"/>
  <c r="CN48" i="3"/>
  <c r="AD82" i="3"/>
  <c r="AS82" i="3" s="1"/>
  <c r="AD85" i="3"/>
  <c r="AS85" i="3" s="1"/>
  <c r="AD90" i="3"/>
  <c r="AS90" i="3" s="1"/>
  <c r="AD86" i="3"/>
  <c r="AS86" i="3" s="1"/>
  <c r="AD83" i="3"/>
  <c r="AS83" i="3" s="1"/>
  <c r="AD89" i="3"/>
  <c r="AS89" i="3" s="1"/>
  <c r="AD81" i="3"/>
  <c r="AS81" i="3" s="1"/>
  <c r="AD91" i="3"/>
  <c r="AS91" i="3" s="1"/>
  <c r="AD88" i="3"/>
  <c r="AS88" i="3" s="1"/>
  <c r="AD80" i="3"/>
  <c r="AD87" i="3"/>
  <c r="AS87" i="3" s="1"/>
  <c r="J88" i="3" l="1"/>
  <c r="N81" i="3"/>
  <c r="L83" i="3"/>
  <c r="M81" i="3"/>
  <c r="O82" i="3"/>
  <c r="J91" i="3"/>
  <c r="N83" i="3"/>
  <c r="N90" i="3"/>
  <c r="L85" i="3"/>
  <c r="M83" i="3"/>
  <c r="P83" i="3" s="1"/>
  <c r="J83" i="3"/>
  <c r="L81" i="3"/>
  <c r="P81" i="3" s="1"/>
  <c r="M85" i="3"/>
  <c r="J90" i="3"/>
  <c r="L88" i="3"/>
  <c r="O92" i="3"/>
  <c r="N92" i="3"/>
  <c r="O84" i="3"/>
  <c r="M84" i="3"/>
  <c r="M87" i="3"/>
  <c r="N84" i="3"/>
  <c r="N87" i="3"/>
  <c r="K87" i="3" s="1"/>
  <c r="N91" i="3"/>
  <c r="M89" i="3"/>
  <c r="O83" i="3"/>
  <c r="N82" i="3"/>
  <c r="AS80" i="3"/>
  <c r="L86" i="3"/>
  <c r="M92" i="3"/>
  <c r="O81" i="3"/>
  <c r="L90" i="3"/>
  <c r="L91" i="3"/>
  <c r="O87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6" i="3"/>
  <c r="L82" i="3"/>
  <c r="J84" i="3"/>
  <c r="N86" i="3"/>
  <c r="J89" i="3"/>
  <c r="M91" i="3"/>
  <c r="J85" i="3"/>
  <c r="M88" i="3"/>
  <c r="M90" i="3"/>
  <c r="L87" i="3"/>
  <c r="P87" i="3" s="1"/>
  <c r="N88" i="3"/>
  <c r="M86" i="3"/>
  <c r="J81" i="3"/>
  <c r="O86" i="3"/>
  <c r="L84" i="3"/>
  <c r="J92" i="3"/>
  <c r="O85" i="3"/>
  <c r="M82" i="3"/>
  <c r="L92" i="3"/>
  <c r="O88" i="3"/>
  <c r="N85" i="3"/>
  <c r="N89" i="3"/>
  <c r="O90" i="3"/>
  <c r="J87" i="3"/>
  <c r="L89" i="3"/>
  <c r="J82" i="3"/>
  <c r="O89" i="3"/>
  <c r="O91" i="3"/>
  <c r="K92" i="3" l="1"/>
  <c r="P90" i="3"/>
  <c r="P85" i="3"/>
  <c r="K83" i="3"/>
  <c r="K84" i="3"/>
  <c r="K85" i="3"/>
  <c r="K81" i="3"/>
  <c r="K90" i="3"/>
  <c r="P86" i="3"/>
  <c r="P91" i="3"/>
  <c r="P84" i="3"/>
  <c r="P89" i="3"/>
  <c r="K86" i="3"/>
  <c r="K82" i="3"/>
  <c r="K91" i="3"/>
  <c r="K88" i="3"/>
  <c r="B3" i="4"/>
  <c r="K89" i="3"/>
  <c r="J3" i="4"/>
  <c r="BL71" i="3" s="1"/>
  <c r="G3" i="4"/>
  <c r="BL11" i="3" s="1"/>
  <c r="I3" i="4"/>
  <c r="BL15" i="3" s="1"/>
  <c r="P92" i="3"/>
  <c r="P82" i="3"/>
  <c r="H3" i="4"/>
  <c r="BL39" i="3" s="1"/>
  <c r="P88" i="3"/>
  <c r="D3" i="4"/>
  <c r="BL51" i="3" s="1"/>
  <c r="K3" i="4"/>
  <c r="BL55" i="3" s="1"/>
  <c r="E3" i="4"/>
  <c r="BL67" i="3" s="1"/>
  <c r="BS53" i="3"/>
  <c r="BS52" i="3"/>
  <c r="BS69" i="3"/>
  <c r="BZ65" i="3" s="1"/>
  <c r="CG56" i="3" s="1"/>
  <c r="CN38" i="3" s="1"/>
  <c r="CK6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<sst xmlns="http://schemas.openxmlformats.org/spreadsheetml/2006/main" count="9785" uniqueCount="3699">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</sst>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29" zoomScaleNormal="100" workbookViewId="0">
      <selection activeCell="CO39" sqref="CO39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7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87500009.584173843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0.16738153166666667</v>
      </c>
      <c r="AQ9" s="126">
        <f>VLOOKUP(AE9,db_fifarank,2,FALSE)</f>
        <v>1429.73</v>
      </c>
      <c r="AR9" s="125">
        <f>AP9/AP12</f>
        <v>1.9129315590841885E-9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5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62500006.750794329</v>
      </c>
      <c r="AQ10" s="126">
        <f>VLOOKUP(AE10,db_fifarank,2,FALSE)</f>
        <v>1588.66</v>
      </c>
      <c r="AR10" s="125">
        <f>AP10/AP12</f>
        <v>0.71428570503623146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4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50000005.500750691</v>
      </c>
      <c r="AQ11" s="126">
        <f>VLOOKUP(AE11,db_fifarank,2,FALSE)</f>
        <v>1501.38</v>
      </c>
      <c r="AR11" s="125">
        <f>AP11/AP12</f>
        <v>0.5714285651731591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-4</v>
      </c>
      <c r="AM12" s="123">
        <f>MAX(AM8:AM11)+1</f>
        <v>8</v>
      </c>
      <c r="AN12" s="123">
        <f>MAX(AN8:AN11)+1</f>
        <v>8</v>
      </c>
      <c r="AO12" s="123">
        <f>MAX(AO8:AO11)+1</f>
        <v>9.75</v>
      </c>
      <c r="AP12" s="123">
        <f>MAX(AP8:AP11)+1</f>
        <v>87500010.584173843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5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60000007.976968721</v>
      </c>
      <c r="AQ14" s="126">
        <f>VLOOKUP(AE14,db_fifarank,2,FALSE)</f>
        <v>1556.48</v>
      </c>
      <c r="AR14" s="125">
        <f>AP14/AP18</f>
        <v>0.6666666794557996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4 - 1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1</v>
      </c>
      <c r="AN15" s="123">
        <f>AF15*3+AG15</f>
        <v>1</v>
      </c>
      <c r="AO15" s="123">
        <f>AN15/AN18*10+BA15</f>
        <v>1.9805825242718447</v>
      </c>
      <c r="AP15" s="123">
        <f>AO15*10000000+BI15*100+AM15/AM18*10+AI15/AI18*1++IF(AQ15=0,ROW(),AQ15)/2000000</f>
        <v>19805925.063568555</v>
      </c>
      <c r="AQ15" s="126">
        <f>VLOOKUP(AE15,db_fifarank,2,FALSE)</f>
        <v>1385.84</v>
      </c>
      <c r="AR15" s="125">
        <f>AP15/AP18</f>
        <v>0.22006580900369282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1.9805825242718447</v>
      </c>
      <c r="AP16" s="123">
        <f>AO16*10000000+BI16*100+AM16/AM18*10+AI16/AI18*1++IF(AQ16=0,ROW(),AQ16)/2000000</f>
        <v>19805923.468365021</v>
      </c>
      <c r="AQ16" s="126">
        <f>VLOOKUP(AE16,db_fifarank,2,FALSE)</f>
        <v>1454.96</v>
      </c>
      <c r="AR16" s="125">
        <f>AP16/AP18</f>
        <v>0.22006579127921114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1</v>
      </c>
      <c r="AL17" s="123">
        <f>AI17-AJ17</f>
        <v>3</v>
      </c>
      <c r="AM17" s="123">
        <f>AL17-AL18</f>
        <v>6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90000009.238919944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Brazil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6</v>
      </c>
      <c r="AL18" s="123">
        <f>MIN(AL14:AL17)</f>
        <v>-3</v>
      </c>
      <c r="AM18" s="123">
        <f>MAX(AM14:AM17)+1</f>
        <v>7</v>
      </c>
      <c r="AN18" s="123">
        <f>MAX(AN14:AN17)+1</f>
        <v>10</v>
      </c>
      <c r="AO18" s="123">
        <f>MAX(AO14:AO17)+1</f>
        <v>10</v>
      </c>
      <c r="AP18" s="123">
        <f>MAX(AP14:AP17)+1</f>
        <v>90000010.238919944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2</v>
      </c>
      <c r="AH20" s="123">
        <f>COUNTIF($S$7:$T$78,"=" &amp; AE20 &amp; "_lose")</f>
        <v>0</v>
      </c>
      <c r="AI20" s="123">
        <f>SUMIF($E$7:$E$78,$AE20,$F$7:$F$78) + SUMIF($H$7:$H$78,$AE20,$G$7:$G$78)</f>
        <v>4</v>
      </c>
      <c r="AJ20" s="123">
        <f>SUMIF($E$7:$E$78,$AE20,$G$7:$G$78) + SUMIF($H$7:$H$78,$AE20,$F$7:$F$78)</f>
        <v>2</v>
      </c>
      <c r="AL20" s="123">
        <f>AI20-AJ20</f>
        <v>2</v>
      </c>
      <c r="AM20" s="123">
        <f>AL20-AL24</f>
        <v>7</v>
      </c>
      <c r="AN20" s="123">
        <f>AF20*3+AG20</f>
        <v>5</v>
      </c>
      <c r="AO20" s="123">
        <f>AN20/AN24*10+BA20</f>
        <v>6.25</v>
      </c>
      <c r="AP20" s="123">
        <f>AO20*10000000+BI20*100+AM20/AM24*10+AI20/AI24*1++IF(AQ20=0,ROW(),AQ20)/2000000</f>
        <v>62500007.667547241</v>
      </c>
      <c r="AQ20" s="126">
        <f>VLOOKUP(AE20,db_fifarank,2,FALSE)</f>
        <v>1761.16</v>
      </c>
      <c r="AR20" s="125">
        <f>AP20/AP24</f>
        <v>0.71428571347228487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5 - 1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1</v>
      </c>
      <c r="AL21" s="123">
        <f>AI21-AJ21</f>
        <v>4</v>
      </c>
      <c r="AM21" s="123">
        <f>AL21-AL24</f>
        <v>9</v>
      </c>
      <c r="AN21" s="123">
        <f>AF21*3+AG21</f>
        <v>7</v>
      </c>
      <c r="AO21" s="123">
        <f>AN21/AN24*10+BA21</f>
        <v>8.75</v>
      </c>
      <c r="AP21" s="123">
        <f>AO21*10000000+BI21*100+AM21/AM24*10+AI21/AI24*1++IF(AQ21=0,ROW(),AQ21)/2000000</f>
        <v>87500009.83421126</v>
      </c>
      <c r="AQ21" s="126">
        <f>VLOOKUP(AE21,db_fifarank,2,FALSE)</f>
        <v>1755.87</v>
      </c>
      <c r="AR21" s="125">
        <f>AP21/AP24</f>
        <v>0.99999998857143002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Brazil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4 - 2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1</v>
      </c>
      <c r="Y22" s="123">
        <f t="shared" si="10"/>
        <v>1</v>
      </c>
      <c r="Z22" s="123">
        <f t="shared" si="11"/>
        <v>1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5</v>
      </c>
      <c r="AL22" s="123">
        <f>AI22-AJ22</f>
        <v>-5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7.3811990860631961E-12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2 - 3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3</v>
      </c>
      <c r="AL23" s="123">
        <f>AI23-AJ23</f>
        <v>-1</v>
      </c>
      <c r="AM23" s="123">
        <f>AL23-AL24</f>
        <v>4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50000004.334082514</v>
      </c>
      <c r="AQ23" s="126">
        <f>VLOOKUP(AE23,db_fifarank,2,FALSE)</f>
        <v>1498.35</v>
      </c>
      <c r="AR23" s="125">
        <f>AP23/AP24</f>
        <v>0.57142855020691297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0 - 5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4</v>
      </c>
      <c r="AI24" s="123">
        <f>MAX(AI20:AI23)+1</f>
        <v>6</v>
      </c>
      <c r="AL24" s="123">
        <f>MIN(AL20:AL23)</f>
        <v>-5</v>
      </c>
      <c r="AM24" s="123">
        <f>MAX(AM20:AM23)+1</f>
        <v>10</v>
      </c>
      <c r="AN24" s="123">
        <f>MAX(AN20:AN23)+1</f>
        <v>8</v>
      </c>
      <c r="AO24" s="123">
        <f>MAX(AO20:AO23)+1</f>
        <v>9.75</v>
      </c>
      <c r="AP24" s="123">
        <f>MAX(AP20:AP23)+1</f>
        <v>87500010.83421126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6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62500009.372265138</v>
      </c>
      <c r="AQ26" s="126">
        <f>VLOOKUP(AE26,db_fifarank,2,FALSE)</f>
        <v>1673.13</v>
      </c>
      <c r="AR26" s="125">
        <f>AP26/AP30</f>
        <v>0.71428573672606355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0</v>
      </c>
      <c r="AJ27" s="123">
        <f>SUMIF($E$7:$E$78,$AE27,$G$7:$G$78) + SUMIF($H$7:$H$78,$AE27,$F$7:$F$78)</f>
        <v>4</v>
      </c>
      <c r="AL27" s="123">
        <f>AI27-AJ27</f>
        <v>-4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7.5175000000000003E-4</v>
      </c>
      <c r="AQ27" s="126">
        <f>VLOOKUP(AE27,db_fifarank,2,FALSE)</f>
        <v>1503.5</v>
      </c>
      <c r="AR27" s="125">
        <f>AP27/AP30</f>
        <v>8.5914275530029012E-12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3</v>
      </c>
      <c r="AL28" s="123">
        <f>AI28-AJ28</f>
        <v>0</v>
      </c>
      <c r="AM28" s="123">
        <f>AL28-AL30</f>
        <v>4</v>
      </c>
      <c r="AN28" s="123">
        <f>AF28*3+AG28</f>
        <v>4</v>
      </c>
      <c r="AO28" s="123">
        <f>AN28/AN30*10+BA28</f>
        <v>5</v>
      </c>
      <c r="AP28" s="123">
        <f>AO28*10000000+BI28*100+AM28/AM30*10+AI28/AI30*1++IF(AQ28=0,ROW(),AQ28)/2000000</f>
        <v>50000006.315076053</v>
      </c>
      <c r="AQ28" s="126">
        <f>VLOOKUP(AE28,db_fifarank,2,FALSE)</f>
        <v>1580.67</v>
      </c>
      <c r="AR28" s="125">
        <f>AP28/AP30</f>
        <v>0.57142857586386886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6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87500009.372228086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1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0 - 4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Uzbekistan_draw</v>
      </c>
      <c r="T30" s="127" t="str">
        <f t="shared" si="2"/>
        <v>Colombia_draw</v>
      </c>
      <c r="U30" s="123">
        <f t="shared" si="8"/>
        <v>1</v>
      </c>
      <c r="V30" s="123">
        <f t="shared" si="3"/>
        <v>1</v>
      </c>
      <c r="W30" s="123">
        <f t="shared" si="4"/>
        <v>1</v>
      </c>
      <c r="X30" s="123">
        <f t="shared" si="9"/>
        <v>1</v>
      </c>
      <c r="Y30" s="123">
        <f t="shared" si="10"/>
        <v>1</v>
      </c>
      <c r="Z30" s="123">
        <f t="shared" si="11"/>
        <v>1</v>
      </c>
      <c r="AA30" s="123">
        <f t="shared" si="5"/>
        <v>0</v>
      </c>
      <c r="AB30" s="123">
        <f t="shared" si="6"/>
        <v>0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5</v>
      </c>
      <c r="AL30" s="123">
        <f>MIN(AL26:AL29)</f>
        <v>-4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87500010.372228086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1</v>
      </c>
      <c r="AL32" s="123">
        <f>AI32-AJ32</f>
        <v>5</v>
      </c>
      <c r="AM32" s="123">
        <f>AL32-AL36</f>
        <v>11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87500010.024674714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6 - 1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7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0.14350446785714285</v>
      </c>
      <c r="AQ33" s="126">
        <f>VLOOKUP(AE33,db_fifarank,2,FALSE)</f>
        <v>1294.6500000000001</v>
      </c>
      <c r="AR33" s="125">
        <f>AP33/AP36</f>
        <v>1.6400508545841791E-9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Egypt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4 - 3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6</v>
      </c>
      <c r="AN34" s="123">
        <f>AF34*3+AG34</f>
        <v>4</v>
      </c>
      <c r="AO34" s="123">
        <f>AN34/AN36*10+BA34</f>
        <v>5</v>
      </c>
      <c r="AP34" s="123">
        <f>AO34*10000000+BI34*100+AM34/AM36*10+AI34/AI36*1++IF(AQ34=0,ROW(),AQ34)/2000000</f>
        <v>50000005.429337919</v>
      </c>
      <c r="AQ34" s="126">
        <f>VLOOKUP(AE34,db_fifarank,2,FALSE)</f>
        <v>1532.98</v>
      </c>
      <c r="AR34" s="125">
        <f>AP34/AP36</f>
        <v>0.57142856148027321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7</v>
      </c>
      <c r="AN35" s="123">
        <f>AF35*3+AG35</f>
        <v>5</v>
      </c>
      <c r="AO35" s="123">
        <f>AN35/AN36*10+BA35</f>
        <v>6.25</v>
      </c>
      <c r="AP35" s="123">
        <f>AO35*10000000+BI35*100+AM35/AM36*10+AI35/AI36*1++IF(AQ35=0,ROW(),AQ35)/2000000</f>
        <v>62500006.405559301</v>
      </c>
      <c r="AQ35" s="126">
        <f>VLOOKUP(AE35,db_fifarank,2,FALSE)</f>
        <v>1594.78</v>
      </c>
      <c r="AR35" s="125">
        <f>AP35/AP36</f>
        <v>0.71428569749476378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Ivory Coast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7</v>
      </c>
      <c r="AL36" s="123">
        <f>MIN(AL32:AL35)</f>
        <v>-6</v>
      </c>
      <c r="AM36" s="123">
        <f>MAX(AM32:AM35)+1</f>
        <v>12</v>
      </c>
      <c r="AN36" s="123">
        <f>MAX(AN32:AN35)+1</f>
        <v>8</v>
      </c>
      <c r="AO36" s="123">
        <f>MAX(AO32:AO35)+1</f>
        <v>9.75</v>
      </c>
      <c r="AP36" s="123">
        <f>MAX(AP32:AP35)+1</f>
        <v>87500011.024674714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Egypt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9</v>
      </c>
      <c r="AN38" s="123">
        <f>AF38*3+AG38</f>
        <v>7</v>
      </c>
      <c r="AO38" s="123">
        <f>AN38/AN42*10+BA38</f>
        <v>9.7306451612903224</v>
      </c>
      <c r="AP38" s="123">
        <f>AO38*10000000+BI38*100+AM38/AM42*10+AI38/AI42*1++IF(AQ38=0,ROW(),AQ38)/2000000</f>
        <v>97306559.53544113</v>
      </c>
      <c r="AQ38" s="126">
        <f>VLOOKUP(AE38,db_fifarank,2,FALSE)</f>
        <v>1757.87</v>
      </c>
      <c r="AR38" s="125">
        <f>AP38/AP42</f>
        <v>0.99999998972320059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31">
        <v>82</v>
      </c>
      <c r="BL38" s="24" t="str">
        <f>AS44</f>
        <v>Egypt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3</v>
      </c>
      <c r="AL39" s="123">
        <f>AI39-AJ39</f>
        <v>3</v>
      </c>
      <c r="AM39" s="123">
        <f>AL39-AL42</f>
        <v>8</v>
      </c>
      <c r="AN39" s="123">
        <f>AF39*3+AG39</f>
        <v>7</v>
      </c>
      <c r="AO39" s="123">
        <f>AN39/AN42*10+BA39</f>
        <v>9.7306451612903224</v>
      </c>
      <c r="AP39" s="123">
        <f>AO39*10000000+BI39*100+AM39/AM42*10+AI39/AI42*1++IF(AQ39=0,ROW(),AQ39)/2000000</f>
        <v>97306558.535392419</v>
      </c>
      <c r="AQ39" s="126">
        <f>VLOOKUP(AE39,db_fifarank,2,FALSE)</f>
        <v>1660.43</v>
      </c>
      <c r="AR39" s="125">
        <f>AP39/AP42</f>
        <v>0.99999997944590069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6 - 3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4</v>
      </c>
      <c r="AL40" s="123">
        <f>AI40-AJ40</f>
        <v>-2</v>
      </c>
      <c r="AM40" s="123">
        <f>AL40-AL42</f>
        <v>3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37500003.286471665</v>
      </c>
      <c r="AQ40" s="126">
        <f>VLOOKUP(AE40,db_fifarank,2,FALSE)</f>
        <v>1514.77</v>
      </c>
      <c r="AR40" s="125">
        <f>AP40/AP42</f>
        <v>0.38538001014652412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5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7.620503652782185E-12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-5</v>
      </c>
      <c r="AM42" s="123">
        <f>MAX(AM38:AM41)+1</f>
        <v>10</v>
      </c>
      <c r="AN42" s="123">
        <f>MAX(AN38:AN41)+1</f>
        <v>8</v>
      </c>
      <c r="AO42" s="123">
        <f>MAX(AO38:AO41)+1</f>
        <v>10.730645161290322</v>
      </c>
      <c r="AP42" s="123">
        <f>MAX(AP38:AP41)+1</f>
        <v>97306560.53544113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Morocco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1</v>
      </c>
      <c r="AL44" s="123">
        <f>AI44-AJ44</f>
        <v>3</v>
      </c>
      <c r="AM44" s="123">
        <f>AL44-AL48</f>
        <v>7</v>
      </c>
      <c r="AN44" s="123">
        <f>AF44*3+AG44</f>
        <v>7</v>
      </c>
      <c r="AO44" s="123">
        <f>AN44/AN48*10+BA44</f>
        <v>9.7401960784313726</v>
      </c>
      <c r="AP44" s="123">
        <f>AO44*10000000+BI44*100+AM44/AM48*10+AI44/AI48*1++IF(AQ44=0,ROW(),AQ44)/2000000</f>
        <v>97402069.221455589</v>
      </c>
      <c r="AQ44" s="126">
        <f>VLOOKUP(AE44,db_fifarank,2,FALSE)</f>
        <v>1734.71</v>
      </c>
      <c r="AR44" s="125">
        <f>AP44/AP48</f>
        <v>0.99999998802303769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101</v>
      </c>
      <c r="BA44" s="126">
        <f>AZ44/AZ48</f>
        <v>0.99019607843137258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101</v>
      </c>
      <c r="BI44" s="126">
        <f>BH44/BH48</f>
        <v>0.99019607843137258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Morocco</v>
      </c>
      <c r="BT44" s="61">
        <v>0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7</v>
      </c>
      <c r="AN45" s="123">
        <f>AF45*3+AG45</f>
        <v>7</v>
      </c>
      <c r="AO45" s="123">
        <f>AN45/AN48*10+BA45</f>
        <v>9.7401960784313726</v>
      </c>
      <c r="AP45" s="123">
        <f>AO45*10000000+BI45*100+AM45/AM48*10+AI45/AI48*1++IF(AQ45=0,ROW(),AQ45)/2000000</f>
        <v>97402069.388036519</v>
      </c>
      <c r="AQ45" s="126">
        <f>VLOOKUP(AE45,db_fifarank,2,FALSE)</f>
        <v>1563.24</v>
      </c>
      <c r="AR45" s="125">
        <f>AP45/AP48</f>
        <v>0.99999998973327775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101</v>
      </c>
      <c r="BA45" s="126">
        <f>AZ45/AZ48</f>
        <v>0.99019607843137258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101</v>
      </c>
      <c r="BI45" s="126">
        <f>BH45/BH48</f>
        <v>0.99019607843137258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4 - 1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4</v>
      </c>
      <c r="AL46" s="123">
        <f>AI46-AJ46</f>
        <v>-2</v>
      </c>
      <c r="AM46" s="123">
        <f>AL46-AL48</f>
        <v>2</v>
      </c>
      <c r="AN46" s="123">
        <f>AF46*3+AG46</f>
        <v>1</v>
      </c>
      <c r="AO46" s="123">
        <f>AN46/AN48*10+BA46</f>
        <v>2.2401960784313726</v>
      </c>
      <c r="AP46" s="123">
        <f>AO46*10000000+BI46*100+AM46/AM48*10+AI46/AI48*1++IF(AQ46=0,ROW(),AQ46)/2000000</f>
        <v>22402062.638062552</v>
      </c>
      <c r="AQ46" s="126">
        <f>VLOOKUP(AE46,db_fifarank,2,FALSE)</f>
        <v>1615.3</v>
      </c>
      <c r="AR46" s="125">
        <f>AP46/AP48</f>
        <v>0.22999575418485255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101</v>
      </c>
      <c r="BA46" s="126">
        <f>AZ46/AZ48</f>
        <v>0.99019607843137258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101</v>
      </c>
      <c r="BI46" s="126">
        <f>BH46/BH48</f>
        <v>0.99019607843137258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2.2401960784313726</v>
      </c>
      <c r="AP47" s="123">
        <f>AO47*10000000+BI47*100+AM47/AM48*10+AI47/AI48*1++IF(AQ47=0,ROW(),AQ47)/2000000</f>
        <v>22402059.971229021</v>
      </c>
      <c r="AQ47" s="126">
        <f>VLOOKUP(AE47,db_fifarank,2,FALSE)</f>
        <v>1281.57</v>
      </c>
      <c r="AR47" s="125">
        <f>AP47/AP48</f>
        <v>0.22999572680521346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101</v>
      </c>
      <c r="BA47" s="126">
        <f>AZ47/AZ48</f>
        <v>0.99019607843137258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101</v>
      </c>
      <c r="BI47" s="126">
        <f>BH47/BH48</f>
        <v>0.99019607843137258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6</v>
      </c>
      <c r="AL48" s="123">
        <f>MIN(AL44:AL47)</f>
        <v>-4</v>
      </c>
      <c r="AM48" s="123">
        <f>MAX(AM44:AM47)+1</f>
        <v>8</v>
      </c>
      <c r="AN48" s="123">
        <f>MAX(AN44:AN47)+1</f>
        <v>8</v>
      </c>
      <c r="AO48" s="123">
        <f>MAX(AO44:AO47)+1</f>
        <v>10.740196078431373</v>
      </c>
      <c r="AP48" s="123">
        <f>MAX(AP44:AP47)+1</f>
        <v>97402070.388036519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102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102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Norway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/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/>
      <c r="CP49" s="64"/>
      <c r="CQ49" s="27"/>
      <c r="CR49" s="111" t="str">
        <f>IF(CR48="","",CO49*1000+CP49*10+CQ49)</f>
        <v/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90000010.223160431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8</v>
      </c>
      <c r="AL51" s="123">
        <f>AI51-AJ51</f>
        <v>-7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19805923.412765052</v>
      </c>
      <c r="AQ51" s="126">
        <f>VLOOKUP(AE51,db_fifarank,2,FALSE)</f>
        <v>1366.13</v>
      </c>
      <c r="AR51" s="125">
        <f>AP51/AP54</f>
        <v>0.22006578825479339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3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19805925.412792701</v>
      </c>
      <c r="AQ52" s="126">
        <f>VLOOKUP(AE52,db_fifarank,2,FALSE)</f>
        <v>1421.43</v>
      </c>
      <c r="AR52" s="125">
        <f>AP52/AP54</f>
        <v>0.22006581047732005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11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60000008.000836536</v>
      </c>
      <c r="AQ53" s="126">
        <f>VLOOKUP(AE53,db_fifarank,2,FALSE)</f>
        <v>1673.07</v>
      </c>
      <c r="AR53" s="125">
        <f>AP53/AP54</f>
        <v>0.66666667243032796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1 - 8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9</v>
      </c>
      <c r="AL54" s="123">
        <f>MIN(AL50:AL53)</f>
        <v>-7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90000011.223160431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1</v>
      </c>
      <c r="AL56" s="123">
        <f>AI56-AJ56</f>
        <v>4</v>
      </c>
      <c r="AM56" s="123">
        <f>AL56-AL60</f>
        <v>9</v>
      </c>
      <c r="AN56" s="123">
        <f>AF56*3+AG56</f>
        <v>7</v>
      </c>
      <c r="AO56" s="123">
        <f>AN56/AN60*10+BA56</f>
        <v>9.7305825242718456</v>
      </c>
      <c r="AP56" s="123">
        <f>AO56*10000000+BI56*100+AM56/AM60*10+AI56/AI60*1++IF(AQ56=0,ROW(),AQ56)/2000000</f>
        <v>97305933.135242864</v>
      </c>
      <c r="AQ56" s="126">
        <f>VLOOKUP(AE56,db_fifarank,2,FALSE)</f>
        <v>1877.32</v>
      </c>
      <c r="AR56" s="125">
        <f>AP56/AP60</f>
        <v>0.99999998972313442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1</v>
      </c>
      <c r="AW56" s="126" cm="1">
        <f t="array" ref="AW56">SUMPRODUCT(($E$7:$E$78=AE56)*($U$7:$U$78)*($G$7:$G$78))+SUMPRODUCT(($H$7:$H$78=AE56)*($U$7:$U$78)*($F$7:$F$78))</f>
        <v>1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50.5</v>
      </c>
      <c r="BA56" s="126">
        <f>AZ56/AZ60</f>
        <v>0.98058252427184467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1</v>
      </c>
      <c r="BE56" s="126" cm="1">
        <f t="array" ref="BE56">SUMPRODUCT(($E$7:$E$78=AE56)*($X$7:$X$78)*($G$7:$G$78))+SUMPRODUCT(($H$7:$H$78=AE56)*($X$7:$X$78)*($F$7:$F$78))</f>
        <v>1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50.5</v>
      </c>
      <c r="BI56" s="126">
        <f>BH56/BH60</f>
        <v>0.98058252427184467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5 - 1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4</v>
      </c>
      <c r="AL57" s="123">
        <f>AI57-AJ57</f>
        <v>-2</v>
      </c>
      <c r="AM57" s="123">
        <f>AL57-AL60</f>
        <v>3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37500003.334177829</v>
      </c>
      <c r="AQ57" s="126">
        <f>VLOOKUP(AE57,db_fifarank,2,FALSE)</f>
        <v>1688.99</v>
      </c>
      <c r="AR57" s="125">
        <f>AP57/AP60</f>
        <v>0.38538249149386511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4 - 1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0.16739023666666666</v>
      </c>
      <c r="AQ58" s="126">
        <f>VLOOKUP(AE58,db_fifarank,2,FALSE)</f>
        <v>1447.14</v>
      </c>
      <c r="AR58" s="125">
        <f>AP58/AP60</f>
        <v>1.7202469526063595E-9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1</v>
      </c>
      <c r="AL59" s="123">
        <f>AI59-AJ59</f>
        <v>3</v>
      </c>
      <c r="AM59" s="123">
        <f>AL59-AL60</f>
        <v>8</v>
      </c>
      <c r="AN59" s="123">
        <f>AF59*3+AG59</f>
        <v>7</v>
      </c>
      <c r="AO59" s="123">
        <f>AN59/AN60*10+BA59</f>
        <v>9.7305825242718456</v>
      </c>
      <c r="AP59" s="123">
        <f>AO59*10000000+BI59*100+AM59/AM60*10+AI59/AI60*1++IF(AQ59=0,ROW(),AQ59)/2000000</f>
        <v>97305931.968413025</v>
      </c>
      <c r="AQ59" s="126">
        <f>VLOOKUP(AE59,db_fifarank,2,FALSE)</f>
        <v>1550.94</v>
      </c>
      <c r="AR59" s="125">
        <f>AP59/AP60</f>
        <v>0.99999997773178118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6</v>
      </c>
      <c r="AL60" s="123">
        <f>MIN(AL56:AL59)</f>
        <v>-5</v>
      </c>
      <c r="AM60" s="123">
        <f>MAX(AM56:AM59)+1</f>
        <v>10</v>
      </c>
      <c r="AN60" s="123">
        <f>MAX(AN56:AN59)+1</f>
        <v>8</v>
      </c>
      <c r="AO60" s="123">
        <f>MAX(AO56:AO59)+1</f>
        <v>10.730582524271846</v>
      </c>
      <c r="AP60" s="123">
        <f>MAX(AP56:AP59)+1</f>
        <v>97305934.135242864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Belgium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0</v>
      </c>
      <c r="AL62" s="123">
        <f>AI62-AJ62</f>
        <v>7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90000010.042604089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2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49805925.218419664</v>
      </c>
      <c r="AQ63" s="126">
        <f>VLOOKUP(AE63,db_fifarank,2,FALSE)</f>
        <v>1564.26</v>
      </c>
      <c r="AR63" s="125">
        <f>AP63/AP66</f>
        <v>0.55339910119391655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Belgium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4</v>
      </c>
      <c r="AL64" s="123">
        <f>AI64-AJ64</f>
        <v>-1</v>
      </c>
      <c r="AM64" s="123">
        <f>AL64-AL66</f>
        <v>3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49805926.176767595</v>
      </c>
      <c r="AQ64" s="126">
        <f>VLOOKUP(AE64,db_fifarank,2,FALSE)</f>
        <v>1593.45</v>
      </c>
      <c r="AR64" s="125">
        <f>AP64/AP66</f>
        <v>0.55339911184222557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5</v>
      </c>
      <c r="AL65" s="123">
        <f>AI65-AJ65</f>
        <v>-4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0.12569572500000001</v>
      </c>
      <c r="AQ65" s="126">
        <f>VLOOKUP(AE65,db_fifarank,2,FALSE)</f>
        <v>1391.45</v>
      </c>
      <c r="AR65" s="125">
        <f>AP65/AP66</f>
        <v>1.3966189953076597E-9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1 - 5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-4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90000011.042604089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1</v>
      </c>
      <c r="W67" s="123">
        <f t="shared" si="22"/>
        <v>1</v>
      </c>
      <c r="X67" s="123">
        <f t="shared" si="9"/>
        <v>1</v>
      </c>
      <c r="Y67" s="123">
        <f t="shared" si="10"/>
        <v>1</v>
      </c>
      <c r="Z67" s="123">
        <f t="shared" si="11"/>
        <v>1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9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90000009.858024761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Argentina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0.28645346071428568</v>
      </c>
      <c r="AQ69" s="126">
        <f>VLOOKUP(AE69,db_fifarank,2,FALSE)</f>
        <v>1478.35</v>
      </c>
      <c r="AR69" s="125">
        <f>AP69/AP72</f>
        <v>3.1828158461688045E-9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3 - 3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1</v>
      </c>
      <c r="AH70" s="123">
        <f>COUNTIF($S$7:$T$78,"=" &amp; AE70 &amp; "_lose")</f>
        <v>1</v>
      </c>
      <c r="AI70" s="123">
        <f>SUMIF($E$7:$E$78,$AE70,$F$7:$F$78) + SUMIF($H$7:$H$78,$AE70,$G$7:$G$78)</f>
        <v>4</v>
      </c>
      <c r="AJ70" s="123">
        <f>SUMIF($E$7:$E$78,$AE70,$G$7:$G$78) + SUMIF($H$7:$H$78,$AE70,$F$7:$F$78)</f>
        <v>5</v>
      </c>
      <c r="AL70" s="123">
        <f>AI70-AJ70</f>
        <v>-1</v>
      </c>
      <c r="AM70" s="123">
        <f>AL70-AL72</f>
        <v>3</v>
      </c>
      <c r="AN70" s="123">
        <f>AF70*3+AG70</f>
        <v>4</v>
      </c>
      <c r="AO70" s="123">
        <f>AN70/AN72*10+BA70</f>
        <v>4.9805825242718447</v>
      </c>
      <c r="AP70" s="123">
        <f>AO70*10000000+BI70*100+AM70/AM72*10+AI70/AI72*1++IF(AQ70=0,ROW(),AQ70)/2000000</f>
        <v>49805926.87313211</v>
      </c>
      <c r="AQ70" s="126">
        <f>VLOOKUP(AE70,db_fifarank,2,FALSE)</f>
        <v>1465.34</v>
      </c>
      <c r="AR70" s="125">
        <f>AP70/AP72</f>
        <v>0.55339912071456399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4 - 5</v>
      </c>
      <c r="P71" s="34">
        <f>L71*3+M71</f>
        <v>4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3</v>
      </c>
      <c r="AL71" s="123">
        <f>AI71-AJ71</f>
        <v>0</v>
      </c>
      <c r="AM71" s="123">
        <f>AL71-AL72</f>
        <v>4</v>
      </c>
      <c r="AN71" s="123">
        <f>AF71*3+AG71</f>
        <v>4</v>
      </c>
      <c r="AO71" s="123">
        <f>AN71/AN72*10+BA71</f>
        <v>4.9805825242718447</v>
      </c>
      <c r="AP71" s="123">
        <f>AO71*10000000+BI71*100+AM71/AM72*10+AI71/AI72*1++IF(AQ71=0,ROW(),AQ71)/2000000</f>
        <v>49805927.730388835</v>
      </c>
      <c r="AQ71" s="126">
        <f>VLOOKUP(AE71,db_fifarank,2,FALSE)</f>
        <v>1693.09</v>
      </c>
      <c r="AR71" s="125">
        <f>AP71/AP72</f>
        <v>0.55339913023963749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Senegal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4</v>
      </c>
      <c r="AI72" s="123">
        <f>MAX(AI68:AI71)+1</f>
        <v>7</v>
      </c>
      <c r="AL72" s="123">
        <f>MIN(AL68:AL71)</f>
        <v>-4</v>
      </c>
      <c r="AM72" s="123">
        <f>MAX(AM68:AM71)+1</f>
        <v>10</v>
      </c>
      <c r="AN72" s="123">
        <f>MAX(AN68:AN71)+1</f>
        <v>10</v>
      </c>
      <c r="AO72" s="123">
        <f>MAX(AO68:AO71)+1</f>
        <v>10</v>
      </c>
      <c r="AP72" s="123">
        <f>MAX(AP68:AP71)+1</f>
        <v>90000010.858024761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0</v>
      </c>
      <c r="AL74" s="123">
        <f>AI74-AJ74</f>
        <v>5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90000009.834246308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5 - 0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5</v>
      </c>
      <c r="AN75" s="123">
        <f>AF75*3+AG75</f>
        <v>4</v>
      </c>
      <c r="AO75" s="123">
        <f>AN75/AN78*10+BA75</f>
        <v>4</v>
      </c>
      <c r="AP75" s="123">
        <f>AO75*10000000+BI75*100+AM75/AM78*10+AI75/AI78*1++IF(AQ75=0,ROW(),AQ75)/2000000</f>
        <v>40000005.500858538</v>
      </c>
      <c r="AQ75" s="126">
        <f>VLOOKUP(AE75,db_fifarank,2,FALSE)</f>
        <v>1717.07</v>
      </c>
      <c r="AR75" s="125">
        <f>AP75/AP78</f>
        <v>0.44444445206264305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3 - 2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2</v>
      </c>
      <c r="AH76" s="123">
        <f>COUNTIF($S$7:$T$78,"=" &amp; AE76 &amp; "_lose")</f>
        <v>1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2</v>
      </c>
      <c r="AN76" s="123">
        <f>AF76*3+AG76</f>
        <v>2</v>
      </c>
      <c r="AO76" s="123">
        <f>AN76/AN78*10+BA76</f>
        <v>2</v>
      </c>
      <c r="AP76" s="123">
        <f>AO76*10000000+BI76*100+AM76/AM78*10+AI76/AI78*1++IF(AQ76=0,ROW(),AQ76)/2000000</f>
        <v>20000002.334006488</v>
      </c>
      <c r="AQ76" s="126">
        <f>VLOOKUP(AE76,db_fifarank,2,FALSE)</f>
        <v>1346.31</v>
      </c>
      <c r="AR76" s="125">
        <f>AP76/AP78</f>
        <v>0.22222222140440229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2 - 4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</v>
      </c>
      <c r="AP77" s="123">
        <f>AO77*10000000+BI77*100+AM77/AM78*10+AI77/AI78*1++IF(AQ77=0,ROW(),AQ77)/2000000</f>
        <v>10000000.167436985</v>
      </c>
      <c r="AQ77" s="126">
        <f>VLOOKUP(AE77,db_fifarank,2,FALSE)</f>
        <v>1540.64</v>
      </c>
      <c r="AR77" s="125">
        <f>AP77/AP78</f>
        <v>0.11111109959591071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1 - 5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3</v>
      </c>
      <c r="AH78" s="123">
        <f t="shared" si="36"/>
        <v>3</v>
      </c>
      <c r="AI78" s="123">
        <f>MAX(AI74:AI77)+1</f>
        <v>6</v>
      </c>
      <c r="AL78" s="123">
        <f>MIN(AL74:AL77)</f>
        <v>-4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90000010.834246308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8860.0007506900001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Australia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2440.0006929199999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Ivory Coast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2</v>
      </c>
      <c r="AJ82" s="123">
        <f t="shared" si="42"/>
        <v>3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8640.0007491750002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</v>
      </c>
      <c r="AE83" s="124" t="str">
        <f>J29</f>
        <v>Australia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8860.0007903349997</v>
      </c>
      <c r="AQ83" s="126">
        <f t="shared" si="37"/>
        <v>1580.67</v>
      </c>
      <c r="AR83" s="125" t="str">
        <f t="shared" si="50"/>
        <v>ACD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Ⓚ Uzbekistan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4 - 5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2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8860.0007664900004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6440.0007573849998</v>
      </c>
      <c r="AQ85" s="126">
        <f t="shared" si="37"/>
        <v>1514.77</v>
      </c>
      <c r="AR85" s="125" t="str">
        <f t="shared" si="50"/>
        <v>ACDEF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2 - 4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2440.0008076499998</v>
      </c>
      <c r="AQ86" s="126">
        <f t="shared" si="37"/>
        <v>1615.3</v>
      </c>
      <c r="AR86" s="125" t="str">
        <f t="shared" si="50"/>
        <v>ACDEF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2020.000710715</v>
      </c>
      <c r="AQ87" s="126">
        <f t="shared" si="37"/>
        <v>1421.43</v>
      </c>
      <c r="AR87" s="125" t="str">
        <f t="shared" si="50"/>
        <v>ACDEF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4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6440.0008444949999</v>
      </c>
      <c r="AQ88" s="126">
        <f t="shared" si="37"/>
        <v>1688.99</v>
      </c>
      <c r="AR88" s="125" t="str">
        <f t="shared" si="50"/>
        <v>ACDEFI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Ghana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4</v>
      </c>
      <c r="AP89" s="123">
        <f>AN89/AN92*10000+AM89/AM92*1000+AI89/AI92*100+IF(AQ89=0,ROW(),AQ89)/2000000</f>
        <v>8440.0007821300005</v>
      </c>
      <c r="AQ89" s="126">
        <f t="shared" si="37"/>
        <v>1564.26</v>
      </c>
      <c r="AR89" s="125" t="str">
        <f t="shared" si="50"/>
        <v>ACDEFIJ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2 - 4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4</v>
      </c>
      <c r="AE90" s="124" t="str">
        <f>J71</f>
        <v>Uzbekistan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4</v>
      </c>
      <c r="AJ90" s="123">
        <f t="shared" si="42"/>
        <v>5</v>
      </c>
      <c r="AK90" s="123" t="s">
        <v>3191</v>
      </c>
      <c r="AL90" s="123">
        <f t="shared" si="43"/>
        <v>-1</v>
      </c>
      <c r="AM90" s="123">
        <f t="shared" si="44"/>
        <v>3</v>
      </c>
      <c r="AN90" s="123">
        <f t="shared" si="45"/>
        <v>4</v>
      </c>
      <c r="AP90" s="123">
        <f>AN90/AN92*10000+AM90/AM92*1000+AI90/AI92*100+IF(AQ90=0,ROW(),AQ90)/2000000</f>
        <v>8680.0007326699997</v>
      </c>
      <c r="AQ90" s="126">
        <f t="shared" si="37"/>
        <v>1465.34</v>
      </c>
      <c r="AR90" s="125" t="str">
        <f t="shared" si="50"/>
        <v>ACDEFIJK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Bosnia and Herzegovina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9</v>
      </c>
      <c r="AE91" s="124" t="str">
        <f>J77</f>
        <v>Ghana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2</v>
      </c>
      <c r="AP91" s="123">
        <f>AN91/AN92*10000+AM91/AM92*1000+AI91/AI92*100+IF(AQ91=0,ROW(),AQ91)/2000000</f>
        <v>4440.0006731550002</v>
      </c>
      <c r="AQ91" s="126">
        <f t="shared" si="37"/>
        <v>1346.31</v>
      </c>
      <c r="AR91" s="125" t="str">
        <f t="shared" si="50"/>
        <v>ACDEFIJK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Egypt</v>
      </c>
      <c r="T98" s="127" t="str" cm="1">
        <f t="array" ref="T98">IF(OR(S98="",S98="draw"),INDEX(T,97,lang),S98)</f>
        <v>Egypt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Egypt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Egypt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269</v>
      </c>
      <c r="C3" s="121" t="str">
        <f>'2026 World Cup'!AR91</f>
        <v>ACDEFIJK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2026-06-12T09:10:20Z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