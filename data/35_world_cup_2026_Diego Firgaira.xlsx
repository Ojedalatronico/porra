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ga\Downloads\"/>
    </mc:Choice>
  </mc:AlternateContent>
  <xr:revisionPtr revIDLastSave="0" documentId="8_{10A5155B-B4F5-46D4-BAF8-74508CEE2C68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S50" i="3"/>
  <c r="S76" i="3"/>
  <c r="T25" i="3"/>
  <c r="S47" i="3"/>
  <c r="S67" i="3"/>
  <c r="T23" i="3"/>
  <c r="T48" i="3"/>
  <c r="T43" i="3"/>
  <c r="S72" i="3"/>
  <c r="S70" i="3"/>
  <c r="S42" i="3"/>
  <c r="S64" i="3"/>
  <c r="T18" i="3"/>
  <c r="T41" i="3"/>
  <c r="S40" i="3"/>
  <c r="S62" i="3"/>
  <c r="S38" i="3"/>
  <c r="S65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4" i="3" l="1"/>
  <c r="AR10" i="3"/>
  <c r="AR35" i="3"/>
  <c r="AR33" i="3"/>
  <c r="AR11" i="3"/>
  <c r="AR21" i="3"/>
  <c r="AR9" i="3"/>
  <c r="AD57" i="3"/>
  <c r="AR28" i="3"/>
  <c r="AR22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2" i="3" l="1"/>
  <c r="J33" i="3" s="1"/>
  <c r="AS32" i="3" s="1"/>
  <c r="BL10" i="3" s="1"/>
  <c r="AD10" i="3"/>
  <c r="AD33" i="3"/>
  <c r="M58" i="3"/>
  <c r="AD8" i="3"/>
  <c r="M9" i="3" s="1"/>
  <c r="AD35" i="3"/>
  <c r="AD34" i="3"/>
  <c r="AD11" i="3"/>
  <c r="AD26" i="3"/>
  <c r="AD9" i="3"/>
  <c r="AD28" i="3"/>
  <c r="O60" i="3"/>
  <c r="AD22" i="3"/>
  <c r="AD68" i="3"/>
  <c r="L69" i="3" s="1"/>
  <c r="L58" i="3"/>
  <c r="AD41" i="3"/>
  <c r="AD75" i="3"/>
  <c r="AD15" i="3"/>
  <c r="AD44" i="3"/>
  <c r="AD71" i="3"/>
  <c r="AD53" i="3"/>
  <c r="AD77" i="3"/>
  <c r="L59" i="3"/>
  <c r="AD27" i="3"/>
  <c r="M59" i="3"/>
  <c r="N58" i="3"/>
  <c r="AD63" i="3"/>
  <c r="AD29" i="3"/>
  <c r="AD20" i="3"/>
  <c r="AD21" i="3"/>
  <c r="AD47" i="3"/>
  <c r="AD76" i="3"/>
  <c r="AD70" i="3"/>
  <c r="AD14" i="3"/>
  <c r="AD62" i="3"/>
  <c r="N63" i="3" s="1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9" i="3"/>
  <c r="N9" i="3"/>
  <c r="L33" i="3"/>
  <c r="O33" i="3"/>
  <c r="N33" i="3" l="1"/>
  <c r="M33" i="3"/>
  <c r="J35" i="3"/>
  <c r="AE84" i="3" s="1"/>
  <c r="AQ84" i="3" s="1"/>
  <c r="M36" i="3"/>
  <c r="J36" i="3"/>
  <c r="O36" i="3"/>
  <c r="N36" i="3"/>
  <c r="J12" i="3"/>
  <c r="L36" i="3"/>
  <c r="P58" i="3"/>
  <c r="L9" i="3"/>
  <c r="P9" i="3" s="1"/>
  <c r="J9" i="3"/>
  <c r="AS8" i="3" s="1"/>
  <c r="BL50" i="3" s="1"/>
  <c r="J34" i="3"/>
  <c r="AS33" i="3" s="1"/>
  <c r="BL46" i="3" s="1"/>
  <c r="L34" i="3"/>
  <c r="M34" i="3"/>
  <c r="M10" i="3"/>
  <c r="N35" i="3"/>
  <c r="M35" i="3"/>
  <c r="O35" i="3"/>
  <c r="N34" i="3"/>
  <c r="L35" i="3"/>
  <c r="O34" i="3"/>
  <c r="M11" i="3"/>
  <c r="O11" i="3"/>
  <c r="M12" i="3"/>
  <c r="N11" i="3"/>
  <c r="L10" i="3"/>
  <c r="L11" i="3"/>
  <c r="L12" i="3"/>
  <c r="N12" i="3"/>
  <c r="J10" i="3"/>
  <c r="AS9" i="3" s="1"/>
  <c r="BL18" i="3" s="1"/>
  <c r="J11" i="3"/>
  <c r="AE80" i="3" s="1"/>
  <c r="AQ80" i="3" s="1"/>
  <c r="J29" i="3"/>
  <c r="AE83" i="3" s="1"/>
  <c r="AQ83" i="3" s="1"/>
  <c r="O10" i="3"/>
  <c r="N10" i="3"/>
  <c r="O12" i="3"/>
  <c r="N69" i="3"/>
  <c r="M69" i="3"/>
  <c r="O69" i="3"/>
  <c r="J69" i="3"/>
  <c r="AS68" i="3" s="1"/>
  <c r="BL70" i="3" s="1"/>
  <c r="M63" i="3"/>
  <c r="N39" i="3"/>
  <c r="L45" i="3"/>
  <c r="P59" i="3"/>
  <c r="O65" i="3"/>
  <c r="J65" i="3"/>
  <c r="AE89" i="3" s="1"/>
  <c r="AQ89" i="3" s="1"/>
  <c r="L64" i="3"/>
  <c r="O63" i="3"/>
  <c r="N75" i="3"/>
  <c r="L65" i="3"/>
  <c r="AF88" i="3"/>
  <c r="M65" i="3"/>
  <c r="L63" i="3"/>
  <c r="K63" i="3" s="1"/>
  <c r="J45" i="3"/>
  <c r="AS44" i="3" s="1"/>
  <c r="BL38" i="3" s="1"/>
  <c r="N45" i="3"/>
  <c r="M45" i="3"/>
  <c r="O45" i="3"/>
  <c r="O70" i="3"/>
  <c r="O21" i="3"/>
  <c r="J75" i="3"/>
  <c r="AS74" i="3" s="1"/>
  <c r="BL54" i="3" s="1"/>
  <c r="L27" i="3"/>
  <c r="M27" i="3"/>
  <c r="O27" i="3"/>
  <c r="N27" i="3"/>
  <c r="M30" i="3"/>
  <c r="J27" i="3"/>
  <c r="AS26" i="3" s="1"/>
  <c r="BL34" i="3" s="1"/>
  <c r="O66" i="3"/>
  <c r="O28" i="3"/>
  <c r="J63" i="3"/>
  <c r="AS62" i="3" s="1"/>
  <c r="BL58" i="3" s="1"/>
  <c r="BS60" i="3" s="1"/>
  <c r="BZ64" i="3" s="1"/>
  <c r="N65" i="3"/>
  <c r="L30" i="3"/>
  <c r="K58" i="3"/>
  <c r="N28" i="3"/>
  <c r="N66" i="3"/>
  <c r="N64" i="3"/>
  <c r="L29" i="3"/>
  <c r="M75" i="3"/>
  <c r="M64" i="3"/>
  <c r="O29" i="3"/>
  <c r="M76" i="3"/>
  <c r="M16" i="3"/>
  <c r="O75" i="3"/>
  <c r="J64" i="3"/>
  <c r="AS63" i="3" s="1"/>
  <c r="BL31" i="3" s="1"/>
  <c r="M66" i="3"/>
  <c r="L28" i="3"/>
  <c r="N29" i="3"/>
  <c r="J30" i="3"/>
  <c r="J78" i="3"/>
  <c r="L75" i="3"/>
  <c r="O64" i="3"/>
  <c r="O39" i="3"/>
  <c r="O30" i="3"/>
  <c r="N72" i="3"/>
  <c r="J66" i="3"/>
  <c r="L66" i="3"/>
  <c r="N30" i="3"/>
  <c r="M28" i="3"/>
  <c r="J28" i="3"/>
  <c r="AS27" i="3" s="1"/>
  <c r="BL62" i="3" s="1"/>
  <c r="AT88" i="3"/>
  <c r="M29" i="3"/>
  <c r="P29" i="3" s="1"/>
  <c r="AN88" i="3"/>
  <c r="N71" i="3"/>
  <c r="M77" i="3"/>
  <c r="J39" i="3"/>
  <c r="AS38" i="3" s="1"/>
  <c r="BL22" i="3" s="1"/>
  <c r="J76" i="3"/>
  <c r="AS75" i="3" s="1"/>
  <c r="BL27" i="3" s="1"/>
  <c r="N70" i="3"/>
  <c r="L21" i="3"/>
  <c r="AJ88" i="3"/>
  <c r="M78" i="3"/>
  <c r="J70" i="3"/>
  <c r="AS69" i="3" s="1"/>
  <c r="BL26" i="3" s="1"/>
  <c r="AG88" i="3"/>
  <c r="M39" i="3"/>
  <c r="O76" i="3"/>
  <c r="N78" i="3"/>
  <c r="N76" i="3"/>
  <c r="J71" i="3"/>
  <c r="AE90" i="3" s="1"/>
  <c r="AQ90" i="3" s="1"/>
  <c r="M71" i="3"/>
  <c r="M70" i="3"/>
  <c r="M21" i="3"/>
  <c r="P21" i="3" s="1"/>
  <c r="J21" i="3"/>
  <c r="AS20" i="3" s="1"/>
  <c r="BL42" i="3" s="1"/>
  <c r="BS44" i="3" s="1"/>
  <c r="BZ48" i="3" s="1"/>
  <c r="O77" i="3"/>
  <c r="O78" i="3"/>
  <c r="L76" i="3"/>
  <c r="J72" i="3"/>
  <c r="L72" i="3"/>
  <c r="L71" i="3"/>
  <c r="L70" i="3"/>
  <c r="L39" i="3"/>
  <c r="P39" i="3" s="1"/>
  <c r="N21" i="3"/>
  <c r="K59" i="3"/>
  <c r="J77" i="3"/>
  <c r="AE91" i="3" s="1"/>
  <c r="AQ91" i="3" s="1"/>
  <c r="M72" i="3"/>
  <c r="N77" i="3"/>
  <c r="L77" i="3"/>
  <c r="L78" i="3"/>
  <c r="O72" i="3"/>
  <c r="O71" i="3"/>
  <c r="J48" i="3"/>
  <c r="K57" i="3"/>
  <c r="L23" i="3"/>
  <c r="N24" i="3"/>
  <c r="AI88" i="3"/>
  <c r="O54" i="3"/>
  <c r="P57" i="3"/>
  <c r="L42" i="3"/>
  <c r="O24" i="3"/>
  <c r="L15" i="3"/>
  <c r="O51" i="3"/>
  <c r="O42" i="3"/>
  <c r="J40" i="3"/>
  <c r="AS39" i="3" s="1"/>
  <c r="BL43" i="3" s="1"/>
  <c r="N51" i="3"/>
  <c r="M42" i="3"/>
  <c r="N22" i="3"/>
  <c r="N18" i="3"/>
  <c r="M24" i="3"/>
  <c r="J18" i="3"/>
  <c r="L48" i="3"/>
  <c r="L46" i="3"/>
  <c r="J16" i="3"/>
  <c r="AS15" i="3" s="1"/>
  <c r="BL19" i="3" s="1"/>
  <c r="N46" i="3"/>
  <c r="L22" i="3"/>
  <c r="L24" i="3"/>
  <c r="J22" i="3"/>
  <c r="AS21" i="3" s="1"/>
  <c r="BL23" i="3" s="1"/>
  <c r="O18" i="3"/>
  <c r="O16" i="3"/>
  <c r="L17" i="3"/>
  <c r="N17" i="3"/>
  <c r="N54" i="3"/>
  <c r="M48" i="3"/>
  <c r="O48" i="3"/>
  <c r="N40" i="3"/>
  <c r="O40" i="3"/>
  <c r="J41" i="3"/>
  <c r="AE85" i="3" s="1"/>
  <c r="AQ85" i="3" s="1"/>
  <c r="J52" i="3"/>
  <c r="AS51" i="3" s="1"/>
  <c r="BL59" i="3" s="1"/>
  <c r="M47" i="3"/>
  <c r="O46" i="3"/>
  <c r="J42" i="3"/>
  <c r="O22" i="3"/>
  <c r="M22" i="3"/>
  <c r="J24" i="3"/>
  <c r="M17" i="3"/>
  <c r="N16" i="3"/>
  <c r="O17" i="3"/>
  <c r="N53" i="3"/>
  <c r="L51" i="3"/>
  <c r="N48" i="3"/>
  <c r="J46" i="3"/>
  <c r="AS45" i="3" s="1"/>
  <c r="BL63" i="3" s="1"/>
  <c r="L40" i="3"/>
  <c r="L54" i="3"/>
  <c r="M51" i="3"/>
  <c r="O47" i="3"/>
  <c r="L47" i="3"/>
  <c r="J47" i="3"/>
  <c r="AE86" i="3" s="1"/>
  <c r="AQ86" i="3" s="1"/>
  <c r="M40" i="3"/>
  <c r="N52" i="3"/>
  <c r="J51" i="3"/>
  <c r="AS50" i="3" s="1"/>
  <c r="BL30" i="3" s="1"/>
  <c r="M54" i="3"/>
  <c r="M46" i="3"/>
  <c r="N47" i="3"/>
  <c r="O23" i="3"/>
  <c r="L18" i="3"/>
  <c r="L16" i="3"/>
  <c r="M18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P69" i="3"/>
  <c r="P33" i="3"/>
  <c r="AI84" i="3"/>
  <c r="K9" i="3"/>
  <c r="AL84" i="3" l="1"/>
  <c r="K33" i="3"/>
  <c r="AT84" i="3"/>
  <c r="AH84" i="3"/>
  <c r="AN84" i="3"/>
  <c r="AG84" i="3"/>
  <c r="BS61" i="3"/>
  <c r="AJ84" i="3"/>
  <c r="AF84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36" i="3"/>
  <c r="K36" i="3"/>
  <c r="P11" i="3"/>
  <c r="P34" i="3"/>
  <c r="K34" i="3"/>
  <c r="K10" i="3"/>
  <c r="AL80" i="3"/>
  <c r="AG80" i="3"/>
  <c r="AJ80" i="3"/>
  <c r="AF80" i="3"/>
  <c r="AT80" i="3"/>
  <c r="AI80" i="3"/>
  <c r="P10" i="3"/>
  <c r="AN80" i="3"/>
  <c r="AH80" i="3"/>
  <c r="P35" i="3"/>
  <c r="K35" i="3"/>
  <c r="P12" i="3"/>
  <c r="K11" i="3"/>
  <c r="AL83" i="3"/>
  <c r="AJ83" i="3"/>
  <c r="AH83" i="3"/>
  <c r="AF83" i="3"/>
  <c r="AN83" i="3"/>
  <c r="AG83" i="3"/>
  <c r="K12" i="3"/>
  <c r="AJ89" i="3"/>
  <c r="AI89" i="3"/>
  <c r="K69" i="3"/>
  <c r="AT83" i="3"/>
  <c r="AI83" i="3"/>
  <c r="AT89" i="3"/>
  <c r="AH89" i="3"/>
  <c r="AN89" i="3"/>
  <c r="AF89" i="3"/>
  <c r="K75" i="3"/>
  <c r="P41" i="3"/>
  <c r="P65" i="3"/>
  <c r="P63" i="3"/>
  <c r="AL89" i="3"/>
  <c r="AG89" i="3"/>
  <c r="P64" i="3"/>
  <c r="K65" i="3"/>
  <c r="K45" i="3"/>
  <c r="P45" i="3"/>
  <c r="P16" i="3"/>
  <c r="P27" i="3"/>
  <c r="K27" i="3"/>
  <c r="P30" i="3"/>
  <c r="AT81" i="3"/>
  <c r="P70" i="3"/>
  <c r="P77" i="3"/>
  <c r="K64" i="3"/>
  <c r="K30" i="3"/>
  <c r="AF90" i="3"/>
  <c r="P76" i="3"/>
  <c r="K66" i="3"/>
  <c r="AT87" i="3"/>
  <c r="K77" i="3"/>
  <c r="P71" i="3"/>
  <c r="AL91" i="3"/>
  <c r="K46" i="3"/>
  <c r="K29" i="3"/>
  <c r="P66" i="3"/>
  <c r="K72" i="3"/>
  <c r="P28" i="3"/>
  <c r="P23" i="3"/>
  <c r="AI81" i="3"/>
  <c r="K28" i="3"/>
  <c r="AT86" i="3"/>
  <c r="AH87" i="3"/>
  <c r="AJ90" i="3"/>
  <c r="AN85" i="3"/>
  <c r="AT90" i="3"/>
  <c r="AI90" i="3"/>
  <c r="AN82" i="3"/>
  <c r="K39" i="3"/>
  <c r="AN90" i="3"/>
  <c r="AH90" i="3"/>
  <c r="K76" i="3"/>
  <c r="AG91" i="3"/>
  <c r="AL90" i="3"/>
  <c r="AG90" i="3"/>
  <c r="P54" i="3"/>
  <c r="P48" i="3"/>
  <c r="P42" i="3"/>
  <c r="P72" i="3"/>
  <c r="AH82" i="3"/>
  <c r="AL85" i="3"/>
  <c r="AN86" i="3"/>
  <c r="AG82" i="3"/>
  <c r="AH85" i="3"/>
  <c r="AI86" i="3"/>
  <c r="K54" i="3"/>
  <c r="K71" i="3"/>
  <c r="K42" i="3"/>
  <c r="K22" i="3"/>
  <c r="K47" i="3"/>
  <c r="K78" i="3"/>
  <c r="AT82" i="3"/>
  <c r="AG85" i="3"/>
  <c r="AH86" i="3"/>
  <c r="P40" i="3"/>
  <c r="AJ91" i="3"/>
  <c r="AF91" i="3"/>
  <c r="P15" i="3"/>
  <c r="K24" i="3"/>
  <c r="K21" i="3"/>
  <c r="K70" i="3"/>
  <c r="P78" i="3"/>
  <c r="AT91" i="3"/>
  <c r="AI91" i="3"/>
  <c r="K53" i="3"/>
  <c r="K23" i="3"/>
  <c r="P18" i="3"/>
  <c r="P17" i="3"/>
  <c r="AN91" i="3"/>
  <c r="AH91" i="3"/>
  <c r="AJ82" i="3"/>
  <c r="AF82" i="3"/>
  <c r="AJ85" i="3"/>
  <c r="AF85" i="3"/>
  <c r="AL86" i="3"/>
  <c r="AG86" i="3"/>
  <c r="AI82" i="3"/>
  <c r="AT85" i="3"/>
  <c r="AI85" i="3"/>
  <c r="AJ86" i="3"/>
  <c r="AF86" i="3"/>
  <c r="K41" i="3"/>
  <c r="K51" i="3"/>
  <c r="K48" i="3"/>
  <c r="P46" i="3"/>
  <c r="AN81" i="3"/>
  <c r="K16" i="3"/>
  <c r="AN87" i="3"/>
  <c r="AG87" i="3"/>
  <c r="AH81" i="3"/>
  <c r="P24" i="3"/>
  <c r="AL81" i="3"/>
  <c r="AG81" i="3"/>
  <c r="P51" i="3"/>
  <c r="AL87" i="3"/>
  <c r="AF87" i="3"/>
  <c r="AJ81" i="3"/>
  <c r="AF81" i="3"/>
  <c r="AJ87" i="3"/>
  <c r="P53" i="3"/>
  <c r="K15" i="3"/>
  <c r="K18" i="3"/>
  <c r="P22" i="3"/>
  <c r="P47" i="3"/>
  <c r="K40" i="3"/>
  <c r="K17" i="3"/>
  <c r="P5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I92" i="3"/>
  <c r="AG92" i="3"/>
  <c r="AJ92" i="3"/>
  <c r="AL92" i="3"/>
  <c r="AM88" i="3" s="1"/>
  <c r="AF92" i="3"/>
  <c r="AN92" i="3"/>
  <c r="AS92" i="3"/>
  <c r="S103" i="3" l="1"/>
  <c r="T103" i="3" s="1" a="1"/>
  <c r="T103" i="3" s="1"/>
  <c r="CG24" i="3"/>
  <c r="S111" i="3" s="1"/>
  <c r="T111" i="3" s="1"/>
  <c r="AM83" i="3"/>
  <c r="AM86" i="3"/>
  <c r="AM89" i="3"/>
  <c r="AM87" i="3"/>
  <c r="AM90" i="3"/>
  <c r="AM84" i="3"/>
  <c r="AM82" i="3"/>
  <c r="AM81" i="3"/>
  <c r="AM85" i="3"/>
  <c r="AM80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8" i="3"/>
  <c r="AP84" i="3"/>
  <c r="AP85" i="3"/>
  <c r="AP91" i="3"/>
  <c r="AP90" i="3"/>
  <c r="AP81" i="3"/>
  <c r="AP83" i="3"/>
  <c r="AP89" i="3"/>
  <c r="AP80" i="3"/>
  <c r="AP82" i="3"/>
  <c r="AP86" i="3"/>
  <c r="CN37" i="3" l="1"/>
  <c r="CK68" i="3" s="1"/>
  <c r="CN48" i="3"/>
  <c r="AD87" i="3"/>
  <c r="AS87" i="3" s="1"/>
  <c r="AD86" i="3"/>
  <c r="AS86" i="3" s="1"/>
  <c r="AD85" i="3"/>
  <c r="AS85" i="3" s="1"/>
  <c r="AD91" i="3"/>
  <c r="AS91" i="3" s="1"/>
  <c r="AD88" i="3"/>
  <c r="AS88" i="3" s="1"/>
  <c r="AD83" i="3"/>
  <c r="AS83" i="3" s="1"/>
  <c r="AD81" i="3"/>
  <c r="AS81" i="3" s="1"/>
  <c r="AD90" i="3"/>
  <c r="AS90" i="3" s="1"/>
  <c r="AD84" i="3"/>
  <c r="AS84" i="3" s="1"/>
  <c r="AD80" i="3"/>
  <c r="AR80" i="3" s="1"/>
  <c r="AD82" i="3"/>
  <c r="AS82" i="3" s="1"/>
  <c r="AD89" i="3"/>
  <c r="AS89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4" i="3"/>
  <c r="J82" i="3"/>
  <c r="J85" i="3"/>
  <c r="O87" i="3"/>
  <c r="N83" i="3"/>
  <c r="L83" i="3"/>
  <c r="L89" i="3"/>
  <c r="M91" i="3"/>
  <c r="J91" i="3"/>
  <c r="J89" i="3"/>
  <c r="O91" i="3"/>
  <c r="N86" i="3"/>
  <c r="O89" i="3"/>
  <c r="N81" i="3"/>
  <c r="N88" i="3"/>
  <c r="O84" i="3"/>
  <c r="J83" i="3"/>
  <c r="M86" i="3"/>
  <c r="N92" i="3"/>
  <c r="L86" i="3"/>
  <c r="J81" i="3"/>
  <c r="N91" i="3"/>
  <c r="O92" i="3"/>
  <c r="O86" i="3"/>
  <c r="N90" i="3"/>
  <c r="J86" i="3"/>
  <c r="L84" i="3"/>
  <c r="M85" i="3"/>
  <c r="O83" i="3"/>
  <c r="J92" i="3"/>
  <c r="L88" i="3"/>
  <c r="M88" i="3"/>
  <c r="L85" i="3"/>
  <c r="M92" i="3"/>
  <c r="M82" i="3"/>
  <c r="M84" i="3"/>
  <c r="M90" i="3"/>
  <c r="L92" i="3"/>
  <c r="M83" i="3"/>
  <c r="L82" i="3"/>
  <c r="O88" i="3"/>
  <c r="L81" i="3"/>
  <c r="N82" i="3"/>
  <c r="N85" i="3"/>
  <c r="M87" i="3"/>
  <c r="AS80" i="3"/>
  <c r="O85" i="3"/>
  <c r="M89" i="3"/>
  <c r="M81" i="3"/>
  <c r="L87" i="3"/>
  <c r="J90" i="3"/>
  <c r="O82" i="3"/>
  <c r="O81" i="3"/>
  <c r="N89" i="3"/>
  <c r="N87" i="3"/>
  <c r="L90" i="3"/>
  <c r="O90" i="3"/>
  <c r="J88" i="3"/>
  <c r="L91" i="3"/>
  <c r="J87" i="3"/>
  <c r="N84" i="3"/>
  <c r="P92" i="3" l="1"/>
  <c r="P85" i="3"/>
  <c r="K86" i="3"/>
  <c r="P91" i="3"/>
  <c r="K83" i="3"/>
  <c r="P82" i="3"/>
  <c r="K88" i="3"/>
  <c r="P84" i="3"/>
  <c r="P89" i="3"/>
  <c r="P81" i="3"/>
  <c r="G3" i="4"/>
  <c r="BL11" i="3" s="1"/>
  <c r="K81" i="3"/>
  <c r="J3" i="4"/>
  <c r="BL71" i="3" s="1"/>
  <c r="E3" i="4"/>
  <c r="BL67" i="3" s="1"/>
  <c r="K3" i="4"/>
  <c r="BL55" i="3" s="1"/>
  <c r="D3" i="4"/>
  <c r="BL51" i="3" s="1"/>
  <c r="I3" i="4"/>
  <c r="BL15" i="3" s="1"/>
  <c r="K82" i="3"/>
  <c r="B3" i="4"/>
  <c r="H3" i="4"/>
  <c r="BL39" i="3" s="1"/>
  <c r="P83" i="3"/>
  <c r="P88" i="3"/>
  <c r="K89" i="3"/>
  <c r="K87" i="3"/>
  <c r="K91" i="3"/>
  <c r="P86" i="3"/>
  <c r="K84" i="3"/>
  <c r="K90" i="3"/>
  <c r="K85" i="3"/>
  <c r="K92" i="3"/>
  <c r="P90" i="3"/>
  <c r="P87" i="3"/>
  <c r="BS53" i="3"/>
  <c r="BS52" i="3"/>
  <c r="BS69" i="3"/>
  <c r="BZ65" i="3" s="1"/>
  <c r="CG56" i="3" s="1"/>
  <c r="CN38" i="3" s="1"/>
  <c r="BS68" i="3"/>
  <c r="BZ49" i="3" l="1"/>
  <c r="CG55" i="3" s="1"/>
  <c r="CN49" i="3" s="1"/>
  <c r="S91" i="3"/>
  <c r="T91" i="3" s="1" a="1"/>
  <c r="T91" i="3" s="1"/>
  <c r="BS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<sst xmlns="http://schemas.openxmlformats.org/spreadsheetml/2006/main" count="9785" uniqueCount="3699">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</sst>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K1" zoomScaleNormal="100" workbookViewId="0">
      <selection activeCell="CO39" sqref="CO3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9</v>
      </c>
      <c r="AN8" s="123">
        <f>AF8*3+AG8</f>
        <v>7</v>
      </c>
      <c r="AO8" s="123">
        <f>AN8/AN12*10+BA8</f>
        <v>9.7306451612903224</v>
      </c>
      <c r="AP8" s="123">
        <f>AO8*10000000+BI8*100+AM8/AM12*10+AI8/AI12*1++IF(AQ8=0,ROW(),AQ8)/2000000</f>
        <v>97306559.535402715</v>
      </c>
      <c r="AQ8" s="126">
        <f>VLOOKUP(AE8,db_fifarank,2,FALSE)</f>
        <v>1681.03</v>
      </c>
      <c r="AR8" s="125">
        <f>AP8/AP12</f>
        <v>0.99999998972320059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50.666666666666664</v>
      </c>
      <c r="BA8" s="126">
        <f>AZ8/AZ12</f>
        <v>0.98064516129032253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50.666666666666664</v>
      </c>
      <c r="BI8" s="126">
        <f>BH8/BH12</f>
        <v>0.98064516129032253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3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7.3465241815829376E-12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6 - 3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6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37500006.572222903</v>
      </c>
      <c r="AQ10" s="126">
        <f>VLOOKUP(AE10,db_fifarank,2,FALSE)</f>
        <v>1588.66</v>
      </c>
      <c r="AR10" s="125">
        <f>AP10/AP12</f>
        <v>0.38538004391368252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6</v>
      </c>
      <c r="AJ11" s="123">
        <f>SUMIF($E$7:$E$78,$AE11,$G$7:$G$78) + SUMIF($H$7:$H$78,$AE11,$F$7:$F$78)</f>
        <v>3</v>
      </c>
      <c r="AL11" s="123">
        <f>AI11-AJ11</f>
        <v>3</v>
      </c>
      <c r="AM11" s="123">
        <f>AL11-AL12</f>
        <v>9</v>
      </c>
      <c r="AN11" s="123">
        <f>AF11*3+AG11</f>
        <v>7</v>
      </c>
      <c r="AO11" s="123">
        <f>AN11/AN12*10+BA11</f>
        <v>9.7306451612903224</v>
      </c>
      <c r="AP11" s="123">
        <f>AO11*10000000+BI11*100+AM11/AM12*10+AI11/AI12*1++IF(AQ11=0,ROW(),AQ11)/2000000</f>
        <v>97306559.535312891</v>
      </c>
      <c r="AQ11" s="126">
        <f>VLOOKUP(AE11,db_fifarank,2,FALSE)</f>
        <v>1501.38</v>
      </c>
      <c r="AR11" s="125">
        <f>AP11/AP12</f>
        <v>0.99999998972227755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50.666666666666664</v>
      </c>
      <c r="BA11" s="126">
        <f>AZ11/AZ12</f>
        <v>0.98064516129032253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50.666666666666664</v>
      </c>
      <c r="BI11" s="126">
        <f>BH11/BH12</f>
        <v>0.98064516129032253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10.730645161290322</v>
      </c>
      <c r="AP12" s="123">
        <f>MAX(AP8:AP11)+1</f>
        <v>97306560.535402715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4</v>
      </c>
      <c r="AL14" s="123">
        <f>AI14-AJ14</f>
        <v>3</v>
      </c>
      <c r="AM14" s="123">
        <f>AL14-AL18</f>
        <v>7</v>
      </c>
      <c r="AN14" s="123">
        <f>AF14*3+AG14</f>
        <v>7</v>
      </c>
      <c r="AO14" s="123">
        <f>AN14/AN18*10+BA14</f>
        <v>9.7401960784313726</v>
      </c>
      <c r="AP14" s="123">
        <f>AO14*10000000+BI14*100+AM14/AM18*10+AI14/AI18*1++IF(AQ14=0,ROW(),AQ14)/2000000</f>
        <v>97402068.457477584</v>
      </c>
      <c r="AQ14" s="126">
        <f>VLOOKUP(AE14,db_fifarank,2,FALSE)</f>
        <v>1556.48</v>
      </c>
      <c r="AR14" s="125">
        <f>AP14/AP18</f>
        <v>0.99999997832533161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101</v>
      </c>
      <c r="BA14" s="126">
        <f>AZ14/AZ18</f>
        <v>0.99019607843137258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101</v>
      </c>
      <c r="BI14" s="126">
        <f>BH14/BH18</f>
        <v>0.99019607843137258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1</v>
      </c>
      <c r="AO15" s="123">
        <f>AN15/AN18*10+BA15</f>
        <v>2.2352941176470589</v>
      </c>
      <c r="AP15" s="123">
        <f>AO15*10000000+BI15*100+AM15/AM18*10+AI15/AI18*1++IF(AQ15=0,ROW(),AQ15)/2000000</f>
        <v>22353039.956575271</v>
      </c>
      <c r="AQ15" s="126">
        <f>VLOOKUP(AE15,db_fifarank,2,FALSE)</f>
        <v>1385.84</v>
      </c>
      <c r="AR15" s="125">
        <f>AP15/AP18</f>
        <v>0.22949245150619277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100.5</v>
      </c>
      <c r="BA15" s="126">
        <f>AZ15/AZ18</f>
        <v>0.98529411764705888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100.5</v>
      </c>
      <c r="BI15" s="126">
        <f>BH15/BH18</f>
        <v>0.98529411764705888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7 - 4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6</v>
      </c>
      <c r="AL16" s="123">
        <f>AI16-AJ16</f>
        <v>-3</v>
      </c>
      <c r="AM16" s="123">
        <f>AL16-AL18</f>
        <v>1</v>
      </c>
      <c r="AN16" s="123">
        <f>AF16*3+AG16</f>
        <v>1</v>
      </c>
      <c r="AO16" s="123">
        <f>AN16/AN18*10+BA16</f>
        <v>2.2352941176470589</v>
      </c>
      <c r="AP16" s="123">
        <f>AO16*10000000+BI16*100+AM16/AM18*10+AI16/AI18*1++IF(AQ16=0,ROW(),AQ16)/2000000</f>
        <v>22353041.192720942</v>
      </c>
      <c r="AQ16" s="126">
        <f>VLOOKUP(AE16,db_fifarank,2,FALSE)</f>
        <v>1454.96</v>
      </c>
      <c r="AR16" s="125">
        <f>AP16/AP18</f>
        <v>0.22949246419735697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100.5</v>
      </c>
      <c r="BA16" s="126">
        <f>AZ16/AZ18</f>
        <v>0.98529411764705888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100.5</v>
      </c>
      <c r="BI16" s="126">
        <f>BH16/BH18</f>
        <v>0.98529411764705888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3 - 6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3</v>
      </c>
      <c r="AL17" s="123">
        <f>AI17-AJ17</f>
        <v>4</v>
      </c>
      <c r="AM17" s="123">
        <f>AL17-AL18</f>
        <v>8</v>
      </c>
      <c r="AN17" s="123">
        <f>AF17*3+AG17</f>
        <v>7</v>
      </c>
      <c r="AO17" s="123">
        <f>AN17/AN18*10+BA17</f>
        <v>9.7401960784313726</v>
      </c>
      <c r="AP17" s="123">
        <f>AO17*10000000+BI17*100+AM17/AM18*10+AI17/AI18*1++IF(AQ17=0,ROW(),AQ17)/2000000</f>
        <v>97402069.568635166</v>
      </c>
      <c r="AQ17" s="126">
        <f>VLOOKUP(AE17,db_fifarank,2,FALSE)</f>
        <v>1649.4</v>
      </c>
      <c r="AR17" s="125">
        <f>AP17/AP18</f>
        <v>0.99999998973327775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101</v>
      </c>
      <c r="BA17" s="126">
        <f>AZ17/AZ18</f>
        <v>0.99019607843137258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101</v>
      </c>
      <c r="BI17" s="126">
        <f>BH17/BH18</f>
        <v>0.99019607843137258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2 - 6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1</v>
      </c>
      <c r="AH18" s="123">
        <f t="shared" si="13"/>
        <v>3</v>
      </c>
      <c r="AI18" s="123">
        <f>MAX(AI14:AI17)+1</f>
        <v>8</v>
      </c>
      <c r="AL18" s="123">
        <f>MIN(AL14:AL17)</f>
        <v>-4</v>
      </c>
      <c r="AM18" s="123">
        <f>MAX(AM14:AM17)+1</f>
        <v>9</v>
      </c>
      <c r="AN18" s="123">
        <f>MAX(AN14:AN17)+1</f>
        <v>8</v>
      </c>
      <c r="AO18" s="123">
        <f>MAX(AO14:AO17)+1</f>
        <v>10.740196078431373</v>
      </c>
      <c r="AP18" s="123">
        <f>MAX(AP14:AP17)+1</f>
        <v>97402070.568635166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102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102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60000007.659701459</v>
      </c>
      <c r="AQ21" s="126">
        <f>VLOOKUP(AE21,db_fifarank,2,FALSE)</f>
        <v>1755.87</v>
      </c>
      <c r="AR21" s="125">
        <f>AP21/AP24</f>
        <v>0.66666666797708785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10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1.1182871372134919E-9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6</v>
      </c>
      <c r="AL23" s="123">
        <f>AI23-AJ23</f>
        <v>-1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30000005.206631526</v>
      </c>
      <c r="AQ23" s="126">
        <f>VLOOKUP(AE23,db_fifarank,2,FALSE)</f>
        <v>1498.35</v>
      </c>
      <c r="AR23" s="125">
        <f>AP23/AP24</f>
        <v>0.33333334928610642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4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7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75000007.750836566</v>
      </c>
      <c r="AQ26" s="126">
        <f>VLOOKUP(AE26,db_fifarank,2,FALSE)</f>
        <v>1673.13</v>
      </c>
      <c r="AR26" s="125">
        <f>AP26/AP30</f>
        <v>0.85714283918540446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5</v>
      </c>
      <c r="AL27" s="123">
        <f>AI27-AJ27</f>
        <v>-1</v>
      </c>
      <c r="AM27" s="123">
        <f>AL27-AL30</f>
        <v>4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25000004.500751749</v>
      </c>
      <c r="AQ27" s="126">
        <f>VLOOKUP(AE27,db_fifarank,2,FALSE)</f>
        <v>1503.5</v>
      </c>
      <c r="AR27" s="125">
        <f>AP27/AP30</f>
        <v>0.28571430163863182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7</v>
      </c>
      <c r="AL28" s="123">
        <f>AI28-AJ28</f>
        <v>-5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12500000.250790335</v>
      </c>
      <c r="AQ28" s="126">
        <f>VLOOKUP(AE28,db_fifarank,2,FALSE)</f>
        <v>1580.67</v>
      </c>
      <c r="AR28" s="125">
        <f>AP28/AP30</f>
        <v>0.14285712796691258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4 - 5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87500009.875799522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2 - 7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-5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2</v>
      </c>
      <c r="AL32" s="123">
        <f>AI32-AJ32</f>
        <v>9</v>
      </c>
      <c r="AM32" s="123">
        <f>AL32-AL36</f>
        <v>21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90000010.46298641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13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8.3980658333333333E-2</v>
      </c>
      <c r="AQ33" s="126">
        <f>VLOOKUP(AE33,db_fifarank,2,FALSE)</f>
        <v>1294.6500000000001</v>
      </c>
      <c r="AR33" s="125">
        <f>AP33/AP36</f>
        <v>9.3311830707789835E-10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7 - 5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5</v>
      </c>
      <c r="AL34" s="123">
        <f>AI34-AJ34</f>
        <v>2</v>
      </c>
      <c r="AM34" s="123">
        <f>AL34-AL36</f>
        <v>14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49805930.248707063</v>
      </c>
      <c r="AQ34" s="126">
        <f>VLOOKUP(AE34,db_fifarank,2,FALSE)</f>
        <v>1532.98</v>
      </c>
      <c r="AR34" s="125">
        <f>AP34/AP36</f>
        <v>0.55339915450111199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13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49805929.627525829</v>
      </c>
      <c r="AQ35" s="126">
        <f>VLOOKUP(AE35,db_fifarank,2,FALSE)</f>
        <v>1594.78</v>
      </c>
      <c r="AR35" s="125">
        <f>AP35/AP36</f>
        <v>0.55339914759909914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Ecuador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1 - 13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12</v>
      </c>
      <c r="AL36" s="123">
        <f>MIN(AL32:AL35)</f>
        <v>-12</v>
      </c>
      <c r="AM36" s="123">
        <f>MAX(AM32:AM35)+1</f>
        <v>22</v>
      </c>
      <c r="AN36" s="123">
        <f>MAX(AN32:AN35)+1</f>
        <v>10</v>
      </c>
      <c r="AO36" s="123">
        <f>MAX(AO32:AO35)+1</f>
        <v>10</v>
      </c>
      <c r="AP36" s="123">
        <f>MAX(AP32:AP35)+1</f>
        <v>90000011.46298641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3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Korea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9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87500009.715164647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5</v>
      </c>
      <c r="AL39" s="123">
        <f>AI39-AJ39</f>
        <v>0</v>
      </c>
      <c r="AM39" s="123">
        <f>AL39-AL42</f>
        <v>6</v>
      </c>
      <c r="AN39" s="123">
        <f>AF39*3+AG39</f>
        <v>4</v>
      </c>
      <c r="AO39" s="123">
        <f>AN39/AN42*10+BA39</f>
        <v>5</v>
      </c>
      <c r="AP39" s="123">
        <f>AO39*10000000+BI39*100+AM39/AM42*10+AI39/AI42*1++IF(AQ39=0,ROW(),AQ39)/2000000</f>
        <v>50000006.715115935</v>
      </c>
      <c r="AQ39" s="126">
        <f>VLOOKUP(AE39,db_fifarank,2,FALSE)</f>
        <v>1660.43</v>
      </c>
      <c r="AR39" s="125">
        <f>AP39/AP42</f>
        <v>0.57142857819616721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3</v>
      </c>
      <c r="AL40" s="123">
        <f>AI40-AJ40</f>
        <v>3</v>
      </c>
      <c r="AM40" s="123">
        <f>AL40-AL42</f>
        <v>9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62500009.85790024</v>
      </c>
      <c r="AQ40" s="126">
        <f>VLOOKUP(AE40,db_fifarank,2,FALSE)</f>
        <v>1514.77</v>
      </c>
      <c r="AR40" s="125">
        <f>AP40/AP42</f>
        <v>0.71428573947669638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5 - 5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1.6411274316821967E-9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10</v>
      </c>
      <c r="AN42" s="123">
        <f>MAX(AN38:AN41)+1</f>
        <v>8</v>
      </c>
      <c r="AO42" s="123">
        <f>MAX(AO38:AO41)+1</f>
        <v>9.75</v>
      </c>
      <c r="AP42" s="123">
        <f>MAX(AP38:AP41)+1</f>
        <v>87500010.715164647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90000009.966776446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7</v>
      </c>
      <c r="AJ45" s="123">
        <f>SUMIF($E$7:$E$78,$AE45,$G$7:$G$78) + SUMIF($H$7:$H$78,$AE45,$F$7:$F$78)</f>
        <v>5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60000007.239417985</v>
      </c>
      <c r="AQ45" s="126">
        <f>VLOOKUP(AE45,db_fifarank,2,FALSE)</f>
        <v>1563.24</v>
      </c>
      <c r="AR45" s="125">
        <f>AP45/AP48</f>
        <v>0.66666666586926326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4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7 - 5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30000003.103080377</v>
      </c>
      <c r="AQ46" s="126">
        <f>VLOOKUP(AE46,db_fifarank,2,FALSE)</f>
        <v>1615.3</v>
      </c>
      <c r="AR46" s="125">
        <f>AP46/AP48</f>
        <v>0.33333332719431441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8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0.37564078499999998</v>
      </c>
      <c r="AQ47" s="126">
        <f>VLOOKUP(AE47,db_fifarank,2,FALSE)</f>
        <v>1281.57</v>
      </c>
      <c r="AR47" s="125">
        <f>AP47/AP48</f>
        <v>4.1737859914113567E-9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3 - 8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90000010.966776446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3</v>
      </c>
      <c r="AL50" s="123">
        <f>AI50-AJ50</f>
        <v>6</v>
      </c>
      <c r="AM50" s="123">
        <f>AL50-AL54</f>
        <v>13</v>
      </c>
      <c r="AN50" s="123">
        <f>AF50*3+AG50</f>
        <v>7</v>
      </c>
      <c r="AO50" s="123">
        <f>AN50/AN54*10+BA50</f>
        <v>9.7306451612903224</v>
      </c>
      <c r="AP50" s="123">
        <f>AO50*10000000+BI50*100+AM50/AM54*10+AI50/AI54*1++IF(AQ50=0,ROW(),AQ50)/2000000</f>
        <v>97306559.864071846</v>
      </c>
      <c r="AQ50" s="126">
        <f>VLOOKUP(AE50,db_fifarank,2,FALSE)</f>
        <v>1876.4</v>
      </c>
      <c r="AR50" s="125">
        <f>AP50/AP54</f>
        <v>0.9999999897232007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50.666666666666664</v>
      </c>
      <c r="BA50" s="126">
        <f>AZ50/AZ54</f>
        <v>0.98064516129032253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50.666666666666664</v>
      </c>
      <c r="BI50" s="126">
        <f>BH50/BH54</f>
        <v>0.98064516129032253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9 - 3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10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0.30068306499999997</v>
      </c>
      <c r="AQ51" s="126">
        <f>VLOOKUP(AE51,db_fifarank,2,FALSE)</f>
        <v>1366.13</v>
      </c>
      <c r="AR51" s="125">
        <f>AP51/AP54</f>
        <v>3.0900595225025583E-9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6 - 4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6</v>
      </c>
      <c r="AJ52" s="123">
        <f>SUMIF($E$7:$E$78,$AE52,$G$7:$G$78) + SUMIF($H$7:$H$78,$AE52,$F$7:$F$78)</f>
        <v>7</v>
      </c>
      <c r="AL52" s="123">
        <f>AI52-AJ52</f>
        <v>-1</v>
      </c>
      <c r="AM52" s="123">
        <f>AL52-AL54</f>
        <v>6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37500004.886425003</v>
      </c>
      <c r="AQ52" s="126">
        <f>VLOOKUP(AE52,db_fifarank,2,FALSE)</f>
        <v>1421.43</v>
      </c>
      <c r="AR52" s="125">
        <f>AP52/AP54</f>
        <v>0.3853800252873904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6 - 7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9</v>
      </c>
      <c r="AN53" s="123">
        <f>AF53*3+AG53</f>
        <v>7</v>
      </c>
      <c r="AO53" s="123">
        <f>AN53/AN54*10+BA53</f>
        <v>9.7306451612903224</v>
      </c>
      <c r="AP53" s="123">
        <f>AO53*10000000+BI53*100+AM53/AM54*10+AI53/AI54*1++IF(AQ53=0,ROW(),AQ53)/2000000</f>
        <v>97306556.706827313</v>
      </c>
      <c r="AQ53" s="126">
        <f>VLOOKUP(AE53,db_fifarank,2,FALSE)</f>
        <v>1673.07</v>
      </c>
      <c r="AR53" s="125">
        <f>AP53/AP54</f>
        <v>0.99999995727683211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50.666666666666664</v>
      </c>
      <c r="BA53" s="126">
        <f>AZ53/AZ54</f>
        <v>0.98064516129032253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50.666666666666664</v>
      </c>
      <c r="BI53" s="126">
        <f>BH53/BH54</f>
        <v>0.98064516129032253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3 - 10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10</v>
      </c>
      <c r="AL54" s="123">
        <f>MIN(AL50:AL53)</f>
        <v>-7</v>
      </c>
      <c r="AM54" s="123">
        <f>MAX(AM50:AM53)+1</f>
        <v>14</v>
      </c>
      <c r="AN54" s="123">
        <f>MAX(AN50:AN53)+1</f>
        <v>8</v>
      </c>
      <c r="AO54" s="123">
        <f>MAX(AO50:AO53)+1</f>
        <v>10.730645161290322</v>
      </c>
      <c r="AP54" s="123">
        <f>MAX(AP50:AP53)+1</f>
        <v>97306560.864071846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4</v>
      </c>
      <c r="AL56" s="123">
        <f>AI56-AJ56</f>
        <v>6</v>
      </c>
      <c r="AM56" s="123">
        <f>AL56-AL60</f>
        <v>14</v>
      </c>
      <c r="AN56" s="123">
        <f>AF56*3+AG56</f>
        <v>7</v>
      </c>
      <c r="AO56" s="123">
        <f>AN56/AN60*10+BA56</f>
        <v>9.7306763285024154</v>
      </c>
      <c r="AP56" s="123">
        <f>AO56*10000000+BI56*100+AM56/AM60*10+AI56/AI60*1++IF(AQ56=0,ROW(),AQ56)/2000000</f>
        <v>97306871.596019894</v>
      </c>
      <c r="AQ56" s="126">
        <f>VLOOKUP(AE56,db_fifarank,2,FALSE)</f>
        <v>1877.32</v>
      </c>
      <c r="AR56" s="125">
        <f>AP56/AP60</f>
        <v>0.99999998972323356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3</v>
      </c>
      <c r="AW56" s="126" cm="1">
        <f t="array" ref="AW56">SUMPRODUCT(($E$7:$E$78=AE56)*($U$7:$U$78)*($G$7:$G$78))+SUMPRODUCT(($H$7:$H$78=AE56)*($U$7:$U$78)*($F$7:$F$78))</f>
        <v>3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50.75</v>
      </c>
      <c r="BA56" s="126">
        <f>AZ56/AZ60</f>
        <v>0.98067632850241548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3</v>
      </c>
      <c r="BE56" s="126" cm="1">
        <f t="array" ref="BE56">SUMPRODUCT(($E$7:$E$78=AE56)*($X$7:$X$78)*($G$7:$G$78))+SUMPRODUCT(($H$7:$H$78=AE56)*($X$7:$X$78)*($F$7:$F$78))</f>
        <v>3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50.75</v>
      </c>
      <c r="BI56" s="126">
        <f>BH56/BH60</f>
        <v>0.98067632850241548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10 - 4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7</v>
      </c>
      <c r="AL57" s="123">
        <f>AI57-AJ57</f>
        <v>-2</v>
      </c>
      <c r="AM57" s="123">
        <f>AL57-AL60</f>
        <v>6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37500004.455389947</v>
      </c>
      <c r="AQ57" s="126">
        <f>VLOOKUP(AE57,db_fifarank,2,FALSE)</f>
        <v>1688.99</v>
      </c>
      <c r="AR57" s="125">
        <f>AP57/AP60</f>
        <v>0.38537878625567701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9 - 5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9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9.1632660909090918E-2</v>
      </c>
      <c r="AQ58" s="126">
        <f>VLOOKUP(AE58,db_fifarank,2,FALSE)</f>
        <v>1447.14</v>
      </c>
      <c r="AR58" s="125">
        <f>AP58/AP60</f>
        <v>9.416874519183647E-10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5 - 7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2</v>
      </c>
      <c r="W59" s="123">
        <f t="shared" si="22"/>
        <v>2</v>
      </c>
      <c r="X59" s="123">
        <f t="shared" si="9"/>
        <v>1</v>
      </c>
      <c r="Y59" s="123">
        <f t="shared" si="10"/>
        <v>2</v>
      </c>
      <c r="Z59" s="123">
        <f t="shared" si="11"/>
        <v>2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5</v>
      </c>
      <c r="AL59" s="123">
        <f>AI59-AJ59</f>
        <v>4</v>
      </c>
      <c r="AM59" s="123">
        <f>AL59-AL60</f>
        <v>12</v>
      </c>
      <c r="AN59" s="123">
        <f>AF59*3+AG59</f>
        <v>7</v>
      </c>
      <c r="AO59" s="123">
        <f>AN59/AN60*10+BA59</f>
        <v>9.7306763285024154</v>
      </c>
      <c r="AP59" s="123">
        <f>AO59*10000000+BI59*100+AM59/AM60*10+AI59/AI60*1++IF(AQ59=0,ROW(),AQ59)/2000000</f>
        <v>97306870.171614289</v>
      </c>
      <c r="AQ59" s="126">
        <f>VLOOKUP(AE59,db_fifarank,2,FALSE)</f>
        <v>1550.94</v>
      </c>
      <c r="AR59" s="125">
        <f>AP59/AP60</f>
        <v>0.99999997508494987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3</v>
      </c>
      <c r="AW59" s="126" cm="1">
        <f t="array" ref="AW59">SUMPRODUCT(($E$7:$E$78=AE59)*($U$7:$U$78)*($G$7:$G$78))+SUMPRODUCT(($H$7:$H$78=AE59)*($U$7:$U$78)*($F$7:$F$78))</f>
        <v>3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50.75</v>
      </c>
      <c r="BA59" s="126">
        <f>AZ59/AZ60</f>
        <v>0.98067632850241548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3</v>
      </c>
      <c r="BE59" s="126" cm="1">
        <f t="array" ref="BE59">SUMPRODUCT(($E$7:$E$78=AE59)*($X$7:$X$78)*($G$7:$G$78))+SUMPRODUCT(($H$7:$H$78=AE59)*($X$7:$X$78)*($F$7:$F$78))</f>
        <v>3</v>
      </c>
      <c r="BF59" s="126">
        <f>BD59-BE59</f>
        <v>0</v>
      </c>
      <c r="BG59" s="126">
        <f>BF59-MIN(BF56:BF59)</f>
        <v>0</v>
      </c>
      <c r="BH59" s="126">
        <f t="shared" si="26"/>
        <v>50.75</v>
      </c>
      <c r="BI59" s="126">
        <f>BH59/BH60</f>
        <v>0.98067632850241548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11</v>
      </c>
      <c r="AL60" s="123">
        <f>MIN(AL56:AL59)</f>
        <v>-8</v>
      </c>
      <c r="AM60" s="123">
        <f>MAX(AM56:AM59)+1</f>
        <v>15</v>
      </c>
      <c r="AN60" s="123">
        <f>MAX(AN56:AN59)+1</f>
        <v>8</v>
      </c>
      <c r="AO60" s="123">
        <f>MAX(AO56:AO59)+1</f>
        <v>10.730676328502415</v>
      </c>
      <c r="AP60" s="123">
        <f>MAX(AP56:AP59)+1</f>
        <v>97306872.596019894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4</v>
      </c>
      <c r="AW60" s="126">
        <f>MAX(AW56:AW59)-MIN(AW56:AW59)+1</f>
        <v>4</v>
      </c>
      <c r="AY60" s="126">
        <f>MAX(AY56:AY59)-MIN(AY56:AY59)+1</f>
        <v>1</v>
      </c>
      <c r="AZ60" s="126">
        <f>MAX(AZ56:AZ59)+1</f>
        <v>51.75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4</v>
      </c>
      <c r="BE60" s="126">
        <f>MAX(BE56:BE59)-MIN(BE56:BE59)+1</f>
        <v>4</v>
      </c>
      <c r="BG60" s="126">
        <f>MAX(BG56:BG59)-MIN(BG56:BG59)+1</f>
        <v>1</v>
      </c>
      <c r="BH60" s="126">
        <f>MAX(BH56:BH59)+1</f>
        <v>51.75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5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1</v>
      </c>
      <c r="AL62" s="123">
        <f>AI62-AJ62</f>
        <v>10</v>
      </c>
      <c r="AM62" s="123">
        <f>AL62-AL66</f>
        <v>16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90000010.3293688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8</v>
      </c>
      <c r="AL63" s="123">
        <f>AI63-AJ63</f>
        <v>-6</v>
      </c>
      <c r="AM63" s="123">
        <f>AL63-AL66</f>
        <v>0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19805923.468419671</v>
      </c>
      <c r="AQ63" s="126">
        <f>VLOOKUP(AE63,db_fifarank,2,FALSE)</f>
        <v>1564.26</v>
      </c>
      <c r="AR63" s="125">
        <f>AP63/AP66</f>
        <v>0.22006578861347992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4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60000005.206679083</v>
      </c>
      <c r="AQ64" s="126">
        <f>VLOOKUP(AE64,db_fifarank,2,FALSE)</f>
        <v>1593.45</v>
      </c>
      <c r="AR64" s="125">
        <f>AP64/AP66</f>
        <v>0.66666664059740943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2 - 8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19805923.384999931</v>
      </c>
      <c r="AQ65" s="126">
        <f>VLOOKUP(AE65,db_fifarank,2,FALSE)</f>
        <v>1391.45</v>
      </c>
      <c r="AR65" s="125">
        <f>AP65/AP66</f>
        <v>0.22006578768659402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12</v>
      </c>
      <c r="AL66" s="123">
        <f>MIN(AL62:AL65)</f>
        <v>-6</v>
      </c>
      <c r="AM66" s="123">
        <f>MAX(AM62:AM65)+1</f>
        <v>17</v>
      </c>
      <c r="AN66" s="123">
        <f>MAX(AN62:AN65)+1</f>
        <v>10</v>
      </c>
      <c r="AO66" s="123">
        <f>MAX(AO62:AO65)+1</f>
        <v>10</v>
      </c>
      <c r="AP66" s="123">
        <f>MAX(AP62:AP65)+1</f>
        <v>90000011.3293688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3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3</v>
      </c>
      <c r="W67" s="123">
        <f t="shared" si="22"/>
        <v>3</v>
      </c>
      <c r="X67" s="123">
        <f t="shared" si="9"/>
        <v>1</v>
      </c>
      <c r="Y67" s="123">
        <f t="shared" si="10"/>
        <v>3</v>
      </c>
      <c r="Z67" s="123">
        <f t="shared" si="11"/>
        <v>3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2</v>
      </c>
      <c r="AL68" s="123">
        <f>AI68-AJ68</f>
        <v>8</v>
      </c>
      <c r="AM68" s="123">
        <f>AL68-AL72</f>
        <v>15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97306559.962392166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10 - 2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2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37500001.432557352</v>
      </c>
      <c r="AQ69" s="126">
        <f>VLOOKUP(AE69,db_fifarank,2,FALSE)</f>
        <v>1478.35</v>
      </c>
      <c r="AR69" s="125">
        <f>AP69/AP72</f>
        <v>0.38537998940329066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9</v>
      </c>
      <c r="AL70" s="123">
        <f>AI70-AJ70</f>
        <v>-7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0.18255085181818181</v>
      </c>
      <c r="AQ70" s="126">
        <f>VLOOKUP(AE70,db_fifarank,2,FALSE)</f>
        <v>1465.34</v>
      </c>
      <c r="AR70" s="125">
        <f>AP70/AP72</f>
        <v>1.8760384707125306E-9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4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2 - 7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11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97306557.18962954</v>
      </c>
      <c r="AQ71" s="126">
        <f>VLOOKUP(AE71,db_fifarank,2,FALSE)</f>
        <v>1693.09</v>
      </c>
      <c r="AR71" s="125">
        <f>AP71/AP72</f>
        <v>0.99999996122807555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2 - 9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11</v>
      </c>
      <c r="AL72" s="123">
        <f>MIN(AL68:AL71)</f>
        <v>-7</v>
      </c>
      <c r="AM72" s="123">
        <f>MAX(AM68:AM71)+1</f>
        <v>16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97306560.962392166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90000010.223135203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7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49805928.412940517</v>
      </c>
      <c r="AQ75" s="126">
        <f>VLOOKUP(AE75,db_fifarank,2,FALSE)</f>
        <v>1717.07</v>
      </c>
      <c r="AR75" s="125">
        <f>AP75/AP78</f>
        <v>0.55339913557852438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7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49805928.30164402</v>
      </c>
      <c r="AQ76" s="126">
        <f>VLOOKUP(AE76,db_fifarank,2,FALSE)</f>
        <v>1346.31</v>
      </c>
      <c r="AR76" s="125">
        <f>AP76/AP78</f>
        <v>0.5533991343418968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7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8.5591100437772308E-12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-7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90000011.223135203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6</v>
      </c>
      <c r="AN80" s="123">
        <f>VLOOKUP($AE80,$AE$8:$AQ$78,10,FALSE)</f>
        <v>3</v>
      </c>
      <c r="AP80" s="123">
        <f>AN80/AN92*10000+AM80/AM92*1000+AI80/AI92*100+IF(AQ80=0,ROW(),AQ80)/2000000</f>
        <v>6807.1436514728566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Ecuador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6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2417.8578703371427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Japan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6</v>
      </c>
      <c r="AK82" s="123" t="s">
        <v>3182</v>
      </c>
      <c r="AL82" s="123">
        <f t="shared" si="43"/>
        <v>-1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6696.4293206035718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10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2</v>
      </c>
      <c r="AP83" s="123">
        <f>AN83/AN92*10000+AM83/AM92*1000+AI83/AI92*100+IF(AQ83=0,ROW(),AQ83)/2000000</f>
        <v>4682.1436088928567</v>
      </c>
      <c r="AQ83" s="126">
        <f t="shared" si="37"/>
        <v>1503.5</v>
      </c>
      <c r="AR83" s="125" t="str">
        <f t="shared" si="50"/>
        <v>AC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7</v>
      </c>
      <c r="AN84" s="123">
        <f t="shared" si="45"/>
        <v>4</v>
      </c>
      <c r="AP84" s="123">
        <f>AN84/AN92*10000+AM84/AM92*1000+AI84/AI92*100+IF(AQ84=0,ROW(),AQ84)/2000000</f>
        <v>8946.4293688185699</v>
      </c>
      <c r="AQ84" s="126">
        <f t="shared" si="37"/>
        <v>1594.78</v>
      </c>
      <c r="AR84" s="125" t="str">
        <f t="shared" si="50"/>
        <v>ACE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Ⓗ Saudi Arabia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6 - 7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5</v>
      </c>
      <c r="AJ85" s="123">
        <f t="shared" si="42"/>
        <v>5</v>
      </c>
      <c r="AK85" s="123" t="s">
        <v>3186</v>
      </c>
      <c r="AL85" s="123">
        <f t="shared" si="43"/>
        <v>0</v>
      </c>
      <c r="AM85" s="123">
        <f t="shared" si="44"/>
        <v>6</v>
      </c>
      <c r="AN85" s="123">
        <f t="shared" si="45"/>
        <v>4</v>
      </c>
      <c r="AP85" s="123">
        <f>AN85/AN92*10000+AM85/AM92*1000+AI85/AI92*100+IF(AQ85=0,ROW(),AQ85)/2000000</f>
        <v>8821.4294016435706</v>
      </c>
      <c r="AQ85" s="126">
        <f t="shared" si="37"/>
        <v>1660.43</v>
      </c>
      <c r="AR85" s="125" t="str">
        <f t="shared" si="50"/>
        <v>ACEF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8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6542.857950507143</v>
      </c>
      <c r="AQ86" s="126">
        <f t="shared" si="37"/>
        <v>1615.3</v>
      </c>
      <c r="AR86" s="125" t="str">
        <f t="shared" si="50"/>
        <v>ACEFG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5 - 7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5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6</v>
      </c>
      <c r="AJ87" s="123">
        <f t="shared" si="42"/>
        <v>7</v>
      </c>
      <c r="AK87" s="123" t="s">
        <v>3188</v>
      </c>
      <c r="AL87" s="123">
        <f t="shared" si="43"/>
        <v>-1</v>
      </c>
      <c r="AM87" s="123">
        <f t="shared" si="44"/>
        <v>5</v>
      </c>
      <c r="AN87" s="123">
        <f t="shared" si="45"/>
        <v>3</v>
      </c>
      <c r="AP87" s="123">
        <f>AN87/AN92*10000+AM87/AM92*1000+AI87/AI92*100+IF(AQ87=0,ROW(),AQ87)/2000000</f>
        <v>6710.7149964292857</v>
      </c>
      <c r="AQ87" s="126">
        <f t="shared" si="37"/>
        <v>1421.43</v>
      </c>
      <c r="AR87" s="125" t="str">
        <f t="shared" si="50"/>
        <v>ACEFGH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7</v>
      </c>
      <c r="AK88" s="123" t="s">
        <v>3189</v>
      </c>
      <c r="AL88" s="123">
        <f t="shared" si="43"/>
        <v>-2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6571.4294159235715</v>
      </c>
      <c r="AQ88" s="126">
        <f t="shared" si="37"/>
        <v>1688.99</v>
      </c>
      <c r="AR88" s="125" t="str">
        <f t="shared" si="50"/>
        <v>ACEFGHI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2</v>
      </c>
      <c r="AJ89" s="123">
        <f t="shared" si="42"/>
        <v>8</v>
      </c>
      <c r="AK89" s="123" t="s">
        <v>3190</v>
      </c>
      <c r="AL89" s="123">
        <f t="shared" si="43"/>
        <v>-6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2028.5722107014287</v>
      </c>
      <c r="AQ89" s="126">
        <f t="shared" si="37"/>
        <v>1564.26</v>
      </c>
      <c r="AR89" s="125" t="str">
        <f t="shared" si="50"/>
        <v>ACEFGHI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7</v>
      </c>
      <c r="AK90" s="123" t="s">
        <v>3191</v>
      </c>
      <c r="AL90" s="123">
        <f t="shared" si="43"/>
        <v>-5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6153.572167746428</v>
      </c>
      <c r="AQ90" s="126">
        <f t="shared" si="37"/>
        <v>1478.35</v>
      </c>
      <c r="AR90" s="125" t="str">
        <f t="shared" si="50"/>
        <v>ACEFGHI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4</v>
      </c>
      <c r="AP91" s="123">
        <f>AN91/AN92*10000+AM91/AM92*1000+AI91/AI92*100+IF(AQ91=0,ROW(),AQ91)/2000000</f>
        <v>8792.8578160121433</v>
      </c>
      <c r="AQ91" s="126">
        <f t="shared" si="37"/>
        <v>1346.31</v>
      </c>
      <c r="AR91" s="125" t="str">
        <f t="shared" si="50"/>
        <v>ACEFGHIL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-6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227</v>
      </c>
      <c r="C3" s="121" t="str">
        <f>'2026 World Cup'!AR91</f>
        <v>ACEFGHIL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Isaac Firgaira Gómez</cp:lastModifiedBy>
  <cp:revision/>
  <dcterms:created xsi:type="dcterms:W3CDTF">2017-12-27T19:32:51Z</dcterms:created>
  <dcterms:modified xsi:type="dcterms:W3CDTF">2026-06-07T12:53:56Z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