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518C869A-F1F9-4E69-80B6-F27D6E58CC99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AA14" i="3" s="1"/>
  <c r="E57" i="3"/>
  <c r="E32" i="3"/>
  <c r="H14" i="3"/>
  <c r="H55" i="3"/>
  <c r="E13" i="3"/>
  <c r="E56" i="3"/>
  <c r="H13" i="3"/>
  <c r="H56" i="3"/>
  <c r="E11" i="3"/>
  <c r="E55" i="3"/>
  <c r="AA55" i="3" s="1"/>
  <c r="H11" i="3"/>
  <c r="H65" i="3"/>
  <c r="E37" i="3"/>
  <c r="E10" i="3"/>
  <c r="E66" i="3"/>
  <c r="H38" i="3"/>
  <c r="H10" i="3"/>
  <c r="H66" i="3"/>
  <c r="H37" i="3"/>
  <c r="E65" i="3"/>
  <c r="AA65" i="3" s="1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AA72" i="3" s="1"/>
  <c r="E43" i="3"/>
  <c r="H19" i="3"/>
  <c r="H67" i="3"/>
  <c r="E48" i="3"/>
  <c r="E23" i="3"/>
  <c r="E68" i="3"/>
  <c r="H47" i="3"/>
  <c r="H23" i="3"/>
  <c r="E67" i="3"/>
  <c r="E47" i="3"/>
  <c r="AA47" i="3" s="1"/>
  <c r="H24" i="3"/>
  <c r="H76" i="3"/>
  <c r="E49" i="3"/>
  <c r="E25" i="3"/>
  <c r="E75" i="3"/>
  <c r="H50" i="3"/>
  <c r="H25" i="3"/>
  <c r="H75" i="3"/>
  <c r="H49" i="3"/>
  <c r="E26" i="3"/>
  <c r="E76" i="3"/>
  <c r="E50" i="3"/>
  <c r="AA50" i="3" s="1"/>
  <c r="H26" i="3"/>
  <c r="E78" i="3"/>
  <c r="H54" i="3"/>
  <c r="H29" i="3"/>
  <c r="H78" i="3"/>
  <c r="H53" i="3"/>
  <c r="E30" i="3"/>
  <c r="AA30" i="3" s="1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H8" i="3"/>
  <c r="H22" i="3"/>
  <c r="H12" i="3"/>
  <c r="E22" i="3"/>
  <c r="H9" i="3"/>
  <c r="AA9" i="3" s="1"/>
  <c r="D7" i="3"/>
  <c r="AA76" i="3" l="1"/>
  <c r="AA37" i="3"/>
  <c r="AA12" i="3"/>
  <c r="AA27" i="3"/>
  <c r="AA33" i="3"/>
  <c r="AA49" i="3"/>
  <c r="AA23" i="3"/>
  <c r="AA48" i="3"/>
  <c r="AA40" i="3"/>
  <c r="AA16" i="3"/>
  <c r="AA66" i="3"/>
  <c r="AA71" i="3"/>
  <c r="AA52" i="3"/>
  <c r="AA15" i="3"/>
  <c r="AA67" i="3"/>
  <c r="AA13" i="3"/>
  <c r="AA28" i="3"/>
  <c r="AA78" i="3"/>
  <c r="AA46" i="3"/>
  <c r="AA54" i="3"/>
  <c r="AA75" i="3"/>
  <c r="AA19" i="3"/>
  <c r="AA70" i="3"/>
  <c r="AA34" i="3"/>
  <c r="AA51" i="3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T41" i="3"/>
  <c r="S40" i="3"/>
  <c r="S62" i="3"/>
  <c r="S38" i="3"/>
  <c r="S65" i="3"/>
  <c r="S55" i="3"/>
  <c r="S57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9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9" i="3" l="1"/>
  <c r="AR10" i="3"/>
  <c r="AR11" i="3"/>
  <c r="AR28" i="3"/>
  <c r="AR33" i="3"/>
  <c r="AR34" i="3"/>
  <c r="AR35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9" i="3"/>
  <c r="AD11" i="3"/>
  <c r="AD8" i="3"/>
  <c r="AD10" i="3"/>
  <c r="AD75" i="3"/>
  <c r="AD20" i="3"/>
  <c r="AD32" i="3"/>
  <c r="AD41" i="3"/>
  <c r="AD53" i="3"/>
  <c r="O60" i="3"/>
  <c r="L58" i="3"/>
  <c r="AD28" i="3"/>
  <c r="AD14" i="3"/>
  <c r="AD68" i="3"/>
  <c r="O69" i="3" s="1"/>
  <c r="AD15" i="3"/>
  <c r="AD22" i="3"/>
  <c r="AD74" i="3"/>
  <c r="AD27" i="3"/>
  <c r="AD70" i="3"/>
  <c r="AD44" i="3"/>
  <c r="AD77" i="3"/>
  <c r="AD63" i="3"/>
  <c r="AD34" i="3"/>
  <c r="M59" i="3"/>
  <c r="AD76" i="3"/>
  <c r="AD33" i="3"/>
  <c r="AD29" i="3"/>
  <c r="AD71" i="3"/>
  <c r="L59" i="3"/>
  <c r="AD21" i="3"/>
  <c r="AD47" i="3"/>
  <c r="AD35" i="3"/>
  <c r="N58" i="3"/>
  <c r="AD26" i="3"/>
  <c r="AD62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N59" i="3"/>
  <c r="AD17" i="3"/>
  <c r="M27" i="3" l="1"/>
  <c r="M9" i="3"/>
  <c r="P58" i="3"/>
  <c r="M75" i="3"/>
  <c r="O63" i="3"/>
  <c r="J45" i="3"/>
  <c r="AS44" i="3" s="1"/>
  <c r="BL38" i="3" s="1"/>
  <c r="O11" i="3"/>
  <c r="L12" i="3"/>
  <c r="J39" i="3"/>
  <c r="AS38" i="3" s="1"/>
  <c r="BL22" i="3" s="1"/>
  <c r="O12" i="3"/>
  <c r="O9" i="3"/>
  <c r="N9" i="3"/>
  <c r="N69" i="3"/>
  <c r="J69" i="3"/>
  <c r="AS68" i="3" s="1"/>
  <c r="BL70" i="3" s="1"/>
  <c r="M69" i="3"/>
  <c r="L11" i="3"/>
  <c r="N10" i="3"/>
  <c r="O33" i="3"/>
  <c r="L69" i="3"/>
  <c r="J21" i="3"/>
  <c r="AS20" i="3" s="1"/>
  <c r="BL42" i="3" s="1"/>
  <c r="BS44" i="3" s="1"/>
  <c r="L33" i="3"/>
  <c r="N33" i="3"/>
  <c r="O78" i="3"/>
  <c r="M11" i="3"/>
  <c r="N11" i="3"/>
  <c r="L9" i="3"/>
  <c r="P9" i="3" s="1"/>
  <c r="N12" i="3"/>
  <c r="N76" i="3"/>
  <c r="J10" i="3"/>
  <c r="AS9" i="3" s="1"/>
  <c r="BL18" i="3" s="1"/>
  <c r="J12" i="3"/>
  <c r="M10" i="3"/>
  <c r="L10" i="3"/>
  <c r="M12" i="3"/>
  <c r="O10" i="3"/>
  <c r="J9" i="3"/>
  <c r="AS8" i="3" s="1"/>
  <c r="BL50" i="3" s="1"/>
  <c r="J11" i="3"/>
  <c r="AE80" i="3" s="1"/>
  <c r="AQ80" i="3" s="1"/>
  <c r="M33" i="3"/>
  <c r="M21" i="3"/>
  <c r="N21" i="3"/>
  <c r="O21" i="3"/>
  <c r="L21" i="3"/>
  <c r="L36" i="3"/>
  <c r="J33" i="3"/>
  <c r="AS32" i="3" s="1"/>
  <c r="BL10" i="3" s="1"/>
  <c r="J36" i="3"/>
  <c r="N36" i="3"/>
  <c r="N16" i="3"/>
  <c r="L30" i="3"/>
  <c r="M16" i="3"/>
  <c r="L65" i="3"/>
  <c r="N63" i="3"/>
  <c r="N70" i="3"/>
  <c r="J64" i="3"/>
  <c r="AS63" i="3" s="1"/>
  <c r="BL31" i="3" s="1"/>
  <c r="M46" i="3"/>
  <c r="AF88" i="3"/>
  <c r="M40" i="3"/>
  <c r="O18" i="3"/>
  <c r="M18" i="3"/>
  <c r="J16" i="3"/>
  <c r="AS15" i="3" s="1"/>
  <c r="BL19" i="3" s="1"/>
  <c r="J18" i="3"/>
  <c r="M35" i="3"/>
  <c r="L16" i="3"/>
  <c r="O16" i="3"/>
  <c r="N17" i="3"/>
  <c r="N34" i="3"/>
  <c r="L18" i="3"/>
  <c r="O27" i="3"/>
  <c r="N29" i="3"/>
  <c r="N18" i="3"/>
  <c r="M29" i="3"/>
  <c r="AN88" i="3"/>
  <c r="L24" i="3"/>
  <c r="J75" i="3"/>
  <c r="AS74" i="3" s="1"/>
  <c r="BL54" i="3" s="1"/>
  <c r="N75" i="3"/>
  <c r="O75" i="3"/>
  <c r="M78" i="3"/>
  <c r="N78" i="3"/>
  <c r="L76" i="3"/>
  <c r="L75" i="3"/>
  <c r="L78" i="3"/>
  <c r="M77" i="3"/>
  <c r="M76" i="3"/>
  <c r="J76" i="3"/>
  <c r="AS75" i="3" s="1"/>
  <c r="BL27" i="3" s="1"/>
  <c r="J78" i="3"/>
  <c r="O76" i="3"/>
  <c r="M63" i="3"/>
  <c r="AJ88" i="3"/>
  <c r="N66" i="3"/>
  <c r="J63" i="3"/>
  <c r="AS62" i="3" s="1"/>
  <c r="BL58" i="3" s="1"/>
  <c r="BS60" i="3" s="1"/>
  <c r="BZ64" i="3" s="1"/>
  <c r="L63" i="3"/>
  <c r="AI88" i="3"/>
  <c r="N72" i="3"/>
  <c r="J65" i="3"/>
  <c r="AE89" i="3" s="1"/>
  <c r="AQ89" i="3" s="1"/>
  <c r="O64" i="3"/>
  <c r="K58" i="3"/>
  <c r="M72" i="3"/>
  <c r="J35" i="3"/>
  <c r="AE84" i="3" s="1"/>
  <c r="AQ84" i="3" s="1"/>
  <c r="M24" i="3"/>
  <c r="P59" i="3"/>
  <c r="L17" i="3"/>
  <c r="M17" i="3"/>
  <c r="O17" i="3"/>
  <c r="J52" i="3"/>
  <c r="AS51" i="3" s="1"/>
  <c r="BL59" i="3" s="1"/>
  <c r="L29" i="3"/>
  <c r="M34" i="3"/>
  <c r="O30" i="3"/>
  <c r="N27" i="3"/>
  <c r="AG88" i="3"/>
  <c r="J27" i="3"/>
  <c r="AS26" i="3" s="1"/>
  <c r="BL34" i="3" s="1"/>
  <c r="M36" i="3"/>
  <c r="M30" i="3"/>
  <c r="J30" i="3"/>
  <c r="N35" i="3"/>
  <c r="M28" i="3"/>
  <c r="O36" i="3"/>
  <c r="O28" i="3"/>
  <c r="O35" i="3"/>
  <c r="L28" i="3"/>
  <c r="AT88" i="3"/>
  <c r="N54" i="3"/>
  <c r="N77" i="3"/>
  <c r="J77" i="3"/>
  <c r="AE91" i="3" s="1"/>
  <c r="AQ91" i="3" s="1"/>
  <c r="J51" i="3"/>
  <c r="AS50" i="3" s="1"/>
  <c r="BL30" i="3" s="1"/>
  <c r="N46" i="3"/>
  <c r="N53" i="3"/>
  <c r="L51" i="3"/>
  <c r="L54" i="3"/>
  <c r="M51" i="3"/>
  <c r="N52" i="3"/>
  <c r="M54" i="3"/>
  <c r="O51" i="3"/>
  <c r="O77" i="3"/>
  <c r="N51" i="3"/>
  <c r="L77" i="3"/>
  <c r="J46" i="3"/>
  <c r="AS45" i="3" s="1"/>
  <c r="BL63" i="3" s="1"/>
  <c r="M71" i="3"/>
  <c r="J72" i="3"/>
  <c r="L71" i="3"/>
  <c r="N48" i="3"/>
  <c r="L47" i="3"/>
  <c r="M39" i="3"/>
  <c r="J40" i="3"/>
  <c r="AS39" i="3" s="1"/>
  <c r="BL43" i="3" s="1"/>
  <c r="N65" i="3"/>
  <c r="J71" i="3"/>
  <c r="AE90" i="3" s="1"/>
  <c r="AQ90" i="3" s="1"/>
  <c r="O72" i="3"/>
  <c r="O70" i="3"/>
  <c r="O47" i="3"/>
  <c r="N47" i="3"/>
  <c r="L40" i="3"/>
  <c r="J42" i="3"/>
  <c r="L42" i="3"/>
  <c r="M70" i="3"/>
  <c r="N45" i="3"/>
  <c r="L70" i="3"/>
  <c r="O46" i="3"/>
  <c r="J47" i="3"/>
  <c r="AE86" i="3" s="1"/>
  <c r="AQ86" i="3" s="1"/>
  <c r="L39" i="3"/>
  <c r="M41" i="3"/>
  <c r="O71" i="3"/>
  <c r="M47" i="3"/>
  <c r="M45" i="3"/>
  <c r="J48" i="3"/>
  <c r="O40" i="3"/>
  <c r="L72" i="3"/>
  <c r="J70" i="3"/>
  <c r="AS69" i="3" s="1"/>
  <c r="BL26" i="3" s="1"/>
  <c r="N71" i="3"/>
  <c r="O45" i="3"/>
  <c r="L46" i="3"/>
  <c r="N40" i="3"/>
  <c r="N39" i="3"/>
  <c r="L45" i="3"/>
  <c r="O39" i="3"/>
  <c r="M65" i="3"/>
  <c r="P57" i="3"/>
  <c r="N24" i="3"/>
  <c r="L64" i="3"/>
  <c r="O48" i="3"/>
  <c r="J34" i="3"/>
  <c r="AS33" i="3" s="1"/>
  <c r="BL46" i="3" s="1"/>
  <c r="BS45" i="3" s="1"/>
  <c r="BZ48" i="3" s="1"/>
  <c r="J66" i="3"/>
  <c r="N64" i="3"/>
  <c r="M22" i="3"/>
  <c r="O66" i="3"/>
  <c r="O23" i="3"/>
  <c r="O65" i="3"/>
  <c r="O22" i="3"/>
  <c r="J24" i="3"/>
  <c r="M66" i="3"/>
  <c r="M64" i="3"/>
  <c r="L48" i="3"/>
  <c r="O42" i="3"/>
  <c r="L35" i="3"/>
  <c r="N30" i="3"/>
  <c r="L27" i="3"/>
  <c r="J28" i="3"/>
  <c r="AS27" i="3" s="1"/>
  <c r="BL62" i="3" s="1"/>
  <c r="BS61" i="3" s="1"/>
  <c r="O24" i="3"/>
  <c r="L15" i="3"/>
  <c r="O54" i="3"/>
  <c r="K57" i="3"/>
  <c r="L66" i="3"/>
  <c r="M48" i="3"/>
  <c r="J41" i="3"/>
  <c r="AE85" i="3" s="1"/>
  <c r="AQ85" i="3" s="1"/>
  <c r="N28" i="3"/>
  <c r="O29" i="3"/>
  <c r="J29" i="3"/>
  <c r="AE83" i="3" s="1"/>
  <c r="AQ83" i="3" s="1"/>
  <c r="L22" i="3"/>
  <c r="P22" i="3" s="1"/>
  <c r="J22" i="3"/>
  <c r="AS21" i="3" s="1"/>
  <c r="BL23" i="3" s="1"/>
  <c r="L34" i="3"/>
  <c r="M42" i="3"/>
  <c r="O34" i="3"/>
  <c r="N22" i="3"/>
  <c r="L23" i="3"/>
  <c r="K59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91" i="3" l="1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P27" i="3"/>
  <c r="P11" i="3"/>
  <c r="P10" i="3"/>
  <c r="K11" i="3"/>
  <c r="P69" i="3"/>
  <c r="P39" i="3"/>
  <c r="K12" i="3"/>
  <c r="P21" i="3"/>
  <c r="K69" i="3"/>
  <c r="P12" i="3"/>
  <c r="AI89" i="3"/>
  <c r="AT80" i="3"/>
  <c r="AN80" i="3"/>
  <c r="AL80" i="3"/>
  <c r="AI80" i="3"/>
  <c r="AJ80" i="3"/>
  <c r="AH80" i="3"/>
  <c r="AG80" i="3"/>
  <c r="AF80" i="3"/>
  <c r="P33" i="3"/>
  <c r="K33" i="3"/>
  <c r="K10" i="3"/>
  <c r="K21" i="3"/>
  <c r="K9" i="3"/>
  <c r="P46" i="3"/>
  <c r="K36" i="3"/>
  <c r="AJ89" i="3"/>
  <c r="P18" i="3"/>
  <c r="K18" i="3"/>
  <c r="P65" i="3"/>
  <c r="P78" i="3"/>
  <c r="AJ84" i="3"/>
  <c r="AI90" i="3"/>
  <c r="AF84" i="3"/>
  <c r="AH90" i="3"/>
  <c r="AT84" i="3"/>
  <c r="P24" i="3"/>
  <c r="AN84" i="3"/>
  <c r="AG90" i="3"/>
  <c r="P34" i="3"/>
  <c r="P35" i="3"/>
  <c r="AL84" i="3"/>
  <c r="AT85" i="3"/>
  <c r="AF90" i="3"/>
  <c r="P77" i="3"/>
  <c r="P51" i="3"/>
  <c r="P16" i="3"/>
  <c r="P40" i="3"/>
  <c r="AN85" i="3"/>
  <c r="AI84" i="3"/>
  <c r="AJ85" i="3"/>
  <c r="AN90" i="3"/>
  <c r="K17" i="3"/>
  <c r="AH84" i="3"/>
  <c r="AI85" i="3"/>
  <c r="AL90" i="3"/>
  <c r="K45" i="3"/>
  <c r="AT90" i="3"/>
  <c r="AG84" i="3"/>
  <c r="AJ90" i="3"/>
  <c r="P70" i="3"/>
  <c r="P71" i="3"/>
  <c r="K78" i="3"/>
  <c r="K27" i="3"/>
  <c r="AF91" i="3"/>
  <c r="P23" i="3"/>
  <c r="P45" i="3"/>
  <c r="AL91" i="3"/>
  <c r="K24" i="3"/>
  <c r="P54" i="3"/>
  <c r="K75" i="3"/>
  <c r="AG87" i="3"/>
  <c r="AH91" i="3"/>
  <c r="K29" i="3"/>
  <c r="P29" i="3"/>
  <c r="K16" i="3"/>
  <c r="AN87" i="3"/>
  <c r="AJ91" i="3"/>
  <c r="AJ87" i="3"/>
  <c r="K70" i="3"/>
  <c r="P17" i="3"/>
  <c r="AH87" i="3"/>
  <c r="AI91" i="3"/>
  <c r="AF87" i="3"/>
  <c r="AG91" i="3"/>
  <c r="K71" i="3"/>
  <c r="P28" i="3"/>
  <c r="P63" i="3"/>
  <c r="P76" i="3"/>
  <c r="AT91" i="3"/>
  <c r="AT87" i="3"/>
  <c r="AN91" i="3"/>
  <c r="K63" i="3"/>
  <c r="P36" i="3"/>
  <c r="K76" i="3"/>
  <c r="AI81" i="3"/>
  <c r="K30" i="3"/>
  <c r="K77" i="3"/>
  <c r="K28" i="3"/>
  <c r="P75" i="3"/>
  <c r="P30" i="3"/>
  <c r="P72" i="3"/>
  <c r="AH89" i="3"/>
  <c r="AG89" i="3"/>
  <c r="AF89" i="3"/>
  <c r="AN82" i="3"/>
  <c r="AT89" i="3"/>
  <c r="AN89" i="3"/>
  <c r="AL89" i="3"/>
  <c r="P66" i="3"/>
  <c r="K41" i="3"/>
  <c r="AT81" i="3"/>
  <c r="AN81" i="3"/>
  <c r="P41" i="3"/>
  <c r="AL81" i="3"/>
  <c r="AG81" i="3"/>
  <c r="K39" i="3"/>
  <c r="K51" i="3"/>
  <c r="AF81" i="3"/>
  <c r="K46" i="3"/>
  <c r="P42" i="3"/>
  <c r="K54" i="3"/>
  <c r="AF82" i="3"/>
  <c r="AT82" i="3"/>
  <c r="K40" i="3"/>
  <c r="AG86" i="3"/>
  <c r="K22" i="3"/>
  <c r="K42" i="3"/>
  <c r="K53" i="3"/>
  <c r="K34" i="3"/>
  <c r="AL87" i="3"/>
  <c r="K66" i="3"/>
  <c r="P15" i="3"/>
  <c r="K47" i="3"/>
  <c r="K35" i="3"/>
  <c r="AF86" i="3"/>
  <c r="AI83" i="3"/>
  <c r="K72" i="3"/>
  <c r="AI86" i="3"/>
  <c r="AH86" i="3"/>
  <c r="K48" i="3"/>
  <c r="K64" i="3"/>
  <c r="AT86" i="3"/>
  <c r="P47" i="3"/>
  <c r="AT83" i="3"/>
  <c r="AN86" i="3"/>
  <c r="AN83" i="3"/>
  <c r="AL86" i="3"/>
  <c r="AJ83" i="3"/>
  <c r="AJ86" i="3"/>
  <c r="P64" i="3"/>
  <c r="AL83" i="3"/>
  <c r="AL85" i="3"/>
  <c r="K15" i="3"/>
  <c r="AJ82" i="3"/>
  <c r="AH83" i="3"/>
  <c r="AH85" i="3"/>
  <c r="K65" i="3"/>
  <c r="AI82" i="3"/>
  <c r="AG83" i="3"/>
  <c r="AG85" i="3"/>
  <c r="AH82" i="3"/>
  <c r="AF83" i="3"/>
  <c r="AF85" i="3"/>
  <c r="P48" i="3"/>
  <c r="AJ81" i="3"/>
  <c r="AG82" i="3"/>
  <c r="K23" i="3"/>
  <c r="P52" i="3"/>
  <c r="AH81" i="3"/>
  <c r="P53" i="3"/>
  <c r="AL82" i="3"/>
  <c r="AI87" i="3"/>
  <c r="K52" i="3"/>
  <c r="BZ17" i="3" l="1"/>
  <c r="U102" i="3" s="1"/>
  <c r="AC102" i="3" s="1" a="1"/>
  <c r="AC102" i="3" s="1"/>
  <c r="S96" i="3"/>
  <c r="T96" i="3" s="1" a="1"/>
  <c r="T96" i="3" s="1"/>
  <c r="S98" i="3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AI92" i="3"/>
  <c r="AF92" i="3"/>
  <c r="AN92" i="3"/>
  <c r="AH92" i="3"/>
  <c r="AL92" i="3"/>
  <c r="AM88" i="3" s="1"/>
  <c r="AJ92" i="3"/>
  <c r="AG92" i="3"/>
  <c r="AS92" i="3"/>
  <c r="S103" i="3" l="1"/>
  <c r="T103" i="3" s="1" a="1"/>
  <c r="T103" i="3" s="1"/>
  <c r="CG24" i="3"/>
  <c r="S111" i="3" s="1"/>
  <c r="T111" i="3" s="1"/>
  <c r="AM84" i="3"/>
  <c r="AM85" i="3"/>
  <c r="AM86" i="3"/>
  <c r="AM87" i="3"/>
  <c r="AM81" i="3"/>
  <c r="AM80" i="3"/>
  <c r="AM91" i="3"/>
  <c r="AM83" i="3"/>
  <c r="AM89" i="3"/>
  <c r="AM82" i="3"/>
  <c r="AM90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91" i="3"/>
  <c r="AP90" i="3"/>
  <c r="AP89" i="3"/>
  <c r="AP82" i="3"/>
  <c r="AP88" i="3"/>
  <c r="AP86" i="3"/>
  <c r="AP80" i="3"/>
  <c r="AP85" i="3"/>
  <c r="AP84" i="3"/>
  <c r="AP83" i="3"/>
  <c r="AP81" i="3"/>
  <c r="CN37" i="3" l="1"/>
  <c r="CK68" i="3" s="1"/>
  <c r="CN48" i="3"/>
  <c r="AD83" i="3"/>
  <c r="AS83" i="3" s="1"/>
  <c r="AD85" i="3"/>
  <c r="AS85" i="3" s="1"/>
  <c r="AD82" i="3"/>
  <c r="AS82" i="3" s="1"/>
  <c r="AD81" i="3"/>
  <c r="AS81" i="3" s="1"/>
  <c r="AD91" i="3"/>
  <c r="AS91" i="3" s="1"/>
  <c r="AD80" i="3"/>
  <c r="AS80" i="3" s="1"/>
  <c r="AD90" i="3"/>
  <c r="AS90" i="3" s="1"/>
  <c r="AD84" i="3"/>
  <c r="AS84" i="3" s="1"/>
  <c r="AD89" i="3"/>
  <c r="AS89" i="3" s="1"/>
  <c r="AD86" i="3"/>
  <c r="AS86" i="3" s="1"/>
  <c r="AD87" i="3"/>
  <c r="AS87" i="3" s="1"/>
  <c r="AD88" i="3"/>
  <c r="AS88" i="3" s="1"/>
  <c r="N92" i="3" l="1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L92" i="3"/>
  <c r="N81" i="3"/>
  <c r="N90" i="3"/>
  <c r="N88" i="3"/>
  <c r="M81" i="3"/>
  <c r="N86" i="3"/>
  <c r="L86" i="3"/>
  <c r="O83" i="3"/>
  <c r="M86" i="3"/>
  <c r="M83" i="3"/>
  <c r="L81" i="3"/>
  <c r="M88" i="3"/>
  <c r="J90" i="3"/>
  <c r="N87" i="3"/>
  <c r="J88" i="3"/>
  <c r="J87" i="3"/>
  <c r="M90" i="3"/>
  <c r="L88" i="3"/>
  <c r="O92" i="3"/>
  <c r="J83" i="3"/>
  <c r="M92" i="3"/>
  <c r="M87" i="3"/>
  <c r="L90" i="3"/>
  <c r="O81" i="3"/>
  <c r="O86" i="3"/>
  <c r="L87" i="3"/>
  <c r="J81" i="3"/>
  <c r="O88" i="3"/>
  <c r="J89" i="3"/>
  <c r="J91" i="3"/>
  <c r="M89" i="3"/>
  <c r="O82" i="3"/>
  <c r="O89" i="3"/>
  <c r="M91" i="3"/>
  <c r="L91" i="3"/>
  <c r="N91" i="3"/>
  <c r="L84" i="3"/>
  <c r="M82" i="3"/>
  <c r="O84" i="3"/>
  <c r="J82" i="3"/>
  <c r="L82" i="3"/>
  <c r="L89" i="3"/>
  <c r="L85" i="3"/>
  <c r="J84" i="3"/>
  <c r="O85" i="3"/>
  <c r="M84" i="3"/>
  <c r="N89" i="3"/>
  <c r="J86" i="3"/>
  <c r="O87" i="3"/>
  <c r="O91" i="3"/>
  <c r="J85" i="3"/>
  <c r="N85" i="3"/>
  <c r="N82" i="3"/>
  <c r="L83" i="3"/>
  <c r="N83" i="3"/>
  <c r="M85" i="3"/>
  <c r="J92" i="3"/>
  <c r="O90" i="3"/>
  <c r="N84" i="3"/>
  <c r="P83" i="3" l="1"/>
  <c r="P88" i="3"/>
  <c r="P91" i="3"/>
  <c r="P86" i="3"/>
  <c r="P92" i="3"/>
  <c r="K86" i="3"/>
  <c r="K92" i="3"/>
  <c r="H3" i="4"/>
  <c r="BL39" i="3" s="1"/>
  <c r="K3" i="4"/>
  <c r="BL55" i="3" s="1"/>
  <c r="K81" i="3"/>
  <c r="D3" i="4"/>
  <c r="BL51" i="3" s="1"/>
  <c r="I3" i="4"/>
  <c r="BL15" i="3" s="1"/>
  <c r="J3" i="4"/>
  <c r="BL71" i="3" s="1"/>
  <c r="P81" i="3"/>
  <c r="G3" i="4"/>
  <c r="BL11" i="3" s="1"/>
  <c r="E3" i="4"/>
  <c r="BL67" i="3" s="1"/>
  <c r="B3" i="4"/>
  <c r="K88" i="3"/>
  <c r="K90" i="3"/>
  <c r="P82" i="3"/>
  <c r="K87" i="3"/>
  <c r="P89" i="3"/>
  <c r="K82" i="3"/>
  <c r="P84" i="3"/>
  <c r="P85" i="3"/>
  <c r="P87" i="3"/>
  <c r="P90" i="3"/>
  <c r="K85" i="3"/>
  <c r="K83" i="3"/>
  <c r="K84" i="3"/>
  <c r="K89" i="3"/>
  <c r="K91" i="3"/>
  <c r="BS53" i="3"/>
  <c r="BS52" i="3"/>
  <c r="BS69" i="3"/>
  <c r="BZ65" i="3" s="1"/>
  <c r="CG56" i="3" s="1"/>
  <c r="CN49" i="3" s="1"/>
  <c r="BS68" i="3"/>
  <c r="BZ49" i="3" l="1"/>
  <c r="CG55" i="3" s="1"/>
  <c r="CN3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<sst xmlns="http://schemas.openxmlformats.org/spreadsheetml/2006/main" count="9786" uniqueCount="3699">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</sst>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4" sqref="C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1508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Spain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24" zoomScaleNormal="100" workbookViewId="0">
      <selection activeCell="CS35" sqref="CS35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2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0</v>
      </c>
      <c r="AH8" s="123">
        <f>COUNTIF($S$7:$T$78,"=" &amp; AE8 &amp; "_lose")</f>
        <v>1</v>
      </c>
      <c r="AI8" s="123">
        <f>SUMIF($E$7:$E$78,$AE8,$F$7:$F$78) + SUMIF($H$7:$H$78,$AE8,$G$7:$G$78)</f>
        <v>6</v>
      </c>
      <c r="AJ8" s="123">
        <f>SUMIF($E$7:$E$78,$AE8,$G$7:$G$78) + SUMIF($H$7:$H$78,$AE8,$F$7:$F$78)</f>
        <v>3</v>
      </c>
      <c r="AL8" s="123">
        <f>AI8-AJ8</f>
        <v>3</v>
      </c>
      <c r="AM8" s="123">
        <f>AL8-AL12</f>
        <v>9</v>
      </c>
      <c r="AN8" s="123">
        <f>AF8*3+AG8</f>
        <v>6</v>
      </c>
      <c r="AO8" s="123">
        <f>AN8/AN12*10+BA8</f>
        <v>7.5</v>
      </c>
      <c r="AP8" s="123">
        <f>AO8*10000000+BI8*100+AM8/AM12*10+AI8/AI12*1++IF(AQ8=0,ROW(),AQ8)/2000000</f>
        <v>75000009.857983366</v>
      </c>
      <c r="AQ8" s="126">
        <f>VLOOKUP(AE8,db_fifarank,2,FALSE)</f>
        <v>1681.03</v>
      </c>
      <c r="AR8" s="125">
        <f>AP8/AP12</f>
        <v>0.85714286484147373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6</v>
      </c>
      <c r="AL9" s="123">
        <f>AI9-AJ9</f>
        <v>-6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8.1698847138175002E-12</v>
      </c>
      <c r="AS9" s="125" t="str">
        <f>IF(SUM(AF8:AH11)=12,J10,"2A")</f>
        <v>Mexico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3</v>
      </c>
      <c r="H10" s="80" t="str">
        <f>AE27</f>
        <v>Paraguay</v>
      </c>
      <c r="J10" s="33" t="str">
        <f>VLOOKUP(2,AD8:AN11,2,FALSE)</f>
        <v>Mexico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6 - 3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States_lose</v>
      </c>
      <c r="T10" s="127" t="str">
        <f t="shared" si="2"/>
        <v>Paraguay_win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-1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2</v>
      </c>
      <c r="AL10" s="123">
        <f>AI10-AJ10</f>
        <v>3</v>
      </c>
      <c r="AM10" s="123">
        <f>AL10-AL12</f>
        <v>9</v>
      </c>
      <c r="AN10" s="123">
        <f>AF10*3+AG10</f>
        <v>7</v>
      </c>
      <c r="AO10" s="123">
        <f>AN10/AN12*10+BA10</f>
        <v>8.75</v>
      </c>
      <c r="AP10" s="123">
        <f>AO10*10000000+BI10*100+AM10/AM12*10+AI10/AI12*1++IF(AQ10=0,ROW(),AQ10)/2000000</f>
        <v>87500009.715080053</v>
      </c>
      <c r="AQ10" s="126">
        <f>VLOOKUP(AE10,db_fifarank,2,FALSE)</f>
        <v>1588.66</v>
      </c>
      <c r="AR10" s="125">
        <f>AP10/AP12</f>
        <v>0.99999998857143002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3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3000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4 - 4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4</v>
      </c>
      <c r="AL11" s="123">
        <f>AI11-AJ11</f>
        <v>0</v>
      </c>
      <c r="AM11" s="123">
        <f>AL11-AL12</f>
        <v>6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50000006.572179265</v>
      </c>
      <c r="AQ11" s="126">
        <f>VLOOKUP(AE11,db_fifarank,2,FALSE)</f>
        <v>1501.38</v>
      </c>
      <c r="AR11" s="125">
        <f>AP11/AP12</f>
        <v>0.57142857656315793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2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Australia_win</v>
      </c>
      <c r="T12" s="127" t="str">
        <f t="shared" si="2"/>
        <v>Turkey_lose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7</v>
      </c>
      <c r="AL12" s="123">
        <f>MIN(AL8:AL11)</f>
        <v>-6</v>
      </c>
      <c r="AM12" s="123">
        <f>MAX(AM8:AM11)+1</f>
        <v>10</v>
      </c>
      <c r="AN12" s="123">
        <f>MAX(AN8:AN11)+1</f>
        <v>8</v>
      </c>
      <c r="AO12" s="123">
        <f>MAX(AO8:AO11)+1</f>
        <v>9.75</v>
      </c>
      <c r="AP12" s="123">
        <f>MAX(AP8:AP11)+1</f>
        <v>87500010.715080053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3</v>
      </c>
      <c r="AL14" s="123">
        <f>AI14-AJ14</f>
        <v>0</v>
      </c>
      <c r="AM14" s="123">
        <f>AL14-AL18</f>
        <v>3</v>
      </c>
      <c r="AN14" s="123">
        <f>AF14*3+AG14</f>
        <v>4</v>
      </c>
      <c r="AO14" s="123">
        <f>AN14/AN18*10+BA14</f>
        <v>4</v>
      </c>
      <c r="AP14" s="123">
        <f>AO14*10000000+BI14*100+AM14/AM18*10+AI14/AI18*1++IF(AQ14=0,ROW(),AQ14)/2000000</f>
        <v>40000004.179349668</v>
      </c>
      <c r="AQ14" s="126">
        <f>VLOOKUP(AE14,db_fifarank,2,FALSE)</f>
        <v>1556.48</v>
      </c>
      <c r="AR14" s="125">
        <f>AP14/AP18</f>
        <v>0.44444443849663873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4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4000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2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6 - 2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5</v>
      </c>
      <c r="AL15" s="123">
        <f>AI15-AJ15</f>
        <v>-3</v>
      </c>
      <c r="AM15" s="123">
        <f>AL15-AL18</f>
        <v>0</v>
      </c>
      <c r="AN15" s="123">
        <f>AF15*3+AG15</f>
        <v>1</v>
      </c>
      <c r="AO15" s="123">
        <f>AN15/AN18*10+BA15</f>
        <v>1</v>
      </c>
      <c r="AP15" s="123">
        <f>AO15*10000000+BI15*100+AM15/AM18*10+AI15/AI18*1++IF(AQ15=0,ROW(),AQ15)/2000000</f>
        <v>10000000.286407206</v>
      </c>
      <c r="AQ15" s="126">
        <f>VLOOKUP(AE15,db_fifarank,2,FALSE)</f>
        <v>1385.84</v>
      </c>
      <c r="AR15" s="125">
        <f>AP15/AP18</f>
        <v>0.11111110119715834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Paraguay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3 - 3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3</v>
      </c>
      <c r="AL16" s="123">
        <f>AI16-AJ16</f>
        <v>-1</v>
      </c>
      <c r="AM16" s="123">
        <f>AL16-AL18</f>
        <v>2</v>
      </c>
      <c r="AN16" s="123">
        <f>AF16*3+AG16</f>
        <v>2</v>
      </c>
      <c r="AO16" s="123">
        <f>AN16/AN18*10+BA16</f>
        <v>2</v>
      </c>
      <c r="AP16" s="123">
        <f>AO16*10000000+BI16*100+AM16/AM18*10+AI16/AI18*1++IF(AQ16=0,ROW(),AQ16)/2000000</f>
        <v>20000002.786441766</v>
      </c>
      <c r="AQ16" s="126">
        <f>VLOOKUP(AE16,db_fifarank,2,FALSE)</f>
        <v>1454.96</v>
      </c>
      <c r="AR16" s="125">
        <f>AP16/AP18</f>
        <v>0.22222222699017324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2 - 3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2</v>
      </c>
      <c r="AL17" s="123">
        <f>AI17-AJ17</f>
        <v>4</v>
      </c>
      <c r="AM17" s="123">
        <f>AL17-AL18</f>
        <v>7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90000009.607967556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2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2 - 5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2</v>
      </c>
      <c r="W18" s="123">
        <f t="shared" si="4"/>
        <v>2</v>
      </c>
      <c r="X18" s="123">
        <f t="shared" si="9"/>
        <v>1</v>
      </c>
      <c r="Y18" s="123">
        <f t="shared" si="10"/>
        <v>2</v>
      </c>
      <c r="Z18" s="123">
        <f t="shared" si="11"/>
        <v>2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3</v>
      </c>
      <c r="AI18" s="123">
        <f>MAX(AI14:AI17)+1</f>
        <v>7</v>
      </c>
      <c r="AL18" s="123">
        <f>MIN(AL14:AL17)</f>
        <v>-3</v>
      </c>
      <c r="AM18" s="123">
        <f>MAX(AM14:AM17)+1</f>
        <v>8</v>
      </c>
      <c r="AN18" s="123">
        <f>MAX(AN14:AN17)+1</f>
        <v>10</v>
      </c>
      <c r="AO18" s="123">
        <f>MAX(AO14:AO17)+1</f>
        <v>10</v>
      </c>
      <c r="AP18" s="123">
        <f>MAX(AP14:AP17)+1</f>
        <v>90000010.607967556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Mexico</v>
      </c>
      <c r="BM18" s="61">
        <v>1</v>
      </c>
      <c r="BN18" s="63">
        <v>1</v>
      </c>
      <c r="BO18" s="25"/>
      <c r="BP18" s="112">
        <f>IF(OR(BM18="",BM19="",AND(BN18="",BN19&lt;&gt;""),AND(BN19="",BN18&lt;&gt;""),AND(BO18="",BO19&lt;&gt;""),AND(BO19="",BO18&lt;&gt;"")),"",BM18*1000+BN18*10+BO18)</f>
        <v>1010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1</v>
      </c>
      <c r="BN19" s="64">
        <v>0</v>
      </c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1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2</v>
      </c>
      <c r="AL20" s="123">
        <f>AI20-AJ20</f>
        <v>5</v>
      </c>
      <c r="AM20" s="123">
        <f>AL20-AL24</f>
        <v>15</v>
      </c>
      <c r="AN20" s="123">
        <f>AF20*3+AG20</f>
        <v>7</v>
      </c>
      <c r="AO20" s="123">
        <f>AN20/AN24*10+BA20</f>
        <v>8.75</v>
      </c>
      <c r="AP20" s="123">
        <f>AO20*10000000+BI20*100+AM20/AM24*10+AI20/AI24*1++IF(AQ20=0,ROW(),AQ20)/2000000</f>
        <v>87500010.250880584</v>
      </c>
      <c r="AQ20" s="126">
        <f>VLOOKUP(AE20,db_fifarank,2,FALSE)</f>
        <v>1761.16</v>
      </c>
      <c r="AR20" s="125">
        <f>AP20/AP24</f>
        <v>0.99999998857143002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Mexico</v>
      </c>
      <c r="BT20" s="61">
        <v>0</v>
      </c>
      <c r="BU20" s="63">
        <v>0</v>
      </c>
      <c r="BV20" s="25">
        <v>3</v>
      </c>
      <c r="BW20" s="116">
        <f>IF(OR(BT20="",BT21="",AND(BU20="",BU21&lt;&gt;""),AND(BU21="",BU20&lt;&gt;""),AND(BV20="",BV21&lt;&gt;""),AND(BV21="",BV20&lt;&gt;"")),"",BT20*1000+BU20*10+BV20)</f>
        <v>3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2</v>
      </c>
      <c r="AH21" s="123">
        <f>COUNTIF($S$7:$T$78,"=" &amp; AE21 &amp; "_lose")</f>
        <v>0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2</v>
      </c>
      <c r="AL21" s="123">
        <f>AI21-AJ21</f>
        <v>3</v>
      </c>
      <c r="AM21" s="123">
        <f>AL21-AL24</f>
        <v>13</v>
      </c>
      <c r="AN21" s="123">
        <f>AF21*3+AG21</f>
        <v>5</v>
      </c>
      <c r="AO21" s="123">
        <f>AN21/AN24*10+BA21</f>
        <v>6.25</v>
      </c>
      <c r="AP21" s="123">
        <f>AO21*10000000+BI21*100+AM21/AM24*10+AI21/AI24*1++IF(AQ21=0,ROW(),AQ21)/2000000</f>
        <v>62500008.750877932</v>
      </c>
      <c r="AQ21" s="126">
        <f>VLOOKUP(AE21,db_fifarank,2,FALSE)</f>
        <v>1755.87</v>
      </c>
      <c r="AR21" s="125">
        <f>AP21/AP24</f>
        <v>0.71428572245182365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0</v>
      </c>
      <c r="BU21" s="64">
        <v>0</v>
      </c>
      <c r="BV21" s="27">
        <v>5</v>
      </c>
      <c r="BW21" s="112">
        <f>IF(BW20="","",BT21*1000+BU21*10+BV21)</f>
        <v>5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2</v>
      </c>
      <c r="N22" s="23">
        <f>VLOOKUP(2,AD20:AN23,5,FALSE)</f>
        <v>0</v>
      </c>
      <c r="O22" s="23" t="str">
        <f>VLOOKUP(2,AD20:AN23,6,FALSE) &amp; " - " &amp; VLOOKUP(2,AD20:AN23,7,FALSE)</f>
        <v>5 - 2</v>
      </c>
      <c r="P22" s="34">
        <f>L22*3+M22</f>
        <v>5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10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7.3811990509144097E-12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3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3000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5 - 3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3</v>
      </c>
      <c r="AL23" s="123">
        <f>AI23-AJ23</f>
        <v>2</v>
      </c>
      <c r="AM23" s="123">
        <f>AL23-AL24</f>
        <v>12</v>
      </c>
      <c r="AN23" s="123">
        <f>AF23*3+AG23</f>
        <v>4</v>
      </c>
      <c r="AO23" s="123">
        <f>AN23/AN24*10+BA23</f>
        <v>5</v>
      </c>
      <c r="AP23" s="123">
        <f>AO23*10000000+BI23*100+AM23/AM24*10+AI23/AI24*1++IF(AQ23=0,ROW(),AQ23)/2000000</f>
        <v>50000008.125749178</v>
      </c>
      <c r="AQ23" s="126">
        <f>VLOOKUP(AE23,db_fifarank,2,FALSE)</f>
        <v>1498.35</v>
      </c>
      <c r="AR23" s="125">
        <f>AP23/AP24</f>
        <v>0.57142859081913533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0 - 10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3</v>
      </c>
      <c r="AH24" s="123">
        <f t="shared" si="14"/>
        <v>4</v>
      </c>
      <c r="AI24" s="123">
        <f>MAX(AI20:AI23)+1</f>
        <v>8</v>
      </c>
      <c r="AL24" s="123">
        <f>MIN(AL20:AL23)</f>
        <v>-10</v>
      </c>
      <c r="AM24" s="123">
        <f>MAX(AM20:AM23)+1</f>
        <v>16</v>
      </c>
      <c r="AN24" s="123">
        <f>MAX(AN20:AN23)+1</f>
        <v>8</v>
      </c>
      <c r="AO24" s="123">
        <f>MAX(AO20:AO23)+1</f>
        <v>9.75</v>
      </c>
      <c r="AP24" s="123">
        <f>MAX(AP20:AP23)+1</f>
        <v>87500011.250880584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3</v>
      </c>
      <c r="CI24" s="64"/>
      <c r="CJ24" s="27"/>
      <c r="CK24" s="113">
        <f>IF(CK23="","",CH24*1000+CI24*10+CJ24)</f>
        <v>3000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1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4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1</v>
      </c>
      <c r="AH26" s="123">
        <f>COUNTIF($S$7:$T$78,"=" &amp; AE26 &amp; "_lose")</f>
        <v>2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7</v>
      </c>
      <c r="AL26" s="123">
        <f>AI26-AJ26</f>
        <v>-2</v>
      </c>
      <c r="AM26" s="123">
        <f>AL26-AL30</f>
        <v>0</v>
      </c>
      <c r="AN26" s="123">
        <f>AF26*3+AG26</f>
        <v>1</v>
      </c>
      <c r="AO26" s="123">
        <f>AN26/AN30*10+BA26</f>
        <v>1.2578469838155959</v>
      </c>
      <c r="AP26" s="123">
        <f>AO26*10000000+BI26*100+AM26/AM30*10+AI26/AI30*1++IF(AQ26=0,ROW(),AQ26)/2000000</f>
        <v>12578470.553278238</v>
      </c>
      <c r="AQ26" s="126">
        <f>VLOOKUP(AE26,db_fifarank,2,FALSE)</f>
        <v>1673.13</v>
      </c>
      <c r="AR26" s="125">
        <f>AP26/AP30</f>
        <v>0.14362513048234396</v>
      </c>
      <c r="AS26" s="125" t="str">
        <f>IF(SUM(AF26:AH29)=12,J27,"1D")</f>
        <v>Australia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2</v>
      </c>
      <c r="AZ26" s="126">
        <f>AT26/AT30*1000+AU26/AU30*100+AY26/AY30*10+AV26/AV30</f>
        <v>4</v>
      </c>
      <c r="BA26" s="126">
        <f>AZ26/AZ30</f>
        <v>7.8469838155958808E-3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2</v>
      </c>
      <c r="H27" s="80" t="str">
        <f>AE77</f>
        <v>Panama</v>
      </c>
      <c r="J27" s="30" t="str">
        <f>VLOOKUP(1,AD26:AN29,2,FALSE)</f>
        <v>Australia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5 - 3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2</v>
      </c>
      <c r="W27" s="123">
        <f t="shared" si="4"/>
        <v>2</v>
      </c>
      <c r="X27" s="123">
        <f t="shared" si="9"/>
        <v>1</v>
      </c>
      <c r="Y27" s="123">
        <f t="shared" si="10"/>
        <v>2</v>
      </c>
      <c r="Z27" s="123">
        <f t="shared" si="11"/>
        <v>2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5</v>
      </c>
      <c r="AJ27" s="123">
        <f>SUMIF($E$7:$E$78,$AE27,$G$7:$G$78) + SUMIF($H$7:$H$78,$AE27,$F$7:$F$78)</f>
        <v>6</v>
      </c>
      <c r="AL27" s="123">
        <f>AI27-AJ27</f>
        <v>-1</v>
      </c>
      <c r="AM27" s="123">
        <f>AL27-AL30</f>
        <v>1</v>
      </c>
      <c r="AN27" s="123">
        <f>AF27*3+AG27</f>
        <v>4</v>
      </c>
      <c r="AO27" s="123">
        <f>AN27/AN30*10+BA27</f>
        <v>5.0004904364884748</v>
      </c>
      <c r="AP27" s="123">
        <f>AO27*10000000+BI27*100+AM27/AM30*10+AI27/AI30*1++IF(AQ27=0,ROW(),AQ27)/2000000</f>
        <v>50004907.079922214</v>
      </c>
      <c r="AQ27" s="126">
        <f>VLOOKUP(AE27,db_fifarank,2,FALSE)</f>
        <v>1503.5</v>
      </c>
      <c r="AR27" s="125">
        <f>AP27/AP30</f>
        <v>0.57097254182779233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3</v>
      </c>
      <c r="AX27" s="126">
        <f>AV27-AW27</f>
        <v>-2</v>
      </c>
      <c r="AY27" s="126">
        <f>AX27-MIN(AX26:AX29)</f>
        <v>0</v>
      </c>
      <c r="AZ27" s="126">
        <f>AT27/AT30*1000+AU27/AU30*100+AY27/AY30*10+AV27/AV30</f>
        <v>0.25</v>
      </c>
      <c r="BA27" s="126">
        <f>AZ27/AZ30</f>
        <v>4.9043648847474255E-4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0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6 - 5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1</v>
      </c>
      <c r="AE28" s="124" t="str">
        <f>VLOOKUP("Australia",T,lang,FALSE)</f>
        <v>Australia</v>
      </c>
      <c r="AF28" s="123">
        <f>COUNTIF($S$7:$T$78,"=" &amp; AE28 &amp; "_win")</f>
        <v>2</v>
      </c>
      <c r="AG28" s="123">
        <f>COUNTIF($S$7:$T$78,"=" &amp; AE28 &amp; "_draw")</f>
        <v>1</v>
      </c>
      <c r="AH28" s="123">
        <f>COUNTIF($S$7:$T$78,"=" &amp; AE28 &amp; "_lose")</f>
        <v>0</v>
      </c>
      <c r="AI28" s="123">
        <f>SUMIF($E$7:$E$78,$AE28,$F$7:$F$78) + SUMIF($H$7:$H$78,$AE28,$G$7:$G$78)</f>
        <v>5</v>
      </c>
      <c r="AJ28" s="123">
        <f>SUMIF($E$7:$E$78,$AE28,$G$7:$G$78) + SUMIF($H$7:$H$78,$AE28,$F$7:$F$78)</f>
        <v>3</v>
      </c>
      <c r="AL28" s="123">
        <f>AI28-AJ28</f>
        <v>2</v>
      </c>
      <c r="AM28" s="123">
        <f>AL28-AL30</f>
        <v>4</v>
      </c>
      <c r="AN28" s="123">
        <f>AF28*3+AG28</f>
        <v>7</v>
      </c>
      <c r="AO28" s="123">
        <f>AN28/AN30*10+BA28</f>
        <v>8.757846983815595</v>
      </c>
      <c r="AP28" s="123">
        <f>AO28*10000000+BI28*100+AM28/AM30*10+AI28/AI30*1++IF(AQ28=0,ROW(),AQ28)/2000000</f>
        <v>87578478.553231999</v>
      </c>
      <c r="AQ28" s="126">
        <f>VLOOKUP(AE28,db_fifarank,2,FALSE)</f>
        <v>1580.67</v>
      </c>
      <c r="AR28" s="125">
        <f>AP28/AP30</f>
        <v>0.99999998858166983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2</v>
      </c>
      <c r="AZ28" s="126">
        <f>AT28/AT30*1000+AU28/AU30*100+AY28/AY30*10+AV28/AV30</f>
        <v>4</v>
      </c>
      <c r="BA28" s="126">
        <f>AZ28/AZ30</f>
        <v>7.8469838155958808E-3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1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5 - 6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5</v>
      </c>
      <c r="AL29" s="123">
        <f>AI29-AJ29</f>
        <v>1</v>
      </c>
      <c r="AM29" s="123">
        <f>AL29-AL30</f>
        <v>3</v>
      </c>
      <c r="AN29" s="123">
        <f>AF29*3+AG29</f>
        <v>4</v>
      </c>
      <c r="AO29" s="123">
        <f>AN29/AN30*10+BA29</f>
        <v>5.9980382540461008</v>
      </c>
      <c r="AP29" s="123">
        <f>AO29*10000000+BI29*100+AM29/AM30*10+AI29/AI30*1++IF(AQ29=0,ROW(),AQ29)/2000000</f>
        <v>59980389.398403391</v>
      </c>
      <c r="AQ29" s="126">
        <f>VLOOKUP(AE29,db_fifarank,2,FALSE)</f>
        <v>1599.04</v>
      </c>
      <c r="AR29" s="125">
        <f>AP29/AP30</f>
        <v>0.6848758930776605</v>
      </c>
      <c r="AT29" s="126" cm="1">
        <f t="array" ref="AT29">SUMPRODUCT(($S$7:$S$78=AE29&amp;"_win")*($U$7:$U$78))+SUMPRODUCT(($T$7:$T$78=AE29&amp;"_win")*($U$7:$U$78))</f>
        <v>1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3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2</v>
      </c>
      <c r="AY29" s="126">
        <f>AX29-MIN(AX26:AX29)</f>
        <v>4</v>
      </c>
      <c r="AZ29" s="126">
        <f>AT29/AT30*1000+AU29/AU30*100+AY29/AY30*10+AV29/AV30</f>
        <v>508.75</v>
      </c>
      <c r="BA29" s="126">
        <f>AZ29/AZ30</f>
        <v>0.99803825404610103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United States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5 - 7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1</v>
      </c>
      <c r="AH30" s="123">
        <f t="shared" si="15"/>
        <v>3</v>
      </c>
      <c r="AI30" s="123">
        <f>MAX(AI26:AI29)+1</f>
        <v>7</v>
      </c>
      <c r="AL30" s="123">
        <f>MIN(AL26:AL29)</f>
        <v>-2</v>
      </c>
      <c r="AM30" s="123">
        <f>MAX(AM26:AM29)+1</f>
        <v>5</v>
      </c>
      <c r="AN30" s="123">
        <f>MAX(AN26:AN29)+1</f>
        <v>8</v>
      </c>
      <c r="AO30" s="123">
        <f>MAX(AO26:AO29)+1</f>
        <v>9.757846983815595</v>
      </c>
      <c r="AP30" s="123">
        <f>MAX(AP26:AP29)+1</f>
        <v>87578479.553231999</v>
      </c>
      <c r="AT30" s="126">
        <f>MAX(AT26:AT29)-MIN(AT26:AT29)+1</f>
        <v>2</v>
      </c>
      <c r="AU30" s="126">
        <f>MAX(AU26:AU29)-MIN(AU26:AU29)+1</f>
        <v>1</v>
      </c>
      <c r="AV30" s="126">
        <f>MAX(AV26:AV29)-MIN(AV26:AV29)+1</f>
        <v>4</v>
      </c>
      <c r="AW30" s="126">
        <f>MAX(AW26:AW29)-MIN(AW26:AW29)+1</f>
        <v>4</v>
      </c>
      <c r="AY30" s="126">
        <f>MAX(AY26:AY29)-MIN(AY26:AY29)+1</f>
        <v>5</v>
      </c>
      <c r="AZ30" s="126">
        <f>MAX(AZ26:AZ29)+1</f>
        <v>509.75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3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1</v>
      </c>
      <c r="AH32" s="123">
        <f>COUNTIF($S$7:$T$78,"=" &amp; AE32 &amp; "_lose")</f>
        <v>0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1</v>
      </c>
      <c r="AL32" s="123">
        <f>AI32-AJ32</f>
        <v>5</v>
      </c>
      <c r="AM32" s="123">
        <f>AL32-AL36</f>
        <v>13</v>
      </c>
      <c r="AN32" s="123">
        <f>AF32*3+AG32</f>
        <v>7</v>
      </c>
      <c r="AO32" s="123">
        <f>AN32/AN36*10+BA32</f>
        <v>9.7305825242718456</v>
      </c>
      <c r="AP32" s="123">
        <f>AO32*10000000+BI32*100+AM32/AM36*10+AI32/AI36*1++IF(AQ32=0,ROW(),AQ32)/2000000</f>
        <v>97305933.444693208</v>
      </c>
      <c r="AQ32" s="126">
        <f>VLOOKUP(AE32,db_fifarank,2,FALSE)</f>
        <v>1730.37</v>
      </c>
      <c r="AR32" s="125">
        <f>AP32/AP36</f>
        <v>0.99999998972313453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1</v>
      </c>
      <c r="AV32" s="126" cm="1">
        <f t="array" ref="AV32">SUMPRODUCT(($E$7:$E$78=AE32)*($U$7:$U$78)*($F$7:$F$78))+SUMPRODUCT(($H$7:$H$78=AE32)*($U$7:$U$78)*($G$7:$G$78))</f>
        <v>1</v>
      </c>
      <c r="AW32" s="126" cm="1">
        <f t="array" ref="AW32">SUMPRODUCT(($E$7:$E$78=AE32)*($U$7:$U$78)*($G$7:$G$78))+SUMPRODUCT(($H$7:$H$78=AE32)*($U$7:$U$78)*($F$7:$F$78))</f>
        <v>1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50.5</v>
      </c>
      <c r="BA32" s="126">
        <f>AZ32/AZ36</f>
        <v>0.98058252427184467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1</v>
      </c>
      <c r="BD32" s="126" cm="1">
        <f t="array" ref="BD32">SUMPRODUCT(($E$7:$E$78=AE32)*($X$7:$X$78)*($F$7:$F$78))+SUMPRODUCT(($H$7:$H$78=AE32)*($X$7:$X$78)*($G$7:$G$78))</f>
        <v>1</v>
      </c>
      <c r="BE32" s="126" cm="1">
        <f t="array" ref="BE32">SUMPRODUCT(($E$7:$E$78=AE32)*($X$7:$X$78)*($G$7:$G$78))+SUMPRODUCT(($H$7:$H$78=AE32)*($X$7:$X$78)*($F$7:$F$78))</f>
        <v>1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50.5</v>
      </c>
      <c r="BI32" s="126">
        <f>BH32/BH36</f>
        <v>0.98058252427184467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1</v>
      </c>
      <c r="N33" s="31">
        <f>VLOOKUP(1,AD32:AN35,5,FALSE)</f>
        <v>0</v>
      </c>
      <c r="O33" s="31" t="str">
        <f>VLOOKUP(1,AD32:AN35,6,FALSE) &amp; " - " &amp; VLOOKUP(1,AD32:AN35,7,FALSE)</f>
        <v>6 - 1</v>
      </c>
      <c r="P33" s="32">
        <f>L33*3+M33</f>
        <v>7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6.6524719555303888E-12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2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1</v>
      </c>
      <c r="N34" s="23">
        <f>VLOOKUP(2,AD32:AN35,5,FALSE)</f>
        <v>0</v>
      </c>
      <c r="O34" s="23" t="str">
        <f>VLOOKUP(2,AD32:AN35,6,FALSE) &amp; " - " &amp; VLOOKUP(2,AD32:AN35,7,FALSE)</f>
        <v>6 - 1</v>
      </c>
      <c r="P34" s="34">
        <f>L34*3+M34</f>
        <v>7</v>
      </c>
      <c r="R34" s="123">
        <f>DATE(2026,6,18)+TIME(14,0,0)+gmt_delta</f>
        <v>46192.125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1</v>
      </c>
      <c r="AH34" s="123">
        <f>COUNTIF($S$7:$T$78,"=" &amp; AE34 &amp; "_lose")</f>
        <v>0</v>
      </c>
      <c r="AI34" s="123">
        <f>SUMIF($E$7:$E$78,$AE34,$F$7:$F$78) + SUMIF($H$7:$H$78,$AE34,$G$7:$G$78)</f>
        <v>6</v>
      </c>
      <c r="AJ34" s="123">
        <f>SUMIF($E$7:$E$78,$AE34,$G$7:$G$78) + SUMIF($H$7:$H$78,$AE34,$F$7:$F$78)</f>
        <v>1</v>
      </c>
      <c r="AL34" s="123">
        <f>AI34-AJ34</f>
        <v>5</v>
      </c>
      <c r="AM34" s="123">
        <f>AL34-AL36</f>
        <v>13</v>
      </c>
      <c r="AN34" s="123">
        <f>AF34*3+AG34</f>
        <v>7</v>
      </c>
      <c r="AO34" s="123">
        <f>AN34/AN36*10+BA34</f>
        <v>9.7305825242718456</v>
      </c>
      <c r="AP34" s="123">
        <f>AO34*10000000+BI34*100+AM34/AM36*10+AI34/AI36*1++IF(AQ34=0,ROW(),AQ34)/2000000</f>
        <v>97305933.444594502</v>
      </c>
      <c r="AQ34" s="126">
        <f>VLOOKUP(AE34,db_fifarank,2,FALSE)</f>
        <v>1532.98</v>
      </c>
      <c r="AR34" s="125">
        <f>AP34/AP36</f>
        <v>0.99999998972212012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Australia</v>
      </c>
      <c r="BM34" s="61">
        <v>0</v>
      </c>
      <c r="BN34" s="63">
        <v>1</v>
      </c>
      <c r="BO34" s="25"/>
      <c r="BP34" s="112">
        <f>IF(OR(BM34="",BM35="",AND(BN34="",BN35&lt;&gt;""),AND(BN35="",BN34&lt;&gt;""),AND(BO34="",BO35&lt;&gt;""),AND(BO35="",BO34&lt;&gt;"")),"",BM34*1000+BN34*10+BO34)</f>
        <v>10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0</v>
      </c>
      <c r="AH35" s="123">
        <f>COUNTIF($S$7:$T$78,"=" &amp; AE35 &amp; "_lose")</f>
        <v>2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4</v>
      </c>
      <c r="AL35" s="123">
        <f>AI35-AJ35</f>
        <v>-2</v>
      </c>
      <c r="AM35" s="123">
        <f>AL35-AL36</f>
        <v>6</v>
      </c>
      <c r="AN35" s="123">
        <f>AF35*3+AG35</f>
        <v>3</v>
      </c>
      <c r="AO35" s="123">
        <f>AN35/AN36*10+BA35</f>
        <v>3.75</v>
      </c>
      <c r="AP35" s="123">
        <f>AO35*10000000+BI35*100+AM35/AM36*10+AI35/AI36*1++IF(AQ35=0,ROW(),AQ35)/2000000</f>
        <v>37500004.572225958</v>
      </c>
      <c r="AQ35" s="126">
        <f>VLOOKUP(AE35,db_fifarank,2,FALSE)</f>
        <v>1594.78</v>
      </c>
      <c r="AR35" s="125">
        <f>AP35/AP36</f>
        <v>0.38538250299153365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>
        <v>0</v>
      </c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4</v>
      </c>
      <c r="AI36" s="123">
        <f>MAX(AI32:AI35)+1</f>
        <v>7</v>
      </c>
      <c r="AL36" s="123">
        <f>MIN(AL32:AL35)</f>
        <v>-8</v>
      </c>
      <c r="AM36" s="123">
        <f>MAX(AM32:AM35)+1</f>
        <v>14</v>
      </c>
      <c r="AN36" s="123">
        <f>MAX(AN32:AN35)+1</f>
        <v>8</v>
      </c>
      <c r="AO36" s="123">
        <f>MAX(AO32:AO35)+1</f>
        <v>10.730582524271846</v>
      </c>
      <c r="AP36" s="123">
        <f>MAX(AP32:AP35)+1</f>
        <v>97305934.444693208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Australia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2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States_lose</v>
      </c>
      <c r="T37" s="127" t="str">
        <f t="shared" si="2"/>
        <v>Australia_win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-1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2</v>
      </c>
      <c r="CP37" s="63">
        <v>1</v>
      </c>
      <c r="CQ37" s="25"/>
      <c r="CR37" s="111">
        <f>IF(OR(CO37="",CO38="",AND(CP37="",CP38&lt;&gt;""),AND(CP38="",CP37&lt;&gt;""),AND(CQ37="",CQ38&lt;&gt;""),AND(CQ38="",CQ37&lt;&gt;"")),"",CO37*1000+CP37*10+CQ37)</f>
        <v>2010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3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1</v>
      </c>
      <c r="V38" s="123">
        <f t="shared" si="3"/>
        <v>3</v>
      </c>
      <c r="W38" s="123">
        <f t="shared" si="4"/>
        <v>1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8</v>
      </c>
      <c r="AJ38" s="123">
        <f>SUMIF($E$7:$E$78,$AE38,$G$7:$G$78) + SUMIF($H$7:$H$78,$AE38,$F$7:$F$78)</f>
        <v>2</v>
      </c>
      <c r="AL38" s="123">
        <f>AI38-AJ38</f>
        <v>6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90000009.980676919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England</v>
      </c>
      <c r="CO38" s="62">
        <v>2</v>
      </c>
      <c r="CP38" s="64">
        <v>0</v>
      </c>
      <c r="CQ38" s="27"/>
      <c r="CR38" s="111">
        <f>IF(CR37="","",CO38*1000+CP38*10+CQ38)</f>
        <v>2000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1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8 - 2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Germany_draw</v>
      </c>
      <c r="T39" s="127" t="str">
        <f t="shared" si="2"/>
        <v>Ivory Coast_draw</v>
      </c>
      <c r="U39" s="123">
        <f t="shared" si="8"/>
        <v>1</v>
      </c>
      <c r="V39" s="123">
        <f t="shared" si="3"/>
        <v>1</v>
      </c>
      <c r="W39" s="123">
        <f t="shared" si="4"/>
        <v>1</v>
      </c>
      <c r="X39" s="123">
        <f t="shared" si="9"/>
        <v>1</v>
      </c>
      <c r="Y39" s="123">
        <f t="shared" si="10"/>
        <v>1</v>
      </c>
      <c r="Z39" s="123">
        <f t="shared" si="11"/>
        <v>1</v>
      </c>
      <c r="AA39" s="123">
        <f t="shared" ref="AA39:AA70" si="17">IF(OR(E39=my_team,H39=my_team),1,IF(INT(MATCH(E39,$AE$8:$AE$78,0)/6)=$AA$6,1,0))</f>
        <v>0</v>
      </c>
      <c r="AB39" s="123">
        <f t="shared" si="6"/>
        <v>0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5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60000004.990729213</v>
      </c>
      <c r="AQ39" s="126">
        <f>VLOOKUP(AE39,db_fifarank,2,FALSE)</f>
        <v>1660.43</v>
      </c>
      <c r="AR39" s="125">
        <f>AP39/AP42</f>
        <v>0.66666664078086912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4 - 3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7</v>
      </c>
      <c r="AL40" s="123">
        <f>AI40-AJ40</f>
        <v>-3</v>
      </c>
      <c r="AM40" s="123">
        <f>AL40-AL42</f>
        <v>1</v>
      </c>
      <c r="AN40" s="123">
        <f>AF40*3+AG40</f>
        <v>1</v>
      </c>
      <c r="AO40" s="123">
        <f>AN40/AN42*10+BA40</f>
        <v>1.9806451612903224</v>
      </c>
      <c r="AP40" s="123">
        <f>AO40*10000000+BI40*100+AM40/AM42*10+AI40/AI42*1++IF(AQ40=0,ROW(),AQ40)/2000000</f>
        <v>19806551.031712092</v>
      </c>
      <c r="AQ40" s="126">
        <f>VLOOKUP(AE40,db_fifarank,2,FALSE)</f>
        <v>1514.77</v>
      </c>
      <c r="AR40" s="125">
        <f>AP40/AP42</f>
        <v>0.22007276239071322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2</v>
      </c>
      <c r="AW40" s="126" cm="1">
        <f t="array" ref="AW40">SUMPRODUCT(($E$7:$E$78=AE40)*($U$7:$U$78)*($G$7:$G$78))+SUMPRODUCT(($H$7:$H$78=AE40)*($U$7:$U$78)*($F$7:$F$78))</f>
        <v>2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50.666666666666664</v>
      </c>
      <c r="BA40" s="126">
        <f>AZ40/AZ42</f>
        <v>0.98064516129032253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2</v>
      </c>
      <c r="BE40" s="126" cm="1">
        <f t="array" ref="BE40">SUMPRODUCT(($E$7:$E$78=AE40)*($X$7:$X$78)*($G$7:$G$78))+SUMPRODUCT(($H$7:$H$78=AE40)*($X$7:$X$78)*($F$7:$F$78))</f>
        <v>2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50.666666666666664</v>
      </c>
      <c r="BI40" s="126">
        <f>BH40/BH42</f>
        <v>0.98064516129032253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4 - 7</v>
      </c>
      <c r="P41" s="34">
        <f>L41*3+M41</f>
        <v>1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6</v>
      </c>
      <c r="AL41" s="123">
        <f>AI41-AJ41</f>
        <v>-4</v>
      </c>
      <c r="AM41" s="123">
        <f>AL41-AL42</f>
        <v>0</v>
      </c>
      <c r="AN41" s="123">
        <f>AF41*3+AG41</f>
        <v>1</v>
      </c>
      <c r="AO41" s="123">
        <f>AN41/AN42*10+BA41</f>
        <v>1.9806451612903224</v>
      </c>
      <c r="AP41" s="123">
        <f>AO41*10000000+BI41*100+AM41/AM42*10+AI41/AI42*1++IF(AQ41=0,ROW(),AQ41)/2000000</f>
        <v>19806549.900383104</v>
      </c>
      <c r="AQ41" s="126">
        <f>VLOOKUP(AE41,db_fifarank,2,FALSE)</f>
        <v>1483.05</v>
      </c>
      <c r="AR41" s="125">
        <f>AP41/AP42</f>
        <v>0.22007274982039265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2</v>
      </c>
      <c r="AW41" s="126" cm="1">
        <f t="array" ref="AW41">SUMPRODUCT(($E$7:$E$78=AE41)*($U$7:$U$78)*($G$7:$G$78))+SUMPRODUCT(($H$7:$H$78=AE41)*($U$7:$U$78)*($F$7:$F$78))</f>
        <v>2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50.666666666666664</v>
      </c>
      <c r="BA41" s="126">
        <f>AZ41/AZ42</f>
        <v>0.98064516129032253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2</v>
      </c>
      <c r="BE41" s="126" cm="1">
        <f t="array" ref="BE41">SUMPRODUCT(($E$7:$E$78=AE41)*($X$7:$X$78)*($G$7:$G$78))+SUMPRODUCT(($H$7:$H$78=AE41)*($X$7:$X$78)*($F$7:$F$78))</f>
        <v>2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50.666666666666664</v>
      </c>
      <c r="BI41" s="126">
        <f>BH41/BH42</f>
        <v>0.98064516129032253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2 - 6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9</v>
      </c>
      <c r="AL42" s="123">
        <f>MIN(AL38:AL41)</f>
        <v>-4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90000010.980676919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51.666666666666664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31">
        <v>76</v>
      </c>
      <c r="BL42" s="24" t="str">
        <f>AS20</f>
        <v>Brazil</v>
      </c>
      <c r="BM42" s="61">
        <v>1</v>
      </c>
      <c r="BN42" s="63">
        <v>0</v>
      </c>
      <c r="BO42" s="25">
        <v>4</v>
      </c>
      <c r="BP42" s="112">
        <f>IF(OR(BM42="",BM43="",AND(BN42="",BN43&lt;&gt;""),AND(BN43="",BN42&lt;&gt;""),AND(BO42="",BO43&lt;&gt;""),AND(BO43="",BO42&lt;&gt;"")),"",BM42*1000+BN42*10+BO42)</f>
        <v>1004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1</v>
      </c>
      <c r="BN43" s="64">
        <v>0</v>
      </c>
      <c r="BO43" s="27">
        <v>1</v>
      </c>
      <c r="BP43" s="113">
        <f>IF(BP42="","",BM43*1000+BN43*10+BO43)</f>
        <v>1001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1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9</v>
      </c>
      <c r="AJ44" s="123">
        <f>SUMIF($E$7:$E$78,$AE44,$G$7:$G$78) + SUMIF($H$7:$H$78,$AE44,$F$7:$F$78)</f>
        <v>0</v>
      </c>
      <c r="AL44" s="123">
        <f>AI44-AJ44</f>
        <v>9</v>
      </c>
      <c r="AM44" s="123">
        <f>AL44-AL48</f>
        <v>14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90000010.234200686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4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4000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9 - 0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4</v>
      </c>
      <c r="AL45" s="123">
        <f>AI45-AJ45</f>
        <v>-2</v>
      </c>
      <c r="AM45" s="123">
        <f>AL45-AL48</f>
        <v>3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40000002.200781621</v>
      </c>
      <c r="AQ45" s="126">
        <f>VLOOKUP(AE45,db_fifarank,2,FALSE)</f>
        <v>1563.24</v>
      </c>
      <c r="AR45" s="125">
        <f>AP45/AP48</f>
        <v>0.44444441342004321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Ivory Coast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2 - 4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4</v>
      </c>
      <c r="AL46" s="123">
        <f>AI46-AJ46</f>
        <v>-2</v>
      </c>
      <c r="AM46" s="123">
        <f>AL46-AL48</f>
        <v>3</v>
      </c>
      <c r="AN46" s="123">
        <f>AF46*3+AG46</f>
        <v>2</v>
      </c>
      <c r="AO46" s="123">
        <f>AN46/AN48*10+BA46</f>
        <v>2</v>
      </c>
      <c r="AP46" s="123">
        <f>AO46*10000000+BI46*100+AM46/AM48*10+AI46/AI48*1++IF(AQ46=0,ROW(),AQ46)/2000000</f>
        <v>20000002.20080765</v>
      </c>
      <c r="AQ46" s="126">
        <f>VLOOKUP(AE46,db_fifarank,2,FALSE)</f>
        <v>1615.3</v>
      </c>
      <c r="AR46" s="125">
        <f>AP46/AP48</f>
        <v>0.22222221893687383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2 - 4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1</v>
      </c>
      <c r="AP47" s="123">
        <f>AO47*10000000+BI47*100+AM47/AM48*10+AI47/AI48*1++IF(AQ47=0,ROW(),AQ47)/2000000</f>
        <v>10000000.100640785</v>
      </c>
      <c r="AQ47" s="126">
        <f>VLOOKUP(AE47,db_fifarank,2,FALSE)</f>
        <v>1281.57</v>
      </c>
      <c r="AR47" s="125">
        <f>AP47/AP48</f>
        <v>0.11111109835996008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1 - 6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10</v>
      </c>
      <c r="AL48" s="123">
        <f>MIN(AL44:AL47)</f>
        <v>-5</v>
      </c>
      <c r="AM48" s="123">
        <f>MAX(AM44:AM47)+1</f>
        <v>15</v>
      </c>
      <c r="AN48" s="123">
        <f>MAX(AN44:AN47)+1</f>
        <v>10</v>
      </c>
      <c r="AO48" s="123">
        <f>MAX(AO44:AO47)+1</f>
        <v>10</v>
      </c>
      <c r="AP48" s="123">
        <f>MAX(AP44:AP47)+1</f>
        <v>90000011.234200686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>
        <v>0</v>
      </c>
      <c r="CC48" s="25">
        <v>2</v>
      </c>
      <c r="CD48" s="112">
        <f>IF(OR(CA48="",CA49="",AND(CB48="",CB49&lt;&gt;""),AND(CB49="",CB48&lt;&gt;""),AND(CC48="",CC49&lt;&gt;""),AND(CC49="",CC48&lt;&gt;"")),"",CA48*1000+CB48*10+CC48)</f>
        <v>2002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2</v>
      </c>
      <c r="CB49" s="64">
        <v>0</v>
      </c>
      <c r="CC49" s="27">
        <v>4</v>
      </c>
      <c r="CD49" s="113">
        <f>IF(CD48="","",CA49*1000+CB49*10+CC49)</f>
        <v>2004</v>
      </c>
      <c r="CK49" s="114"/>
      <c r="CL49" s="115"/>
      <c r="CM49" s="132"/>
      <c r="CN49" s="26" t="str">
        <f>IF(CK55&gt;CK56,CG56,IF(CK55&lt;CK56,CG55,""))</f>
        <v>Argentina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1</v>
      </c>
      <c r="AL50" s="123">
        <f>AI50-AJ50</f>
        <v>5</v>
      </c>
      <c r="AM50" s="123">
        <f>AL50-AL54</f>
        <v>11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90000010.024747729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Korea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6 - 1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7</v>
      </c>
      <c r="AL51" s="123">
        <f>AI51-AJ51</f>
        <v>-6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0.14354020785714286</v>
      </c>
      <c r="AQ51" s="126">
        <f>VLOOKUP(AE51,db_fifarank,2,FALSE)</f>
        <v>1366.13</v>
      </c>
      <c r="AR51" s="125">
        <f>AP51/AP54</f>
        <v>1.594891003043021E-9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4 - 2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5</v>
      </c>
      <c r="AL52" s="123">
        <f>AI52-AJ52</f>
        <v>-1</v>
      </c>
      <c r="AM52" s="123">
        <f>AL52-AL54</f>
        <v>5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30000004.738805953</v>
      </c>
      <c r="AQ52" s="126">
        <f>VLOOKUP(AE52,db_fifarank,2,FALSE)</f>
        <v>1421.43</v>
      </c>
      <c r="AR52" s="125">
        <f>AP52/AP54</f>
        <v>0.33333334515433238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Korea Republic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4 - 5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2</v>
      </c>
      <c r="AL53" s="123">
        <f>AI53-AJ53</f>
        <v>2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60000007.238931775</v>
      </c>
      <c r="AQ53" s="126">
        <f>VLOOKUP(AE53,db_fifarank,2,FALSE)</f>
        <v>1673.07</v>
      </c>
      <c r="AR53" s="125">
        <f>AP53/AP54</f>
        <v>0.66666666543444408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4</v>
      </c>
      <c r="BU53" s="64"/>
      <c r="BV53" s="27"/>
      <c r="BW53" s="112">
        <f>IF(BW52="","",BT53*1000+BU53*10+BV53)</f>
        <v>4000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1 - 7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Colombia_draw</v>
      </c>
      <c r="T54" s="127" t="str">
        <f t="shared" si="20"/>
        <v>DR Congo_draw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0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7</v>
      </c>
      <c r="AL54" s="123">
        <f>MIN(AL50:AL53)</f>
        <v>-6</v>
      </c>
      <c r="AM54" s="123">
        <f>MAX(AM50:AM53)+1</f>
        <v>12</v>
      </c>
      <c r="AN54" s="123">
        <f>MAX(AN50:AN53)+1</f>
        <v>10</v>
      </c>
      <c r="AO54" s="123">
        <f>MAX(AO50:AO53)+1</f>
        <v>10</v>
      </c>
      <c r="AP54" s="123">
        <f>MAX(AP50:AP53)+1</f>
        <v>90000011.024747729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England</v>
      </c>
      <c r="CH55" s="61">
        <v>4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4000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1</v>
      </c>
      <c r="AL56" s="123">
        <f>AI56-AJ56</f>
        <v>7</v>
      </c>
      <c r="AM56" s="123">
        <f>AL56-AL60</f>
        <v>16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87500010.301592261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8 - 1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9</v>
      </c>
      <c r="AN57" s="123">
        <f>AF57*3+AG57</f>
        <v>4</v>
      </c>
      <c r="AO57" s="123">
        <f>AN57/AN60*10+BA57</f>
        <v>5</v>
      </c>
      <c r="AP57" s="123">
        <f>AO57*10000000+BI57*100+AM57/AM60*10+AI57/AI60*1++IF(AQ57=0,ROW(),AQ57)/2000000</f>
        <v>50000005.739406586</v>
      </c>
      <c r="AQ57" s="126">
        <f>VLOOKUP(AE57,db_fifarank,2,FALSE)</f>
        <v>1688.99</v>
      </c>
      <c r="AR57" s="125">
        <f>AP57/AP60</f>
        <v>0.57142856321547386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1</v>
      </c>
      <c r="M58" s="23">
        <f>VLOOKUP(2,AD56:AN59,4,FALSE)</f>
        <v>2</v>
      </c>
      <c r="N58" s="23">
        <f>VLOOKUP(2,AD56:AN59,5,FALSE)</f>
        <v>0</v>
      </c>
      <c r="O58" s="23" t="str">
        <f>VLOOKUP(2,AD56:AN59,6,FALSE) &amp; " - " &amp; VLOOKUP(2,AD56:AN59,7,FALSE)</f>
        <v>3 - 1</v>
      </c>
      <c r="P58" s="34">
        <f>L58*3+M58</f>
        <v>5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9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8.2693703604908354E-12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3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4 - 4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2</v>
      </c>
      <c r="AH59" s="123">
        <f>COUNTIF($S$7:$T$78,"=" &amp; AE59 &amp; "_lose")</f>
        <v>0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1</v>
      </c>
      <c r="AL59" s="123">
        <f>AI59-AJ59</f>
        <v>2</v>
      </c>
      <c r="AM59" s="123">
        <f>AL59-AL60</f>
        <v>11</v>
      </c>
      <c r="AN59" s="123">
        <f>AF59*3+AG59</f>
        <v>5</v>
      </c>
      <c r="AO59" s="123">
        <f>AN59/AN60*10+BA59</f>
        <v>6.25</v>
      </c>
      <c r="AP59" s="123">
        <f>AO59*10000000+BI59*100+AM59/AM60*10+AI59/AI60*1++IF(AQ59=0,ROW(),AQ59)/2000000</f>
        <v>62500006.804697044</v>
      </c>
      <c r="AQ59" s="126">
        <f>VLOOKUP(AE59,db_fifarank,2,FALSE)</f>
        <v>1550.94</v>
      </c>
      <c r="AR59" s="125">
        <f>AP59/AP60</f>
        <v>0.71428569979578638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0 - 9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3</v>
      </c>
      <c r="AH60" s="123">
        <f t="shared" si="27"/>
        <v>4</v>
      </c>
      <c r="AI60" s="123">
        <f>MAX(AI56:AI59)+1</f>
        <v>9</v>
      </c>
      <c r="AL60" s="123">
        <f>MIN(AL56:AL59)</f>
        <v>-9</v>
      </c>
      <c r="AM60" s="123">
        <f>MAX(AM56:AM59)+1</f>
        <v>17</v>
      </c>
      <c r="AN60" s="123">
        <f>MAX(AN56:AN59)+1</f>
        <v>8</v>
      </c>
      <c r="AO60" s="123">
        <f>MAX(AO56:AO59)+1</f>
        <v>9.75</v>
      </c>
      <c r="AP60" s="123">
        <f>MAX(AP56:AP59)+1</f>
        <v>87500011.301592261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1</v>
      </c>
      <c r="AL62" s="123">
        <f>AI62-AJ62</f>
        <v>7</v>
      </c>
      <c r="AM62" s="123">
        <f>AL62-AL66</f>
        <v>14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90000010.223159641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0</v>
      </c>
      <c r="BN62" s="63">
        <v>1</v>
      </c>
      <c r="BO62" s="25"/>
      <c r="BP62" s="116">
        <f>IF(OR(BM62="",BM63="",AND(BN62="",BN63&lt;&gt;""),AND(BN63="",BN62&lt;&gt;""),AND(BO62="",BO63&lt;&gt;""),AND(BO63="",BO62&lt;&gt;"")),"",BM62*1000+BN62*10+BO62)</f>
        <v>10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2</v>
      </c>
      <c r="AL63" s="123">
        <f>AI63-AJ63</f>
        <v>0</v>
      </c>
      <c r="AM63" s="123">
        <f>AL63-AL66</f>
        <v>7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49805928.190641887</v>
      </c>
      <c r="AQ63" s="126">
        <f>VLOOKUP(AE63,db_fifarank,2,FALSE)</f>
        <v>1564.26</v>
      </c>
      <c r="AR63" s="125">
        <f>AP63/AP66</f>
        <v>0.55339913310838973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32"/>
      <c r="BL63" s="26" t="str">
        <f>AS45</f>
        <v>Egypt</v>
      </c>
      <c r="BM63" s="62">
        <v>0</v>
      </c>
      <c r="BN63" s="64">
        <v>0</v>
      </c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3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4 - 4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4</v>
      </c>
      <c r="AL64" s="123">
        <f>AI64-AJ64</f>
        <v>0</v>
      </c>
      <c r="AM64" s="123">
        <f>AL64-AL66</f>
        <v>7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49805928.412878707</v>
      </c>
      <c r="AQ64" s="126">
        <f>VLOOKUP(AE64,db_fifarank,2,FALSE)</f>
        <v>1593.45</v>
      </c>
      <c r="AR64" s="125">
        <f>AP64/AP66</f>
        <v>0.55339913557768738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2 - 2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7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7.7302768137985474E-12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0 - 7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9</v>
      </c>
      <c r="AL66" s="123">
        <f>MIN(AL62:AL65)</f>
        <v>-7</v>
      </c>
      <c r="AM66" s="123">
        <f>MAX(AM62:AM65)+1</f>
        <v>15</v>
      </c>
      <c r="AN66" s="123">
        <f>MAX(AN62:AN65)+1</f>
        <v>10</v>
      </c>
      <c r="AO66" s="123">
        <f>MAX(AO62:AO65)+1</f>
        <v>10</v>
      </c>
      <c r="AP66" s="123">
        <f>MAX(AP62:AP65)+1</f>
        <v>90000011.223159641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Switzerland</v>
      </c>
      <c r="BM66" s="61">
        <v>0</v>
      </c>
      <c r="BN66" s="63">
        <v>0</v>
      </c>
      <c r="BO66" s="25">
        <v>4</v>
      </c>
      <c r="BP66" s="112">
        <f>IF(OR(BM66="",BM67="",AND(BN66="",BN67&lt;&gt;""),AND(BN67="",BN66&lt;&gt;""),AND(BO66="",BO67&lt;&gt;""),AND(BO67="",BO66&lt;&gt;"")),"",BM66*1000+BN66*10+BO66)</f>
        <v>4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0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>
        <v>0</v>
      </c>
      <c r="BO67" s="27">
        <v>2</v>
      </c>
      <c r="BP67" s="113">
        <f>IF(BP66="","",BM67*1000+BN67*10+BO67)</f>
        <v>2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10</v>
      </c>
      <c r="AJ68" s="123">
        <f>SUMIF($E$7:$E$78,$AE68,$G$7:$G$78) + SUMIF($H$7:$H$78,$AE68,$F$7:$F$78)</f>
        <v>3</v>
      </c>
      <c r="AL68" s="123">
        <f>AI68-AJ68</f>
        <v>7</v>
      </c>
      <c r="AM68" s="123">
        <f>AL68-AL72</f>
        <v>11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90000010.076639488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10 - 3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2</v>
      </c>
      <c r="AH69" s="123">
        <f>COUNTIF($S$7:$T$78,"=" &amp; AE69 &amp; "_lose")</f>
        <v>1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5</v>
      </c>
      <c r="AL69" s="123">
        <f>AI69-AJ69</f>
        <v>-3</v>
      </c>
      <c r="AM69" s="123">
        <f>AL69-AL72</f>
        <v>1</v>
      </c>
      <c r="AN69" s="123">
        <f>AF69*3+AG69</f>
        <v>2</v>
      </c>
      <c r="AO69" s="123">
        <f>AN69/AN72*10+BA69</f>
        <v>2</v>
      </c>
      <c r="AP69" s="123">
        <f>AO69*10000000+BI69*100+AM69/AM72*10+AI69/AI72*1++IF(AQ69=0,ROW(),AQ69)/2000000</f>
        <v>20000001.015890691</v>
      </c>
      <c r="AQ69" s="126">
        <f>VLOOKUP(AE69,db_fifarank,2,FALSE)</f>
        <v>1478.35</v>
      </c>
      <c r="AR69" s="125">
        <f>AP69/AP72</f>
        <v>0.22222220616017141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4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4 - 4</v>
      </c>
      <c r="P70" s="34">
        <f>L70*3+M70</f>
        <v>4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4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1</v>
      </c>
      <c r="AP70" s="123">
        <f>AO70*10000000+BI70*100+AM70/AM72*10+AI70/AI72*1++IF(AQ70=0,ROW(),AQ70)/2000000</f>
        <v>10000000.00073267</v>
      </c>
      <c r="AQ70" s="126">
        <f>VLOOKUP(AE70,db_fifarank,2,FALSE)</f>
        <v>1465.34</v>
      </c>
      <c r="AR70" s="125">
        <f>AP70/AP72</f>
        <v>0.11111109744439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3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2</v>
      </c>
      <c r="N71" s="23">
        <f>VLOOKUP(3,AD68:AN71,5,FALSE)</f>
        <v>1</v>
      </c>
      <c r="O71" s="23" t="str">
        <f>VLOOKUP(3,AD68:AN71,6,FALSE) &amp; " - " &amp; VLOOKUP(3,AD68:AN71,7,FALSE)</f>
        <v>2 - 5</v>
      </c>
      <c r="P71" s="34">
        <f>L71*3+M71</f>
        <v>2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4</v>
      </c>
      <c r="AL71" s="123">
        <f>AI71-AJ71</f>
        <v>0</v>
      </c>
      <c r="AM71" s="123">
        <f>AL71-AL72</f>
        <v>4</v>
      </c>
      <c r="AN71" s="123">
        <f>AF71*3+AG71</f>
        <v>4</v>
      </c>
      <c r="AO71" s="123">
        <f>AN71/AN72*10+BA71</f>
        <v>4</v>
      </c>
      <c r="AP71" s="123">
        <f>AO71*10000000+BI71*100+AM71/AM72*10+AI71/AI72*1++IF(AQ71=0,ROW(),AQ71)/2000000</f>
        <v>40000003.697816245</v>
      </c>
      <c r="AQ71" s="126">
        <f>VLOOKUP(AE71,db_fifarank,2,FALSE)</f>
        <v>1693.09</v>
      </c>
      <c r="AR71" s="125">
        <f>AP71/AP72</f>
        <v>0.44444443083183904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Ecuador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0 - 4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1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3</v>
      </c>
      <c r="AH72" s="123">
        <f t="shared" si="35"/>
        <v>3</v>
      </c>
      <c r="AI72" s="123">
        <f>MAX(AI68:AI71)+1</f>
        <v>11</v>
      </c>
      <c r="AL72" s="123">
        <f>MIN(AL68:AL71)</f>
        <v>-4</v>
      </c>
      <c r="AM72" s="123">
        <f>MAX(AM68:AM71)+1</f>
        <v>12</v>
      </c>
      <c r="AN72" s="123">
        <f>MAX(AN68:AN71)+1</f>
        <v>10</v>
      </c>
      <c r="AO72" s="123">
        <f>MAX(AO68:AO71)+1</f>
        <v>10</v>
      </c>
      <c r="AP72" s="123">
        <f>MAX(AP68:AP71)+1</f>
        <v>90000011.076639488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2</v>
      </c>
      <c r="AL74" s="123">
        <f>AI74-AJ74</f>
        <v>3</v>
      </c>
      <c r="AM74" s="123">
        <f>AL74-AL78</f>
        <v>6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90000009.405674875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5 - 2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4</v>
      </c>
      <c r="AJ75" s="123">
        <f>SUMIF($E$7:$E$78,$AE75,$G$7:$G$78) + SUMIF($H$7:$H$78,$AE75,$F$7:$F$78)</f>
        <v>2</v>
      </c>
      <c r="AL75" s="123">
        <f>AI75-AJ75</f>
        <v>2</v>
      </c>
      <c r="AM75" s="123">
        <f>AL75-AL78</f>
        <v>5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60000007.810382344</v>
      </c>
      <c r="AQ75" s="126">
        <f>VLOOKUP(AE75,db_fifarank,2,FALSE)</f>
        <v>1717.07</v>
      </c>
      <c r="AR75" s="125">
        <f>AP75/AP78</f>
        <v>0.66666667636961841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4 - 2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6</v>
      </c>
      <c r="AL76" s="123">
        <f>AI76-AJ76</f>
        <v>-3</v>
      </c>
      <c r="AM76" s="123">
        <f>AL76-AL78</f>
        <v>0</v>
      </c>
      <c r="AN76" s="123">
        <f>AF76*3+AG76</f>
        <v>1</v>
      </c>
      <c r="AO76" s="123">
        <f>AN76/AN78*10+BA76</f>
        <v>1.9806451612903224</v>
      </c>
      <c r="AP76" s="123">
        <f>AO76*10000000+BI76*100+AM76/AM78*10+AI76/AI78*1++IF(AQ76=0,ROW(),AQ76)/2000000</f>
        <v>19806550.17809251</v>
      </c>
      <c r="AQ76" s="126">
        <f>VLOOKUP(AE76,db_fifarank,2,FALSE)</f>
        <v>1346.31</v>
      </c>
      <c r="AR76" s="125">
        <f>AP76/AP78</f>
        <v>0.22007275431207754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2</v>
      </c>
      <c r="AW76" s="126" cm="1">
        <f t="array" ref="AW76">SUMPRODUCT(($E$7:$E$78=AE76)*($U$7:$U$78)*($G$7:$G$78))+SUMPRODUCT(($H$7:$H$78=AE76)*($U$7:$U$78)*($F$7:$F$78))</f>
        <v>2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50.666666666666664</v>
      </c>
      <c r="BA76" s="126">
        <f>AZ76/AZ78</f>
        <v>0.98064516129032253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2</v>
      </c>
      <c r="BE76" s="126" cm="1">
        <f t="array" ref="BE76">SUMPRODUCT(($E$7:$E$78=AE76)*($X$7:$X$78)*($G$7:$G$78))+SUMPRODUCT(($H$7:$H$78=AE76)*($X$7:$X$78)*($F$7:$F$78))</f>
        <v>2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50.666666666666664</v>
      </c>
      <c r="BI76" s="126">
        <f>BH76/BH78</f>
        <v>0.98064516129032253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3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4 - 6</v>
      </c>
      <c r="P77" s="34">
        <f>L77*3+M77</f>
        <v>1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4</v>
      </c>
      <c r="AJ77" s="123">
        <f>SUMIF($E$7:$E$78,$AE77,$G$7:$G$78) + SUMIF($H$7:$H$78,$AE77,$F$7:$F$78)</f>
        <v>6</v>
      </c>
      <c r="AL77" s="123">
        <f>AI77-AJ77</f>
        <v>-2</v>
      </c>
      <c r="AM77" s="123">
        <f>AL77-AL78</f>
        <v>1</v>
      </c>
      <c r="AN77" s="123">
        <f>AF77*3+AG77</f>
        <v>1</v>
      </c>
      <c r="AO77" s="123">
        <f>AN77/AN78*10+BA77</f>
        <v>1.9806451612903224</v>
      </c>
      <c r="AP77" s="123">
        <f>AO77*10000000+BI77*100+AM77/AM78*10+AI77/AI78*1++IF(AQ77=0,ROW(),AQ77)/2000000</f>
        <v>19806551.77342777</v>
      </c>
      <c r="AQ77" s="126">
        <f>VLOOKUP(AE77,db_fifarank,2,FALSE)</f>
        <v>1540.64</v>
      </c>
      <c r="AR77" s="125">
        <f>AP77/AP78</f>
        <v>0.22007277203802283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2</v>
      </c>
      <c r="AW77" s="126" cm="1">
        <f t="array" ref="AW77">SUMPRODUCT(($E$7:$E$78=AE77)*($U$7:$U$78)*($G$7:$G$78))+SUMPRODUCT(($H$7:$H$78=AE77)*($U$7:$U$78)*($F$7:$F$78))</f>
        <v>2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50.666666666666664</v>
      </c>
      <c r="BA77" s="126">
        <f>AZ77/AZ78</f>
        <v>0.98064516129032253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2</v>
      </c>
      <c r="BE77" s="126" cm="1">
        <f t="array" ref="BE77">SUMPRODUCT(($E$7:$E$78=AE77)*($X$7:$X$78)*($G$7:$G$78))+SUMPRODUCT(($H$7:$H$78=AE77)*($X$7:$X$78)*($F$7:$F$78))</f>
        <v>2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50.666666666666664</v>
      </c>
      <c r="BI77" s="126">
        <f>BH77/BH78</f>
        <v>0.98064516129032253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3 - 6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3</v>
      </c>
      <c r="AI78" s="123">
        <f>MAX(AI74:AI77)+1</f>
        <v>6</v>
      </c>
      <c r="AL78" s="123">
        <f>MIN(AL74:AL77)</f>
        <v>-3</v>
      </c>
      <c r="AM78" s="123">
        <f>MAX(AM74:AM77)+1</f>
        <v>7</v>
      </c>
      <c r="AN78" s="123">
        <f>MAX(AN74:AN77)+1</f>
        <v>10</v>
      </c>
      <c r="AO78" s="123">
        <f>MAX(AO74:AO77)+1</f>
        <v>10</v>
      </c>
      <c r="AP78" s="123">
        <f>MAX(AP74:AP77)+1</f>
        <v>90000010.405674875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51.666666666666664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51.666666666666664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4</v>
      </c>
      <c r="AK80" s="123" t="s">
        <v>3180</v>
      </c>
      <c r="AL80" s="123">
        <f>VLOOKUP($AE80,$AE$8:$AQ$78,8,FALSE)</f>
        <v>0</v>
      </c>
      <c r="AM80" s="123">
        <f>AL80-$AL$92</f>
        <v>3</v>
      </c>
      <c r="AN80" s="123">
        <f>VLOOKUP($AE80,$AE$8:$AQ$78,10,FALSE)</f>
        <v>4</v>
      </c>
      <c r="AP80" s="123">
        <f>AN80/AN92*10000+AM80/AM92*1000+AI80/AI92*100+IF(AQ80=0,ROW(),AQ80)/2000000</f>
        <v>8566.6674173566662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Scotland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5 - 3</v>
      </c>
      <c r="P81" s="98">
        <f>L81*3+M81</f>
        <v>4</v>
      </c>
      <c r="AD81" s="123">
        <f t="shared" ref="AD81:AD91" si="38">COUNTIF($AP$80:$AP$91,CONCATENATE("&gt;=",AP81))</f>
        <v>8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-1</v>
      </c>
      <c r="AM81" s="123">
        <f t="shared" ref="AM81:AM91" si="44">AL81-$AL$92</f>
        <v>2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4366.6673941466661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Senegal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5</v>
      </c>
      <c r="AJ82" s="123">
        <f t="shared" si="42"/>
        <v>3</v>
      </c>
      <c r="AK82" s="123" t="s">
        <v>3182</v>
      </c>
      <c r="AL82" s="123">
        <f t="shared" si="43"/>
        <v>2</v>
      </c>
      <c r="AM82" s="123">
        <f t="shared" si="44"/>
        <v>5</v>
      </c>
      <c r="AN82" s="123">
        <f t="shared" si="45"/>
        <v>4</v>
      </c>
      <c r="AP82" s="123">
        <f>AN82/AN92*10000+AM82/AM92*1000+AI82/AI92*100+IF(AQ82=0,ROW(),AQ82)/2000000</f>
        <v>8916.6674158416681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Ⓐ Czech Republic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4 - 4</v>
      </c>
      <c r="P83" s="101">
        <f t="shared" si="48"/>
        <v>4</v>
      </c>
      <c r="AD83" s="123">
        <f t="shared" si="38"/>
        <v>5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5</v>
      </c>
      <c r="AJ83" s="123">
        <f t="shared" si="42"/>
        <v>6</v>
      </c>
      <c r="AK83" s="123" t="s">
        <v>3184</v>
      </c>
      <c r="AL83" s="123">
        <f t="shared" si="43"/>
        <v>-1</v>
      </c>
      <c r="AM83" s="123">
        <f t="shared" si="44"/>
        <v>2</v>
      </c>
      <c r="AN83" s="123">
        <f t="shared" si="45"/>
        <v>4</v>
      </c>
      <c r="AP83" s="123">
        <f>AN83/AN92*10000+AM83/AM92*1000+AI83/AI92*100+IF(AQ83=0,ROW(),AQ83)/2000000</f>
        <v>8416.6674184166677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Ⓙ Algeria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2 - 2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7</v>
      </c>
      <c r="AE84" s="124" t="str">
        <f>J35</f>
        <v>Ecuador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4</v>
      </c>
      <c r="AK84" s="123" t="s">
        <v>3185</v>
      </c>
      <c r="AL84" s="123">
        <f t="shared" si="43"/>
        <v>-2</v>
      </c>
      <c r="AM84" s="123">
        <f t="shared" si="44"/>
        <v>1</v>
      </c>
      <c r="AN84" s="123">
        <f t="shared" si="45"/>
        <v>3</v>
      </c>
      <c r="AP84" s="123">
        <f>AN84/AN92*10000+AM84/AM92*1000+AI84/AI92*100+IF(AQ84=0,ROW(),AQ84)/2000000</f>
        <v>6200.0007973900001</v>
      </c>
      <c r="AQ84" s="126">
        <f t="shared" si="37"/>
        <v>1594.78</v>
      </c>
      <c r="AR84" s="125" t="str">
        <f t="shared" si="50"/>
        <v>ABCDE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Ⓓ Paraguay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5 - 6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12</v>
      </c>
      <c r="AE85" s="124" t="str">
        <f>J41</f>
        <v>Sweden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4</v>
      </c>
      <c r="AJ85" s="123">
        <f t="shared" si="42"/>
        <v>7</v>
      </c>
      <c r="AK85" s="123" t="s">
        <v>3186</v>
      </c>
      <c r="AL85" s="123">
        <f t="shared" si="43"/>
        <v>-3</v>
      </c>
      <c r="AM85" s="123">
        <f t="shared" si="44"/>
        <v>0</v>
      </c>
      <c r="AN85" s="123">
        <f t="shared" si="45"/>
        <v>1</v>
      </c>
      <c r="AP85" s="123">
        <f>AN85/AN92*10000+AM85/AM92*1000+AI85/AI92*100+IF(AQ85=0,ROW(),AQ85)/2000000</f>
        <v>2066.6674240516663</v>
      </c>
      <c r="AQ85" s="126">
        <f t="shared" si="37"/>
        <v>1514.77</v>
      </c>
      <c r="AR85" s="125" t="str">
        <f t="shared" si="50"/>
        <v>ABCDE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Ⓗ Saudi Arabia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9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1</v>
      </c>
      <c r="AN86" s="123">
        <f t="shared" si="45"/>
        <v>2</v>
      </c>
      <c r="AP86" s="123">
        <f>AN86/AN92*10000+AM86/AM92*1000+AI86/AI92*100+IF(AQ86=0,ROW(),AQ86)/2000000</f>
        <v>4200.0008076499998</v>
      </c>
      <c r="AQ86" s="126">
        <f t="shared" si="37"/>
        <v>1615.3</v>
      </c>
      <c r="AR86" s="125" t="str">
        <f t="shared" si="50"/>
        <v>ABCDE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Ⓔ Ecuador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6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4</v>
      </c>
      <c r="AJ87" s="123">
        <f t="shared" si="42"/>
        <v>5</v>
      </c>
      <c r="AK87" s="123" t="s">
        <v>3188</v>
      </c>
      <c r="AL87" s="123">
        <f t="shared" si="43"/>
        <v>-1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6400.0007107150004</v>
      </c>
      <c r="AQ87" s="126">
        <f t="shared" si="37"/>
        <v>1421.43</v>
      </c>
      <c r="AR87" s="125" t="str">
        <f t="shared" si="50"/>
        <v>ABCDEH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Ⓑ Qatar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2 - 3</v>
      </c>
      <c r="P88" s="101">
        <f t="shared" si="48"/>
        <v>2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Mexico</v>
      </c>
      <c r="T88" s="127" t="str" cm="1">
        <f t="array" ref="T88">IF(OR(S88="",S88="draw"),INDEX(T,90,lang),S88)</f>
        <v>Mexico</v>
      </c>
      <c r="AD88" s="123">
        <f t="shared" si="38"/>
        <v>2</v>
      </c>
      <c r="AE88" s="124" t="str">
        <f>J59</f>
        <v>Senegal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3</v>
      </c>
      <c r="AN88" s="123">
        <f t="shared" si="45"/>
        <v>4</v>
      </c>
      <c r="AP88" s="123">
        <f>AN88/AN92*10000+AM88/AM92*1000+AI88/AI92*100+IF(AQ88=0,ROW(),AQ88)/2000000</f>
        <v>8566.667511161666</v>
      </c>
      <c r="AQ88" s="126">
        <f t="shared" si="37"/>
        <v>1688.99</v>
      </c>
      <c r="AR88" s="125" t="str">
        <f t="shared" si="50"/>
        <v>ABCDEHI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2 - 4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4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2</v>
      </c>
      <c r="AK89" s="123" t="s">
        <v>3190</v>
      </c>
      <c r="AL89" s="123">
        <f t="shared" si="43"/>
        <v>0</v>
      </c>
      <c r="AM89" s="123">
        <f t="shared" si="44"/>
        <v>3</v>
      </c>
      <c r="AN89" s="123">
        <f t="shared" si="45"/>
        <v>4</v>
      </c>
      <c r="AP89" s="123">
        <f>AN89/AN92*10000+AM89/AM92*1000+AI89/AI92*100+IF(AQ89=0,ROW(),AQ89)/2000000</f>
        <v>8533.3341154633345</v>
      </c>
      <c r="AQ89" s="126">
        <f t="shared" si="37"/>
        <v>1564.26</v>
      </c>
      <c r="AR89" s="125" t="str">
        <f t="shared" si="50"/>
        <v>ABCDEHIJ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Ⓚ DR Congo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2 - 5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Australia</v>
      </c>
      <c r="T90" s="127" t="str" cm="1">
        <f t="array" ref="T90">IF(OR(S90="",S90="draw"),INDEX(T,92,lang),S90)</f>
        <v>Australia</v>
      </c>
      <c r="AD90" s="123">
        <f t="shared" si="38"/>
        <v>10</v>
      </c>
      <c r="AE90" s="124" t="str">
        <f>J71</f>
        <v>DR Congo</v>
      </c>
      <c r="AF90" s="123">
        <f t="shared" si="39"/>
        <v>0</v>
      </c>
      <c r="AG90" s="123">
        <f t="shared" si="49"/>
        <v>2</v>
      </c>
      <c r="AH90" s="123">
        <f t="shared" si="40"/>
        <v>1</v>
      </c>
      <c r="AI90" s="123">
        <f t="shared" si="41"/>
        <v>2</v>
      </c>
      <c r="AJ90" s="123">
        <f t="shared" si="42"/>
        <v>5</v>
      </c>
      <c r="AK90" s="123" t="s">
        <v>3191</v>
      </c>
      <c r="AL90" s="123">
        <f t="shared" si="43"/>
        <v>-3</v>
      </c>
      <c r="AM90" s="123">
        <f t="shared" si="44"/>
        <v>0</v>
      </c>
      <c r="AN90" s="123">
        <f t="shared" si="45"/>
        <v>2</v>
      </c>
      <c r="AP90" s="123">
        <f>AN90/AN92*10000+AM90/AM92*1000+AI90/AI92*100+IF(AQ90=0,ROW(),AQ90)/2000000</f>
        <v>4033.3340725083335</v>
      </c>
      <c r="AQ90" s="126">
        <f t="shared" si="37"/>
        <v>1478.35</v>
      </c>
      <c r="AR90" s="125" t="str">
        <f t="shared" si="50"/>
        <v>ABCDEHIJ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Ⓛ Panama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4 - 6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11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6</v>
      </c>
      <c r="AK91" s="123" t="s">
        <v>3192</v>
      </c>
      <c r="AL91" s="123">
        <f>VLOOKUP($AE91,$AE$8:$AQ$78,8,FALSE)</f>
        <v>-2</v>
      </c>
      <c r="AM91" s="123">
        <f t="shared" si="44"/>
        <v>1</v>
      </c>
      <c r="AN91" s="123">
        <f>VLOOKUP($AE91,$AE$8:$AQ$78,10,FALSE)</f>
        <v>1</v>
      </c>
      <c r="AP91" s="123">
        <f>AN91/AN92*10000+AM91/AM92*1000+AI91/AI92*100+IF(AQ91=0,ROW(),AQ91)/2000000</f>
        <v>2233.3341036533329</v>
      </c>
      <c r="AQ91" s="126">
        <f t="shared" si="37"/>
        <v>1540.64</v>
      </c>
      <c r="AR91" s="125" t="str">
        <f t="shared" si="50"/>
        <v>ABCDEHIJ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Ⓕ Sweden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4 - 7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8</v>
      </c>
      <c r="AL92" s="123">
        <f>MIN(AL80:AL91)</f>
        <v>-3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470</v>
      </c>
      <c r="C3" s="121" t="str">
        <f>'2026 World Cup'!AR91</f>
        <v>ABCDEHIJ</v>
      </c>
      <c r="D3" s="121" t="str">
        <f>VLOOKUP($C3,$C$6:$K$500,2,FALSE)</f>
        <v>3H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3E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Carlos Álvarez</cp:lastModifiedBy>
  <cp:revision/>
  <dcterms:created xsi:type="dcterms:W3CDTF">2017-12-27T19:32:51Z</dcterms:created>
  <dcterms:modified xsi:type="dcterms:W3CDTF">2026-06-06T17:29:02Z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