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 Cubillo\Documents\"/>
    </mc:Choice>
  </mc:AlternateContent>
  <xr:revisionPtr revIDLastSave="0" documentId="8_{19BBDAC9-2FF6-44AB-9754-ACA5233A1CDD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S51" i="3"/>
  <c r="T51" i="3" s="1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7" i="3"/>
  <c r="T28" i="3"/>
  <c r="S54" i="3"/>
  <c r="S77" i="3"/>
  <c r="T78" i="3"/>
  <c r="S50" i="3"/>
  <c r="S76" i="3"/>
  <c r="S47" i="3"/>
  <c r="S67" i="3"/>
  <c r="T23" i="3"/>
  <c r="T48" i="3"/>
  <c r="T43" i="3"/>
  <c r="S72" i="3"/>
  <c r="T19" i="3"/>
  <c r="T46" i="3"/>
  <c r="S70" i="3"/>
  <c r="T21" i="3"/>
  <c r="S42" i="3"/>
  <c r="S64" i="3"/>
  <c r="T63" i="3"/>
  <c r="S40" i="3"/>
  <c r="S62" i="3"/>
  <c r="S38" i="3"/>
  <c r="S65" i="3"/>
  <c r="T37" i="3"/>
  <c r="S55" i="3"/>
  <c r="T56" i="3"/>
  <c r="S57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33" i="3" l="1"/>
  <c r="AR34" i="3"/>
  <c r="AR9" i="3"/>
  <c r="AD9" i="3" s="1"/>
  <c r="AR35" i="3"/>
  <c r="AD33" i="3" s="1"/>
  <c r="AR28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D70" i="3" s="1"/>
  <c r="AR71" i="3"/>
  <c r="AR27" i="3"/>
  <c r="AR23" i="3"/>
  <c r="AR51" i="3"/>
  <c r="AR52" i="3"/>
  <c r="AR53" i="3"/>
  <c r="AR46" i="3"/>
  <c r="AR15" i="3"/>
  <c r="AR45" i="3"/>
  <c r="AR63" i="3"/>
  <c r="AR47" i="3"/>
  <c r="AD44" i="3" s="1"/>
  <c r="AR64" i="3"/>
  <c r="AD62" i="3" s="1"/>
  <c r="AR39" i="3"/>
  <c r="AD56" i="3"/>
  <c r="M58" i="3" s="1"/>
  <c r="AR16" i="3"/>
  <c r="AR17" i="3"/>
  <c r="AD14" i="3" s="1"/>
  <c r="AD59" i="3"/>
  <c r="AD11" i="3" l="1"/>
  <c r="AD10" i="3"/>
  <c r="AD8" i="3"/>
  <c r="O11" i="3" s="1"/>
  <c r="AD35" i="3"/>
  <c r="AD32" i="3"/>
  <c r="N33" i="3" s="1"/>
  <c r="AD34" i="3"/>
  <c r="AD75" i="3"/>
  <c r="AD68" i="3"/>
  <c r="AD28" i="3"/>
  <c r="AD22" i="3"/>
  <c r="AD15" i="3"/>
  <c r="M59" i="3"/>
  <c r="AD41" i="3"/>
  <c r="L58" i="3"/>
  <c r="P58" i="3" s="1"/>
  <c r="N58" i="3"/>
  <c r="O60" i="3"/>
  <c r="L59" i="3"/>
  <c r="AD74" i="3"/>
  <c r="AD47" i="3"/>
  <c r="AD71" i="3"/>
  <c r="AD29" i="3"/>
  <c r="AD21" i="3"/>
  <c r="AD26" i="3"/>
  <c r="AD27" i="3"/>
  <c r="AD63" i="3"/>
  <c r="O63" i="3" s="1"/>
  <c r="AD76" i="3"/>
  <c r="AD20" i="3"/>
  <c r="AD53" i="3"/>
  <c r="AD69" i="3"/>
  <c r="AD39" i="3"/>
  <c r="L57" i="3"/>
  <c r="AD64" i="3"/>
  <c r="N63" i="3" s="1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12" i="3"/>
  <c r="N12" i="3"/>
  <c r="O9" i="3"/>
  <c r="N9" i="3"/>
  <c r="O12" i="3"/>
  <c r="M9" i="3"/>
  <c r="L12" i="3"/>
  <c r="M12" i="3"/>
  <c r="J10" i="3"/>
  <c r="AS9" i="3" s="1"/>
  <c r="BL18" i="3" s="1"/>
  <c r="L35" i="3" l="1"/>
  <c r="N36" i="3"/>
  <c r="O36" i="3"/>
  <c r="M11" i="3"/>
  <c r="N11" i="3"/>
  <c r="J33" i="3"/>
  <c r="AS32" i="3" s="1"/>
  <c r="BL10" i="3" s="1"/>
  <c r="J36" i="3"/>
  <c r="O10" i="3"/>
  <c r="L10" i="3"/>
  <c r="J35" i="3"/>
  <c r="AE84" i="3" s="1"/>
  <c r="AQ84" i="3" s="1"/>
  <c r="J34" i="3"/>
  <c r="AS33" i="3" s="1"/>
  <c r="BL46" i="3" s="1"/>
  <c r="M63" i="3"/>
  <c r="L63" i="3"/>
  <c r="L69" i="3"/>
  <c r="J63" i="3"/>
  <c r="AS62" i="3" s="1"/>
  <c r="BL58" i="3" s="1"/>
  <c r="BS60" i="3" s="1"/>
  <c r="BZ64" i="3" s="1"/>
  <c r="J11" i="3"/>
  <c r="AE80" i="3" s="1"/>
  <c r="AQ80" i="3" s="1"/>
  <c r="J9" i="3"/>
  <c r="AS8" i="3" s="1"/>
  <c r="BL50" i="3" s="1"/>
  <c r="N10" i="3"/>
  <c r="L11" i="3"/>
  <c r="N34" i="3"/>
  <c r="M10" i="3"/>
  <c r="M35" i="3"/>
  <c r="P35" i="3" s="1"/>
  <c r="M34" i="3"/>
  <c r="N35" i="3"/>
  <c r="M36" i="3"/>
  <c r="L34" i="3"/>
  <c r="M33" i="3"/>
  <c r="L9" i="3"/>
  <c r="P9" i="3" s="1"/>
  <c r="L36" i="3"/>
  <c r="O33" i="3"/>
  <c r="O35" i="3"/>
  <c r="J69" i="3"/>
  <c r="AS68" i="3" s="1"/>
  <c r="BL70" i="3" s="1"/>
  <c r="O34" i="3"/>
  <c r="L33" i="3"/>
  <c r="O69" i="3"/>
  <c r="N69" i="3"/>
  <c r="L76" i="3"/>
  <c r="N17" i="3"/>
  <c r="P59" i="3"/>
  <c r="M69" i="3"/>
  <c r="J47" i="3"/>
  <c r="AE86" i="3" s="1"/>
  <c r="AQ86" i="3" s="1"/>
  <c r="J45" i="3"/>
  <c r="AS44" i="3" s="1"/>
  <c r="BL38" i="3" s="1"/>
  <c r="N45" i="3"/>
  <c r="O45" i="3"/>
  <c r="M45" i="3"/>
  <c r="L45" i="3"/>
  <c r="K58" i="3"/>
  <c r="J51" i="3"/>
  <c r="AS50" i="3" s="1"/>
  <c r="BL30" i="3" s="1"/>
  <c r="J39" i="3"/>
  <c r="AS38" i="3" s="1"/>
  <c r="BL22" i="3" s="1"/>
  <c r="L46" i="3"/>
  <c r="K59" i="3"/>
  <c r="L75" i="3"/>
  <c r="M75" i="3"/>
  <c r="AF88" i="3"/>
  <c r="O64" i="3"/>
  <c r="N16" i="3"/>
  <c r="M29" i="3"/>
  <c r="L18" i="3"/>
  <c r="J18" i="3"/>
  <c r="M18" i="3"/>
  <c r="N18" i="3"/>
  <c r="O18" i="3"/>
  <c r="AG88" i="3"/>
  <c r="L78" i="3"/>
  <c r="M27" i="3"/>
  <c r="M17" i="3"/>
  <c r="M76" i="3"/>
  <c r="J76" i="3"/>
  <c r="AS75" i="3" s="1"/>
  <c r="BL27" i="3" s="1"/>
  <c r="O76" i="3"/>
  <c r="N76" i="3"/>
  <c r="J75" i="3"/>
  <c r="AS74" i="3" s="1"/>
  <c r="BL54" i="3" s="1"/>
  <c r="M47" i="3"/>
  <c r="N75" i="3"/>
  <c r="O75" i="3"/>
  <c r="AI88" i="3"/>
  <c r="J22" i="3"/>
  <c r="AS21" i="3" s="1"/>
  <c r="BL23" i="3" s="1"/>
  <c r="L47" i="3"/>
  <c r="AJ88" i="3"/>
  <c r="M54" i="3"/>
  <c r="L16" i="3"/>
  <c r="N46" i="3"/>
  <c r="N47" i="3"/>
  <c r="O16" i="3"/>
  <c r="J16" i="3"/>
  <c r="AS15" i="3" s="1"/>
  <c r="BL19" i="3" s="1"/>
  <c r="M16" i="3"/>
  <c r="N39" i="3"/>
  <c r="M48" i="3"/>
  <c r="N48" i="3"/>
  <c r="AN88" i="3"/>
  <c r="O70" i="3"/>
  <c r="N28" i="3"/>
  <c r="N30" i="3"/>
  <c r="O27" i="3"/>
  <c r="O30" i="3"/>
  <c r="O51" i="3"/>
  <c r="J46" i="3"/>
  <c r="AS45" i="3" s="1"/>
  <c r="BL63" i="3" s="1"/>
  <c r="N29" i="3"/>
  <c r="M30" i="3"/>
  <c r="M28" i="3"/>
  <c r="J48" i="3"/>
  <c r="N27" i="3"/>
  <c r="N51" i="3"/>
  <c r="L51" i="3"/>
  <c r="O39" i="3"/>
  <c r="L48" i="3"/>
  <c r="M39" i="3"/>
  <c r="L29" i="3"/>
  <c r="N54" i="3"/>
  <c r="J52" i="3"/>
  <c r="AS51" i="3" s="1"/>
  <c r="BL59" i="3" s="1"/>
  <c r="N78" i="3"/>
  <c r="J65" i="3"/>
  <c r="AE89" i="3" s="1"/>
  <c r="AQ89" i="3" s="1"/>
  <c r="J29" i="3"/>
  <c r="AE83" i="3" s="1"/>
  <c r="AQ83" i="3" s="1"/>
  <c r="O65" i="3"/>
  <c r="N65" i="3"/>
  <c r="J30" i="3"/>
  <c r="M51" i="3"/>
  <c r="M78" i="3"/>
  <c r="J27" i="3"/>
  <c r="AS26" i="3" s="1"/>
  <c r="BL34" i="3" s="1"/>
  <c r="M65" i="3"/>
  <c r="J78" i="3"/>
  <c r="L65" i="3"/>
  <c r="M46" i="3"/>
  <c r="L30" i="3"/>
  <c r="AT88" i="3"/>
  <c r="N40" i="3"/>
  <c r="J28" i="3"/>
  <c r="AS27" i="3" s="1"/>
  <c r="BL62" i="3" s="1"/>
  <c r="BS61" i="3" s="1"/>
  <c r="N77" i="3"/>
  <c r="N22" i="3"/>
  <c r="O23" i="3"/>
  <c r="M21" i="3"/>
  <c r="O77" i="3"/>
  <c r="L77" i="3"/>
  <c r="L42" i="3"/>
  <c r="O28" i="3"/>
  <c r="N21" i="3"/>
  <c r="N70" i="3"/>
  <c r="L54" i="3"/>
  <c r="L39" i="3"/>
  <c r="L28" i="3"/>
  <c r="O24" i="3"/>
  <c r="O22" i="3"/>
  <c r="M70" i="3"/>
  <c r="N52" i="3"/>
  <c r="O48" i="3"/>
  <c r="O40" i="3"/>
  <c r="L27" i="3"/>
  <c r="N24" i="3"/>
  <c r="L66" i="3"/>
  <c r="M77" i="3"/>
  <c r="J77" i="3"/>
  <c r="AE91" i="3" s="1"/>
  <c r="AQ91" i="3" s="1"/>
  <c r="L40" i="3"/>
  <c r="M40" i="3"/>
  <c r="O78" i="3"/>
  <c r="O29" i="3"/>
  <c r="J70" i="3"/>
  <c r="AS69" i="3" s="1"/>
  <c r="BL26" i="3" s="1"/>
  <c r="L70" i="3"/>
  <c r="L23" i="3"/>
  <c r="J71" i="3"/>
  <c r="AE90" i="3" s="1"/>
  <c r="AQ90" i="3" s="1"/>
  <c r="J40" i="3"/>
  <c r="AS39" i="3" s="1"/>
  <c r="BL43" i="3" s="1"/>
  <c r="L22" i="3"/>
  <c r="J72" i="3"/>
  <c r="O72" i="3"/>
  <c r="J41" i="3"/>
  <c r="AE85" i="3" s="1"/>
  <c r="AQ85" i="3" s="1"/>
  <c r="O21" i="3"/>
  <c r="O71" i="3"/>
  <c r="M24" i="3"/>
  <c r="L24" i="3"/>
  <c r="N53" i="3"/>
  <c r="N72" i="3"/>
  <c r="M71" i="3"/>
  <c r="L21" i="3"/>
  <c r="M41" i="3"/>
  <c r="L71" i="3"/>
  <c r="J21" i="3"/>
  <c r="AS20" i="3" s="1"/>
  <c r="BL42" i="3" s="1"/>
  <c r="BS44" i="3" s="1"/>
  <c r="BZ48" i="3" s="1"/>
  <c r="O46" i="3"/>
  <c r="M72" i="3"/>
  <c r="L72" i="3"/>
  <c r="N71" i="3"/>
  <c r="J24" i="3"/>
  <c r="K57" i="3"/>
  <c r="J42" i="3"/>
  <c r="N64" i="3"/>
  <c r="M64" i="3"/>
  <c r="J64" i="3"/>
  <c r="AS63" i="3" s="1"/>
  <c r="BL31" i="3" s="1"/>
  <c r="M42" i="3"/>
  <c r="J66" i="3"/>
  <c r="L17" i="3"/>
  <c r="P57" i="3"/>
  <c r="L64" i="3"/>
  <c r="O66" i="3"/>
  <c r="O47" i="3"/>
  <c r="M22" i="3"/>
  <c r="O17" i="3"/>
  <c r="N66" i="3"/>
  <c r="M66" i="3"/>
  <c r="O42" i="3"/>
  <c r="L15" i="3"/>
  <c r="O54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63" i="3"/>
  <c r="K63" i="3"/>
  <c r="AF84" i="3"/>
  <c r="P12" i="3"/>
  <c r="K12" i="3"/>
  <c r="AT84" i="3" l="1"/>
  <c r="AN84" i="3"/>
  <c r="AL84" i="3"/>
  <c r="AH84" i="3"/>
  <c r="P11" i="3"/>
  <c r="AJ84" i="3"/>
  <c r="AI84" i="3"/>
  <c r="AG84" i="3"/>
  <c r="P10" i="3"/>
  <c r="AT80" i="3"/>
  <c r="AL80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S96" i="3" s="1"/>
  <c r="T96" i="3" s="1" a="1"/>
  <c r="T96" i="3" s="1"/>
  <c r="AN80" i="3"/>
  <c r="AH80" i="3"/>
  <c r="AJ80" i="3"/>
  <c r="AI80" i="3"/>
  <c r="AG80" i="3"/>
  <c r="AF80" i="3"/>
  <c r="K11" i="3"/>
  <c r="K10" i="3"/>
  <c r="P34" i="3"/>
  <c r="K36" i="3"/>
  <c r="K35" i="3"/>
  <c r="K9" i="3"/>
  <c r="AH86" i="3"/>
  <c r="K34" i="3"/>
  <c r="AT86" i="3"/>
  <c r="AL86" i="3"/>
  <c r="AJ86" i="3"/>
  <c r="AN86" i="3"/>
  <c r="AI86" i="3"/>
  <c r="K33" i="3"/>
  <c r="P33" i="3"/>
  <c r="P36" i="3"/>
  <c r="K69" i="3"/>
  <c r="P75" i="3"/>
  <c r="P69" i="3"/>
  <c r="AG86" i="3"/>
  <c r="P18" i="3"/>
  <c r="K45" i="3"/>
  <c r="AF86" i="3"/>
  <c r="P76" i="3"/>
  <c r="P39" i="3"/>
  <c r="P45" i="3"/>
  <c r="K18" i="3"/>
  <c r="K75" i="3"/>
  <c r="P29" i="3"/>
  <c r="P46" i="3"/>
  <c r="K48" i="3"/>
  <c r="P27" i="3"/>
  <c r="P17" i="3"/>
  <c r="K76" i="3"/>
  <c r="P16" i="3"/>
  <c r="AN83" i="3"/>
  <c r="AT83" i="3"/>
  <c r="K47" i="3"/>
  <c r="K22" i="3"/>
  <c r="P66" i="3"/>
  <c r="P47" i="3"/>
  <c r="P54" i="3"/>
  <c r="K16" i="3"/>
  <c r="P77" i="3"/>
  <c r="K24" i="3"/>
  <c r="P30" i="3"/>
  <c r="P72" i="3"/>
  <c r="K29" i="3"/>
  <c r="AI83" i="3"/>
  <c r="AL83" i="3"/>
  <c r="AH83" i="3"/>
  <c r="AL89" i="3"/>
  <c r="AG81" i="3"/>
  <c r="K30" i="3"/>
  <c r="AG89" i="3"/>
  <c r="AG83" i="3"/>
  <c r="AF81" i="3"/>
  <c r="K78" i="3"/>
  <c r="K27" i="3"/>
  <c r="AN81" i="3"/>
  <c r="AT90" i="3"/>
  <c r="K51" i="3"/>
  <c r="AN85" i="3"/>
  <c r="AL87" i="3"/>
  <c r="AJ85" i="3"/>
  <c r="AI85" i="3"/>
  <c r="AJ83" i="3"/>
  <c r="AT89" i="3"/>
  <c r="AL85" i="3"/>
  <c r="AN89" i="3"/>
  <c r="AT85" i="3"/>
  <c r="AT87" i="3"/>
  <c r="AF83" i="3"/>
  <c r="AF89" i="3"/>
  <c r="P51" i="3"/>
  <c r="AJ89" i="3"/>
  <c r="AI89" i="3"/>
  <c r="AT81" i="3"/>
  <c r="AH89" i="3"/>
  <c r="K72" i="3"/>
  <c r="P65" i="3"/>
  <c r="AG85" i="3"/>
  <c r="AJ87" i="3"/>
  <c r="P78" i="3"/>
  <c r="P28" i="3"/>
  <c r="AI90" i="3"/>
  <c r="P71" i="3"/>
  <c r="AH90" i="3"/>
  <c r="AF90" i="3"/>
  <c r="K40" i="3"/>
  <c r="AL90" i="3"/>
  <c r="K17" i="3"/>
  <c r="AN90" i="3"/>
  <c r="P23" i="3"/>
  <c r="P48" i="3"/>
  <c r="P52" i="3"/>
  <c r="K77" i="3"/>
  <c r="AJ90" i="3"/>
  <c r="AG90" i="3"/>
  <c r="K64" i="3"/>
  <c r="K54" i="3"/>
  <c r="AT91" i="3"/>
  <c r="AN91" i="3"/>
  <c r="AL91" i="3"/>
  <c r="AH85" i="3"/>
  <c r="K46" i="3"/>
  <c r="K65" i="3"/>
  <c r="AJ91" i="3"/>
  <c r="K39" i="3"/>
  <c r="K71" i="3"/>
  <c r="P40" i="3"/>
  <c r="P70" i="3"/>
  <c r="P21" i="3"/>
  <c r="K70" i="3"/>
  <c r="P41" i="3"/>
  <c r="K42" i="3"/>
  <c r="P15" i="3"/>
  <c r="AI91" i="3"/>
  <c r="K21" i="3"/>
  <c r="AH91" i="3"/>
  <c r="K28" i="3"/>
  <c r="AG91" i="3"/>
  <c r="AF91" i="3"/>
  <c r="P24" i="3"/>
  <c r="AN87" i="3"/>
  <c r="P42" i="3"/>
  <c r="K53" i="3"/>
  <c r="AT82" i="3"/>
  <c r="K15" i="3"/>
  <c r="AH87" i="3"/>
  <c r="AL81" i="3"/>
  <c r="AH82" i="3"/>
  <c r="K41" i="3"/>
  <c r="AF87" i="3"/>
  <c r="AJ81" i="3"/>
  <c r="AG82" i="3"/>
  <c r="P64" i="3"/>
  <c r="AN82" i="3"/>
  <c r="AJ82" i="3"/>
  <c r="AI81" i="3"/>
  <c r="AF82" i="3"/>
  <c r="AI82" i="3"/>
  <c r="AF85" i="3"/>
  <c r="AG87" i="3"/>
  <c r="AH81" i="3"/>
  <c r="K23" i="3"/>
  <c r="P53" i="3"/>
  <c r="P22" i="3"/>
  <c r="K66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AJ92" i="3"/>
  <c r="AH92" i="3"/>
  <c r="AF92" i="3"/>
  <c r="AS92" i="3"/>
  <c r="AG92" i="3"/>
  <c r="AN92" i="3"/>
  <c r="AI92" i="3"/>
  <c r="AL92" i="3"/>
  <c r="AM88" i="3" s="1"/>
  <c r="S103" i="3" l="1"/>
  <c r="T103" i="3" s="1" a="1"/>
  <c r="T103" i="3" s="1"/>
  <c r="CG24" i="3"/>
  <c r="S111" i="3" s="1"/>
  <c r="T111" i="3" s="1"/>
  <c r="AM84" i="3"/>
  <c r="AM85" i="3"/>
  <c r="AM87" i="3"/>
  <c r="AM86" i="3"/>
  <c r="AM80" i="3"/>
  <c r="AM81" i="3"/>
  <c r="AM89" i="3"/>
  <c r="AM90" i="3"/>
  <c r="AM82" i="3"/>
  <c r="AM91" i="3"/>
  <c r="AM83" i="3"/>
  <c r="AM92" i="3" s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S102" i="3" l="1"/>
  <c r="T102" i="3" s="1" a="1"/>
  <c r="T102" i="3" s="1"/>
  <c r="CG23" i="3"/>
  <c r="AD85" i="3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CN37" i="3" l="1"/>
  <c r="CN48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CN49" i="3" s="1"/>
  <c r="BL51" i="3"/>
  <c r="BS69" i="3"/>
  <c r="BZ65" i="3" s="1"/>
  <c r="CG56" i="3" s="1"/>
  <c r="CN38" i="3" s="1"/>
  <c r="CK68" i="3" s="1"/>
  <c r="BL71" i="3"/>
  <c r="BL67" i="3"/>
  <c r="BS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<sst xmlns="http://schemas.openxmlformats.org/spreadsheetml/2006/main" count="9785" uniqueCount="3699">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</sst>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N12" zoomScaleNormal="100" workbookViewId="0">
      <selection activeCell="CB26" sqref="CB26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0</v>
      </c>
      <c r="AH8" s="123">
        <f>COUNTIF($S$7:$T$78,"=" &amp; AE8 &amp; "_lose")</f>
        <v>2</v>
      </c>
      <c r="AI8" s="123">
        <f>SUMIF($E$7:$E$78,$AE8,$F$7:$F$78) + SUMIF($H$7:$H$78,$AE8,$G$7:$G$78)</f>
        <v>3</v>
      </c>
      <c r="AJ8" s="123">
        <f>SUMIF($E$7:$E$78,$AE8,$G$7:$G$78) + SUMIF($H$7:$H$78,$AE8,$F$7:$F$78)</f>
        <v>4</v>
      </c>
      <c r="AL8" s="123">
        <f>AI8-AJ8</f>
        <v>-1</v>
      </c>
      <c r="AM8" s="123">
        <f>AL8-AL12</f>
        <v>2</v>
      </c>
      <c r="AN8" s="123">
        <f>AF8*3+AG8</f>
        <v>3</v>
      </c>
      <c r="AO8" s="123">
        <f>AN8/AN12*10+BA8</f>
        <v>3.75</v>
      </c>
      <c r="AP8" s="123">
        <f>AO8*10000000+BI8*100+AM8/AM12*10+AI8/AI12*1++IF(AQ8=0,ROW(),AQ8)/2000000</f>
        <v>37500003.834173851</v>
      </c>
      <c r="AQ8" s="126">
        <f>VLOOKUP(AE8,db_fifarank,2,FALSE)</f>
        <v>1681.03</v>
      </c>
      <c r="AR8" s="125">
        <f>AP8/AP12</f>
        <v>0.38538249927335083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1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0.33404819833333332</v>
      </c>
      <c r="AQ9" s="126">
        <f>VLOOKUP(AE9,db_fifarank,2,FALSE)</f>
        <v>1429.73</v>
      </c>
      <c r="AR9" s="125">
        <f>AP9/AP12</f>
        <v>3.4329684370363244E-9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3 - 1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1</v>
      </c>
      <c r="AL10" s="123">
        <f>AI10-AJ10</f>
        <v>2</v>
      </c>
      <c r="AM10" s="123">
        <f>AL10-AL12</f>
        <v>5</v>
      </c>
      <c r="AN10" s="123">
        <f>AF10*3+AG10</f>
        <v>7</v>
      </c>
      <c r="AO10" s="123">
        <f>AN10/AN12*10+BA10</f>
        <v>9.7305825242718456</v>
      </c>
      <c r="AP10" s="123">
        <f>AO10*10000000+BI10*100+AM10/AM12*10+AI10/AI12*1++IF(AQ10=0,ROW(),AQ10)/2000000</f>
        <v>97305932.135098547</v>
      </c>
      <c r="AQ10" s="126">
        <f>VLOOKUP(AE10,db_fifarank,2,FALSE)</f>
        <v>1588.66</v>
      </c>
      <c r="AR10" s="125">
        <f>AP10/AP12</f>
        <v>0.99999998629796116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4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3</v>
      </c>
      <c r="AL11" s="123">
        <f>AI11-AJ11</f>
        <v>2</v>
      </c>
      <c r="AM11" s="123">
        <f>AL11-AL12</f>
        <v>5</v>
      </c>
      <c r="AN11" s="123">
        <f>AF11*3+AG11</f>
        <v>7</v>
      </c>
      <c r="AO11" s="123">
        <f>AN11/AN12*10+BA11</f>
        <v>9.7305825242718456</v>
      </c>
      <c r="AP11" s="123">
        <f>AO11*10000000+BI11*100+AM11/AM12*10+AI11/AI12*1++IF(AQ11=0,ROW(),AQ11)/2000000</f>
        <v>97305932.46838823</v>
      </c>
      <c r="AQ11" s="126">
        <f>VLOOKUP(AE11,db_fifarank,2,FALSE)</f>
        <v>1501.38</v>
      </c>
      <c r="AR11" s="125">
        <f>AP11/AP12</f>
        <v>0.99999998972313442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97305933.46838823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Norway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2</v>
      </c>
      <c r="AL14" s="123">
        <f>AI14-AJ14</f>
        <v>4</v>
      </c>
      <c r="AM14" s="123">
        <f>AL14-AL18</f>
        <v>8</v>
      </c>
      <c r="AN14" s="123">
        <f>AF14*3+AG14</f>
        <v>7</v>
      </c>
      <c r="AO14" s="123">
        <f>AN14/AN18*10+BA14</f>
        <v>9.7401477832512313</v>
      </c>
      <c r="AP14" s="123">
        <f>AO14*10000000+BI14*100+AM14/AM18*10+AI14/AI18*1++IF(AQ14=0,ROW(),AQ14)/2000000</f>
        <v>97401586.594100639</v>
      </c>
      <c r="AQ14" s="126">
        <f>VLOOKUP(AE14,db_fifarank,2,FALSE)</f>
        <v>1556.48</v>
      </c>
      <c r="AR14" s="125">
        <f>AP14/AP18</f>
        <v>0.9999999897332269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100.5</v>
      </c>
      <c r="BA14" s="126">
        <f>AZ14/AZ18</f>
        <v>0.99014778325123154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100.5</v>
      </c>
      <c r="BI14" s="126">
        <f>BH14/BH18</f>
        <v>0.99014778325123154</v>
      </c>
      <c r="BK14" s="131">
        <v>77</v>
      </c>
      <c r="BL14" s="24" t="str">
        <f>AS56</f>
        <v>Norway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0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5</v>
      </c>
      <c r="AL15" s="123">
        <f>AI15-AJ15</f>
        <v>-3</v>
      </c>
      <c r="AM15" s="123">
        <f>AL15-AL18</f>
        <v>1</v>
      </c>
      <c r="AN15" s="123">
        <f>AF15*3+AG15</f>
        <v>1</v>
      </c>
      <c r="AO15" s="123">
        <f>AN15/AN18*10+BA15</f>
        <v>2.2352216748768474</v>
      </c>
      <c r="AP15" s="123">
        <f>AO15*10000000+BI15*100+AM15/AM18*10+AI15/AI18*1++IF(AQ15=0,ROW(),AQ15)/2000000</f>
        <v>22352316.668454282</v>
      </c>
      <c r="AQ15" s="126">
        <f>VLOOKUP(AE15,db_fifarank,2,FALSE)</f>
        <v>1385.84</v>
      </c>
      <c r="AR15" s="125">
        <f>AP15/AP18</f>
        <v>0.22948616363013064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100</v>
      </c>
      <c r="BA15" s="126">
        <f>AZ15/AZ18</f>
        <v>0.98522167487684731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100</v>
      </c>
      <c r="BI15" s="126">
        <f>BH15/BH18</f>
        <v>0.98522167487684731</v>
      </c>
      <c r="BK15" s="132"/>
      <c r="BL15" s="26" t="str">
        <f>IF(group_round_completed,VLOOKUP('3rd places'!I3,AK80:AS91,9,FALSE),"3rd Group C/D/F/G/H")</f>
        <v>Paraguay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4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2.2352216748768474</v>
      </c>
      <c r="AP16" s="123">
        <f>AO16*10000000+BI16*100+AM16/AM18*10+AI16/AI18*1++IF(AQ16=0,ROW(),AQ16)/2000000</f>
        <v>22352315.271663442</v>
      </c>
      <c r="AQ16" s="126">
        <f>VLOOKUP(AE16,db_fifarank,2,FALSE)</f>
        <v>1454.96</v>
      </c>
      <c r="AR16" s="125">
        <f>AP16/AP18</f>
        <v>0.22948614928959601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100</v>
      </c>
      <c r="BA16" s="126">
        <f>AZ16/AZ18</f>
        <v>0.98522167487684731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100</v>
      </c>
      <c r="BI16" s="126">
        <f>BH16/BH18</f>
        <v>0.98522167487684731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Norway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2 - 5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7</v>
      </c>
      <c r="AN17" s="123">
        <f>AF17*3+AG17</f>
        <v>7</v>
      </c>
      <c r="AO17" s="123">
        <f>AN17/AN18*10+BA17</f>
        <v>9.7401477832512313</v>
      </c>
      <c r="AP17" s="123">
        <f>AO17*10000000+BI17*100+AM17/AM18*10+AI17/AI18*1++IF(AQ17=0,ROW(),AQ17)/2000000</f>
        <v>97401585.340178847</v>
      </c>
      <c r="AQ17" s="126">
        <f>VLOOKUP(AE17,db_fifarank,2,FALSE)</f>
        <v>1649.4</v>
      </c>
      <c r="AR17" s="125">
        <f>AP17/AP18</f>
        <v>0.99999997685949638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100.5</v>
      </c>
      <c r="BA17" s="126">
        <f>AZ17/AZ18</f>
        <v>0.99014778325123154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100.5</v>
      </c>
      <c r="BI17" s="126">
        <f>BH17/BH18</f>
        <v>0.99014778325123154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7</v>
      </c>
      <c r="AL18" s="123">
        <f>MIN(AL14:AL17)</f>
        <v>-4</v>
      </c>
      <c r="AM18" s="123">
        <f>MAX(AM14:AM17)+1</f>
        <v>9</v>
      </c>
      <c r="AN18" s="123">
        <f>MAX(AN14:AN17)+1</f>
        <v>8</v>
      </c>
      <c r="AO18" s="123">
        <f>MAX(AO14:AO17)+1</f>
        <v>10.740147783251231</v>
      </c>
      <c r="AP18" s="123">
        <f>MAX(AP14:AP17)+1</f>
        <v>97401587.594100639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101.5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101.5</v>
      </c>
      <c r="BK18" s="13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3</v>
      </c>
      <c r="AL20" s="123">
        <f>AI20-AJ20</f>
        <v>4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90000010.106649816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7 - 3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2</v>
      </c>
      <c r="AL21" s="123">
        <f>AI21-AJ21</f>
        <v>2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60000008.193185627</v>
      </c>
      <c r="AQ21" s="126">
        <f>VLOOKUP(AE21,db_fifarank,2,FALSE)</f>
        <v>1755.87</v>
      </c>
      <c r="AR21" s="125">
        <f>AP21/AP24</f>
        <v>0.66666667543058133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9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0.125645855</v>
      </c>
      <c r="AQ22" s="126">
        <f>VLOOKUP(AE22,db_fifarank,2,FALSE)</f>
        <v>1291.71</v>
      </c>
      <c r="AR22" s="125">
        <f>AP22/AP24</f>
        <v>1.396064883271069E-9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Sweden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5 - 3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3</v>
      </c>
      <c r="AL23" s="123">
        <f>AI23-AJ23</f>
        <v>2</v>
      </c>
      <c r="AM23" s="123">
        <f>AL23-AL24</f>
        <v>10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30000008.318056867</v>
      </c>
      <c r="AQ23" s="126">
        <f>VLOOKUP(AE23,db_fifarank,2,FALSE)</f>
        <v>1498.35</v>
      </c>
      <c r="AR23" s="125">
        <f>AP23/AP24</f>
        <v>0.33333338462044104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Norway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90000011.106649816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England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8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60000006.215122283</v>
      </c>
      <c r="AQ26" s="126">
        <f>VLOOKUP(AE26,db_fifarank,2,FALSE)</f>
        <v>1673.13</v>
      </c>
      <c r="AR26" s="125">
        <f>AP26/AP30</f>
        <v>0.66666665304570261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7 - 0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4</v>
      </c>
      <c r="AL27" s="123">
        <f>AI27-AJ27</f>
        <v>-3</v>
      </c>
      <c r="AM27" s="123">
        <f>AL27-AL30</f>
        <v>3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30000002.26860889</v>
      </c>
      <c r="AQ27" s="126">
        <f>VLOOKUP(AE27,db_fifarank,2,FALSE)</f>
        <v>1503.5</v>
      </c>
      <c r="AR27" s="125">
        <f>AP27/AP30</f>
        <v>0.33333331720116077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3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6</v>
      </c>
      <c r="AL28" s="123">
        <f>AI28-AJ28</f>
        <v>-6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8.7814989109464303E-12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1 - 4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0</v>
      </c>
      <c r="AL29" s="123">
        <f>AI29-AJ29</f>
        <v>7</v>
      </c>
      <c r="AM29" s="123">
        <f>AL29-AL30</f>
        <v>13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90000010.161513805</v>
      </c>
      <c r="AQ29" s="126">
        <f>VLOOKUP(AE29,db_fifarank,2,FALSE)</f>
        <v>1599.04</v>
      </c>
      <c r="AR29" s="125">
        <f>AP29/AP30</f>
        <v>0.9999999888888903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0</v>
      </c>
      <c r="BU29" s="64"/>
      <c r="BV29" s="27"/>
      <c r="BW29" s="113">
        <f>IF(BW28="","",BT29*1000+BU29*10+BV29)</f>
        <v>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8</v>
      </c>
      <c r="AL30" s="123">
        <f>MIN(AL26:AL29)</f>
        <v>-6</v>
      </c>
      <c r="AM30" s="123">
        <f>MAX(AM26:AM29)+1</f>
        <v>14</v>
      </c>
      <c r="AN30" s="123">
        <f>MAX(AN26:AN29)+1</f>
        <v>10</v>
      </c>
      <c r="AO30" s="123">
        <f>MAX(AO26:AO29)+1</f>
        <v>10</v>
      </c>
      <c r="AP30" s="123">
        <f>MAX(AP26:AP29)+1</f>
        <v>90000011.161513805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10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87500009.966774285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England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6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1.25</v>
      </c>
      <c r="AP33" s="123">
        <f>AO33*10000000+BI33*100+AM33/AM36*10+AI33/AI36*1++IF(AQ33=0,ROW(),AQ33)/2000000</f>
        <v>12500000.125647325</v>
      </c>
      <c r="AQ33" s="126">
        <f>VLOOKUP(AE33,db_fifarank,2,FALSE)</f>
        <v>1294.6500000000001</v>
      </c>
      <c r="AR33" s="125">
        <f>AP33/AP36</f>
        <v>0.14285712638817674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0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3</v>
      </c>
      <c r="AL34" s="123">
        <f>AI34-AJ34</f>
        <v>2</v>
      </c>
      <c r="AM34" s="123">
        <f>AL34-AL36</f>
        <v>7</v>
      </c>
      <c r="AN34" s="123">
        <f>AF34*3+AG34</f>
        <v>6</v>
      </c>
      <c r="AO34" s="123">
        <f>AN34/AN36*10+BA34</f>
        <v>7.5</v>
      </c>
      <c r="AP34" s="123">
        <f>AO34*10000000+BI34*100+AM34/AM36*10+AI34/AI36*1++IF(AQ34=0,ROW(),AQ34)/2000000</f>
        <v>75000006.989402846</v>
      </c>
      <c r="AQ34" s="126">
        <f>VLOOKUP(AE34,db_fifarank,2,FALSE)</f>
        <v>1532.98</v>
      </c>
      <c r="AR34" s="125">
        <f>AP34/AP36</f>
        <v>0.85714282959212462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1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2 - 4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2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4</v>
      </c>
      <c r="AL35" s="123">
        <f>AI35-AJ35</f>
        <v>-2</v>
      </c>
      <c r="AM35" s="123">
        <f>AL35-AL36</f>
        <v>3</v>
      </c>
      <c r="AN35" s="123">
        <f>AF35*3+AG35</f>
        <v>2</v>
      </c>
      <c r="AO35" s="123">
        <f>AN35/AN36*10+BA35</f>
        <v>2.5</v>
      </c>
      <c r="AP35" s="123">
        <f>AO35*10000000+BI35*100+AM35/AM36*10+AI35/AI36*1++IF(AQ35=0,ROW(),AQ35)/2000000</f>
        <v>25000002.978070118</v>
      </c>
      <c r="AQ35" s="126">
        <f>VLOOKUP(AE35,db_fifarank,2,FALSE)</f>
        <v>1594.78</v>
      </c>
      <c r="AR35" s="125">
        <f>AP35/AP36</f>
        <v>0.28571428393949777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Senegal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1 - 6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3</v>
      </c>
      <c r="AI36" s="123">
        <f>MAX(AI32:AI35)+1</f>
        <v>8</v>
      </c>
      <c r="AL36" s="123">
        <f>MIN(AL32:AL35)</f>
        <v>-5</v>
      </c>
      <c r="AM36" s="123">
        <f>MAX(AM32:AM35)+1</f>
        <v>11</v>
      </c>
      <c r="AN36" s="123">
        <f>MAX(AN32:AN35)+1</f>
        <v>8</v>
      </c>
      <c r="AO36" s="123">
        <f>MAX(AO32:AO35)+1</f>
        <v>9.75</v>
      </c>
      <c r="AP36" s="123">
        <f>MAX(AP32:AP35)+1</f>
        <v>87500010.966774285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England</v>
      </c>
      <c r="CO37" s="61">
        <v>0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3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1</v>
      </c>
      <c r="AH38" s="123">
        <f>COUNTIF($S$7:$T$78,"=" &amp; AE38 &amp; "_lose")</f>
        <v>1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3</v>
      </c>
      <c r="AL38" s="123">
        <f>AI38-AJ38</f>
        <v>0</v>
      </c>
      <c r="AM38" s="123">
        <f>AL38-AL42</f>
        <v>4</v>
      </c>
      <c r="AN38" s="123">
        <f>AF38*3+AG38</f>
        <v>4</v>
      </c>
      <c r="AO38" s="123">
        <f>AN38/AN42*10+BA38</f>
        <v>4.9805825242718447</v>
      </c>
      <c r="AP38" s="123">
        <f>AO38*10000000+BI38*100+AM38/AM42*10+AI38/AI42*1++IF(AQ38=0,ROW(),AQ38)/2000000</f>
        <v>49805928.121294253</v>
      </c>
      <c r="AQ38" s="126">
        <f>VLOOKUP(AE38,db_fifarank,2,FALSE)</f>
        <v>1757.87</v>
      </c>
      <c r="AR38" s="125">
        <f>AP38/AP42</f>
        <v>0.55339913515720351</v>
      </c>
      <c r="AS38" s="125" t="str">
        <f>IF(SUM(AF38:AH41)=12,J39,"1F")</f>
        <v>Sweden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Sweden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4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49805928.246245533</v>
      </c>
      <c r="AQ39" s="126">
        <f>VLOOKUP(AE39,db_fifarank,2,FALSE)</f>
        <v>1660.43</v>
      </c>
      <c r="AR39" s="125">
        <f>AP39/AP42</f>
        <v>0.55339913654555084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Mexico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1</v>
      </c>
      <c r="AE40" s="124" t="str">
        <f>VLOOKUP("Sweden",T,lang,FALSE)</f>
        <v>Sweden</v>
      </c>
      <c r="AF40" s="123">
        <f>COUNTIF($S$7:$T$78,"=" &amp; AE40 &amp; "_win")</f>
        <v>3</v>
      </c>
      <c r="AG40" s="123">
        <f>COUNTIF($S$7:$T$78,"=" &amp; AE40 &amp; "_draw")</f>
        <v>0</v>
      </c>
      <c r="AH40" s="123">
        <f>COUNTIF($S$7:$T$78,"=" &amp; AE40 &amp; "_lose")</f>
        <v>0</v>
      </c>
      <c r="AI40" s="123">
        <f>SUMIF($E$7:$E$78,$AE40,$F$7:$F$78) + SUMIF($H$7:$H$78,$AE40,$G$7:$G$78)</f>
        <v>7</v>
      </c>
      <c r="AJ40" s="123">
        <f>SUMIF($E$7:$E$78,$AE40,$G$7:$G$78) + SUMIF($H$7:$H$78,$AE40,$F$7:$F$78)</f>
        <v>3</v>
      </c>
      <c r="AL40" s="123">
        <f>AI40-AJ40</f>
        <v>4</v>
      </c>
      <c r="AM40" s="123">
        <f>AL40-AL42</f>
        <v>8</v>
      </c>
      <c r="AN40" s="123">
        <f>AF40*3+AG40</f>
        <v>9</v>
      </c>
      <c r="AO40" s="123">
        <f>AN40/AN42*10+BA40</f>
        <v>9</v>
      </c>
      <c r="AP40" s="123">
        <f>AO40*10000000+BI40*100+AM40/AM42*10+AI40/AI42*1++IF(AQ40=0,ROW(),AQ40)/2000000</f>
        <v>90000009.764646277</v>
      </c>
      <c r="AQ40" s="126">
        <f>VLOOKUP(AE40,db_fifarank,2,FALSE)</f>
        <v>1514.77</v>
      </c>
      <c r="AR40" s="125">
        <f>AP40/AP42</f>
        <v>0.99999998888889019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2</v>
      </c>
      <c r="H41" s="80" t="str">
        <f>AE40</f>
        <v>Sweden</v>
      </c>
      <c r="J41" s="33" t="str">
        <f>VLOOKUP(3,AD38:AN41,2,FALSE)</f>
        <v>Netherlands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Netherlands_lose</v>
      </c>
      <c r="T41" s="127" t="str">
        <f t="shared" si="2"/>
        <v>Sweden_win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-1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8.239165681203287E-12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0 - 4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-4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90000010.764646277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90000010.042534024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60000005.375781618</v>
      </c>
      <c r="AQ45" s="126">
        <f>VLOOKUP(AE45,db_fifarank,2,FALSE)</f>
        <v>1563.24</v>
      </c>
      <c r="AR45" s="125">
        <f>AP45/AP48</f>
        <v>0.66666664460102787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France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2</v>
      </c>
      <c r="AL46" s="123">
        <f>AI46-AJ46</f>
        <v>-2</v>
      </c>
      <c r="AM46" s="123">
        <f>AL46-AL48</f>
        <v>3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19804022.108650789</v>
      </c>
      <c r="AQ46" s="126">
        <f>VLOOKUP(AE46,db_fifarank,2,FALSE)</f>
        <v>1615.3</v>
      </c>
      <c r="AR46" s="125">
        <f>AP46/AP48</f>
        <v>0.22004466309777901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0 - 2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19804019.608483922</v>
      </c>
      <c r="AQ47" s="126">
        <f>VLOOKUP(AE47,db_fifarank,2,FALSE)</f>
        <v>1281.57</v>
      </c>
      <c r="AR47" s="125">
        <f>AP47/AP48</f>
        <v>0.22004463531815055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France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8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90000011.042534024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Norway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Croatia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2</v>
      </c>
      <c r="AL50" s="123">
        <f>AI50-AJ50</f>
        <v>8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90000010.354473561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9</v>
      </c>
      <c r="AL51" s="123">
        <f>AI51-AJ51</f>
        <v>-9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7.5896101535996922E-12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6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30000003.60677132</v>
      </c>
      <c r="AQ52" s="126">
        <f>VLOOKUP(AE52,db_fifarank,2,FALSE)</f>
        <v>1421.43</v>
      </c>
      <c r="AR52" s="125">
        <f>AP52/AP54</f>
        <v>0.33333333135496468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Czech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13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60000007.768513307</v>
      </c>
      <c r="AQ53" s="126">
        <f>VLOOKUP(AE53,db_fifarank,2,FALSE)</f>
        <v>1673.07</v>
      </c>
      <c r="AR53" s="125">
        <f>AP53/AP54</f>
        <v>0.66666666887626935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0 - 9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-9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90000011.354473561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2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16</v>
      </c>
      <c r="AN56" s="123">
        <f>AF56*3+AG56</f>
        <v>5</v>
      </c>
      <c r="AO56" s="123">
        <f>AN56/AN60*10+BA56</f>
        <v>6.25</v>
      </c>
      <c r="AP56" s="123">
        <f>AO56*10000000+BI56*100+AM56/AM60*10+AI56/AI60*1++IF(AQ56=0,ROW(),AQ56)/2000000</f>
        <v>62500010.301592253</v>
      </c>
      <c r="AQ56" s="126">
        <f>VLOOKUP(AE56,db_fifarank,2,FALSE)</f>
        <v>1877.32</v>
      </c>
      <c r="AR56" s="125">
        <f>AP56/AP60</f>
        <v>0.71428574547057988</v>
      </c>
      <c r="AS56" s="125" t="str">
        <f>IF(SUM(AF56:AH59)=12,J57,"1I")</f>
        <v>Norway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13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50000008.203458868</v>
      </c>
      <c r="AQ57" s="126">
        <f>VLOOKUP(AE57,db_fifarank,2,FALSE)</f>
        <v>1688.99</v>
      </c>
      <c r="AR57" s="125">
        <f>AP57/AP60</f>
        <v>0.57142859594429329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8 - 3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11</v>
      </c>
      <c r="AL58" s="123">
        <f>AI58-AJ58</f>
        <v>-11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8.2693704265994444E-12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3</v>
      </c>
      <c r="AL59" s="123">
        <f>AI59-AJ59</f>
        <v>4</v>
      </c>
      <c r="AM59" s="123">
        <f>AL59-AL60</f>
        <v>15</v>
      </c>
      <c r="AN59" s="123">
        <f>AF59*3+AG59</f>
        <v>7</v>
      </c>
      <c r="AO59" s="123">
        <f>AN59/AN60*10+BA59</f>
        <v>8.75</v>
      </c>
      <c r="AP59" s="123">
        <f>AO59*10000000+BI59*100+AM59/AM60*10+AI59/AI60*1++IF(AQ59=0,ROW(),AQ59)/2000000</f>
        <v>87500009.602082655</v>
      </c>
      <c r="AQ59" s="126">
        <f>VLOOKUP(AE59,db_fifarank,2,FALSE)</f>
        <v>1550.94</v>
      </c>
      <c r="AR59" s="125">
        <f>AP59/AP60</f>
        <v>0.99999998857142991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0 - 11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9</v>
      </c>
      <c r="AL60" s="123">
        <f>MIN(AL56:AL59)</f>
        <v>-11</v>
      </c>
      <c r="AM60" s="123">
        <f>MAX(AM56:AM59)+1</f>
        <v>17</v>
      </c>
      <c r="AN60" s="123">
        <f>MAX(AN56:AN59)+1</f>
        <v>8</v>
      </c>
      <c r="AO60" s="123">
        <f>MAX(AO56:AO59)+1</f>
        <v>9.75</v>
      </c>
      <c r="AP60" s="123">
        <f>MAX(AP56:AP59)+1</f>
        <v>87500010.602082655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1</v>
      </c>
      <c r="AL62" s="123">
        <f>AI62-AJ62</f>
        <v>10</v>
      </c>
      <c r="AM62" s="123">
        <f>AL62-AL66</f>
        <v>18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90000010.391288295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3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6</v>
      </c>
      <c r="AL63" s="123">
        <f>AI63-AJ63</f>
        <v>-5</v>
      </c>
      <c r="AM63" s="123">
        <f>AL63-AL66</f>
        <v>3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19804021.270905968</v>
      </c>
      <c r="AQ63" s="126">
        <f>VLOOKUP(AE63,db_fifarank,2,FALSE)</f>
        <v>1564.26</v>
      </c>
      <c r="AR63" s="125">
        <f>AP63/AP66</f>
        <v>0.22004465293682099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7 - 4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7</v>
      </c>
      <c r="AJ64" s="123">
        <f>SUMIF($E$7:$E$78,$AE64,$G$7:$G$78) + SUMIF($H$7:$H$78,$AE64,$F$7:$F$78)</f>
        <v>4</v>
      </c>
      <c r="AL64" s="123">
        <f>AI64-AJ64</f>
        <v>3</v>
      </c>
      <c r="AM64" s="123">
        <f>AL64-AL66</f>
        <v>11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60000006.373603746</v>
      </c>
      <c r="AQ64" s="126">
        <f>VLOOKUP(AE64,db_fifarank,2,FALSE)</f>
        <v>1593.45</v>
      </c>
      <c r="AR64" s="125">
        <f>AP64/AP66</f>
        <v>0.66666665310457451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1 - 6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8</v>
      </c>
      <c r="AL65" s="123">
        <f>AI65-AJ65</f>
        <v>-8</v>
      </c>
      <c r="AM65" s="123">
        <f>AL65-AL66</f>
        <v>0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19804019.608538862</v>
      </c>
      <c r="AQ65" s="126">
        <f>VLOOKUP(AE65,db_fifarank,2,FALSE)</f>
        <v>1391.45</v>
      </c>
      <c r="AR65" s="125">
        <f>AP65/AP66</f>
        <v>0.22004463446607769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0 - 8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12</v>
      </c>
      <c r="AL66" s="123">
        <f>MIN(AL62:AL65)</f>
        <v>-8</v>
      </c>
      <c r="AM66" s="123">
        <f>MAX(AM62:AM65)+1</f>
        <v>19</v>
      </c>
      <c r="AN66" s="123">
        <f>MAX(AN62:AN65)+1</f>
        <v>10</v>
      </c>
      <c r="AO66" s="123">
        <f>MAX(AO62:AO65)+1</f>
        <v>10</v>
      </c>
      <c r="AP66" s="123">
        <f>MAX(AP62:AP65)+1</f>
        <v>90000011.391288295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Canada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Netherlands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16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90000010.321737528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Netherlands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5</v>
      </c>
      <c r="AL69" s="123">
        <f>AI69-AJ69</f>
        <v>-3</v>
      </c>
      <c r="AM69" s="123">
        <f>AL69-AL72</f>
        <v>4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30000002.535498537</v>
      </c>
      <c r="AQ69" s="126">
        <f>VLOOKUP(AE69,db_fifarank,2,FALSE)</f>
        <v>1478.35</v>
      </c>
      <c r="AR69" s="125">
        <f>AP69/AP72</f>
        <v>0.3333333195731798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4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7</v>
      </c>
      <c r="AL70" s="123">
        <f>AI70-AJ70</f>
        <v>-7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8.1407767536918021E-12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60000005.161274351</v>
      </c>
      <c r="AQ71" s="126">
        <f>VLOOKUP(AE71,db_fifarank,2,FALSE)</f>
        <v>1693.09</v>
      </c>
      <c r="AR71" s="125">
        <f>AP71/AP72</f>
        <v>0.66666664014944033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0 - 7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11</v>
      </c>
      <c r="AL72" s="123">
        <f>MIN(AL68:AL71)</f>
        <v>-7</v>
      </c>
      <c r="AM72" s="123">
        <f>MAX(AM68:AM71)+1</f>
        <v>17</v>
      </c>
      <c r="AN72" s="123">
        <f>MAX(AN68:AN71)+1</f>
        <v>10</v>
      </c>
      <c r="AO72" s="123">
        <f>MAX(AO68:AO71)+1</f>
        <v>10</v>
      </c>
      <c r="AP72" s="123">
        <f>MAX(AP68:AP71)+1</f>
        <v>90000011.321737528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4</v>
      </c>
      <c r="AL74" s="123">
        <f>AI74-AJ74</f>
        <v>3</v>
      </c>
      <c r="AM74" s="123">
        <f>AL74-AL78</f>
        <v>9</v>
      </c>
      <c r="AN74" s="123">
        <f>AF74*3+AG74</f>
        <v>6</v>
      </c>
      <c r="AO74" s="123">
        <f>AN74/AN78*10+BA74</f>
        <v>6</v>
      </c>
      <c r="AP74" s="123">
        <f>AO74*10000000+BI74*100+AM74/AM78*10+AI74/AI78*1++IF(AQ74=0,ROW(),AQ74)/2000000</f>
        <v>60000008.375912987</v>
      </c>
      <c r="AQ74" s="126">
        <f>VLOOKUP(AE74,db_fifarank,2,FALSE)</f>
        <v>1825.97</v>
      </c>
      <c r="AR74" s="125">
        <f>AP74/AP78</f>
        <v>0.66666667793588219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3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3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2</v>
      </c>
      <c r="AL75" s="123">
        <f>AI75-AJ75</f>
        <v>5</v>
      </c>
      <c r="AM75" s="123">
        <f>AL75-AL78</f>
        <v>11</v>
      </c>
      <c r="AN75" s="123">
        <f>AF75*3+AG75</f>
        <v>9</v>
      </c>
      <c r="AO75" s="123">
        <f>AN75/AN78*10+BA75</f>
        <v>9</v>
      </c>
      <c r="AP75" s="123">
        <f>AO75*10000000+BI75*100+AM75/AM78*10+AI75/AI78*1++IF(AQ75=0,ROW(),AQ75)/2000000</f>
        <v>90000010.042525202</v>
      </c>
      <c r="AQ75" s="126">
        <f>VLOOKUP(AE75,db_fifarank,2,FALSE)</f>
        <v>1717.07</v>
      </c>
      <c r="AR75" s="125">
        <f>AP75/AP78</f>
        <v>0.9999999888888903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4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30000003.709006488</v>
      </c>
      <c r="AQ76" s="126">
        <f>VLOOKUP(AE76,db_fifarank,2,FALSE)</f>
        <v>1346.31</v>
      </c>
      <c r="AR76" s="125">
        <f>AP76/AP78</f>
        <v>0.33333333364627499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8.5591100609534601E-12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-6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90000011.042525202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6550.0008405150002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2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2283.3340262533334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Netherlands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3</v>
      </c>
      <c r="AK82" s="123" t="s">
        <v>3182</v>
      </c>
      <c r="AL82" s="123">
        <f t="shared" si="43"/>
        <v>2</v>
      </c>
      <c r="AM82" s="123">
        <f t="shared" si="44"/>
        <v>7</v>
      </c>
      <c r="AN82" s="123">
        <f t="shared" si="45"/>
        <v>3</v>
      </c>
      <c r="AP82" s="123">
        <f>AN82/AN92*10000+AM82/AM92*1000+AI82/AI92*100+IF(AQ82=0,ROW(),AQ82)/2000000</f>
        <v>6958.3340825083333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5 - 3</v>
      </c>
      <c r="P83" s="101">
        <f t="shared" si="48"/>
        <v>3</v>
      </c>
      <c r="AD83" s="123">
        <f t="shared" si="38"/>
        <v>8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1</v>
      </c>
      <c r="AJ83" s="123">
        <f t="shared" si="42"/>
        <v>4</v>
      </c>
      <c r="AK83" s="123" t="s">
        <v>3184</v>
      </c>
      <c r="AL83" s="123">
        <f t="shared" si="43"/>
        <v>-3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6266.6674184166668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Mexico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Ecuador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3</v>
      </c>
      <c r="AN84" s="123">
        <f t="shared" si="45"/>
        <v>2</v>
      </c>
      <c r="AP84" s="123">
        <f>AN84/AN92*10000+AM84/AM92*1000+AI84/AI92*100+IF(AQ84=0,ROW(),AQ84)/2000000</f>
        <v>4408.3341307233331</v>
      </c>
      <c r="AQ84" s="126">
        <f t="shared" si="37"/>
        <v>1594.78</v>
      </c>
      <c r="AR84" s="125" t="str">
        <f t="shared" si="50"/>
        <v>ACD</v>
      </c>
      <c r="AS84" s="129" t="str">
        <f t="shared" si="46"/>
        <v/>
      </c>
      <c r="AT84" s="130" t="str">
        <f>"Ⓔ "&amp;AE84</f>
        <v>Ⓔ Ecuador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Norway</v>
      </c>
      <c r="T85" s="127" t="str" cm="1">
        <f t="array" ref="T85">IF(OR(S85="",S85="draw"),INDEX(T,87,lang),S85)</f>
        <v>Norway</v>
      </c>
      <c r="AD85" s="123">
        <f t="shared" si="38"/>
        <v>2</v>
      </c>
      <c r="AE85" s="124" t="str">
        <f>J41</f>
        <v>Netherlands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3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8675.0008789349995</v>
      </c>
      <c r="AQ85" s="126">
        <f t="shared" si="37"/>
        <v>1757.87</v>
      </c>
      <c r="AR85" s="125" t="str">
        <f t="shared" si="50"/>
        <v>ACDF</v>
      </c>
      <c r="AS85" s="129" t="str">
        <f t="shared" si="46"/>
        <v>Netherlands</v>
      </c>
      <c r="AT85" s="130" t="str">
        <f>"Ⓕ "&amp;AE85</f>
        <v>Ⓕ Netherlands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0</v>
      </c>
      <c r="AJ86" s="123">
        <f t="shared" si="42"/>
        <v>2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1</v>
      </c>
      <c r="AP86" s="123">
        <f>AN86/AN92*10000+AM86/AM92*1000+AI86/AI92*100+IF(AQ86=0,ROW(),AQ86)/2000000</f>
        <v>2375.0008076499998</v>
      </c>
      <c r="AQ86" s="126">
        <f t="shared" si="37"/>
        <v>1615.3</v>
      </c>
      <c r="AR86" s="125" t="str">
        <f t="shared" si="50"/>
        <v>ACDF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Ⓚ DR Congo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6300.0007107150004</v>
      </c>
      <c r="AQ87" s="126">
        <f t="shared" si="37"/>
        <v>1421.43</v>
      </c>
      <c r="AR87" s="125" t="str">
        <f t="shared" si="50"/>
        <v>ACDFH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Paraguay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3</v>
      </c>
      <c r="AK88" s="123" t="s">
        <v>3189</v>
      </c>
      <c r="AL88" s="123">
        <f t="shared" si="43"/>
        <v>2</v>
      </c>
      <c r="AM88" s="123">
        <f t="shared" si="44"/>
        <v>7</v>
      </c>
      <c r="AN88" s="123">
        <f t="shared" si="45"/>
        <v>4</v>
      </c>
      <c r="AP88" s="123">
        <f>AN88/AN92*10000+AM88/AM92*1000+AI88/AI92*100+IF(AQ88=0,ROW(),AQ88)/2000000</f>
        <v>8958.3341778283338</v>
      </c>
      <c r="AQ88" s="126">
        <f t="shared" si="37"/>
        <v>1688.99</v>
      </c>
      <c r="AR88" s="125" t="str">
        <f t="shared" si="50"/>
        <v>ACDFHI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Ecuador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1</v>
      </c>
      <c r="AJ89" s="123">
        <f t="shared" si="42"/>
        <v>6</v>
      </c>
      <c r="AK89" s="123" t="s">
        <v>3190</v>
      </c>
      <c r="AL89" s="123">
        <f t="shared" si="43"/>
        <v>-5</v>
      </c>
      <c r="AM89" s="123">
        <f t="shared" si="44"/>
        <v>0</v>
      </c>
      <c r="AN89" s="123">
        <f t="shared" si="45"/>
        <v>1</v>
      </c>
      <c r="AP89" s="123">
        <f>AN89/AN92*10000+AM89/AM92*1000+AI89/AI92*100+IF(AQ89=0,ROW(),AQ89)/2000000</f>
        <v>2016.6674487966668</v>
      </c>
      <c r="AQ89" s="126">
        <f t="shared" si="37"/>
        <v>1564.26</v>
      </c>
      <c r="AR89" s="125" t="str">
        <f t="shared" si="50"/>
        <v>ACDFHI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0 - 2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7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6283.3340725083326</v>
      </c>
      <c r="AQ90" s="126">
        <f t="shared" si="37"/>
        <v>1478.35</v>
      </c>
      <c r="AR90" s="125" t="str">
        <f t="shared" si="50"/>
        <v>ACDFHIK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Bosnia and Herzegovina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6425.0006731550002</v>
      </c>
      <c r="AQ91" s="126">
        <f t="shared" si="37"/>
        <v>1346.31</v>
      </c>
      <c r="AR91" s="125" t="str">
        <f t="shared" si="50"/>
        <v>ACDFHIKL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-5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Norway</v>
      </c>
      <c r="T95" s="127" t="str" cm="1">
        <f t="array" ref="T95">IF(OR(S95="",S95="draw"),INDEX(T,94,lang),S95)</f>
        <v>Norway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England</v>
      </c>
      <c r="T97" s="127" t="str" cm="1">
        <f t="array" ref="T97">IF(OR(S97="",S97="draw"),INDEX(T,96,lang),S97)</f>
        <v>England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Norway</v>
      </c>
      <c r="T102" s="127" t="str" cm="1">
        <f t="array" ref="T102">IF(OR(S102="",S102="draw"),INDEX(T,98,lang),S102)</f>
        <v>Norway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England</v>
      </c>
      <c r="T103" s="127" t="str" cm="1">
        <f t="array" ref="T103">IF(OR(S103="",S103="draw"),INDEX(T,99,lang),S103)</f>
        <v>England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England</v>
      </c>
      <c r="T111" s="127" t="str">
        <f>S111</f>
        <v>England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539" yWindow="699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238</v>
      </c>
      <c r="C3" s="121" t="str">
        <f>'2026 World Cup'!AR91</f>
        <v>ACDFHIKL</v>
      </c>
      <c r="D3" s="121" t="str">
        <f>VLOOKUP($C3,$C$6:$K$500,2,FALSE)</f>
        <v>3H</v>
      </c>
      <c r="E3" s="121" t="str">
        <f>VLOOKUP($C3,$C$6:$K$500,3,FALSE)</f>
        <v>3F</v>
      </c>
      <c r="F3" s="121" t="str">
        <f>VLOOKUP($C3,$C$6:$K$500,4,FALSE)</f>
        <v>3I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Cubillo Baonza, Angel</cp:lastModifiedBy>
  <cp:revision/>
  <dcterms:created xsi:type="dcterms:W3CDTF">2017-12-27T19:32:51Z</dcterms:created>
  <dcterms:modified xsi:type="dcterms:W3CDTF">2026-06-07T08:26:03Z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