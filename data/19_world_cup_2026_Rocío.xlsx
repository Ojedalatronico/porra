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onzalopinto/Documents/"/>
    </mc:Choice>
  </mc:AlternateContent>
  <xr:revisionPtr revIDLastSave="0" documentId="13_ncr:1_{EC5CFE4F-9F04-044F-B0BC-F4D3FBA150ED}" xr6:coauthVersionLast="47" xr6:coauthVersionMax="47" xr10:uidLastSave="{00000000-0000-0000-0000-000000000000}"/>
  <bookViews>
    <workbookView xWindow="-3220" yWindow="-21600" windowWidth="38400" windowHeight="21600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T12" i="3" s="1"/>
  <c r="S27" i="3"/>
  <c r="T27" i="3" s="1"/>
  <c r="S74" i="3"/>
  <c r="T74" i="3" s="1"/>
  <c r="S28" i="3"/>
  <c r="T28" i="3" s="1"/>
  <c r="S51" i="3"/>
  <c r="T51" i="3" s="1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T23" i="3" s="1"/>
  <c r="S48" i="3"/>
  <c r="S43" i="3"/>
  <c r="T43" i="3" s="1"/>
  <c r="S19" i="3"/>
  <c r="T19" i="3" s="1"/>
  <c r="S20" i="3"/>
  <c r="T20" i="3" s="1"/>
  <c r="S44" i="3"/>
  <c r="T44" i="3" s="1"/>
  <c r="S46" i="3"/>
  <c r="T46" i="3" s="1"/>
  <c r="S21" i="3"/>
  <c r="T21" i="3" s="1"/>
  <c r="S45" i="3"/>
  <c r="T45" i="3" s="1"/>
  <c r="S18" i="3"/>
  <c r="T18" i="3" s="1"/>
  <c r="S63" i="3"/>
  <c r="T63" i="3" s="1"/>
  <c r="S17" i="3"/>
  <c r="T17" i="3" s="1"/>
  <c r="S41" i="3"/>
  <c r="T41" i="3" s="1"/>
  <c r="S15" i="3"/>
  <c r="T15" i="3" s="1"/>
  <c r="S61" i="3"/>
  <c r="T61" i="3" s="1"/>
  <c r="S16" i="3"/>
  <c r="T16" i="3" s="1"/>
  <c r="S39" i="3"/>
  <c r="T39" i="3" s="1"/>
  <c r="S66" i="3"/>
  <c r="T66" i="3" s="1"/>
  <c r="S10" i="3"/>
  <c r="T10" i="3" s="1"/>
  <c r="S37" i="3"/>
  <c r="S11" i="3"/>
  <c r="T11" i="3" s="1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S60" i="3"/>
  <c r="T60" i="3" s="1"/>
  <c r="S34" i="3"/>
  <c r="T34" i="3" s="1"/>
  <c r="S29" i="3"/>
  <c r="T29" i="3" s="1"/>
  <c r="S53" i="3"/>
  <c r="T53" i="3" s="1"/>
  <c r="S35" i="3"/>
  <c r="T35" i="3" s="1"/>
  <c r="S7" i="3"/>
  <c r="T7" i="3" s="1"/>
  <c r="S22" i="3"/>
  <c r="S24" i="3"/>
  <c r="S69" i="3"/>
  <c r="S58" i="3"/>
  <c r="S31" i="3"/>
  <c r="S59" i="3"/>
  <c r="S71" i="3"/>
  <c r="S52" i="3"/>
  <c r="S73" i="3"/>
  <c r="S54" i="3"/>
  <c r="S77" i="3"/>
  <c r="S50" i="3"/>
  <c r="S76" i="3"/>
  <c r="S47" i="3"/>
  <c r="S67" i="3"/>
  <c r="T48" i="3"/>
  <c r="S72" i="3"/>
  <c r="S70" i="3"/>
  <c r="S42" i="3"/>
  <c r="S64" i="3"/>
  <c r="S40" i="3"/>
  <c r="S62" i="3"/>
  <c r="S38" i="3"/>
  <c r="S65" i="3"/>
  <c r="T37" i="3"/>
  <c r="S55" i="3"/>
  <c r="S57" i="3"/>
  <c r="T33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8" i="3"/>
  <c r="BH57" i="3" l="1"/>
  <c r="BH59" i="3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53" i="3"/>
  <c r="BH16" i="3"/>
  <c r="BH51" i="3"/>
  <c r="BH41" i="3"/>
  <c r="BH52" i="3"/>
  <c r="BH60" i="3" l="1"/>
  <c r="BH78" i="3"/>
  <c r="BI76" i="3" s="1"/>
  <c r="AP76" i="3" s="1"/>
  <c r="BH12" i="3"/>
  <c r="BI11" i="3" s="1"/>
  <c r="AP11" i="3" s="1"/>
  <c r="BH30" i="3"/>
  <c r="BH24" i="3"/>
  <c r="BI23" i="3" s="1"/>
  <c r="AP23" i="3" s="1"/>
  <c r="BH66" i="3"/>
  <c r="BI65" i="3" s="1"/>
  <c r="AP65" i="3" s="1"/>
  <c r="BH72" i="3"/>
  <c r="BI71" i="3" s="1"/>
  <c r="AP71" i="3" s="1"/>
  <c r="BH42" i="3"/>
  <c r="BI40" i="3" s="1"/>
  <c r="AP40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6" i="3" l="1"/>
  <c r="AP56" i="3" s="1"/>
  <c r="BI59" i="3"/>
  <c r="AP59" i="3" s="1"/>
  <c r="BI57" i="3"/>
  <c r="AP57" i="3" s="1"/>
  <c r="BI58" i="3"/>
  <c r="AP58" i="3" s="1"/>
  <c r="BI28" i="3"/>
  <c r="AP28" i="3" s="1"/>
  <c r="BI26" i="3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60" i="3" l="1"/>
  <c r="AP36" i="3"/>
  <c r="AP12" i="3"/>
  <c r="AP72" i="3"/>
  <c r="AR68" i="3" s="1"/>
  <c r="AP30" i="3"/>
  <c r="AP78" i="3"/>
  <c r="AR74" i="3" s="1"/>
  <c r="AP24" i="3"/>
  <c r="AP42" i="3"/>
  <c r="AR38" i="3" s="1"/>
  <c r="AP66" i="3"/>
  <c r="AR62" i="3" s="1"/>
  <c r="AP48" i="3"/>
  <c r="AR44" i="3" s="1"/>
  <c r="AP18" i="3"/>
  <c r="AR14" i="3" s="1"/>
  <c r="AP54" i="3"/>
  <c r="AR50" i="3" s="1"/>
  <c r="AR57" i="3" l="1"/>
  <c r="AR58" i="3"/>
  <c r="AR59" i="3"/>
  <c r="AR56" i="3"/>
  <c r="AR32" i="3"/>
  <c r="AR35" i="3"/>
  <c r="AR34" i="3"/>
  <c r="AR33" i="3"/>
  <c r="AR8" i="3"/>
  <c r="AR9" i="3"/>
  <c r="AR11" i="3"/>
  <c r="AR10" i="3"/>
  <c r="AR26" i="3"/>
  <c r="AR28" i="3"/>
  <c r="AR20" i="3"/>
  <c r="AR22" i="3"/>
  <c r="AR21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R64" i="3"/>
  <c r="AR39" i="3"/>
  <c r="AR16" i="3"/>
  <c r="AR17" i="3"/>
  <c r="AD58" i="3" l="1"/>
  <c r="AD59" i="3"/>
  <c r="AD56" i="3"/>
  <c r="AD57" i="3"/>
  <c r="AD47" i="3"/>
  <c r="AD68" i="3"/>
  <c r="AD70" i="3"/>
  <c r="AD15" i="3"/>
  <c r="AD62" i="3"/>
  <c r="AD53" i="3"/>
  <c r="AD34" i="3"/>
  <c r="AD21" i="3"/>
  <c r="AD77" i="3"/>
  <c r="AD35" i="3"/>
  <c r="AD8" i="3"/>
  <c r="AD20" i="3"/>
  <c r="AD9" i="3"/>
  <c r="AD11" i="3"/>
  <c r="AD33" i="3"/>
  <c r="AD32" i="3"/>
  <c r="AD10" i="3"/>
  <c r="AD75" i="3"/>
  <c r="AD22" i="3"/>
  <c r="AD29" i="3"/>
  <c r="AD76" i="3"/>
  <c r="AD41" i="3"/>
  <c r="AD44" i="3"/>
  <c r="AD28" i="3"/>
  <c r="AD27" i="3"/>
  <c r="AD26" i="3"/>
  <c r="AD71" i="3"/>
  <c r="AD74" i="3"/>
  <c r="AD63" i="3"/>
  <c r="AD14" i="3"/>
  <c r="AD69" i="3"/>
  <c r="AD39" i="3"/>
  <c r="AD64" i="3"/>
  <c r="AD16" i="3"/>
  <c r="AD46" i="3"/>
  <c r="AD23" i="3"/>
  <c r="AD65" i="3"/>
  <c r="AD51" i="3"/>
  <c r="AD45" i="3"/>
  <c r="AD40" i="3"/>
  <c r="AD52" i="3"/>
  <c r="AD38" i="3"/>
  <c r="AD50" i="3"/>
  <c r="AD17" i="3"/>
  <c r="J57" i="3" l="1"/>
  <c r="AS56" i="3" s="1"/>
  <c r="BL14" i="3" s="1"/>
  <c r="N57" i="3"/>
  <c r="L57" i="3"/>
  <c r="O57" i="3"/>
  <c r="M57" i="3"/>
  <c r="O58" i="3"/>
  <c r="J60" i="3"/>
  <c r="M59" i="3"/>
  <c r="L59" i="3"/>
  <c r="O60" i="3"/>
  <c r="N58" i="3"/>
  <c r="N60" i="3"/>
  <c r="L60" i="3"/>
  <c r="M58" i="3"/>
  <c r="M60" i="3"/>
  <c r="J58" i="3"/>
  <c r="AS57" i="3" s="1"/>
  <c r="BL47" i="3" s="1"/>
  <c r="BS45" i="3" s="1"/>
  <c r="N59" i="3"/>
  <c r="K59" i="3" s="1"/>
  <c r="L58" i="3"/>
  <c r="J59" i="3"/>
  <c r="AE88" i="3" s="1"/>
  <c r="O59" i="3"/>
  <c r="P59" i="3"/>
  <c r="P57" i="3"/>
  <c r="L69" i="3"/>
  <c r="N69" i="3"/>
  <c r="O69" i="3"/>
  <c r="M69" i="3"/>
  <c r="J69" i="3"/>
  <c r="AS68" i="3" s="1"/>
  <c r="BL70" i="3" s="1"/>
  <c r="L63" i="3"/>
  <c r="M63" i="3"/>
  <c r="N63" i="3"/>
  <c r="O63" i="3"/>
  <c r="J63" i="3"/>
  <c r="AS62" i="3" s="1"/>
  <c r="BL58" i="3" s="1"/>
  <c r="BS60" i="3" s="1"/>
  <c r="BZ64" i="3" s="1"/>
  <c r="M17" i="3"/>
  <c r="N12" i="3"/>
  <c r="L9" i="3"/>
  <c r="J9" i="3"/>
  <c r="AS8" i="3" s="1"/>
  <c r="BL50" i="3" s="1"/>
  <c r="M12" i="3"/>
  <c r="L12" i="3"/>
  <c r="M9" i="3"/>
  <c r="O12" i="3"/>
  <c r="N9" i="3"/>
  <c r="O9" i="3"/>
  <c r="J12" i="3"/>
  <c r="N22" i="3"/>
  <c r="J22" i="3"/>
  <c r="AS21" i="3" s="1"/>
  <c r="BL23" i="3" s="1"/>
  <c r="J21" i="3"/>
  <c r="AS20" i="3" s="1"/>
  <c r="BL42" i="3" s="1"/>
  <c r="BS44" i="3" s="1"/>
  <c r="L21" i="3"/>
  <c r="M22" i="3"/>
  <c r="O21" i="3"/>
  <c r="L22" i="3"/>
  <c r="N21" i="3"/>
  <c r="O22" i="3"/>
  <c r="M21" i="3"/>
  <c r="J18" i="3"/>
  <c r="L16" i="3"/>
  <c r="O18" i="3"/>
  <c r="L11" i="3"/>
  <c r="M10" i="3"/>
  <c r="N10" i="3"/>
  <c r="O11" i="3"/>
  <c r="J11" i="3"/>
  <c r="AE80" i="3" s="1"/>
  <c r="L10" i="3"/>
  <c r="O10" i="3"/>
  <c r="N11" i="3"/>
  <c r="M11" i="3"/>
  <c r="J10" i="3"/>
  <c r="AS9" i="3" s="1"/>
  <c r="BL18" i="3" s="1"/>
  <c r="J36" i="3"/>
  <c r="O34" i="3"/>
  <c r="N36" i="3"/>
  <c r="M34" i="3"/>
  <c r="N35" i="3"/>
  <c r="M36" i="3"/>
  <c r="L35" i="3"/>
  <c r="O36" i="3"/>
  <c r="L34" i="3"/>
  <c r="O35" i="3"/>
  <c r="J35" i="3"/>
  <c r="AE84" i="3" s="1"/>
  <c r="J34" i="3"/>
  <c r="AS33" i="3" s="1"/>
  <c r="BL46" i="3" s="1"/>
  <c r="J33" i="3"/>
  <c r="AS32" i="3" s="1"/>
  <c r="BL10" i="3" s="1"/>
  <c r="N33" i="3"/>
  <c r="L33" i="3"/>
  <c r="O33" i="3"/>
  <c r="M33" i="3"/>
  <c r="M35" i="3"/>
  <c r="L36" i="3"/>
  <c r="N34" i="3"/>
  <c r="O24" i="3"/>
  <c r="L24" i="3"/>
  <c r="J24" i="3"/>
  <c r="L15" i="3"/>
  <c r="O16" i="3"/>
  <c r="N16" i="3"/>
  <c r="O17" i="3"/>
  <c r="M16" i="3"/>
  <c r="N17" i="3"/>
  <c r="N18" i="3"/>
  <c r="L18" i="3"/>
  <c r="M24" i="3"/>
  <c r="N24" i="3"/>
  <c r="J45" i="3"/>
  <c r="AS44" i="3" s="1"/>
  <c r="BL38" i="3" s="1"/>
  <c r="M45" i="3"/>
  <c r="N45" i="3"/>
  <c r="L45" i="3"/>
  <c r="O45" i="3"/>
  <c r="L65" i="3"/>
  <c r="M65" i="3"/>
  <c r="N65" i="3"/>
  <c r="O65" i="3"/>
  <c r="J65" i="3"/>
  <c r="AE89" i="3" s="1"/>
  <c r="J64" i="3"/>
  <c r="AS63" i="3" s="1"/>
  <c r="BL31" i="3" s="1"/>
  <c r="L17" i="3"/>
  <c r="J16" i="3"/>
  <c r="AS15" i="3" s="1"/>
  <c r="BL19" i="3" s="1"/>
  <c r="M18" i="3"/>
  <c r="L70" i="3"/>
  <c r="M70" i="3"/>
  <c r="N70" i="3"/>
  <c r="L23" i="3"/>
  <c r="O23" i="3"/>
  <c r="J30" i="3"/>
  <c r="J29" i="3"/>
  <c r="AE83" i="3" s="1"/>
  <c r="J28" i="3"/>
  <c r="AS27" i="3" s="1"/>
  <c r="BL62" i="3" s="1"/>
  <c r="BS61" i="3" s="1"/>
  <c r="J27" i="3"/>
  <c r="AS26" i="3" s="1"/>
  <c r="BL34" i="3" s="1"/>
  <c r="N27" i="3"/>
  <c r="M29" i="3"/>
  <c r="M27" i="3"/>
  <c r="N29" i="3"/>
  <c r="L29" i="3"/>
  <c r="O29" i="3"/>
  <c r="L27" i="3"/>
  <c r="L28" i="3"/>
  <c r="O28" i="3"/>
  <c r="M30" i="3"/>
  <c r="M28" i="3"/>
  <c r="O30" i="3"/>
  <c r="O27" i="3"/>
  <c r="N28" i="3"/>
  <c r="N30" i="3"/>
  <c r="L30" i="3"/>
  <c r="N77" i="3"/>
  <c r="J75" i="3"/>
  <c r="AS74" i="3" s="1"/>
  <c r="BL54" i="3" s="1"/>
  <c r="M75" i="3"/>
  <c r="N76" i="3"/>
  <c r="J78" i="3"/>
  <c r="M76" i="3"/>
  <c r="L76" i="3"/>
  <c r="N78" i="3"/>
  <c r="M78" i="3"/>
  <c r="L78" i="3"/>
  <c r="O78" i="3"/>
  <c r="O76" i="3"/>
  <c r="J76" i="3"/>
  <c r="AS75" i="3" s="1"/>
  <c r="BL27" i="3" s="1"/>
  <c r="L77" i="3"/>
  <c r="O77" i="3"/>
  <c r="J77" i="3"/>
  <c r="AE91" i="3" s="1"/>
  <c r="M77" i="3"/>
  <c r="O70" i="3"/>
  <c r="M71" i="3"/>
  <c r="N71" i="3"/>
  <c r="O71" i="3"/>
  <c r="L71" i="3"/>
  <c r="N53" i="3"/>
  <c r="M41" i="3"/>
  <c r="N75" i="3"/>
  <c r="O75" i="3"/>
  <c r="L75" i="3"/>
  <c r="J70" i="3"/>
  <c r="AS69" i="3" s="1"/>
  <c r="BL26" i="3" s="1"/>
  <c r="J71" i="3"/>
  <c r="AE90" i="3" s="1"/>
  <c r="J72" i="3"/>
  <c r="O72" i="3"/>
  <c r="N72" i="3"/>
  <c r="M72" i="3"/>
  <c r="L72" i="3"/>
  <c r="J66" i="3"/>
  <c r="O66" i="3"/>
  <c r="N66" i="3"/>
  <c r="M66" i="3"/>
  <c r="L66" i="3"/>
  <c r="O64" i="3"/>
  <c r="N64" i="3"/>
  <c r="M64" i="3"/>
  <c r="L64" i="3"/>
  <c r="L48" i="3"/>
  <c r="N46" i="3"/>
  <c r="L46" i="3"/>
  <c r="O46" i="3"/>
  <c r="O48" i="3"/>
  <c r="M46" i="3"/>
  <c r="O47" i="3"/>
  <c r="N48" i="3"/>
  <c r="M47" i="3"/>
  <c r="M48" i="3"/>
  <c r="L47" i="3"/>
  <c r="J48" i="3"/>
  <c r="J47" i="3"/>
  <c r="AE86" i="3" s="1"/>
  <c r="J46" i="3"/>
  <c r="AS45" i="3" s="1"/>
  <c r="BL63" i="3" s="1"/>
  <c r="N47" i="3"/>
  <c r="J42" i="3"/>
  <c r="L40" i="3"/>
  <c r="J41" i="3"/>
  <c r="AE85" i="3" s="1"/>
  <c r="J40" i="3"/>
  <c r="AS39" i="3" s="1"/>
  <c r="BL43" i="3" s="1"/>
  <c r="J39" i="3"/>
  <c r="AS38" i="3" s="1"/>
  <c r="BL22" i="3" s="1"/>
  <c r="N39" i="3"/>
  <c r="O40" i="3"/>
  <c r="L39" i="3"/>
  <c r="L42" i="3"/>
  <c r="M40" i="3"/>
  <c r="M42" i="3"/>
  <c r="N40" i="3"/>
  <c r="O39" i="3"/>
  <c r="M39" i="3"/>
  <c r="O42" i="3"/>
  <c r="O54" i="3"/>
  <c r="J52" i="3"/>
  <c r="AS51" i="3" s="1"/>
  <c r="BL59" i="3" s="1"/>
  <c r="M54" i="3"/>
  <c r="M51" i="3"/>
  <c r="L51" i="3"/>
  <c r="N51" i="3"/>
  <c r="J51" i="3"/>
  <c r="AS50" i="3" s="1"/>
  <c r="BL30" i="3" s="1"/>
  <c r="N52" i="3"/>
  <c r="O51" i="3"/>
  <c r="N54" i="3"/>
  <c r="L54" i="3"/>
  <c r="J54" i="3"/>
  <c r="O52" i="3"/>
  <c r="O41" i="3"/>
  <c r="L41" i="3"/>
  <c r="N23" i="3"/>
  <c r="N15" i="3"/>
  <c r="O53" i="3"/>
  <c r="L52" i="3"/>
  <c r="J17" i="3"/>
  <c r="AE81" i="3" s="1"/>
  <c r="L53" i="3"/>
  <c r="M52" i="3"/>
  <c r="M53" i="3"/>
  <c r="J53" i="3"/>
  <c r="AE87" i="3" s="1"/>
  <c r="N41" i="3"/>
  <c r="M23" i="3"/>
  <c r="J23" i="3"/>
  <c r="AE82" i="3" s="1"/>
  <c r="N42" i="3"/>
  <c r="M15" i="3"/>
  <c r="O15" i="3"/>
  <c r="J15" i="3"/>
  <c r="AS14" i="3" s="1"/>
  <c r="BL66" i="3" s="1"/>
  <c r="BZ48" i="3" l="1"/>
  <c r="K57" i="3"/>
  <c r="P60" i="3"/>
  <c r="K60" i="3"/>
  <c r="K58" i="3"/>
  <c r="P58" i="3"/>
  <c r="S91" i="3"/>
  <c r="T91" i="3" s="1" a="1"/>
  <c r="T91" i="3" s="1"/>
  <c r="BS37" i="3"/>
  <c r="S90" i="3"/>
  <c r="T90" i="3" s="1" a="1"/>
  <c r="T90" i="3" s="1"/>
  <c r="BS36" i="3"/>
  <c r="S86" i="3"/>
  <c r="T86" i="3" s="1" a="1"/>
  <c r="T86" i="3" s="1"/>
  <c r="BS28" i="3"/>
  <c r="S89" i="3"/>
  <c r="T89" i="3" s="1" a="1"/>
  <c r="T89" i="3" s="1"/>
  <c r="BS21" i="3"/>
  <c r="S87" i="3"/>
  <c r="T87" i="3" s="1" a="1"/>
  <c r="T87" i="3" s="1"/>
  <c r="BS29" i="3"/>
  <c r="S88" i="3"/>
  <c r="T88" i="3" s="1" a="1"/>
  <c r="T88" i="3" s="1"/>
  <c r="BS20" i="3"/>
  <c r="AQ88" i="3"/>
  <c r="AT88" i="3"/>
  <c r="AN88" i="3"/>
  <c r="AJ88" i="3"/>
  <c r="AI88" i="3"/>
  <c r="AG88" i="3"/>
  <c r="AF88" i="3"/>
  <c r="AL88" i="3"/>
  <c r="AH88" i="3"/>
  <c r="P69" i="3"/>
  <c r="K69" i="3"/>
  <c r="P63" i="3"/>
  <c r="K63" i="3"/>
  <c r="P9" i="3"/>
  <c r="K9" i="3"/>
  <c r="P12" i="3"/>
  <c r="K12" i="3"/>
  <c r="P21" i="3"/>
  <c r="K21" i="3"/>
  <c r="P22" i="3"/>
  <c r="K22" i="3"/>
  <c r="P23" i="3"/>
  <c r="P11" i="3"/>
  <c r="K11" i="3"/>
  <c r="AQ80" i="3"/>
  <c r="AN80" i="3"/>
  <c r="AT80" i="3"/>
  <c r="AL80" i="3"/>
  <c r="AJ80" i="3"/>
  <c r="AI80" i="3"/>
  <c r="AH80" i="3"/>
  <c r="AG80" i="3"/>
  <c r="AF80" i="3"/>
  <c r="P10" i="3"/>
  <c r="K10" i="3"/>
  <c r="P35" i="3"/>
  <c r="K35" i="3"/>
  <c r="P34" i="3"/>
  <c r="K34" i="3"/>
  <c r="AQ84" i="3"/>
  <c r="AT84" i="3"/>
  <c r="AF84" i="3"/>
  <c r="AG84" i="3"/>
  <c r="AI84" i="3"/>
  <c r="AJ84" i="3"/>
  <c r="AL84" i="3"/>
  <c r="AN84" i="3"/>
  <c r="AH84" i="3"/>
  <c r="K33" i="3"/>
  <c r="P33" i="3"/>
  <c r="K36" i="3"/>
  <c r="P36" i="3"/>
  <c r="K24" i="3"/>
  <c r="P24" i="3"/>
  <c r="P16" i="3"/>
  <c r="K16" i="3"/>
  <c r="AN89" i="3"/>
  <c r="AL89" i="3"/>
  <c r="AJ89" i="3"/>
  <c r="AI89" i="3"/>
  <c r="AH89" i="3"/>
  <c r="AG89" i="3"/>
  <c r="AF89" i="3"/>
  <c r="P17" i="3"/>
  <c r="K17" i="3"/>
  <c r="K45" i="3"/>
  <c r="P45" i="3"/>
  <c r="P65" i="3"/>
  <c r="K65" i="3"/>
  <c r="AQ89" i="3"/>
  <c r="AT89" i="3"/>
  <c r="K18" i="3"/>
  <c r="P18" i="3"/>
  <c r="AQ83" i="3"/>
  <c r="AF83" i="3"/>
  <c r="AG83" i="3"/>
  <c r="AH83" i="3"/>
  <c r="AI83" i="3"/>
  <c r="AJ83" i="3"/>
  <c r="AL83" i="3"/>
  <c r="AN83" i="3"/>
  <c r="AT83" i="3"/>
  <c r="P29" i="3"/>
  <c r="K29" i="3"/>
  <c r="K27" i="3"/>
  <c r="P27" i="3"/>
  <c r="P28" i="3"/>
  <c r="K28" i="3"/>
  <c r="K30" i="3"/>
  <c r="P30" i="3"/>
  <c r="K46" i="3"/>
  <c r="P46" i="3"/>
  <c r="P52" i="3"/>
  <c r="P70" i="3"/>
  <c r="K70" i="3"/>
  <c r="P72" i="3"/>
  <c r="K72" i="3"/>
  <c r="K76" i="3"/>
  <c r="P76" i="3"/>
  <c r="K78" i="3"/>
  <c r="P78" i="3"/>
  <c r="P77" i="3"/>
  <c r="K77" i="3"/>
  <c r="AQ91" i="3"/>
  <c r="AF91" i="3"/>
  <c r="AG91" i="3"/>
  <c r="AH91" i="3"/>
  <c r="AI91" i="3"/>
  <c r="AJ91" i="3"/>
  <c r="AL91" i="3"/>
  <c r="AN91" i="3"/>
  <c r="AT91" i="3"/>
  <c r="K71" i="3"/>
  <c r="P71" i="3"/>
  <c r="K75" i="3"/>
  <c r="P75" i="3"/>
  <c r="AQ90" i="3"/>
  <c r="AF90" i="3"/>
  <c r="AG90" i="3"/>
  <c r="AH90" i="3"/>
  <c r="AI90" i="3"/>
  <c r="AJ90" i="3"/>
  <c r="AL90" i="3"/>
  <c r="AN90" i="3"/>
  <c r="AT90" i="3"/>
  <c r="K23" i="3"/>
  <c r="P66" i="3"/>
  <c r="K66" i="3"/>
  <c r="P64" i="3"/>
  <c r="K64" i="3"/>
  <c r="P48" i="3"/>
  <c r="K48" i="3"/>
  <c r="P47" i="3"/>
  <c r="K47" i="3"/>
  <c r="AQ86" i="3"/>
  <c r="AT86" i="3"/>
  <c r="AH86" i="3"/>
  <c r="AF86" i="3"/>
  <c r="AG86" i="3"/>
  <c r="AI86" i="3"/>
  <c r="AJ86" i="3"/>
  <c r="AL86" i="3"/>
  <c r="AN86" i="3"/>
  <c r="P40" i="3"/>
  <c r="K40" i="3"/>
  <c r="AQ85" i="3"/>
  <c r="AI85" i="3"/>
  <c r="AH85" i="3"/>
  <c r="AG85" i="3"/>
  <c r="AF85" i="3"/>
  <c r="AJ85" i="3"/>
  <c r="AL85" i="3"/>
  <c r="AN85" i="3"/>
  <c r="AT85" i="3"/>
  <c r="P39" i="3"/>
  <c r="K39" i="3"/>
  <c r="K42" i="3"/>
  <c r="P42" i="3"/>
  <c r="K51" i="3"/>
  <c r="P51" i="3"/>
  <c r="K54" i="3"/>
  <c r="P54" i="3"/>
  <c r="P41" i="3"/>
  <c r="K41" i="3"/>
  <c r="AQ81" i="3"/>
  <c r="AF81" i="3"/>
  <c r="AG81" i="3"/>
  <c r="AT81" i="3"/>
  <c r="AN81" i="3"/>
  <c r="AL81" i="3"/>
  <c r="AJ81" i="3"/>
  <c r="AI81" i="3"/>
  <c r="AH81" i="3"/>
  <c r="P53" i="3"/>
  <c r="K53" i="3"/>
  <c r="AQ87" i="3"/>
  <c r="AJ87" i="3"/>
  <c r="AH87" i="3"/>
  <c r="AG87" i="3"/>
  <c r="AL87" i="3"/>
  <c r="AN87" i="3"/>
  <c r="AT87" i="3"/>
  <c r="AF87" i="3"/>
  <c r="AQ82" i="3"/>
  <c r="AH82" i="3"/>
  <c r="AT82" i="3"/>
  <c r="AN82" i="3"/>
  <c r="AJ82" i="3"/>
  <c r="AI82" i="3"/>
  <c r="AF82" i="3"/>
  <c r="AG82" i="3"/>
  <c r="P15" i="3"/>
  <c r="K15" i="3"/>
  <c r="AL82" i="3"/>
  <c r="AI87" i="3"/>
  <c r="K52" i="3"/>
  <c r="S98" i="3" l="1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H92" i="3"/>
  <c r="AS92" i="3"/>
  <c r="AF92" i="3"/>
  <c r="AG92" i="3"/>
  <c r="AN92" i="3"/>
  <c r="AJ92" i="3"/>
  <c r="AI92" i="3"/>
  <c r="AL92" i="3"/>
  <c r="S103" i="3" l="1"/>
  <c r="T103" i="3" s="1" a="1"/>
  <c r="T103" i="3" s="1"/>
  <c r="CG24" i="3"/>
  <c r="S111" i="3" s="1"/>
  <c r="T111" i="3" s="1"/>
  <c r="AM91" i="3"/>
  <c r="AM82" i="3"/>
  <c r="AM90" i="3"/>
  <c r="AM88" i="3"/>
  <c r="AM89" i="3"/>
  <c r="AM80" i="3"/>
  <c r="AM81" i="3"/>
  <c r="AM87" i="3"/>
  <c r="AM86" i="3"/>
  <c r="AM83" i="3"/>
  <c r="AM85" i="3"/>
  <c r="AM84" i="3"/>
  <c r="S85" i="3"/>
  <c r="T85" i="3" s="1" a="1"/>
  <c r="T85" i="3" s="1"/>
  <c r="BS13" i="3"/>
  <c r="S84" i="3"/>
  <c r="T84" i="3" s="1" a="1"/>
  <c r="T84" i="3" s="1"/>
  <c r="BS12" i="3"/>
  <c r="AM92" i="3" l="1"/>
  <c r="BZ16" i="3"/>
  <c r="S95" i="3"/>
  <c r="T95" i="3" s="1" a="1"/>
  <c r="T95" i="3" s="1"/>
  <c r="S102" i="3" l="1"/>
  <c r="T102" i="3" s="1" a="1"/>
  <c r="T102" i="3" s="1"/>
  <c r="CG23" i="3"/>
  <c r="AP81" i="3"/>
  <c r="AP86" i="3"/>
  <c r="AP90" i="3"/>
  <c r="AP88" i="3"/>
  <c r="AP82" i="3"/>
  <c r="AP83" i="3"/>
  <c r="AP84" i="3"/>
  <c r="AP89" i="3"/>
  <c r="AP87" i="3"/>
  <c r="AP91" i="3"/>
  <c r="AP85" i="3"/>
  <c r="AP80" i="3"/>
  <c r="CN37" i="3" l="1"/>
  <c r="CK68" i="3" s="1"/>
  <c r="CN48" i="3"/>
  <c r="AD85" i="3"/>
  <c r="AS85" i="3" s="1"/>
  <c r="AD91" i="3"/>
  <c r="AS91" i="3" s="1"/>
  <c r="AD89" i="3"/>
  <c r="AS89" i="3" s="1"/>
  <c r="AD86" i="3"/>
  <c r="AS86" i="3" s="1"/>
  <c r="AD90" i="3"/>
  <c r="AS90" i="3" s="1"/>
  <c r="AD87" i="3"/>
  <c r="AS87" i="3" s="1"/>
  <c r="AD84" i="3"/>
  <c r="AS84" i="3" s="1"/>
  <c r="AD83" i="3"/>
  <c r="AS83" i="3" s="1"/>
  <c r="AD88" i="3"/>
  <c r="AS88" i="3" s="1"/>
  <c r="AD82" i="3"/>
  <c r="AS82" i="3" s="1"/>
  <c r="AD80" i="3"/>
  <c r="AD81" i="3"/>
  <c r="AS81" i="3" s="1"/>
  <c r="J92" i="3" l="1"/>
  <c r="M88" i="3"/>
  <c r="O87" i="3"/>
  <c r="AS80" i="3"/>
  <c r="O83" i="3"/>
  <c r="L83" i="3"/>
  <c r="N84" i="3"/>
  <c r="M87" i="3"/>
  <c r="M85" i="3"/>
  <c r="L88" i="3"/>
  <c r="J87" i="3"/>
  <c r="N85" i="3"/>
  <c r="L84" i="3"/>
  <c r="J85" i="3"/>
  <c r="L91" i="3"/>
  <c r="N82" i="3"/>
  <c r="J86" i="3"/>
  <c r="J88" i="3"/>
  <c r="L81" i="3"/>
  <c r="N90" i="3"/>
  <c r="O90" i="3"/>
  <c r="O86" i="3"/>
  <c r="L90" i="3"/>
  <c r="O92" i="3"/>
  <c r="M84" i="3"/>
  <c r="J90" i="3"/>
  <c r="N86" i="3"/>
  <c r="J83" i="3"/>
  <c r="L85" i="3"/>
  <c r="M89" i="3"/>
  <c r="J84" i="3"/>
  <c r="N81" i="3"/>
  <c r="O91" i="3"/>
  <c r="O88" i="3"/>
  <c r="M91" i="3"/>
  <c r="L82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N92" i="3"/>
  <c r="M82" i="3"/>
  <c r="L87" i="3"/>
  <c r="J91" i="3"/>
  <c r="O84" i="3"/>
  <c r="O85" i="3"/>
  <c r="N87" i="3"/>
  <c r="M83" i="3"/>
  <c r="N91" i="3"/>
  <c r="O89" i="3"/>
  <c r="N89" i="3"/>
  <c r="L92" i="3"/>
  <c r="J81" i="3"/>
  <c r="J89" i="3"/>
  <c r="O81" i="3"/>
  <c r="M90" i="3"/>
  <c r="L86" i="3"/>
  <c r="N83" i="3"/>
  <c r="O82" i="3"/>
  <c r="J82" i="3"/>
  <c r="M86" i="3"/>
  <c r="M92" i="3"/>
  <c r="M81" i="3"/>
  <c r="L89" i="3"/>
  <c r="N88" i="3"/>
  <c r="P92" i="3" l="1"/>
  <c r="K92" i="3"/>
  <c r="K83" i="3"/>
  <c r="P83" i="3"/>
  <c r="P88" i="3"/>
  <c r="K88" i="3"/>
  <c r="K84" i="3"/>
  <c r="P84" i="3"/>
  <c r="K91" i="3"/>
  <c r="P91" i="3"/>
  <c r="P81" i="3"/>
  <c r="K81" i="3"/>
  <c r="K90" i="3"/>
  <c r="P90" i="3"/>
  <c r="P85" i="3"/>
  <c r="K85" i="3"/>
  <c r="P82" i="3"/>
  <c r="K82" i="3"/>
  <c r="F3" i="4"/>
  <c r="BL35" i="3" s="1"/>
  <c r="E3" i="4"/>
  <c r="BL67" i="3" s="1"/>
  <c r="H3" i="4"/>
  <c r="BL39" i="3" s="1"/>
  <c r="I3" i="4"/>
  <c r="BL15" i="3" s="1"/>
  <c r="G3" i="4"/>
  <c r="BL11" i="3" s="1"/>
  <c r="J3" i="4"/>
  <c r="BL71" i="3" s="1"/>
  <c r="B3" i="4"/>
  <c r="D3" i="4"/>
  <c r="BL51" i="3" s="1"/>
  <c r="BS52" i="3" s="1"/>
  <c r="BZ49" i="3" s="1"/>
  <c r="CG55" i="3" s="1"/>
  <c r="CN49" i="3" s="1"/>
  <c r="K3" i="4"/>
  <c r="BL55" i="3" s="1"/>
  <c r="P87" i="3"/>
  <c r="K87" i="3"/>
  <c r="P86" i="3"/>
  <c r="K86" i="3"/>
  <c r="K89" i="3"/>
  <c r="P89" i="3"/>
  <c r="BS53" i="3"/>
  <c r="BS69" i="3"/>
  <c r="BZ65" i="3" s="1"/>
  <c r="CG56" i="3" s="1"/>
  <c r="CN38" i="3" s="1"/>
  <c r="BS6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<sst xmlns="http://schemas.openxmlformats.org/spreadsheetml/2006/main" count="9785" uniqueCount="3699">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</sst>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yperlink" xfId="1" builtinId="8"/>
    <cellStyle name="Normal" xfId="0" builtinId="0"/>
    <cellStyle name="Note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5" x14ac:dyDescent="0.2"/>
  <cols>
    <col min="1" max="1" width="24.1640625" bestFit="1" customWidth="1"/>
    <col min="2" max="42" width="14" customWidth="1"/>
  </cols>
  <sheetData>
    <row r="1" spans="1:4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">
      <c r="A145" s="1"/>
    </row>
    <row r="146" spans="1:42" x14ac:dyDescent="0.2">
      <c r="A146" s="1"/>
    </row>
    <row r="147" spans="1:42" x14ac:dyDescent="0.2">
      <c r="A147" s="1"/>
    </row>
    <row r="148" spans="1:42" x14ac:dyDescent="0.2">
      <c r="A148" s="1"/>
    </row>
    <row r="149" spans="1:42" x14ac:dyDescent="0.2">
      <c r="A149" s="1"/>
    </row>
    <row r="150" spans="1:42" x14ac:dyDescent="0.2">
      <c r="A150" s="1"/>
    </row>
    <row r="151" spans="1:42" x14ac:dyDescent="0.2">
      <c r="A151" s="1"/>
    </row>
    <row r="152" spans="1:42" x14ac:dyDescent="0.2">
      <c r="A152" s="1"/>
    </row>
    <row r="153" spans="1:42" x14ac:dyDescent="0.2">
      <c r="A153" s="1"/>
    </row>
    <row r="154" spans="1:42" x14ac:dyDescent="0.2">
      <c r="A154" s="1"/>
    </row>
    <row r="155" spans="1:42" x14ac:dyDescent="0.2">
      <c r="A155" s="1"/>
    </row>
    <row r="156" spans="1:42" x14ac:dyDescent="0.2">
      <c r="A156" s="1"/>
    </row>
    <row r="157" spans="1:42" x14ac:dyDescent="0.2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zoomScale="125" workbookViewId="0">
      <selection activeCell="G6" sqref="G6"/>
    </sheetView>
  </sheetViews>
  <sheetFormatPr baseColWidth="10" defaultColWidth="9.1640625" defaultRowHeight="15" x14ac:dyDescent="0.2"/>
  <cols>
    <col min="1" max="1" width="1.1640625" style="10" customWidth="1"/>
    <col min="2" max="2" width="18.83203125" style="10" bestFit="1" customWidth="1"/>
    <col min="3" max="3" width="20.33203125" style="10" customWidth="1"/>
    <col min="4" max="4" width="9.1640625" style="10"/>
    <col min="5" max="5" width="1.1640625" style="10" customWidth="1"/>
    <col min="6" max="6" width="9.1640625" style="10"/>
    <col min="7" max="7" width="27.5" style="10" bestFit="1" customWidth="1"/>
    <col min="8" max="8" width="2.6640625" style="10" customWidth="1"/>
    <col min="9" max="9" width="1.1640625" style="10" customWidth="1"/>
    <col min="10" max="16384" width="9.1640625" style="10"/>
  </cols>
  <sheetData>
    <row r="1" spans="2:27" ht="7.5" customHeight="1" x14ac:dyDescent="0.2"/>
    <row r="2" spans="2:27" ht="17" thickBot="1" x14ac:dyDescent="0.2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">
      <c r="B3" s="42"/>
      <c r="C3" s="43"/>
      <c r="D3" s="44"/>
      <c r="F3" s="42"/>
      <c r="G3" s="43"/>
      <c r="H3" s="44"/>
    </row>
    <row r="4" spans="2:27" x14ac:dyDescent="0.2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2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2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">
      <c r="B11" s="54"/>
      <c r="C11" s="43"/>
      <c r="D11" s="44"/>
      <c r="F11" s="51"/>
      <c r="G11" s="52"/>
      <c r="H11" s="53"/>
    </row>
    <row r="12" spans="2:27" ht="15" customHeight="1" x14ac:dyDescent="0.2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6" x14ac:dyDescent="0.2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zoomScale="179" zoomScaleNormal="100" workbookViewId="0">
      <selection activeCell="CO49" sqref="CO49"/>
    </sheetView>
  </sheetViews>
  <sheetFormatPr baseColWidth="10" defaultColWidth="9.1640625" defaultRowHeight="15" x14ac:dyDescent="0.2"/>
  <cols>
    <col min="1" max="1" width="4.83203125" style="3" customWidth="1"/>
    <col min="2" max="2" width="6.1640625" style="3" customWidth="1"/>
    <col min="3" max="3" width="11.6640625" style="3" bestFit="1" customWidth="1"/>
    <col min="4" max="4" width="9" style="4" customWidth="1"/>
    <col min="5" max="5" width="22.5" style="5" customWidth="1"/>
    <col min="6" max="7" width="4.33203125" style="6" customWidth="1"/>
    <col min="8" max="8" width="22.5" style="7" customWidth="1"/>
    <col min="9" max="9" width="3.5" style="2" customWidth="1"/>
    <col min="10" max="10" width="19.5" style="8" customWidth="1"/>
    <col min="11" max="14" width="5.5" style="9" customWidth="1"/>
    <col min="15" max="15" width="7.6640625" style="9" customWidth="1"/>
    <col min="16" max="16" width="6.6640625" style="9" customWidth="1"/>
    <col min="17" max="17" width="3.5" style="68" customWidth="1"/>
    <col min="18" max="18" width="15.5" style="123" hidden="1" customWidth="1"/>
    <col min="19" max="20" width="16" style="127" hidden="1" customWidth="1"/>
    <col min="21" max="28" width="4" style="123" hidden="1" customWidth="1"/>
    <col min="29" max="29" width="4.33203125" style="124" hidden="1" customWidth="1"/>
    <col min="30" max="30" width="5.5" style="123" hidden="1" customWidth="1"/>
    <col min="31" max="31" width="13.5" style="124" hidden="1" customWidth="1"/>
    <col min="32" max="36" width="5.5" style="123" hidden="1" customWidth="1"/>
    <col min="37" max="39" width="6" style="123" hidden="1" customWidth="1"/>
    <col min="40" max="40" width="5.5" style="123" hidden="1" customWidth="1"/>
    <col min="41" max="42" width="6" style="123" hidden="1" customWidth="1"/>
    <col min="43" max="43" width="7.1640625" style="125" hidden="1" customWidth="1"/>
    <col min="44" max="44" width="10" style="125" hidden="1" customWidth="1"/>
    <col min="45" max="45" width="15.33203125" style="125" hidden="1" customWidth="1"/>
    <col min="46" max="50" width="4.6640625" style="126" hidden="1" customWidth="1"/>
    <col min="51" max="51" width="9.1640625" style="125" hidden="1" customWidth="1"/>
    <col min="52" max="61" width="9.1640625" style="126" hidden="1" customWidth="1"/>
    <col min="62" max="62" width="9.1640625" style="112" hidden="1" customWidth="1"/>
    <col min="63" max="63" width="3.33203125" style="2" customWidth="1"/>
    <col min="64" max="64" width="19.6640625" style="2" customWidth="1"/>
    <col min="65" max="67" width="3" style="2" customWidth="1"/>
    <col min="68" max="69" width="2" style="111" customWidth="1"/>
    <col min="70" max="70" width="3.33203125" style="2" customWidth="1"/>
    <col min="71" max="71" width="19.6640625" style="2" customWidth="1"/>
    <col min="72" max="74" width="3" style="2" customWidth="1"/>
    <col min="75" max="76" width="2" style="111" customWidth="1"/>
    <col min="77" max="77" width="4" style="2" customWidth="1"/>
    <col min="78" max="78" width="19.6640625" style="2" customWidth="1"/>
    <col min="79" max="81" width="3" style="2" customWidth="1"/>
    <col min="82" max="83" width="2" style="111" customWidth="1"/>
    <col min="84" max="84" width="3.83203125" style="2" customWidth="1"/>
    <col min="85" max="85" width="19.6640625" style="2" customWidth="1"/>
    <col min="86" max="88" width="3" style="2" customWidth="1"/>
    <col min="89" max="90" width="2" style="111" customWidth="1"/>
    <col min="91" max="91" width="3.6640625" style="2" customWidth="1"/>
    <col min="92" max="92" width="19.6640625" style="2" customWidth="1"/>
    <col min="93" max="95" width="3" style="2" customWidth="1"/>
    <col min="96" max="96" width="2" style="111" customWidth="1"/>
    <col min="97" max="16384" width="9.1640625" style="2"/>
  </cols>
  <sheetData>
    <row r="1" spans="1:95" ht="47" x14ac:dyDescent="0.2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"/>
    <row r="5" spans="1:95" x14ac:dyDescent="0.2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2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2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2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2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Republic_win</v>
      </c>
      <c r="T8" s="127" t="str">
        <f t="shared" si="2"/>
        <v>Czech Republic_lose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5</v>
      </c>
      <c r="AJ8" s="123">
        <f>SUMIF($E$7:$E$78,$AE8,$G$7:$G$78) + SUMIF($H$7:$H$78,$AE8,$F$7:$F$78)</f>
        <v>1</v>
      </c>
      <c r="AL8" s="123">
        <f>AI8-AJ8</f>
        <v>4</v>
      </c>
      <c r="AM8" s="123">
        <f>AL8-AL12</f>
        <v>9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90000009.715126231</v>
      </c>
      <c r="AQ8" s="126">
        <f>VLOOKUP(AE8,db_fifarank,2,FALSE)</f>
        <v>1681.03</v>
      </c>
      <c r="AR8" s="125">
        <f>AP8/AP12</f>
        <v>0.99999998888889019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3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5 - 1</v>
      </c>
      <c r="P9" s="32">
        <f>L9*3+M9</f>
        <v>9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1</v>
      </c>
      <c r="AJ9" s="123">
        <f>SUMIF($E$7:$E$78,$AE9,$G$7:$G$78) + SUMIF($H$7:$H$78,$AE9,$F$7:$F$78)</f>
        <v>6</v>
      </c>
      <c r="AL9" s="123">
        <f>AI9-AJ9</f>
        <v>-5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0.14357200785714286</v>
      </c>
      <c r="AQ9" s="126">
        <f>VLOOKUP(AE9,db_fifarank,2,FALSE)</f>
        <v>1429.73</v>
      </c>
      <c r="AR9" s="125">
        <f>AP9/AP12</f>
        <v>1.595244341821093E-9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2</v>
      </c>
      <c r="G10" s="20">
        <v>1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2</v>
      </c>
      <c r="M10" s="23">
        <f>VLOOKUP(2,AD8:AN11,4,FALSE)</f>
        <v>0</v>
      </c>
      <c r="N10" s="23">
        <f>VLOOKUP(2,AD8:AN11,5,FALSE)</f>
        <v>1</v>
      </c>
      <c r="O10" s="23" t="str">
        <f>VLOOKUP(2,AD8:AN11,6,FALSE) &amp; " - " &amp; VLOOKUP(2,AD8:AN11,7,FALSE)</f>
        <v>6 - 4</v>
      </c>
      <c r="P10" s="34">
        <f>L10*3+M10</f>
        <v>6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2</v>
      </c>
      <c r="AG10" s="123">
        <f>COUNTIF($S$7:$T$78,"=" &amp; AE10 &amp; "_draw")</f>
        <v>0</v>
      </c>
      <c r="AH10" s="123">
        <f>COUNTIF($S$7:$T$78,"=" &amp; AE10 &amp; "_lose")</f>
        <v>1</v>
      </c>
      <c r="AI10" s="123">
        <f>SUMIF($E$7:$E$78,$AE10,$F$7:$F$78) + SUMIF($H$7:$H$78,$AE10,$G$7:$G$78)</f>
        <v>6</v>
      </c>
      <c r="AJ10" s="123">
        <f>SUMIF($E$7:$E$78,$AE10,$G$7:$G$78) + SUMIF($H$7:$H$78,$AE10,$F$7:$F$78)</f>
        <v>4</v>
      </c>
      <c r="AL10" s="123">
        <f>AI10-AJ10</f>
        <v>2</v>
      </c>
      <c r="AM10" s="123">
        <f>AL10-AL12</f>
        <v>7</v>
      </c>
      <c r="AN10" s="123">
        <f>AF10*3+AG10</f>
        <v>6</v>
      </c>
      <c r="AO10" s="123">
        <f>AN10/AN12*10+BA10</f>
        <v>6</v>
      </c>
      <c r="AP10" s="123">
        <f>AO10*10000000+BI10*100+AM10/AM12*10+AI10/AI12*1++IF(AQ10=0,ROW(),AQ10)/2000000</f>
        <v>60000007.857937187</v>
      </c>
      <c r="AQ10" s="126">
        <f>VLOOKUP(AE10,db_fifarank,2,FALSE)</f>
        <v>1588.66</v>
      </c>
      <c r="AR10" s="125">
        <f>AP10/AP12</f>
        <v>0.66666667460577345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3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3000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3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0</v>
      </c>
      <c r="N11" s="23">
        <f>VLOOKUP(3,AD8:AN11,5,FALSE)</f>
        <v>2</v>
      </c>
      <c r="O11" s="23" t="str">
        <f>VLOOKUP(3,AD8:AN11,6,FALSE) &amp; " - " &amp; VLOOKUP(3,AD8:AN11,7,FALSE)</f>
        <v>2 - 3</v>
      </c>
      <c r="P11" s="34">
        <f>L11*3+M11</f>
        <v>3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0</v>
      </c>
      <c r="AH11" s="123">
        <f>COUNTIF($S$7:$T$78,"=" &amp; AE11 &amp; "_lose")</f>
        <v>2</v>
      </c>
      <c r="AI11" s="123">
        <f>SUMIF($E$7:$E$78,$AE11,$F$7:$F$78) + SUMIF($H$7:$H$78,$AE11,$G$7:$G$78)</f>
        <v>2</v>
      </c>
      <c r="AJ11" s="123">
        <f>SUMIF($E$7:$E$78,$AE11,$G$7:$G$78) + SUMIF($H$7:$H$78,$AE11,$F$7:$F$78)</f>
        <v>3</v>
      </c>
      <c r="AL11" s="123">
        <f>AI11-AJ11</f>
        <v>-1</v>
      </c>
      <c r="AM11" s="123">
        <f>AL11-AL12</f>
        <v>4</v>
      </c>
      <c r="AN11" s="123">
        <f>AF11*3+AG11</f>
        <v>3</v>
      </c>
      <c r="AO11" s="123">
        <f>AN11/AN12*10+BA11</f>
        <v>3</v>
      </c>
      <c r="AP11" s="123">
        <f>AO11*10000000+BI11*100+AM11/AM12*10+AI11/AI12*1++IF(AQ11=0,ROW(),AQ11)/2000000</f>
        <v>30000004.286464978</v>
      </c>
      <c r="AQ11" s="126">
        <f>VLOOKUP(AE11,db_fifarank,2,FALSE)</f>
        <v>1501.38</v>
      </c>
      <c r="AR11" s="125">
        <f>AP11/AP12</f>
        <v>0.33333334127506831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Paraguay</v>
      </c>
      <c r="BM11" s="62">
        <v>1</v>
      </c>
      <c r="BN11" s="64"/>
      <c r="BO11" s="27"/>
      <c r="BP11" s="113">
        <f>IF(BP10="","",BM11*1000+BN11*10+BO11)</f>
        <v>1000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3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1 - 6</v>
      </c>
      <c r="P12" s="37">
        <f>L12*3+M12</f>
        <v>0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4</v>
      </c>
      <c r="AG12" s="123">
        <f t="shared" si="12"/>
        <v>1</v>
      </c>
      <c r="AH12" s="123">
        <f t="shared" si="12"/>
        <v>4</v>
      </c>
      <c r="AI12" s="123">
        <f>MAX(AI8:AI11)+1</f>
        <v>7</v>
      </c>
      <c r="AL12" s="123">
        <f>MIN(AL8:AL11)</f>
        <v>-5</v>
      </c>
      <c r="AM12" s="123">
        <f>MAX(AM8:AM11)+1</f>
        <v>10</v>
      </c>
      <c r="AN12" s="123">
        <f>MAX(AN8:AN11)+1</f>
        <v>10</v>
      </c>
      <c r="AO12" s="123">
        <f>MAX(AO8:AO11)+1</f>
        <v>10</v>
      </c>
      <c r="AP12" s="123">
        <f>MAX(AP8:AP11)+1</f>
        <v>90000010.715126231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2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2000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2</v>
      </c>
      <c r="G13" s="20">
        <v>2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Brazil_draw</v>
      </c>
      <c r="T13" s="127" t="str">
        <f t="shared" si="2"/>
        <v>Morocco_draw</v>
      </c>
      <c r="U13" s="123">
        <f t="shared" si="8"/>
        <v>1</v>
      </c>
      <c r="V13" s="123">
        <f t="shared" si="3"/>
        <v>2</v>
      </c>
      <c r="W13" s="123">
        <f t="shared" si="4"/>
        <v>2</v>
      </c>
      <c r="X13" s="123">
        <f t="shared" si="9"/>
        <v>1</v>
      </c>
      <c r="Y13" s="123">
        <f t="shared" si="10"/>
        <v>2</v>
      </c>
      <c r="Z13" s="123">
        <f t="shared" si="11"/>
        <v>2</v>
      </c>
      <c r="AA13" s="123">
        <f t="shared" si="5"/>
        <v>0</v>
      </c>
      <c r="AB13" s="123">
        <f t="shared" si="6"/>
        <v>0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3</v>
      </c>
      <c r="BU13" s="64"/>
      <c r="BV13" s="27"/>
      <c r="BW13" s="113">
        <f>IF(BW12="","",BT13*1000+BU13*10+BV13)</f>
        <v>3000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0</v>
      </c>
      <c r="AH14" s="123">
        <f>COUNTIF($S$7:$T$78,"=" &amp; AE14 &amp; "_lose")</f>
        <v>1</v>
      </c>
      <c r="AI14" s="123">
        <f>SUMIF($E$7:$E$78,$AE14,$F$7:$F$78) + SUMIF($H$7:$H$78,$AE14,$G$7:$G$78)</f>
        <v>7</v>
      </c>
      <c r="AJ14" s="123">
        <f>SUMIF($E$7:$E$78,$AE14,$G$7:$G$78) + SUMIF($H$7:$H$78,$AE14,$F$7:$F$78)</f>
        <v>3</v>
      </c>
      <c r="AL14" s="123">
        <f>AI14-AJ14</f>
        <v>4</v>
      </c>
      <c r="AM14" s="123">
        <f>AL14-AL18</f>
        <v>10</v>
      </c>
      <c r="AN14" s="123">
        <f>AF14*3+AG14</f>
        <v>6</v>
      </c>
      <c r="AO14" s="123">
        <f>AN14/AN18*10+BA14</f>
        <v>6</v>
      </c>
      <c r="AP14" s="123">
        <f>AO14*10000000+BI14*100+AM14/AM18*10+AI14/AI18*1++IF(AQ14=0,ROW(),AQ14)/2000000</f>
        <v>60000009.966687337</v>
      </c>
      <c r="AQ14" s="126">
        <f>VLOOKUP(AE14,db_fifarank,2,FALSE)</f>
        <v>1556.48</v>
      </c>
      <c r="AR14" s="125">
        <f>AP14/AP18</f>
        <v>0.66666669709849413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4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4000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1</v>
      </c>
      <c r="G15" s="20">
        <v>2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6 - 2</v>
      </c>
      <c r="P15" s="32">
        <f>L15*3+M15</f>
        <v>9</v>
      </c>
      <c r="R15" s="123">
        <f>DATE(2026,6,14)+TIME(12,0,0)+gmt_delta</f>
        <v>46188.041666666664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0</v>
      </c>
      <c r="AH15" s="123">
        <f>COUNTIF($S$7:$T$78,"=" &amp; AE15 &amp; "_lose")</f>
        <v>2</v>
      </c>
      <c r="AI15" s="123">
        <f>SUMIF($E$7:$E$78,$AE15,$F$7:$F$78) + SUMIF($H$7:$H$78,$AE15,$G$7:$G$78)</f>
        <v>4</v>
      </c>
      <c r="AJ15" s="123">
        <f>SUMIF($E$7:$E$78,$AE15,$G$7:$G$78) + SUMIF($H$7:$H$78,$AE15,$F$7:$F$78)</f>
        <v>6</v>
      </c>
      <c r="AL15" s="123">
        <f>AI15-AJ15</f>
        <v>-2</v>
      </c>
      <c r="AM15" s="123">
        <f>AL15-AL18</f>
        <v>4</v>
      </c>
      <c r="AN15" s="123">
        <f>AF15*3+AG15</f>
        <v>3</v>
      </c>
      <c r="AO15" s="123">
        <f>AN15/AN18*10+BA15</f>
        <v>3</v>
      </c>
      <c r="AP15" s="123">
        <f>AO15*10000000+BI15*100+AM15/AM18*10+AI15/AI18*1++IF(AQ15=0,ROW(),AQ15)/2000000</f>
        <v>30000004.137056556</v>
      </c>
      <c r="AQ15" s="126">
        <f>VLOOKUP(AE15,db_fifarank,2,FALSE)</f>
        <v>1385.84</v>
      </c>
      <c r="AR15" s="125">
        <f>AP15/AP18</f>
        <v>0.33333333914605806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Japan</v>
      </c>
      <c r="BM15" s="62">
        <v>1</v>
      </c>
      <c r="BN15" s="64"/>
      <c r="BO15" s="27"/>
      <c r="BP15" s="112">
        <f>IF(BP14="","",BM15*1000+BN15*10+BO15)</f>
        <v>1000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2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7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2</v>
      </c>
      <c r="M16" s="23">
        <f>VLOOKUP(2,AD14:AN17,4,FALSE)</f>
        <v>0</v>
      </c>
      <c r="N16" s="23">
        <f>VLOOKUP(2,AD14:AN17,5,FALSE)</f>
        <v>1</v>
      </c>
      <c r="O16" s="23" t="str">
        <f>VLOOKUP(2,AD14:AN17,6,FALSE) &amp; " - " &amp; VLOOKUP(2,AD14:AN17,7,FALSE)</f>
        <v>7 - 3</v>
      </c>
      <c r="P16" s="34">
        <f>L16*3+M16</f>
        <v>6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1</v>
      </c>
      <c r="AJ16" s="123">
        <f>SUMIF($E$7:$E$78,$AE16,$G$7:$G$78) + SUMIF($H$7:$H$78,$AE16,$F$7:$F$78)</f>
        <v>7</v>
      </c>
      <c r="AL16" s="123">
        <f>AI16-AJ16</f>
        <v>-6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0.12572748</v>
      </c>
      <c r="AQ16" s="126">
        <f>VLOOKUP(AE16,db_fifarank,2,FALSE)</f>
        <v>1454.96</v>
      </c>
      <c r="AR16" s="125">
        <f>AP16/AP18</f>
        <v>1.3969718317155919E-9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3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3000</v>
      </c>
      <c r="CE16" s="112"/>
      <c r="CF16" s="21"/>
      <c r="CG16" s="21"/>
      <c r="CH16" s="21"/>
      <c r="CI16" s="21"/>
    </row>
    <row r="17" spans="1:95" x14ac:dyDescent="0.2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3</v>
      </c>
      <c r="G17" s="20">
        <v>2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1</v>
      </c>
      <c r="M17" s="23">
        <f>VLOOKUP(3,AD14:AN17,4,FALSE)</f>
        <v>0</v>
      </c>
      <c r="N17" s="23">
        <f>VLOOKUP(3,AD14:AN17,5,FALSE)</f>
        <v>2</v>
      </c>
      <c r="O17" s="23" t="str">
        <f>VLOOKUP(3,AD14:AN17,6,FALSE) &amp; " - " &amp; VLOOKUP(3,AD14:AN17,7,FALSE)</f>
        <v>4 - 6</v>
      </c>
      <c r="P17" s="34">
        <f>L17*3+M17</f>
        <v>3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6</v>
      </c>
      <c r="AJ17" s="123">
        <f>SUMIF($E$7:$E$78,$AE17,$G$7:$G$78) + SUMIF($H$7:$H$78,$AE17,$F$7:$F$78)</f>
        <v>2</v>
      </c>
      <c r="AL17" s="123">
        <f>AI17-AJ17</f>
        <v>4</v>
      </c>
      <c r="AM17" s="123">
        <f>AL17-AL18</f>
        <v>10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90000009.841733798</v>
      </c>
      <c r="AQ17" s="126">
        <f>VLOOKUP(AE17,db_fifarank,2,FALSE)</f>
        <v>1649.4</v>
      </c>
      <c r="AR17" s="125">
        <f>AP17/AP18</f>
        <v>0.99999998888889019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Netherlands</v>
      </c>
      <c r="CA17" s="62">
        <v>1</v>
      </c>
      <c r="CB17" s="64"/>
      <c r="CC17" s="27"/>
      <c r="CD17" s="113">
        <f>IF(CD16="","",CA17*1000+CB17*10+CC17)</f>
        <v>1000</v>
      </c>
      <c r="CE17" s="117"/>
      <c r="CF17" s="21"/>
      <c r="CG17" s="21"/>
      <c r="CH17" s="21"/>
      <c r="CI17" s="21"/>
    </row>
    <row r="18" spans="1:95" x14ac:dyDescent="0.2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2</v>
      </c>
      <c r="G18" s="20">
        <v>0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1 - 7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4</v>
      </c>
      <c r="AG18" s="123">
        <f t="shared" si="13"/>
        <v>1</v>
      </c>
      <c r="AH18" s="123">
        <f t="shared" si="13"/>
        <v>4</v>
      </c>
      <c r="AI18" s="123">
        <f>MAX(AI14:AI17)+1</f>
        <v>8</v>
      </c>
      <c r="AL18" s="123">
        <f>MIN(AL14:AL17)</f>
        <v>-6</v>
      </c>
      <c r="AM18" s="123">
        <f>MAX(AM14:AM17)+1</f>
        <v>11</v>
      </c>
      <c r="AN18" s="123">
        <f>MAX(AN14:AN17)+1</f>
        <v>10</v>
      </c>
      <c r="AO18" s="123">
        <f>MAX(AO14:AO17)+1</f>
        <v>10</v>
      </c>
      <c r="AP18" s="123">
        <f>MAX(AP14:AP17)+1</f>
        <v>90000010.841733798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Korea Republic</v>
      </c>
      <c r="BM18" s="61">
        <v>1</v>
      </c>
      <c r="BN18" s="63">
        <v>2</v>
      </c>
      <c r="BO18" s="25"/>
      <c r="BP18" s="112">
        <f>IF(OR(BM18="",BM19="",AND(BN18="",BN19&lt;&gt;""),AND(BN19="",BN18&lt;&gt;""),AND(BO18="",BO19&lt;&gt;""),AND(BO19="",BO18&lt;&gt;"")),"",BM18*1000+BN18*10+BO18)</f>
        <v>1020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Canada</v>
      </c>
      <c r="BM19" s="62">
        <v>1</v>
      </c>
      <c r="BN19" s="64">
        <v>1</v>
      </c>
      <c r="BO19" s="27"/>
      <c r="BP19" s="113">
        <f>IF(BP18="","",BM19*1000+BN19*10+BO19)</f>
        <v>1010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4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10</v>
      </c>
      <c r="AJ20" s="123">
        <f>SUMIF($E$7:$E$78,$AE20,$G$7:$G$78) + SUMIF($H$7:$H$78,$AE20,$F$7:$F$78)</f>
        <v>2</v>
      </c>
      <c r="AL20" s="123">
        <f>AI20-AJ20</f>
        <v>8</v>
      </c>
      <c r="AM20" s="123">
        <f>AL20-AL24</f>
        <v>19</v>
      </c>
      <c r="AN20" s="123">
        <f>AF20*3+AG20</f>
        <v>7</v>
      </c>
      <c r="AO20" s="123">
        <f>AN20/AN24*10+BA20</f>
        <v>9.7306451612903224</v>
      </c>
      <c r="AP20" s="123">
        <f>AO20*10000000+BI20*100+AM20/AM24*10+AI20/AI24*1++IF(AQ20=0,ROW(),AQ20)/2000000</f>
        <v>97306560.08739084</v>
      </c>
      <c r="AQ20" s="126">
        <f>VLOOKUP(AE20,db_fifarank,2,FALSE)</f>
        <v>1761.16</v>
      </c>
      <c r="AR20" s="125">
        <f>AP20/AP24</f>
        <v>0.9999999897232007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1</v>
      </c>
      <c r="AV20" s="126" cm="1">
        <f t="array" ref="AV20">SUMPRODUCT(($E$7:$E$78=AE20)*($U$7:$U$78)*($F$7:$F$78))+SUMPRODUCT(($H$7:$H$78=AE20)*($U$7:$U$78)*($G$7:$G$78))</f>
        <v>2</v>
      </c>
      <c r="AW20" s="126" cm="1">
        <f t="array" ref="AW20">SUMPRODUCT(($E$7:$E$78=AE20)*($U$7:$U$78)*($G$7:$G$78))+SUMPRODUCT(($H$7:$H$78=AE20)*($U$7:$U$78)*($F$7:$F$78))</f>
        <v>2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50.666666666666664</v>
      </c>
      <c r="BA20" s="126">
        <f>AZ20/AZ24</f>
        <v>0.98064516129032253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1</v>
      </c>
      <c r="BD20" s="126" cm="1">
        <f t="array" ref="BD20">SUMPRODUCT(($E$7:$E$78=AE20)*($X$7:$X$78)*($F$7:$F$78))+SUMPRODUCT(($H$7:$H$78=AE20)*($X$7:$X$78)*($G$7:$G$78))</f>
        <v>2</v>
      </c>
      <c r="BE20" s="126" cm="1">
        <f t="array" ref="BE20">SUMPRODUCT(($E$7:$E$78=AE20)*($X$7:$X$78)*($G$7:$G$78))+SUMPRODUCT(($H$7:$H$78=AE20)*($X$7:$X$78)*($F$7:$F$78))</f>
        <v>2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50.666666666666664</v>
      </c>
      <c r="BI20" s="126">
        <f>BH20/BH24</f>
        <v>0.98064516129032253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Korea Republic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1</v>
      </c>
      <c r="G21" s="20">
        <v>1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10 - 2</v>
      </c>
      <c r="P21" s="32">
        <f>L21*3+M21</f>
        <v>7</v>
      </c>
      <c r="R21" s="123">
        <f>DATE(2026,6,15)+TIME(14,0,0)+gmt_delta</f>
        <v>46189.125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1</v>
      </c>
      <c r="V21" s="123">
        <f t="shared" si="3"/>
        <v>1</v>
      </c>
      <c r="W21" s="123">
        <f t="shared" si="4"/>
        <v>1</v>
      </c>
      <c r="X21" s="123">
        <f t="shared" si="9"/>
        <v>1</v>
      </c>
      <c r="Y21" s="123">
        <f t="shared" si="10"/>
        <v>1</v>
      </c>
      <c r="Z21" s="123">
        <f t="shared" si="11"/>
        <v>1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1</v>
      </c>
      <c r="AH21" s="123">
        <f>COUNTIF($S$7:$T$78,"=" &amp; AE21 &amp; "_lose")</f>
        <v>0</v>
      </c>
      <c r="AI21" s="123">
        <f>SUMIF($E$7:$E$78,$AE21,$F$7:$F$78) + SUMIF($H$7:$H$78,$AE21,$G$7:$G$78)</f>
        <v>7</v>
      </c>
      <c r="AJ21" s="123">
        <f>SUMIF($E$7:$E$78,$AE21,$G$7:$G$78) + SUMIF($H$7:$H$78,$AE21,$F$7:$F$78)</f>
        <v>3</v>
      </c>
      <c r="AL21" s="123">
        <f>AI21-AJ21</f>
        <v>4</v>
      </c>
      <c r="AM21" s="123">
        <f>AL21-AL24</f>
        <v>15</v>
      </c>
      <c r="AN21" s="123">
        <f>AF21*3+AG21</f>
        <v>7</v>
      </c>
      <c r="AO21" s="123">
        <f>AN21/AN24*10+BA21</f>
        <v>9.7306451612903224</v>
      </c>
      <c r="AP21" s="123">
        <f>AO21*10000000+BI21*100+AM21/AM24*10+AI21/AI24*1++IF(AQ21=0,ROW(),AQ21)/2000000</f>
        <v>97306557.814660922</v>
      </c>
      <c r="AQ21" s="126">
        <f>VLOOKUP(AE21,db_fifarank,2,FALSE)</f>
        <v>1755.87</v>
      </c>
      <c r="AR21" s="125">
        <f>AP21/AP24</f>
        <v>0.99999996636681143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2</v>
      </c>
      <c r="AW21" s="126" cm="1">
        <f t="array" ref="AW21">SUMPRODUCT(($E$7:$E$78=AE21)*($U$7:$U$78)*($G$7:$G$78))+SUMPRODUCT(($H$7:$H$78=AE21)*($U$7:$U$78)*($F$7:$F$78))</f>
        <v>2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50.666666666666664</v>
      </c>
      <c r="BA21" s="126">
        <f>AZ21/AZ24</f>
        <v>0.98064516129032253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2</v>
      </c>
      <c r="BE21" s="126" cm="1">
        <f t="array" ref="BE21">SUMPRODUCT(($E$7:$E$78=AE21)*($X$7:$X$78)*($G$7:$G$78))+SUMPRODUCT(($H$7:$H$78=AE21)*($X$7:$X$78)*($F$7:$F$78))</f>
        <v>2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50.666666666666664</v>
      </c>
      <c r="BI21" s="126">
        <f>BH21/BH24</f>
        <v>0.98064516129032253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Netherlands</v>
      </c>
      <c r="BT21" s="62">
        <v>2</v>
      </c>
      <c r="BU21" s="64"/>
      <c r="BV21" s="27"/>
      <c r="BW21" s="112">
        <f>IF(BW20="","",BT21*1000+BU21*10+BV21)</f>
        <v>2000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3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1</v>
      </c>
      <c r="N22" s="23">
        <f>VLOOKUP(2,AD20:AN23,5,FALSE)</f>
        <v>0</v>
      </c>
      <c r="O22" s="23" t="str">
        <f>VLOOKUP(2,AD20:AN23,6,FALSE) &amp; " - " &amp; VLOOKUP(2,AD20:AN23,7,FALSE)</f>
        <v>7 - 3</v>
      </c>
      <c r="P22" s="34">
        <f>L22*3+M22</f>
        <v>7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11</v>
      </c>
      <c r="AL22" s="123">
        <f>AI22-AJ22</f>
        <v>-11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6.6373222194129211E-12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2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2000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2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3</v>
      </c>
      <c r="G23" s="20">
        <v>2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4 - 5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4</v>
      </c>
      <c r="AJ23" s="123">
        <f>SUMIF($E$7:$E$78,$AE23,$G$7:$G$78) + SUMIF($H$7:$H$78,$AE23,$F$7:$F$78)</f>
        <v>5</v>
      </c>
      <c r="AL23" s="123">
        <f>AI23-AJ23</f>
        <v>-1</v>
      </c>
      <c r="AM23" s="123">
        <f>AL23-AL24</f>
        <v>10</v>
      </c>
      <c r="AN23" s="123">
        <f>AF23*3+AG23</f>
        <v>3</v>
      </c>
      <c r="AO23" s="123">
        <f>AN23/AN24*10+BA23</f>
        <v>3.75</v>
      </c>
      <c r="AP23" s="123">
        <f>AO23*10000000+BI23*100+AM23/AM24*10+AI23/AI24*1++IF(AQ23=0,ROW(),AQ23)/2000000</f>
        <v>37500005.364385545</v>
      </c>
      <c r="AQ23" s="126">
        <f>VLOOKUP(AE23,db_fifarank,2,FALSE)</f>
        <v>1498.35</v>
      </c>
      <c r="AR23" s="125">
        <f>AP23/AP24</f>
        <v>0.38538002931484611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3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3000</v>
      </c>
    </row>
    <row r="24" spans="1:95" x14ac:dyDescent="0.2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5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0 - 11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2</v>
      </c>
      <c r="AH24" s="123">
        <f t="shared" si="14"/>
        <v>4</v>
      </c>
      <c r="AI24" s="123">
        <f>MAX(AI20:AI23)+1</f>
        <v>11</v>
      </c>
      <c r="AL24" s="123">
        <f>MIN(AL20:AL23)</f>
        <v>-11</v>
      </c>
      <c r="AM24" s="123">
        <f>MAX(AM20:AM23)+1</f>
        <v>20</v>
      </c>
      <c r="AN24" s="123">
        <f>MAX(AN20:AN23)+1</f>
        <v>8</v>
      </c>
      <c r="AO24" s="123">
        <f>MAX(AO20:AO23)+1</f>
        <v>10.730645161290322</v>
      </c>
      <c r="AP24" s="123">
        <f>MAX(AP20:AP23)+1</f>
        <v>97306561.08739084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3</v>
      </c>
      <c r="AW24" s="126">
        <f>MAX(AW20:AW23)-MIN(AW20:AW23)+1</f>
        <v>3</v>
      </c>
      <c r="AY24" s="126">
        <f>MAX(AY20:AY23)-MIN(AY20:AY23)+1</f>
        <v>1</v>
      </c>
      <c r="AZ24" s="126">
        <f>MAX(AZ20:AZ23)+1</f>
        <v>51.666666666666664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3</v>
      </c>
      <c r="BE24" s="126">
        <f>MAX(BE20:BE23)-MIN(BE20:BE23)+1</f>
        <v>3</v>
      </c>
      <c r="BG24" s="126">
        <f>MAX(BG20:BG23)-MIN(BG20:BG23)+1</f>
        <v>1</v>
      </c>
      <c r="BH24" s="126">
        <f>MAX(BH20:BH23)+1</f>
        <v>51.666666666666664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4</v>
      </c>
      <c r="CI24" s="64"/>
      <c r="CJ24" s="27"/>
      <c r="CK24" s="113">
        <f>IF(CK23="","",CH24*1000+CI24*10+CJ24)</f>
        <v>4000</v>
      </c>
    </row>
    <row r="25" spans="1:95" x14ac:dyDescent="0.2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4</v>
      </c>
      <c r="G25" s="20">
        <v>1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0</v>
      </c>
      <c r="AH26" s="123">
        <f>COUNTIF($S$7:$T$78,"=" &amp; AE26 &amp; "_lose")</f>
        <v>1</v>
      </c>
      <c r="AI26" s="123">
        <f>SUMIF($E$7:$E$78,$AE26,$F$7:$F$78) + SUMIF($H$7:$H$78,$AE26,$G$7:$G$78)</f>
        <v>7</v>
      </c>
      <c r="AJ26" s="123">
        <f>SUMIF($E$7:$E$78,$AE26,$G$7:$G$78) + SUMIF($H$7:$H$78,$AE26,$F$7:$F$78)</f>
        <v>5</v>
      </c>
      <c r="AL26" s="123">
        <f>AI26-AJ26</f>
        <v>2</v>
      </c>
      <c r="AM26" s="123">
        <f>AL26-AL30</f>
        <v>9</v>
      </c>
      <c r="AN26" s="123">
        <f>AF26*3+AG26</f>
        <v>6</v>
      </c>
      <c r="AO26" s="123">
        <f>AN26/AN30*10+BA26</f>
        <v>6</v>
      </c>
      <c r="AP26" s="123">
        <f>AO26*10000000+BI26*100+AM26/AM30*10+AI26/AI30*1++IF(AQ26=0,ROW(),AQ26)/2000000</f>
        <v>60000008.278614342</v>
      </c>
      <c r="AQ26" s="126">
        <f>VLOOKUP(AE26,db_fifarank,2,FALSE)</f>
        <v>1673.13</v>
      </c>
      <c r="AR26" s="125">
        <f>AP26/AP30</f>
        <v>0.66666667675234259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3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3000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1</v>
      </c>
      <c r="G27" s="20">
        <v>0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3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8 - 4</v>
      </c>
      <c r="P27" s="32">
        <f>L27*3+M27</f>
        <v>9</v>
      </c>
      <c r="R27" s="123">
        <f>DATE(2026,6,17)+TIME(12,0,0)+gmt_delta</f>
        <v>46191.041666666664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0</v>
      </c>
      <c r="AH27" s="123">
        <f>COUNTIF($S$7:$T$78,"=" &amp; AE27 &amp; "_lose")</f>
        <v>2</v>
      </c>
      <c r="AI27" s="123">
        <f>SUMIF($E$7:$E$78,$AE27,$F$7:$F$78) + SUMIF($H$7:$H$78,$AE27,$G$7:$G$78)</f>
        <v>5</v>
      </c>
      <c r="AJ27" s="123">
        <f>SUMIF($E$7:$E$78,$AE27,$G$7:$G$78) + SUMIF($H$7:$H$78,$AE27,$F$7:$F$78)</f>
        <v>4</v>
      </c>
      <c r="AL27" s="123">
        <f>AI27-AJ27</f>
        <v>1</v>
      </c>
      <c r="AM27" s="123">
        <f>AL27-AL30</f>
        <v>8</v>
      </c>
      <c r="AN27" s="123">
        <f>AF27*3+AG27</f>
        <v>3</v>
      </c>
      <c r="AO27" s="123">
        <f>AN27/AN30*10+BA27</f>
        <v>3</v>
      </c>
      <c r="AP27" s="123">
        <f>AO27*10000000+BI27*100+AM27/AM30*10+AI27/AI30*1++IF(AQ27=0,ROW(),AQ27)/2000000</f>
        <v>30000007.222973973</v>
      </c>
      <c r="AQ27" s="126">
        <f>VLOOKUP(AE27,db_fifarank,2,FALSE)</f>
        <v>1503.5</v>
      </c>
      <c r="AR27" s="125">
        <f>AP27/AP30</f>
        <v>0.3333333726391316</v>
      </c>
      <c r="AS27" s="125" t="str">
        <f>IF(SUM(AF26:AH29)=12,J28,"2D")</f>
        <v>United States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Croatia</v>
      </c>
      <c r="BM27" s="62">
        <v>2</v>
      </c>
      <c r="BN27" s="64"/>
      <c r="BO27" s="27"/>
      <c r="BP27" s="113">
        <f>IF(BP26="","",BM27*1000+BN27*10+BO27)</f>
        <v>2000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3</v>
      </c>
      <c r="G28" s="20">
        <v>1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2</v>
      </c>
      <c r="M28" s="23">
        <f>VLOOKUP(2,AD26:AN29,4,FALSE)</f>
        <v>0</v>
      </c>
      <c r="N28" s="23">
        <f>VLOOKUP(2,AD26:AN29,5,FALSE)</f>
        <v>1</v>
      </c>
      <c r="O28" s="23" t="str">
        <f>VLOOKUP(2,AD26:AN29,6,FALSE) &amp; " - " &amp; VLOOKUP(2,AD26:AN29,7,FALSE)</f>
        <v>7 - 5</v>
      </c>
      <c r="P28" s="34">
        <f>L28*3+M28</f>
        <v>6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0</v>
      </c>
      <c r="AH28" s="123">
        <f>COUNTIF($S$7:$T$78,"=" &amp; AE28 &amp; "_lose")</f>
        <v>3</v>
      </c>
      <c r="AI28" s="123">
        <f>SUMIF($E$7:$E$78,$AE28,$F$7:$F$78) + SUMIF($H$7:$H$78,$AE28,$G$7:$G$78)</f>
        <v>2</v>
      </c>
      <c r="AJ28" s="123">
        <f>SUMIF($E$7:$E$78,$AE28,$G$7:$G$78) + SUMIF($H$7:$H$78,$AE28,$F$7:$F$78)</f>
        <v>9</v>
      </c>
      <c r="AL28" s="123">
        <f>AI28-AJ28</f>
        <v>-7</v>
      </c>
      <c r="AM28" s="123">
        <f>AL28-AL30</f>
        <v>0</v>
      </c>
      <c r="AN28" s="123">
        <f>AF28*3+AG28</f>
        <v>0</v>
      </c>
      <c r="AO28" s="123">
        <f>AN28/AN30*10+BA28</f>
        <v>0</v>
      </c>
      <c r="AP28" s="123">
        <f>AO28*10000000+BI28*100+AM28/AM30*10+AI28/AI30*1++IF(AQ28=0,ROW(),AQ28)/2000000</f>
        <v>0.22301255722222221</v>
      </c>
      <c r="AQ28" s="126">
        <f>VLOOKUP(AE28,db_fifarank,2,FALSE)</f>
        <v>1580.67</v>
      </c>
      <c r="AR28" s="125">
        <f>AP28/AP30</f>
        <v>2.4779169980610224E-9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Colombia</v>
      </c>
      <c r="BT28" s="61">
        <v>2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2000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4</v>
      </c>
      <c r="G29" s="20">
        <v>0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1</v>
      </c>
      <c r="M29" s="23">
        <f>VLOOKUP(3,AD26:AN29,4,FALSE)</f>
        <v>0</v>
      </c>
      <c r="N29" s="23">
        <f>VLOOKUP(3,AD26:AN29,5,FALSE)</f>
        <v>2</v>
      </c>
      <c r="O29" s="23" t="str">
        <f>VLOOKUP(3,AD26:AN29,6,FALSE) &amp; " - " &amp; VLOOKUP(3,AD26:AN29,7,FALSE)</f>
        <v>5 - 4</v>
      </c>
      <c r="P29" s="34">
        <f>L29*3+M29</f>
        <v>3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3</v>
      </c>
      <c r="AG29" s="123">
        <f>COUNTIF($S$7:$T$78,"=" &amp; AE29 &amp; "_draw")</f>
        <v>0</v>
      </c>
      <c r="AH29" s="123">
        <f>COUNTIF($S$7:$T$78,"=" &amp; AE29 &amp; "_lose")</f>
        <v>0</v>
      </c>
      <c r="AI29" s="123">
        <f>SUMIF($E$7:$E$78,$AE29,$F$7:$F$78) + SUMIF($H$7:$H$78,$AE29,$G$7:$G$78)</f>
        <v>8</v>
      </c>
      <c r="AJ29" s="123">
        <f>SUMIF($E$7:$E$78,$AE29,$G$7:$G$78) + SUMIF($H$7:$H$78,$AE29,$F$7:$F$78)</f>
        <v>4</v>
      </c>
      <c r="AL29" s="123">
        <f>AI29-AJ29</f>
        <v>4</v>
      </c>
      <c r="AM29" s="123">
        <f>AL29-AL30</f>
        <v>11</v>
      </c>
      <c r="AN29" s="123">
        <f>AF29*3+AG29</f>
        <v>9</v>
      </c>
      <c r="AO29" s="123">
        <f>AN29/AN30*10+BA29</f>
        <v>9</v>
      </c>
      <c r="AP29" s="123">
        <f>AO29*10000000+BI29*100+AM29/AM30*10+AI29/AI30*1++IF(AQ29=0,ROW(),AQ29)/2000000</f>
        <v>90000010.056355089</v>
      </c>
      <c r="AQ29" s="126">
        <f>VLOOKUP(AE29,db_fifarank,2,FALSE)</f>
        <v>1599.04</v>
      </c>
      <c r="AR29" s="125">
        <f>AP29/AP30</f>
        <v>0.9999999888888903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4</v>
      </c>
      <c r="BU29" s="64"/>
      <c r="BV29" s="27"/>
      <c r="BW29" s="113">
        <f>IF(BW28="","",BT29*1000+BU29*10+BV29)</f>
        <v>4000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2 - 9</v>
      </c>
      <c r="P30" s="37">
        <f>L30*3+M30</f>
        <v>0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4</v>
      </c>
      <c r="AG30" s="123">
        <f t="shared" si="15"/>
        <v>1</v>
      </c>
      <c r="AH30" s="123">
        <f t="shared" si="15"/>
        <v>4</v>
      </c>
      <c r="AI30" s="123">
        <f>MAX(AI26:AI29)+1</f>
        <v>9</v>
      </c>
      <c r="AL30" s="123">
        <f>MIN(AL26:AL29)</f>
        <v>-7</v>
      </c>
      <c r="AM30" s="123">
        <f>MAX(AM26:AM29)+1</f>
        <v>12</v>
      </c>
      <c r="AN30" s="123">
        <f>MAX(AN26:AN29)+1</f>
        <v>10</v>
      </c>
      <c r="AO30" s="123">
        <f>MAX(AO26:AO29)+1</f>
        <v>10</v>
      </c>
      <c r="AP30" s="123">
        <f>MAX(AP26:AP29)+1</f>
        <v>90000011.056355089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3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3000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1</v>
      </c>
      <c r="G31" s="20">
        <v>0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2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2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14</v>
      </c>
      <c r="AJ32" s="123">
        <f>SUMIF($E$7:$E$78,$AE32,$G$7:$G$78) + SUMIF($H$7:$H$78,$AE32,$F$7:$F$78)</f>
        <v>3</v>
      </c>
      <c r="AL32" s="123">
        <f>AI32-AJ32</f>
        <v>11</v>
      </c>
      <c r="AM32" s="123">
        <f>AL32-AL36</f>
        <v>25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90000010.549583137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2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3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14 - 3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14</v>
      </c>
      <c r="AL33" s="123">
        <f>AI33-AJ33</f>
        <v>-14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7.1924990769959333E-12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Belgium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2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2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8 - 4</v>
      </c>
      <c r="P34" s="34">
        <f>L34*3+M34</f>
        <v>6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0</v>
      </c>
      <c r="AH34" s="123">
        <f>COUNTIF($S$7:$T$78,"=" &amp; AE34 &amp; "_lose")</f>
        <v>2</v>
      </c>
      <c r="AI34" s="123">
        <f>SUMIF($E$7:$E$78,$AE34,$F$7:$F$78) + SUMIF($H$7:$H$78,$AE34,$G$7:$G$78)</f>
        <v>5</v>
      </c>
      <c r="AJ34" s="123">
        <f>SUMIF($E$7:$E$78,$AE34,$G$7:$G$78) + SUMIF($H$7:$H$78,$AE34,$F$7:$F$78)</f>
        <v>6</v>
      </c>
      <c r="AL34" s="123">
        <f>AI34-AJ34</f>
        <v>-1</v>
      </c>
      <c r="AM34" s="123">
        <f>AL34-AL36</f>
        <v>13</v>
      </c>
      <c r="AN34" s="123">
        <f>AF34*3+AG34</f>
        <v>3</v>
      </c>
      <c r="AO34" s="123">
        <f>AN34/AN36*10+BA34</f>
        <v>3</v>
      </c>
      <c r="AP34" s="123">
        <f>AO34*10000000+BI34*100+AM34/AM36*10+AI34/AI36*1++IF(AQ34=0,ROW(),AQ34)/2000000</f>
        <v>30000005.334099822</v>
      </c>
      <c r="AQ34" s="126">
        <f>VLOOKUP(AE34,db_fifarank,2,FALSE)</f>
        <v>1532.98</v>
      </c>
      <c r="AR34" s="125">
        <f>AP34/AP36</f>
        <v>0.33333334982487317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Turkey</v>
      </c>
      <c r="BM34" s="61">
        <v>3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3000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2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5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5 - 6</v>
      </c>
      <c r="P35" s="34">
        <f>L35*3+M35</f>
        <v>3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0</v>
      </c>
      <c r="AH35" s="123">
        <f>COUNTIF($S$7:$T$78,"=" &amp; AE35 &amp; "_lose")</f>
        <v>1</v>
      </c>
      <c r="AI35" s="123">
        <f>SUMIF($E$7:$E$78,$AE35,$F$7:$F$78) + SUMIF($H$7:$H$78,$AE35,$G$7:$G$78)</f>
        <v>8</v>
      </c>
      <c r="AJ35" s="123">
        <f>SUMIF($E$7:$E$78,$AE35,$G$7:$G$78) + SUMIF($H$7:$H$78,$AE35,$F$7:$F$78)</f>
        <v>4</v>
      </c>
      <c r="AL35" s="123">
        <f>AI35-AJ35</f>
        <v>4</v>
      </c>
      <c r="AM35" s="123">
        <f>AL35-AL36</f>
        <v>18</v>
      </c>
      <c r="AN35" s="123">
        <f>AF35*3+AG35</f>
        <v>6</v>
      </c>
      <c r="AO35" s="123">
        <f>AN35/AN36*10+BA35</f>
        <v>6</v>
      </c>
      <c r="AP35" s="123">
        <f>AO35*10000000+BI35*100+AM35/AM36*10+AI35/AI36*1++IF(AQ35=0,ROW(),AQ35)/2000000</f>
        <v>60000007.457207642</v>
      </c>
      <c r="AQ35" s="126">
        <f>VLOOKUP(AE35,db_fifarank,2,FALSE)</f>
        <v>1594.78</v>
      </c>
      <c r="AR35" s="125">
        <f>AP35/AP36</f>
        <v>0.66666666397206198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Ivory Coast</v>
      </c>
      <c r="BM35" s="62">
        <v>1</v>
      </c>
      <c r="BN35" s="64"/>
      <c r="BO35" s="27"/>
      <c r="BP35" s="113">
        <f>IF(BP34="","",BM35*1000+BN35*10+BO35)</f>
        <v>1000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0 - 14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1</v>
      </c>
      <c r="AH36" s="123">
        <f t="shared" si="16"/>
        <v>4</v>
      </c>
      <c r="AI36" s="123">
        <f>MAX(AI32:AI35)+1</f>
        <v>15</v>
      </c>
      <c r="AL36" s="123">
        <f>MIN(AL32:AL35)</f>
        <v>-14</v>
      </c>
      <c r="AM36" s="123">
        <f>MAX(AM32:AM35)+1</f>
        <v>26</v>
      </c>
      <c r="AN36" s="123">
        <f>MAX(AN32:AN35)+1</f>
        <v>10</v>
      </c>
      <c r="AO36" s="123">
        <f>MAX(AO32:AO35)+1</f>
        <v>10</v>
      </c>
      <c r="AP36" s="123">
        <f>MAX(AP32:AP35)+1</f>
        <v>90000011.549583137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Turkey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2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3</v>
      </c>
      <c r="G37" s="20">
        <v>1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2</v>
      </c>
      <c r="BU37" s="64"/>
      <c r="BV37" s="27"/>
      <c r="BW37" s="112">
        <f>IF(BW36="","",BT37*1000+BU37*10+BV37)</f>
        <v>2000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1</v>
      </c>
      <c r="CP37" s="63">
        <v>2</v>
      </c>
      <c r="CQ37" s="25">
        <v>5</v>
      </c>
      <c r="CR37" s="111">
        <f>IF(OR(CO37="",CO38="",AND(CP37="",CP38&lt;&gt;""),AND(CP38="",CP37&lt;&gt;""),AND(CQ37="",CQ38&lt;&gt;""),AND(CQ38="",CQ37&lt;&gt;"")),"",CO37*1000+CP37*10+CQ37)</f>
        <v>1025</v>
      </c>
    </row>
    <row r="38" spans="1:96" x14ac:dyDescent="0.2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2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9</v>
      </c>
      <c r="AJ38" s="123">
        <f>SUMIF($E$7:$E$78,$AE38,$G$7:$G$78) + SUMIF($H$7:$H$78,$AE38,$F$7:$F$78)</f>
        <v>4</v>
      </c>
      <c r="AL38" s="123">
        <f>AI38-AJ38</f>
        <v>5</v>
      </c>
      <c r="AM38" s="123">
        <f>AL38-AL42</f>
        <v>11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90000010.067545608</v>
      </c>
      <c r="AQ38" s="126">
        <f>VLOOKUP(AE38,db_fifarank,2,FALSE)</f>
        <v>1757.87</v>
      </c>
      <c r="AR38" s="125">
        <f>AP38/AP42</f>
        <v>0.9999999888888903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2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2000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Portugal</v>
      </c>
      <c r="CO38" s="62">
        <v>1</v>
      </c>
      <c r="CP38" s="64">
        <v>2</v>
      </c>
      <c r="CQ38" s="27">
        <v>3</v>
      </c>
      <c r="CR38" s="111">
        <f>IF(CR37="","",CO38*1000+CP38*10+CQ38)</f>
        <v>1023</v>
      </c>
    </row>
    <row r="39" spans="1:96" x14ac:dyDescent="0.2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4</v>
      </c>
      <c r="G39" s="20">
        <v>1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9 - 4</v>
      </c>
      <c r="P39" s="32">
        <f>L39*3+M39</f>
        <v>9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3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0</v>
      </c>
      <c r="AH39" s="123">
        <f>COUNTIF($S$7:$T$78,"=" &amp; AE39 &amp; "_lose")</f>
        <v>2</v>
      </c>
      <c r="AI39" s="123">
        <f>SUMIF($E$7:$E$78,$AE39,$F$7:$F$78) + SUMIF($H$7:$H$78,$AE39,$G$7:$G$78)</f>
        <v>5</v>
      </c>
      <c r="AJ39" s="123">
        <f>SUMIF($E$7:$E$78,$AE39,$G$7:$G$78) + SUMIF($H$7:$H$78,$AE39,$F$7:$F$78)</f>
        <v>6</v>
      </c>
      <c r="AL39" s="123">
        <f>AI39-AJ39</f>
        <v>-1</v>
      </c>
      <c r="AM39" s="123">
        <f>AL39-AL42</f>
        <v>5</v>
      </c>
      <c r="AN39" s="123">
        <f>AF39*3+AG39</f>
        <v>3</v>
      </c>
      <c r="AO39" s="123">
        <f>AN39/AN42*10+BA39</f>
        <v>3</v>
      </c>
      <c r="AP39" s="123">
        <f>AO39*10000000+BI39*100+AM39/AM42*10+AI39/AI42*1++IF(AQ39=0,ROW(),AQ39)/2000000</f>
        <v>30000004.667496882</v>
      </c>
      <c r="AQ39" s="126">
        <f>VLOOKUP(AE39,db_fifarank,2,FALSE)</f>
        <v>1660.43</v>
      </c>
      <c r="AR39" s="125">
        <f>AP39/AP42</f>
        <v>0.3333333442034988</v>
      </c>
      <c r="AS39" s="125" t="str">
        <f>IF(SUM(AF38:AH41)=12,J40,"2F")</f>
        <v>Sweden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Czech Republic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4</v>
      </c>
      <c r="G40" s="20">
        <v>0</v>
      </c>
      <c r="H40" s="80" t="str">
        <f>AE33</f>
        <v>Curaçao</v>
      </c>
      <c r="J40" s="33" t="str">
        <f>VLOOKUP(2,AD38:AN41,2,FALSE)</f>
        <v>Sweden</v>
      </c>
      <c r="K40" s="23">
        <f>L40+M40+N40</f>
        <v>3</v>
      </c>
      <c r="L40" s="23">
        <f>VLOOKUP(2,AD38:AN41,3,FALSE)</f>
        <v>2</v>
      </c>
      <c r="M40" s="23">
        <f>VLOOKUP(2,AD38:AN41,4,FALSE)</f>
        <v>0</v>
      </c>
      <c r="N40" s="23">
        <f>VLOOKUP(2,AD38:AN41,5,FALSE)</f>
        <v>1</v>
      </c>
      <c r="O40" s="23" t="str">
        <f>VLOOKUP(2,AD38:AN41,6,FALSE) &amp; " - " &amp; VLOOKUP(2,AD38:AN41,7,FALSE)</f>
        <v>5 - 3</v>
      </c>
      <c r="P40" s="34">
        <f>L40*3+M40</f>
        <v>6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2</v>
      </c>
      <c r="AE40" s="124" t="str">
        <f>VLOOKUP("Sweden",T,lang,FALSE)</f>
        <v>Sweden</v>
      </c>
      <c r="AF40" s="123">
        <f>COUNTIF($S$7:$T$78,"=" &amp; AE40 &amp; "_win")</f>
        <v>2</v>
      </c>
      <c r="AG40" s="123">
        <f>COUNTIF($S$7:$T$78,"=" &amp; AE40 &amp; "_draw")</f>
        <v>0</v>
      </c>
      <c r="AH40" s="123">
        <f>COUNTIF($S$7:$T$78,"=" &amp; AE40 &amp; "_lose")</f>
        <v>1</v>
      </c>
      <c r="AI40" s="123">
        <f>SUMIF($E$7:$E$78,$AE40,$F$7:$F$78) + SUMIF($H$7:$H$78,$AE40,$G$7:$G$78)</f>
        <v>5</v>
      </c>
      <c r="AJ40" s="123">
        <f>SUMIF($E$7:$E$78,$AE40,$G$7:$G$78) + SUMIF($H$7:$H$78,$AE40,$F$7:$F$78)</f>
        <v>3</v>
      </c>
      <c r="AL40" s="123">
        <f>AI40-AJ40</f>
        <v>2</v>
      </c>
      <c r="AM40" s="123">
        <f>AL40-AL42</f>
        <v>8</v>
      </c>
      <c r="AN40" s="123">
        <f>AF40*3+AG40</f>
        <v>6</v>
      </c>
      <c r="AO40" s="123">
        <f>AN40/AN42*10+BA40</f>
        <v>6</v>
      </c>
      <c r="AP40" s="123">
        <f>AO40*10000000+BI40*100+AM40/AM42*10+AI40/AI42*1++IF(AQ40=0,ROW(),AQ40)/2000000</f>
        <v>60000007.167424046</v>
      </c>
      <c r="AQ40" s="126">
        <f>VLOOKUP(AE40,db_fifarank,2,FALSE)</f>
        <v>1514.77</v>
      </c>
      <c r="AR40" s="125">
        <f>AP40/AP42</f>
        <v>0.66666666432289257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1</v>
      </c>
      <c r="H41" s="80" t="str">
        <f>AE40</f>
        <v>Sweden</v>
      </c>
      <c r="J41" s="33" t="str">
        <f>VLOOKUP(3,AD38:AN41,2,FALSE)</f>
        <v>Japan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5 - 6</v>
      </c>
      <c r="P41" s="34">
        <f>L41*3+M41</f>
        <v>3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2</v>
      </c>
      <c r="AJ41" s="123">
        <f>SUMIF($E$7:$E$78,$AE41,$G$7:$G$78) + SUMIF($H$7:$H$78,$AE41,$F$7:$F$78)</f>
        <v>8</v>
      </c>
      <c r="AL41" s="123">
        <f>AI41-AJ41</f>
        <v>-6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0.200741525</v>
      </c>
      <c r="AQ41" s="126">
        <f>VLOOKUP(AE41,db_fifarank,2,FALSE)</f>
        <v>1483.05</v>
      </c>
      <c r="AR41" s="125">
        <f>AP41/AP42</f>
        <v>2.2304611146029987E-9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1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2 - 8</v>
      </c>
      <c r="P42" s="37">
        <f>L42*3+M42</f>
        <v>0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4</v>
      </c>
      <c r="AG42" s="123">
        <f t="shared" si="18"/>
        <v>1</v>
      </c>
      <c r="AH42" s="123">
        <f t="shared" si="18"/>
        <v>4</v>
      </c>
      <c r="AI42" s="123">
        <f>MAX(AI38:AI41)+1</f>
        <v>10</v>
      </c>
      <c r="AL42" s="123">
        <f>MIN(AL38:AL41)</f>
        <v>-6</v>
      </c>
      <c r="AM42" s="123">
        <f>MAX(AM38:AM41)+1</f>
        <v>12</v>
      </c>
      <c r="AN42" s="123">
        <f>MAX(AN38:AN41)+1</f>
        <v>10</v>
      </c>
      <c r="AO42" s="123">
        <f>MAX(AO38:AO41)+1</f>
        <v>10</v>
      </c>
      <c r="AP42" s="123">
        <f>MAX(AP38:AP41)+1</f>
        <v>90000011.067545608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Brazil</v>
      </c>
      <c r="BM42" s="61">
        <v>4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4000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4</v>
      </c>
      <c r="G43" s="20">
        <v>1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Sweden</v>
      </c>
      <c r="BM43" s="62">
        <v>1</v>
      </c>
      <c r="BN43" s="64"/>
      <c r="BO43" s="27"/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2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3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10</v>
      </c>
      <c r="AJ44" s="123">
        <f>SUMIF($E$7:$E$78,$AE44,$G$7:$G$78) + SUMIF($H$7:$H$78,$AE44,$F$7:$F$78)</f>
        <v>1</v>
      </c>
      <c r="AL44" s="123">
        <f>AI44-AJ44</f>
        <v>9</v>
      </c>
      <c r="AM44" s="123">
        <f>AL44-AL48</f>
        <v>15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90000010.284958258</v>
      </c>
      <c r="AQ44" s="126">
        <f>VLOOKUP(AE44,db_fifarank,2,FALSE)</f>
        <v>1734.71</v>
      </c>
      <c r="AR44" s="125">
        <f>AP44/AP48</f>
        <v>0.9999999888888903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3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3000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2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4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10 - 1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0</v>
      </c>
      <c r="AH45" s="123">
        <f>COUNTIF($S$7:$T$78,"=" &amp; AE45 &amp; "_lose")</f>
        <v>1</v>
      </c>
      <c r="AI45" s="123">
        <f>SUMIF($E$7:$E$78,$AE45,$F$7:$F$78) + SUMIF($H$7:$H$78,$AE45,$G$7:$G$78)</f>
        <v>6</v>
      </c>
      <c r="AJ45" s="123">
        <f>SUMIF($E$7:$E$78,$AE45,$G$7:$G$78) + SUMIF($H$7:$H$78,$AE45,$F$7:$F$78)</f>
        <v>4</v>
      </c>
      <c r="AL45" s="123">
        <f>AI45-AJ45</f>
        <v>2</v>
      </c>
      <c r="AM45" s="123">
        <f>AL45-AL48</f>
        <v>8</v>
      </c>
      <c r="AN45" s="123">
        <f>AF45*3+AG45</f>
        <v>6</v>
      </c>
      <c r="AO45" s="123">
        <f>AN45/AN48*10+BA45</f>
        <v>6</v>
      </c>
      <c r="AP45" s="123">
        <f>AO45*10000000+BI45*100+AM45/AM48*10+AI45/AI48*1++IF(AQ45=0,ROW(),AQ45)/2000000</f>
        <v>60000005.546236165</v>
      </c>
      <c r="AQ45" s="126">
        <f>VLOOKUP(AE45,db_fifarank,2,FALSE)</f>
        <v>1563.24</v>
      </c>
      <c r="AR45" s="125">
        <f>AP45/AP48</f>
        <v>0.66666664469923231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Norway</v>
      </c>
      <c r="BT45" s="62">
        <v>2</v>
      </c>
      <c r="BU45" s="64"/>
      <c r="BV45" s="27"/>
      <c r="BW45" s="113">
        <f>IF(BW44="","",BT45*1000+BU45*10+BV45)</f>
        <v>2000</v>
      </c>
      <c r="CK45" s="114"/>
      <c r="CM45" s="136"/>
      <c r="CN45" s="137"/>
      <c r="CO45" s="137"/>
      <c r="CP45" s="137"/>
      <c r="CQ45" s="138"/>
    </row>
    <row r="46" spans="1:96" x14ac:dyDescent="0.2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2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6 - 4</v>
      </c>
      <c r="P46" s="34">
        <f>L46*3+M46</f>
        <v>6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4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1</v>
      </c>
      <c r="AH46" s="123">
        <f>COUNTIF($S$7:$T$78,"=" &amp; AE46 &amp; "_lose")</f>
        <v>2</v>
      </c>
      <c r="AI46" s="123">
        <f>SUMIF($E$7:$E$78,$AE46,$F$7:$F$78) + SUMIF($H$7:$H$78,$AE46,$G$7:$G$78)</f>
        <v>2</v>
      </c>
      <c r="AJ46" s="123">
        <f>SUMIF($E$7:$E$78,$AE46,$G$7:$G$78) + SUMIF($H$7:$H$78,$AE46,$F$7:$F$78)</f>
        <v>8</v>
      </c>
      <c r="AL46" s="123">
        <f>AI46-AJ46</f>
        <v>-6</v>
      </c>
      <c r="AM46" s="123">
        <f>AL46-AL48</f>
        <v>0</v>
      </c>
      <c r="AN46" s="123">
        <f>AF46*3+AG46</f>
        <v>1</v>
      </c>
      <c r="AO46" s="123">
        <f>AN46/AN48*10+BA46</f>
        <v>1.9805825242718447</v>
      </c>
      <c r="AP46" s="123">
        <f>AO46*10000000+BI46*100+AM46/AM48*10+AI46/AI48*1++IF(AQ46=0,ROW(),AQ46)/2000000</f>
        <v>19805923.483596709</v>
      </c>
      <c r="AQ46" s="126">
        <f>VLOOKUP(AE46,db_fifarank,2,FALSE)</f>
        <v>1615.3</v>
      </c>
      <c r="AR46" s="125">
        <f>AP46/AP48</f>
        <v>0.22006578889070519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1</v>
      </c>
      <c r="AV46" s="126" cm="1">
        <f t="array" ref="AV46">SUMPRODUCT(($E$7:$E$78=AE46)*($U$7:$U$78)*($F$7:$F$78))+SUMPRODUCT(($H$7:$H$78=AE46)*($U$7:$U$78)*($G$7:$G$78))</f>
        <v>1</v>
      </c>
      <c r="AW46" s="126" cm="1">
        <f t="array" ref="AW46">SUMPRODUCT(($E$7:$E$78=AE46)*($U$7:$U$78)*($G$7:$G$78))+SUMPRODUCT(($H$7:$H$78=AE46)*($U$7:$U$78)*($F$7:$F$78))</f>
        <v>1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50.5</v>
      </c>
      <c r="BA46" s="126">
        <f>AZ46/AZ48</f>
        <v>0.98058252427184467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1</v>
      </c>
      <c r="BE46" s="126" cm="1">
        <f t="array" ref="BE46">SUMPRODUCT(($E$7:$E$78=AE46)*($X$7:$X$78)*($G$7:$G$78))+SUMPRODUCT(($H$7:$H$78=AE46)*($X$7:$X$78)*($F$7:$F$78))</f>
        <v>1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50.5</v>
      </c>
      <c r="BI46" s="126">
        <f>BH46/BH48</f>
        <v>0.98058252427184467</v>
      </c>
      <c r="BK46" s="131">
        <v>78</v>
      </c>
      <c r="BL46" s="24" t="str">
        <f>AS33</f>
        <v>Ecuador</v>
      </c>
      <c r="BM46" s="61">
        <v>2</v>
      </c>
      <c r="BN46" s="63">
        <v>2</v>
      </c>
      <c r="BO46" s="25"/>
      <c r="BP46" s="116">
        <f>IF(OR(BM46="",BM47="",AND(BN46="",BN47&lt;&gt;""),AND(BN47="",BN46&lt;&gt;""),AND(BO46="",BO47&lt;&gt;""),AND(BO47="",BO46&lt;&gt;"")),"",BM46*1000+BN46*10+BO46)</f>
        <v>2020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2</v>
      </c>
      <c r="G47" s="20">
        <v>2</v>
      </c>
      <c r="H47" s="80" t="str">
        <f>AE57</f>
        <v>Senegal</v>
      </c>
      <c r="J47" s="33" t="str">
        <f>VLOOKUP(3,AD44:AN47,2,FALSE)</f>
        <v>New Zealand</v>
      </c>
      <c r="K47" s="23">
        <f>L47+M47+N47</f>
        <v>3</v>
      </c>
      <c r="L47" s="23">
        <f>VLOOKUP(3,AD44:AN47,3,FALSE)</f>
        <v>0</v>
      </c>
      <c r="M47" s="23">
        <f>VLOOKUP(3,AD44:AN47,4,FALSE)</f>
        <v>1</v>
      </c>
      <c r="N47" s="23">
        <f>VLOOKUP(3,AD44:AN47,5,FALSE)</f>
        <v>2</v>
      </c>
      <c r="O47" s="23" t="str">
        <f>VLOOKUP(3,AD44:AN47,6,FALSE) &amp; " - " &amp; VLOOKUP(3,AD44:AN47,7,FALSE)</f>
        <v>1 - 6</v>
      </c>
      <c r="P47" s="34">
        <f>L47*3+M47</f>
        <v>1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1</v>
      </c>
      <c r="V47" s="123">
        <f t="shared" ref="V47:V78" si="21">U47*F47</f>
        <v>2</v>
      </c>
      <c r="W47" s="123">
        <f t="shared" ref="W47:W78" si="22">U47*G47</f>
        <v>2</v>
      </c>
      <c r="X47" s="123">
        <f t="shared" si="9"/>
        <v>1</v>
      </c>
      <c r="Y47" s="123">
        <f t="shared" si="10"/>
        <v>2</v>
      </c>
      <c r="Z47" s="123">
        <f t="shared" si="11"/>
        <v>2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3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6</v>
      </c>
      <c r="AL47" s="123">
        <f>AI47-AJ47</f>
        <v>-5</v>
      </c>
      <c r="AM47" s="123">
        <f>AL47-AL48</f>
        <v>1</v>
      </c>
      <c r="AN47" s="123">
        <f>AF47*3+AG47</f>
        <v>1</v>
      </c>
      <c r="AO47" s="123">
        <f>AN47/AN48*10+BA47</f>
        <v>1.9805825242718447</v>
      </c>
      <c r="AP47" s="123">
        <f>AO47*10000000+BI47*100+AM47/AM48*10+AI47/AI48*1++IF(AQ47=0,ROW(),AQ47)/2000000</f>
        <v>19805924.017520748</v>
      </c>
      <c r="AQ47" s="126">
        <f>VLOOKUP(AE47,db_fifarank,2,FALSE)</f>
        <v>1281.57</v>
      </c>
      <c r="AR47" s="125">
        <f>AP47/AP48</f>
        <v>0.22006579482319377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1</v>
      </c>
      <c r="AV47" s="126" cm="1">
        <f t="array" ref="AV47">SUMPRODUCT(($E$7:$E$78=AE47)*($U$7:$U$78)*($F$7:$F$78))+SUMPRODUCT(($H$7:$H$78=AE47)*($U$7:$U$78)*($G$7:$G$78))</f>
        <v>1</v>
      </c>
      <c r="AW47" s="126" cm="1">
        <f t="array" ref="AW47">SUMPRODUCT(($E$7:$E$78=AE47)*($U$7:$U$78)*($G$7:$G$78))+SUMPRODUCT(($H$7:$H$78=AE47)*($U$7:$U$78)*($F$7:$F$78))</f>
        <v>1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50.5</v>
      </c>
      <c r="BA47" s="126">
        <f>AZ47/AZ48</f>
        <v>0.98058252427184467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1</v>
      </c>
      <c r="BD47" s="126" cm="1">
        <f t="array" ref="BD47">SUMPRODUCT(($E$7:$E$78=AE47)*($X$7:$X$78)*($F$7:$F$78))+SUMPRODUCT(($H$7:$H$78=AE47)*($X$7:$X$78)*($G$7:$G$78))</f>
        <v>1</v>
      </c>
      <c r="BE47" s="126" cm="1">
        <f t="array" ref="BE47">SUMPRODUCT(($E$7:$E$78=AE47)*($X$7:$X$78)*($G$7:$G$78))+SUMPRODUCT(($H$7:$H$78=AE47)*($X$7:$X$78)*($F$7:$F$78))</f>
        <v>1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50.5</v>
      </c>
      <c r="BI47" s="126">
        <f>BH47/BH48</f>
        <v>0.98058252427184467</v>
      </c>
      <c r="BK47" s="132"/>
      <c r="BL47" s="26" t="str">
        <f>AS57</f>
        <v>Norway</v>
      </c>
      <c r="BM47" s="62">
        <v>2</v>
      </c>
      <c r="BN47" s="64">
        <v>3</v>
      </c>
      <c r="BO47" s="27"/>
      <c r="BP47" s="112">
        <f>IF(BP46="","",BM47*1000+BN47*10+BO47)</f>
        <v>2030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2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6</v>
      </c>
      <c r="G48" s="20">
        <v>0</v>
      </c>
      <c r="H48" s="80" t="str">
        <f>AE58</f>
        <v>Iraq</v>
      </c>
      <c r="J48" s="35" t="str">
        <f>VLOOKUP(4,AD44:AN47,2,FALSE)</f>
        <v>Iran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2 - 8</v>
      </c>
      <c r="P48" s="37">
        <f>L48*3+M48</f>
        <v>1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2</v>
      </c>
      <c r="AH48" s="123">
        <f t="shared" si="24"/>
        <v>3</v>
      </c>
      <c r="AI48" s="123">
        <f>MAX(AI44:AI47)+1</f>
        <v>11</v>
      </c>
      <c r="AL48" s="123">
        <f>MIN(AL44:AL47)</f>
        <v>-6</v>
      </c>
      <c r="AM48" s="123">
        <f>MAX(AM44:AM47)+1</f>
        <v>16</v>
      </c>
      <c r="AN48" s="123">
        <f>MAX(AN44:AN47)+1</f>
        <v>10</v>
      </c>
      <c r="AO48" s="123">
        <f>MAX(AO44:AO47)+1</f>
        <v>10</v>
      </c>
      <c r="AP48" s="123">
        <f>MAX(AP44:AP47)+1</f>
        <v>90000011.284958258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2</v>
      </c>
      <c r="AW48" s="126">
        <f>MAX(AW44:AW47)-MIN(AW44:AW47)+1</f>
        <v>2</v>
      </c>
      <c r="AY48" s="126">
        <f>MAX(AY44:AY47)-MIN(AY44:AY47)+1</f>
        <v>1</v>
      </c>
      <c r="AZ48" s="126">
        <f>MAX(AZ44:AZ47)+1</f>
        <v>51.5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2</v>
      </c>
      <c r="BE48" s="126">
        <f>MAX(BE44:BE47)-MIN(BE44:BE47)+1</f>
        <v>2</v>
      </c>
      <c r="BG48" s="126">
        <f>MAX(BG44:BG47)-MIN(BG44:BG47)+1</f>
        <v>1</v>
      </c>
      <c r="BH48" s="126">
        <f>MAX(BH44:BH47)+1</f>
        <v>51.5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3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3000</v>
      </c>
      <c r="CK48" s="114"/>
      <c r="CL48" s="112"/>
      <c r="CM48" s="131">
        <v>103</v>
      </c>
      <c r="CN48" s="24" t="str">
        <f>IF(CK23&gt;CK24,CG24,IF(CK23&lt;CK24,CG23,""))</f>
        <v>France</v>
      </c>
      <c r="CO48" s="61">
        <v>2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2000</v>
      </c>
    </row>
    <row r="49" spans="1:96" x14ac:dyDescent="0.2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2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2</v>
      </c>
      <c r="CB49" s="64"/>
      <c r="CC49" s="27"/>
      <c r="CD49" s="113">
        <f>IF(CD48="","",CA49*1000+CB49*10+CC49)</f>
        <v>2000</v>
      </c>
      <c r="CK49" s="114"/>
      <c r="CL49" s="115"/>
      <c r="CM49" s="132"/>
      <c r="CN49" s="26" t="str">
        <f>IF(CK55&gt;CK56,CG56,IF(CK55&lt;CK56,CG55,""))</f>
        <v>Brazil</v>
      </c>
      <c r="CO49" s="62">
        <v>1</v>
      </c>
      <c r="CP49" s="64"/>
      <c r="CQ49" s="27"/>
      <c r="CR49" s="111">
        <f>IF(CR48="","",CO49*1000+CP49*10+CQ49)</f>
        <v>1000</v>
      </c>
    </row>
    <row r="50" spans="1:96" x14ac:dyDescent="0.2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0</v>
      </c>
      <c r="G50" s="20">
        <v>2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9</v>
      </c>
      <c r="AJ50" s="123">
        <f>SUMIF($E$7:$E$78,$AE50,$G$7:$G$78) + SUMIF($H$7:$H$78,$AE50,$F$7:$F$78)</f>
        <v>0</v>
      </c>
      <c r="AL50" s="123">
        <f>AI50-AJ50</f>
        <v>9</v>
      </c>
      <c r="AM50" s="123">
        <f>AL50-AL54</f>
        <v>16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90000010.312702924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Mexico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2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9 - 0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3</v>
      </c>
      <c r="AJ51" s="123">
        <f>SUMIF($E$7:$E$78,$AE51,$G$7:$G$78) + SUMIF($H$7:$H$78,$AE51,$F$7:$F$78)</f>
        <v>10</v>
      </c>
      <c r="AL51" s="123">
        <f>AI51-AJ51</f>
        <v>-7</v>
      </c>
      <c r="AM51" s="123">
        <f>AL51-AL54</f>
        <v>0</v>
      </c>
      <c r="AN51" s="123">
        <f>AF51*3+AG51</f>
        <v>1</v>
      </c>
      <c r="AO51" s="123">
        <f>AN51/AN54*10+BA51</f>
        <v>1.9806451612903224</v>
      </c>
      <c r="AP51" s="123">
        <f>AO51*10000000+BI51*100+AM51/AM54*10+AI51/AI54*1++IF(AQ51=0,ROW(),AQ51)/2000000</f>
        <v>19806549.97810242</v>
      </c>
      <c r="AQ51" s="126">
        <f>VLOOKUP(AE51,db_fifarank,2,FALSE)</f>
        <v>1366.13</v>
      </c>
      <c r="AR51" s="125">
        <f>AP51/AP54</f>
        <v>0.22007274987205311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2</v>
      </c>
      <c r="AW51" s="126" cm="1">
        <f t="array" ref="AW51">SUMPRODUCT(($E$7:$E$78=AE51)*($U$7:$U$78)*($G$7:$G$78))+SUMPRODUCT(($H$7:$H$78=AE51)*($U$7:$U$78)*($F$7:$F$78))</f>
        <v>2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50.666666666666664</v>
      </c>
      <c r="BA51" s="126">
        <f>AZ51/AZ54</f>
        <v>0.98064516129032253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2</v>
      </c>
      <c r="BE51" s="126" cm="1">
        <f t="array" ref="BE51">SUMPRODUCT(($E$7:$E$78=AE51)*($X$7:$X$78)*($G$7:$G$78))+SUMPRODUCT(($H$7:$H$78=AE51)*($X$7:$X$78)*($F$7:$F$78))</f>
        <v>2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50.666666666666664</v>
      </c>
      <c r="BI51" s="126">
        <f>BH51/BH54</f>
        <v>0.98064516129032253</v>
      </c>
      <c r="BK51" s="132"/>
      <c r="BL51" s="26" t="str">
        <f>IF(group_round_completed,VLOOKUP('3rd places'!D3,AK80:AS91,9,FALSE),"3rd Group C/E/F/H/I")</f>
        <v>Scotland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2</v>
      </c>
      <c r="G52" s="20">
        <v>3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6 - 3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2</v>
      </c>
      <c r="AJ52" s="123">
        <f>SUMIF($E$7:$E$78,$AE52,$G$7:$G$78) + SUMIF($H$7:$H$78,$AE52,$F$7:$F$78)</f>
        <v>7</v>
      </c>
      <c r="AL52" s="123">
        <f>AI52-AJ52</f>
        <v>-5</v>
      </c>
      <c r="AM52" s="123">
        <f>AL52-AL54</f>
        <v>2</v>
      </c>
      <c r="AN52" s="123">
        <f>AF52*3+AG52</f>
        <v>1</v>
      </c>
      <c r="AO52" s="123">
        <f>AN52/AN54*10+BA52</f>
        <v>1.9806451612903224</v>
      </c>
      <c r="AP52" s="123">
        <f>AO52*10000000+BI52*100+AM52/AM54*10+AI52/AI54*1++IF(AQ52=0,ROW(),AQ52)/2000000</f>
        <v>19806551.054600656</v>
      </c>
      <c r="AQ52" s="126">
        <f>VLOOKUP(AE52,db_fifarank,2,FALSE)</f>
        <v>1421.43</v>
      </c>
      <c r="AR52" s="125">
        <f>AP52/AP54</f>
        <v>0.22007276183314312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2</v>
      </c>
      <c r="AW52" s="126" cm="1">
        <f t="array" ref="AW52">SUMPRODUCT(($E$7:$E$78=AE52)*($U$7:$U$78)*($G$7:$G$78))+SUMPRODUCT(($H$7:$H$78=AE52)*($U$7:$U$78)*($F$7:$F$78))</f>
        <v>2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50.666666666666664</v>
      </c>
      <c r="BA52" s="126">
        <f>AZ52/AZ54</f>
        <v>0.98064516129032253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2</v>
      </c>
      <c r="BE52" s="126" cm="1">
        <f t="array" ref="BE52">SUMPRODUCT(($E$7:$E$78=AE52)*($X$7:$X$78)*($G$7:$G$78))+SUMPRODUCT(($H$7:$H$78=AE52)*($X$7:$X$78)*($F$7:$F$78))</f>
        <v>2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50.666666666666664</v>
      </c>
      <c r="BI52" s="126">
        <f>BH52/BH54</f>
        <v>0.98064516129032253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1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1000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4</v>
      </c>
      <c r="G53" s="20">
        <v>1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2</v>
      </c>
      <c r="O53" s="23" t="str">
        <f>VLOOKUP(3,AD50:AN53,6,FALSE) &amp; " - " &amp; VLOOKUP(3,AD50:AN53,7,FALSE)</f>
        <v>2 - 7</v>
      </c>
      <c r="P53" s="34">
        <f>L53*3+M53</f>
        <v>1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6</v>
      </c>
      <c r="AJ53" s="123">
        <f>SUMIF($E$7:$E$78,$AE53,$G$7:$G$78) + SUMIF($H$7:$H$78,$AE53,$F$7:$F$78)</f>
        <v>3</v>
      </c>
      <c r="AL53" s="123">
        <f>AI53-AJ53</f>
        <v>3</v>
      </c>
      <c r="AM53" s="123">
        <f>AL53-AL54</f>
        <v>10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60000006.483189479</v>
      </c>
      <c r="AQ53" s="126">
        <f>VLOOKUP(AE53,db_fifarank,2,FALSE)</f>
        <v>1673.07</v>
      </c>
      <c r="AR53" s="125">
        <f>AP53/AP54</f>
        <v>0.66666665490430732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3</v>
      </c>
      <c r="BU53" s="64"/>
      <c r="BV53" s="27"/>
      <c r="BW53" s="112">
        <f>IF(BW52="","",BT53*1000+BU53*10+BV53)</f>
        <v>3000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3</v>
      </c>
      <c r="G54" s="20">
        <v>1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3 - 10</v>
      </c>
      <c r="P54" s="37">
        <f>L54*3+M54</f>
        <v>1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2</v>
      </c>
      <c r="AH54" s="123">
        <f t="shared" si="25"/>
        <v>3</v>
      </c>
      <c r="AI54" s="123">
        <f>MAX(AI50:AI53)+1</f>
        <v>10</v>
      </c>
      <c r="AL54" s="123">
        <f>MIN(AL50:AL53)</f>
        <v>-7</v>
      </c>
      <c r="AM54" s="123">
        <f>MAX(AM50:AM53)+1</f>
        <v>17</v>
      </c>
      <c r="AN54" s="123">
        <f>MAX(AN50:AN53)+1</f>
        <v>10</v>
      </c>
      <c r="AO54" s="123">
        <f>MAX(AO50:AO53)+1</f>
        <v>10</v>
      </c>
      <c r="AP54" s="123">
        <f>MAX(AP50:AP53)+1</f>
        <v>90000011.312702924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3</v>
      </c>
      <c r="AW54" s="126">
        <f>MAX(AW50:AW53)-MIN(AW50:AW53)+1</f>
        <v>3</v>
      </c>
      <c r="AY54" s="126">
        <f>MAX(AY50:AY53)-MIN(AY50:AY53)+1</f>
        <v>1</v>
      </c>
      <c r="AZ54" s="126">
        <f>MAX(AZ50:AZ53)+1</f>
        <v>51.666666666666664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3</v>
      </c>
      <c r="BE54" s="126">
        <f>MAX(BE50:BE53)-MIN(BE50:BE53)+1</f>
        <v>3</v>
      </c>
      <c r="BG54" s="126">
        <f>MAX(BG50:BG53)-MIN(BG50:BG53)+1</f>
        <v>1</v>
      </c>
      <c r="BH54" s="126">
        <f>MAX(BH50:BH53)+1</f>
        <v>51.666666666666664</v>
      </c>
      <c r="BK54" s="131">
        <v>80</v>
      </c>
      <c r="BL54" s="24" t="str">
        <f>AS74</f>
        <v>England</v>
      </c>
      <c r="BM54" s="61">
        <v>3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3000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2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0</v>
      </c>
      <c r="G55" s="20">
        <v>3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Senegal</v>
      </c>
      <c r="BM55" s="62">
        <v>2</v>
      </c>
      <c r="BN55" s="64"/>
      <c r="BO55" s="27"/>
      <c r="BP55" s="112">
        <f>IF(BP54="","",BM55*1000+BN55*10+BO55)</f>
        <v>2000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Brazil</v>
      </c>
      <c r="CH55" s="61">
        <v>1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 x14ac:dyDescent="0.2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3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13</v>
      </c>
      <c r="AJ56" s="123">
        <f>SUMIF($E$7:$E$78,$AE56,$G$7:$G$78) + SUMIF($H$7:$H$78,$AE56,$F$7:$F$78)</f>
        <v>4</v>
      </c>
      <c r="AL56" s="123">
        <f>AI56-AJ56</f>
        <v>9</v>
      </c>
      <c r="AM56" s="123">
        <f>AL56-AL60</f>
        <v>24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90000010.529510081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Portugal</v>
      </c>
      <c r="CH56" s="62">
        <v>2</v>
      </c>
      <c r="CI56" s="64"/>
      <c r="CJ56" s="27"/>
      <c r="CK56" s="112">
        <f>IF(CK55="","",CH56*1000+CI56*10+CJ56)</f>
        <v>2000</v>
      </c>
      <c r="CL56" s="112"/>
    </row>
    <row r="57" spans="1:96" x14ac:dyDescent="0.2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2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13 - 4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1</v>
      </c>
      <c r="AH57" s="123">
        <f>COUNTIF($S$7:$T$78,"=" &amp; AE57 &amp; "_lose")</f>
        <v>1</v>
      </c>
      <c r="AI57" s="123">
        <f>SUMIF($E$7:$E$78,$AE57,$F$7:$F$78) + SUMIF($H$7:$H$78,$AE57,$G$7:$G$78)</f>
        <v>8</v>
      </c>
      <c r="AJ57" s="123">
        <f>SUMIF($E$7:$E$78,$AE57,$G$7:$G$78) + SUMIF($H$7:$H$78,$AE57,$F$7:$F$78)</f>
        <v>5</v>
      </c>
      <c r="AL57" s="123">
        <f>AI57-AJ57</f>
        <v>3</v>
      </c>
      <c r="AM57" s="123">
        <f>AL57-AL60</f>
        <v>18</v>
      </c>
      <c r="AN57" s="123">
        <f>AF57*3+AG57</f>
        <v>4</v>
      </c>
      <c r="AO57" s="123">
        <f>AN57/AN60*10+BA57</f>
        <v>4.9806451612903224</v>
      </c>
      <c r="AP57" s="123">
        <f>AO57*10000000+BI57*100+AM57/AM60*10+AI57/AI60*1++IF(AQ57=0,ROW(),AQ57)/2000000</f>
        <v>49806557.449692421</v>
      </c>
      <c r="AQ57" s="126">
        <f>VLOOKUP(AE57,db_fifarank,2,FALSE)</f>
        <v>1688.99</v>
      </c>
      <c r="AR57" s="125">
        <f>AP57/AP60</f>
        <v>0.55340612299101055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1</v>
      </c>
      <c r="AV57" s="126" cm="1">
        <f t="array" ref="AV57">SUMPRODUCT(($E$7:$E$78=AE57)*($U$7:$U$78)*($F$7:$F$78))+SUMPRODUCT(($H$7:$H$78=AE57)*($U$7:$U$78)*($G$7:$G$78))</f>
        <v>2</v>
      </c>
      <c r="AW57" s="126" cm="1">
        <f t="array" ref="AW57">SUMPRODUCT(($E$7:$E$78=AE57)*($U$7:$U$78)*($G$7:$G$78))+SUMPRODUCT(($H$7:$H$78=AE57)*($U$7:$U$78)*($F$7:$F$78))</f>
        <v>2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50.666666666666664</v>
      </c>
      <c r="BA57" s="126">
        <f>AZ57/AZ60</f>
        <v>0.98064516129032253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1</v>
      </c>
      <c r="BD57" s="126" cm="1">
        <f t="array" ref="BD57">SUMPRODUCT(($E$7:$E$78=AE57)*($X$7:$X$78)*($F$7:$F$78))+SUMPRODUCT(($H$7:$H$78=AE57)*($X$7:$X$78)*($G$7:$G$78))</f>
        <v>2</v>
      </c>
      <c r="BE57" s="126" cm="1">
        <f t="array" ref="BE57">SUMPRODUCT(($E$7:$E$78=AE57)*($X$7:$X$78)*($G$7:$G$78))+SUMPRODUCT(($H$7:$H$78=AE57)*($X$7:$X$78)*($F$7:$F$78))</f>
        <v>2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50.666666666666664</v>
      </c>
      <c r="BI57" s="126">
        <f>BH57/BH60</f>
        <v>0.98064516129032253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2</v>
      </c>
      <c r="G58" s="20">
        <v>1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1</v>
      </c>
      <c r="M58" s="23">
        <f>VLOOKUP(2,AD56:AN59,4,FALSE)</f>
        <v>1</v>
      </c>
      <c r="N58" s="23">
        <f>VLOOKUP(2,AD56:AN59,5,FALSE)</f>
        <v>1</v>
      </c>
      <c r="O58" s="23" t="str">
        <f>VLOOKUP(2,AD56:AN59,6,FALSE) &amp; " - " &amp; VLOOKUP(2,AD56:AN59,7,FALSE)</f>
        <v>9 - 6</v>
      </c>
      <c r="P58" s="34">
        <f>L58*3+M58</f>
        <v>4</v>
      </c>
      <c r="R58" s="123">
        <f>DATE(2026,6,24)+TIME(8,0,0)+gmt_delta</f>
        <v>46197.875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15</v>
      </c>
      <c r="AL58" s="123">
        <f>AI58-AJ58</f>
        <v>-15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8.0396656367399342E-12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3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3000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0</v>
      </c>
      <c r="G59" s="20">
        <v>1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8 - 5</v>
      </c>
      <c r="P59" s="34">
        <f>L59*3+M59</f>
        <v>4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1</v>
      </c>
      <c r="AH59" s="123">
        <f>COUNTIF($S$7:$T$78,"=" &amp; AE59 &amp; "_lose")</f>
        <v>1</v>
      </c>
      <c r="AI59" s="123">
        <f>SUMIF($E$7:$E$78,$AE59,$F$7:$F$78) + SUMIF($H$7:$H$78,$AE59,$G$7:$G$78)</f>
        <v>9</v>
      </c>
      <c r="AJ59" s="123">
        <f>SUMIF($E$7:$E$78,$AE59,$G$7:$G$78) + SUMIF($H$7:$H$78,$AE59,$F$7:$F$78)</f>
        <v>6</v>
      </c>
      <c r="AL59" s="123">
        <f>AI59-AJ59</f>
        <v>3</v>
      </c>
      <c r="AM59" s="123">
        <f>AL59-AL60</f>
        <v>18</v>
      </c>
      <c r="AN59" s="123">
        <f>AF59*3+AG59</f>
        <v>4</v>
      </c>
      <c r="AO59" s="123">
        <f>AN59/AN60*10+BA59</f>
        <v>4.9806451612903224</v>
      </c>
      <c r="AP59" s="123">
        <f>AO59*10000000+BI59*100+AM59/AM60*10+AI59/AI60*1++IF(AQ59=0,ROW(),AQ59)/2000000</f>
        <v>49806557.521051966</v>
      </c>
      <c r="AQ59" s="126">
        <f>VLOOKUP(AE59,db_fifarank,2,FALSE)</f>
        <v>1550.94</v>
      </c>
      <c r="AR59" s="125">
        <f>AP59/AP60</f>
        <v>0.5534061237838942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1</v>
      </c>
      <c r="AV59" s="126" cm="1">
        <f t="array" ref="AV59">SUMPRODUCT(($E$7:$E$78=AE59)*($U$7:$U$78)*($F$7:$F$78))+SUMPRODUCT(($H$7:$H$78=AE59)*($U$7:$U$78)*($G$7:$G$78))</f>
        <v>2</v>
      </c>
      <c r="AW59" s="126" cm="1">
        <f t="array" ref="AW59">SUMPRODUCT(($E$7:$E$78=AE59)*($U$7:$U$78)*($G$7:$G$78))+SUMPRODUCT(($H$7:$H$78=AE59)*($U$7:$U$78)*($F$7:$F$78))</f>
        <v>2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50.666666666666664</v>
      </c>
      <c r="BA59" s="126">
        <f>AZ59/AZ60</f>
        <v>0.98064516129032253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1</v>
      </c>
      <c r="BD59" s="126" cm="1">
        <f t="array" ref="BD59">SUMPRODUCT(($E$7:$E$78=AE59)*($X$7:$X$78)*($F$7:$F$78))+SUMPRODUCT(($H$7:$H$78=AE59)*($X$7:$X$78)*($G$7:$G$78))</f>
        <v>2</v>
      </c>
      <c r="BE59" s="126" cm="1">
        <f t="array" ref="BE59">SUMPRODUCT(($E$7:$E$78=AE59)*($X$7:$X$78)*($G$7:$G$78))+SUMPRODUCT(($H$7:$H$78=AE59)*($X$7:$X$78)*($F$7:$F$78))</f>
        <v>2</v>
      </c>
      <c r="BF59" s="126">
        <f>BD59-BE59</f>
        <v>0</v>
      </c>
      <c r="BG59" s="126">
        <f>BF59-MIN(BF56:BF59)</f>
        <v>0</v>
      </c>
      <c r="BH59" s="126">
        <f t="shared" si="26"/>
        <v>50.666666666666664</v>
      </c>
      <c r="BI59" s="126">
        <f>BH59/BH60</f>
        <v>0.98064516129032253</v>
      </c>
      <c r="BK59" s="132"/>
      <c r="BL59" s="26" t="str">
        <f>AS51</f>
        <v>Uruguay</v>
      </c>
      <c r="BM59" s="62">
        <v>1</v>
      </c>
      <c r="BN59" s="64"/>
      <c r="BO59" s="27"/>
      <c r="BP59" s="113">
        <f>IF(BP58="","",BM59*1000+BN59*10+BO59)</f>
        <v>1000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2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1</v>
      </c>
      <c r="G60" s="20">
        <v>3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0 - 15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2</v>
      </c>
      <c r="AH60" s="123">
        <f t="shared" si="27"/>
        <v>4</v>
      </c>
      <c r="AI60" s="123">
        <f>MAX(AI56:AI59)+1</f>
        <v>14</v>
      </c>
      <c r="AL60" s="123">
        <f>MIN(AL56:AL59)</f>
        <v>-15</v>
      </c>
      <c r="AM60" s="123">
        <f>MAX(AM56:AM59)+1</f>
        <v>25</v>
      </c>
      <c r="AN60" s="123">
        <f>MAX(AN56:AN59)+1</f>
        <v>10</v>
      </c>
      <c r="AO60" s="123">
        <f>MAX(AO56:AO59)+1</f>
        <v>10</v>
      </c>
      <c r="AP60" s="123">
        <f>MAX(AP56:AP59)+1</f>
        <v>90000011.529510081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3</v>
      </c>
      <c r="AW60" s="126">
        <f>MAX(AW56:AW59)-MIN(AW56:AW59)+1</f>
        <v>3</v>
      </c>
      <c r="AY60" s="126">
        <f>MAX(AY56:AY59)-MIN(AY56:AY59)+1</f>
        <v>1</v>
      </c>
      <c r="AZ60" s="126">
        <f>MAX(AZ56:AZ59)+1</f>
        <v>51.666666666666664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3</v>
      </c>
      <c r="BE60" s="126">
        <f>MAX(BE56:BE59)-MIN(BE56:BE59)+1</f>
        <v>3</v>
      </c>
      <c r="BG60" s="126">
        <f>MAX(BG56:BG59)-MIN(BG56:BG59)+1</f>
        <v>1</v>
      </c>
      <c r="BH60" s="126">
        <f>MAX(BH56:BH59)+1</f>
        <v>51.666666666666664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2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2000</v>
      </c>
      <c r="BX60" s="112"/>
      <c r="BY60" s="21"/>
      <c r="BZ60" s="21"/>
      <c r="CA60" s="21"/>
      <c r="CB60" s="21"/>
      <c r="CC60" s="21"/>
      <c r="CD60" s="114"/>
    </row>
    <row r="61" spans="1:96" x14ac:dyDescent="0.2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3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United States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2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2</v>
      </c>
      <c r="G62" s="20">
        <v>3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9</v>
      </c>
      <c r="AJ62" s="123">
        <f>SUMIF($E$7:$E$78,$AE62,$G$7:$G$78) + SUMIF($H$7:$H$78,$AE62,$F$7:$F$78)</f>
        <v>2</v>
      </c>
      <c r="AL62" s="123">
        <f>AI62-AJ62</f>
        <v>7</v>
      </c>
      <c r="AM62" s="123">
        <f>AL62-AL66</f>
        <v>14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90000010.234270751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United States</v>
      </c>
      <c r="BM62" s="61">
        <v>2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2000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1</v>
      </c>
      <c r="G63" s="20">
        <v>2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9 - 2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Japan_lose</v>
      </c>
      <c r="T63" s="127" t="str">
        <f t="shared" si="20"/>
        <v>Sweden_win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-1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1</v>
      </c>
      <c r="AH63" s="123">
        <f>COUNTIF($S$7:$T$78,"=" &amp; AE63 &amp; "_lose")</f>
        <v>1</v>
      </c>
      <c r="AI63" s="123">
        <f>SUMIF($E$7:$E$78,$AE63,$F$7:$F$78) + SUMIF($H$7:$H$78,$AE63,$G$7:$G$78)</f>
        <v>4</v>
      </c>
      <c r="AJ63" s="123">
        <f>SUMIF($E$7:$E$78,$AE63,$G$7:$G$78) + SUMIF($H$7:$H$78,$AE63,$F$7:$F$78)</f>
        <v>5</v>
      </c>
      <c r="AL63" s="123">
        <f>AI63-AJ63</f>
        <v>-1</v>
      </c>
      <c r="AM63" s="123">
        <f>AL63-AL66</f>
        <v>6</v>
      </c>
      <c r="AN63" s="123">
        <f>AF63*3+AG63</f>
        <v>4</v>
      </c>
      <c r="AO63" s="123">
        <f>AN63/AN66*10+BA63</f>
        <v>4.9805825242718447</v>
      </c>
      <c r="AP63" s="123">
        <f>AO63*10000000+BI63*100+AM63/AM66*10+AI63/AI66*1++IF(AQ63=0,ROW(),AQ63)/2000000</f>
        <v>49805927.701752998</v>
      </c>
      <c r="AQ63" s="126">
        <f>VLOOKUP(AE63,db_fifarank,2,FALSE)</f>
        <v>1564.26</v>
      </c>
      <c r="AR63" s="125">
        <f>AP63/AP66</f>
        <v>0.55339912760797072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1</v>
      </c>
      <c r="AW63" s="126" cm="1">
        <f t="array" ref="AW63">SUMPRODUCT(($E$7:$E$78=AE63)*($U$7:$U$78)*($G$7:$G$78))+SUMPRODUCT(($H$7:$H$78=AE63)*($U$7:$U$78)*($F$7:$F$78))</f>
        <v>1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50.5</v>
      </c>
      <c r="BA63" s="126">
        <f>AZ63/AZ66</f>
        <v>0.98058252427184467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1</v>
      </c>
      <c r="BE63" s="126" cm="1">
        <f t="array" ref="BE63">SUMPRODUCT(($E$7:$E$78=AE63)*($X$7:$X$78)*($G$7:$G$78))+SUMPRODUCT(($H$7:$H$78=AE63)*($X$7:$X$78)*($F$7:$F$78))</f>
        <v>1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50.5</v>
      </c>
      <c r="BI63" s="126">
        <f>BH63/BH66</f>
        <v>0.98058252427184467</v>
      </c>
      <c r="BK63" s="132"/>
      <c r="BL63" s="26" t="str">
        <f>AS45</f>
        <v>Egypt</v>
      </c>
      <c r="BM63" s="62">
        <v>1</v>
      </c>
      <c r="BN63" s="64"/>
      <c r="BO63" s="27"/>
      <c r="BP63" s="112">
        <f>IF(BP62="","",BM63*1000+BN63*10+BO63)</f>
        <v>1000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2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1</v>
      </c>
      <c r="G64" s="20">
        <v>4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4 - 3</v>
      </c>
      <c r="P64" s="34">
        <f>L64*3+M64</f>
        <v>4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4</v>
      </c>
      <c r="AJ64" s="123">
        <f>SUMIF($E$7:$E$78,$AE64,$G$7:$G$78) + SUMIF($H$7:$H$78,$AE64,$F$7:$F$78)</f>
        <v>3</v>
      </c>
      <c r="AL64" s="123">
        <f>AI64-AJ64</f>
        <v>1</v>
      </c>
      <c r="AM64" s="123">
        <f>AL64-AL66</f>
        <v>8</v>
      </c>
      <c r="AN64" s="123">
        <f>AF64*3+AG64</f>
        <v>4</v>
      </c>
      <c r="AO64" s="123">
        <f>AN64/AN66*10+BA64</f>
        <v>4.9805825242718447</v>
      </c>
      <c r="AP64" s="123">
        <f>AO64*10000000+BI64*100+AM64/AM66*10+AI64/AI66*1++IF(AQ64=0,ROW(),AQ64)/2000000</f>
        <v>49805929.035100929</v>
      </c>
      <c r="AQ64" s="126">
        <f>VLOOKUP(AE64,db_fifarank,2,FALSE)</f>
        <v>1593.45</v>
      </c>
      <c r="AR64" s="125">
        <f>AP64/AP66</f>
        <v>0.55339914242294586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1</v>
      </c>
      <c r="AV64" s="126" cm="1">
        <f t="array" ref="AV64">SUMPRODUCT(($E$7:$E$78=AE64)*($U$7:$U$78)*($F$7:$F$78))+SUMPRODUCT(($H$7:$H$78=AE64)*($U$7:$U$78)*($G$7:$G$78))</f>
        <v>1</v>
      </c>
      <c r="AW64" s="126" cm="1">
        <f t="array" ref="AW64">SUMPRODUCT(($E$7:$E$78=AE64)*($U$7:$U$78)*($G$7:$G$78))+SUMPRODUCT(($H$7:$H$78=AE64)*($U$7:$U$78)*($F$7:$F$78))</f>
        <v>1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50.5</v>
      </c>
      <c r="BA64" s="126">
        <f>AZ64/AZ66</f>
        <v>0.98058252427184467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1</v>
      </c>
      <c r="BD64" s="126" cm="1">
        <f t="array" ref="BD64">SUMPRODUCT(($E$7:$E$78=AE64)*($X$7:$X$78)*($F$7:$F$78))+SUMPRODUCT(($H$7:$H$78=AE64)*($X$7:$X$78)*($G$7:$G$78))</f>
        <v>1</v>
      </c>
      <c r="BE64" s="126" cm="1">
        <f t="array" ref="BE64">SUMPRODUCT(($E$7:$E$78=AE64)*($X$7:$X$78)*($G$7:$G$78))+SUMPRODUCT(($H$7:$H$78=AE64)*($X$7:$X$78)*($F$7:$F$78))</f>
        <v>1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50.5</v>
      </c>
      <c r="BI64" s="126">
        <f>BH64/BH66</f>
        <v>0.98058252427184467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1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1000</v>
      </c>
    </row>
    <row r="65" spans="1:95" x14ac:dyDescent="0.2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3</v>
      </c>
      <c r="G65" s="20">
        <v>2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1</v>
      </c>
      <c r="N65" s="23">
        <f>VLOOKUP(3,AD62:AN65,5,FALSE)</f>
        <v>1</v>
      </c>
      <c r="O65" s="23" t="str">
        <f>VLOOKUP(3,AD62:AN65,6,FALSE) &amp; " - " &amp; VLOOKUP(3,AD62:AN65,7,FALSE)</f>
        <v>4 - 5</v>
      </c>
      <c r="P65" s="34">
        <f>L65*3+M65</f>
        <v>4</v>
      </c>
      <c r="R65" s="123">
        <f>DATE(2026,6,25)+TIME(15,0,0)+gmt_delta</f>
        <v>46199.166666666664</v>
      </c>
      <c r="S65" s="127" t="str">
        <f t="shared" si="19"/>
        <v>Turkey_win</v>
      </c>
      <c r="T65" s="127" t="str">
        <f t="shared" si="20"/>
        <v>United States_lose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7</v>
      </c>
      <c r="AL65" s="123">
        <f>AI65-AJ65</f>
        <v>-7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6.9572500000000001E-4</v>
      </c>
      <c r="AQ65" s="126">
        <f>VLOOKUP(AE65,db_fifarank,2,FALSE)</f>
        <v>1391.45</v>
      </c>
      <c r="AR65" s="125">
        <f>AP65/AP66</f>
        <v>7.7302768128441926E-12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2</v>
      </c>
      <c r="CB65" s="64"/>
      <c r="CC65" s="27"/>
      <c r="CD65" s="112">
        <f>IF(CD64="","",CA65*1000+CB65*10+CC65)</f>
        <v>2000</v>
      </c>
    </row>
    <row r="66" spans="1:95" x14ac:dyDescent="0.2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3</v>
      </c>
      <c r="G66" s="20">
        <v>0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0 - 7</v>
      </c>
      <c r="P66" s="37">
        <f>L66*3+M66</f>
        <v>0</v>
      </c>
      <c r="R66" s="123">
        <f>DATE(2026,6,25)+TIME(15,0,0)+gmt_delta</f>
        <v>46199.166666666664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4</v>
      </c>
      <c r="AI66" s="123">
        <f>MAX(AI62:AI65)+1</f>
        <v>10</v>
      </c>
      <c r="AL66" s="123">
        <f>MIN(AL62:AL65)</f>
        <v>-7</v>
      </c>
      <c r="AM66" s="123">
        <f>MAX(AM62:AM65)+1</f>
        <v>15</v>
      </c>
      <c r="AN66" s="123">
        <f>MAX(AN62:AN65)+1</f>
        <v>10</v>
      </c>
      <c r="AO66" s="123">
        <f>MAX(AO62:AO65)+1</f>
        <v>10</v>
      </c>
      <c r="AP66" s="123">
        <f>MAX(AP62:AP65)+1</f>
        <v>90000011.234270751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2</v>
      </c>
      <c r="AW66" s="126">
        <f>MAX(AW62:AW65)-MIN(AW62:AW65)+1</f>
        <v>2</v>
      </c>
      <c r="AY66" s="126">
        <f>MAX(AY62:AY65)-MIN(AY62:AY65)+1</f>
        <v>1</v>
      </c>
      <c r="AZ66" s="126">
        <f>MAX(AZ62:AZ65)+1</f>
        <v>51.5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2</v>
      </c>
      <c r="BE66" s="126">
        <f>MAX(BE62:BE65)-MIN(BE62:BE65)+1</f>
        <v>2</v>
      </c>
      <c r="BG66" s="126">
        <f>MAX(BG62:BG65)-MIN(BG62:BG65)+1</f>
        <v>1</v>
      </c>
      <c r="BH66" s="126">
        <f>MAX(BH62:BH65)+1</f>
        <v>51.5</v>
      </c>
      <c r="BK66" s="131">
        <v>85</v>
      </c>
      <c r="BL66" s="24" t="str">
        <f>AS14</f>
        <v>Switzerland</v>
      </c>
      <c r="BM66" s="61">
        <v>2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2000</v>
      </c>
      <c r="BQ66" s="112"/>
      <c r="BR66" s="21"/>
      <c r="BS66" s="21"/>
      <c r="BT66" s="21"/>
      <c r="BU66" s="21"/>
      <c r="BV66" s="21"/>
      <c r="BW66" s="114"/>
    </row>
    <row r="67" spans="1:95" x14ac:dyDescent="0.2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2</v>
      </c>
      <c r="G67" s="20">
        <v>4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Algeria</v>
      </c>
      <c r="BM67" s="62">
        <v>1</v>
      </c>
      <c r="BN67" s="64"/>
      <c r="BO67" s="27"/>
      <c r="BP67" s="113">
        <f>IF(BP66="","",BM67*1000+BN67*10+BO67)</f>
        <v>1000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2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4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1</v>
      </c>
      <c r="AH68" s="123">
        <f>COUNTIF($S$7:$T$78,"=" &amp; AE68 &amp; "_lose")</f>
        <v>0</v>
      </c>
      <c r="AI68" s="123">
        <f>SUMIF($E$7:$E$78,$AE68,$F$7:$F$78) + SUMIF($H$7:$H$78,$AE68,$G$7:$G$78)</f>
        <v>10</v>
      </c>
      <c r="AJ68" s="123">
        <f>SUMIF($E$7:$E$78,$AE68,$G$7:$G$78) + SUMIF($H$7:$H$78,$AE68,$F$7:$F$78)</f>
        <v>3</v>
      </c>
      <c r="AL68" s="123">
        <f>AI68-AJ68</f>
        <v>7</v>
      </c>
      <c r="AM68" s="123">
        <f>AL68-AL72</f>
        <v>14</v>
      </c>
      <c r="AN68" s="123">
        <f>AF68*3+AG68</f>
        <v>7</v>
      </c>
      <c r="AO68" s="123">
        <f>AN68/AN72*10+BA68</f>
        <v>9.7306451612903224</v>
      </c>
      <c r="AP68" s="123">
        <f>AO68*10000000+BI68*100+AM68/AM72*10+AI68/AI72*1++IF(AQ68=0,ROW(),AQ68)/2000000</f>
        <v>97306559.920725495</v>
      </c>
      <c r="AQ68" s="126">
        <f>VLOOKUP(AE68,db_fifarank,2,FALSE)</f>
        <v>1763.83</v>
      </c>
      <c r="AR68" s="125">
        <f>AP68/AP72</f>
        <v>0.9999999897232007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1</v>
      </c>
      <c r="AV68" s="126" cm="1">
        <f t="array" ref="AV68">SUMPRODUCT(($E$7:$E$78=AE68)*($U$7:$U$78)*($F$7:$F$78))+SUMPRODUCT(($H$7:$H$78=AE68)*($U$7:$U$78)*($G$7:$G$78))</f>
        <v>2</v>
      </c>
      <c r="AW68" s="126" cm="1">
        <f t="array" ref="AW68">SUMPRODUCT(($E$7:$E$78=AE68)*($U$7:$U$78)*($G$7:$G$78))+SUMPRODUCT(($H$7:$H$78=AE68)*($U$7:$U$78)*($F$7:$F$78))</f>
        <v>2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50.666666666666664</v>
      </c>
      <c r="BA68" s="126">
        <f>AZ68/AZ72</f>
        <v>0.98064516129032253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1</v>
      </c>
      <c r="BD68" s="126" cm="1">
        <f t="array" ref="BD68">SUMPRODUCT(($E$7:$E$78=AE68)*($X$7:$X$78)*($F$7:$F$78))+SUMPRODUCT(($H$7:$H$78=AE68)*($X$7:$X$78)*($G$7:$G$78))</f>
        <v>2</v>
      </c>
      <c r="BE68" s="126" cm="1">
        <f t="array" ref="BE68">SUMPRODUCT(($E$7:$E$78=AE68)*($X$7:$X$78)*($G$7:$G$78))+SUMPRODUCT(($H$7:$H$78=AE68)*($X$7:$X$78)*($F$7:$F$78))</f>
        <v>2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50.666666666666664</v>
      </c>
      <c r="BI68" s="126">
        <f>BH68/BH72</f>
        <v>0.98064516129032253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Switzerland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Spain</v>
      </c>
      <c r="CL68" s="153"/>
      <c r="CM68" s="153"/>
      <c r="CN68" s="153"/>
      <c r="CO68" s="153"/>
      <c r="CP68" s="153"/>
      <c r="CQ68" s="153"/>
    </row>
    <row r="69" spans="1:95" x14ac:dyDescent="0.2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3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10 - 3</v>
      </c>
      <c r="P69" s="32">
        <f>L69*3+M69</f>
        <v>7</v>
      </c>
      <c r="R69" s="123">
        <f>DATE(2026,6,26)+TIME(16,0,0)+gmt_delta</f>
        <v>46200.208333333328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4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0</v>
      </c>
      <c r="AH69" s="123">
        <f>COUNTIF($S$7:$T$78,"=" &amp; AE69 &amp; "_lose")</f>
        <v>3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8</v>
      </c>
      <c r="AL69" s="123">
        <f>AI69-AJ69</f>
        <v>-7</v>
      </c>
      <c r="AM69" s="123">
        <f>AL69-AL72</f>
        <v>0</v>
      </c>
      <c r="AN69" s="123">
        <f>AF69*3+AG69</f>
        <v>0</v>
      </c>
      <c r="AO69" s="123">
        <f>AN69/AN72*10+BA69</f>
        <v>0</v>
      </c>
      <c r="AP69" s="123">
        <f>AO69*10000000+BI69*100+AM69/AM72*10+AI69/AI72*1++IF(AQ69=0,ROW(),AQ69)/2000000</f>
        <v>9.1648265909090906E-2</v>
      </c>
      <c r="AQ69" s="126">
        <f>VLOOKUP(AE69,db_fifarank,2,FALSE)</f>
        <v>1478.35</v>
      </c>
      <c r="AR69" s="125">
        <f>AP69/AP72</f>
        <v>9.41850837619836E-10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3</v>
      </c>
      <c r="BU69" s="64"/>
      <c r="BV69" s="27"/>
      <c r="BW69" s="112">
        <f>IF(BW68="","",BT69*1000+BU69*10+BV69)</f>
        <v>3000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2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3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1</v>
      </c>
      <c r="N70" s="23">
        <f>VLOOKUP(2,AD68:AN71,5,FALSE)</f>
        <v>0</v>
      </c>
      <c r="O70" s="23" t="str">
        <f>VLOOKUP(2,AD68:AN71,6,FALSE) &amp; " - " &amp; VLOOKUP(2,AD68:AN71,7,FALSE)</f>
        <v>7 - 3</v>
      </c>
      <c r="P70" s="34">
        <f>L70*3+M70</f>
        <v>7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3</v>
      </c>
      <c r="AE70" s="124" t="str">
        <f>VLOOKUP("Uzbekistan",T,lang,FALSE)</f>
        <v>Uzbekistan</v>
      </c>
      <c r="AF70" s="123">
        <f>COUNTIF($S$7:$T$78,"=" &amp; AE70 &amp; "_win")</f>
        <v>1</v>
      </c>
      <c r="AG70" s="123">
        <f>COUNTIF($S$7:$T$78,"=" &amp; AE70 &amp; "_draw")</f>
        <v>0</v>
      </c>
      <c r="AH70" s="123">
        <f>COUNTIF($S$7:$T$78,"=" &amp; AE70 &amp; "_lose")</f>
        <v>2</v>
      </c>
      <c r="AI70" s="123">
        <f>SUMIF($E$7:$E$78,$AE70,$F$7:$F$78) + SUMIF($H$7:$H$78,$AE70,$G$7:$G$78)</f>
        <v>2</v>
      </c>
      <c r="AJ70" s="123">
        <f>SUMIF($E$7:$E$78,$AE70,$G$7:$G$78) + SUMIF($H$7:$H$78,$AE70,$F$7:$F$78)</f>
        <v>6</v>
      </c>
      <c r="AL70" s="123">
        <f>AI70-AJ70</f>
        <v>-4</v>
      </c>
      <c r="AM70" s="123">
        <f>AL70-AL72</f>
        <v>3</v>
      </c>
      <c r="AN70" s="123">
        <f>AF70*3+AG70</f>
        <v>3</v>
      </c>
      <c r="AO70" s="123">
        <f>AN70/AN72*10+BA70</f>
        <v>3.75</v>
      </c>
      <c r="AP70" s="123">
        <f>AO70*10000000+BI70*100+AM70/AM72*10+AI70/AI72*1++IF(AQ70=0,ROW(),AQ70)/2000000</f>
        <v>37500002.182550848</v>
      </c>
      <c r="AQ70" s="126">
        <f>VLOOKUP(AE70,db_fifarank,2,FALSE)</f>
        <v>1465.34</v>
      </c>
      <c r="AR70" s="125">
        <f>AP70/AP72</f>
        <v>0.38537999727584304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31">
        <v>87</v>
      </c>
      <c r="BL70" s="24" t="str">
        <f>AS68</f>
        <v>Portugal</v>
      </c>
      <c r="BM70" s="61">
        <v>3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3000</v>
      </c>
      <c r="BQ70" s="112"/>
      <c r="BW70" s="112"/>
    </row>
    <row r="71" spans="1:95" x14ac:dyDescent="0.2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2</v>
      </c>
      <c r="G71" s="20">
        <v>2</v>
      </c>
      <c r="H71" s="80" t="str">
        <f>AE52</f>
        <v>Saudi Arabia</v>
      </c>
      <c r="I71" s="69"/>
      <c r="J71" s="33" t="str">
        <f>VLOOKUP(3,AD68:AN71,2,FALSE)</f>
        <v>Uzbekistan</v>
      </c>
      <c r="K71" s="23">
        <f>L71+M71+N71</f>
        <v>3</v>
      </c>
      <c r="L71" s="23">
        <f>VLOOKUP(3,AD68:AN71,3,FALSE)</f>
        <v>1</v>
      </c>
      <c r="M71" s="23">
        <f>VLOOKUP(3,AD68:AN71,4,FALSE)</f>
        <v>0</v>
      </c>
      <c r="N71" s="23">
        <f>VLOOKUP(3,AD68:AN71,5,FALSE)</f>
        <v>2</v>
      </c>
      <c r="O71" s="23" t="str">
        <f>VLOOKUP(3,AD68:AN71,6,FALSE) &amp; " - " &amp; VLOOKUP(3,AD68:AN71,7,FALSE)</f>
        <v>2 - 6</v>
      </c>
      <c r="P71" s="34">
        <f>L71*3+M71</f>
        <v>3</v>
      </c>
      <c r="R71" s="123">
        <f>DATE(2026,6,26)+TIME(13,0,0)+gmt_delta</f>
        <v>46200.083333333328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1</v>
      </c>
      <c r="V71" s="123">
        <f t="shared" si="21"/>
        <v>2</v>
      </c>
      <c r="W71" s="123">
        <f t="shared" si="22"/>
        <v>2</v>
      </c>
      <c r="X71" s="123">
        <f t="shared" si="9"/>
        <v>1</v>
      </c>
      <c r="Y71" s="123">
        <f t="shared" si="10"/>
        <v>2</v>
      </c>
      <c r="Z71" s="123">
        <f t="shared" si="11"/>
        <v>2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1</v>
      </c>
      <c r="AH71" s="123">
        <f>COUNTIF($S$7:$T$78,"=" &amp; AE71 &amp; "_lose")</f>
        <v>0</v>
      </c>
      <c r="AI71" s="123">
        <f>SUMIF($E$7:$E$78,$AE71,$F$7:$F$78) + SUMIF($H$7:$H$78,$AE71,$G$7:$G$78)</f>
        <v>7</v>
      </c>
      <c r="AJ71" s="123">
        <f>SUMIF($E$7:$E$78,$AE71,$G$7:$G$78) + SUMIF($H$7:$H$78,$AE71,$F$7:$F$78)</f>
        <v>3</v>
      </c>
      <c r="AL71" s="123">
        <f>AI71-AJ71</f>
        <v>4</v>
      </c>
      <c r="AM71" s="123">
        <f>AL71-AL72</f>
        <v>11</v>
      </c>
      <c r="AN71" s="123">
        <f>AF71*3+AG71</f>
        <v>7</v>
      </c>
      <c r="AO71" s="123">
        <f>AN71/AN72*10+BA71</f>
        <v>9.7306451612903224</v>
      </c>
      <c r="AP71" s="123">
        <f>AO71*10000000+BI71*100+AM71/AM72*10+AI71/AI72*1++IF(AQ71=0,ROW(),AQ71)/2000000</f>
        <v>97306557.647962868</v>
      </c>
      <c r="AQ71" s="126">
        <f>VLOOKUP(AE71,db_fifarank,2,FALSE)</f>
        <v>1693.09</v>
      </c>
      <c r="AR71" s="125">
        <f>AP71/AP72</f>
        <v>0.99999996636647526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1</v>
      </c>
      <c r="AV71" s="126" cm="1">
        <f t="array" ref="AV71">SUMPRODUCT(($E$7:$E$78=AE71)*($U$7:$U$78)*($F$7:$F$78))+SUMPRODUCT(($H$7:$H$78=AE71)*($U$7:$U$78)*($G$7:$G$78))</f>
        <v>2</v>
      </c>
      <c r="AW71" s="126" cm="1">
        <f t="array" ref="AW71">SUMPRODUCT(($E$7:$E$78=AE71)*($U$7:$U$78)*($G$7:$G$78))+SUMPRODUCT(($H$7:$H$78=AE71)*($U$7:$U$78)*($F$7:$F$78))</f>
        <v>2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50.666666666666664</v>
      </c>
      <c r="BA71" s="126">
        <f>AZ71/AZ72</f>
        <v>0.98064516129032253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1</v>
      </c>
      <c r="BD71" s="126" cm="1">
        <f t="array" ref="BD71">SUMPRODUCT(($E$7:$E$78=AE71)*($X$7:$X$78)*($F$7:$F$78))+SUMPRODUCT(($H$7:$H$78=AE71)*($X$7:$X$78)*($G$7:$G$78))</f>
        <v>2</v>
      </c>
      <c r="BE71" s="126" cm="1">
        <f t="array" ref="BE71">SUMPRODUCT(($E$7:$E$78=AE71)*($X$7:$X$78)*($G$7:$G$78))+SUMPRODUCT(($H$7:$H$78=AE71)*($X$7:$X$78)*($F$7:$F$78))</f>
        <v>2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50.666666666666664</v>
      </c>
      <c r="BI71" s="126">
        <f>BH71/BH72</f>
        <v>0.98064516129032253</v>
      </c>
      <c r="BK71" s="132"/>
      <c r="BL71" s="26" t="str">
        <f>IF(group_round_completed,VLOOKUP('3rd places'!J3,AK80:AS91,9,FALSE),"3rd Group D/E/I/J/L")</f>
        <v>Ghana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2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0</v>
      </c>
      <c r="G72" s="20">
        <v>2</v>
      </c>
      <c r="H72" s="80" t="str">
        <f>AE50</f>
        <v>Spain</v>
      </c>
      <c r="I72" s="69"/>
      <c r="J72" s="35" t="str">
        <f>VLOOKUP(4,AD68:AN71,2,FALSE)</f>
        <v>DR Congo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1 - 8</v>
      </c>
      <c r="P72" s="37">
        <f>L72*3+M72</f>
        <v>0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3</v>
      </c>
      <c r="AG72" s="123">
        <f t="shared" si="35"/>
        <v>2</v>
      </c>
      <c r="AH72" s="123">
        <f t="shared" si="35"/>
        <v>4</v>
      </c>
      <c r="AI72" s="123">
        <f>MAX(AI68:AI71)+1</f>
        <v>11</v>
      </c>
      <c r="AL72" s="123">
        <f>MIN(AL68:AL71)</f>
        <v>-7</v>
      </c>
      <c r="AM72" s="123">
        <f>MAX(AM68:AM71)+1</f>
        <v>15</v>
      </c>
      <c r="AN72" s="123">
        <f>MAX(AN68:AN71)+1</f>
        <v>8</v>
      </c>
      <c r="AO72" s="123">
        <f>MAX(AO68:AO71)+1</f>
        <v>10.730645161290322</v>
      </c>
      <c r="AP72" s="123">
        <f>MAX(AP68:AP71)+1</f>
        <v>97306560.920725495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3</v>
      </c>
      <c r="AW72" s="126">
        <f>MAX(AW68:AW71)-MIN(AW68:AW71)+1</f>
        <v>3</v>
      </c>
      <c r="AY72" s="126">
        <f>MAX(AY68:AY71)-MIN(AY68:AY71)+1</f>
        <v>1</v>
      </c>
      <c r="AZ72" s="126">
        <f>MAX(AZ68:AZ71)+1</f>
        <v>51.666666666666664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3</v>
      </c>
      <c r="BE72" s="126">
        <f>MAX(BE68:BE71)-MIN(BE68:BE71)+1</f>
        <v>3</v>
      </c>
      <c r="BG72" s="126">
        <f>MAX(BG68:BG71)-MIN(BG68:BG71)+1</f>
        <v>1</v>
      </c>
      <c r="BH72" s="126">
        <f>MAX(BH68:BH71)+1</f>
        <v>51.666666666666664</v>
      </c>
    </row>
    <row r="73" spans="1:95" x14ac:dyDescent="0.2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1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2</v>
      </c>
      <c r="G74" s="20">
        <v>2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Croatia_draw</v>
      </c>
      <c r="T74" s="127" t="str">
        <f t="shared" si="20"/>
        <v>Ghana_draw</v>
      </c>
      <c r="U74" s="123">
        <f t="shared" si="31"/>
        <v>1</v>
      </c>
      <c r="V74" s="123">
        <f t="shared" si="21"/>
        <v>2</v>
      </c>
      <c r="W74" s="123">
        <f t="shared" si="22"/>
        <v>2</v>
      </c>
      <c r="X74" s="123">
        <f t="shared" si="32"/>
        <v>1</v>
      </c>
      <c r="Y74" s="123">
        <f t="shared" si="33"/>
        <v>2</v>
      </c>
      <c r="Z74" s="123">
        <f t="shared" si="34"/>
        <v>2</v>
      </c>
      <c r="AA74" s="123">
        <f t="shared" si="29"/>
        <v>0</v>
      </c>
      <c r="AB74" s="123">
        <f t="shared" si="23"/>
        <v>0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7</v>
      </c>
      <c r="AJ74" s="123">
        <f>SUMIF($E$7:$E$78,$AE74,$G$7:$G$78) + SUMIF($H$7:$H$78,$AE74,$F$7:$F$78)</f>
        <v>2</v>
      </c>
      <c r="AL74" s="123">
        <f>AI74-AJ74</f>
        <v>5</v>
      </c>
      <c r="AM74" s="123">
        <f>AL74-AL78</f>
        <v>8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90000009.764801875</v>
      </c>
      <c r="AQ74" s="126">
        <f>VLOOKUP(AE74,db_fifarank,2,FALSE)</f>
        <v>1825.97</v>
      </c>
      <c r="AR74" s="125">
        <f>AP74/AP78</f>
        <v>0.99999998888889019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7 - 2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1</v>
      </c>
      <c r="V75" s="123">
        <f t="shared" si="21"/>
        <v>1</v>
      </c>
      <c r="W75" s="123">
        <f t="shared" si="22"/>
        <v>1</v>
      </c>
      <c r="X75" s="123">
        <f t="shared" si="32"/>
        <v>1</v>
      </c>
      <c r="Y75" s="123">
        <f t="shared" si="33"/>
        <v>1</v>
      </c>
      <c r="Z75" s="123">
        <f t="shared" si="34"/>
        <v>1</v>
      </c>
      <c r="AA75" s="123">
        <f t="shared" si="29"/>
        <v>0</v>
      </c>
      <c r="AB75" s="123">
        <f t="shared" si="23"/>
        <v>0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1</v>
      </c>
      <c r="AG75" s="123">
        <f>COUNTIF($S$7:$T$78,"=" &amp; AE75 &amp; "_draw")</f>
        <v>1</v>
      </c>
      <c r="AH75" s="123">
        <f>COUNTIF($S$7:$T$78,"=" &amp; AE75 &amp; "_lose")</f>
        <v>1</v>
      </c>
      <c r="AI75" s="123">
        <f>SUMIF($E$7:$E$78,$AE75,$F$7:$F$78) + SUMIF($H$7:$H$78,$AE75,$G$7:$G$78)</f>
        <v>6</v>
      </c>
      <c r="AJ75" s="123">
        <f>SUMIF($E$7:$E$78,$AE75,$G$7:$G$78) + SUMIF($H$7:$H$78,$AE75,$F$7:$F$78)</f>
        <v>7</v>
      </c>
      <c r="AL75" s="123">
        <f>AI75-AJ75</f>
        <v>-1</v>
      </c>
      <c r="AM75" s="123">
        <f>AL75-AL78</f>
        <v>2</v>
      </c>
      <c r="AN75" s="123">
        <f>AF75*3+AG75</f>
        <v>4</v>
      </c>
      <c r="AO75" s="123">
        <f>AN75/AN78*10+BA75</f>
        <v>4.9806451612903224</v>
      </c>
      <c r="AP75" s="123">
        <f>AO75*10000000+BI75*100+AM75/AM78*10+AI75/AI78*1++IF(AQ75=0,ROW(),AQ75)/2000000</f>
        <v>49806552.650500111</v>
      </c>
      <c r="AQ75" s="126">
        <f>VLOOKUP(AE75,db_fifarank,2,FALSE)</f>
        <v>1717.07</v>
      </c>
      <c r="AR75" s="125">
        <f>AP75/AP78</f>
        <v>0.55340607436881517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1</v>
      </c>
      <c r="AV75" s="126" cm="1">
        <f t="array" ref="AV75">SUMPRODUCT(($E$7:$E$78=AE75)*($U$7:$U$78)*($F$7:$F$78))+SUMPRODUCT(($H$7:$H$78=AE75)*($U$7:$U$78)*($G$7:$G$78))</f>
        <v>2</v>
      </c>
      <c r="AW75" s="126" cm="1">
        <f t="array" ref="AW75">SUMPRODUCT(($E$7:$E$78=AE75)*($U$7:$U$78)*($G$7:$G$78))+SUMPRODUCT(($H$7:$H$78=AE75)*($U$7:$U$78)*($F$7:$F$78))</f>
        <v>2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50.666666666666664</v>
      </c>
      <c r="BA75" s="126">
        <f>AZ75/AZ78</f>
        <v>0.98064516129032253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1</v>
      </c>
      <c r="BD75" s="126" cm="1">
        <f t="array" ref="BD75">SUMPRODUCT(($E$7:$E$78=AE75)*($X$7:$X$78)*($F$7:$F$78))+SUMPRODUCT(($H$7:$H$78=AE75)*($X$7:$X$78)*($G$7:$G$78))</f>
        <v>2</v>
      </c>
      <c r="BE75" s="126" cm="1">
        <f t="array" ref="BE75">SUMPRODUCT(($E$7:$E$78=AE75)*($X$7:$X$78)*($G$7:$G$78))+SUMPRODUCT(($H$7:$H$78=AE75)*($X$7:$X$78)*($F$7:$F$78))</f>
        <v>2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50.666666666666664</v>
      </c>
      <c r="BI75" s="126">
        <f>BH75/BH78</f>
        <v>0.98064516129032253</v>
      </c>
    </row>
    <row r="76" spans="1:95" x14ac:dyDescent="0.2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3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1</v>
      </c>
      <c r="M76" s="23">
        <f>VLOOKUP(2,AD74:AN77,4,FALSE)</f>
        <v>1</v>
      </c>
      <c r="N76" s="23">
        <f>VLOOKUP(2,AD74:AN77,5,FALSE)</f>
        <v>1</v>
      </c>
      <c r="O76" s="23" t="str">
        <f>VLOOKUP(2,AD74:AN77,6,FALSE) &amp; " - " &amp; VLOOKUP(2,AD74:AN77,7,FALSE)</f>
        <v>6 - 7</v>
      </c>
      <c r="P76" s="34">
        <f>L76*3+M76</f>
        <v>4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1</v>
      </c>
      <c r="AH76" s="123">
        <f>COUNTIF($S$7:$T$78,"=" &amp; AE76 &amp; "_lose")</f>
        <v>1</v>
      </c>
      <c r="AI76" s="123">
        <f>SUMIF($E$7:$E$78,$AE76,$F$7:$F$78) + SUMIF($H$7:$H$78,$AE76,$G$7:$G$78)</f>
        <v>3</v>
      </c>
      <c r="AJ76" s="123">
        <f>SUMIF($E$7:$E$78,$AE76,$G$7:$G$78) + SUMIF($H$7:$H$78,$AE76,$F$7:$F$78)</f>
        <v>4</v>
      </c>
      <c r="AL76" s="123">
        <f>AI76-AJ76</f>
        <v>-1</v>
      </c>
      <c r="AM76" s="123">
        <f>AL76-AL78</f>
        <v>2</v>
      </c>
      <c r="AN76" s="123">
        <f>AF76*3+AG76</f>
        <v>4</v>
      </c>
      <c r="AO76" s="123">
        <f>AN76/AN78*10+BA76</f>
        <v>4.9806451612903224</v>
      </c>
      <c r="AP76" s="123">
        <f>AO76*10000000+BI76*100+AM76/AM78*10+AI76/AI78*1++IF(AQ76=0,ROW(),AQ76)/2000000</f>
        <v>49806552.275314726</v>
      </c>
      <c r="AQ76" s="126">
        <f>VLOOKUP(AE76,db_fifarank,2,FALSE)</f>
        <v>1346.31</v>
      </c>
      <c r="AR76" s="125">
        <f>AP76/AP78</f>
        <v>0.55340607020008914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1</v>
      </c>
      <c r="AV76" s="126" cm="1">
        <f t="array" ref="AV76">SUMPRODUCT(($E$7:$E$78=AE76)*($U$7:$U$78)*($F$7:$F$78))+SUMPRODUCT(($H$7:$H$78=AE76)*($U$7:$U$78)*($G$7:$G$78))</f>
        <v>2</v>
      </c>
      <c r="AW76" s="126" cm="1">
        <f t="array" ref="AW76">SUMPRODUCT(($E$7:$E$78=AE76)*($U$7:$U$78)*($G$7:$G$78))+SUMPRODUCT(($H$7:$H$78=AE76)*($U$7:$U$78)*($F$7:$F$78))</f>
        <v>2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50.666666666666664</v>
      </c>
      <c r="BA76" s="126">
        <f>AZ76/AZ78</f>
        <v>0.98064516129032253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1</v>
      </c>
      <c r="BD76" s="126" cm="1">
        <f t="array" ref="BD76">SUMPRODUCT(($E$7:$E$78=AE76)*($X$7:$X$78)*($F$7:$F$78))+SUMPRODUCT(($H$7:$H$78=AE76)*($X$7:$X$78)*($G$7:$G$78))</f>
        <v>2</v>
      </c>
      <c r="BE76" s="126" cm="1">
        <f t="array" ref="BE76">SUMPRODUCT(($E$7:$E$78=AE76)*($X$7:$X$78)*($G$7:$G$78))+SUMPRODUCT(($H$7:$H$78=AE76)*($X$7:$X$78)*($F$7:$F$78))</f>
        <v>2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50.666666666666664</v>
      </c>
      <c r="BI76" s="126">
        <f>BH76/BH78</f>
        <v>0.98064516129032253</v>
      </c>
    </row>
    <row r="77" spans="1:95" x14ac:dyDescent="0.2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2</v>
      </c>
      <c r="G77" s="20">
        <v>2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1</v>
      </c>
      <c r="N77" s="23">
        <f>VLOOKUP(3,AD74:AN77,5,FALSE)</f>
        <v>1</v>
      </c>
      <c r="O77" s="23" t="str">
        <f>VLOOKUP(3,AD74:AN77,6,FALSE) &amp; " - " &amp; VLOOKUP(3,AD74:AN77,7,FALSE)</f>
        <v>3 - 4</v>
      </c>
      <c r="P77" s="34">
        <f>L77*3+M77</f>
        <v>4</v>
      </c>
      <c r="R77" s="123">
        <f>DATE(2026,6,27)+TIME(12,30,0)+gmt_delta</f>
        <v>46201.0625</v>
      </c>
      <c r="S77" s="127" t="str">
        <f t="shared" si="19"/>
        <v>Colombia_draw</v>
      </c>
      <c r="T77" s="127" t="str">
        <f t="shared" si="20"/>
        <v>Portugal_draw</v>
      </c>
      <c r="U77" s="123">
        <f t="shared" si="31"/>
        <v>1</v>
      </c>
      <c r="V77" s="123">
        <f t="shared" si="21"/>
        <v>2</v>
      </c>
      <c r="W77" s="123">
        <f t="shared" si="22"/>
        <v>2</v>
      </c>
      <c r="X77" s="123">
        <f t="shared" si="32"/>
        <v>1</v>
      </c>
      <c r="Y77" s="123">
        <f t="shared" si="33"/>
        <v>2</v>
      </c>
      <c r="Z77" s="123">
        <f t="shared" si="34"/>
        <v>2</v>
      </c>
      <c r="AA77" s="123">
        <f t="shared" si="29"/>
        <v>0</v>
      </c>
      <c r="AB77" s="123">
        <f t="shared" si="23"/>
        <v>0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3</v>
      </c>
      <c r="AJ77" s="123">
        <f>SUMIF($E$7:$E$78,$AE77,$G$7:$G$78) + SUMIF($H$7:$H$78,$AE77,$F$7:$F$78)</f>
        <v>6</v>
      </c>
      <c r="AL77" s="123">
        <f>AI77-AJ77</f>
        <v>-3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0.37577031999999999</v>
      </c>
      <c r="AQ77" s="126">
        <f>VLOOKUP(AE77,db_fifarank,2,FALSE)</f>
        <v>1540.64</v>
      </c>
      <c r="AR77" s="125">
        <f>AP77/AP78</f>
        <v>4.175225278383634E-9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0</v>
      </c>
      <c r="G78" s="20">
        <v>1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3 - 6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Congo_lose</v>
      </c>
      <c r="T78" s="127" t="str">
        <f t="shared" si="20"/>
        <v>Uzbekistan_win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-1</v>
      </c>
      <c r="AF78" s="123">
        <f t="shared" ref="AF78:AH78" si="36">MAX(AF74:AF77)-MIN(AF74:AF77)+1</f>
        <v>4</v>
      </c>
      <c r="AG78" s="123">
        <f t="shared" si="36"/>
        <v>2</v>
      </c>
      <c r="AH78" s="123">
        <f t="shared" si="36"/>
        <v>4</v>
      </c>
      <c r="AI78" s="123">
        <f>MAX(AI74:AI77)+1</f>
        <v>8</v>
      </c>
      <c r="AL78" s="123">
        <f>MIN(AL74:AL77)</f>
        <v>-3</v>
      </c>
      <c r="AM78" s="123">
        <f>MAX(AM74:AM77)+1</f>
        <v>9</v>
      </c>
      <c r="AN78" s="123">
        <f>MAX(AN74:AN77)+1</f>
        <v>10</v>
      </c>
      <c r="AO78" s="123">
        <f>MAX(AO74:AO77)+1</f>
        <v>10</v>
      </c>
      <c r="AP78" s="123">
        <f>MAX(AP74:AP77)+1</f>
        <v>90000010.764801875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3</v>
      </c>
      <c r="AW78" s="126">
        <f>MAX(AW74:AW77)-MIN(AW74:AW77)+1</f>
        <v>3</v>
      </c>
      <c r="AY78" s="126">
        <f>MAX(AY74:AY77)-MIN(AY74:AY77)+1</f>
        <v>1</v>
      </c>
      <c r="AZ78" s="126">
        <f>MAX(AZ74:AZ77)+1</f>
        <v>51.666666666666664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3</v>
      </c>
      <c r="BE78" s="126">
        <f>MAX(BE74:BE77)-MIN(BE74:BE77)+1</f>
        <v>3</v>
      </c>
      <c r="BG78" s="126">
        <f>MAX(BG74:BG77)-MIN(BG74:BG77)+1</f>
        <v>1</v>
      </c>
      <c r="BH78" s="126">
        <f>MAX(BH74:BH77)+1</f>
        <v>51.666666666666664</v>
      </c>
    </row>
    <row r="79" spans="1:95" x14ac:dyDescent="0.2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8</v>
      </c>
      <c r="AE80" s="124" t="str">
        <f>J11</f>
        <v>Czech Republic</v>
      </c>
      <c r="AF80" s="123">
        <f>VLOOKUP($AE80,$AE$8:$AQ$78,2,FALSE)</f>
        <v>1</v>
      </c>
      <c r="AG80" s="123">
        <f>VLOOKUP($AE80,$AE$8:$AQ$78,3,FALSE)</f>
        <v>0</v>
      </c>
      <c r="AH80" s="123">
        <f>VLOOKUP($AE80,$AE$8:$AQ$78,4,FALSE)</f>
        <v>2</v>
      </c>
      <c r="AI80" s="123">
        <f>VLOOKUP($AE80,$AE$8:$AQ$78,5,FALSE)</f>
        <v>2</v>
      </c>
      <c r="AJ80" s="123">
        <f>VLOOKUP($AE80,$AE$8:$AQ$78,6,FALSE)</f>
        <v>3</v>
      </c>
      <c r="AK80" s="123" t="s">
        <v>3180</v>
      </c>
      <c r="AL80" s="123">
        <f>VLOOKUP($AE80,$AE$8:$AQ$78,8,FALSE)</f>
        <v>-1</v>
      </c>
      <c r="AM80" s="123">
        <f>AL80-$AL$92</f>
        <v>4</v>
      </c>
      <c r="AN80" s="123">
        <f>VLOOKUP($AE80,$AE$8:$AQ$78,10,FALSE)</f>
        <v>3</v>
      </c>
      <c r="AP80" s="123">
        <f>AN80/AN92*10000+AM80/AM92*1000+AI80/AI92*100+IF(AQ80=0,ROW(),AQ80)/2000000</f>
        <v>6466.6674173566671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 x14ac:dyDescent="0.2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Ⓘ Senegal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8 - 5</v>
      </c>
      <c r="P81" s="98">
        <f>L81*3+M81</f>
        <v>4</v>
      </c>
      <c r="AD81" s="123">
        <f t="shared" ref="AD81:AD91" si="38">COUNTIF($AP$80:$AP$91,CONCATENATE("&gt;=",AP81))</f>
        <v>9</v>
      </c>
      <c r="AE81" s="124" t="str">
        <f>J17</f>
        <v>Bosnia and Herzegovina</v>
      </c>
      <c r="AF81" s="123">
        <f t="shared" ref="AF81:AF91" si="39">VLOOKUP($AE81,$AE$8:$AQ$78,2,FALSE)</f>
        <v>1</v>
      </c>
      <c r="AG81" s="123">
        <f>VLOOKUP($AE81,$AE$8:$AQ$78,3,FALSE)</f>
        <v>0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4</v>
      </c>
      <c r="AJ81" s="123">
        <f t="shared" ref="AJ81:AJ90" si="42">VLOOKUP($AE81,$AE$8:$AQ$78,6,FALSE)</f>
        <v>6</v>
      </c>
      <c r="AK81" s="123" t="s">
        <v>3181</v>
      </c>
      <c r="AL81" s="123">
        <f t="shared" ref="AL81:AL90" si="43">VLOOKUP($AE81,$AE$8:$AQ$78,8,FALSE)</f>
        <v>-2</v>
      </c>
      <c r="AM81" s="123">
        <f t="shared" ref="AM81:AM91" si="44">AL81-$AL$92</f>
        <v>3</v>
      </c>
      <c r="AN81" s="123">
        <f t="shared" ref="AN81:AN90" si="45">VLOOKUP($AE81,$AE$8:$AQ$78,10,FALSE)</f>
        <v>3</v>
      </c>
      <c r="AP81" s="123">
        <f>AN81/AN92*10000+AM81/AM92*1000+AI81/AI92*100+IF(AQ81=0,ROW(),AQ81)/2000000</f>
        <v>6377.7784706977773</v>
      </c>
      <c r="AQ81" s="126">
        <f t="shared" si="37"/>
        <v>1385.84</v>
      </c>
      <c r="AR81" s="125" t="str">
        <f>AR80&amp;IF(AD81&lt;=8,RIGHT(AK81,1),"")</f>
        <v>A</v>
      </c>
      <c r="AS81" s="129" t="str">
        <f t="shared" ref="AS81:AS91" si="46">IF(AD81&lt;=8,AE81,"")</f>
        <v/>
      </c>
      <c r="AT81" s="130" t="str">
        <f>"Ⓑ "&amp;AE81</f>
        <v>Ⓑ Bosnia and Herzegovina</v>
      </c>
    </row>
    <row r="82" spans="1:46" ht="15" customHeight="1" x14ac:dyDescent="0.2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Ⓙ Algeria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4 - 5</v>
      </c>
      <c r="P82" s="101">
        <f t="shared" ref="P82:P92" si="48">L82*3+M82</f>
        <v>4</v>
      </c>
      <c r="AD82" s="123">
        <f t="shared" si="38"/>
        <v>7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4</v>
      </c>
      <c r="AJ82" s="123">
        <f t="shared" si="42"/>
        <v>5</v>
      </c>
      <c r="AK82" s="123" t="s">
        <v>3182</v>
      </c>
      <c r="AL82" s="123">
        <f t="shared" si="43"/>
        <v>-1</v>
      </c>
      <c r="AM82" s="123">
        <f t="shared" si="44"/>
        <v>4</v>
      </c>
      <c r="AN82" s="123">
        <f t="shared" si="45"/>
        <v>3</v>
      </c>
      <c r="AP82" s="123">
        <f>AN82/AN92*10000+AM82/AM92*1000+AI82/AI92*100+IF(AQ82=0,ROW(),AQ82)/2000000</f>
        <v>6488.8896380638889</v>
      </c>
      <c r="AQ82" s="126">
        <f t="shared" si="37"/>
        <v>1498.35</v>
      </c>
      <c r="AR82" s="125" t="str">
        <f t="shared" ref="AR82:AR91" si="50">AR81&amp;IF(AD82&lt;=8,RIGHT(AK82,1),"")</f>
        <v>AC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Ⓛ Ghana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3 - 4</v>
      </c>
      <c r="P83" s="101">
        <f t="shared" si="48"/>
        <v>4</v>
      </c>
      <c r="AD83" s="123">
        <f t="shared" si="38"/>
        <v>4</v>
      </c>
      <c r="AE83" s="124" t="str">
        <f>J29</f>
        <v>Paraguay</v>
      </c>
      <c r="AF83" s="123">
        <f t="shared" si="39"/>
        <v>1</v>
      </c>
      <c r="AG83" s="123">
        <f t="shared" si="49"/>
        <v>0</v>
      </c>
      <c r="AH83" s="123">
        <f t="shared" si="40"/>
        <v>2</v>
      </c>
      <c r="AI83" s="123">
        <f t="shared" si="41"/>
        <v>5</v>
      </c>
      <c r="AJ83" s="123">
        <f t="shared" si="42"/>
        <v>4</v>
      </c>
      <c r="AK83" s="123" t="s">
        <v>3184</v>
      </c>
      <c r="AL83" s="123">
        <f t="shared" si="43"/>
        <v>1</v>
      </c>
      <c r="AM83" s="123">
        <f t="shared" si="44"/>
        <v>6</v>
      </c>
      <c r="AN83" s="123">
        <f t="shared" si="45"/>
        <v>3</v>
      </c>
      <c r="AP83" s="123">
        <f>AN83/AN92*10000+AM83/AM92*1000+AI83/AI92*100+IF(AQ83=0,ROW(),AQ83)/2000000</f>
        <v>6722.2229739722225</v>
      </c>
      <c r="AQ83" s="126">
        <f t="shared" si="37"/>
        <v>1503.5</v>
      </c>
      <c r="AR83" s="125" t="str">
        <f t="shared" si="50"/>
        <v>ACD</v>
      </c>
      <c r="AS83" s="129" t="str">
        <f t="shared" si="46"/>
        <v>Paraguay</v>
      </c>
      <c r="AT83" s="130" t="str">
        <f>"Ⓓ "&amp;AE83</f>
        <v>Ⓓ Paraguay</v>
      </c>
    </row>
    <row r="84" spans="1:46" ht="15" customHeight="1" x14ac:dyDescent="0.2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Ⓓ Paraguay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5 - 4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6</v>
      </c>
      <c r="AE84" s="124" t="str">
        <f>J35</f>
        <v>Ivory Coast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5</v>
      </c>
      <c r="AJ84" s="123">
        <f t="shared" si="42"/>
        <v>6</v>
      </c>
      <c r="AK84" s="123" t="s">
        <v>3185</v>
      </c>
      <c r="AL84" s="123">
        <f t="shared" si="43"/>
        <v>-1</v>
      </c>
      <c r="AM84" s="123">
        <f t="shared" si="44"/>
        <v>4</v>
      </c>
      <c r="AN84" s="123">
        <f t="shared" si="45"/>
        <v>3</v>
      </c>
      <c r="AP84" s="123">
        <f>AN84/AN92*10000+AM84/AM92*1000+AI84/AI92*100+IF(AQ84=0,ROW(),AQ84)/2000000</f>
        <v>6500.0007664900004</v>
      </c>
      <c r="AQ84" s="126">
        <f t="shared" si="37"/>
        <v>1532.98</v>
      </c>
      <c r="AR84" s="125" t="str">
        <f t="shared" si="50"/>
        <v>ACDE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2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Ⓕ Japan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5 - 6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5</v>
      </c>
      <c r="AE85" s="124" t="str">
        <f>J41</f>
        <v>Japan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5</v>
      </c>
      <c r="AJ85" s="123">
        <f t="shared" si="42"/>
        <v>6</v>
      </c>
      <c r="AK85" s="123" t="s">
        <v>3186</v>
      </c>
      <c r="AL85" s="123">
        <f t="shared" si="43"/>
        <v>-1</v>
      </c>
      <c r="AM85" s="123">
        <f t="shared" si="44"/>
        <v>4</v>
      </c>
      <c r="AN85" s="123">
        <f t="shared" si="45"/>
        <v>3</v>
      </c>
      <c r="AP85" s="123">
        <f>AN85/AN92*10000+AM85/AM92*1000+AI85/AI92*100+IF(AQ85=0,ROW(),AQ85)/2000000</f>
        <v>6500.000830215</v>
      </c>
      <c r="AQ85" s="126">
        <f t="shared" si="37"/>
        <v>1660.43</v>
      </c>
      <c r="AR85" s="125" t="str">
        <f t="shared" si="50"/>
        <v>ACDEF</v>
      </c>
      <c r="AS85" s="129" t="str">
        <f t="shared" si="46"/>
        <v>Japan</v>
      </c>
      <c r="AT85" s="130" t="str">
        <f>"Ⓕ "&amp;AE85</f>
        <v>Ⓕ Japan</v>
      </c>
    </row>
    <row r="86" spans="1:46" ht="15" customHeight="1" x14ac:dyDescent="0.2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Ⓔ Ivory Coast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5 - 6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12</v>
      </c>
      <c r="AE86" s="124" t="str">
        <f>J47</f>
        <v>New Zealand</v>
      </c>
      <c r="AF86" s="123">
        <f t="shared" si="39"/>
        <v>0</v>
      </c>
      <c r="AG86" s="123">
        <f t="shared" si="49"/>
        <v>1</v>
      </c>
      <c r="AH86" s="123">
        <f t="shared" si="40"/>
        <v>2</v>
      </c>
      <c r="AI86" s="123">
        <f t="shared" si="41"/>
        <v>1</v>
      </c>
      <c r="AJ86" s="123">
        <f t="shared" si="42"/>
        <v>6</v>
      </c>
      <c r="AK86" s="123" t="s">
        <v>3187</v>
      </c>
      <c r="AL86" s="123">
        <f t="shared" si="43"/>
        <v>-5</v>
      </c>
      <c r="AM86" s="123">
        <f t="shared" si="44"/>
        <v>0</v>
      </c>
      <c r="AN86" s="123">
        <f t="shared" si="45"/>
        <v>1</v>
      </c>
      <c r="AP86" s="123">
        <f>AN86/AN92*10000+AM86/AM92*1000+AI86/AI92*100+IF(AQ86=0,ROW(),AQ86)/2000000</f>
        <v>2011.1117518961112</v>
      </c>
      <c r="AQ86" s="126">
        <f t="shared" si="37"/>
        <v>1281.57</v>
      </c>
      <c r="AR86" s="125" t="str">
        <f t="shared" si="50"/>
        <v>ACDEF</v>
      </c>
      <c r="AS86" s="129" t="str">
        <f t="shared" si="46"/>
        <v/>
      </c>
      <c r="AT86" s="130" t="str">
        <f>"Ⓖ "&amp;AE86</f>
        <v>Ⓖ New Zealand</v>
      </c>
    </row>
    <row r="87" spans="1:46" ht="15" customHeight="1" x14ac:dyDescent="0.2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Ⓒ Scotland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4 - 5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11</v>
      </c>
      <c r="AE87" s="124" t="str">
        <f>J53</f>
        <v>Saudi Arabia</v>
      </c>
      <c r="AF87" s="123">
        <f t="shared" si="39"/>
        <v>0</v>
      </c>
      <c r="AG87" s="123">
        <f t="shared" si="49"/>
        <v>1</v>
      </c>
      <c r="AH87" s="123">
        <f t="shared" si="40"/>
        <v>2</v>
      </c>
      <c r="AI87" s="123">
        <f t="shared" si="41"/>
        <v>2</v>
      </c>
      <c r="AJ87" s="123">
        <f t="shared" si="42"/>
        <v>7</v>
      </c>
      <c r="AK87" s="123" t="s">
        <v>3188</v>
      </c>
      <c r="AL87" s="123">
        <f t="shared" si="43"/>
        <v>-5</v>
      </c>
      <c r="AM87" s="123">
        <f t="shared" si="44"/>
        <v>0</v>
      </c>
      <c r="AN87" s="123">
        <f t="shared" si="45"/>
        <v>1</v>
      </c>
      <c r="AP87" s="123">
        <f>AN87/AN92*10000+AM87/AM92*1000+AI87/AI92*100+IF(AQ87=0,ROW(),AQ87)/2000000</f>
        <v>2022.2229329372221</v>
      </c>
      <c r="AQ87" s="126">
        <f t="shared" si="37"/>
        <v>1421.43</v>
      </c>
      <c r="AR87" s="125" t="str">
        <f t="shared" si="50"/>
        <v>ACDEF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2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Ⓐ Czech Republic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2 - 3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Korea Republic</v>
      </c>
      <c r="T88" s="127" t="str" cm="1">
        <f t="array" ref="T88">IF(OR(S88="",S88="draw"),INDEX(T,90,lang),S88)</f>
        <v>Korea Republic</v>
      </c>
      <c r="AD88" s="123">
        <f t="shared" si="38"/>
        <v>1</v>
      </c>
      <c r="AE88" s="124" t="str">
        <f>J59</f>
        <v>Senegal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8</v>
      </c>
      <c r="AJ88" s="123">
        <f t="shared" si="42"/>
        <v>5</v>
      </c>
      <c r="AK88" s="123" t="s">
        <v>3189</v>
      </c>
      <c r="AL88" s="123">
        <f t="shared" si="43"/>
        <v>3</v>
      </c>
      <c r="AM88" s="123">
        <f t="shared" si="44"/>
        <v>8</v>
      </c>
      <c r="AN88" s="123">
        <f t="shared" si="45"/>
        <v>4</v>
      </c>
      <c r="AP88" s="123">
        <f>AN88/AN92*10000+AM88/AM92*1000+AI88/AI92*100+IF(AQ88=0,ROW(),AQ88)/2000000</f>
        <v>8977.7786222727773</v>
      </c>
      <c r="AQ88" s="126">
        <f t="shared" si="37"/>
        <v>1688.99</v>
      </c>
      <c r="AR88" s="125" t="str">
        <f t="shared" si="50"/>
        <v>ACDEFI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2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Ⓑ Bosnia and Herzegovina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4 - 6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2</v>
      </c>
      <c r="AE89" s="124" t="str">
        <f>J65</f>
        <v>Algeria</v>
      </c>
      <c r="AF89" s="123">
        <f t="shared" si="39"/>
        <v>1</v>
      </c>
      <c r="AG89" s="123">
        <f t="shared" si="49"/>
        <v>1</v>
      </c>
      <c r="AH89" s="123">
        <f t="shared" si="40"/>
        <v>1</v>
      </c>
      <c r="AI89" s="123">
        <f t="shared" si="41"/>
        <v>4</v>
      </c>
      <c r="AJ89" s="123">
        <f t="shared" si="42"/>
        <v>5</v>
      </c>
      <c r="AK89" s="123" t="s">
        <v>3190</v>
      </c>
      <c r="AL89" s="123">
        <f t="shared" si="43"/>
        <v>-1</v>
      </c>
      <c r="AM89" s="123">
        <f t="shared" si="44"/>
        <v>4</v>
      </c>
      <c r="AN89" s="123">
        <f t="shared" si="45"/>
        <v>4</v>
      </c>
      <c r="AP89" s="123">
        <f>AN89/AN92*10000+AM89/AM92*1000+AI89/AI92*100+IF(AQ89=0,ROW(),AQ89)/2000000</f>
        <v>8488.889671018891</v>
      </c>
      <c r="AQ89" s="126">
        <f t="shared" si="37"/>
        <v>1564.26</v>
      </c>
      <c r="AR89" s="125" t="str">
        <f t="shared" si="50"/>
        <v>ACDEFIJ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2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Ⓚ Uzbekistan</v>
      </c>
      <c r="K90" s="103">
        <f t="shared" si="47"/>
        <v>3</v>
      </c>
      <c r="L90" s="103">
        <f>VLOOKUP(10,$AD$80:$AN$91,3,FALSE)</f>
        <v>1</v>
      </c>
      <c r="M90" s="103">
        <f>VLOOKUP(10,$AD$80:$AN$91,4,FALSE)</f>
        <v>0</v>
      </c>
      <c r="N90" s="103">
        <f>VLOOKUP(10,$AD$80:$AN$91,5,FALSE)</f>
        <v>2</v>
      </c>
      <c r="O90" s="103" t="str">
        <f>VLOOKUP(10,$AD$80:$AN$91,6,FALSE) &amp; " - " &amp; VLOOKUP(10,$AD$80:$AN$91,7,FALSE)</f>
        <v>2 - 6</v>
      </c>
      <c r="P90" s="104">
        <f t="shared" si="48"/>
        <v>3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10</v>
      </c>
      <c r="AE90" s="124" t="str">
        <f>J71</f>
        <v>Uzbekistan</v>
      </c>
      <c r="AF90" s="123">
        <f t="shared" si="39"/>
        <v>1</v>
      </c>
      <c r="AG90" s="123">
        <f t="shared" si="49"/>
        <v>0</v>
      </c>
      <c r="AH90" s="123">
        <f t="shared" si="40"/>
        <v>2</v>
      </c>
      <c r="AI90" s="123">
        <f t="shared" si="41"/>
        <v>2</v>
      </c>
      <c r="AJ90" s="123">
        <f t="shared" si="42"/>
        <v>6</v>
      </c>
      <c r="AK90" s="123" t="s">
        <v>3191</v>
      </c>
      <c r="AL90" s="123">
        <f t="shared" si="43"/>
        <v>-4</v>
      </c>
      <c r="AM90" s="123">
        <f t="shared" si="44"/>
        <v>1</v>
      </c>
      <c r="AN90" s="123">
        <f t="shared" si="45"/>
        <v>3</v>
      </c>
      <c r="AP90" s="123">
        <f>AN90/AN92*10000+AM90/AM92*1000+AI90/AI92*100+IF(AQ90=0,ROW(),AQ90)/2000000</f>
        <v>6133.3340660033336</v>
      </c>
      <c r="AQ90" s="126">
        <f t="shared" si="37"/>
        <v>1465.34</v>
      </c>
      <c r="AR90" s="125" t="str">
        <f t="shared" si="50"/>
        <v>ACDEFIJ</v>
      </c>
      <c r="AS90" s="129" t="str">
        <f t="shared" si="46"/>
        <v/>
      </c>
      <c r="AT90" s="130" t="str">
        <f>"Ⓚ "&amp;AE90</f>
        <v>Ⓚ Uzbekistan</v>
      </c>
    </row>
    <row r="91" spans="1:46" ht="15" customHeight="1" x14ac:dyDescent="0.2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Ⓗ Saudi Arabia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2 - 7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3</v>
      </c>
      <c r="AE91" s="124" t="str">
        <f>J77</f>
        <v>Ghana</v>
      </c>
      <c r="AF91" s="123">
        <f t="shared" si="39"/>
        <v>1</v>
      </c>
      <c r="AG91" s="123">
        <f t="shared" si="49"/>
        <v>1</v>
      </c>
      <c r="AH91" s="123">
        <f>VLOOKUP($AE91,$AE$8:$AQ$78,4,FALSE)</f>
        <v>1</v>
      </c>
      <c r="AI91" s="123">
        <f>VLOOKUP($AE91,$AE$8:$AQ$78,5,FALSE)</f>
        <v>3</v>
      </c>
      <c r="AJ91" s="123">
        <f>VLOOKUP($AE91,$AE$8:$AQ$78,6,FALSE)</f>
        <v>4</v>
      </c>
      <c r="AK91" s="123" t="s">
        <v>3192</v>
      </c>
      <c r="AL91" s="123">
        <f>VLOOKUP($AE91,$AE$8:$AQ$78,8,FALSE)</f>
        <v>-1</v>
      </c>
      <c r="AM91" s="123">
        <f t="shared" si="44"/>
        <v>4</v>
      </c>
      <c r="AN91" s="123">
        <f>VLOOKUP($AE91,$AE$8:$AQ$78,10,FALSE)</f>
        <v>4</v>
      </c>
      <c r="AP91" s="123">
        <f>AN91/AN92*10000+AM91/AM92*1000+AI91/AI92*100+IF(AQ91=0,ROW(),AQ91)/2000000</f>
        <v>8477.7784509327794</v>
      </c>
      <c r="AQ91" s="126">
        <f t="shared" si="37"/>
        <v>1346.31</v>
      </c>
      <c r="AR91" s="125" t="str">
        <f t="shared" si="50"/>
        <v>ACDEFIJL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2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Ⓖ New Zealand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1 - 6</v>
      </c>
      <c r="P92" s="107">
        <f t="shared" si="48"/>
        <v>1</v>
      </c>
      <c r="AF92" s="123">
        <f>MAX(AF80:AF91)+1</f>
        <v>2</v>
      </c>
      <c r="AG92" s="123">
        <f>MAX(AG80:AG91)+1</f>
        <v>2</v>
      </c>
      <c r="AH92" s="123">
        <f>MAX(AH80:AH91)+1</f>
        <v>3</v>
      </c>
      <c r="AI92" s="123">
        <f>MAX(AI80:AI91)+1</f>
        <v>9</v>
      </c>
      <c r="AJ92" s="123">
        <f>MAX(AJ80:AJ91)+1</f>
        <v>8</v>
      </c>
      <c r="AL92" s="123">
        <f>MIN(AL80:AL91)</f>
        <v>-5</v>
      </c>
      <c r="AM92" s="123">
        <f>MAX(AM80:AM91)+1</f>
        <v>9</v>
      </c>
      <c r="AN92" s="123">
        <f>MAX(AN80:AN91)+1</f>
        <v>5</v>
      </c>
      <c r="AS92" s="126" t="b">
        <f>SUM(K9:K78)=144</f>
        <v>1</v>
      </c>
    </row>
    <row r="93" spans="1:46" x14ac:dyDescent="0.2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2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2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2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2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51">
      <formula>IF(AND(AA7=1,AB7=0),1,0)</formula>
    </cfRule>
    <cfRule type="expression" dxfId="226" priority="350">
      <formula>IF(AND(AA7=0,AB7=0),1,0)</formula>
    </cfRule>
    <cfRule type="expression" dxfId="225" priority="349">
      <formula>IF(AND(AA7=1,AB7=1),1,0)</formula>
    </cfRule>
    <cfRule type="expression" dxfId="224" priority="348">
      <formula>IF(AND(AA7=0,AB7=1),1,0)</formula>
    </cfRule>
    <cfRule type="expression" dxfId="223" priority="347">
      <formula>IF(AND(AA7=1,AB7=-1),1,0)</formula>
    </cfRule>
    <cfRule type="expression" dxfId="222" priority="346">
      <formula>IF(AND(AA7=0,AB7=-1),1,0)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5">
      <formula>IF(AND(AA7=1,AB7=0),1,0)</formula>
    </cfRule>
    <cfRule type="expression" dxfId="217" priority="344">
      <formula>IF(AND(AA7=0,AB7=0),1,0)</formula>
    </cfRule>
    <cfRule type="expression" dxfId="216" priority="343">
      <formula>IF(AND(AA7=1,AB7=1),1,0)</formula>
    </cfRule>
    <cfRule type="expression" dxfId="215" priority="342">
      <formula>IF(AND(AA7=0,AB7=1),1,0)</formula>
    </cfRule>
    <cfRule type="expression" dxfId="214" priority="341">
      <formula>IF(AND(AA7=1,AB7=-1),1,0)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1">
      <formula>IF(BP14&lt;BP15,1,0)</formula>
    </cfRule>
    <cfRule type="expression" dxfId="185" priority="183">
      <formula>IF(BP14&gt;BP15,1,0)</formula>
    </cfRule>
  </conditionalFormatting>
  <conditionalFormatting sqref="BL18">
    <cfRule type="expression" dxfId="184" priority="178">
      <formula>IF(BP18&gt;BP19,1,0)</formula>
    </cfRule>
    <cfRule type="expression" dxfId="183" priority="176">
      <formula>IF(BP18&lt;BP19,1,0)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2">
      <formula>IF(BP22&gt;BP23,1,0)</formula>
    </cfRule>
    <cfRule type="expression" dxfId="179" priority="170">
      <formula>IF(BP22&lt;BP23,1,0)</formula>
    </cfRule>
  </conditionalFormatting>
  <conditionalFormatting sqref="BL23">
    <cfRule type="expression" dxfId="178" priority="171">
      <formula>IF(BP22&gt;BP23,1,0)</formula>
    </cfRule>
    <cfRule type="expression" dxfId="177" priority="169">
      <formula>IF(BP22&lt;BP23,1,0)</formula>
    </cfRule>
  </conditionalFormatting>
  <conditionalFormatting sqref="BL26">
    <cfRule type="expression" dxfId="176" priority="166">
      <formula>IF(BP26&gt;BP27,1,0)</formula>
    </cfRule>
    <cfRule type="expression" dxfId="175" priority="164">
      <formula>IF(BP26&lt;BP27,1,0)</formula>
    </cfRule>
  </conditionalFormatting>
  <conditionalFormatting sqref="BL27">
    <cfRule type="expression" dxfId="174" priority="165">
      <formula>IF(BP26&gt;BP27,1,0)</formula>
    </cfRule>
    <cfRule type="expression" dxfId="173" priority="163">
      <formula>IF(BP26&lt;BP27,1,0)</formula>
    </cfRule>
  </conditionalFormatting>
  <conditionalFormatting sqref="BL30">
    <cfRule type="expression" dxfId="172" priority="160">
      <formula>IF(BP30&gt;BP31,1,0)</formula>
    </cfRule>
    <cfRule type="expression" dxfId="171" priority="158">
      <formula>IF(BP30&lt;BP31,1,0)</formula>
    </cfRule>
  </conditionalFormatting>
  <conditionalFormatting sqref="BL31">
    <cfRule type="expression" dxfId="170" priority="159">
      <formula>IF(BP30&gt;BP31,1,0)</formula>
    </cfRule>
    <cfRule type="expression" dxfId="169" priority="157">
      <formula>IF(BP30&lt;BP31,1,0)</formula>
    </cfRule>
  </conditionalFormatting>
  <conditionalFormatting sqref="BL34">
    <cfRule type="expression" dxfId="168" priority="154">
      <formula>IF(BP34&gt;BP35,1,0)</formula>
    </cfRule>
    <cfRule type="expression" dxfId="167" priority="152">
      <formula>IF(BP34&lt;BP35,1,0)</formula>
    </cfRule>
  </conditionalFormatting>
  <conditionalFormatting sqref="BL35">
    <cfRule type="expression" dxfId="166" priority="153">
      <formula>IF(BP34&gt;BP35,1,0)</formula>
    </cfRule>
    <cfRule type="expression" dxfId="165" priority="151">
      <formula>IF(BP34&lt;BP35,1,0)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5">
      <formula>IF(BP46&gt;BP47,1,0)</formula>
    </cfRule>
    <cfRule type="expression" dxfId="153" priority="133">
      <formula>IF(BP46&lt;BP47,1,0)</formula>
    </cfRule>
  </conditionalFormatting>
  <conditionalFormatting sqref="BL50">
    <cfRule type="expression" dxfId="152" priority="130">
      <formula>IF(BP50&gt;BP51,1,0)</formula>
    </cfRule>
    <cfRule type="expression" dxfId="151" priority="128">
      <formula>IF(BP50&lt;BP51,1,0)</formula>
    </cfRule>
  </conditionalFormatting>
  <conditionalFormatting sqref="BL51">
    <cfRule type="expression" dxfId="150" priority="129">
      <formula>IF(BP50&gt;BP51,1,0)</formula>
    </cfRule>
    <cfRule type="expression" dxfId="149" priority="127">
      <formula>IF(BP50&lt;BP51,1,0)</formula>
    </cfRule>
  </conditionalFormatting>
  <conditionalFormatting sqref="BL54">
    <cfRule type="expression" dxfId="148" priority="124">
      <formula>IF(BP54&gt;BP55,1,0)</formula>
    </cfRule>
    <cfRule type="expression" dxfId="147" priority="122">
      <formula>IF(BP54&lt;BP55,1,0)</formula>
    </cfRule>
  </conditionalFormatting>
  <conditionalFormatting sqref="BL55">
    <cfRule type="expression" dxfId="146" priority="123">
      <formula>IF(BP54&gt;BP55,1,0)</formula>
    </cfRule>
    <cfRule type="expression" dxfId="145" priority="121">
      <formula>IF(BP54&lt;BP55,1,0)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2">
      <formula>IF(BP62&gt;BP63,1,0)</formula>
    </cfRule>
    <cfRule type="expression" dxfId="139" priority="110">
      <formula>IF(BP62&lt;BP63,1,0)</formula>
    </cfRule>
  </conditionalFormatting>
  <conditionalFormatting sqref="BL63">
    <cfRule type="expression" dxfId="138" priority="111">
      <formula>IF(BP62&gt;BP63,1,0)</formula>
    </cfRule>
    <cfRule type="expression" dxfId="137" priority="109">
      <formula>IF(BP62&lt;BP63,1,0)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3">
      <formula>IF(BP66&lt;BP67,1,0)</formula>
    </cfRule>
    <cfRule type="expression" dxfId="133" priority="105">
      <formula>IF(BP66&gt;BP67,1,0)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0">
      <formula>IF(BW12&lt;BW13,1,0)</formula>
    </cfRule>
    <cfRule type="expression" dxfId="95" priority="52">
      <formula>IF(BW12&gt;BW13,1,0)</formula>
    </cfRule>
  </conditionalFormatting>
  <conditionalFormatting sqref="BS13">
    <cfRule type="expression" dxfId="94" priority="49">
      <formula>IF(BW12&lt;BW13,1,0)</formula>
    </cfRule>
    <cfRule type="expression" dxfId="93" priority="51">
      <formula>IF(BW12&gt;BW13,1,0)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4">
      <formula>IF(BW28&gt;BW29,1,0)</formula>
    </cfRule>
    <cfRule type="expression" dxfId="87" priority="62">
      <formula>IF(BW28&lt;BW29,1,0)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9">
      <formula>IF(BW36&gt;BW37,1,0)</formula>
    </cfRule>
    <cfRule type="expression" dxfId="81" priority="67">
      <formula>IF(BW36&lt;BW37,1,0)</formula>
    </cfRule>
  </conditionalFormatting>
  <conditionalFormatting sqref="BS44">
    <cfRule type="expression" dxfId="80" priority="76">
      <formula>IF(BW44&gt;BW45,1,0)</formula>
    </cfRule>
    <cfRule type="expression" dxfId="79" priority="74">
      <formula>IF(BW44&lt;BW45,1,0)</formula>
    </cfRule>
  </conditionalFormatting>
  <conditionalFormatting sqref="BS45">
    <cfRule type="expression" dxfId="78" priority="73">
      <formula>IF(BW44&lt;BW45,1,0)</formula>
    </cfRule>
    <cfRule type="expression" dxfId="77" priority="75">
      <formula>IF(BW44&gt;BW45,1,0)</formula>
    </cfRule>
  </conditionalFormatting>
  <conditionalFormatting sqref="BS52">
    <cfRule type="expression" dxfId="76" priority="82">
      <formula>IF(BW52&gt;BW53,1,0)</formula>
    </cfRule>
    <cfRule type="expression" dxfId="75" priority="80">
      <formula>IF(BW52&lt;BW53,1,0)</formula>
    </cfRule>
  </conditionalFormatting>
  <conditionalFormatting sqref="BS53">
    <cfRule type="expression" dxfId="74" priority="81">
      <formula>IF(BW52&gt;BW53,1,0)</formula>
    </cfRule>
    <cfRule type="expression" dxfId="73" priority="79">
      <formula>IF(BW52&lt;BW53,1,0)</formula>
    </cfRule>
  </conditionalFormatting>
  <conditionalFormatting sqref="BS60">
    <cfRule type="expression" dxfId="72" priority="88">
      <formula>IF(BW60&gt;BW61,1,0)</formula>
    </cfRule>
    <cfRule type="expression" dxfId="71" priority="86">
      <formula>IF(BW60&lt;BW61,1,0)</formula>
    </cfRule>
  </conditionalFormatting>
  <conditionalFormatting sqref="BS61">
    <cfRule type="expression" dxfId="70" priority="85">
      <formula>IF(BW60&lt;BW61,1,0)</formula>
    </cfRule>
    <cfRule type="expression" dxfId="69" priority="87">
      <formula>IF(BW60&gt;BW61,1,0)</formula>
    </cfRule>
  </conditionalFormatting>
  <conditionalFormatting sqref="BS68">
    <cfRule type="expression" dxfId="68" priority="92">
      <formula>IF(BW68&lt;BW69,1,0)</formula>
    </cfRule>
    <cfRule type="expression" dxfId="67" priority="94">
      <formula>IF(BW68&gt;BW69,1,0)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40">
      <formula>IF(CD32&gt;CD33,1,0)</formula>
    </cfRule>
    <cfRule type="expression" dxfId="43" priority="38">
      <formula>IF(CD32&lt;CD33,1,0)</formula>
    </cfRule>
  </conditionalFormatting>
  <conditionalFormatting sqref="BZ33">
    <cfRule type="expression" dxfId="42" priority="39">
      <formula>IF(CD32&gt;CD33,1,0)</formula>
    </cfRule>
    <cfRule type="expression" dxfId="41" priority="37">
      <formula>IF(CD32&lt;CD33,1,0)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1">
      <formula>IF(CD48&lt;CD49,1,0)</formula>
    </cfRule>
    <cfRule type="expression" dxfId="37" priority="33">
      <formula>IF(CD48&gt;CD49,1,0)</formula>
    </cfRule>
  </conditionalFormatting>
  <conditionalFormatting sqref="BZ64">
    <cfRule type="expression" dxfId="36" priority="26">
      <formula>IF(CD64&lt;CD65,1,0)</formula>
    </cfRule>
    <cfRule type="expression" dxfId="35" priority="28">
      <formula>IF(CD64&gt;CD65,1,0)</formula>
    </cfRule>
  </conditionalFormatting>
  <conditionalFormatting sqref="BZ65">
    <cfRule type="expression" dxfId="34" priority="27">
      <formula>IF(CD64&gt;CD65,1,0)</formula>
    </cfRule>
    <cfRule type="expression" dxfId="33" priority="25">
      <formula>IF(CD64&lt;CD65,1,0)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3">
      <formula>IF(CK23&lt;CK24,1,0)</formula>
    </cfRule>
    <cfRule type="expression" dxfId="21" priority="15">
      <formula>IF(CK23&gt;CK24,1,0)</formula>
    </cfRule>
  </conditionalFormatting>
  <conditionalFormatting sqref="CG55">
    <cfRule type="expression" dxfId="20" priority="22">
      <formula>IF(CK55&gt;CK56,1,0)</formula>
    </cfRule>
    <cfRule type="expression" dxfId="19" priority="20">
      <formula>IF(CK55&lt;CK56,1,0)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zoomScale="133" workbookViewId="0">
      <selection activeCell="C11" sqref="C11"/>
    </sheetView>
  </sheetViews>
  <sheetFormatPr baseColWidth="10" defaultColWidth="9.1640625" defaultRowHeight="15" x14ac:dyDescent="0.2"/>
  <cols>
    <col min="1" max="1" width="2.5" style="82" customWidth="1"/>
    <col min="2" max="2" width="9.1640625" style="81"/>
    <col min="3" max="3" width="13.6640625" style="81" customWidth="1"/>
    <col min="4" max="11" width="9.5" style="81" customWidth="1"/>
    <col min="12" max="16384" width="9.1640625" style="82"/>
  </cols>
  <sheetData>
    <row r="1" spans="2:11" ht="8.25" customHeight="1" x14ac:dyDescent="0.2"/>
    <row r="2" spans="2:11" ht="21" x14ac:dyDescent="0.2">
      <c r="B2" s="108" t="s">
        <v>3193</v>
      </c>
    </row>
    <row r="3" spans="2:11" x14ac:dyDescent="0.2">
      <c r="B3" s="109">
        <f>MATCH(C3,C6:C500,0)</f>
        <v>268</v>
      </c>
      <c r="C3" s="121" t="str">
        <f>'2026 World Cup'!AR91</f>
        <v>ACDEFIJL</v>
      </c>
      <c r="D3" s="121" t="str">
        <f>VLOOKUP($C3,$C$6:$K$500,2,FALSE)</f>
        <v>3C</v>
      </c>
      <c r="E3" s="121" t="str">
        <f>VLOOKUP($C3,$C$6:$K$500,3,FALSE)</f>
        <v>3J</v>
      </c>
      <c r="F3" s="121" t="str">
        <f>VLOOKUP($C3,$C$6:$K$500,4,FALSE)</f>
        <v>3E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2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Gonzalo Pinto</cp:lastModifiedBy>
  <cp:revision/>
  <dcterms:created xsi:type="dcterms:W3CDTF">2017-12-27T19:32:51Z</dcterms:created>
  <dcterms:modified xsi:type="dcterms:W3CDTF">2026-06-04T07:44:55Z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