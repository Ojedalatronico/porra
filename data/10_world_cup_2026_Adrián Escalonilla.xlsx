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rg\Downloads\"/>
    </mc:Choice>
  </mc:AlternateContent>
  <xr:revisionPtr revIDLastSave="0" documentId="13_ncr:1_{10404198-C19B-460B-872D-C10688B565F9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 s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8" i="3"/>
  <c r="T51" i="3"/>
  <c r="S54" i="3"/>
  <c r="S77" i="3"/>
  <c r="S50" i="3"/>
  <c r="S76" i="3"/>
  <c r="S47" i="3"/>
  <c r="S67" i="3"/>
  <c r="S72" i="3"/>
  <c r="T46" i="3"/>
  <c r="S70" i="3"/>
  <c r="S42" i="3"/>
  <c r="S64" i="3"/>
  <c r="T63" i="3"/>
  <c r="S40" i="3"/>
  <c r="S62" i="3"/>
  <c r="S38" i="3"/>
  <c r="S65" i="3"/>
  <c r="T37" i="3"/>
  <c r="S55" i="3"/>
  <c r="S57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9" i="3" l="1"/>
  <c r="AR10" i="3"/>
  <c r="AR28" i="3"/>
  <c r="AR33" i="3"/>
  <c r="AR34" i="3"/>
  <c r="AR21" i="3"/>
  <c r="AR35" i="3"/>
  <c r="AD35" i="3" s="1"/>
  <c r="AR22" i="3"/>
  <c r="AR1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D53" i="3" s="1"/>
  <c r="AR46" i="3"/>
  <c r="AR15" i="3"/>
  <c r="AR45" i="3"/>
  <c r="AR63" i="3"/>
  <c r="AR47" i="3"/>
  <c r="AR64" i="3"/>
  <c r="AR39" i="3"/>
  <c r="AD56" i="3"/>
  <c r="AR16" i="3"/>
  <c r="AR17" i="3"/>
  <c r="AD59" i="3"/>
  <c r="AD75" i="3"/>
  <c r="M58" i="3" l="1"/>
  <c r="AD11" i="3"/>
  <c r="AD70" i="3"/>
  <c r="AD33" i="3"/>
  <c r="AD32" i="3"/>
  <c r="AD34" i="3"/>
  <c r="AD10" i="3"/>
  <c r="AD8" i="3"/>
  <c r="N9" i="3" s="1"/>
  <c r="AD9" i="3"/>
  <c r="AD62" i="3"/>
  <c r="L63" i="3" s="1"/>
  <c r="AD22" i="3"/>
  <c r="AD68" i="3"/>
  <c r="AD44" i="3"/>
  <c r="AD63" i="3"/>
  <c r="AD41" i="3"/>
  <c r="AD28" i="3"/>
  <c r="AD76" i="3"/>
  <c r="AD15" i="3"/>
  <c r="AD27" i="3"/>
  <c r="AD29" i="3"/>
  <c r="L58" i="3"/>
  <c r="O60" i="3"/>
  <c r="L59" i="3"/>
  <c r="AD77" i="3"/>
  <c r="N58" i="3"/>
  <c r="M59" i="3"/>
  <c r="AD74" i="3"/>
  <c r="AD71" i="3"/>
  <c r="AD47" i="3"/>
  <c r="AD20" i="3"/>
  <c r="AD21" i="3"/>
  <c r="AD26" i="3"/>
  <c r="AD1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L69" i="3" l="1"/>
  <c r="M76" i="3"/>
  <c r="P58" i="3"/>
  <c r="N39" i="3"/>
  <c r="M45" i="3"/>
  <c r="J51" i="3"/>
  <c r="AS50" i="3" s="1"/>
  <c r="BL30" i="3" s="1"/>
  <c r="J12" i="3"/>
  <c r="N10" i="3"/>
  <c r="L12" i="3"/>
  <c r="L27" i="3"/>
  <c r="J45" i="3"/>
  <c r="AS44" i="3" s="1"/>
  <c r="BL38" i="3" s="1"/>
  <c r="N11" i="3"/>
  <c r="O27" i="3"/>
  <c r="N76" i="3"/>
  <c r="M75" i="3"/>
  <c r="M27" i="3"/>
  <c r="N21" i="3"/>
  <c r="L36" i="3"/>
  <c r="N69" i="3"/>
  <c r="N47" i="3"/>
  <c r="O34" i="3"/>
  <c r="M35" i="3"/>
  <c r="N36" i="3"/>
  <c r="O33" i="3"/>
  <c r="M33" i="3"/>
  <c r="N34" i="3"/>
  <c r="J69" i="3"/>
  <c r="AS68" i="3" s="1"/>
  <c r="BL70" i="3" s="1"/>
  <c r="M34" i="3"/>
  <c r="L33" i="3"/>
  <c r="O69" i="3"/>
  <c r="N35" i="3"/>
  <c r="N33" i="3"/>
  <c r="M69" i="3"/>
  <c r="P69" i="3" s="1"/>
  <c r="L35" i="3"/>
  <c r="J34" i="3"/>
  <c r="AS33" i="3" s="1"/>
  <c r="BL46" i="3" s="1"/>
  <c r="M36" i="3"/>
  <c r="J35" i="3"/>
  <c r="AE84" i="3" s="1"/>
  <c r="AQ84" i="3" s="1"/>
  <c r="L34" i="3"/>
  <c r="J36" i="3"/>
  <c r="N16" i="3"/>
  <c r="J33" i="3"/>
  <c r="AS32" i="3" s="1"/>
  <c r="BL10" i="3" s="1"/>
  <c r="N72" i="3"/>
  <c r="O35" i="3"/>
  <c r="O36" i="3"/>
  <c r="N65" i="3"/>
  <c r="N63" i="3"/>
  <c r="M63" i="3"/>
  <c r="P63" i="3" s="1"/>
  <c r="J11" i="3"/>
  <c r="AE80" i="3" s="1"/>
  <c r="AQ80" i="3" s="1"/>
  <c r="J63" i="3"/>
  <c r="AS62" i="3" s="1"/>
  <c r="BL58" i="3" s="1"/>
  <c r="BS60" i="3" s="1"/>
  <c r="BZ64" i="3" s="1"/>
  <c r="L65" i="3"/>
  <c r="O63" i="3"/>
  <c r="J75" i="3"/>
  <c r="AS74" i="3" s="1"/>
  <c r="BL54" i="3" s="1"/>
  <c r="N75" i="3"/>
  <c r="O12" i="3"/>
  <c r="O9" i="3"/>
  <c r="J64" i="3"/>
  <c r="AS63" i="3" s="1"/>
  <c r="BL31" i="3" s="1"/>
  <c r="L10" i="3"/>
  <c r="N12" i="3"/>
  <c r="L47" i="3"/>
  <c r="M10" i="3"/>
  <c r="L9" i="3"/>
  <c r="J9" i="3"/>
  <c r="AS8" i="3" s="1"/>
  <c r="BL50" i="3" s="1"/>
  <c r="L30" i="3"/>
  <c r="M12" i="3"/>
  <c r="M30" i="3"/>
  <c r="M9" i="3"/>
  <c r="J30" i="3"/>
  <c r="O10" i="3"/>
  <c r="J39" i="3"/>
  <c r="AS38" i="3" s="1"/>
  <c r="BL22" i="3" s="1"/>
  <c r="J47" i="3"/>
  <c r="AE86" i="3" s="1"/>
  <c r="AQ86" i="3" s="1"/>
  <c r="M28" i="3"/>
  <c r="O11" i="3"/>
  <c r="M47" i="3"/>
  <c r="L11" i="3"/>
  <c r="O45" i="3"/>
  <c r="J29" i="3"/>
  <c r="AE83" i="3" s="1"/>
  <c r="AQ83" i="3" s="1"/>
  <c r="L45" i="3"/>
  <c r="P45" i="3" s="1"/>
  <c r="O47" i="3"/>
  <c r="J10" i="3"/>
  <c r="AS9" i="3" s="1"/>
  <c r="BL18" i="3" s="1"/>
  <c r="N45" i="3"/>
  <c r="M11" i="3"/>
  <c r="J65" i="3"/>
  <c r="AE89" i="3" s="1"/>
  <c r="AQ89" i="3" s="1"/>
  <c r="J78" i="3"/>
  <c r="O75" i="3"/>
  <c r="L75" i="3"/>
  <c r="L77" i="3"/>
  <c r="O76" i="3"/>
  <c r="J76" i="3"/>
  <c r="AS75" i="3" s="1"/>
  <c r="BL27" i="3" s="1"/>
  <c r="L76" i="3"/>
  <c r="O78" i="3"/>
  <c r="L78" i="3"/>
  <c r="M78" i="3"/>
  <c r="N78" i="3"/>
  <c r="L29" i="3"/>
  <c r="J48" i="3"/>
  <c r="M29" i="3"/>
  <c r="J27" i="3"/>
  <c r="AS26" i="3" s="1"/>
  <c r="BL34" i="3" s="1"/>
  <c r="J40" i="3"/>
  <c r="AS39" i="3" s="1"/>
  <c r="BL43" i="3" s="1"/>
  <c r="N54" i="3"/>
  <c r="J71" i="3"/>
  <c r="AE90" i="3" s="1"/>
  <c r="AQ90" i="3" s="1"/>
  <c r="M72" i="3"/>
  <c r="N71" i="3"/>
  <c r="L18" i="3"/>
  <c r="L72" i="3"/>
  <c r="O71" i="3"/>
  <c r="M71" i="3"/>
  <c r="O16" i="3"/>
  <c r="AJ88" i="3"/>
  <c r="N17" i="3"/>
  <c r="O70" i="3"/>
  <c r="N30" i="3"/>
  <c r="J16" i="3"/>
  <c r="AS15" i="3" s="1"/>
  <c r="BL19" i="3" s="1"/>
  <c r="K58" i="3"/>
  <c r="M70" i="3"/>
  <c r="L42" i="3"/>
  <c r="M16" i="3"/>
  <c r="O77" i="3"/>
  <c r="L39" i="3"/>
  <c r="O29" i="3"/>
  <c r="M54" i="3"/>
  <c r="O51" i="3"/>
  <c r="O40" i="3"/>
  <c r="N29" i="3"/>
  <c r="M66" i="3"/>
  <c r="L71" i="3"/>
  <c r="O65" i="3"/>
  <c r="L51" i="3"/>
  <c r="M42" i="3"/>
  <c r="J41" i="3"/>
  <c r="AE85" i="3" s="1"/>
  <c r="AQ85" i="3" s="1"/>
  <c r="N28" i="3"/>
  <c r="N27" i="3"/>
  <c r="N51" i="3"/>
  <c r="N40" i="3"/>
  <c r="J70" i="3"/>
  <c r="AS69" i="3" s="1"/>
  <c r="BL26" i="3" s="1"/>
  <c r="N70" i="3"/>
  <c r="M65" i="3"/>
  <c r="O39" i="3"/>
  <c r="O30" i="3"/>
  <c r="J28" i="3"/>
  <c r="AS27" i="3" s="1"/>
  <c r="BL62" i="3" s="1"/>
  <c r="BS61" i="3" s="1"/>
  <c r="J42" i="3"/>
  <c r="L70" i="3"/>
  <c r="O42" i="3"/>
  <c r="M51" i="3"/>
  <c r="N64" i="3"/>
  <c r="O72" i="3"/>
  <c r="L40" i="3"/>
  <c r="O28" i="3"/>
  <c r="M39" i="3"/>
  <c r="J72" i="3"/>
  <c r="M40" i="3"/>
  <c r="L28" i="3"/>
  <c r="L16" i="3"/>
  <c r="P16" i="3" s="1"/>
  <c r="P59" i="3"/>
  <c r="L66" i="3"/>
  <c r="N77" i="3"/>
  <c r="M77" i="3"/>
  <c r="J77" i="3"/>
  <c r="AE91" i="3" s="1"/>
  <c r="AQ91" i="3" s="1"/>
  <c r="M18" i="3"/>
  <c r="AN88" i="3"/>
  <c r="L54" i="3"/>
  <c r="N52" i="3"/>
  <c r="O17" i="3"/>
  <c r="L15" i="3"/>
  <c r="O64" i="3"/>
  <c r="J52" i="3"/>
  <c r="AS51" i="3" s="1"/>
  <c r="BL59" i="3" s="1"/>
  <c r="N18" i="3"/>
  <c r="K59" i="3"/>
  <c r="O18" i="3"/>
  <c r="O54" i="3"/>
  <c r="M64" i="3"/>
  <c r="M17" i="3"/>
  <c r="J66" i="3"/>
  <c r="L64" i="3"/>
  <c r="O66" i="3"/>
  <c r="J18" i="3"/>
  <c r="N66" i="3"/>
  <c r="O46" i="3"/>
  <c r="O21" i="3"/>
  <c r="AI88" i="3"/>
  <c r="N24" i="3"/>
  <c r="AG88" i="3"/>
  <c r="L48" i="3"/>
  <c r="L46" i="3"/>
  <c r="M24" i="3"/>
  <c r="AF88" i="3"/>
  <c r="L24" i="3"/>
  <c r="L22" i="3"/>
  <c r="M22" i="3"/>
  <c r="O48" i="3"/>
  <c r="M48" i="3"/>
  <c r="O23" i="3"/>
  <c r="L21" i="3"/>
  <c r="L23" i="3"/>
  <c r="N46" i="3"/>
  <c r="N22" i="3"/>
  <c r="J21" i="3"/>
  <c r="AS20" i="3" s="1"/>
  <c r="BL42" i="3" s="1"/>
  <c r="BS44" i="3" s="1"/>
  <c r="P57" i="3"/>
  <c r="N48" i="3"/>
  <c r="J46" i="3"/>
  <c r="AS45" i="3" s="1"/>
  <c r="BL63" i="3" s="1"/>
  <c r="M21" i="3"/>
  <c r="J22" i="3"/>
  <c r="AS21" i="3" s="1"/>
  <c r="BL23" i="3" s="1"/>
  <c r="L17" i="3"/>
  <c r="O24" i="3"/>
  <c r="O22" i="3"/>
  <c r="J24" i="3"/>
  <c r="M46" i="3"/>
  <c r="AT88" i="3"/>
  <c r="K57" i="3"/>
  <c r="N53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35" i="3" l="1"/>
  <c r="P76" i="3"/>
  <c r="AG86" i="3"/>
  <c r="AL86" i="3"/>
  <c r="AT86" i="3"/>
  <c r="K63" i="3"/>
  <c r="AH80" i="3"/>
  <c r="AF86" i="3"/>
  <c r="AI89" i="3"/>
  <c r="AG80" i="3"/>
  <c r="AJ80" i="3"/>
  <c r="AT80" i="3"/>
  <c r="AL80" i="3"/>
  <c r="AN80" i="3"/>
  <c r="AH86" i="3"/>
  <c r="AT89" i="3"/>
  <c r="AF80" i="3"/>
  <c r="AJ84" i="3"/>
  <c r="AJ89" i="3"/>
  <c r="AI84" i="3"/>
  <c r="AN86" i="3"/>
  <c r="P27" i="3"/>
  <c r="P47" i="3"/>
  <c r="AN89" i="3"/>
  <c r="P12" i="3"/>
  <c r="AI80" i="3"/>
  <c r="AJ86" i="3"/>
  <c r="AG89" i="3"/>
  <c r="AH89" i="3"/>
  <c r="AI86" i="3"/>
  <c r="AF89" i="3"/>
  <c r="P36" i="3"/>
  <c r="K27" i="3"/>
  <c r="K30" i="3"/>
  <c r="K75" i="3"/>
  <c r="K36" i="3"/>
  <c r="P75" i="3"/>
  <c r="AT83" i="3"/>
  <c r="AN83" i="3"/>
  <c r="AI83" i="3"/>
  <c r="AH83" i="3"/>
  <c r="K12" i="3"/>
  <c r="AG83" i="3"/>
  <c r="AL90" i="3"/>
  <c r="K35" i="3"/>
  <c r="K45" i="3"/>
  <c r="P78" i="3"/>
  <c r="K16" i="3"/>
  <c r="P11" i="3"/>
  <c r="P33" i="3"/>
  <c r="AJ90" i="3"/>
  <c r="AL83" i="3"/>
  <c r="AI90" i="3"/>
  <c r="AJ83" i="3"/>
  <c r="AF90" i="3"/>
  <c r="AF83" i="3"/>
  <c r="K76" i="3"/>
  <c r="P34" i="3"/>
  <c r="K11" i="3"/>
  <c r="AT84" i="3"/>
  <c r="K34" i="3"/>
  <c r="P65" i="3"/>
  <c r="AN84" i="3"/>
  <c r="AL84" i="3"/>
  <c r="P77" i="3"/>
  <c r="AH84" i="3"/>
  <c r="AG84" i="3"/>
  <c r="AF84" i="3"/>
  <c r="AT91" i="3"/>
  <c r="K33" i="3"/>
  <c r="AL91" i="3"/>
  <c r="AN91" i="3"/>
  <c r="AN81" i="3"/>
  <c r="AI81" i="3"/>
  <c r="AH81" i="3"/>
  <c r="AG91" i="3"/>
  <c r="K9" i="3"/>
  <c r="P30" i="3"/>
  <c r="K65" i="3"/>
  <c r="K47" i="3"/>
  <c r="K69" i="3"/>
  <c r="AH85" i="3"/>
  <c r="P24" i="3"/>
  <c r="AL89" i="3"/>
  <c r="K10" i="3"/>
  <c r="P10" i="3"/>
  <c r="P28" i="3"/>
  <c r="AG82" i="3"/>
  <c r="AN82" i="3"/>
  <c r="AF82" i="3"/>
  <c r="P9" i="3"/>
  <c r="P41" i="3"/>
  <c r="P70" i="3"/>
  <c r="AF81" i="3"/>
  <c r="K70" i="3"/>
  <c r="AL85" i="3"/>
  <c r="AN85" i="3"/>
  <c r="AJ85" i="3"/>
  <c r="AI85" i="3"/>
  <c r="AG85" i="3"/>
  <c r="AF85" i="3"/>
  <c r="P15" i="3"/>
  <c r="P42" i="3"/>
  <c r="K24" i="3"/>
  <c r="P54" i="3"/>
  <c r="K29" i="3"/>
  <c r="AN90" i="3"/>
  <c r="P29" i="3"/>
  <c r="K78" i="3"/>
  <c r="AH90" i="3"/>
  <c r="AT81" i="3"/>
  <c r="AG90" i="3"/>
  <c r="AL81" i="3"/>
  <c r="AJ81" i="3"/>
  <c r="P18" i="3"/>
  <c r="K42" i="3"/>
  <c r="AG81" i="3"/>
  <c r="AT90" i="3"/>
  <c r="P22" i="3"/>
  <c r="P72" i="3"/>
  <c r="K54" i="3"/>
  <c r="K40" i="3"/>
  <c r="K72" i="3"/>
  <c r="K53" i="3"/>
  <c r="K64" i="3"/>
  <c r="AT82" i="3"/>
  <c r="AJ91" i="3"/>
  <c r="P23" i="3"/>
  <c r="K18" i="3"/>
  <c r="P66" i="3"/>
  <c r="P39" i="3"/>
  <c r="P71" i="3"/>
  <c r="AF91" i="3"/>
  <c r="AI82" i="3"/>
  <c r="AJ82" i="3"/>
  <c r="AH82" i="3"/>
  <c r="AT85" i="3"/>
  <c r="K41" i="3"/>
  <c r="K66" i="3"/>
  <c r="K28" i="3"/>
  <c r="K71" i="3"/>
  <c r="K39" i="3"/>
  <c r="P17" i="3"/>
  <c r="K48" i="3"/>
  <c r="P64" i="3"/>
  <c r="P40" i="3"/>
  <c r="K15" i="3"/>
  <c r="P51" i="3"/>
  <c r="P48" i="3"/>
  <c r="P46" i="3"/>
  <c r="K51" i="3"/>
  <c r="K77" i="3"/>
  <c r="AI91" i="3"/>
  <c r="K23" i="3"/>
  <c r="AH91" i="3"/>
  <c r="K17" i="3"/>
  <c r="K21" i="3"/>
  <c r="K22" i="3"/>
  <c r="K46" i="3"/>
  <c r="AT87" i="3"/>
  <c r="P21" i="3"/>
  <c r="AN87" i="3"/>
  <c r="AL87" i="3"/>
  <c r="AJ87" i="3"/>
  <c r="AH87" i="3"/>
  <c r="AG87" i="3"/>
  <c r="AF87" i="3"/>
  <c r="P52" i="3"/>
  <c r="P53" i="3"/>
  <c r="AL82" i="3"/>
  <c r="AI87" i="3"/>
  <c r="K52" i="3"/>
  <c r="AG92" i="3" l="1"/>
  <c r="AN92" i="3"/>
  <c r="AF92" i="3"/>
  <c r="AJ92" i="3"/>
  <c r="AS92" i="3"/>
  <c r="AI92" i="3"/>
  <c r="AH92" i="3"/>
  <c r="AL92" i="3"/>
  <c r="AM88" i="3" s="1"/>
  <c r="AM86" i="3" l="1"/>
  <c r="AM87" i="3"/>
  <c r="AM81" i="3"/>
  <c r="AM80" i="3"/>
  <c r="AM89" i="3"/>
  <c r="AM90" i="3"/>
  <c r="AM82" i="3"/>
  <c r="AM91" i="3"/>
  <c r="AM83" i="3"/>
  <c r="AM84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5" i="3" l="1"/>
  <c r="AP83" i="3"/>
  <c r="AP89" i="3"/>
  <c r="AP88" i="3"/>
  <c r="AP91" i="3"/>
  <c r="AP82" i="3"/>
  <c r="AP90" i="3"/>
  <c r="AP86" i="3"/>
  <c r="AP84" i="3"/>
  <c r="AP81" i="3"/>
  <c r="AD81" i="3" s="1"/>
  <c r="AS81" i="3" s="1"/>
  <c r="AP80" i="3"/>
  <c r="AD83" i="3" s="1"/>
  <c r="AS83" i="3" s="1"/>
  <c r="AD85" i="3" l="1"/>
  <c r="AS85" i="3" s="1"/>
  <c r="AD84" i="3"/>
  <c r="AS84" i="3" s="1"/>
  <c r="AD86" i="3"/>
  <c r="AS86" i="3" s="1"/>
  <c r="AD90" i="3"/>
  <c r="AS90" i="3" s="1"/>
  <c r="AD88" i="3"/>
  <c r="AS88" i="3" s="1"/>
  <c r="AD89" i="3"/>
  <c r="AS89" i="3" s="1"/>
  <c r="AD80" i="3"/>
  <c r="AD82" i="3"/>
  <c r="AS82" i="3" s="1"/>
  <c r="AD87" i="3"/>
  <c r="AS87" i="3" s="1"/>
  <c r="AD91" i="3"/>
  <c r="AS91" i="3" s="1"/>
  <c r="M90" i="3" l="1"/>
  <c r="N84" i="3"/>
  <c r="L83" i="3"/>
  <c r="AS80" i="3"/>
  <c r="J82" i="3"/>
  <c r="N83" i="3"/>
  <c r="O89" i="3"/>
  <c r="N81" i="3"/>
  <c r="N89" i="3"/>
  <c r="M83" i="3"/>
  <c r="O90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82" i="3"/>
  <c r="L90" i="3"/>
  <c r="O91" i="3"/>
  <c r="M81" i="3"/>
  <c r="J91" i="3"/>
  <c r="J83" i="3"/>
  <c r="M82" i="3"/>
  <c r="J90" i="3"/>
  <c r="N82" i="3"/>
  <c r="N85" i="3"/>
  <c r="J87" i="3"/>
  <c r="O85" i="3"/>
  <c r="L85" i="3"/>
  <c r="N87" i="3"/>
  <c r="O82" i="3"/>
  <c r="N90" i="3"/>
  <c r="O83" i="3"/>
  <c r="M89" i="3"/>
  <c r="L81" i="3"/>
  <c r="O81" i="3"/>
  <c r="L89" i="3"/>
  <c r="J81" i="3"/>
  <c r="J88" i="3"/>
  <c r="M84" i="3"/>
  <c r="M87" i="3"/>
  <c r="O87" i="3"/>
  <c r="M92" i="3"/>
  <c r="L87" i="3"/>
  <c r="L91" i="3"/>
  <c r="J84" i="3"/>
  <c r="N86" i="3"/>
  <c r="J89" i="3"/>
  <c r="M91" i="3"/>
  <c r="J85" i="3"/>
  <c r="M88" i="3"/>
  <c r="L86" i="3"/>
  <c r="O92" i="3"/>
  <c r="J86" i="3"/>
  <c r="N88" i="3"/>
  <c r="M86" i="3"/>
  <c r="O86" i="3"/>
  <c r="L84" i="3"/>
  <c r="J92" i="3"/>
  <c r="L92" i="3"/>
  <c r="O88" i="3"/>
  <c r="L88" i="3"/>
  <c r="O84" i="3"/>
  <c r="N92" i="3"/>
  <c r="N91" i="3"/>
  <c r="M85" i="3"/>
  <c r="K83" i="3" l="1"/>
  <c r="P90" i="3"/>
  <c r="K81" i="3"/>
  <c r="K90" i="3"/>
  <c r="P82" i="3"/>
  <c r="P83" i="3"/>
  <c r="K87" i="3"/>
  <c r="K82" i="3"/>
  <c r="K85" i="3"/>
  <c r="D3" i="4"/>
  <c r="BL51" i="3" s="1"/>
  <c r="K3" i="4"/>
  <c r="BL55" i="3" s="1"/>
  <c r="J3" i="4"/>
  <c r="BL71" i="3" s="1"/>
  <c r="H3" i="4"/>
  <c r="BL39" i="3" s="1"/>
  <c r="E3" i="4"/>
  <c r="BL67" i="3" s="1"/>
  <c r="G3" i="4"/>
  <c r="BL11" i="3" s="1"/>
  <c r="P89" i="3"/>
  <c r="B3" i="4"/>
  <c r="I3" i="4"/>
  <c r="BL15" i="3" s="1"/>
  <c r="P81" i="3"/>
  <c r="P86" i="3"/>
  <c r="K89" i="3"/>
  <c r="K88" i="3"/>
  <c r="K91" i="3"/>
  <c r="P87" i="3"/>
  <c r="K92" i="3"/>
  <c r="K86" i="3"/>
  <c r="P84" i="3"/>
  <c r="P91" i="3"/>
  <c r="K84" i="3"/>
  <c r="P85" i="3"/>
  <c r="P92" i="3"/>
  <c r="P88" i="3"/>
  <c r="BS53" i="3"/>
  <c r="BS52" i="3"/>
  <c r="BZ49" i="3" s="1"/>
  <c r="CG55" i="3" s="1"/>
  <c r="BS69" i="3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<sst xmlns="http://schemas.openxmlformats.org/spreadsheetml/2006/main" count="9785" uniqueCount="3699">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</sst>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30" zoomScaleNormal="100" workbookViewId="0">
      <selection activeCell="A39" sqref="A39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1</v>
      </c>
      <c r="AL8" s="123">
        <f>AI8-AJ8</f>
        <v>4</v>
      </c>
      <c r="AM8" s="123">
        <f>AL8-AL12</f>
        <v>8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87500009.723062739</v>
      </c>
      <c r="AQ8" s="126">
        <f>VLOOKUP(AE8,db_fifarank,2,FALSE)</f>
        <v>1681.03</v>
      </c>
      <c r="AR8" s="125">
        <f>AP8/AP12</f>
        <v>0.99999998857143002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5 - 1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6</v>
      </c>
      <c r="AL9" s="123">
        <f>AI9-AJ9</f>
        <v>-4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12500000.334048199</v>
      </c>
      <c r="AQ9" s="126">
        <f>VLOOKUP(AE9,db_fifarank,2,FALSE)</f>
        <v>1429.73</v>
      </c>
      <c r="AR9" s="125">
        <f>AP9/AP12</f>
        <v>0.14285712916779703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1</v>
      </c>
      <c r="W10" s="123">
        <f t="shared" si="4"/>
        <v>1</v>
      </c>
      <c r="X10" s="123">
        <f t="shared" si="9"/>
        <v>1</v>
      </c>
      <c r="Y10" s="123">
        <f t="shared" si="10"/>
        <v>1</v>
      </c>
      <c r="Z10" s="123">
        <f t="shared" si="11"/>
        <v>1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2</v>
      </c>
      <c r="AL10" s="123">
        <f>AI10-AJ10</f>
        <v>2</v>
      </c>
      <c r="AM10" s="123">
        <f>AL10-AL12</f>
        <v>6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62500007.334127657</v>
      </c>
      <c r="AQ10" s="126">
        <f>VLOOKUP(AE10,db_fifarank,2,FALSE)</f>
        <v>1588.66</v>
      </c>
      <c r="AR10" s="125">
        <f>AP10/AP12</f>
        <v>0.7142857105691105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1 - 3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3</v>
      </c>
      <c r="AL11" s="123">
        <f>AI11-AJ11</f>
        <v>-2</v>
      </c>
      <c r="AM11" s="123">
        <f>AL11-AL12</f>
        <v>2</v>
      </c>
      <c r="AN11" s="123">
        <f>AF11*3+AG11</f>
        <v>2</v>
      </c>
      <c r="AO11" s="123">
        <f>AN11/AN12*10+BA11</f>
        <v>2.5</v>
      </c>
      <c r="AP11" s="123">
        <f>AO11*10000000+BI11*100+AM11/AM12*10+AI11/AI12*1++IF(AQ11=0,ROW(),AQ11)/2000000</f>
        <v>25000002.389639582</v>
      </c>
      <c r="AQ11" s="126">
        <f>VLOOKUP(AE11,db_fifarank,2,FALSE)</f>
        <v>1501.38</v>
      </c>
      <c r="AR11" s="125">
        <f>AP11/AP12</f>
        <v>0.28571427801037091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2 - 6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6</v>
      </c>
      <c r="AL12" s="123">
        <f>MIN(AL8:AL11)</f>
        <v>-4</v>
      </c>
      <c r="AM12" s="123">
        <f>MAX(AM8:AM11)+1</f>
        <v>9</v>
      </c>
      <c r="AN12" s="123">
        <f>MAX(AN8:AN11)+1</f>
        <v>8</v>
      </c>
      <c r="AO12" s="123">
        <f>MAX(AO8:AO11)+1</f>
        <v>9.75</v>
      </c>
      <c r="AP12" s="123">
        <f>MAX(AP8:AP11)+1</f>
        <v>87500010.723062739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0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4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60000005.429349668</v>
      </c>
      <c r="AQ14" s="126">
        <f>VLOOKUP(AE14,db_fifarank,2,FALSE)</f>
        <v>1556.48</v>
      </c>
      <c r="AR14" s="125">
        <f>AP14/AP18</f>
        <v>0.66666664841523882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3</v>
      </c>
      <c r="AL15" s="123">
        <f>AI15-AJ15</f>
        <v>-2</v>
      </c>
      <c r="AM15" s="123">
        <f>AL15-AL18</f>
        <v>1</v>
      </c>
      <c r="AN15" s="123">
        <f>AF15*3+AG15</f>
        <v>1</v>
      </c>
      <c r="AO15" s="123">
        <f>AN15/AN18*10+BA15</f>
        <v>1.9803921568627452</v>
      </c>
      <c r="AP15" s="123">
        <f>AO15*10000000+BI15*100+AM15/AM18*10+AI15/AI18*1++IF(AQ15=0,ROW(),AQ15)/2000000</f>
        <v>19804021.001393199</v>
      </c>
      <c r="AQ15" s="126">
        <f>VLOOKUP(AE15,db_fifarank,2,FALSE)</f>
        <v>1385.84</v>
      </c>
      <c r="AR15" s="125">
        <f>AP15/AP18</f>
        <v>0.22004465185740746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</v>
      </c>
      <c r="BA15" s="126">
        <f>AZ15/AZ18</f>
        <v>0.98039215686274506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</v>
      </c>
      <c r="BI15" s="126">
        <f>BH15/BH18</f>
        <v>0.98039215686274506</v>
      </c>
      <c r="BK15" s="132"/>
      <c r="BL15" s="26" t="str">
        <f>IF(group_round_completed,VLOOKUP('3rd places'!I3,AK80:AS91,9,FALSE),"3rd Group C/D/F/G/H")</f>
        <v>Netherlands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3 - 2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3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1.9803921568627452</v>
      </c>
      <c r="AP16" s="123">
        <f>AO16*10000000+BI16*100+AM16/AM18*10+AI16/AI18*1++IF(AQ16=0,ROW(),AQ16)/2000000</f>
        <v>19804019.608570617</v>
      </c>
      <c r="AQ16" s="126">
        <f>VLOOKUP(AE16,db_fifarank,2,FALSE)</f>
        <v>1454.96</v>
      </c>
      <c r="AR16" s="125">
        <f>AP16/AP18</f>
        <v>0.22004463638160282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</v>
      </c>
      <c r="BA16" s="126">
        <f>AZ16/AZ18</f>
        <v>0.98039215686274506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</v>
      </c>
      <c r="BI16" s="126">
        <f>BH16/BH18</f>
        <v>0.98039215686274506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Netherlands_lose</v>
      </c>
      <c r="T17" s="127" t="str">
        <f t="shared" si="2"/>
        <v>Japan_win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-1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7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90000009.607967556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Japan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0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0 - 3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7</v>
      </c>
      <c r="AL18" s="123">
        <f>MIN(AL14:AL17)</f>
        <v>-3</v>
      </c>
      <c r="AM18" s="123">
        <f>MAX(AM14:AM17)+1</f>
        <v>8</v>
      </c>
      <c r="AN18" s="123">
        <f>MAX(AN14:AN17)+1</f>
        <v>10</v>
      </c>
      <c r="AO18" s="123">
        <f>MAX(AO14:AO17)+1</f>
        <v>10</v>
      </c>
      <c r="AP18" s="123">
        <f>MAX(AP14:AP17)+1</f>
        <v>90000010.607967556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51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51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11</v>
      </c>
      <c r="AJ20" s="123">
        <f>SUMIF($E$7:$E$78,$AE20,$G$7:$G$78) + SUMIF($H$7:$H$78,$AE20,$F$7:$F$78)</f>
        <v>2</v>
      </c>
      <c r="AL20" s="123">
        <f>AI20-AJ20</f>
        <v>9</v>
      </c>
      <c r="AM20" s="123">
        <f>AL20-AL24</f>
        <v>19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90000010.417547256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11 - 2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3</v>
      </c>
      <c r="AL21" s="123">
        <f>AI21-AJ21</f>
        <v>1</v>
      </c>
      <c r="AM21" s="123">
        <f>AL21-AL24</f>
        <v>11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60000005.834211268</v>
      </c>
      <c r="AQ21" s="126">
        <f>VLOOKUP(AE21,db_fifarank,2,FALSE)</f>
        <v>1755.87</v>
      </c>
      <c r="AR21" s="125">
        <f>AP21/AP24</f>
        <v>0.66666664691681465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Japan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4 - 3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2</v>
      </c>
      <c r="W22" s="123">
        <f t="shared" si="4"/>
        <v>2</v>
      </c>
      <c r="X22" s="123">
        <f t="shared" si="9"/>
        <v>1</v>
      </c>
      <c r="Y22" s="123">
        <f t="shared" si="10"/>
        <v>2</v>
      </c>
      <c r="Z22" s="123">
        <f t="shared" si="11"/>
        <v>2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10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7.1761657562865368E-12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Japan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10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30000005.417415842</v>
      </c>
      <c r="AQ23" s="126">
        <f>VLOOKUP(AE23,db_fifarank,2,FALSE)</f>
        <v>1498.35</v>
      </c>
      <c r="AR23" s="125">
        <f>AP23/AP24</f>
        <v>0.33333335123962837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12</v>
      </c>
      <c r="AL24" s="123">
        <f>MIN(AL20:AL23)</f>
        <v>-10</v>
      </c>
      <c r="AM24" s="123">
        <f>MAX(AM20:AM23)+1</f>
        <v>20</v>
      </c>
      <c r="AN24" s="123">
        <f>MAX(AN20:AN23)+1</f>
        <v>10</v>
      </c>
      <c r="AO24" s="123">
        <f>MAX(AO20:AO23)+1</f>
        <v>10</v>
      </c>
      <c r="AP24" s="123">
        <f>MAX(AP20:AP23)+1</f>
        <v>90000011.417547256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4</v>
      </c>
      <c r="AL26" s="123">
        <f>AI26-AJ26</f>
        <v>-1</v>
      </c>
      <c r="AM26" s="123">
        <f>AL26-AL30</f>
        <v>3</v>
      </c>
      <c r="AN26" s="123">
        <f>AF26*3+AG26</f>
        <v>4</v>
      </c>
      <c r="AO26" s="123">
        <f>AN26/AN30*10+BA26</f>
        <v>4.9805825242718447</v>
      </c>
      <c r="AP26" s="123">
        <f>AO26*10000000+BI26*100+AM26/AM30*10+AI26/AI30*1++IF(AQ26=0,ROW(),AQ26)/2000000</f>
        <v>49805926.635140769</v>
      </c>
      <c r="AQ26" s="126">
        <f>VLOOKUP(AE26,db_fifarank,2,FALSE)</f>
        <v>1673.13</v>
      </c>
      <c r="AR26" s="125">
        <f>AP26/AP30</f>
        <v>0.5533991178755201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8 - 3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0</v>
      </c>
      <c r="W27" s="123">
        <f t="shared" si="4"/>
        <v>0</v>
      </c>
      <c r="X27" s="123">
        <f t="shared" si="9"/>
        <v>1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4</v>
      </c>
      <c r="AL27" s="123">
        <f>AI27-AJ27</f>
        <v>0</v>
      </c>
      <c r="AM27" s="123">
        <f>AL27-AL30</f>
        <v>4</v>
      </c>
      <c r="AN27" s="123">
        <f>AF27*3+AG27</f>
        <v>4</v>
      </c>
      <c r="AO27" s="123">
        <f>AN27/AN30*10+BA27</f>
        <v>4.9805825242718447</v>
      </c>
      <c r="AP27" s="123">
        <f>AO27*10000000+BI27*100+AM27/AM30*10+AI27/AI30*1++IF(AQ27=0,ROW(),AQ27)/2000000</f>
        <v>49805927.746167064</v>
      </c>
      <c r="AQ27" s="126">
        <f>VLOOKUP(AE27,db_fifarank,2,FALSE)</f>
        <v>1503.5</v>
      </c>
      <c r="AR27" s="125">
        <f>AP27/AP30</f>
        <v>0.55339913022025522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England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4 - 4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6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0.22301255722222221</v>
      </c>
      <c r="AQ28" s="126">
        <f>VLOOKUP(AE28,db_fifarank,2,FALSE)</f>
        <v>1580.67</v>
      </c>
      <c r="AR28" s="125">
        <f>AP28/AP30</f>
        <v>2.4779170026497568E-9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England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8</v>
      </c>
      <c r="AJ29" s="123">
        <f>SUMIF($E$7:$E$78,$AE29,$G$7:$G$78) + SUMIF($H$7:$H$78,$AE29,$F$7:$F$78)</f>
        <v>3</v>
      </c>
      <c r="AL29" s="123">
        <f>AI29-AJ29</f>
        <v>5</v>
      </c>
      <c r="AM29" s="123">
        <f>AL29-AL30</f>
        <v>9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90000009.889688417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4</v>
      </c>
      <c r="AI30" s="123">
        <f>MAX(AI26:AI29)+1</f>
        <v>9</v>
      </c>
      <c r="AL30" s="123">
        <f>MIN(AL26:AL29)</f>
        <v>-4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90000010.889688417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1</v>
      </c>
      <c r="AL32" s="123">
        <f>AI32-AJ32</f>
        <v>8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90000010.234198526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6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7.1924991022004133E-12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5 - 4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5</v>
      </c>
      <c r="AL34" s="123">
        <f>AI34-AJ34</f>
        <v>-3</v>
      </c>
      <c r="AM34" s="123">
        <f>AL34-AL36</f>
        <v>3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30000002.200766489</v>
      </c>
      <c r="AQ34" s="126">
        <f>VLOOKUP(AE34,db_fifarank,2,FALSE)</f>
        <v>1532.98</v>
      </c>
      <c r="AR34" s="125">
        <f>AP34/AP36</f>
        <v>0.33333331617815376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6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2 - 5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4</v>
      </c>
      <c r="AL35" s="123">
        <f>AI35-AJ35</f>
        <v>1</v>
      </c>
      <c r="AM35" s="123">
        <f>AL35-AL36</f>
        <v>7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60000005.167464055</v>
      </c>
      <c r="AQ35" s="126">
        <f>VLOOKUP(AE35,db_fifarank,2,FALSE)</f>
        <v>1594.78</v>
      </c>
      <c r="AR35" s="125">
        <f>AP35/AP36</f>
        <v>0.66666664086665184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Ivory Coast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10</v>
      </c>
      <c r="AL36" s="123">
        <f>MIN(AL32:AL35)</f>
        <v>-6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90000011.234198526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3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0</v>
      </c>
      <c r="AH38" s="123">
        <f>COUNTIF($S$7:$T$78,"=" &amp; AE38 &amp; "_lose")</f>
        <v>2</v>
      </c>
      <c r="AI38" s="123">
        <f>SUMIF($E$7:$E$78,$AE38,$F$7:$F$78) + SUMIF($H$7:$H$78,$AE38,$G$7:$G$78)</f>
        <v>3</v>
      </c>
      <c r="AJ38" s="123">
        <f>SUMIF($E$7:$E$78,$AE38,$G$7:$G$78) + SUMIF($H$7:$H$78,$AE38,$F$7:$F$78)</f>
        <v>4</v>
      </c>
      <c r="AL38" s="123">
        <f>AI38-AJ38</f>
        <v>-1</v>
      </c>
      <c r="AM38" s="123">
        <f>AL38-AL42</f>
        <v>2</v>
      </c>
      <c r="AN38" s="123">
        <f>AF38*3+AG38</f>
        <v>3</v>
      </c>
      <c r="AO38" s="123">
        <f>AN38/AN42*10+BA38</f>
        <v>3.75</v>
      </c>
      <c r="AP38" s="123">
        <f>AO38*10000000+BI38*100+AM38/AM42*10+AI38/AI42*1++IF(AQ38=0,ROW(),AQ38)/2000000</f>
        <v>37500003.358021796</v>
      </c>
      <c r="AQ38" s="126">
        <f>VLOOKUP(AE38,db_fifarank,2,FALSE)</f>
        <v>1757.87</v>
      </c>
      <c r="AR38" s="125">
        <f>AP38/AP42</f>
        <v>0.42857141598265658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2</v>
      </c>
      <c r="AL39" s="123">
        <f>AI39-AJ39</f>
        <v>3</v>
      </c>
      <c r="AM39" s="123">
        <f>AL39-AL42</f>
        <v>6</v>
      </c>
      <c r="AN39" s="123">
        <f>AF39*3+AG39</f>
        <v>7</v>
      </c>
      <c r="AO39" s="123">
        <f>AN39/AN42*10+BA39</f>
        <v>8.75</v>
      </c>
      <c r="AP39" s="123">
        <f>AO39*10000000+BI39*100+AM39/AM42*10+AI39/AI42*1++IF(AQ39=0,ROW(),AQ39)/2000000</f>
        <v>87500009.405592114</v>
      </c>
      <c r="AQ39" s="126">
        <f>VLOOKUP(AE39,db_fifarank,2,FALSE)</f>
        <v>1660.43</v>
      </c>
      <c r="AR39" s="125">
        <f>AP39/AP42</f>
        <v>0.99999998857142991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2 - 1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1</v>
      </c>
      <c r="AL40" s="123">
        <f>AI40-AJ40</f>
        <v>1</v>
      </c>
      <c r="AM40" s="123">
        <f>AL40-AL42</f>
        <v>4</v>
      </c>
      <c r="AN40" s="123">
        <f>AF40*3+AG40</f>
        <v>5</v>
      </c>
      <c r="AO40" s="123">
        <f>AN40/AN42*10+BA40</f>
        <v>6.25</v>
      </c>
      <c r="AP40" s="123">
        <f>AO40*10000000+BI40*100+AM40/AM42*10+AI40/AI42*1++IF(AQ40=0,ROW(),AQ40)/2000000</f>
        <v>62500006.048376434</v>
      </c>
      <c r="AQ40" s="126">
        <f>VLOOKUP(AE40,db_fifarank,2,FALSE)</f>
        <v>1514.77</v>
      </c>
      <c r="AR40" s="125">
        <f>AP40/AP42</f>
        <v>0.71428569846640921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2</v>
      </c>
      <c r="H41" s="80" t="str">
        <f>AE40</f>
        <v>Sweden</v>
      </c>
      <c r="J41" s="33" t="str">
        <f>VLOOKUP(3,AD38:AN41,2,FALSE)</f>
        <v>Netherlands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Netherlands_lose</v>
      </c>
      <c r="T41" s="127" t="str">
        <f t="shared" si="2"/>
        <v>Sweden_win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-1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4</v>
      </c>
      <c r="AL41" s="123">
        <f>AI41-AJ41</f>
        <v>-3</v>
      </c>
      <c r="AM41" s="123">
        <f>AL41-AL42</f>
        <v>0</v>
      </c>
      <c r="AN41" s="123">
        <f>AF41*3+AG41</f>
        <v>1</v>
      </c>
      <c r="AO41" s="123">
        <f>AN41/AN42*10+BA41</f>
        <v>1.25</v>
      </c>
      <c r="AP41" s="123">
        <f>AO41*10000000+BI41*100+AM41/AM42*10+AI41/AI42*1++IF(AQ41=0,ROW(),AQ41)/2000000</f>
        <v>12500000.167408191</v>
      </c>
      <c r="AQ41" s="126">
        <f>VLOOKUP(AE41,db_fifarank,2,FALSE)</f>
        <v>1483.05</v>
      </c>
      <c r="AR41" s="125">
        <f>AP41/AP42</f>
        <v>0.14285712778165929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3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1 - 4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3</v>
      </c>
      <c r="AI42" s="123">
        <f>MAX(AI38:AI41)+1</f>
        <v>6</v>
      </c>
      <c r="AL42" s="123">
        <f>MIN(AL38:AL41)</f>
        <v>-3</v>
      </c>
      <c r="AM42" s="123">
        <f>MAX(AM38:AM41)+1</f>
        <v>7</v>
      </c>
      <c r="AN42" s="123">
        <f>MAX(AN38:AN41)+1</f>
        <v>8</v>
      </c>
      <c r="AO42" s="123">
        <f>MAX(AO38:AO41)+1</f>
        <v>9.75</v>
      </c>
      <c r="AP42" s="123">
        <f>MAX(AP38:AP41)+1</f>
        <v>87500010.405592114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3</v>
      </c>
      <c r="AL44" s="123">
        <f>AI44-AJ44</f>
        <v>4</v>
      </c>
      <c r="AM44" s="123">
        <f>AL44-AL48</f>
        <v>8</v>
      </c>
      <c r="AN44" s="123">
        <f>AF44*3+AG44</f>
        <v>7</v>
      </c>
      <c r="AO44" s="123">
        <f>AN44/AN48*10+BA44</f>
        <v>9.7401960784313726</v>
      </c>
      <c r="AP44" s="123">
        <f>AO44*10000000+BI44*100+AM44/AM48*10+AI44/AI48*1++IF(AQ44=0,ROW(),AQ44)/2000000</f>
        <v>97402069.568677813</v>
      </c>
      <c r="AQ44" s="126">
        <f>VLOOKUP(AE44,db_fifarank,2,FALSE)</f>
        <v>1734.71</v>
      </c>
      <c r="AR44" s="125">
        <f>AP44/AP48</f>
        <v>0.99999998973327775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2</v>
      </c>
      <c r="AW44" s="126" cm="1">
        <f t="array" ref="AW44">SUMPRODUCT(($E$7:$E$78=AE44)*($U$7:$U$78)*($G$7:$G$78))+SUMPRODUCT(($H$7:$H$78=AE44)*($U$7:$U$78)*($F$7:$F$78))</f>
        <v>2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101</v>
      </c>
      <c r="BA44" s="126">
        <f>AZ44/AZ48</f>
        <v>0.99019607843137258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2</v>
      </c>
      <c r="BE44" s="126" cm="1">
        <f t="array" ref="BE44">SUMPRODUCT(($E$7:$E$78=AE44)*($X$7:$X$78)*($G$7:$G$78))+SUMPRODUCT(($H$7:$H$78=AE44)*($X$7:$X$78)*($F$7:$F$78))</f>
        <v>2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101</v>
      </c>
      <c r="BI44" s="126">
        <f>BH44/BH48</f>
        <v>0.99019607843137258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7 - 3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2</v>
      </c>
      <c r="AL45" s="123">
        <f>AI45-AJ45</f>
        <v>3</v>
      </c>
      <c r="AM45" s="123">
        <f>AL45-AL48</f>
        <v>7</v>
      </c>
      <c r="AN45" s="123">
        <f>AF45*3+AG45</f>
        <v>7</v>
      </c>
      <c r="AO45" s="123">
        <f>AN45/AN48*10+BA45</f>
        <v>9.7401960784313726</v>
      </c>
      <c r="AP45" s="123">
        <f>AO45*10000000+BI45*100+AM45/AM48*10+AI45/AI48*1++IF(AQ45=0,ROW(),AQ45)/2000000</f>
        <v>97402068.207480967</v>
      </c>
      <c r="AQ45" s="126">
        <f>VLOOKUP(AE45,db_fifarank,2,FALSE)</f>
        <v>1563.24</v>
      </c>
      <c r="AR45" s="125">
        <f>AP45/AP48</f>
        <v>0.99999997575824795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101</v>
      </c>
      <c r="BA45" s="126">
        <f>AZ45/AZ48</f>
        <v>0.99019607843137258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101</v>
      </c>
      <c r="BI45" s="126">
        <f>BH45/BH48</f>
        <v>0.99019607843137258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5 - 2</v>
      </c>
      <c r="P46" s="34">
        <f>L46*3+M46</f>
        <v>7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5</v>
      </c>
      <c r="AL46" s="123">
        <f>AI46-AJ46</f>
        <v>-4</v>
      </c>
      <c r="AM46" s="123">
        <f>AL46-AL48</f>
        <v>0</v>
      </c>
      <c r="AN46" s="123">
        <f>AF46*3+AG46</f>
        <v>1</v>
      </c>
      <c r="AO46" s="123">
        <f>AN46/AN48*10+BA46</f>
        <v>2.2352941176470589</v>
      </c>
      <c r="AP46" s="123">
        <f>AO46*10000000+BI46*100+AM46/AM48*10+AI46/AI48*1++IF(AQ46=0,ROW(),AQ46)/2000000</f>
        <v>22353039.831690002</v>
      </c>
      <c r="AQ46" s="126">
        <f>VLOOKUP(AE46,db_fifarank,2,FALSE)</f>
        <v>1615.3</v>
      </c>
      <c r="AR46" s="125">
        <f>AP46/AP48</f>
        <v>0.22949245022392992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100.5</v>
      </c>
      <c r="BA46" s="126">
        <f>AZ46/AZ48</f>
        <v>0.98529411764705888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100.5</v>
      </c>
      <c r="BI46" s="126">
        <f>BH46/BH48</f>
        <v>0.98529411764705888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2 - 5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5</v>
      </c>
      <c r="AL47" s="123">
        <f>AI47-AJ47</f>
        <v>-3</v>
      </c>
      <c r="AM47" s="123">
        <f>AL47-AL48</f>
        <v>1</v>
      </c>
      <c r="AN47" s="123">
        <f>AF47*3+AG47</f>
        <v>1</v>
      </c>
      <c r="AO47" s="123">
        <f>AN47/AN48*10+BA47</f>
        <v>2.2352941176470589</v>
      </c>
      <c r="AP47" s="123">
        <f>AO47*10000000+BI47*100+AM47/AM48*10+AI47/AI48*1++IF(AQ47=0,ROW(),AQ47)/2000000</f>
        <v>22353041.067634247</v>
      </c>
      <c r="AQ47" s="126">
        <f>VLOOKUP(AE47,db_fifarank,2,FALSE)</f>
        <v>1281.57</v>
      </c>
      <c r="AR47" s="125">
        <f>AP47/AP48</f>
        <v>0.22949246291302614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100.5</v>
      </c>
      <c r="BA47" s="126">
        <f>AZ47/AZ48</f>
        <v>0.98529411764705888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100.5</v>
      </c>
      <c r="BI47" s="126">
        <f>BH47/BH48</f>
        <v>0.98529411764705888</v>
      </c>
      <c r="BK47" s="132"/>
      <c r="BL47" s="26" t="str">
        <f>AS57</f>
        <v>Norway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2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8</v>
      </c>
      <c r="AL48" s="123">
        <f>MIN(AL44:AL47)</f>
        <v>-4</v>
      </c>
      <c r="AM48" s="123">
        <f>MAX(AM44:AM47)+1</f>
        <v>9</v>
      </c>
      <c r="AN48" s="123">
        <f>MAX(AN44:AN47)+1</f>
        <v>8</v>
      </c>
      <c r="AO48" s="123">
        <f>MAX(AO44:AO47)+1</f>
        <v>10.740196078431373</v>
      </c>
      <c r="AP48" s="123">
        <f>MAX(AP44:AP47)+1</f>
        <v>97402070.568677813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102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102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Mexico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3</v>
      </c>
      <c r="AL50" s="123">
        <f>AI50-AJ50</f>
        <v>8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90000010.250938207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11 - 3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19805923.384987272</v>
      </c>
      <c r="AQ51" s="126">
        <f>VLOOKUP(AE51,db_fifarank,2,FALSE)</f>
        <v>1366.13</v>
      </c>
      <c r="AR51" s="125">
        <f>AP51/AP54</f>
        <v>0.22006578787822992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7</v>
      </c>
      <c r="AL52" s="123">
        <f>AI52-AJ52</f>
        <v>-5</v>
      </c>
      <c r="AM52" s="123">
        <f>AL52-AL54</f>
        <v>1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19805924.135014925</v>
      </c>
      <c r="AQ52" s="126">
        <f>VLOOKUP(AE52,db_fifarank,2,FALSE)</f>
        <v>1421.43</v>
      </c>
      <c r="AR52" s="125">
        <f>AP52/AP54</f>
        <v>0.22006579621186945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2 - 7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3</v>
      </c>
      <c r="AL53" s="123">
        <f>AI53-AJ53</f>
        <v>3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60000006.500836536</v>
      </c>
      <c r="AQ53" s="126">
        <f>VLOOKUP(AE53,db_fifarank,2,FALSE)</f>
        <v>1673.07</v>
      </c>
      <c r="AR53" s="125">
        <f>AP53/AP54</f>
        <v>0.66666665555790217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Croatia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1 - 7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12</v>
      </c>
      <c r="AL54" s="123">
        <f>MIN(AL50:AL53)</f>
        <v>-6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90000011.250938207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Croatia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2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4</v>
      </c>
      <c r="AL56" s="123">
        <f>AI56-AJ56</f>
        <v>6</v>
      </c>
      <c r="AM56" s="123">
        <f>AL56-AL60</f>
        <v>10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90000010.000938654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10 - 4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4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0</v>
      </c>
      <c r="AH57" s="123">
        <f>COUNTIF($S$7:$T$78,"=" &amp; AE57 &amp; "_lose")</f>
        <v>3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7</v>
      </c>
      <c r="AL57" s="123">
        <f>AI57-AJ57</f>
        <v>-4</v>
      </c>
      <c r="AM57" s="123">
        <f>AL57-AL60</f>
        <v>0</v>
      </c>
      <c r="AN57" s="123">
        <f>AF57*3+AG57</f>
        <v>0</v>
      </c>
      <c r="AO57" s="123">
        <f>AN57/AN60*10+BA57</f>
        <v>0</v>
      </c>
      <c r="AP57" s="123">
        <f>AO57*10000000+BI57*100+AM57/AM60*10+AI57/AI60*1++IF(AQ57=0,ROW(),AQ57)/2000000</f>
        <v>0.27357176772727271</v>
      </c>
      <c r="AQ57" s="126">
        <f>VLOOKUP(AE57,db_fifarank,2,FALSE)</f>
        <v>1688.99</v>
      </c>
      <c r="AR57" s="125">
        <f>AP57/AP60</f>
        <v>3.0396859365319357E-9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0</v>
      </c>
      <c r="W58" s="123">
        <f t="shared" si="22"/>
        <v>0</v>
      </c>
      <c r="X58" s="123">
        <f t="shared" si="9"/>
        <v>1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3</v>
      </c>
      <c r="AE58" s="124" t="str">
        <f>VLOOKUP("Iraq",T,lang,FALSE)</f>
        <v>Iraq</v>
      </c>
      <c r="AF58" s="123">
        <f>COUNTIF($S$7:$T$78,"=" &amp; AE58 &amp; "_win")</f>
        <v>1</v>
      </c>
      <c r="AG58" s="123">
        <f>COUNTIF($S$7:$T$78,"=" &amp; AE58 &amp; "_draw")</f>
        <v>0</v>
      </c>
      <c r="AH58" s="123">
        <f>COUNTIF($S$7:$T$78,"=" &amp; AE58 &amp; "_lose")</f>
        <v>2</v>
      </c>
      <c r="AI58" s="123">
        <f>SUMIF($E$7:$E$78,$AE58,$F$7:$F$78) + SUMIF($H$7:$H$78,$AE58,$G$7:$G$78)</f>
        <v>4</v>
      </c>
      <c r="AJ58" s="123">
        <f>SUMIF($E$7:$E$78,$AE58,$G$7:$G$78) + SUMIF($H$7:$H$78,$AE58,$F$7:$F$78)</f>
        <v>7</v>
      </c>
      <c r="AL58" s="123">
        <f>AI58-AJ58</f>
        <v>-3</v>
      </c>
      <c r="AM58" s="123">
        <f>AL58-AL60</f>
        <v>1</v>
      </c>
      <c r="AN58" s="123">
        <f>AF58*3+AG58</f>
        <v>3</v>
      </c>
      <c r="AO58" s="123">
        <f>AN58/AN60*10+BA58</f>
        <v>3</v>
      </c>
      <c r="AP58" s="123">
        <f>AO58*10000000+BI58*100+AM58/AM60*10+AI58/AI60*1++IF(AQ58=0,ROW(),AQ58)/2000000</f>
        <v>30000001.273450844</v>
      </c>
      <c r="AQ58" s="126">
        <f>VLOOKUP(AE58,db_fifarank,2,FALSE)</f>
        <v>1447.14</v>
      </c>
      <c r="AR58" s="125">
        <f>AP58/AP60</f>
        <v>0.33333330673857314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Iraq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4 - 7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4</v>
      </c>
      <c r="AL59" s="123">
        <f>AI59-AJ59</f>
        <v>1</v>
      </c>
      <c r="AM59" s="123">
        <f>AL59-AL60</f>
        <v>5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60000005.000775471</v>
      </c>
      <c r="AQ59" s="126">
        <f>VLOOKUP(AE59,db_fifarank,2,FALSE)</f>
        <v>1550.94</v>
      </c>
      <c r="AR59" s="125">
        <f>AP59/AP60</f>
        <v>0.66666664074240722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3</v>
      </c>
      <c r="H60" s="80" t="str">
        <f>AE10</f>
        <v>Korea Republic</v>
      </c>
      <c r="I60" s="69"/>
      <c r="J60" s="35" t="str">
        <f>VLOOKUP(4,AD56:AN59,2,FALSE)</f>
        <v>Senegal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3 - 7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11</v>
      </c>
      <c r="AL60" s="123">
        <f>MIN(AL56:AL59)</f>
        <v>-4</v>
      </c>
      <c r="AM60" s="123">
        <f>MAX(AM56:AM59)+1</f>
        <v>11</v>
      </c>
      <c r="AN60" s="123">
        <f>MAX(AN56:AN59)+1</f>
        <v>10</v>
      </c>
      <c r="AO60" s="123">
        <f>MAX(AO56:AO59)+1</f>
        <v>10</v>
      </c>
      <c r="AP60" s="123">
        <f>MAX(AP56:AP59)+1</f>
        <v>90000011.000938654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1</v>
      </c>
      <c r="AL62" s="123">
        <f>AI62-AJ62</f>
        <v>8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90000010.131706655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0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6</v>
      </c>
      <c r="AL63" s="123">
        <f>AI63-AJ63</f>
        <v>-2</v>
      </c>
      <c r="AM63" s="123">
        <f>AL63-AL66</f>
        <v>2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20000001.939243667</v>
      </c>
      <c r="AQ63" s="126">
        <f>VLOOKUP(AE63,db_fifarank,2,FALSE)</f>
        <v>1564.26</v>
      </c>
      <c r="AR63" s="125">
        <f>AP63/AP66</f>
        <v>0.22222221628367936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4 - 6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6</v>
      </c>
      <c r="AL64" s="123">
        <f>AI64-AJ64</f>
        <v>-2</v>
      </c>
      <c r="AM64" s="123">
        <f>AL64-AL66</f>
        <v>2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40000001.939258263</v>
      </c>
      <c r="AQ64" s="126">
        <f>VLOOKUP(AE64,db_fifarank,2,FALSE)</f>
        <v>1593.45</v>
      </c>
      <c r="AR64" s="125">
        <f>AP64/AP66</f>
        <v>0.44444441102037174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3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4 - 6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6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10000000.200695725</v>
      </c>
      <c r="AQ65" s="126">
        <f>VLOOKUP(AE65,db_fifarank,2,FALSE)</f>
        <v>1391.45</v>
      </c>
      <c r="AR65" s="125">
        <f>AP65/AP66</f>
        <v>0.11111109959821731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10</v>
      </c>
      <c r="AL66" s="123">
        <f>MIN(AL62:AL65)</f>
        <v>-4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90000011.131706655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2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Senegal_lose</v>
      </c>
      <c r="T68" s="127" t="str">
        <f t="shared" si="20"/>
        <v>Iraq_win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-1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2</v>
      </c>
      <c r="AL68" s="123">
        <f>AI68-AJ68</f>
        <v>5</v>
      </c>
      <c r="AM68" s="123">
        <f>AL68-AL72</f>
        <v>11</v>
      </c>
      <c r="AN68" s="123">
        <f>AF68*3+AG68</f>
        <v>7</v>
      </c>
      <c r="AO68" s="123">
        <f>AN68/AN72*10+BA68</f>
        <v>9.7306451612903224</v>
      </c>
      <c r="AP68" s="123">
        <f>AO68*10000000+BI68*100+AM68/AM72*10+AI68/AI72*1++IF(AQ68=0,ROW(),AQ68)/2000000</f>
        <v>97306559.719967932</v>
      </c>
      <c r="AQ68" s="126">
        <f>VLOOKUP(AE68,db_fifarank,2,FALSE)</f>
        <v>1763.83</v>
      </c>
      <c r="AR68" s="125">
        <f>AP68/AP72</f>
        <v>0.9999999897232007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50.666666666666664</v>
      </c>
      <c r="BA68" s="126">
        <f>AZ68/AZ72</f>
        <v>0.98064516129032253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50.666666666666664</v>
      </c>
      <c r="BI68" s="126">
        <f>BH68/BH72</f>
        <v>0.98064516129032253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7</v>
      </c>
      <c r="AL69" s="123">
        <f>AI69-AJ69</f>
        <v>-6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0.12573917500000001</v>
      </c>
      <c r="AQ69" s="126">
        <f>VLOOKUP(AE69,db_fifarank,2,FALSE)</f>
        <v>1478.35</v>
      </c>
      <c r="AR69" s="125">
        <f>AP69/AP72</f>
        <v>1.2921962719641938E-9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7 - 3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5</v>
      </c>
      <c r="AL70" s="123">
        <f>AI70-AJ70</f>
        <v>-3</v>
      </c>
      <c r="AM70" s="123">
        <f>AL70-AL72</f>
        <v>3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37500002.750732668</v>
      </c>
      <c r="AQ70" s="126">
        <f>VLOOKUP(AE70,db_fifarank,2,FALSE)</f>
        <v>1465.34</v>
      </c>
      <c r="AR70" s="125">
        <f>AP70/AP72</f>
        <v>0.38538000391002852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2 - 5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3</v>
      </c>
      <c r="AL71" s="123">
        <f>AI71-AJ71</f>
        <v>4</v>
      </c>
      <c r="AM71" s="123">
        <f>AL71-AL72</f>
        <v>10</v>
      </c>
      <c r="AN71" s="123">
        <f>AF71*3+AG71</f>
        <v>7</v>
      </c>
      <c r="AO71" s="123">
        <f>AN71/AN72*10+BA71</f>
        <v>9.7306451612903224</v>
      </c>
      <c r="AP71" s="123">
        <f>AO71*10000000+BI71*100+AM71/AM72*10+AI71/AI72*1++IF(AQ71=0,ROW(),AQ71)/2000000</f>
        <v>97306558.886599228</v>
      </c>
      <c r="AQ71" s="126">
        <f>VLOOKUP(AE71,db_fifarank,2,FALSE)</f>
        <v>1693.09</v>
      </c>
      <c r="AR71" s="125">
        <f>AP71/AP72</f>
        <v>0.9999999811588377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50.666666666666664</v>
      </c>
      <c r="BA71" s="126">
        <f>AZ71/AZ72</f>
        <v>0.98064516129032253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50.666666666666664</v>
      </c>
      <c r="BI71" s="126">
        <f>BH71/BH72</f>
        <v>0.98064516129032253</v>
      </c>
      <c r="BK71" s="132"/>
      <c r="BL71" s="26" t="str">
        <f>IF(group_round_completed,VLOOKUP('3rd places'!J3,AK80:AS91,9,FALSE),"3rd Group D/E/I/J/L")</f>
        <v>Iraq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1 - 7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8</v>
      </c>
      <c r="AL72" s="123">
        <f>MIN(AL68:AL71)</f>
        <v>-6</v>
      </c>
      <c r="AM72" s="123">
        <f>MAX(AM68:AM71)+1</f>
        <v>12</v>
      </c>
      <c r="AN72" s="123">
        <f>MAX(AN68:AN71)+1</f>
        <v>8</v>
      </c>
      <c r="AO72" s="123">
        <f>MAX(AO68:AO71)+1</f>
        <v>10.730645161290322</v>
      </c>
      <c r="AP72" s="123">
        <f>MAX(AP68:AP71)+1</f>
        <v>97306560.719967932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3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3</v>
      </c>
      <c r="AL74" s="123">
        <f>AI74-AJ74</f>
        <v>2</v>
      </c>
      <c r="AM74" s="123">
        <f>AL74-AL78</f>
        <v>5</v>
      </c>
      <c r="AN74" s="123">
        <f>AF74*3+AG74</f>
        <v>7</v>
      </c>
      <c r="AO74" s="123">
        <f>AN74/AN78*10+BA74</f>
        <v>9.7401477832512313</v>
      </c>
      <c r="AP74" s="123">
        <f>AO74*10000000+BI74*100+AM74/AM78*10+AI74/AI78*1++IF(AQ74=0,ROW(),AQ74)/2000000</f>
        <v>97401583.812489346</v>
      </c>
      <c r="AQ74" s="126">
        <f>VLOOKUP(AE74,db_fifarank,2,FALSE)</f>
        <v>1825.97</v>
      </c>
      <c r="AR74" s="125">
        <f>AP74/AP78</f>
        <v>0.99999996260017132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100.5</v>
      </c>
      <c r="BA74" s="126">
        <f>AZ74/AZ78</f>
        <v>0.99014778325123154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100.5</v>
      </c>
      <c r="BI74" s="126">
        <f>BH74/BH78</f>
        <v>0.99014778325123154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2</v>
      </c>
      <c r="G75" s="20">
        <v>2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2</v>
      </c>
      <c r="AL75" s="123">
        <f>AI75-AJ75</f>
        <v>4</v>
      </c>
      <c r="AM75" s="123">
        <f>AL75-AL78</f>
        <v>7</v>
      </c>
      <c r="AN75" s="123">
        <f>AF75*3+AG75</f>
        <v>7</v>
      </c>
      <c r="AO75" s="123">
        <f>AN75/AN78*10+BA75</f>
        <v>9.7401477832512313</v>
      </c>
      <c r="AP75" s="123">
        <f>AO75*10000000+BI75*100+AM75/AM78*10+AI75/AI78*1++IF(AQ75=0,ROW(),AQ75)/2000000</f>
        <v>97401586.455292031</v>
      </c>
      <c r="AQ75" s="126">
        <f>VLOOKUP(AE75,db_fifarank,2,FALSE)</f>
        <v>1717.07</v>
      </c>
      <c r="AR75" s="125">
        <f>AP75/AP78</f>
        <v>0.9999999897332269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100.5</v>
      </c>
      <c r="BA75" s="126">
        <f>AZ75/AZ78</f>
        <v>0.99014778325123154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100.5</v>
      </c>
      <c r="BI75" s="126">
        <f>BH75/BH78</f>
        <v>0.99014778325123154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5 - 3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5</v>
      </c>
      <c r="AL76" s="123">
        <f>AI76-AJ76</f>
        <v>-3</v>
      </c>
      <c r="AM76" s="123">
        <f>AL76-AL78</f>
        <v>0</v>
      </c>
      <c r="AN76" s="123">
        <f>AF76*3+AG76</f>
        <v>1</v>
      </c>
      <c r="AO76" s="123">
        <f>AN76/AN78*10+BA76</f>
        <v>2.2352216748768474</v>
      </c>
      <c r="AP76" s="123">
        <f>AO76*10000000+BI76*100+AM76/AM78*10+AI76/AI78*1++IF(AQ76=0,ROW(),AQ76)/2000000</f>
        <v>22352315.557323407</v>
      </c>
      <c r="AQ76" s="126">
        <f>VLOOKUP(AE76,db_fifarank,2,FALSE)</f>
        <v>1346.31</v>
      </c>
      <c r="AR76" s="125">
        <f>AP76/AP78</f>
        <v>0.22948615254944657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100</v>
      </c>
      <c r="BA76" s="126">
        <f>AZ76/AZ78</f>
        <v>0.98522167487684731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100</v>
      </c>
      <c r="BI76" s="126">
        <f>BH76/BH78</f>
        <v>0.98522167487684731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4</v>
      </c>
      <c r="AL77" s="123">
        <f>AI77-AJ77</f>
        <v>-3</v>
      </c>
      <c r="AM77" s="123">
        <f>AL77-AL78</f>
        <v>0</v>
      </c>
      <c r="AN77" s="123">
        <f>AF77*3+AG77</f>
        <v>1</v>
      </c>
      <c r="AO77" s="123">
        <f>AN77/AN78*10+BA77</f>
        <v>2.2352216748768474</v>
      </c>
      <c r="AP77" s="123">
        <f>AO77*10000000+BI77*100+AM77/AM78*10+AI77/AI78*1++IF(AQ77=0,ROW(),AQ77)/2000000</f>
        <v>22352315.414563425</v>
      </c>
      <c r="AQ77" s="126">
        <f>VLOOKUP(AE77,db_fifarank,2,FALSE)</f>
        <v>1540.64</v>
      </c>
      <c r="AR77" s="125">
        <f>AP77/AP78</f>
        <v>0.22948615108376222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100</v>
      </c>
      <c r="BA77" s="126">
        <f>AZ77/AZ78</f>
        <v>0.98522167487684731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100</v>
      </c>
      <c r="BI77" s="126">
        <f>BH77/BH78</f>
        <v>0.98522167487684731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2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1 - 4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7</v>
      </c>
      <c r="AL78" s="123">
        <f>MIN(AL74:AL77)</f>
        <v>-3</v>
      </c>
      <c r="AM78" s="123">
        <f>MAX(AM74:AM77)+1</f>
        <v>8</v>
      </c>
      <c r="AN78" s="123">
        <f>MAX(AN74:AN77)+1</f>
        <v>8</v>
      </c>
      <c r="AO78" s="123">
        <f>MAX(AO74:AO77)+1</f>
        <v>10.740147783251231</v>
      </c>
      <c r="AP78" s="123">
        <f>MAX(AP74:AP77)+1</f>
        <v>97401587.455292031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101.5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101.5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1</v>
      </c>
      <c r="AJ80" s="123">
        <f>VLOOKUP($AE80,$AE$8:$AQ$78,6,FALSE)</f>
        <v>3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2</v>
      </c>
      <c r="AP80" s="123">
        <f>AN80/AN92*10000+AM80/AM92*1000+AI80/AI92*100+IF(AQ80=0,ROW(),AQ80)/2000000</f>
        <v>4516.6674173566671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United States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3 - 4</v>
      </c>
      <c r="P81" s="98">
        <f>L81*3+M81</f>
        <v>4</v>
      </c>
      <c r="AD81" s="123">
        <f t="shared" ref="AD81:AD91" si="38">COUNTIF($AP$80:$AP$91,CONCATENATE("&gt;=",AP81))</f>
        <v>9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2516.6673595866664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5 - 5</v>
      </c>
      <c r="P82" s="101">
        <f t="shared" ref="P82:P92" si="48">L82*3+M82</f>
        <v>3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6916.6674158416663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Ⓕ Netherlands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3 - 4</v>
      </c>
      <c r="P83" s="101">
        <f t="shared" si="48"/>
        <v>3</v>
      </c>
      <c r="AD83" s="123">
        <f t="shared" si="38"/>
        <v>1</v>
      </c>
      <c r="AE83" s="124" t="str">
        <f>J29</f>
        <v>United States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8716.6675032316653</v>
      </c>
      <c r="AQ83" s="126">
        <f t="shared" si="37"/>
        <v>1673.13</v>
      </c>
      <c r="AR83" s="125" t="str">
        <f t="shared" si="50"/>
        <v>ACD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Iraq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4 - 7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5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5</v>
      </c>
      <c r="AK84" s="123" t="s">
        <v>3185</v>
      </c>
      <c r="AL84" s="123">
        <f t="shared" si="43"/>
        <v>-3</v>
      </c>
      <c r="AM84" s="123">
        <f t="shared" si="44"/>
        <v>2</v>
      </c>
      <c r="AN84" s="123">
        <f t="shared" si="45"/>
        <v>3</v>
      </c>
      <c r="AP84" s="123">
        <f>AN84/AN92*10000+AM84/AM92*1000+AI84/AI92*100+IF(AQ84=0,ROW(),AQ84)/2000000</f>
        <v>6366.6674331566664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Ⓔ Ivory Coast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3</v>
      </c>
      <c r="AE85" s="124" t="str">
        <f>J41</f>
        <v>Netherlands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3</v>
      </c>
      <c r="AP85" s="123">
        <f>AN85/AN92*10000+AM85/AM92*1000+AI85/AI92*100+IF(AQ85=0,ROW(),AQ85)/2000000</f>
        <v>6716.6675456016674</v>
      </c>
      <c r="AQ85" s="126">
        <f t="shared" si="37"/>
        <v>1757.87</v>
      </c>
      <c r="AR85" s="125" t="str">
        <f t="shared" si="50"/>
        <v>ACDEF</v>
      </c>
      <c r="AS85" s="129" t="str">
        <f t="shared" si="46"/>
        <v>Netherlands</v>
      </c>
      <c r="AT85" s="130" t="str">
        <f>"Ⓕ "&amp;AE85</f>
        <v>Ⓕ Netherlands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Ⓚ Uzbekistan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11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2</v>
      </c>
      <c r="AJ86" s="123">
        <f t="shared" si="42"/>
        <v>5</v>
      </c>
      <c r="AK86" s="123" t="s">
        <v>3187</v>
      </c>
      <c r="AL86" s="123">
        <f t="shared" si="43"/>
        <v>-3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2366.6673074516671</v>
      </c>
      <c r="AQ86" s="126">
        <f t="shared" si="37"/>
        <v>1281.57</v>
      </c>
      <c r="AR86" s="125" t="str">
        <f t="shared" si="50"/>
        <v>ACDEF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Ⓙ Algeria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4 - 6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7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2033.3340440483332</v>
      </c>
      <c r="AQ87" s="126">
        <f t="shared" si="37"/>
        <v>1421.43</v>
      </c>
      <c r="AR87" s="125" t="str">
        <f t="shared" si="50"/>
        <v>ACDEF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Czech Republic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1 - 3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4</v>
      </c>
      <c r="AE88" s="124" t="str">
        <f>J59</f>
        <v>Iraq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7</v>
      </c>
      <c r="AK88" s="123" t="s">
        <v>3189</v>
      </c>
      <c r="AL88" s="123">
        <f t="shared" si="43"/>
        <v>-3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6400.0007235700004</v>
      </c>
      <c r="AQ88" s="126">
        <f t="shared" si="37"/>
        <v>1447.14</v>
      </c>
      <c r="AR88" s="125" t="str">
        <f t="shared" si="50"/>
        <v>ACDEFI</v>
      </c>
      <c r="AS88" s="129" t="str">
        <f t="shared" si="46"/>
        <v>Iraq</v>
      </c>
      <c r="AT88" s="130" t="str">
        <f>"Ⓘ "&amp;AE88</f>
        <v>Ⓘ Iraq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Ⓑ Bosnia and Herzegovina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1 - 3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Japan</v>
      </c>
      <c r="T89" s="127" t="str" cm="1">
        <f t="array" ref="T89">IF(OR(S89="",S89="draw"),INDEX(T,91,lang),S89)</f>
        <v>Japan</v>
      </c>
      <c r="AD89" s="123">
        <f t="shared" si="38"/>
        <v>7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4</v>
      </c>
      <c r="AJ89" s="123">
        <f t="shared" si="42"/>
        <v>6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4566.6674487966666</v>
      </c>
      <c r="AQ89" s="126">
        <f t="shared" si="37"/>
        <v>1564.26</v>
      </c>
      <c r="AR89" s="125" t="str">
        <f t="shared" si="50"/>
        <v>ACDEFIJ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Ghana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6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6366.6673993366658</v>
      </c>
      <c r="AQ90" s="126">
        <f t="shared" si="37"/>
        <v>1465.34</v>
      </c>
      <c r="AR90" s="125" t="str">
        <f t="shared" si="50"/>
        <v>ACDEFIJK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New Zealand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2</v>
      </c>
      <c r="AN91" s="123">
        <f>VLOOKUP($AE91,$AE$8:$AQ$78,10,FALSE)</f>
        <v>1</v>
      </c>
      <c r="AP91" s="123">
        <f>AN91/AN92*10000+AM91/AM92*1000+AI91/AI92*100+IF(AQ91=0,ROW(),AQ91)/2000000</f>
        <v>2366.6673398216672</v>
      </c>
      <c r="AQ91" s="126">
        <f t="shared" si="37"/>
        <v>1346.31</v>
      </c>
      <c r="AR91" s="125" t="str">
        <f t="shared" si="50"/>
        <v>ACDEFIJK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Japan</v>
      </c>
      <c r="T96" s="127" t="str" cm="1">
        <f t="array" ref="T96">IF(OR(S96="",S96="draw"),INDEX(T,95,lang),S96)</f>
        <v>Japan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Japan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Japan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269</v>
      </c>
      <c r="C3" s="121" t="str">
        <f>'2026 World Cup'!AR91</f>
        <v>ACDEFIJK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Crespo Granjo, Sergio</cp:lastModifiedBy>
  <cp:revision/>
  <dcterms:created xsi:type="dcterms:W3CDTF">2017-12-27T19:32:51Z</dcterms:created>
  <dcterms:modified xsi:type="dcterms:W3CDTF">2026-05-31T16:18:14Z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