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lan\Desktop\"/>
    </mc:Choice>
  </mc:AlternateContent>
  <xr:revisionPtr revIDLastSave="0" documentId="13_ncr:1_{B210D7B2-18B6-47C4-9CDF-DE98C2766868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S40" i="3"/>
  <c r="S62" i="3"/>
  <c r="S38" i="3"/>
  <c r="S65" i="3"/>
  <c r="S55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9" i="3"/>
  <c r="AR10" i="3"/>
  <c r="AR11" i="3"/>
  <c r="AD58" i="3"/>
  <c r="AR28" i="3"/>
  <c r="AR33" i="3"/>
  <c r="AR35" i="3"/>
  <c r="AR34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33" i="3"/>
  <c r="AD75" i="3"/>
  <c r="AD8" i="3"/>
  <c r="AD9" i="3"/>
  <c r="AD34" i="3"/>
  <c r="AD32" i="3"/>
  <c r="AD53" i="3"/>
  <c r="AD77" i="3"/>
  <c r="AD11" i="3"/>
  <c r="AD10" i="3"/>
  <c r="AD35" i="3"/>
  <c r="AD28" i="3"/>
  <c r="AD41" i="3"/>
  <c r="AD62" i="3"/>
  <c r="L63" i="3" s="1"/>
  <c r="AD44" i="3"/>
  <c r="AD22" i="3"/>
  <c r="AD70" i="3"/>
  <c r="AD68" i="3"/>
  <c r="M69" i="3" s="1"/>
  <c r="O60" i="3"/>
  <c r="AD27" i="3"/>
  <c r="AD15" i="3"/>
  <c r="L58" i="3"/>
  <c r="M59" i="3"/>
  <c r="AD76" i="3"/>
  <c r="L59" i="3"/>
  <c r="N58" i="3"/>
  <c r="AD63" i="3"/>
  <c r="AD71" i="3"/>
  <c r="AD29" i="3"/>
  <c r="AD47" i="3"/>
  <c r="AD20" i="3"/>
  <c r="AD21" i="3"/>
  <c r="AD26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76" i="3" l="1"/>
  <c r="L9" i="3"/>
  <c r="J11" i="3"/>
  <c r="AE80" i="3" s="1"/>
  <c r="AQ80" i="3" s="1"/>
  <c r="P58" i="3"/>
  <c r="L34" i="3"/>
  <c r="L45" i="3"/>
  <c r="O51" i="3"/>
  <c r="M12" i="3"/>
  <c r="J9" i="3"/>
  <c r="AS8" i="3" s="1"/>
  <c r="BL50" i="3" s="1"/>
  <c r="O9" i="3"/>
  <c r="L12" i="3"/>
  <c r="M9" i="3"/>
  <c r="P9" i="3" s="1"/>
  <c r="N9" i="3"/>
  <c r="O12" i="3"/>
  <c r="L33" i="3"/>
  <c r="J36" i="3"/>
  <c r="J35" i="3"/>
  <c r="AE84" i="3" s="1"/>
  <c r="AQ84" i="3" s="1"/>
  <c r="N36" i="3"/>
  <c r="L35" i="3"/>
  <c r="M35" i="3"/>
  <c r="O36" i="3"/>
  <c r="L36" i="3"/>
  <c r="M33" i="3"/>
  <c r="O33" i="3"/>
  <c r="N33" i="3"/>
  <c r="N12" i="3"/>
  <c r="J33" i="3"/>
  <c r="AS32" i="3" s="1"/>
  <c r="BL10" i="3" s="1"/>
  <c r="J12" i="3"/>
  <c r="N35" i="3"/>
  <c r="J10" i="3"/>
  <c r="AS9" i="3" s="1"/>
  <c r="BL18" i="3" s="1"/>
  <c r="M36" i="3"/>
  <c r="O35" i="3"/>
  <c r="N34" i="3"/>
  <c r="N10" i="3"/>
  <c r="M10" i="3"/>
  <c r="L11" i="3"/>
  <c r="J45" i="3"/>
  <c r="AS44" i="3" s="1"/>
  <c r="BL38" i="3" s="1"/>
  <c r="M11" i="3"/>
  <c r="O11" i="3"/>
  <c r="N11" i="3"/>
  <c r="M63" i="3"/>
  <c r="P63" i="3" s="1"/>
  <c r="O10" i="3"/>
  <c r="N21" i="3"/>
  <c r="O34" i="3"/>
  <c r="N45" i="3"/>
  <c r="L10" i="3"/>
  <c r="M45" i="3"/>
  <c r="O16" i="3"/>
  <c r="N46" i="3"/>
  <c r="J29" i="3"/>
  <c r="AE83" i="3" s="1"/>
  <c r="AQ83" i="3" s="1"/>
  <c r="J34" i="3"/>
  <c r="AS33" i="3" s="1"/>
  <c r="BL46" i="3" s="1"/>
  <c r="M34" i="3"/>
  <c r="J63" i="3"/>
  <c r="AS62" i="3" s="1"/>
  <c r="BL58" i="3" s="1"/>
  <c r="BS60" i="3" s="1"/>
  <c r="BZ64" i="3" s="1"/>
  <c r="J69" i="3"/>
  <c r="AS68" i="3" s="1"/>
  <c r="BL70" i="3" s="1"/>
  <c r="O63" i="3"/>
  <c r="N63" i="3"/>
  <c r="O69" i="3"/>
  <c r="L69" i="3"/>
  <c r="P69" i="3" s="1"/>
  <c r="N69" i="3"/>
  <c r="O45" i="3"/>
  <c r="N65" i="3"/>
  <c r="M22" i="3"/>
  <c r="J46" i="3"/>
  <c r="AS45" i="3" s="1"/>
  <c r="BL63" i="3" s="1"/>
  <c r="N30" i="3"/>
  <c r="O23" i="3"/>
  <c r="N28" i="3"/>
  <c r="J47" i="3"/>
  <c r="AE86" i="3" s="1"/>
  <c r="AQ86" i="3" s="1"/>
  <c r="N22" i="3"/>
  <c r="M21" i="3"/>
  <c r="O22" i="3"/>
  <c r="J77" i="3"/>
  <c r="AE91" i="3" s="1"/>
  <c r="AQ91" i="3" s="1"/>
  <c r="J24" i="3"/>
  <c r="O77" i="3"/>
  <c r="L77" i="3"/>
  <c r="O24" i="3"/>
  <c r="M76" i="3"/>
  <c r="O47" i="3"/>
  <c r="O21" i="3"/>
  <c r="M46" i="3"/>
  <c r="L21" i="3"/>
  <c r="J21" i="3"/>
  <c r="AS20" i="3" s="1"/>
  <c r="BL42" i="3" s="1"/>
  <c r="BS44" i="3" s="1"/>
  <c r="BZ48" i="3" s="1"/>
  <c r="K59" i="3"/>
  <c r="L30" i="3"/>
  <c r="N16" i="3"/>
  <c r="L23" i="3"/>
  <c r="O40" i="3"/>
  <c r="P59" i="3"/>
  <c r="M18" i="3"/>
  <c r="N72" i="3"/>
  <c r="M65" i="3"/>
  <c r="L72" i="3"/>
  <c r="M72" i="3"/>
  <c r="O28" i="3"/>
  <c r="L65" i="3"/>
  <c r="M47" i="3"/>
  <c r="L28" i="3"/>
  <c r="M27" i="3"/>
  <c r="J22" i="3"/>
  <c r="AS21" i="3" s="1"/>
  <c r="BL23" i="3" s="1"/>
  <c r="N77" i="3"/>
  <c r="M29" i="3"/>
  <c r="AT88" i="3"/>
  <c r="L42" i="3"/>
  <c r="J48" i="3"/>
  <c r="M77" i="3"/>
  <c r="N48" i="3"/>
  <c r="J30" i="3"/>
  <c r="L18" i="3"/>
  <c r="AJ88" i="3"/>
  <c r="O64" i="3"/>
  <c r="L70" i="3"/>
  <c r="L64" i="3"/>
  <c r="J78" i="3"/>
  <c r="J64" i="3"/>
  <c r="AS63" i="3" s="1"/>
  <c r="BL31" i="3" s="1"/>
  <c r="O48" i="3"/>
  <c r="L17" i="3"/>
  <c r="K58" i="3"/>
  <c r="J75" i="3"/>
  <c r="AS74" i="3" s="1"/>
  <c r="BL54" i="3" s="1"/>
  <c r="L22" i="3"/>
  <c r="L24" i="3"/>
  <c r="N64" i="3"/>
  <c r="L40" i="3"/>
  <c r="L39" i="3"/>
  <c r="N76" i="3"/>
  <c r="J16" i="3"/>
  <c r="AS15" i="3" s="1"/>
  <c r="BL19" i="3" s="1"/>
  <c r="L27" i="3"/>
  <c r="J65" i="3"/>
  <c r="AE89" i="3" s="1"/>
  <c r="AQ89" i="3" s="1"/>
  <c r="O65" i="3"/>
  <c r="M16" i="3"/>
  <c r="L66" i="3"/>
  <c r="O54" i="3"/>
  <c r="M64" i="3"/>
  <c r="M40" i="3"/>
  <c r="M75" i="3"/>
  <c r="O29" i="3"/>
  <c r="O17" i="3"/>
  <c r="L54" i="3"/>
  <c r="L47" i="3"/>
  <c r="L29" i="3"/>
  <c r="O72" i="3"/>
  <c r="N52" i="3"/>
  <c r="N47" i="3"/>
  <c r="N29" i="3"/>
  <c r="AN88" i="3"/>
  <c r="N54" i="3"/>
  <c r="P57" i="3"/>
  <c r="J76" i="3"/>
  <c r="AS75" i="3" s="1"/>
  <c r="BL27" i="3" s="1"/>
  <c r="N71" i="3"/>
  <c r="M41" i="3"/>
  <c r="N18" i="3"/>
  <c r="L15" i="3"/>
  <c r="O71" i="3"/>
  <c r="J52" i="3"/>
  <c r="AS51" i="3" s="1"/>
  <c r="BL59" i="3" s="1"/>
  <c r="N53" i="3"/>
  <c r="J51" i="3"/>
  <c r="AS50" i="3" s="1"/>
  <c r="BL30" i="3" s="1"/>
  <c r="J39" i="3"/>
  <c r="AS38" i="3" s="1"/>
  <c r="BL22" i="3" s="1"/>
  <c r="O76" i="3"/>
  <c r="M71" i="3"/>
  <c r="J40" i="3"/>
  <c r="AS39" i="3" s="1"/>
  <c r="BL43" i="3" s="1"/>
  <c r="O78" i="3"/>
  <c r="L71" i="3"/>
  <c r="J66" i="3"/>
  <c r="L51" i="3"/>
  <c r="N40" i="3"/>
  <c r="O18" i="3"/>
  <c r="M51" i="3"/>
  <c r="O39" i="3"/>
  <c r="J42" i="3"/>
  <c r="O27" i="3"/>
  <c r="N27" i="3"/>
  <c r="M17" i="3"/>
  <c r="N39" i="3"/>
  <c r="N75" i="3"/>
  <c r="O75" i="3"/>
  <c r="N51" i="3"/>
  <c r="M42" i="3"/>
  <c r="L75" i="3"/>
  <c r="J41" i="3"/>
  <c r="AE85" i="3" s="1"/>
  <c r="AQ85" i="3" s="1"/>
  <c r="L78" i="3"/>
  <c r="O70" i="3"/>
  <c r="O66" i="3"/>
  <c r="O46" i="3"/>
  <c r="O30" i="3"/>
  <c r="AI88" i="3"/>
  <c r="M78" i="3"/>
  <c r="M54" i="3"/>
  <c r="N78" i="3"/>
  <c r="J71" i="3"/>
  <c r="AE90" i="3" s="1"/>
  <c r="AQ90" i="3" s="1"/>
  <c r="M70" i="3"/>
  <c r="M66" i="3"/>
  <c r="L48" i="3"/>
  <c r="L46" i="3"/>
  <c r="O42" i="3"/>
  <c r="M28" i="3"/>
  <c r="J28" i="3"/>
  <c r="AS27" i="3" s="1"/>
  <c r="BL62" i="3" s="1"/>
  <c r="M24" i="3"/>
  <c r="J18" i="3"/>
  <c r="AG88" i="3"/>
  <c r="K57" i="3"/>
  <c r="J70" i="3"/>
  <c r="AS69" i="3" s="1"/>
  <c r="BL26" i="3" s="1"/>
  <c r="N70" i="3"/>
  <c r="N66" i="3"/>
  <c r="M39" i="3"/>
  <c r="J27" i="3"/>
  <c r="AS26" i="3" s="1"/>
  <c r="BL34" i="3" s="1"/>
  <c r="N24" i="3"/>
  <c r="L16" i="3"/>
  <c r="J72" i="3"/>
  <c r="M48" i="3"/>
  <c r="M30" i="3"/>
  <c r="AF88" i="3"/>
  <c r="N1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I80" i="3" l="1"/>
  <c r="AL80" i="3"/>
  <c r="BS61" i="3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AJ80" i="3"/>
  <c r="P76" i="3"/>
  <c r="AN80" i="3"/>
  <c r="AH80" i="3"/>
  <c r="AG80" i="3"/>
  <c r="AF80" i="3"/>
  <c r="AT80" i="3"/>
  <c r="K9" i="3"/>
  <c r="P34" i="3"/>
  <c r="P12" i="3"/>
  <c r="P45" i="3"/>
  <c r="AF84" i="3"/>
  <c r="K12" i="3"/>
  <c r="AH84" i="3"/>
  <c r="AI84" i="3"/>
  <c r="AG84" i="3"/>
  <c r="AT84" i="3"/>
  <c r="AL84" i="3"/>
  <c r="AJ84" i="3"/>
  <c r="AN84" i="3"/>
  <c r="P33" i="3"/>
  <c r="P35" i="3"/>
  <c r="K10" i="3"/>
  <c r="K33" i="3"/>
  <c r="P36" i="3"/>
  <c r="P10" i="3"/>
  <c r="K35" i="3"/>
  <c r="P11" i="3"/>
  <c r="K36" i="3"/>
  <c r="K63" i="3"/>
  <c r="K11" i="3"/>
  <c r="K45" i="3"/>
  <c r="AN83" i="3"/>
  <c r="AJ83" i="3"/>
  <c r="AI83" i="3"/>
  <c r="AT83" i="3"/>
  <c r="K34" i="3"/>
  <c r="AL83" i="3"/>
  <c r="AG83" i="3"/>
  <c r="AH83" i="3"/>
  <c r="AF83" i="3"/>
  <c r="K69" i="3"/>
  <c r="K72" i="3"/>
  <c r="P22" i="3"/>
  <c r="AT86" i="3"/>
  <c r="AN86" i="3"/>
  <c r="AL86" i="3"/>
  <c r="AH86" i="3"/>
  <c r="K76" i="3"/>
  <c r="AF86" i="3"/>
  <c r="P21" i="3"/>
  <c r="AN91" i="3"/>
  <c r="AJ91" i="3"/>
  <c r="AJ86" i="3"/>
  <c r="AT91" i="3"/>
  <c r="K65" i="3"/>
  <c r="AG86" i="3"/>
  <c r="AL91" i="3"/>
  <c r="P72" i="3"/>
  <c r="AF87" i="3"/>
  <c r="P23" i="3"/>
  <c r="P77" i="3"/>
  <c r="K23" i="3"/>
  <c r="AH91" i="3"/>
  <c r="P66" i="3"/>
  <c r="K21" i="3"/>
  <c r="AF91" i="3"/>
  <c r="K18" i="3"/>
  <c r="P47" i="3"/>
  <c r="P27" i="3"/>
  <c r="AI91" i="3"/>
  <c r="AG91" i="3"/>
  <c r="AI86" i="3"/>
  <c r="K30" i="3"/>
  <c r="P71" i="3"/>
  <c r="K53" i="3"/>
  <c r="AT89" i="3"/>
  <c r="K77" i="3"/>
  <c r="P54" i="3"/>
  <c r="AJ89" i="3"/>
  <c r="K16" i="3"/>
  <c r="AI89" i="3"/>
  <c r="K28" i="3"/>
  <c r="AF90" i="3"/>
  <c r="AL89" i="3"/>
  <c r="AH89" i="3"/>
  <c r="K46" i="3"/>
  <c r="P18" i="3"/>
  <c r="AN89" i="3"/>
  <c r="AG87" i="3"/>
  <c r="P65" i="3"/>
  <c r="AJ81" i="3"/>
  <c r="K71" i="3"/>
  <c r="P24" i="3"/>
  <c r="K54" i="3"/>
  <c r="K64" i="3"/>
  <c r="P16" i="3"/>
  <c r="K48" i="3"/>
  <c r="P28" i="3"/>
  <c r="P51" i="3"/>
  <c r="AG81" i="3"/>
  <c r="K40" i="3"/>
  <c r="K41" i="3"/>
  <c r="P30" i="3"/>
  <c r="P75" i="3"/>
  <c r="AI81" i="3"/>
  <c r="P39" i="3"/>
  <c r="K42" i="3"/>
  <c r="P17" i="3"/>
  <c r="AH81" i="3"/>
  <c r="P78" i="3"/>
  <c r="P52" i="3"/>
  <c r="P15" i="3"/>
  <c r="K29" i="3"/>
  <c r="AN82" i="3"/>
  <c r="K66" i="3"/>
  <c r="K51" i="3"/>
  <c r="K24" i="3"/>
  <c r="P29" i="3"/>
  <c r="AJ85" i="3"/>
  <c r="AG89" i="3"/>
  <c r="K22" i="3"/>
  <c r="AH85" i="3"/>
  <c r="K47" i="3"/>
  <c r="P64" i="3"/>
  <c r="K17" i="3"/>
  <c r="K27" i="3"/>
  <c r="P40" i="3"/>
  <c r="P46" i="3"/>
  <c r="K70" i="3"/>
  <c r="K75" i="3"/>
  <c r="AI85" i="3"/>
  <c r="AF89" i="3"/>
  <c r="AF81" i="3"/>
  <c r="P70" i="3"/>
  <c r="AG82" i="3"/>
  <c r="K78" i="3"/>
  <c r="P41" i="3"/>
  <c r="K15" i="3"/>
  <c r="K39" i="3"/>
  <c r="AL90" i="3"/>
  <c r="AN87" i="3"/>
  <c r="AJ90" i="3"/>
  <c r="AF82" i="3"/>
  <c r="AT81" i="3"/>
  <c r="AT85" i="3"/>
  <c r="P42" i="3"/>
  <c r="AL87" i="3"/>
  <c r="AI90" i="3"/>
  <c r="P48" i="3"/>
  <c r="AF85" i="3"/>
  <c r="AT90" i="3"/>
  <c r="AT87" i="3"/>
  <c r="AN81" i="3"/>
  <c r="AN85" i="3"/>
  <c r="AJ87" i="3"/>
  <c r="AH90" i="3"/>
  <c r="AJ82" i="3"/>
  <c r="AI82" i="3"/>
  <c r="AH82" i="3"/>
  <c r="AG85" i="3"/>
  <c r="AN90" i="3"/>
  <c r="P53" i="3"/>
  <c r="AL81" i="3"/>
  <c r="AT82" i="3"/>
  <c r="AL85" i="3"/>
  <c r="AH87" i="3"/>
  <c r="AG90" i="3"/>
  <c r="AL82" i="3"/>
  <c r="AI87" i="3"/>
  <c r="K52" i="3"/>
  <c r="S96" i="3" l="1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J92" i="3"/>
  <c r="AH92" i="3"/>
  <c r="AL92" i="3"/>
  <c r="AM88" i="3" s="1"/>
  <c r="AF92" i="3"/>
  <c r="AG92" i="3"/>
  <c r="AS92" i="3"/>
  <c r="AN92" i="3"/>
  <c r="AI92" i="3"/>
  <c r="S103" i="3" l="1"/>
  <c r="T103" i="3" s="1" a="1"/>
  <c r="T103" i="3" s="1"/>
  <c r="CG24" i="3"/>
  <c r="AM82" i="3"/>
  <c r="AM81" i="3"/>
  <c r="AM80" i="3"/>
  <c r="AM89" i="3"/>
  <c r="AM90" i="3"/>
  <c r="AM91" i="3"/>
  <c r="AM83" i="3"/>
  <c r="AM84" i="3"/>
  <c r="AM85" i="3"/>
  <c r="AM86" i="3"/>
  <c r="AM87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84" i="3"/>
  <c r="AP85" i="3"/>
  <c r="AP91" i="3"/>
  <c r="AP83" i="3"/>
  <c r="AP82" i="3"/>
  <c r="AP88" i="3"/>
  <c r="AP90" i="3"/>
  <c r="AP89" i="3"/>
  <c r="AP86" i="3"/>
  <c r="AP81" i="3"/>
  <c r="CN37" i="3" l="1"/>
  <c r="CK68" i="3" s="1"/>
  <c r="CN48" i="3"/>
  <c r="AD85" i="3"/>
  <c r="AS85" i="3" s="1"/>
  <c r="AD86" i="3"/>
  <c r="AS86" i="3" s="1"/>
  <c r="AD89" i="3"/>
  <c r="AS89" i="3" s="1"/>
  <c r="AD91" i="3"/>
  <c r="AS91" i="3" s="1"/>
  <c r="AD88" i="3"/>
  <c r="AS88" i="3" s="1"/>
  <c r="AD90" i="3"/>
  <c r="AS90" i="3" s="1"/>
  <c r="AD80" i="3"/>
  <c r="AD87" i="3"/>
  <c r="AS87" i="3" s="1"/>
  <c r="AD83" i="3"/>
  <c r="AS83" i="3" s="1"/>
  <c r="AD81" i="3"/>
  <c r="AS81" i="3" s="1"/>
  <c r="AD84" i="3"/>
  <c r="AS84" i="3" s="1"/>
  <c r="AD82" i="3"/>
  <c r="AS82" i="3" s="1"/>
  <c r="N92" i="3" l="1"/>
  <c r="L92" i="3"/>
  <c r="AS80" i="3"/>
  <c r="J92" i="3"/>
  <c r="L88" i="3"/>
  <c r="M89" i="3"/>
  <c r="M92" i="3"/>
  <c r="O89" i="3"/>
  <c r="O92" i="3"/>
  <c r="J87" i="3"/>
  <c r="L89" i="3"/>
  <c r="N89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2" i="3"/>
  <c r="J90" i="3"/>
  <c r="J82" i="3"/>
  <c r="N86" i="3"/>
  <c r="M86" i="3"/>
  <c r="O86" i="3"/>
  <c r="O88" i="3"/>
  <c r="O90" i="3"/>
  <c r="M91" i="3"/>
  <c r="O91" i="3"/>
  <c r="J84" i="3"/>
  <c r="J89" i="3"/>
  <c r="J85" i="3"/>
  <c r="N88" i="3"/>
  <c r="J81" i="3"/>
  <c r="L84" i="3"/>
  <c r="M88" i="3"/>
  <c r="O85" i="3"/>
  <c r="N85" i="3"/>
  <c r="N91" i="3"/>
  <c r="L85" i="3"/>
  <c r="L81" i="3"/>
  <c r="N87" i="3"/>
  <c r="L83" i="3"/>
  <c r="O84" i="3"/>
  <c r="N90" i="3"/>
  <c r="M84" i="3"/>
  <c r="M87" i="3"/>
  <c r="O82" i="3"/>
  <c r="N84" i="3"/>
  <c r="J91" i="3"/>
  <c r="N83" i="3"/>
  <c r="O83" i="3"/>
  <c r="M90" i="3"/>
  <c r="L82" i="3"/>
  <c r="N82" i="3"/>
  <c r="M85" i="3"/>
  <c r="M83" i="3"/>
  <c r="M81" i="3"/>
  <c r="J88" i="3"/>
  <c r="N81" i="3"/>
  <c r="J83" i="3"/>
  <c r="L86" i="3"/>
  <c r="J86" i="3"/>
  <c r="L87" i="3"/>
  <c r="O81" i="3"/>
  <c r="L90" i="3"/>
  <c r="L91" i="3"/>
  <c r="O87" i="3"/>
  <c r="P91" i="3" l="1"/>
  <c r="P92" i="3"/>
  <c r="K92" i="3"/>
  <c r="P84" i="3"/>
  <c r="P87" i="3"/>
  <c r="P89" i="3"/>
  <c r="P88" i="3"/>
  <c r="K89" i="3"/>
  <c r="P86" i="3"/>
  <c r="P82" i="3"/>
  <c r="P81" i="3"/>
  <c r="P83" i="3"/>
  <c r="K88" i="3"/>
  <c r="P85" i="3"/>
  <c r="K85" i="3"/>
  <c r="K86" i="3"/>
  <c r="K87" i="3"/>
  <c r="K82" i="3"/>
  <c r="K90" i="3"/>
  <c r="K83" i="3"/>
  <c r="K81" i="3"/>
  <c r="K91" i="3"/>
  <c r="K84" i="3"/>
  <c r="H3" i="4"/>
  <c r="BL39" i="3" s="1"/>
  <c r="E3" i="4"/>
  <c r="BL67" i="3" s="1"/>
  <c r="I3" i="4"/>
  <c r="BL15" i="3" s="1"/>
  <c r="G3" i="4"/>
  <c r="BL11" i="3" s="1"/>
  <c r="J3" i="4"/>
  <c r="BL71" i="3" s="1"/>
  <c r="K3" i="4"/>
  <c r="BL55" i="3" s="1"/>
  <c r="D3" i="4"/>
  <c r="BL51" i="3" s="1"/>
  <c r="P90" i="3"/>
  <c r="B3" i="4"/>
  <c r="BS53" i="3"/>
  <c r="BS52" i="3"/>
  <c r="BS69" i="3"/>
  <c r="BS68" i="3"/>
  <c r="BZ65" i="3" s="1"/>
  <c r="CG56" i="3" s="1"/>
  <c r="CN38" i="3" s="1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<sst xmlns="http://schemas.openxmlformats.org/spreadsheetml/2006/main" count="9785" uniqueCount="3699">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</sst>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18" sqref="B18:C66"/>
    </sheetView>
  </sheetViews>
  <sheetFormatPr baseColWidth="10"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M25" zoomScaleNormal="100" workbookViewId="0">
      <selection activeCell="CO39" sqref="CO39"/>
    </sheetView>
  </sheetViews>
  <sheetFormatPr baseColWidth="10"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90000009.948892459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7.9429434781507334E-12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3 - 1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1</v>
      </c>
      <c r="AL10" s="123">
        <f>AI10-AJ10</f>
        <v>2</v>
      </c>
      <c r="AM10" s="123">
        <f>AL10-AL12</f>
        <v>7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60000006.793002121</v>
      </c>
      <c r="AQ10" s="126">
        <f>VLOOKUP(AE10,db_fifarank,2,FALSE)</f>
        <v>1588.66</v>
      </c>
      <c r="AR10" s="125">
        <f>AP10/AP12</f>
        <v>0.66666666104156158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3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30000003.013737705</v>
      </c>
      <c r="AQ11" s="126">
        <f>VLOOKUP(AE11,db_fifarank,2,FALSE)</f>
        <v>1501.38</v>
      </c>
      <c r="AR11" s="125">
        <f>AP11/AP12</f>
        <v>0.33333332626785511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90000010.948892459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60000005.667444907</v>
      </c>
      <c r="AQ14" s="126">
        <f>VLOOKUP(AE14,db_fifarank,2,FALSE)</f>
        <v>1556.48</v>
      </c>
      <c r="AR14" s="125">
        <f>AP14/AP18</f>
        <v>0.66666664938525633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6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0.3340262533333333</v>
      </c>
      <c r="AQ15" s="126">
        <f>VLOOKUP(AE15,db_fifarank,2,FALSE)</f>
        <v>1385.84</v>
      </c>
      <c r="AR15" s="125">
        <f>AP15/AP18</f>
        <v>3.7114023680379278E-9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5</v>
      </c>
      <c r="AL16" s="123">
        <f>AI16-AJ16</f>
        <v>-2</v>
      </c>
      <c r="AM16" s="123">
        <f>AL16-AL18</f>
        <v>2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30000002.500727478</v>
      </c>
      <c r="AQ16" s="126">
        <f>VLOOKUP(AE16,db_fifarank,2,FALSE)</f>
        <v>1454.96</v>
      </c>
      <c r="AR16" s="125">
        <f>AP16/AP18</f>
        <v>0.33333332099268448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0</v>
      </c>
      <c r="AL17" s="123">
        <f>AI17-AJ17</f>
        <v>5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90000009.834158033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0</v>
      </c>
      <c r="AL20" s="123">
        <f>AI20-AJ20</f>
        <v>7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90000010.320325032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3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1</v>
      </c>
      <c r="AL21" s="123">
        <f>AI21-AJ21</f>
        <v>5</v>
      </c>
      <c r="AM21" s="123">
        <f>AL21-AL24</f>
        <v>15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60000009.084211268</v>
      </c>
      <c r="AQ21" s="126">
        <f>VLOOKUP(AE21,db_fifarank,2,FALSE)</f>
        <v>1755.87</v>
      </c>
      <c r="AR21" s="125">
        <f>AP21/AP24</f>
        <v>0.6666666837480858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6 - 1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7.1761657640385673E-12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>
        <v>1</v>
      </c>
      <c r="BO22" s="25">
        <v>4</v>
      </c>
      <c r="BP22" s="116">
        <f>IF(OR(BM22="",BM23="",AND(BN22="",BN23&lt;&gt;""),AND(BN23="",BN22&lt;&gt;""),AND(BO22="",BO23&lt;&gt;""),AND(BO23="",BO22&lt;&gt;"")),"",BM22*1000+BN22*10+BO22)</f>
        <v>14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30000004.695193619</v>
      </c>
      <c r="AQ23" s="126">
        <f>VLOOKUP(AE23,db_fifarank,2,FALSE)</f>
        <v>1498.35</v>
      </c>
      <c r="AR23" s="125">
        <f>AP23/AP24</f>
        <v>0.33333334357502026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>
        <v>1</v>
      </c>
      <c r="BO23" s="27">
        <v>3</v>
      </c>
      <c r="BP23" s="112">
        <f>IF(BP22="","",BM23*1000+BN23*10+BO23)</f>
        <v>13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>
        <v>0</v>
      </c>
      <c r="CJ23" s="25">
        <v>5</v>
      </c>
      <c r="CK23" s="112">
        <f>IF(OR(CH23="",CH24="",AND(CI23="",CI24&lt;&gt;""),AND(CI24="",CI23&lt;&gt;""),AND(CJ23="",CJ24&lt;&gt;""),AND(CJ24="",CJ23&lt;&gt;"")),"",CH23*1000+CI23*10+CJ23)</f>
        <v>5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-10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90000011.320325032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0</v>
      </c>
      <c r="CI24" s="64">
        <v>0</v>
      </c>
      <c r="CJ24" s="27">
        <v>4</v>
      </c>
      <c r="CK24" s="113">
        <f>IF(CK23="","",CH24*1000+CI24*10+CJ24)</f>
        <v>4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8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90000009.746868312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>
        <v>0</v>
      </c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7.5175000000000003E-4</v>
      </c>
      <c r="AQ27" s="126">
        <f>VLOOKUP(AE27,db_fifarank,2,FALSE)</f>
        <v>1503.5</v>
      </c>
      <c r="AR27" s="125">
        <f>AP27/AP30</f>
        <v>8.3527767803756433E-12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>
        <v>1</v>
      </c>
      <c r="BO27" s="27"/>
      <c r="BP27" s="113">
        <f>IF(BP26="","",BM27*1000+BN27*10+BO27)</f>
        <v>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3</v>
      </c>
      <c r="AN28" s="123">
        <f>AF28*3+AG28</f>
        <v>3</v>
      </c>
      <c r="AO28" s="123">
        <f>AN28/AN30*10+BA28</f>
        <v>3</v>
      </c>
      <c r="AP28" s="123">
        <f>AO28*10000000+BI28*100+AM28/AM30*10+AI28/AI30*1++IF(AQ28=0,ROW(),AQ28)/2000000</f>
        <v>30000003.762695096</v>
      </c>
      <c r="AQ28" s="126">
        <f>VLOOKUP(AE28,db_fifarank,2,FALSE)</f>
        <v>1580.67</v>
      </c>
      <c r="AR28" s="125">
        <f>AP28/AP30</f>
        <v>0.33333333533784043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5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60000006.127783649</v>
      </c>
      <c r="AQ29" s="126">
        <f>VLOOKUP(AE29,db_fifarank,2,FALSE)</f>
        <v>1599.04</v>
      </c>
      <c r="AR29" s="125">
        <f>AP29/AP30</f>
        <v>0.66666665514672108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0 - 4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90000010.746868312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90000010.301518798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7.1924990968204031E-12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8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30000005.039982174</v>
      </c>
      <c r="AQ34" s="126">
        <f>VLOOKUP(AE34,db_fifarank,2,FALSE)</f>
        <v>1532.98</v>
      </c>
      <c r="AR34" s="125">
        <f>AP34/AP36</f>
        <v>0.33333334747565646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12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60000007.726287581</v>
      </c>
      <c r="AQ35" s="126">
        <f>VLOOKUP(AE35,db_fifarank,2,FALSE)</f>
        <v>1594.78</v>
      </c>
      <c r="AR35" s="125">
        <f>AP35/AP36</f>
        <v>0.6666666687993521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9</v>
      </c>
      <c r="AL36" s="123">
        <f>MIN(AL32:AL35)</f>
        <v>-9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90000011.301518798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1</v>
      </c>
      <c r="CP37" s="63">
        <v>1</v>
      </c>
      <c r="CQ37" s="25">
        <v>4</v>
      </c>
      <c r="CR37" s="111">
        <f>IF(OR(CO37="",CO38="",AND(CP37="",CP38&lt;&gt;""),AND(CP38="",CP37&lt;&gt;""),AND(CQ37="",CQ38&lt;&gt;""),AND(CQ38="",CQ37&lt;&gt;"")),"",CO37*1000+CP37*10+CQ37)</f>
        <v>1014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12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90000010.106648162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>
        <v>1</v>
      </c>
      <c r="CQ38" s="27">
        <v>2</v>
      </c>
      <c r="CR38" s="111">
        <f>IF(CR37="","",CO38*1000+CP38*10+CQ38)</f>
        <v>1012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60000006.77967637</v>
      </c>
      <c r="AQ39" s="126">
        <f>VLOOKUP(AE39,db_fifarank,2,FALSE)</f>
        <v>1660.43</v>
      </c>
      <c r="AR39" s="125">
        <f>AP39/AP42</f>
        <v>0.66666665972493711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4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30000003.327680461</v>
      </c>
      <c r="AQ40" s="126">
        <f>VLOOKUP(AE40,db_fifarank,2,FALSE)</f>
        <v>1514.77</v>
      </c>
      <c r="AR40" s="125">
        <f>AP40/AP42</f>
        <v>0.33333332917182729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8.2391656498942875E-12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8</v>
      </c>
      <c r="AL42" s="123">
        <f>MIN(AL38:AL41)</f>
        <v>-6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90000011.106648162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90000010.334200695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11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49805929.857308045</v>
      </c>
      <c r="AQ45" s="126">
        <f>VLOOKUP(AE45,db_fifarank,2,FALSE)</f>
        <v>1563.24</v>
      </c>
      <c r="AR45" s="125">
        <f>AP45/AP48</f>
        <v>0.55339915094412229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3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5</v>
      </c>
      <c r="AJ46" s="123">
        <f>SUMIF($E$7:$E$78,$AE46,$G$7:$G$78) + SUMIF($H$7:$H$78,$AE46,$F$7:$F$78)</f>
        <v>3</v>
      </c>
      <c r="AL46" s="123">
        <f>AI46-AJ46</f>
        <v>2</v>
      </c>
      <c r="AM46" s="123">
        <f>AL46-AL48</f>
        <v>12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49805930.524000734</v>
      </c>
      <c r="AQ46" s="126">
        <f>VLOOKUP(AE46,db_fifarank,2,FALSE)</f>
        <v>1615.3</v>
      </c>
      <c r="AR46" s="125">
        <f>AP46/AP48</f>
        <v>0.55339915835181785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10</v>
      </c>
      <c r="AL47" s="123">
        <f>AI47-AJ47</f>
        <v>-10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7.1198324366932244E-12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0 - 10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9</v>
      </c>
      <c r="AL48" s="123">
        <f>MIN(AL44:AL47)</f>
        <v>-10</v>
      </c>
      <c r="AM48" s="123">
        <f>MAX(AM44:AM47)+1</f>
        <v>18</v>
      </c>
      <c r="AN48" s="123">
        <f>MAX(AN44:AN47)+1</f>
        <v>10</v>
      </c>
      <c r="AO48" s="123">
        <f>MAX(AO44:AO47)+1</f>
        <v>10</v>
      </c>
      <c r="AP48" s="123">
        <f>MAX(AP44:AP47)+1</f>
        <v>90000011.334200695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>
        <v>1</v>
      </c>
      <c r="CC48" s="25"/>
      <c r="CD48" s="112">
        <f>IF(OR(CA48="",CA49="",AND(CB48="",CB49&lt;&gt;""),AND(CB49="",CB48&lt;&gt;""),AND(CC48="",CC49&lt;&gt;""),AND(CC49="",CC48&lt;&gt;"")),"",CA48*1000+CB48*10+CC48)</f>
        <v>1010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2</v>
      </c>
      <c r="CC49" s="27"/>
      <c r="CD49" s="113">
        <f>IF(CD48="","",CA49*1000+CB49*10+CC49)</f>
        <v>1020</v>
      </c>
      <c r="CK49" s="114"/>
      <c r="CL49" s="115"/>
      <c r="CM49" s="14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1</v>
      </c>
      <c r="AL50" s="123">
        <f>AI50-AJ50</f>
        <v>11</v>
      </c>
      <c r="AM50" s="123">
        <f>AL50-AL54</f>
        <v>20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90000010.447824657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4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12 - 1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10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7.7606141923076924E-2</v>
      </c>
      <c r="AQ51" s="126">
        <f>VLOOKUP(AE51,db_fifarank,2,FALSE)</f>
        <v>1366.13</v>
      </c>
      <c r="AR51" s="125">
        <f>AP51/AP54</f>
        <v>8.6229035613031248E-10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30000002.05931877</v>
      </c>
      <c r="AQ52" s="126">
        <f>VLOOKUP(AE52,db_fifarank,2,FALSE)</f>
        <v>1421.43</v>
      </c>
      <c r="AR52" s="125">
        <f>AP52/AP54</f>
        <v>0.3333333138153049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60000006.176660717</v>
      </c>
      <c r="AQ53" s="126">
        <f>VLOOKUP(AE53,db_fifarank,2,FALSE)</f>
        <v>1673.07</v>
      </c>
      <c r="AR53" s="125">
        <f>AP53/AP54</f>
        <v>0.66666665049753104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1 - 10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13</v>
      </c>
      <c r="AL54" s="123">
        <f>MIN(AL50:AL53)</f>
        <v>-9</v>
      </c>
      <c r="AM54" s="123">
        <f>MAX(AM50:AM53)+1</f>
        <v>21</v>
      </c>
      <c r="AN54" s="123">
        <f>MAX(AN50:AN53)+1</f>
        <v>10</v>
      </c>
      <c r="AO54" s="123">
        <f>MAX(AO50:AO53)+1</f>
        <v>10</v>
      </c>
      <c r="AP54" s="123">
        <f>MAX(AP50:AP53)+1</f>
        <v>90000011.447824657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>
        <v>1</v>
      </c>
      <c r="CJ55" s="25"/>
      <c r="CK55" s="116">
        <f>IF(OR(CH55="",CH56="",AND(CI55="",CI56&lt;&gt;""),AND(CI56="",CI55&lt;&gt;""),AND(CJ55="",CJ56&lt;&gt;""),AND(CJ56="",CJ55&lt;&gt;"")),"",CH55*1000+CI55*10+CJ55)</f>
        <v>1010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1</v>
      </c>
      <c r="AL56" s="123">
        <f>AI56-AJ56</f>
        <v>8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90000010.27593866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2</v>
      </c>
      <c r="CJ56" s="27"/>
      <c r="CK56" s="112">
        <f>IF(CK55="","",CH56*1000+CI56*10+CJ56)</f>
        <v>1020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9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60000006.125844494</v>
      </c>
      <c r="AQ57" s="126">
        <f>VLOOKUP(AE57,db_fifarank,2,FALSE)</f>
        <v>1688.99</v>
      </c>
      <c r="AR57" s="125">
        <f>AP57/AP60</f>
        <v>0.66666665120613589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8.039665659391369E-12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5</v>
      </c>
      <c r="AL59" s="123">
        <f>AI59-AJ59</f>
        <v>-3</v>
      </c>
      <c r="AM59" s="123">
        <f>AL59-AL60</f>
        <v>4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30000002.700775471</v>
      </c>
      <c r="AQ59" s="126">
        <f>VLOOKUP(AE59,db_fifarank,2,FALSE)</f>
        <v>1550.94</v>
      </c>
      <c r="AR59" s="125">
        <f>AP59/AP60</f>
        <v>0.33333332157921536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-7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90000011.27593866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1</v>
      </c>
      <c r="AL62" s="123">
        <f>AI62-AJ62</f>
        <v>10</v>
      </c>
      <c r="AM62" s="123">
        <f>AL62-AL66</f>
        <v>19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90000010.417604089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7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30000003.750782128</v>
      </c>
      <c r="AQ63" s="126">
        <f>VLOOKUP(AE63,db_fifarank,2,FALSE)</f>
        <v>1564.26</v>
      </c>
      <c r="AR63" s="125">
        <f>AP63/AP66</f>
        <v>0.33333333272126786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Iran</v>
      </c>
      <c r="BM63" s="62">
        <v>1</v>
      </c>
      <c r="BN63" s="64">
        <v>2</v>
      </c>
      <c r="BO63" s="27"/>
      <c r="BP63" s="112">
        <f>IF(BP62="","",BM63*1000+BN63*10+BO63)</f>
        <v>1020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10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60000005.417463392</v>
      </c>
      <c r="AQ64" s="126">
        <f>VLOOKUP(AE64,db_fifarank,2,FALSE)</f>
        <v>1593.45</v>
      </c>
      <c r="AR64" s="125">
        <f>AP64/AP66</f>
        <v>0.66666664228586237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9</v>
      </c>
      <c r="AL65" s="123">
        <f>AI65-AJ65</f>
        <v>-9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7.7302767970973346E-12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0 - 9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12</v>
      </c>
      <c r="AL66" s="123">
        <f>MIN(AL62:AL65)</f>
        <v>-9</v>
      </c>
      <c r="AM66" s="123">
        <f>MAX(AM62:AM65)+1</f>
        <v>20</v>
      </c>
      <c r="AN66" s="123">
        <f>MAX(AN62:AN65)+1</f>
        <v>10</v>
      </c>
      <c r="AO66" s="123">
        <f>MAX(AO62:AO65)+1</f>
        <v>10</v>
      </c>
      <c r="AP66" s="123">
        <f>MAX(AP62:AP65)+1</f>
        <v>90000011.417604089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90000010.120540038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19805923.412821162</v>
      </c>
      <c r="AQ69" s="126">
        <f>VLOOKUP(AE69,db_fifarank,2,FALSE)</f>
        <v>1478.35</v>
      </c>
      <c r="AR69" s="125">
        <f>AP69/AP72</f>
        <v>0.22006578850634168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19805923.412814658</v>
      </c>
      <c r="AQ70" s="126">
        <f>VLOOKUP(AE70,db_fifarank,2,FALSE)</f>
        <v>1465.34</v>
      </c>
      <c r="AR70" s="125">
        <f>AP70/AP72</f>
        <v>0.2200657885062694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60000006.710248247</v>
      </c>
      <c r="AQ71" s="126">
        <f>VLOOKUP(AE71,db_fifarank,2,FALSE)</f>
        <v>1693.09</v>
      </c>
      <c r="AR71" s="125">
        <f>AP71/AP72</f>
        <v>0.66666665885061083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90000011.120540038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4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1</v>
      </c>
      <c r="AL74" s="123">
        <f>AI74-AJ74</f>
        <v>8</v>
      </c>
      <c r="AM74" s="123">
        <f>AL74-AL78</f>
        <v>18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90000010.374597192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3</v>
      </c>
      <c r="AL75" s="123">
        <f>AI75-AJ75</f>
        <v>4</v>
      </c>
      <c r="AM75" s="123">
        <f>AL75-AL78</f>
        <v>14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60000008.069279596</v>
      </c>
      <c r="AQ75" s="126">
        <f>VLOOKUP(AE75,db_fifarank,2,FALSE)</f>
        <v>1717.07</v>
      </c>
      <c r="AR75" s="125">
        <f>AP75/AP78</f>
        <v>0.66666667206905272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10</v>
      </c>
      <c r="AL76" s="123">
        <f>AI76-AJ76</f>
        <v>-10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7.4794990547078997E-12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5</v>
      </c>
      <c r="AL77" s="123">
        <f>AI77-AJ77</f>
        <v>-2</v>
      </c>
      <c r="AM77" s="123">
        <f>AL77-AL78</f>
        <v>8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30000004.511296637</v>
      </c>
      <c r="AQ77" s="126">
        <f>VLOOKUP(AE77,db_fifarank,2,FALSE)</f>
        <v>1540.64</v>
      </c>
      <c r="AR77" s="125">
        <f>AP77/AP78</f>
        <v>0.3333333413307128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0 - 10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10</v>
      </c>
      <c r="AL78" s="123">
        <f>MIN(AL74:AL77)</f>
        <v>-10</v>
      </c>
      <c r="AM78" s="123">
        <f>MAX(AM74:AM77)+1</f>
        <v>19</v>
      </c>
      <c r="AN78" s="123">
        <f>MAX(AN74:AN77)+1</f>
        <v>10</v>
      </c>
      <c r="AO78" s="123">
        <f>MAX(AO74:AO77)+1</f>
        <v>10</v>
      </c>
      <c r="AP78" s="123">
        <f>MAX(AP74:AP77)+1</f>
        <v>90000011.374597192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6468.5721792614286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Egypt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6488.5721560514285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3 - 4</v>
      </c>
      <c r="P82" s="101">
        <f t="shared" ref="P82:P92" si="48">L82*3+M82</f>
        <v>3</v>
      </c>
      <c r="AD82" s="123">
        <f t="shared" si="38"/>
        <v>9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6468.5721777464287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3 - 4</v>
      </c>
      <c r="P83" s="101">
        <f t="shared" si="48"/>
        <v>3</v>
      </c>
      <c r="AD83" s="123">
        <f t="shared" si="38"/>
        <v>2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6631.4293617635713</v>
      </c>
      <c r="AQ83" s="126">
        <f t="shared" si="37"/>
        <v>1580.67</v>
      </c>
      <c r="AR83" s="125" t="str">
        <f t="shared" si="50"/>
        <v>ABD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6631.4293379185719</v>
      </c>
      <c r="AQ84" s="126">
        <f t="shared" si="37"/>
        <v>1532.98</v>
      </c>
      <c r="AR84" s="125" t="str">
        <f t="shared" si="50"/>
        <v>ABDE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Panama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6468.5721859564283</v>
      </c>
      <c r="AQ85" s="126">
        <f t="shared" si="37"/>
        <v>1514.77</v>
      </c>
      <c r="AR85" s="125" t="str">
        <f t="shared" si="50"/>
        <v>ABDEF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Ⓑ Qatar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3</v>
      </c>
      <c r="AK86" s="123" t="s">
        <v>3187</v>
      </c>
      <c r="AL86" s="123">
        <f t="shared" si="43"/>
        <v>1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8937.1436387628564</v>
      </c>
      <c r="AQ86" s="126">
        <f t="shared" si="37"/>
        <v>1563.24</v>
      </c>
      <c r="AR86" s="125" t="str">
        <f t="shared" si="50"/>
        <v>ABDEFG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Ⓕ Sweden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6040.0007107150004</v>
      </c>
      <c r="AQ87" s="126">
        <f t="shared" si="37"/>
        <v>1421.43</v>
      </c>
      <c r="AR87" s="125" t="str">
        <f t="shared" si="50"/>
        <v>ABDEFG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10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5</v>
      </c>
      <c r="AK88" s="123" t="s">
        <v>3189</v>
      </c>
      <c r="AL88" s="123">
        <f t="shared" si="43"/>
        <v>-3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6325.7150611842853</v>
      </c>
      <c r="AQ88" s="126">
        <f t="shared" si="37"/>
        <v>1550.94</v>
      </c>
      <c r="AR88" s="125" t="str">
        <f t="shared" si="50"/>
        <v>ABDEFG</v>
      </c>
      <c r="AS88" s="129" t="str">
        <f t="shared" si="46"/>
        <v/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Ⓒ Scotland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6488.572210701428</v>
      </c>
      <c r="AQ89" s="126">
        <f t="shared" si="37"/>
        <v>1564.26</v>
      </c>
      <c r="AR89" s="125" t="str">
        <f t="shared" si="50"/>
        <v>ABDEFGJ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Ⓘ Norway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2020.000739175</v>
      </c>
      <c r="AQ90" s="126">
        <f t="shared" si="37"/>
        <v>1478.35</v>
      </c>
      <c r="AR90" s="125" t="str">
        <f t="shared" si="50"/>
        <v>ABDEFGJ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2 - 7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6488.5721988914283</v>
      </c>
      <c r="AQ91" s="126">
        <f t="shared" si="37"/>
        <v>1540.64</v>
      </c>
      <c r="AR91" s="125" t="str">
        <f t="shared" si="50"/>
        <v>ABDEFGJL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26" orientation="portrait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361</v>
      </c>
      <c r="C3" s="121" t="str">
        <f>'2026 World Cup'!AR91</f>
        <v>ABDEFGJL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3J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Daniel Galán Velasco</cp:lastModifiedBy>
  <cp:revision/>
  <cp:lastPrinted>2026-06-08T11:23:02Z</cp:lastPrinted>
  <dcterms:created xsi:type="dcterms:W3CDTF">2017-12-27T19:32:51Z</dcterms:created>
  <dcterms:modified xsi:type="dcterms:W3CDTF">2026-06-10T20:55:26Z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