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rc\Desktop\"/>
    </mc:Choice>
  </mc:AlternateContent>
  <xr:revisionPtr revIDLastSave="0" documentId="13_ncr:1_{534980F2-EA88-4DB5-88CD-1A65EC11FAF8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AA13" i="3" s="1"/>
  <c r="E56" i="3"/>
  <c r="H13" i="3"/>
  <c r="H56" i="3"/>
  <c r="E11" i="3"/>
  <c r="E55" i="3"/>
  <c r="H11" i="3"/>
  <c r="H65" i="3"/>
  <c r="E37" i="3"/>
  <c r="AA37" i="3" s="1"/>
  <c r="E10" i="3"/>
  <c r="E66" i="3"/>
  <c r="AA66" i="3" s="1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AA30" i="3" s="1"/>
  <c r="E77" i="3"/>
  <c r="E54" i="3"/>
  <c r="H30" i="3"/>
  <c r="H73" i="3"/>
  <c r="E51" i="3"/>
  <c r="E28" i="3"/>
  <c r="E74" i="3"/>
  <c r="H52" i="3"/>
  <c r="H28" i="3"/>
  <c r="H74" i="3"/>
  <c r="H51" i="3"/>
  <c r="E27" i="3"/>
  <c r="AA27" i="3" s="1"/>
  <c r="E73" i="3"/>
  <c r="E52" i="3"/>
  <c r="H27" i="3"/>
  <c r="E71" i="3"/>
  <c r="AA71" i="3" s="1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AA9" i="3" s="1"/>
  <c r="D7" i="3"/>
  <c r="AA69" i="3" l="1"/>
  <c r="AA31" i="3"/>
  <c r="AA28" i="3"/>
  <c r="AA19" i="3"/>
  <c r="AA40" i="3"/>
  <c r="AA42" i="3"/>
  <c r="AA15" i="3"/>
  <c r="AA70" i="3"/>
  <c r="AA16" i="3"/>
  <c r="AA45" i="3"/>
  <c r="AA55" i="3"/>
  <c r="AA12" i="3"/>
  <c r="AA76" i="3"/>
  <c r="AA67" i="3"/>
  <c r="AA78" i="3"/>
  <c r="AA50" i="3"/>
  <c r="AA65" i="3"/>
  <c r="AA52" i="3"/>
  <c r="AA54" i="3"/>
  <c r="AA33" i="3"/>
  <c r="AA46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8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9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R10" i="3"/>
  <c r="AR28" i="3"/>
  <c r="AR11" i="3"/>
  <c r="AR21" i="3"/>
  <c r="AR22" i="3"/>
  <c r="AR35" i="3"/>
  <c r="AR33" i="3"/>
  <c r="AR34" i="3"/>
  <c r="AD34" i="3" s="1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8" i="3" l="1"/>
  <c r="AD33" i="3"/>
  <c r="AD75" i="3"/>
  <c r="M59" i="3"/>
  <c r="M58" i="3"/>
  <c r="AD32" i="3"/>
  <c r="AD10" i="3"/>
  <c r="AD9" i="3"/>
  <c r="AD15" i="3"/>
  <c r="AD11" i="3"/>
  <c r="O60" i="3"/>
  <c r="L58" i="3"/>
  <c r="AD35" i="3"/>
  <c r="AD29" i="3"/>
  <c r="N58" i="3"/>
  <c r="AD70" i="3"/>
  <c r="AD20" i="3"/>
  <c r="AD21" i="3"/>
  <c r="AD68" i="3"/>
  <c r="O69" i="3" s="1"/>
  <c r="AD41" i="3"/>
  <c r="L59" i="3"/>
  <c r="AD27" i="3"/>
  <c r="AD26" i="3"/>
  <c r="AD62" i="3"/>
  <c r="L63" i="3" s="1"/>
  <c r="AD44" i="3"/>
  <c r="AD71" i="3"/>
  <c r="AD63" i="3"/>
  <c r="AD47" i="3"/>
  <c r="AD76" i="3"/>
  <c r="AD14" i="3"/>
  <c r="M18" i="3" s="1"/>
  <c r="AD74" i="3"/>
  <c r="AD2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L36" i="3" l="1"/>
  <c r="M36" i="3"/>
  <c r="M33" i="3"/>
  <c r="J34" i="3"/>
  <c r="AS33" i="3" s="1"/>
  <c r="BL46" i="3" s="1"/>
  <c r="BS45" i="3" s="1"/>
  <c r="L35" i="3"/>
  <c r="N11" i="3"/>
  <c r="J36" i="3"/>
  <c r="O33" i="3"/>
  <c r="O36" i="3"/>
  <c r="O35" i="3"/>
  <c r="M35" i="3"/>
  <c r="P35" i="3" s="1"/>
  <c r="N33" i="3"/>
  <c r="J33" i="3"/>
  <c r="AS32" i="3" s="1"/>
  <c r="BL10" i="3" s="1"/>
  <c r="N36" i="3"/>
  <c r="J35" i="3"/>
  <c r="AE84" i="3" s="1"/>
  <c r="AQ84" i="3" s="1"/>
  <c r="N35" i="3"/>
  <c r="L11" i="3"/>
  <c r="M11" i="3"/>
  <c r="P59" i="3"/>
  <c r="L9" i="3"/>
  <c r="M9" i="3"/>
  <c r="O9" i="3"/>
  <c r="J10" i="3"/>
  <c r="AS9" i="3" s="1"/>
  <c r="BL18" i="3" s="1"/>
  <c r="L10" i="3"/>
  <c r="J9" i="3"/>
  <c r="AS8" i="3" s="1"/>
  <c r="BL50" i="3" s="1"/>
  <c r="N9" i="3"/>
  <c r="O10" i="3"/>
  <c r="N10" i="3"/>
  <c r="M10" i="3"/>
  <c r="J11" i="3"/>
  <c r="AE80" i="3" s="1"/>
  <c r="AQ80" i="3" s="1"/>
  <c r="P58" i="3"/>
  <c r="O11" i="3"/>
  <c r="N45" i="3"/>
  <c r="O12" i="3"/>
  <c r="N12" i="3"/>
  <c r="N34" i="3"/>
  <c r="K58" i="3"/>
  <c r="J12" i="3"/>
  <c r="M12" i="3"/>
  <c r="M34" i="3"/>
  <c r="L12" i="3"/>
  <c r="J39" i="3"/>
  <c r="AS38" i="3" s="1"/>
  <c r="BL22" i="3" s="1"/>
  <c r="L34" i="3"/>
  <c r="O34" i="3"/>
  <c r="L33" i="3"/>
  <c r="M78" i="3"/>
  <c r="J22" i="3"/>
  <c r="AS21" i="3" s="1"/>
  <c r="BL23" i="3" s="1"/>
  <c r="M22" i="3"/>
  <c r="N22" i="3"/>
  <c r="L22" i="3"/>
  <c r="J71" i="3"/>
  <c r="AE90" i="3" s="1"/>
  <c r="AQ90" i="3" s="1"/>
  <c r="J24" i="3"/>
  <c r="O22" i="3"/>
  <c r="N69" i="3"/>
  <c r="L69" i="3"/>
  <c r="J69" i="3"/>
  <c r="AS68" i="3" s="1"/>
  <c r="BL70" i="3" s="1"/>
  <c r="L23" i="3"/>
  <c r="O24" i="3"/>
  <c r="N24" i="3"/>
  <c r="K59" i="3"/>
  <c r="M69" i="3"/>
  <c r="M21" i="3"/>
  <c r="L18" i="3"/>
  <c r="P18" i="3" s="1"/>
  <c r="N72" i="3"/>
  <c r="M24" i="3"/>
  <c r="J72" i="3"/>
  <c r="N21" i="3"/>
  <c r="M72" i="3"/>
  <c r="L72" i="3"/>
  <c r="L24" i="3"/>
  <c r="J70" i="3"/>
  <c r="AS69" i="3" s="1"/>
  <c r="BL26" i="3" s="1"/>
  <c r="O63" i="3"/>
  <c r="O72" i="3"/>
  <c r="N71" i="3"/>
  <c r="O21" i="3"/>
  <c r="L21" i="3"/>
  <c r="J21" i="3"/>
  <c r="AS20" i="3" s="1"/>
  <c r="BL42" i="3" s="1"/>
  <c r="BS44" i="3" s="1"/>
  <c r="O39" i="3"/>
  <c r="J63" i="3"/>
  <c r="AS62" i="3" s="1"/>
  <c r="BL58" i="3" s="1"/>
  <c r="BS60" i="3" s="1"/>
  <c r="BZ64" i="3" s="1"/>
  <c r="L76" i="3"/>
  <c r="M76" i="3"/>
  <c r="N77" i="3"/>
  <c r="M77" i="3"/>
  <c r="J78" i="3"/>
  <c r="J30" i="3"/>
  <c r="M75" i="3"/>
  <c r="O77" i="3"/>
  <c r="L77" i="3"/>
  <c r="J75" i="3"/>
  <c r="AS74" i="3" s="1"/>
  <c r="BL54" i="3" s="1"/>
  <c r="O76" i="3"/>
  <c r="O75" i="3"/>
  <c r="J77" i="3"/>
  <c r="AE91" i="3" s="1"/>
  <c r="AQ91" i="3" s="1"/>
  <c r="J76" i="3"/>
  <c r="AS75" i="3" s="1"/>
  <c r="BL27" i="3" s="1"/>
  <c r="O78" i="3"/>
  <c r="L75" i="3"/>
  <c r="O23" i="3"/>
  <c r="N76" i="3"/>
  <c r="L78" i="3"/>
  <c r="N78" i="3"/>
  <c r="N75" i="3"/>
  <c r="M63" i="3"/>
  <c r="P63" i="3" s="1"/>
  <c r="M66" i="3"/>
  <c r="M16" i="3"/>
  <c r="L27" i="3"/>
  <c r="O71" i="3"/>
  <c r="M39" i="3"/>
  <c r="L40" i="3"/>
  <c r="M71" i="3"/>
  <c r="L39" i="3"/>
  <c r="L29" i="3"/>
  <c r="L71" i="3"/>
  <c r="N39" i="3"/>
  <c r="M27" i="3"/>
  <c r="N16" i="3"/>
  <c r="M45" i="3"/>
  <c r="J45" i="3"/>
  <c r="AS44" i="3" s="1"/>
  <c r="BL38" i="3" s="1"/>
  <c r="O70" i="3"/>
  <c r="L46" i="3"/>
  <c r="O29" i="3"/>
  <c r="N29" i="3"/>
  <c r="L30" i="3"/>
  <c r="M29" i="3"/>
  <c r="N30" i="3"/>
  <c r="N27" i="3"/>
  <c r="N28" i="3"/>
  <c r="J27" i="3"/>
  <c r="AS26" i="3" s="1"/>
  <c r="BL34" i="3" s="1"/>
  <c r="O27" i="3"/>
  <c r="J29" i="3"/>
  <c r="AE83" i="3" s="1"/>
  <c r="AQ83" i="3" s="1"/>
  <c r="O45" i="3"/>
  <c r="O30" i="3"/>
  <c r="L45" i="3"/>
  <c r="M30" i="3"/>
  <c r="L28" i="3"/>
  <c r="L48" i="3"/>
  <c r="J40" i="3"/>
  <c r="AS39" i="3" s="1"/>
  <c r="BL43" i="3" s="1"/>
  <c r="O46" i="3"/>
  <c r="L64" i="3"/>
  <c r="N63" i="3"/>
  <c r="M70" i="3"/>
  <c r="O54" i="3"/>
  <c r="L70" i="3"/>
  <c r="M28" i="3"/>
  <c r="J28" i="3"/>
  <c r="AS27" i="3" s="1"/>
  <c r="BL62" i="3" s="1"/>
  <c r="BS61" i="3" s="1"/>
  <c r="N70" i="3"/>
  <c r="O28" i="3"/>
  <c r="O66" i="3"/>
  <c r="N66" i="3"/>
  <c r="O65" i="3"/>
  <c r="AN88" i="3"/>
  <c r="N65" i="3"/>
  <c r="AJ88" i="3"/>
  <c r="M65" i="3"/>
  <c r="L65" i="3"/>
  <c r="L66" i="3"/>
  <c r="O64" i="3"/>
  <c r="AT88" i="3"/>
  <c r="J64" i="3"/>
  <c r="AS63" i="3" s="1"/>
  <c r="BL31" i="3" s="1"/>
  <c r="N64" i="3"/>
  <c r="J65" i="3"/>
  <c r="AE89" i="3" s="1"/>
  <c r="AQ89" i="3" s="1"/>
  <c r="M64" i="3"/>
  <c r="J66" i="3"/>
  <c r="M48" i="3"/>
  <c r="N46" i="3"/>
  <c r="M40" i="3"/>
  <c r="J16" i="3"/>
  <c r="AS15" i="3" s="1"/>
  <c r="BL19" i="3" s="1"/>
  <c r="L47" i="3"/>
  <c r="L42" i="3"/>
  <c r="L17" i="3"/>
  <c r="M47" i="3"/>
  <c r="N47" i="3"/>
  <c r="O17" i="3"/>
  <c r="N52" i="3"/>
  <c r="N48" i="3"/>
  <c r="J46" i="3"/>
  <c r="AS45" i="3" s="1"/>
  <c r="BL63" i="3" s="1"/>
  <c r="N18" i="3"/>
  <c r="L15" i="3"/>
  <c r="O18" i="3"/>
  <c r="L54" i="3"/>
  <c r="J41" i="3"/>
  <c r="AE85" i="3" s="1"/>
  <c r="AQ85" i="3" s="1"/>
  <c r="N54" i="3"/>
  <c r="M46" i="3"/>
  <c r="J48" i="3"/>
  <c r="J42" i="3"/>
  <c r="M17" i="3"/>
  <c r="O47" i="3"/>
  <c r="J52" i="3"/>
  <c r="AS51" i="3" s="1"/>
  <c r="BL59" i="3" s="1"/>
  <c r="N40" i="3"/>
  <c r="L16" i="3"/>
  <c r="AI88" i="3"/>
  <c r="J47" i="3"/>
  <c r="AE86" i="3" s="1"/>
  <c r="AQ86" i="3" s="1"/>
  <c r="L51" i="3"/>
  <c r="O48" i="3"/>
  <c r="J18" i="3"/>
  <c r="AG88" i="3"/>
  <c r="M51" i="3"/>
  <c r="O16" i="3"/>
  <c r="O51" i="3"/>
  <c r="M54" i="3"/>
  <c r="O42" i="3"/>
  <c r="O40" i="3"/>
  <c r="P57" i="3"/>
  <c r="N53" i="3"/>
  <c r="J51" i="3"/>
  <c r="AS50" i="3" s="1"/>
  <c r="BL30" i="3" s="1"/>
  <c r="M41" i="3"/>
  <c r="N51" i="3"/>
  <c r="M42" i="3"/>
  <c r="K57" i="3"/>
  <c r="AF88" i="3"/>
  <c r="N1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48" i="3" l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33" i="3"/>
  <c r="P36" i="3"/>
  <c r="K36" i="3"/>
  <c r="K35" i="3"/>
  <c r="K11" i="3"/>
  <c r="AT84" i="3"/>
  <c r="AN84" i="3"/>
  <c r="AJ84" i="3"/>
  <c r="AI84" i="3"/>
  <c r="AG84" i="3"/>
  <c r="AF84" i="3"/>
  <c r="AL84" i="3"/>
  <c r="AH84" i="3"/>
  <c r="K9" i="3"/>
  <c r="P11" i="3"/>
  <c r="P9" i="3"/>
  <c r="P10" i="3"/>
  <c r="K10" i="3"/>
  <c r="AF80" i="3"/>
  <c r="AN80" i="3"/>
  <c r="AL80" i="3"/>
  <c r="AJ80" i="3"/>
  <c r="AT80" i="3"/>
  <c r="AI80" i="3"/>
  <c r="AH80" i="3"/>
  <c r="AG80" i="3"/>
  <c r="K12" i="3"/>
  <c r="P12" i="3"/>
  <c r="AH90" i="3"/>
  <c r="AG90" i="3"/>
  <c r="AL90" i="3"/>
  <c r="AJ90" i="3"/>
  <c r="AI90" i="3"/>
  <c r="K34" i="3"/>
  <c r="P34" i="3"/>
  <c r="AF90" i="3"/>
  <c r="AT90" i="3"/>
  <c r="AN90" i="3"/>
  <c r="K22" i="3"/>
  <c r="K33" i="3"/>
  <c r="P22" i="3"/>
  <c r="P78" i="3"/>
  <c r="P69" i="3"/>
  <c r="AI91" i="3"/>
  <c r="AG82" i="3"/>
  <c r="AH91" i="3"/>
  <c r="K69" i="3"/>
  <c r="AH82" i="3"/>
  <c r="AI82" i="3"/>
  <c r="P72" i="3"/>
  <c r="AT86" i="3"/>
  <c r="P21" i="3"/>
  <c r="P47" i="3"/>
  <c r="P28" i="3"/>
  <c r="P39" i="3"/>
  <c r="P76" i="3"/>
  <c r="K18" i="3"/>
  <c r="K21" i="3"/>
  <c r="K77" i="3"/>
  <c r="AF91" i="3"/>
  <c r="AG91" i="3"/>
  <c r="AT91" i="3"/>
  <c r="AT83" i="3"/>
  <c r="K72" i="3"/>
  <c r="AN91" i="3"/>
  <c r="AL91" i="3"/>
  <c r="AJ91" i="3"/>
  <c r="K24" i="3"/>
  <c r="AJ86" i="3"/>
  <c r="AN86" i="3"/>
  <c r="P24" i="3"/>
  <c r="AL86" i="3"/>
  <c r="AI86" i="3"/>
  <c r="AH86" i="3"/>
  <c r="AG86" i="3"/>
  <c r="AF86" i="3"/>
  <c r="AT82" i="3"/>
  <c r="AN82" i="3"/>
  <c r="P29" i="3"/>
  <c r="P75" i="3"/>
  <c r="K76" i="3"/>
  <c r="P40" i="3"/>
  <c r="K28" i="3"/>
  <c r="P27" i="3"/>
  <c r="K39" i="3"/>
  <c r="P77" i="3"/>
  <c r="K78" i="3"/>
  <c r="K75" i="3"/>
  <c r="P30" i="3"/>
  <c r="K29" i="3"/>
  <c r="AF82" i="3"/>
  <c r="P54" i="3"/>
  <c r="P66" i="3"/>
  <c r="K40" i="3"/>
  <c r="K63" i="3"/>
  <c r="K66" i="3"/>
  <c r="K71" i="3"/>
  <c r="K30" i="3"/>
  <c r="K27" i="3"/>
  <c r="P16" i="3"/>
  <c r="AL89" i="3"/>
  <c r="AT81" i="3"/>
  <c r="P71" i="3"/>
  <c r="AI89" i="3"/>
  <c r="K45" i="3"/>
  <c r="AT89" i="3"/>
  <c r="P48" i="3"/>
  <c r="AN89" i="3"/>
  <c r="P64" i="3"/>
  <c r="AH89" i="3"/>
  <c r="AG89" i="3"/>
  <c r="AJ83" i="3"/>
  <c r="AI83" i="3"/>
  <c r="AF89" i="3"/>
  <c r="AH83" i="3"/>
  <c r="AL83" i="3"/>
  <c r="P45" i="3"/>
  <c r="AN83" i="3"/>
  <c r="AG83" i="3"/>
  <c r="AF83" i="3"/>
  <c r="P70" i="3"/>
  <c r="K48" i="3"/>
  <c r="P53" i="3"/>
  <c r="K65" i="3"/>
  <c r="K46" i="3"/>
  <c r="K54" i="3"/>
  <c r="P17" i="3"/>
  <c r="K70" i="3"/>
  <c r="P46" i="3"/>
  <c r="K42" i="3"/>
  <c r="K47" i="3"/>
  <c r="K64" i="3"/>
  <c r="AI85" i="3"/>
  <c r="AN85" i="3"/>
  <c r="AJ85" i="3"/>
  <c r="AH85" i="3"/>
  <c r="AJ82" i="3"/>
  <c r="AG85" i="3"/>
  <c r="P42" i="3"/>
  <c r="P41" i="3"/>
  <c r="P65" i="3"/>
  <c r="AL81" i="3"/>
  <c r="AJ89" i="3"/>
  <c r="P52" i="3"/>
  <c r="AL85" i="3"/>
  <c r="K23" i="3"/>
  <c r="K41" i="3"/>
  <c r="K17" i="3"/>
  <c r="K16" i="3"/>
  <c r="AF85" i="3"/>
  <c r="P15" i="3"/>
  <c r="K51" i="3"/>
  <c r="AT85" i="3"/>
  <c r="AN81" i="3"/>
  <c r="AJ81" i="3"/>
  <c r="AI81" i="3"/>
  <c r="AH81" i="3"/>
  <c r="P51" i="3"/>
  <c r="AG81" i="3"/>
  <c r="AF81" i="3"/>
  <c r="K15" i="3"/>
  <c r="AT87" i="3"/>
  <c r="AN87" i="3"/>
  <c r="AL87" i="3"/>
  <c r="AJ87" i="3"/>
  <c r="AH87" i="3"/>
  <c r="AG87" i="3"/>
  <c r="AF87" i="3"/>
  <c r="K53" i="3"/>
  <c r="AL82" i="3"/>
  <c r="AI87" i="3"/>
  <c r="K52" i="3"/>
  <c r="S96" i="3" l="1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H92" i="3"/>
  <c r="AJ92" i="3"/>
  <c r="AF92" i="3"/>
  <c r="AN92" i="3"/>
  <c r="AI92" i="3"/>
  <c r="AL92" i="3"/>
  <c r="AM88" i="3" s="1"/>
  <c r="AS92" i="3"/>
  <c r="AG92" i="3"/>
  <c r="S103" i="3" l="1"/>
  <c r="T103" i="3" s="1" a="1"/>
  <c r="T103" i="3" s="1"/>
  <c r="CG24" i="3"/>
  <c r="S111" i="3" s="1"/>
  <c r="T111" i="3" s="1"/>
  <c r="AM90" i="3"/>
  <c r="AM82" i="3"/>
  <c r="AM83" i="3"/>
  <c r="AM91" i="3"/>
  <c r="AM89" i="3"/>
  <c r="AM80" i="3"/>
  <c r="AM87" i="3"/>
  <c r="AM81" i="3"/>
  <c r="AM84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CN48" i="3"/>
  <c r="AD85" i="3"/>
  <c r="AS85" i="3" s="1"/>
  <c r="AD90" i="3"/>
  <c r="AS90" i="3" s="1"/>
  <c r="AD84" i="3"/>
  <c r="AS84" i="3" s="1"/>
  <c r="AD89" i="3"/>
  <c r="AS89" i="3" s="1"/>
  <c r="AD86" i="3"/>
  <c r="AS86" i="3" s="1"/>
  <c r="AD87" i="3"/>
  <c r="AS87" i="3" s="1"/>
  <c r="AD83" i="3"/>
  <c r="AS83" i="3" s="1"/>
  <c r="AD88" i="3"/>
  <c r="AS88" i="3" s="1"/>
  <c r="AD80" i="3"/>
  <c r="AD91" i="3"/>
  <c r="AS91" i="3" s="1"/>
  <c r="AD82" i="3"/>
  <c r="AS82" i="3" s="1"/>
  <c r="AD81" i="3"/>
  <c r="AS81" i="3" s="1"/>
  <c r="J81" i="3" l="1"/>
  <c r="M81" i="3"/>
  <c r="AS80" i="3"/>
  <c r="O81" i="3"/>
  <c r="J91" i="3"/>
  <c r="M88" i="3"/>
  <c r="L83" i="3"/>
  <c r="O88" i="3"/>
  <c r="O83" i="3"/>
  <c r="L86" i="3"/>
  <c r="P86" i="3" s="1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6" i="3"/>
  <c r="N81" i="3"/>
  <c r="J92" i="3"/>
  <c r="J83" i="3"/>
  <c r="M92" i="3"/>
  <c r="M86" i="3"/>
  <c r="J88" i="3"/>
  <c r="J89" i="3"/>
  <c r="J86" i="3"/>
  <c r="N86" i="3"/>
  <c r="N87" i="3"/>
  <c r="M82" i="3"/>
  <c r="P82" i="3" s="1"/>
  <c r="O92" i="3"/>
  <c r="L84" i="3"/>
  <c r="M90" i="3"/>
  <c r="O87" i="3"/>
  <c r="J84" i="3"/>
  <c r="N88" i="3"/>
  <c r="J82" i="3"/>
  <c r="L82" i="3"/>
  <c r="N85" i="3"/>
  <c r="L87" i="3"/>
  <c r="L92" i="3"/>
  <c r="L91" i="3"/>
  <c r="J90" i="3"/>
  <c r="O85" i="3"/>
  <c r="O82" i="3"/>
  <c r="L90" i="3"/>
  <c r="N84" i="3"/>
  <c r="N82" i="3"/>
  <c r="J85" i="3"/>
  <c r="M89" i="3"/>
  <c r="N83" i="3"/>
  <c r="M91" i="3"/>
  <c r="N89" i="3"/>
  <c r="O89" i="3"/>
  <c r="O91" i="3"/>
  <c r="L88" i="3"/>
  <c r="O90" i="3"/>
  <c r="J87" i="3"/>
  <c r="O84" i="3"/>
  <c r="N92" i="3"/>
  <c r="N91" i="3"/>
  <c r="N90" i="3"/>
  <c r="M85" i="3"/>
  <c r="L89" i="3"/>
  <c r="L85" i="3"/>
  <c r="M84" i="3"/>
  <c r="M83" i="3"/>
  <c r="L81" i="3"/>
  <c r="M87" i="3"/>
  <c r="K83" i="3" l="1"/>
  <c r="P87" i="3"/>
  <c r="P91" i="3"/>
  <c r="P90" i="3"/>
  <c r="K88" i="3"/>
  <c r="K84" i="3"/>
  <c r="K86" i="3"/>
  <c r="P88" i="3"/>
  <c r="K81" i="3"/>
  <c r="J3" i="4"/>
  <c r="BL71" i="3" s="1"/>
  <c r="D3" i="4"/>
  <c r="BL51" i="3" s="1"/>
  <c r="BS52" i="3" s="1"/>
  <c r="BZ49" i="3" s="1"/>
  <c r="CG55" i="3" s="1"/>
  <c r="CN49" i="3" s="1"/>
  <c r="P92" i="3"/>
  <c r="K82" i="3"/>
  <c r="B3" i="4"/>
  <c r="G3" i="4"/>
  <c r="BL11" i="3" s="1"/>
  <c r="K90" i="3"/>
  <c r="P81" i="3"/>
  <c r="P84" i="3"/>
  <c r="K89" i="3"/>
  <c r="K85" i="3"/>
  <c r="E3" i="4"/>
  <c r="BL67" i="3" s="1"/>
  <c r="K92" i="3"/>
  <c r="H3" i="4"/>
  <c r="BL39" i="3" s="1"/>
  <c r="K91" i="3"/>
  <c r="I3" i="4"/>
  <c r="BL15" i="3" s="1"/>
  <c r="K87" i="3"/>
  <c r="K3" i="4"/>
  <c r="BL55" i="3" s="1"/>
  <c r="P83" i="3"/>
  <c r="P85" i="3"/>
  <c r="P89" i="3"/>
  <c r="BS53" i="3"/>
  <c r="BS69" i="3"/>
  <c r="BZ65" i="3" s="1"/>
  <c r="CG56" i="3" s="1"/>
  <c r="CN38" i="3" s="1"/>
  <c r="CK6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<sst xmlns="http://schemas.openxmlformats.org/spreadsheetml/2006/main" count="9785" uniqueCount="3699">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</sst>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G23" sqref="G23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8" zoomScaleNormal="100" workbookViewId="0">
      <selection activeCell="H22" sqref="H22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2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4</v>
      </c>
      <c r="AE8" s="124" t="str">
        <f>VLOOKUP("Mexico",T,lang,FALSE)</f>
        <v>Mexico</v>
      </c>
      <c r="AF8" s="123">
        <f>COUNTIF($S$7:$T$78,"=" &amp; AE8 &amp; "_win")</f>
        <v>0</v>
      </c>
      <c r="AG8" s="123">
        <f>COUNTIF($S$7:$T$78,"=" &amp; AE8 &amp; "_draw")</f>
        <v>2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5</v>
      </c>
      <c r="AL8" s="123">
        <f>AI8-AJ8</f>
        <v>-1</v>
      </c>
      <c r="AM8" s="123">
        <f>AL8-AL12</f>
        <v>0</v>
      </c>
      <c r="AN8" s="123">
        <f>AF8*3+AG8</f>
        <v>2</v>
      </c>
      <c r="AO8" s="123">
        <f>AN8/AN12*10+BA8</f>
        <v>3.333333333333333</v>
      </c>
      <c r="AP8" s="123">
        <f>AO8*10000000+BI8*100+AM8/AM12*10+AI8/AI12*1++IF(AQ8=0,ROW(),AQ8)/2000000</f>
        <v>33333333.905602418</v>
      </c>
      <c r="AQ8" s="126">
        <f>VLOOKUP(AE8,db_fifarank,2,FALSE)</f>
        <v>1681.03</v>
      </c>
      <c r="AR8" s="125">
        <f>AP8/AP12</f>
        <v>0.39999996594951537</v>
      </c>
      <c r="AS8" s="125" t="str">
        <f>IF(SUM(AF8:AH11)=12,J9,"1A")</f>
        <v>South Africa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South Africa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6 - 5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1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2</v>
      </c>
      <c r="AH9" s="123">
        <f>COUNTIF($S$7:$T$78,"=" &amp; AE9 &amp; "_lose")</f>
        <v>0</v>
      </c>
      <c r="AI9" s="123">
        <f>SUMIF($E$7:$E$78,$AE9,$F$7:$F$78) + SUMIF($H$7:$H$78,$AE9,$G$7:$G$78)</f>
        <v>6</v>
      </c>
      <c r="AJ9" s="123">
        <f>SUMIF($E$7:$E$78,$AE9,$G$7:$G$78) + SUMIF($H$7:$H$78,$AE9,$F$7:$F$78)</f>
        <v>5</v>
      </c>
      <c r="AL9" s="123">
        <f>AI9-AJ9</f>
        <v>1</v>
      </c>
      <c r="AM9" s="123">
        <f>AL9-AL12</f>
        <v>2</v>
      </c>
      <c r="AN9" s="123">
        <f>AF9*3+AG9</f>
        <v>5</v>
      </c>
      <c r="AO9" s="123">
        <f>AN9/AN12*10+BA9</f>
        <v>8.3333333333333339</v>
      </c>
      <c r="AP9" s="123">
        <f>AO9*10000000+BI9*100+AM9/AM12*10+AI9/AI12*1++IF(AQ9=0,ROW(),AQ9)/2000000</f>
        <v>83333340.857857734</v>
      </c>
      <c r="AQ9" s="126">
        <f>VLOOKUP(AE9,db_fifarank,2,FALSE)</f>
        <v>1429.73</v>
      </c>
      <c r="AR9" s="125">
        <f>AP9/AP12</f>
        <v>0.99999998800000123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1</v>
      </c>
      <c r="AN10" s="123">
        <f>AF10*3+AG10</f>
        <v>4</v>
      </c>
      <c r="AO10" s="123">
        <f>AN10/AN12*10+BA10</f>
        <v>6.6666666666666661</v>
      </c>
      <c r="AP10" s="123">
        <f>AO10*10000000+BI10*100+AM10/AM12*10+AI10/AI12*1++IF(AQ10=0,ROW(),AQ10)/2000000</f>
        <v>66666670.572222903</v>
      </c>
      <c r="AQ10" s="126">
        <f>VLOOKUP(AE10,db_fifarank,2,FALSE)</f>
        <v>1588.66</v>
      </c>
      <c r="AR10" s="125">
        <f>AP10/AP12</f>
        <v>0.79999996503124415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4 - 4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1</v>
      </c>
      <c r="AN11" s="123">
        <f>AF11*3+AG11</f>
        <v>3</v>
      </c>
      <c r="AO11" s="123">
        <f>AN11/AN12*10+BA11</f>
        <v>5</v>
      </c>
      <c r="AP11" s="123">
        <f>AO11*10000000+BI11*100+AM11/AM12*10+AI11/AI12*1++IF(AQ11=0,ROW(),AQ11)/2000000</f>
        <v>50000003.905512601</v>
      </c>
      <c r="AQ11" s="126">
        <f>VLOOKUP(AE11,db_fifarank,2,FALSE)</f>
        <v>1501.38</v>
      </c>
      <c r="AR11" s="125">
        <f>AP11/AP12</f>
        <v>0.599999985489577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Mexico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4 - 5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2</v>
      </c>
      <c r="AI12" s="123">
        <f>MAX(AI8:AI11)+1</f>
        <v>7</v>
      </c>
      <c r="AL12" s="123">
        <f>MIN(AL8:AL11)</f>
        <v>-1</v>
      </c>
      <c r="AM12" s="123">
        <f>MAX(AM8:AM11)+1</f>
        <v>3</v>
      </c>
      <c r="AN12" s="123">
        <f>MAX(AN8:AN11)+1</f>
        <v>6</v>
      </c>
      <c r="AO12" s="123">
        <f>MAX(AO8:AO11)+1</f>
        <v>9.3333333333333339</v>
      </c>
      <c r="AP12" s="123">
        <f>MAX(AP8:AP11)+1</f>
        <v>83333341.857857734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>
        <v>2</v>
      </c>
      <c r="BV12" s="25"/>
      <c r="BW12" s="112">
        <f>IF(OR(BT12="",BT13="",AND(BU12="",BU13&lt;&gt;""),AND(BU13="",BU12&lt;&gt;""),AND(BV12="",BV13&lt;&gt;""),AND(BV13="",BV12&lt;&gt;"")),"",BT12*1000+BU12*10+BV12)</f>
        <v>2020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>
        <v>3</v>
      </c>
      <c r="BV13" s="27"/>
      <c r="BW13" s="113">
        <f>IF(BW12="","",BT13*1000+BU13*10+BV13)</f>
        <v>2030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0</v>
      </c>
      <c r="AH14" s="123">
        <f>COUNTIF($S$7:$T$78,"=" &amp; AE14 &amp; "_lose")</f>
        <v>3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6</v>
      </c>
      <c r="AL14" s="123">
        <f>AI14-AJ14</f>
        <v>-4</v>
      </c>
      <c r="AM14" s="123">
        <f>AL14-AL18</f>
        <v>0</v>
      </c>
      <c r="AN14" s="123">
        <f>AF14*3+AG14</f>
        <v>0</v>
      </c>
      <c r="AO14" s="123">
        <f>AN14/AN18*10+BA14</f>
        <v>0</v>
      </c>
      <c r="AP14" s="123">
        <f>AO14*10000000+BI14*100+AM14/AM18*10+AI14/AI18*1++IF(AQ14=0,ROW(),AQ14)/2000000</f>
        <v>0.3341115733333333</v>
      </c>
      <c r="AQ14" s="126">
        <f>VLOOKUP(AE14,db_fifarank,2,FALSE)</f>
        <v>1556.48</v>
      </c>
      <c r="AR14" s="125">
        <f>AP14/AP18</f>
        <v>3.8184175268681404E-9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6</v>
      </c>
      <c r="AN15" s="123">
        <f>AF15*3+AG15</f>
        <v>7</v>
      </c>
      <c r="AO15" s="123">
        <f>AN15/AN18*10+BA15</f>
        <v>8.75</v>
      </c>
      <c r="AP15" s="123">
        <f>AO15*10000000+BI15*100+AM15/AM18*10+AI15/AI18*1++IF(AQ15=0,ROW(),AQ15)/2000000</f>
        <v>87500009.405454814</v>
      </c>
      <c r="AQ15" s="126">
        <f>VLOOKUP(AE15,db_fifarank,2,FALSE)</f>
        <v>1385.84</v>
      </c>
      <c r="AR15" s="125">
        <f>AP15/AP18</f>
        <v>0.99999998857142991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4</v>
      </c>
      <c r="AJ16" s="123">
        <f>SUMIF($E$7:$E$78,$AE16,$G$7:$G$78) + SUMIF($H$7:$H$78,$AE16,$F$7:$F$78)</f>
        <v>4</v>
      </c>
      <c r="AL16" s="123">
        <f>AI16-AJ16</f>
        <v>0</v>
      </c>
      <c r="AM16" s="123">
        <f>AL16-AL18</f>
        <v>4</v>
      </c>
      <c r="AN16" s="123">
        <f>AF16*3+AG16</f>
        <v>4</v>
      </c>
      <c r="AO16" s="123">
        <f>AN16/AN18*10+BA16</f>
        <v>5</v>
      </c>
      <c r="AP16" s="123">
        <f>AO16*10000000+BI16*100+AM16/AM18*10+AI16/AI18*1++IF(AQ16=0,ROW(),AQ16)/2000000</f>
        <v>50000006.381679863</v>
      </c>
      <c r="AQ16" s="126">
        <f>VLOOKUP(AE16,db_fifarank,2,FALSE)</f>
        <v>1454.96</v>
      </c>
      <c r="AR16" s="125">
        <f>AP16/AP18</f>
        <v>0.57142857640806433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6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62500009.238919936</v>
      </c>
      <c r="AQ17" s="126">
        <f>VLOOKUP(AE17,db_fifarank,2,FALSE)</f>
        <v>1649.4</v>
      </c>
      <c r="AR17" s="125">
        <f>AP17/AP18</f>
        <v>0.71428573493087999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7</v>
      </c>
      <c r="AN18" s="123">
        <f>MAX(AN14:AN17)+1</f>
        <v>8</v>
      </c>
      <c r="AO18" s="123">
        <f>MAX(AO14:AO17)+1</f>
        <v>9.75</v>
      </c>
      <c r="AP18" s="123">
        <f>MAX(AP14:AP17)+1</f>
        <v>87500010.405454814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90000010.186594874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60000005.500877932</v>
      </c>
      <c r="AQ21" s="126">
        <f>VLOOKUP(AE21,db_fifarank,2,FALSE)</f>
        <v>1755.87</v>
      </c>
      <c r="AR21" s="125">
        <f>AP21/AP24</f>
        <v>0.66666664492386951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7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1.1182871387797204E-9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30000003.157892033</v>
      </c>
      <c r="AQ23" s="126">
        <f>VLOOKUP(AE23,db_fifarank,2,FALSE)</f>
        <v>1498.35</v>
      </c>
      <c r="AR23" s="125">
        <f>AP23/AP24</f>
        <v>0.33333332698919049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2020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2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-6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90000011.186594874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Uruguay</v>
      </c>
      <c r="CH24" s="62">
        <v>2</v>
      </c>
      <c r="CI24" s="64">
        <v>3</v>
      </c>
      <c r="CJ24" s="27"/>
      <c r="CK24" s="113">
        <f>IF(CK23="","",CH24*1000+CI24*10+CJ24)</f>
        <v>2030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4</v>
      </c>
      <c r="AL26" s="123">
        <f>AI26-AJ26</f>
        <v>3</v>
      </c>
      <c r="AM26" s="123">
        <f>AL26-AL30</f>
        <v>6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90000009.447265133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2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1023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7 - 4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2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30000003.232894607</v>
      </c>
      <c r="AQ27" s="126">
        <f>VLOOKUP(AE27,db_fifarank,2,FALSE)</f>
        <v>1503.5</v>
      </c>
      <c r="AR27" s="125">
        <f>AP27/AP30</f>
        <v>0.33333333056081027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1</v>
      </c>
      <c r="BN27" s="64">
        <v>2</v>
      </c>
      <c r="BO27" s="27">
        <v>4</v>
      </c>
      <c r="BP27" s="113">
        <f>IF(BP26="","",BM27*1000+BN27*10+BO27)</f>
        <v>1024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6 - 5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0.25079033499999998</v>
      </c>
      <c r="AQ28" s="126">
        <f>VLOOKUP(AE28,db_fifarank,2,FALSE)</f>
        <v>1580.67</v>
      </c>
      <c r="AR28" s="125">
        <f>AP28/AP30</f>
        <v>2.7865589543119974E-9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Ghana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5</v>
      </c>
      <c r="AL29" s="123">
        <f>AI29-AJ29</f>
        <v>1</v>
      </c>
      <c r="AM29" s="123">
        <f>AL29-AL30</f>
        <v>4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60000006.465085238</v>
      </c>
      <c r="AQ29" s="126">
        <f>VLOOKUP(AE29,db_fifarank,2,FALSE)</f>
        <v>1599.04</v>
      </c>
      <c r="AR29" s="125">
        <f>AP29/AP30</f>
        <v>0.66666666111379858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Uruguay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8</v>
      </c>
      <c r="AL30" s="123">
        <f>MIN(AL26:AL29)</f>
        <v>-3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90000010.447265133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Uruguay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90000010.234198526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Uruguay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0.10064732500000001</v>
      </c>
      <c r="AQ33" s="126">
        <f>VLOOKUP(AE33,db_fifarank,2,FALSE)</f>
        <v>1294.6500000000001</v>
      </c>
      <c r="AR33" s="125">
        <f>AP33/AP36</f>
        <v>1.1183034715195199E-9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5 - 5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5</v>
      </c>
      <c r="AL34" s="123">
        <f>AI34-AJ34</f>
        <v>0</v>
      </c>
      <c r="AM34" s="123">
        <f>AL34-AL36</f>
        <v>7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60000005.167433158</v>
      </c>
      <c r="AQ34" s="126">
        <f>VLOOKUP(AE34,db_fifarank,2,FALSE)</f>
        <v>1532.98</v>
      </c>
      <c r="AR34" s="125">
        <f>AP34/AP36</f>
        <v>0.66666664086630845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5</v>
      </c>
      <c r="AL35" s="123">
        <f>AI35-AJ35</f>
        <v>0</v>
      </c>
      <c r="AM35" s="123">
        <f>AL35-AL36</f>
        <v>7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30000005.167464059</v>
      </c>
      <c r="AQ35" s="126">
        <f>VLOOKUP(AE35,db_fifarank,2,FALSE)</f>
        <v>1594.78</v>
      </c>
      <c r="AR35" s="125">
        <f>AP35/AP36</f>
        <v>0.33333334914145601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-7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90000011.234198526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1020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1</v>
      </c>
      <c r="BV37" s="27"/>
      <c r="BW37" s="112">
        <f>IF(BW36="","",BT37*1000+BU37*10+BV37)</f>
        <v>1010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Uruguay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5</v>
      </c>
      <c r="AL38" s="123">
        <f>AI38-AJ38</f>
        <v>1</v>
      </c>
      <c r="AM38" s="123">
        <f>AL38-AL42</f>
        <v>4</v>
      </c>
      <c r="AN38" s="123">
        <f>AF38*3+AG38</f>
        <v>5</v>
      </c>
      <c r="AO38" s="123">
        <f>AN38/AN42*10+BA38</f>
        <v>9.3187276858162935</v>
      </c>
      <c r="AP38" s="123">
        <f>AO38*10000000+BI38*100+AM38/AM42*10+AI38/AI42*1++IF(AQ38=0,ROW(),AQ38)/2000000</f>
        <v>93187384.255619973</v>
      </c>
      <c r="AQ38" s="126">
        <f>VLOOKUP(AE38,db_fifarank,2,FALSE)</f>
        <v>1757.87</v>
      </c>
      <c r="AR38" s="125">
        <f>AP38/AP42</f>
        <v>0.99999998926893385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2</v>
      </c>
      <c r="AV38" s="126" cm="1">
        <f t="array" ref="AV38">SUMPRODUCT(($E$7:$E$78=AE38)*($U$7:$U$78)*($F$7:$F$78))+SUMPRODUCT(($H$7:$H$78=AE38)*($U$7:$U$78)*($G$7:$G$78))</f>
        <v>4</v>
      </c>
      <c r="AW38" s="126" cm="1">
        <f t="array" ref="AW38">SUMPRODUCT(($E$7:$E$78=AE38)*($U$7:$U$78)*($G$7:$G$78))+SUMPRODUCT(($H$7:$H$78=AE38)*($U$7:$U$78)*($F$7:$F$78))</f>
        <v>4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67.466666666666654</v>
      </c>
      <c r="BA38" s="126">
        <f>AZ38/AZ42</f>
        <v>0.98539435248296003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2</v>
      </c>
      <c r="BD38" s="126" cm="1">
        <f t="array" ref="BD38">SUMPRODUCT(($E$7:$E$78=AE38)*($X$7:$X$78)*($F$7:$F$78))+SUMPRODUCT(($H$7:$H$78=AE38)*($X$7:$X$78)*($G$7:$G$78))</f>
        <v>4</v>
      </c>
      <c r="BE38" s="126" cm="1">
        <f t="array" ref="BE38">SUMPRODUCT(($E$7:$E$78=AE38)*($X$7:$X$78)*($G$7:$G$78))+SUMPRODUCT(($H$7:$H$78=AE38)*($X$7:$X$78)*($F$7:$F$78))</f>
        <v>4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67.466666666666654</v>
      </c>
      <c r="BI38" s="126">
        <f>BH38/BH42</f>
        <v>0.98539435248296003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1</v>
      </c>
      <c r="M39" s="31">
        <f>VLOOKUP(1,AD38:AN41,4,FALSE)</f>
        <v>2</v>
      </c>
      <c r="N39" s="31">
        <f>VLOOKUP(1,AD38:AN41,5,FALSE)</f>
        <v>0</v>
      </c>
      <c r="O39" s="31" t="str">
        <f>VLOOKUP(1,AD38:AN41,6,FALSE) &amp; " - " &amp; VLOOKUP(1,AD38:AN41,7,FALSE)</f>
        <v>6 - 5</v>
      </c>
      <c r="P39" s="32">
        <f>L39*3+M39</f>
        <v>5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5</v>
      </c>
      <c r="AL39" s="123">
        <f>AI39-AJ39</f>
        <v>1</v>
      </c>
      <c r="AM39" s="123">
        <f>AL39-AL42</f>
        <v>4</v>
      </c>
      <c r="AN39" s="123">
        <f>AF39*3+AG39</f>
        <v>5</v>
      </c>
      <c r="AO39" s="123">
        <f>AN39/AN42*10+BA39</f>
        <v>9.3187276858162935</v>
      </c>
      <c r="AP39" s="123">
        <f>AO39*10000000+BI39*100+AM39/AM42*10+AI39/AI42*1++IF(AQ39=0,ROW(),AQ39)/2000000</f>
        <v>93187384.255571261</v>
      </c>
      <c r="AQ39" s="126">
        <f>VLOOKUP(AE39,db_fifarank,2,FALSE)</f>
        <v>1660.43</v>
      </c>
      <c r="AR39" s="125">
        <f>AP39/AP42</f>
        <v>0.99999998926841105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2</v>
      </c>
      <c r="AV39" s="126" cm="1">
        <f t="array" ref="AV39">SUMPRODUCT(($E$7:$E$78=AE39)*($U$7:$U$78)*($F$7:$F$78))+SUMPRODUCT(($H$7:$H$78=AE39)*($U$7:$U$78)*($G$7:$G$78))</f>
        <v>4</v>
      </c>
      <c r="AW39" s="126" cm="1">
        <f t="array" ref="AW39">SUMPRODUCT(($E$7:$E$78=AE39)*($U$7:$U$78)*($G$7:$G$78))+SUMPRODUCT(($H$7:$H$78=AE39)*($U$7:$U$78)*($F$7:$F$78))</f>
        <v>4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67.466666666666654</v>
      </c>
      <c r="BA39" s="126">
        <f>AZ39/AZ42</f>
        <v>0.98539435248296003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2</v>
      </c>
      <c r="BD39" s="126" cm="1">
        <f t="array" ref="BD39">SUMPRODUCT(($E$7:$E$78=AE39)*($X$7:$X$78)*($F$7:$F$78))+SUMPRODUCT(($H$7:$H$78=AE39)*($X$7:$X$78)*($G$7:$G$78))</f>
        <v>4</v>
      </c>
      <c r="BE39" s="126" cm="1">
        <f t="array" ref="BE39">SUMPRODUCT(($E$7:$E$78=AE39)*($X$7:$X$78)*($G$7:$G$78))+SUMPRODUCT(($H$7:$H$78=AE39)*($X$7:$X$78)*($F$7:$F$78))</f>
        <v>4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67.466666666666654</v>
      </c>
      <c r="BI39" s="126">
        <f>BH39/BH42</f>
        <v>0.98539435248296003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6 - 5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5</v>
      </c>
      <c r="AL40" s="123">
        <f>AI40-AJ40</f>
        <v>1</v>
      </c>
      <c r="AM40" s="123">
        <f>AL40-AL42</f>
        <v>4</v>
      </c>
      <c r="AN40" s="123">
        <f>AF40*3+AG40</f>
        <v>5</v>
      </c>
      <c r="AO40" s="123">
        <f>AN40/AN42*10+BA40</f>
        <v>9.3187276858162935</v>
      </c>
      <c r="AP40" s="123">
        <f>AO40*10000000+BI40*100+AM40/AM42*10+AI40/AI42*1++IF(AQ40=0,ROW(),AQ40)/2000000</f>
        <v>93187384.255498424</v>
      </c>
      <c r="AQ40" s="126">
        <f>VLOOKUP(AE40,db_fifarank,2,FALSE)</f>
        <v>1514.77</v>
      </c>
      <c r="AR40" s="125">
        <f>AP40/AP42</f>
        <v>0.99999998926762945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2</v>
      </c>
      <c r="AV40" s="126" cm="1">
        <f t="array" ref="AV40">SUMPRODUCT(($E$7:$E$78=AE40)*($U$7:$U$78)*($F$7:$F$78))+SUMPRODUCT(($H$7:$H$78=AE40)*($U$7:$U$78)*($G$7:$G$78))</f>
        <v>4</v>
      </c>
      <c r="AW40" s="126" cm="1">
        <f t="array" ref="AW40">SUMPRODUCT(($E$7:$E$78=AE40)*($U$7:$U$78)*($G$7:$G$78))+SUMPRODUCT(($H$7:$H$78=AE40)*($U$7:$U$78)*($F$7:$F$78))</f>
        <v>4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67.466666666666654</v>
      </c>
      <c r="BA40" s="126">
        <f>AZ40/AZ42</f>
        <v>0.98539435248296003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2</v>
      </c>
      <c r="BD40" s="126" cm="1">
        <f t="array" ref="BD40">SUMPRODUCT(($E$7:$E$78=AE40)*($X$7:$X$78)*($F$7:$F$78))+SUMPRODUCT(($H$7:$H$78=AE40)*($X$7:$X$78)*($G$7:$G$78))</f>
        <v>4</v>
      </c>
      <c r="BE40" s="126" cm="1">
        <f t="array" ref="BE40">SUMPRODUCT(($E$7:$E$78=AE40)*($X$7:$X$78)*($G$7:$G$78))+SUMPRODUCT(($H$7:$H$78=AE40)*($X$7:$X$78)*($F$7:$F$78))</f>
        <v>4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67.466666666666654</v>
      </c>
      <c r="BI40" s="126">
        <f>BH40/BH42</f>
        <v>0.98539435248296003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2</v>
      </c>
      <c r="N41" s="23">
        <f>VLOOKUP(3,AD38:AN41,5,FALSE)</f>
        <v>0</v>
      </c>
      <c r="O41" s="23" t="str">
        <f>VLOOKUP(3,AD38:AN41,6,FALSE) &amp; " - " &amp; VLOOKUP(3,AD38:AN41,7,FALSE)</f>
        <v>6 - 5</v>
      </c>
      <c r="P41" s="34">
        <f>L41*3+M41</f>
        <v>5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1</v>
      </c>
      <c r="V41" s="123">
        <f t="shared" si="3"/>
        <v>2</v>
      </c>
      <c r="W41" s="123">
        <f t="shared" si="4"/>
        <v>2</v>
      </c>
      <c r="X41" s="123">
        <f t="shared" si="9"/>
        <v>1</v>
      </c>
      <c r="Y41" s="123">
        <f t="shared" si="10"/>
        <v>2</v>
      </c>
      <c r="Z41" s="123">
        <f t="shared" si="11"/>
        <v>2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6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0.42931295357142857</v>
      </c>
      <c r="AQ41" s="126">
        <f>VLOOKUP(AE41,db_fifarank,2,FALSE)</f>
        <v>1483.05</v>
      </c>
      <c r="AR41" s="125">
        <f>AP41/AP42</f>
        <v>4.6069857244496241E-9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3 - 6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2</v>
      </c>
      <c r="AG42" s="123">
        <f t="shared" si="18"/>
        <v>3</v>
      </c>
      <c r="AH42" s="123">
        <f t="shared" si="18"/>
        <v>4</v>
      </c>
      <c r="AI42" s="123">
        <f>MAX(AI38:AI41)+1</f>
        <v>7</v>
      </c>
      <c r="AL42" s="123">
        <f>MIN(AL38:AL41)</f>
        <v>-3</v>
      </c>
      <c r="AM42" s="123">
        <f>MAX(AM38:AM41)+1</f>
        <v>5</v>
      </c>
      <c r="AN42" s="123">
        <f>MAX(AN38:AN41)+1</f>
        <v>6</v>
      </c>
      <c r="AO42" s="123">
        <f>MAX(AO38:AO41)+1</f>
        <v>10.318727685816294</v>
      </c>
      <c r="AP42" s="123">
        <f>MAX(AP38:AP41)+1</f>
        <v>93187385.255619973</v>
      </c>
      <c r="AT42" s="126">
        <f>MAX(AT38:AT41)-MIN(AT38:AT41)+1</f>
        <v>1</v>
      </c>
      <c r="AU42" s="126">
        <f>MAX(AU38:AU41)-MIN(AU38:AU41)+1</f>
        <v>3</v>
      </c>
      <c r="AV42" s="126">
        <f>MAX(AV38:AV41)-MIN(AV38:AV41)+1</f>
        <v>5</v>
      </c>
      <c r="AW42" s="126">
        <f>MAX(AW38:AW41)-MIN(AW38:AW41)+1</f>
        <v>5</v>
      </c>
      <c r="AY42" s="126">
        <f>MAX(AY38:AY41)-MIN(AY38:AY41)+1</f>
        <v>1</v>
      </c>
      <c r="AZ42" s="126">
        <f>MAX(AZ38:AZ41)+1</f>
        <v>68.466666666666654</v>
      </c>
      <c r="BB42" s="126">
        <f>MAX(BB38:BB41)-MIN(BB38:BB41)+1</f>
        <v>1</v>
      </c>
      <c r="BC42" s="126">
        <f>MAX(BC38:BC41)-MIN(BC38:BC41)+1</f>
        <v>3</v>
      </c>
      <c r="BD42" s="126">
        <f>MAX(BD38:BD41)-MIN(BD38:BD41)+1</f>
        <v>5</v>
      </c>
      <c r="BE42" s="126">
        <f>MAX(BE38:BE41)-MIN(BE38:BE41)+1</f>
        <v>5</v>
      </c>
      <c r="BG42" s="126">
        <f>MAX(BG38:BG41)-MIN(BG38:BG41)+1</f>
        <v>1</v>
      </c>
      <c r="BH42" s="126">
        <f>MAX(BH38:BH41)+1</f>
        <v>68.466666666666654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8</v>
      </c>
      <c r="AN44" s="123">
        <f>AF44*3+AG44</f>
        <v>7</v>
      </c>
      <c r="AO44" s="123">
        <f>AN44/AN48*10+BA44</f>
        <v>9.7305825242718456</v>
      </c>
      <c r="AP44" s="123">
        <f>AO44*10000000+BI44*100+AM44/AM48*10+AI44/AI48*1++IF(AQ44=0,ROW(),AQ44)/2000000</f>
        <v>97305933.024060458</v>
      </c>
      <c r="AQ44" s="126">
        <f>VLOOKUP(AE44,db_fifarank,2,FALSE)</f>
        <v>1734.71</v>
      </c>
      <c r="AR44" s="125">
        <f>AP44/AP48</f>
        <v>0.99999998972313442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8</v>
      </c>
      <c r="AN45" s="123">
        <f>AF45*3+AG45</f>
        <v>7</v>
      </c>
      <c r="AO45" s="123">
        <f>AN45/AN48*10+BA45</f>
        <v>9.7305825242718456</v>
      </c>
      <c r="AP45" s="123">
        <f>AO45*10000000+BI45*100+AM45/AM48*10+AI45/AI48*1++IF(AQ45=0,ROW(),AQ45)/2000000</f>
        <v>97305933.023974732</v>
      </c>
      <c r="AQ45" s="126">
        <f>VLOOKUP(AE45,db_fifarank,2,FALSE)</f>
        <v>1563.24</v>
      </c>
      <c r="AR45" s="125">
        <f>AP45/AP48</f>
        <v>0.99999998972225346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Ivory Coast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5</v>
      </c>
      <c r="AL46" s="123">
        <f>AI46-AJ46</f>
        <v>-5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8.0764999999999993E-4</v>
      </c>
      <c r="AQ46" s="126">
        <f>VLOOKUP(AE46,db_fifarank,2,FALSE)</f>
        <v>1615.3</v>
      </c>
      <c r="AR46" s="125">
        <f>AP46/AP48</f>
        <v>8.3001104516431189E-12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4</v>
      </c>
      <c r="AL47" s="123">
        <f>AI47-AJ47</f>
        <v>-1</v>
      </c>
      <c r="AM47" s="123">
        <f>AL47-AL48</f>
        <v>4</v>
      </c>
      <c r="AN47" s="123">
        <f>AF47*3+AG47</f>
        <v>3</v>
      </c>
      <c r="AO47" s="123">
        <f>AN47/AN48*10+BA47</f>
        <v>3.75</v>
      </c>
      <c r="AP47" s="123">
        <f>AO47*10000000+BI47*100+AM47/AM48*10+AI47/AI48*1++IF(AQ47=0,ROW(),AQ47)/2000000</f>
        <v>37500004.945085235</v>
      </c>
      <c r="AQ47" s="126">
        <f>VLOOKUP(AE47,db_fifarank,2,FALSE)</f>
        <v>1281.57</v>
      </c>
      <c r="AR47" s="125">
        <f>AP47/AP48</f>
        <v>0.38538250848928446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6</v>
      </c>
      <c r="AL48" s="123">
        <f>MIN(AL44:AL47)</f>
        <v>-5</v>
      </c>
      <c r="AM48" s="123">
        <f>MAX(AM44:AM47)+1</f>
        <v>9</v>
      </c>
      <c r="AN48" s="123">
        <f>MAX(AN44:AN47)+1</f>
        <v>8</v>
      </c>
      <c r="AO48" s="123">
        <f>MAX(AO44:AO47)+1</f>
        <v>10.730582524271846</v>
      </c>
      <c r="AP48" s="123">
        <f>MAX(AP44:AP47)+1</f>
        <v>97305934.024060458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>
        <v>3</v>
      </c>
      <c r="CQ48" s="25"/>
      <c r="CR48" s="111">
        <f>IF(OR(CO48="",CO49="",AND(CP48="",CP49&lt;&gt;""),AND(CP49="",CP48&lt;&gt;""),AND(CQ48="",CQ49&lt;&gt;""),AND(CQ49="",CQ48&lt;&gt;"")),"",CO48*1000+CP48*10+CQ48)</f>
        <v>2030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2</v>
      </c>
      <c r="CP49" s="64">
        <v>2</v>
      </c>
      <c r="CQ49" s="27"/>
      <c r="CR49" s="111">
        <f>IF(CR48="","",CO49*1000+CP49*10+CQ49)</f>
        <v>2020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2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0</v>
      </c>
      <c r="AH50" s="123">
        <f>COUNTIF($S$7:$T$78,"=" &amp; AE50 &amp; "_lose")</f>
        <v>1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3</v>
      </c>
      <c r="AL50" s="123">
        <f>AI50-AJ50</f>
        <v>3</v>
      </c>
      <c r="AM50" s="123">
        <f>AL50-AL54</f>
        <v>10</v>
      </c>
      <c r="AN50" s="123">
        <f>AF50*3+AG50</f>
        <v>6</v>
      </c>
      <c r="AO50" s="123">
        <f>AN50/AN54*10+BA50</f>
        <v>6</v>
      </c>
      <c r="AP50" s="123">
        <f>AO50*10000000+BI50*100+AM50/AM54*10+AI50/AI54*1++IF(AQ50=0,ROW(),AQ50)/2000000</f>
        <v>60000009.948990151</v>
      </c>
      <c r="AQ50" s="126">
        <f>VLOOKUP(AE50,db_fifarank,2,FALSE)</f>
        <v>1876.4</v>
      </c>
      <c r="AR50" s="125">
        <f>AP50/AP54</f>
        <v>0.66666669610812046</v>
      </c>
      <c r="AS50" s="125" t="str">
        <f>IF(SUM(AF50:AH53)=12,J51,"1H")</f>
        <v>Uruguay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South Africa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2</v>
      </c>
      <c r="H51" s="80" t="str">
        <f>AE76</f>
        <v>Ghana</v>
      </c>
      <c r="J51" s="30" t="str">
        <f>VLOOKUP(1,AD50:AN53,2,FALSE)</f>
        <v>Uruguay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5</v>
      </c>
      <c r="AJ51" s="123">
        <f>SUMIF($E$7:$E$78,$AE51,$G$7:$G$78) + SUMIF($H$7:$H$78,$AE51,$F$7:$F$78)</f>
        <v>4</v>
      </c>
      <c r="AL51" s="123">
        <f>AI51-AJ51</f>
        <v>1</v>
      </c>
      <c r="AM51" s="123">
        <f>AL51-AL54</f>
        <v>8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30000007.987696052</v>
      </c>
      <c r="AQ51" s="126">
        <f>VLOOKUP(AE51,db_fifarank,2,FALSE)</f>
        <v>1366.13</v>
      </c>
      <c r="AR51" s="125">
        <f>AP51/AP54</f>
        <v>0.333333381534067</v>
      </c>
      <c r="AS51" s="125" t="str">
        <f>IF(SUM(AF50:AH53)=12,J52,"2H")</f>
        <v>Spain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Cape Verde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Spain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8</v>
      </c>
      <c r="AL52" s="123">
        <f>AI52-AJ52</f>
        <v>-7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0.14356785785714285</v>
      </c>
      <c r="AQ52" s="126">
        <f>VLOOKUP(AE52,db_fifarank,2,FALSE)</f>
        <v>1421.43</v>
      </c>
      <c r="AR52" s="125">
        <f>AP52/AP54</f>
        <v>1.5951982265721708E-9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Cape Verde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5 - 4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1</v>
      </c>
      <c r="AE53" s="124" t="str">
        <f>VLOOKUP("Uruguay",T,lang,FALSE)</f>
        <v>Uruguay</v>
      </c>
      <c r="AF53" s="123">
        <f>COUNTIF($S$7:$T$78,"=" &amp; AE53 &amp; "_win")</f>
        <v>3</v>
      </c>
      <c r="AG53" s="123">
        <f>COUNTIF($S$7:$T$78,"=" &amp; AE53 &amp; "_draw")</f>
        <v>0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10</v>
      </c>
      <c r="AN53" s="123">
        <f>AF53*3+AG53</f>
        <v>9</v>
      </c>
      <c r="AO53" s="123">
        <f>AN53/AN54*10+BA53</f>
        <v>9</v>
      </c>
      <c r="AP53" s="123">
        <f>AO53*10000000+BI53*100+AM53/AM54*10+AI53/AI54*1++IF(AQ53=0,ROW(),AQ53)/2000000</f>
        <v>90000009.948888481</v>
      </c>
      <c r="AQ53" s="126">
        <f>VLOOKUP(AE53,db_fifarank,2,FALSE)</f>
        <v>1673.07</v>
      </c>
      <c r="AR53" s="125">
        <f>AP53/AP54</f>
        <v>0.99999998888889019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1</v>
      </c>
      <c r="W54" s="123">
        <f t="shared" si="22"/>
        <v>1</v>
      </c>
      <c r="X54" s="123">
        <f t="shared" si="9"/>
        <v>1</v>
      </c>
      <c r="Y54" s="123">
        <f t="shared" si="10"/>
        <v>1</v>
      </c>
      <c r="Z54" s="123">
        <f t="shared" si="11"/>
        <v>1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7</v>
      </c>
      <c r="AL54" s="123">
        <f>MIN(AL50:AL53)</f>
        <v>-7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90000010.948888481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90000010.056494221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5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60000004.611955605</v>
      </c>
      <c r="AQ57" s="126">
        <f>VLOOKUP(AE57,db_fifarank,2,FALSE)</f>
        <v>1688.99</v>
      </c>
      <c r="AR57" s="125">
        <f>AP57/AP60</f>
        <v>0.66666663601066445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3</v>
      </c>
      <c r="AO58" s="123">
        <f>AN58/AN60*10+BA58</f>
        <v>3</v>
      </c>
      <c r="AP58" s="123">
        <f>AO58*10000000+BI58*100+AM58/AM60*10+AI58/AI60*1++IF(AQ58=0,ROW(),AQ58)/2000000</f>
        <v>30000000.222945794</v>
      </c>
      <c r="AQ58" s="126">
        <f>VLOOKUP(AE58,db_fifarank,2,FALSE)</f>
        <v>1447.14</v>
      </c>
      <c r="AR58" s="125">
        <f>AP58/AP60</f>
        <v>0.33333329486053498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4</v>
      </c>
      <c r="AE59" s="124" t="str">
        <f>VLOOKUP("Norway",T,lang,FALSE)</f>
        <v>Norway</v>
      </c>
      <c r="AF59" s="123">
        <f>COUNTIF($S$7:$T$78,"=" &amp; AE59 &amp; "_win")</f>
        <v>0</v>
      </c>
      <c r="AG59" s="123">
        <f>COUNTIF($S$7:$T$78,"=" &amp; AE59 &amp; "_draw")</f>
        <v>0</v>
      </c>
      <c r="AH59" s="123">
        <f>COUNTIF($S$7:$T$78,"=" &amp; AE59 &amp; "_lose")</f>
        <v>3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7</v>
      </c>
      <c r="AL59" s="123">
        <f>AI59-AJ59</f>
        <v>-4</v>
      </c>
      <c r="AM59" s="123">
        <f>AL59-AL60</f>
        <v>0</v>
      </c>
      <c r="AN59" s="123">
        <f>AF59*3+AG59</f>
        <v>0</v>
      </c>
      <c r="AO59" s="123">
        <f>AN59/AN60*10+BA59</f>
        <v>0</v>
      </c>
      <c r="AP59" s="123">
        <f>AO59*10000000+BI59*100+AM59/AM60*10+AI59/AI60*1++IF(AQ59=0,ROW(),AQ59)/2000000</f>
        <v>0.33410880333333332</v>
      </c>
      <c r="AQ59" s="126">
        <f>VLOOKUP(AE59,db_fifarank,2,FALSE)</f>
        <v>1550.94</v>
      </c>
      <c r="AR59" s="125">
        <f>AP59/AP60</f>
        <v>3.7123195809788149E-9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Spain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Norway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-4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90000011.056494221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90000010.234270751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2</v>
      </c>
      <c r="BN62" s="63">
        <v>3</v>
      </c>
      <c r="BO62" s="25"/>
      <c r="BP62" s="116">
        <f>IF(OR(BM62="",BM63="",AND(BN62="",BN63&lt;&gt;""),AND(BN63="",BN62&lt;&gt;""),AND(BO62="",BO63&lt;&gt;""),AND(BO63="",BO62&lt;&gt;"")),"",BM62*1000+BN62*10+BO62)</f>
        <v>2030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2</v>
      </c>
      <c r="W63" s="123">
        <f t="shared" si="22"/>
        <v>2</v>
      </c>
      <c r="X63" s="123">
        <f t="shared" si="9"/>
        <v>1</v>
      </c>
      <c r="Y63" s="123">
        <f t="shared" si="10"/>
        <v>2</v>
      </c>
      <c r="Z63" s="123">
        <f t="shared" si="11"/>
        <v>2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2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30000001.53411546</v>
      </c>
      <c r="AQ63" s="126">
        <f>VLOOKUP(AE63,db_fifarank,2,FALSE)</f>
        <v>1564.26</v>
      </c>
      <c r="AR63" s="125">
        <f>AP63/AP66</f>
        <v>0.33333330877065354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2</v>
      </c>
      <c r="BN63" s="64">
        <v>2</v>
      </c>
      <c r="BO63" s="27"/>
      <c r="BP63" s="112">
        <f>IF(BP62="","",BM63*1000+BN63*10+BO63)</f>
        <v>2020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60000005.834130064</v>
      </c>
      <c r="AQ64" s="126">
        <f>VLOOKUP(AE64,db_fifarank,2,FALSE)</f>
        <v>1593.45</v>
      </c>
      <c r="AR64" s="125">
        <f>AP64/AP66</f>
        <v>0.66666664827351596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>
        <v>3</v>
      </c>
      <c r="CC64" s="25"/>
      <c r="CD64" s="116">
        <f>IF(OR(CA64="",CA65="",AND(CB64="",CB65&lt;&gt;""),AND(CB65="",CB64&lt;&gt;""),AND(CC64="",CC65&lt;&gt;""),AND(CC65="",CC64&lt;&gt;"")),"",CA64*1000+CB64*10+CC64)</f>
        <v>2030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3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2 - 6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0.100695725</v>
      </c>
      <c r="AQ65" s="126">
        <f>VLOOKUP(AE65,db_fifarank,2,FALSE)</f>
        <v>1391.45</v>
      </c>
      <c r="AR65" s="125">
        <f>AP65/AP66</f>
        <v>1.118841249229272E-9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>
        <v>2</v>
      </c>
      <c r="CC65" s="27"/>
      <c r="CD65" s="112">
        <f>IF(CD64="","",CA65*1000+CB65*10+CC65)</f>
        <v>2020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-6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90000011.234270751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Ecuador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90000010.234215245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Argentina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4</v>
      </c>
      <c r="AL69" s="123">
        <f>AI69-AJ69</f>
        <v>-1</v>
      </c>
      <c r="AM69" s="123">
        <f>AL69-AL72</f>
        <v>5</v>
      </c>
      <c r="AN69" s="123">
        <f>AF69*3+AG69</f>
        <v>4</v>
      </c>
      <c r="AO69" s="123">
        <f>AN69/AN72*10+BA69</f>
        <v>4.9805825242718447</v>
      </c>
      <c r="AP69" s="123">
        <f>AO69*10000000+BI69*100+AM69/AM72*10+AI69/AI72*1++IF(AQ69=0,ROW(),AQ69)/2000000</f>
        <v>49805926.935043372</v>
      </c>
      <c r="AQ69" s="126">
        <f>VLOOKUP(AE69,db_fifarank,2,FALSE)</f>
        <v>1478.35</v>
      </c>
      <c r="AR69" s="125">
        <f>AP69/AP72</f>
        <v>0.55339911908931727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4 - 5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0.10073267000000001</v>
      </c>
      <c r="AQ70" s="126">
        <f>VLOOKUP(AE70,db_fifarank,2,FALSE)</f>
        <v>1465.34</v>
      </c>
      <c r="AR70" s="125">
        <f>AP70/AP72</f>
        <v>1.1192517491787217E-9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3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3 - 4</v>
      </c>
      <c r="P71" s="34">
        <f>L71*3+M71</f>
        <v>4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5</v>
      </c>
      <c r="AL71" s="123">
        <f>AI71-AJ71</f>
        <v>-1</v>
      </c>
      <c r="AM71" s="123">
        <f>AL71-AL72</f>
        <v>5</v>
      </c>
      <c r="AN71" s="123">
        <f>AF71*3+AG71</f>
        <v>4</v>
      </c>
      <c r="AO71" s="123">
        <f>AN71/AN72*10+BA71</f>
        <v>4.9805825242718447</v>
      </c>
      <c r="AP71" s="123">
        <f>AO71*10000000+BI71*100+AM71/AM72*10+AI71/AI72*1++IF(AQ71=0,ROW(),AQ71)/2000000</f>
        <v>49805927.035150744</v>
      </c>
      <c r="AQ71" s="126">
        <f>VLOOKUP(AE71,db_fifarank,2,FALSE)</f>
        <v>1693.09</v>
      </c>
      <c r="AR71" s="125">
        <f>AP71/AP72</f>
        <v>0.55339912020162119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1 - 7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Uruguay_win</v>
      </c>
      <c r="T72" s="127" t="str">
        <f t="shared" si="20"/>
        <v>Spain_lose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90000011.234215245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90000009.764801875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5</v>
      </c>
      <c r="AL75" s="123">
        <f>AI75-AJ75</f>
        <v>-1</v>
      </c>
      <c r="AM75" s="123">
        <f>AL75-AL78</f>
        <v>3</v>
      </c>
      <c r="AN75" s="123">
        <f>AF75*3+AG75</f>
        <v>3</v>
      </c>
      <c r="AO75" s="123">
        <f>AN75/AN78*10+BA75</f>
        <v>3</v>
      </c>
      <c r="AP75" s="123">
        <f>AO75*10000000+BI75*100+AM75/AM78*10+AI75/AI78*1++IF(AQ75=0,ROW(),AQ75)/2000000</f>
        <v>30000003.834191866</v>
      </c>
      <c r="AQ75" s="126">
        <f>VLOOKUP(AE75,db_fifarank,2,FALSE)</f>
        <v>1717.07</v>
      </c>
      <c r="AR75" s="125">
        <f>AP75/AP78</f>
        <v>0.33333333606582827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6 - 5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5</v>
      </c>
      <c r="AL76" s="123">
        <f>AI76-AJ76</f>
        <v>1</v>
      </c>
      <c r="AM76" s="123">
        <f>AL76-AL78</f>
        <v>5</v>
      </c>
      <c r="AN76" s="123">
        <f>AF76*3+AG76</f>
        <v>6</v>
      </c>
      <c r="AO76" s="123">
        <f>AN76/AN78*10+BA76</f>
        <v>6</v>
      </c>
      <c r="AP76" s="123">
        <f>AO76*10000000+BI76*100+AM76/AM78*10+AI76/AI78*1++IF(AQ76=0,ROW(),AQ76)/2000000</f>
        <v>60000006.306228705</v>
      </c>
      <c r="AQ76" s="126">
        <f>VLOOKUP(AE76,db_fifarank,2,FALSE)</f>
        <v>1346.31</v>
      </c>
      <c r="AR76" s="125">
        <f>AP76/AP78</f>
        <v>0.66666665699660255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0.25077031999999999</v>
      </c>
      <c r="AQ77" s="126">
        <f>VLOOKUP(AE77,db_fifarank,2,FALSE)</f>
        <v>1540.64</v>
      </c>
      <c r="AR77" s="125">
        <f>AP77/AP78</f>
        <v>2.7863365556182114E-9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-4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90000010.764801875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5723.810274499524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6 - 5</v>
      </c>
      <c r="P81" s="98">
        <f>L81*3+M81</f>
        <v>5</v>
      </c>
      <c r="AD81" s="123">
        <f t="shared" ref="AD81:AD91" si="38">COUNTIF($AP$80:$AP$91,CONCATENATE("&gt;=",AP81))</f>
        <v>2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7390.4769179561899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Qatar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10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5376.1912253654764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Ⓚ DR Congo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8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5542.857894607143</v>
      </c>
      <c r="AQ83" s="126">
        <f t="shared" si="37"/>
        <v>1503.5</v>
      </c>
      <c r="AR83" s="125" t="str">
        <f t="shared" si="50"/>
        <v>ABD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Ⓗ Cape Verde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5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5738.0960354852386</v>
      </c>
      <c r="AQ84" s="126">
        <f t="shared" si="37"/>
        <v>1594.78</v>
      </c>
      <c r="AR84" s="125" t="str">
        <f t="shared" si="50"/>
        <v>ABDE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Ⓔ Ecuador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2</v>
      </c>
      <c r="AH85" s="123">
        <f t="shared" si="40"/>
        <v>0</v>
      </c>
      <c r="AI85" s="123">
        <f t="shared" si="41"/>
        <v>6</v>
      </c>
      <c r="AJ85" s="123">
        <f t="shared" si="42"/>
        <v>5</v>
      </c>
      <c r="AK85" s="123" t="s">
        <v>3186</v>
      </c>
      <c r="AL85" s="123">
        <f t="shared" si="43"/>
        <v>1</v>
      </c>
      <c r="AM85" s="123">
        <f t="shared" si="44"/>
        <v>5</v>
      </c>
      <c r="AN85" s="123">
        <f t="shared" si="45"/>
        <v>5</v>
      </c>
      <c r="AP85" s="123">
        <f>AN85/AN92*10000+AM85/AM92*1000+AI85/AI92*100+IF(AQ85=0,ROW(),AQ85)/2000000</f>
        <v>9252.3817097659539</v>
      </c>
      <c r="AQ85" s="126">
        <f t="shared" si="37"/>
        <v>1514.77</v>
      </c>
      <c r="AR85" s="125" t="str">
        <f t="shared" si="50"/>
        <v>ABDEF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Czech Republic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3</v>
      </c>
      <c r="N86" s="100">
        <f>VLOOKUP(6,$AD$80:$AN$91,5,FALSE)</f>
        <v>0</v>
      </c>
      <c r="O86" s="100" t="str">
        <f>VLOOKUP(6,$AD$80:$AN$91,6,FALSE) &amp; " - " &amp; VLOOKUP(6,$AD$80:$AN$91,7,FALSE)</f>
        <v>4 - 4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Ghana</v>
      </c>
      <c r="T86" s="127" t="str" cm="1">
        <f t="array" ref="T86">IF(OR(S86="",S86="draw"),INDEX(T,88,lang),S86)</f>
        <v>Ghana</v>
      </c>
      <c r="AD86" s="123">
        <f t="shared" si="38"/>
        <v>9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5542.8577836421427</v>
      </c>
      <c r="AQ86" s="126">
        <f t="shared" si="37"/>
        <v>1281.57</v>
      </c>
      <c r="AR86" s="125" t="str">
        <f t="shared" si="50"/>
        <v>ABDEF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Croatia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Uruguay</v>
      </c>
      <c r="T87" s="127" t="str" cm="1">
        <f t="array" ref="T87">IF(OR(S87="",S87="draw"),INDEX(T,89,lang),S87)</f>
        <v>Uruguay</v>
      </c>
      <c r="AD87" s="123">
        <f t="shared" si="38"/>
        <v>4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5</v>
      </c>
      <c r="AJ87" s="123">
        <f t="shared" si="42"/>
        <v>4</v>
      </c>
      <c r="AK87" s="123" t="s">
        <v>3188</v>
      </c>
      <c r="AL87" s="123">
        <f t="shared" si="43"/>
        <v>1</v>
      </c>
      <c r="AM87" s="123">
        <f t="shared" si="44"/>
        <v>5</v>
      </c>
      <c r="AN87" s="123">
        <f t="shared" si="45"/>
        <v>3</v>
      </c>
      <c r="AP87" s="123">
        <f>AN87/AN92*10000+AM87/AM92*1000+AI87/AI92*100+IF(AQ87=0,ROW(),AQ87)/2000000</f>
        <v>5904.7625878269046</v>
      </c>
      <c r="AQ87" s="126">
        <f t="shared" si="37"/>
        <v>1366.13</v>
      </c>
      <c r="AR87" s="125" t="str">
        <f t="shared" si="50"/>
        <v>ABDEFH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Paraguay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12</v>
      </c>
      <c r="AE88" s="124" t="str">
        <f>J59</f>
        <v>Iraq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6</v>
      </c>
      <c r="AK88" s="123" t="s">
        <v>3189</v>
      </c>
      <c r="AL88" s="123">
        <f t="shared" si="43"/>
        <v>-4</v>
      </c>
      <c r="AM88" s="123">
        <f t="shared" si="44"/>
        <v>0</v>
      </c>
      <c r="AN88" s="123">
        <f t="shared" si="45"/>
        <v>3</v>
      </c>
      <c r="AP88" s="123">
        <f>AN88/AN92*10000+AM88/AM92*1000+AI88/AI92*100+IF(AQ88=0,ROW(),AQ88)/2000000</f>
        <v>5028.5721521414289</v>
      </c>
      <c r="AQ88" s="126">
        <f t="shared" si="37"/>
        <v>1447.14</v>
      </c>
      <c r="AR88" s="125" t="str">
        <f t="shared" si="50"/>
        <v>ABDEFH</v>
      </c>
      <c r="AS88" s="129" t="str">
        <f t="shared" si="46"/>
        <v/>
      </c>
      <c r="AT88" s="130" t="str">
        <f>"Ⓘ "&amp;AE88</f>
        <v>Ⓘ Iraq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New Zealand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11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6</v>
      </c>
      <c r="AK89" s="123" t="s">
        <v>3190</v>
      </c>
      <c r="AL89" s="123">
        <f t="shared" si="43"/>
        <v>-4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5028.572210701428</v>
      </c>
      <c r="AQ89" s="126">
        <f t="shared" si="37"/>
        <v>1564.26</v>
      </c>
      <c r="AR89" s="125" t="str">
        <f t="shared" si="50"/>
        <v>ABDEFH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Ⓒ Scotland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3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3</v>
      </c>
      <c r="AJ90" s="123">
        <f t="shared" si="42"/>
        <v>4</v>
      </c>
      <c r="AK90" s="123" t="s">
        <v>3191</v>
      </c>
      <c r="AL90" s="123">
        <f t="shared" si="43"/>
        <v>-1</v>
      </c>
      <c r="AM90" s="123">
        <f t="shared" si="44"/>
        <v>3</v>
      </c>
      <c r="AN90" s="123">
        <f t="shared" si="45"/>
        <v>4</v>
      </c>
      <c r="AP90" s="123">
        <f>AN90/AN92*10000+AM90/AM92*1000+AI90/AI92*100+IF(AQ90=0,ROW(),AQ90)/2000000</f>
        <v>7209.5245486988088</v>
      </c>
      <c r="AQ90" s="126">
        <f t="shared" si="37"/>
        <v>1478.35</v>
      </c>
      <c r="AR90" s="125" t="str">
        <f t="shared" si="50"/>
        <v>ABDEFHK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5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5557.1437156778566</v>
      </c>
      <c r="AQ91" s="126">
        <f t="shared" si="37"/>
        <v>1717.07</v>
      </c>
      <c r="AR91" s="125" t="str">
        <f t="shared" si="50"/>
        <v>ABDEFHKL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Ⓘ Iraq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3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Uruguay</v>
      </c>
      <c r="T97" s="127" t="str" cm="1">
        <f t="array" ref="T97">IF(OR(S97="",S97="draw"),INDEX(T,96,lang),S97)</f>
        <v>Uruguay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Uruguay</v>
      </c>
      <c r="T103" s="127" t="str" cm="1">
        <f t="array" ref="T103">IF(OR(S103="",S103="draw"),INDEX(T,99,lang),S103)</f>
        <v>Uruguay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Uruguay</v>
      </c>
      <c r="T111" s="127" t="str">
        <f>S111</f>
        <v>Uruguay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354</v>
      </c>
      <c r="C3" s="121" t="str">
        <f>'2026 World Cup'!AR91</f>
        <v>ABDEFHKL</v>
      </c>
      <c r="D3" s="121" t="str">
        <f>VLOOKUP($C3,$C$6:$K$500,2,FALSE)</f>
        <v>3H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David Garcia Sotomayor (TES)</cp:lastModifiedBy>
  <cp:revision/>
  <dcterms:created xsi:type="dcterms:W3CDTF">2017-12-27T19:32:51Z</dcterms:created>
  <dcterms:modified xsi:type="dcterms:W3CDTF">2026-06-05T09:36:18Z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