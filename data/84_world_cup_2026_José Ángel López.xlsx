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pe186\Downloads\"/>
    </mc:Choice>
  </mc:AlternateContent>
  <xr:revisionPtr revIDLastSave="0" documentId="13_ncr:1_{A636FDDD-471F-4826-9E35-AD33CFB66B2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S40" i="3"/>
  <c r="S62" i="3"/>
  <c r="T61" i="3"/>
  <c r="S38" i="3"/>
  <c r="S65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R10" i="3"/>
  <c r="AR28" i="3"/>
  <c r="AR11" i="3"/>
  <c r="AR33" i="3"/>
  <c r="AR34" i="3"/>
  <c r="AR35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5" i="3"/>
  <c r="AD35" i="3" l="1"/>
  <c r="AD34" i="3"/>
  <c r="AD8" i="3"/>
  <c r="AD10" i="3"/>
  <c r="AD32" i="3"/>
  <c r="N33" i="3" s="1"/>
  <c r="M58" i="3"/>
  <c r="AD9" i="3"/>
  <c r="AD11" i="3"/>
  <c r="AD22" i="3"/>
  <c r="AD33" i="3"/>
  <c r="AD62" i="3"/>
  <c r="O63" i="3" s="1"/>
  <c r="AD44" i="3"/>
  <c r="AD76" i="3"/>
  <c r="AD70" i="3"/>
  <c r="AD28" i="3"/>
  <c r="AD68" i="3"/>
  <c r="L69" i="3" s="1"/>
  <c r="AD15" i="3"/>
  <c r="AD41" i="3"/>
  <c r="AD63" i="3"/>
  <c r="AD74" i="3"/>
  <c r="AD29" i="3"/>
  <c r="O60" i="3"/>
  <c r="L59" i="3"/>
  <c r="N58" i="3"/>
  <c r="AD27" i="3"/>
  <c r="M59" i="3"/>
  <c r="L58" i="3"/>
  <c r="AD71" i="3"/>
  <c r="AD47" i="3"/>
  <c r="AD20" i="3"/>
  <c r="AD21" i="3"/>
  <c r="AD26" i="3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M35" i="3" l="1"/>
  <c r="M39" i="3"/>
  <c r="O33" i="3"/>
  <c r="M33" i="3"/>
  <c r="L33" i="3"/>
  <c r="J33" i="3"/>
  <c r="AS32" i="3" s="1"/>
  <c r="BL10" i="3" s="1"/>
  <c r="J10" i="3"/>
  <c r="AS9" i="3" s="1"/>
  <c r="BL18" i="3" s="1"/>
  <c r="N34" i="3"/>
  <c r="O34" i="3"/>
  <c r="L10" i="3"/>
  <c r="O12" i="3"/>
  <c r="L36" i="3"/>
  <c r="N11" i="3"/>
  <c r="P58" i="3"/>
  <c r="J34" i="3"/>
  <c r="AS33" i="3" s="1"/>
  <c r="BL46" i="3" s="1"/>
  <c r="M63" i="3"/>
  <c r="N63" i="3"/>
  <c r="M36" i="3"/>
  <c r="N35" i="3"/>
  <c r="N36" i="3"/>
  <c r="L34" i="3"/>
  <c r="J9" i="3"/>
  <c r="AS8" i="3" s="1"/>
  <c r="BL50" i="3" s="1"/>
  <c r="O11" i="3"/>
  <c r="L11" i="3"/>
  <c r="L9" i="3"/>
  <c r="L12" i="3"/>
  <c r="N9" i="3"/>
  <c r="O9" i="3"/>
  <c r="J12" i="3"/>
  <c r="M9" i="3"/>
  <c r="N47" i="3"/>
  <c r="J75" i="3"/>
  <c r="AS74" i="3" s="1"/>
  <c r="BL54" i="3" s="1"/>
  <c r="J11" i="3"/>
  <c r="AE80" i="3" s="1"/>
  <c r="AQ80" i="3" s="1"/>
  <c r="N12" i="3"/>
  <c r="N10" i="3"/>
  <c r="M34" i="3"/>
  <c r="M10" i="3"/>
  <c r="L35" i="3"/>
  <c r="P35" i="3" s="1"/>
  <c r="J35" i="3"/>
  <c r="AE84" i="3" s="1"/>
  <c r="AQ84" i="3" s="1"/>
  <c r="O36" i="3"/>
  <c r="J36" i="3"/>
  <c r="M12" i="3"/>
  <c r="O35" i="3"/>
  <c r="M11" i="3"/>
  <c r="L63" i="3"/>
  <c r="O10" i="3"/>
  <c r="O69" i="3"/>
  <c r="M69" i="3"/>
  <c r="P69" i="3" s="1"/>
  <c r="M45" i="3"/>
  <c r="J45" i="3"/>
  <c r="AS44" i="3" s="1"/>
  <c r="BL38" i="3" s="1"/>
  <c r="O45" i="3"/>
  <c r="L45" i="3"/>
  <c r="N45" i="3"/>
  <c r="N51" i="3"/>
  <c r="L27" i="3"/>
  <c r="L76" i="3"/>
  <c r="J78" i="3"/>
  <c r="J71" i="3"/>
  <c r="AE90" i="3" s="1"/>
  <c r="AQ90" i="3" s="1"/>
  <c r="L75" i="3"/>
  <c r="O77" i="3"/>
  <c r="L77" i="3"/>
  <c r="O75" i="3"/>
  <c r="O76" i="3"/>
  <c r="J76" i="3"/>
  <c r="AS75" i="3" s="1"/>
  <c r="BL27" i="3" s="1"/>
  <c r="N78" i="3"/>
  <c r="J21" i="3"/>
  <c r="AS20" i="3" s="1"/>
  <c r="BL42" i="3" s="1"/>
  <c r="BS44" i="3" s="1"/>
  <c r="M78" i="3"/>
  <c r="M70" i="3"/>
  <c r="M76" i="3"/>
  <c r="N77" i="3"/>
  <c r="L78" i="3"/>
  <c r="N76" i="3"/>
  <c r="M77" i="3"/>
  <c r="M75" i="3"/>
  <c r="N30" i="3"/>
  <c r="J77" i="3"/>
  <c r="AE91" i="3" s="1"/>
  <c r="AQ91" i="3" s="1"/>
  <c r="N75" i="3"/>
  <c r="M21" i="3"/>
  <c r="N69" i="3"/>
  <c r="N16" i="3"/>
  <c r="N28" i="3"/>
  <c r="J46" i="3"/>
  <c r="AS45" i="3" s="1"/>
  <c r="BL63" i="3" s="1"/>
  <c r="O78" i="3"/>
  <c r="J69" i="3"/>
  <c r="AS68" i="3" s="1"/>
  <c r="BL70" i="3" s="1"/>
  <c r="M16" i="3"/>
  <c r="L65" i="3"/>
  <c r="M28" i="3"/>
  <c r="M27" i="3"/>
  <c r="J63" i="3"/>
  <c r="AS62" i="3" s="1"/>
  <c r="BL58" i="3" s="1"/>
  <c r="BS60" i="3" s="1"/>
  <c r="BZ64" i="3" s="1"/>
  <c r="L18" i="3"/>
  <c r="M18" i="3"/>
  <c r="O65" i="3"/>
  <c r="L17" i="3"/>
  <c r="L66" i="3"/>
  <c r="N66" i="3"/>
  <c r="M51" i="3"/>
  <c r="N17" i="3"/>
  <c r="L72" i="3"/>
  <c r="J16" i="3"/>
  <c r="AS15" i="3" s="1"/>
  <c r="BL19" i="3" s="1"/>
  <c r="J64" i="3"/>
  <c r="AS63" i="3" s="1"/>
  <c r="BL31" i="3" s="1"/>
  <c r="L29" i="3"/>
  <c r="N29" i="3"/>
  <c r="J30" i="3"/>
  <c r="N18" i="3"/>
  <c r="O51" i="3"/>
  <c r="O18" i="3"/>
  <c r="O66" i="3"/>
  <c r="L16" i="3"/>
  <c r="O16" i="3"/>
  <c r="O22" i="3"/>
  <c r="N21" i="3"/>
  <c r="J22" i="3"/>
  <c r="AS21" i="3" s="1"/>
  <c r="BL23" i="3" s="1"/>
  <c r="J24" i="3"/>
  <c r="M30" i="3"/>
  <c r="J18" i="3"/>
  <c r="O17" i="3"/>
  <c r="K58" i="3"/>
  <c r="M66" i="3"/>
  <c r="J29" i="3"/>
  <c r="AE83" i="3" s="1"/>
  <c r="AQ83" i="3" s="1"/>
  <c r="J48" i="3"/>
  <c r="N65" i="3"/>
  <c r="O28" i="3"/>
  <c r="O24" i="3"/>
  <c r="M65" i="3"/>
  <c r="O29" i="3"/>
  <c r="N24" i="3"/>
  <c r="N64" i="3"/>
  <c r="M29" i="3"/>
  <c r="O40" i="3"/>
  <c r="J65" i="3"/>
  <c r="AE89" i="3" s="1"/>
  <c r="AQ89" i="3" s="1"/>
  <c r="M64" i="3"/>
  <c r="J27" i="3"/>
  <c r="AS26" i="3" s="1"/>
  <c r="BL34" i="3" s="1"/>
  <c r="P57" i="3"/>
  <c r="O64" i="3"/>
  <c r="O47" i="3"/>
  <c r="J66" i="3"/>
  <c r="L64" i="3"/>
  <c r="L46" i="3"/>
  <c r="L30" i="3"/>
  <c r="J28" i="3"/>
  <c r="AS27" i="3" s="1"/>
  <c r="BL62" i="3" s="1"/>
  <c r="BS61" i="3" s="1"/>
  <c r="J47" i="3"/>
  <c r="AE86" i="3" s="1"/>
  <c r="AQ86" i="3" s="1"/>
  <c r="O30" i="3"/>
  <c r="O46" i="3"/>
  <c r="L51" i="3"/>
  <c r="M54" i="3"/>
  <c r="AT88" i="3"/>
  <c r="AN88" i="3"/>
  <c r="AJ88" i="3"/>
  <c r="P59" i="3"/>
  <c r="L48" i="3"/>
  <c r="L54" i="3"/>
  <c r="O42" i="3"/>
  <c r="N52" i="3"/>
  <c r="N48" i="3"/>
  <c r="M17" i="3"/>
  <c r="K59" i="3"/>
  <c r="N54" i="3"/>
  <c r="M46" i="3"/>
  <c r="J52" i="3"/>
  <c r="AS51" i="3" s="1"/>
  <c r="BL59" i="3" s="1"/>
  <c r="J51" i="3"/>
  <c r="AS50" i="3" s="1"/>
  <c r="BL30" i="3" s="1"/>
  <c r="L22" i="3"/>
  <c r="L24" i="3"/>
  <c r="O48" i="3"/>
  <c r="O27" i="3"/>
  <c r="N27" i="3"/>
  <c r="O21" i="3"/>
  <c r="AG88" i="3"/>
  <c r="AF88" i="3"/>
  <c r="M24" i="3"/>
  <c r="L15" i="3"/>
  <c r="M48" i="3"/>
  <c r="N46" i="3"/>
  <c r="M22" i="3"/>
  <c r="L23" i="3"/>
  <c r="M47" i="3"/>
  <c r="L47" i="3"/>
  <c r="L28" i="3"/>
  <c r="O23" i="3"/>
  <c r="L21" i="3"/>
  <c r="N70" i="3"/>
  <c r="N22" i="3"/>
  <c r="J72" i="3"/>
  <c r="L70" i="3"/>
  <c r="L40" i="3"/>
  <c r="M40" i="3"/>
  <c r="K57" i="3"/>
  <c r="O72" i="3"/>
  <c r="N72" i="3"/>
  <c r="L42" i="3"/>
  <c r="M72" i="3"/>
  <c r="L39" i="3"/>
  <c r="P39" i="3" s="1"/>
  <c r="O54" i="3"/>
  <c r="N39" i="3"/>
  <c r="N53" i="3"/>
  <c r="O71" i="3"/>
  <c r="N71" i="3"/>
  <c r="J39" i="3"/>
  <c r="AS38" i="3" s="1"/>
  <c r="BL22" i="3" s="1"/>
  <c r="M41" i="3"/>
  <c r="M71" i="3"/>
  <c r="M42" i="3"/>
  <c r="J40" i="3"/>
  <c r="AS39" i="3" s="1"/>
  <c r="BL43" i="3" s="1"/>
  <c r="N40" i="3"/>
  <c r="J41" i="3"/>
  <c r="AE85" i="3" s="1"/>
  <c r="AQ85" i="3" s="1"/>
  <c r="O70" i="3"/>
  <c r="O39" i="3"/>
  <c r="J42" i="3"/>
  <c r="L71" i="3"/>
  <c r="J70" i="3"/>
  <c r="AS69" i="3" s="1"/>
  <c r="BL26" i="3" s="1"/>
  <c r="AI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7" i="3" l="1"/>
  <c r="P33" i="3"/>
  <c r="P10" i="3"/>
  <c r="K33" i="3"/>
  <c r="P15" i="3"/>
  <c r="AL80" i="3"/>
  <c r="K10" i="3"/>
  <c r="P11" i="3"/>
  <c r="AL84" i="3"/>
  <c r="AT84" i="3"/>
  <c r="P9" i="3"/>
  <c r="K36" i="3"/>
  <c r="AH84" i="3"/>
  <c r="P36" i="3"/>
  <c r="P63" i="3"/>
  <c r="K9" i="3"/>
  <c r="AJ80" i="3"/>
  <c r="AI80" i="3"/>
  <c r="K63" i="3"/>
  <c r="AH80" i="3"/>
  <c r="K35" i="3"/>
  <c r="P34" i="3"/>
  <c r="K11" i="3"/>
  <c r="AF83" i="3"/>
  <c r="AL90" i="3"/>
  <c r="AN90" i="3"/>
  <c r="AT80" i="3"/>
  <c r="AJ90" i="3"/>
  <c r="AN80" i="3"/>
  <c r="AF90" i="3"/>
  <c r="K12" i="3"/>
  <c r="AG80" i="3"/>
  <c r="AF80" i="3"/>
  <c r="AF84" i="3"/>
  <c r="AN84" i="3"/>
  <c r="AJ84" i="3"/>
  <c r="AI84" i="3"/>
  <c r="AG84" i="3"/>
  <c r="K45" i="3"/>
  <c r="P45" i="3"/>
  <c r="P12" i="3"/>
  <c r="K69" i="3"/>
  <c r="K34" i="3"/>
  <c r="P65" i="3"/>
  <c r="P27" i="3"/>
  <c r="P76" i="3"/>
  <c r="AG83" i="3"/>
  <c r="K51" i="3"/>
  <c r="AI90" i="3"/>
  <c r="AH90" i="3"/>
  <c r="AG90" i="3"/>
  <c r="AT90" i="3"/>
  <c r="AJ83" i="3"/>
  <c r="AH83" i="3"/>
  <c r="AI83" i="3"/>
  <c r="P28" i="3"/>
  <c r="P72" i="3"/>
  <c r="AI91" i="3"/>
  <c r="K75" i="3"/>
  <c r="AJ91" i="3"/>
  <c r="AT83" i="3"/>
  <c r="AN83" i="3"/>
  <c r="AL83" i="3"/>
  <c r="AJ89" i="3"/>
  <c r="AN91" i="3"/>
  <c r="P17" i="3"/>
  <c r="AJ81" i="3"/>
  <c r="AI81" i="3"/>
  <c r="AN85" i="3"/>
  <c r="AL91" i="3"/>
  <c r="K77" i="3"/>
  <c r="AG85" i="3"/>
  <c r="AH91" i="3"/>
  <c r="K78" i="3"/>
  <c r="AN86" i="3"/>
  <c r="AF91" i="3"/>
  <c r="AG86" i="3"/>
  <c r="P75" i="3"/>
  <c r="AT91" i="3"/>
  <c r="P66" i="3"/>
  <c r="AL81" i="3"/>
  <c r="AL89" i="3"/>
  <c r="AF86" i="3"/>
  <c r="AH89" i="3"/>
  <c r="AF89" i="3"/>
  <c r="K76" i="3"/>
  <c r="P18" i="3"/>
  <c r="P29" i="3"/>
  <c r="K27" i="3"/>
  <c r="AI89" i="3"/>
  <c r="P78" i="3"/>
  <c r="AF82" i="3"/>
  <c r="P70" i="3"/>
  <c r="AG89" i="3"/>
  <c r="K66" i="3"/>
  <c r="AN82" i="3"/>
  <c r="AT85" i="3"/>
  <c r="AT89" i="3"/>
  <c r="AN89" i="3"/>
  <c r="K30" i="3"/>
  <c r="K18" i="3"/>
  <c r="AH82" i="3"/>
  <c r="AG82" i="3"/>
  <c r="P23" i="3"/>
  <c r="P46" i="3"/>
  <c r="K29" i="3"/>
  <c r="P53" i="3"/>
  <c r="K21" i="3"/>
  <c r="AL87" i="3"/>
  <c r="AJ87" i="3"/>
  <c r="AH81" i="3"/>
  <c r="AF87" i="3"/>
  <c r="AG91" i="3"/>
  <c r="P22" i="3"/>
  <c r="P54" i="3"/>
  <c r="K16" i="3"/>
  <c r="P47" i="3"/>
  <c r="AH85" i="3"/>
  <c r="K22" i="3"/>
  <c r="P24" i="3"/>
  <c r="P64" i="3"/>
  <c r="P41" i="3"/>
  <c r="AL85" i="3"/>
  <c r="P30" i="3"/>
  <c r="P51" i="3"/>
  <c r="K24" i="3"/>
  <c r="K17" i="3"/>
  <c r="K54" i="3"/>
  <c r="K42" i="3"/>
  <c r="P16" i="3"/>
  <c r="K64" i="3"/>
  <c r="P52" i="3"/>
  <c r="K46" i="3"/>
  <c r="K48" i="3"/>
  <c r="K28" i="3"/>
  <c r="AT81" i="3"/>
  <c r="AJ82" i="3"/>
  <c r="P42" i="3"/>
  <c r="P48" i="3"/>
  <c r="AN81" i="3"/>
  <c r="AI82" i="3"/>
  <c r="AT86" i="3"/>
  <c r="AI86" i="3"/>
  <c r="AH86" i="3"/>
  <c r="AG87" i="3"/>
  <c r="AF81" i="3"/>
  <c r="AG81" i="3"/>
  <c r="K65" i="3"/>
  <c r="P21" i="3"/>
  <c r="AL86" i="3"/>
  <c r="AJ86" i="3"/>
  <c r="AT82" i="3"/>
  <c r="AJ85" i="3"/>
  <c r="AN87" i="3"/>
  <c r="AI85" i="3"/>
  <c r="P71" i="3"/>
  <c r="AF85" i="3"/>
  <c r="K70" i="3"/>
  <c r="AT87" i="3"/>
  <c r="K47" i="3"/>
  <c r="AH87" i="3"/>
  <c r="K71" i="3"/>
  <c r="K40" i="3"/>
  <c r="P40" i="3"/>
  <c r="K53" i="3"/>
  <c r="K39" i="3"/>
  <c r="K15" i="3"/>
  <c r="K41" i="3"/>
  <c r="K72" i="3"/>
  <c r="K23" i="3"/>
  <c r="AL82" i="3"/>
  <c r="AI87" i="3"/>
  <c r="K52" i="3"/>
  <c r="AF92" i="3" l="1"/>
  <c r="AG92" i="3"/>
  <c r="AJ92" i="3"/>
  <c r="AN92" i="3"/>
  <c r="AH92" i="3"/>
  <c r="AI92" i="3"/>
  <c r="AL92" i="3"/>
  <c r="AM88" i="3" s="1"/>
  <c r="AS92" i="3"/>
  <c r="AM89" i="3" l="1"/>
  <c r="AM90" i="3"/>
  <c r="AM82" i="3"/>
  <c r="AM91" i="3"/>
  <c r="AM83" i="3"/>
  <c r="AM80" i="3"/>
  <c r="AM87" i="3"/>
  <c r="AM81" i="3"/>
  <c r="AM84" i="3"/>
  <c r="AM86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5" i="3" l="1"/>
  <c r="AP91" i="3"/>
  <c r="AP83" i="3"/>
  <c r="AP82" i="3"/>
  <c r="AP88" i="3"/>
  <c r="AP90" i="3"/>
  <c r="AP89" i="3"/>
  <c r="AP86" i="3"/>
  <c r="AP84" i="3"/>
  <c r="AD84" i="3" s="1"/>
  <c r="AS84" i="3" s="1"/>
  <c r="AP81" i="3"/>
  <c r="AP80" i="3"/>
  <c r="AD83" i="3" s="1"/>
  <c r="AS83" i="3" s="1"/>
  <c r="AD86" i="3" l="1"/>
  <c r="AS86" i="3" s="1"/>
  <c r="AD89" i="3"/>
  <c r="AS89" i="3" s="1"/>
  <c r="AD85" i="3"/>
  <c r="AS85" i="3" s="1"/>
  <c r="AD81" i="3"/>
  <c r="AS81" i="3" s="1"/>
  <c r="AD88" i="3"/>
  <c r="AS88" i="3" s="1"/>
  <c r="AD87" i="3"/>
  <c r="AS87" i="3" s="1"/>
  <c r="AD82" i="3"/>
  <c r="AS82" i="3" s="1"/>
  <c r="AD91" i="3"/>
  <c r="AS91" i="3" s="1"/>
  <c r="AD80" i="3"/>
  <c r="AD90" i="3"/>
  <c r="AS90" i="3" s="1"/>
  <c r="J92" i="3" l="1"/>
  <c r="N91" i="3"/>
  <c r="L92" i="3"/>
  <c r="J91" i="3"/>
  <c r="M92" i="3"/>
  <c r="N92" i="3"/>
  <c r="L91" i="3"/>
  <c r="AS8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M91" i="3"/>
  <c r="P91" i="3" s="1"/>
  <c r="L88" i="3"/>
  <c r="M85" i="3"/>
  <c r="L81" i="3"/>
  <c r="J88" i="3"/>
  <c r="N81" i="3"/>
  <c r="L83" i="3"/>
  <c r="M81" i="3"/>
  <c r="O82" i="3"/>
  <c r="J83" i="3"/>
  <c r="L82" i="3"/>
  <c r="L87" i="3"/>
  <c r="O87" i="3"/>
  <c r="M83" i="3"/>
  <c r="N87" i="3"/>
  <c r="N83" i="3"/>
  <c r="L86" i="3"/>
  <c r="O83" i="3"/>
  <c r="M90" i="3"/>
  <c r="N82" i="3"/>
  <c r="O81" i="3"/>
  <c r="L90" i="3"/>
  <c r="J84" i="3"/>
  <c r="N86" i="3"/>
  <c r="J89" i="3"/>
  <c r="J85" i="3"/>
  <c r="M88" i="3"/>
  <c r="O84" i="3"/>
  <c r="N90" i="3"/>
  <c r="M87" i="3"/>
  <c r="N84" i="3"/>
  <c r="N88" i="3"/>
  <c r="M86" i="3"/>
  <c r="O86" i="3"/>
  <c r="O85" i="3"/>
  <c r="N85" i="3"/>
  <c r="L85" i="3"/>
  <c r="M82" i="3"/>
  <c r="O90" i="3"/>
  <c r="M84" i="3"/>
  <c r="J86" i="3"/>
  <c r="J81" i="3"/>
  <c r="L84" i="3"/>
  <c r="O88" i="3"/>
  <c r="M89" i="3"/>
  <c r="J90" i="3"/>
  <c r="N89" i="3"/>
  <c r="J87" i="3"/>
  <c r="L89" i="3"/>
  <c r="P89" i="3" s="1"/>
  <c r="J82" i="3"/>
  <c r="O89" i="3"/>
  <c r="O91" i="3"/>
  <c r="P92" i="3" l="1"/>
  <c r="P81" i="3"/>
  <c r="P84" i="3"/>
  <c r="K92" i="3"/>
  <c r="P90" i="3"/>
  <c r="K91" i="3"/>
  <c r="P88" i="3"/>
  <c r="K90" i="3"/>
  <c r="K83" i="3"/>
  <c r="K86" i="3"/>
  <c r="K81" i="3"/>
  <c r="K87" i="3"/>
  <c r="K82" i="3"/>
  <c r="P83" i="3"/>
  <c r="K85" i="3"/>
  <c r="K84" i="3"/>
  <c r="P86" i="3"/>
  <c r="K88" i="3"/>
  <c r="K3" i="4"/>
  <c r="BL55" i="3" s="1"/>
  <c r="P82" i="3"/>
  <c r="K89" i="3"/>
  <c r="P85" i="3"/>
  <c r="D3" i="4"/>
  <c r="BL51" i="3" s="1"/>
  <c r="B3" i="4"/>
  <c r="J3" i="4"/>
  <c r="BL71" i="3" s="1"/>
  <c r="G3" i="4"/>
  <c r="BL11" i="3" s="1"/>
  <c r="E3" i="4"/>
  <c r="BL67" i="3" s="1"/>
  <c r="I3" i="4"/>
  <c r="BL15" i="3" s="1"/>
  <c r="P87" i="3"/>
  <c r="H3" i="4"/>
  <c r="BL39" i="3" s="1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<sst xmlns="http://schemas.openxmlformats.org/spreadsheetml/2006/main" count="9785" uniqueCount="3699">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</sst>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16" zoomScaleNormal="100" workbookViewId="0">
      <selection activeCell="CF41" sqref="CF41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5</v>
      </c>
      <c r="AN8" s="123">
        <f>AF8*3+AG8</f>
        <v>4</v>
      </c>
      <c r="AO8" s="123">
        <f>AN8/AN12*10+BA8</f>
        <v>5</v>
      </c>
      <c r="AP8" s="123">
        <f>AO8*10000000+BI8*100+AM8/AM12*10+AI8/AI12*1++IF(AQ8=0,ROW(),AQ8)/2000000</f>
        <v>50000007.810364321</v>
      </c>
      <c r="AQ8" s="126">
        <f>VLOOKUP(AE8,db_fifarank,2,FALSE)</f>
        <v>1681.03</v>
      </c>
      <c r="AR8" s="125">
        <f>AP8/AP12</f>
        <v>0.57142859273522251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1.9129315629891398E-9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6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87500009.405556232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5</v>
      </c>
      <c r="AN11" s="123">
        <f>AF11*3+AG11</f>
        <v>6</v>
      </c>
      <c r="AO11" s="123">
        <f>AN11/AN12*10+BA11</f>
        <v>7.5</v>
      </c>
      <c r="AP11" s="123">
        <f>AO11*10000000+BI11*100+AM11/AM12*10+AI11/AI12*1++IF(AQ11=0,ROW(),AQ11)/2000000</f>
        <v>75000007.810274512</v>
      </c>
      <c r="AQ11" s="126">
        <f>VLOOKUP(AE11,db_fifarank,2,FALSE)</f>
        <v>1501.38</v>
      </c>
      <c r="AR11" s="125">
        <f>AP11/AP12</f>
        <v>0.8571428444711594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-4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87500010.405556232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0</v>
      </c>
      <c r="AH14" s="123">
        <f>COUNTIF($S$7:$T$78,"=" &amp; AE14 &amp; "_lose")</f>
        <v>3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5</v>
      </c>
      <c r="AL14" s="123">
        <f>AI14-AJ14</f>
        <v>-4</v>
      </c>
      <c r="AM14" s="123">
        <f>AL14-AL18</f>
        <v>0</v>
      </c>
      <c r="AN14" s="123">
        <f>AF14*3+AG14</f>
        <v>0</v>
      </c>
      <c r="AO14" s="123">
        <f>AN14/AN18*10+BA14</f>
        <v>0</v>
      </c>
      <c r="AP14" s="123">
        <f>AO14*10000000+BI14*100+AM14/AM18*10+AI14/AI18*1++IF(AQ14=0,ROW(),AQ14)/2000000</f>
        <v>0.16744490666666667</v>
      </c>
      <c r="AQ14" s="126">
        <f>VLOOKUP(AE14,db_fifarank,2,FALSE)</f>
        <v>1556.48</v>
      </c>
      <c r="AR14" s="125">
        <f>AP14/AP18</f>
        <v>1.8604987441650437E-9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5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60000006.750692919</v>
      </c>
      <c r="AQ15" s="126">
        <f>VLOOKUP(AE15,db_fifarank,2,FALSE)</f>
        <v>1385.84</v>
      </c>
      <c r="AR15" s="125">
        <f>AP15/AP18</f>
        <v>0.66666666327319557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2</v>
      </c>
      <c r="AL16" s="123">
        <f>AI16-AJ16</f>
        <v>0</v>
      </c>
      <c r="AM16" s="123">
        <f>AL16-AL18</f>
        <v>4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30000005.334060811</v>
      </c>
      <c r="AQ16" s="126">
        <f>VLOOKUP(AE16,db_fifarank,2,FALSE)</f>
        <v>1454.96</v>
      </c>
      <c r="AR16" s="125">
        <f>AP16/AP18</f>
        <v>0.33333335340008802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2 - 2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90000009.584158033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90000010.584158033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>
        <v>1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1014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>
        <v>1</v>
      </c>
      <c r="BO19" s="27">
        <v>2</v>
      </c>
      <c r="BP19" s="113">
        <f>IF(BP18="","",BM19*1000+BN19*10+BO19)</f>
        <v>1012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12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97305933.389763549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11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97305932.477672994</v>
      </c>
      <c r="AQ21" s="126">
        <f>VLOOKUP(AE21,db_fifarank,2,FALSE)</f>
        <v>1755.87</v>
      </c>
      <c r="AR21" s="125">
        <f>AP21/AP24</f>
        <v>0.9999999803497025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6.6373649670018791E-12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4</v>
      </c>
      <c r="AL23" s="123">
        <f>AI23-AJ23</f>
        <v>1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37500007.638111815</v>
      </c>
      <c r="AQ23" s="126">
        <f>VLOOKUP(AE23,db_fifarank,2,FALSE)</f>
        <v>1498.35</v>
      </c>
      <c r="AR23" s="125">
        <f>AP23/AP24</f>
        <v>0.38538253471678047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>
        <v>4</v>
      </c>
      <c r="CK23" s="112">
        <f>IF(OR(CH23="",CH24="",AND(CI23="",CI24&lt;&gt;""),AND(CI24="",CI23&lt;&gt;""),AND(CJ23="",CJ24&lt;&gt;""),AND(CJ24="",CJ23&lt;&gt;"")),"",CH23*1000+CI23*10+CJ23)</f>
        <v>1014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7</v>
      </c>
      <c r="AL24" s="123">
        <f>MIN(AL20:AL23)</f>
        <v>-8</v>
      </c>
      <c r="AM24" s="123">
        <f>MAX(AM20:AM23)+1</f>
        <v>13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97305934.389763549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1</v>
      </c>
      <c r="CJ24" s="27">
        <v>5</v>
      </c>
      <c r="CK24" s="113">
        <f>IF(CK23="","",CH24*1000+CI24*10+CJ24)</f>
        <v>1015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8</v>
      </c>
      <c r="AN26" s="123">
        <f>AF26*3+AG26</f>
        <v>4</v>
      </c>
      <c r="AO26" s="123">
        <f>AN26/AN30*10+BA26</f>
        <v>4.9805825242718447</v>
      </c>
      <c r="AP26" s="123">
        <f>AO26*10000000+BI26*100+AM26/AM30*10+AI26/AI30*1++IF(AQ26=0,ROW(),AQ26)/2000000</f>
        <v>49805931.431677565</v>
      </c>
      <c r="AQ26" s="126">
        <f>VLOOKUP(AE26,db_fifarank,2,FALSE)</f>
        <v>1673.13</v>
      </c>
      <c r="AR26" s="125">
        <f>AP26/AP30</f>
        <v>0.55339917080658052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2</v>
      </c>
      <c r="AL27" s="123">
        <f>AI27-AJ27</f>
        <v>0</v>
      </c>
      <c r="AM27" s="123">
        <f>AL27-AL30</f>
        <v>6</v>
      </c>
      <c r="AN27" s="123">
        <f>AF27*3+AG27</f>
        <v>4</v>
      </c>
      <c r="AO27" s="123">
        <f>AN27/AN30*10+BA27</f>
        <v>4.9805825242718447</v>
      </c>
      <c r="AP27" s="123">
        <f>AO27*10000000+BI27*100+AM27/AM30*10+AI27/AI30*1++IF(AQ27=0,ROW(),AQ27)/2000000</f>
        <v>49805929.041982353</v>
      </c>
      <c r="AQ27" s="126">
        <f>VLOOKUP(AE27,db_fifarank,2,FALSE)</f>
        <v>1503.5</v>
      </c>
      <c r="AR27" s="125">
        <f>AP27/AP30</f>
        <v>0.55339914425441472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3</v>
      </c>
      <c r="BN27" s="64"/>
      <c r="BO27" s="27"/>
      <c r="BP27" s="113">
        <f>IF(BP26="","",BM27*1000+BN27*10+BO27)</f>
        <v>3000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6 - 4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6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8.7814989316963626E-12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10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90000009.948851466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Uzbekistan_draw</v>
      </c>
      <c r="T30" s="127" t="str">
        <f t="shared" si="2"/>
        <v>Colombia_draw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0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-6</v>
      </c>
      <c r="AM30" s="123">
        <f>MAX(AM26:AM29)+1</f>
        <v>11</v>
      </c>
      <c r="AN30" s="123">
        <f>MAX(AN26:AN29)+1</f>
        <v>10</v>
      </c>
      <c r="AO30" s="123">
        <f>MAX(AO26:AO29)+1</f>
        <v>10</v>
      </c>
      <c r="AP30" s="123">
        <f>MAX(AP26:AP29)+1</f>
        <v>90000010.948851466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3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90000010.284956098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10 - 3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7.1924990981440383E-12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9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49805929.381282814</v>
      </c>
      <c r="AQ34" s="126">
        <f>VLOOKUP(AE34,db_fifarank,2,FALSE)</f>
        <v>1532.98</v>
      </c>
      <c r="AR34" s="125">
        <f>AP34/AP36</f>
        <v>0.55339914595775275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49805928.665404625</v>
      </c>
      <c r="AQ35" s="126">
        <f>VLOOKUP(AE35,db_fifarank,2,FALSE)</f>
        <v>1594.78</v>
      </c>
      <c r="AR35" s="125">
        <f>AP35/AP36</f>
        <v>0.55339913800355167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90000011.284956098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97305932.885183141</v>
      </c>
      <c r="AQ38" s="126">
        <f>VLOOKUP(AE38,db_fifarank,2,FALSE)</f>
        <v>1757.87</v>
      </c>
      <c r="AR38" s="125">
        <f>AP38/AP42</f>
        <v>0.99999998972313442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Egypt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6</v>
      </c>
      <c r="AL39" s="123">
        <f>AI39-AJ39</f>
        <v>-1</v>
      </c>
      <c r="AM39" s="123">
        <f>AL39-AL42</f>
        <v>3</v>
      </c>
      <c r="AN39" s="123">
        <f>AF39*3+AG39</f>
        <v>3</v>
      </c>
      <c r="AO39" s="123">
        <f>AN39/AN42*10+BA39</f>
        <v>3.75</v>
      </c>
      <c r="AP39" s="123">
        <f>AO39*10000000+BI39*100+AM39/AM42*10+AI39/AI42*1++IF(AQ39=0,ROW(),AQ39)/2000000</f>
        <v>37500004.584163554</v>
      </c>
      <c r="AQ39" s="126">
        <f>VLOOKUP(AE39,db_fifarank,2,FALSE)</f>
        <v>1660.43</v>
      </c>
      <c r="AR39" s="125">
        <f>AP39/AP42</f>
        <v>0.38538250533016788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Mexico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5 - 3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5</v>
      </c>
      <c r="AL40" s="123">
        <f>AI40-AJ40</f>
        <v>-4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0.16742405166666666</v>
      </c>
      <c r="AQ40" s="126">
        <f>VLOOKUP(AE40,db_fifarank,2,FALSE)</f>
        <v>1514.77</v>
      </c>
      <c r="AR40" s="125">
        <f>AP40/AP42</f>
        <v>1.7205944692357602E-9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5 - 6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2</v>
      </c>
      <c r="AG41" s="123">
        <f>COUNTIF($S$7:$T$78,"=" &amp; AE41 &amp; "_draw")</f>
        <v>1</v>
      </c>
      <c r="AH41" s="123">
        <f>COUNTIF($S$7:$T$78,"=" &amp; AE41 &amp; "_lose")</f>
        <v>0</v>
      </c>
      <c r="AI41" s="123">
        <f>SUMIF($E$7:$E$78,$AE41,$F$7:$F$78) + SUMIF($H$7:$H$78,$AE41,$G$7:$G$78)</f>
        <v>5</v>
      </c>
      <c r="AJ41" s="123">
        <f>SUMIF($E$7:$E$78,$AE41,$G$7:$G$78) + SUMIF($H$7:$H$78,$AE41,$F$7:$F$78)</f>
        <v>3</v>
      </c>
      <c r="AL41" s="123">
        <f>AI41-AJ41</f>
        <v>2</v>
      </c>
      <c r="AM41" s="123">
        <f>AL41-AL42</f>
        <v>6</v>
      </c>
      <c r="AN41" s="123">
        <f>AF41*3+AG41</f>
        <v>7</v>
      </c>
      <c r="AO41" s="123">
        <f>AN41/AN42*10+BA41</f>
        <v>9.7305825242718456</v>
      </c>
      <c r="AP41" s="123">
        <f>AO41*10000000+BI41*100+AM41/AM42*10+AI41/AI42*1++IF(AQ41=0,ROW(),AQ41)/2000000</f>
        <v>97305931.635045737</v>
      </c>
      <c r="AQ41" s="126">
        <f>VLOOKUP(AE41,db_fifarank,2,FALSE)</f>
        <v>1483.05</v>
      </c>
      <c r="AR41" s="125">
        <f>AP41/AP42</f>
        <v>0.99999997687564046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3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97305933.885183141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8</v>
      </c>
      <c r="AN44" s="123">
        <f>AF44*3+AG44</f>
        <v>7</v>
      </c>
      <c r="AO44" s="123">
        <f>AN44/AN48*10+BA44</f>
        <v>9.7305825242718456</v>
      </c>
      <c r="AP44" s="123">
        <f>AO44*10000000+BI44*100+AM44/AM48*10+AI44/AI48*1++IF(AQ44=0,ROW(),AQ44)/2000000</f>
        <v>97305931.288851216</v>
      </c>
      <c r="AQ44" s="126">
        <f>VLOOKUP(AE44,db_fifarank,2,FALSE)</f>
        <v>1734.71</v>
      </c>
      <c r="AR44" s="125">
        <f>AP44/AP48</f>
        <v>0.99999996957068182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1</v>
      </c>
      <c r="AL45" s="123">
        <f>AI45-AJ45</f>
        <v>5</v>
      </c>
      <c r="AM45" s="123">
        <f>AL45-AL48</f>
        <v>10</v>
      </c>
      <c r="AN45" s="123">
        <f>AF45*3+AG45</f>
        <v>7</v>
      </c>
      <c r="AO45" s="123">
        <f>AN45/AN48*10+BA45</f>
        <v>9.7305825242718456</v>
      </c>
      <c r="AP45" s="123">
        <f>AO45*10000000+BI45*100+AM45/AM48*10+AI45/AI48*1++IF(AQ45=0,ROW(),AQ45)/2000000</f>
        <v>97305933.249804452</v>
      </c>
      <c r="AQ45" s="126">
        <f>VLOOKUP(AE45,db_fifarank,2,FALSE)</f>
        <v>1563.24</v>
      </c>
      <c r="AR45" s="125">
        <f>AP45/AP48</f>
        <v>0.99999998972313453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5</v>
      </c>
      <c r="AL46" s="123">
        <f>AI46-AJ46</f>
        <v>-3</v>
      </c>
      <c r="AM46" s="123">
        <f>AL46-AL48</f>
        <v>2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37500002.104703754</v>
      </c>
      <c r="AQ46" s="126">
        <f>VLOOKUP(AE46,db_fifarank,2,FALSE)</f>
        <v>1615.3</v>
      </c>
      <c r="AR46" s="125">
        <f>AP46/AP48</f>
        <v>0.38538247840500145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6.5852612683926587E-12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10.730582524271846</v>
      </c>
      <c r="AP48" s="123">
        <f>MAX(AP44:AP47)+1</f>
        <v>97305934.249804452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8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0.20068306500000002</v>
      </c>
      <c r="AQ51" s="126">
        <f>VLOOKUP(AE51,db_fifarank,2,FALSE)</f>
        <v>1366.13</v>
      </c>
      <c r="AR51" s="125">
        <f>AP51/AP54</f>
        <v>2.2298115561763668E-9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30000002.443567857</v>
      </c>
      <c r="AQ52" s="126">
        <f>VLOOKUP(AE52,db_fifarank,2,FALSE)</f>
        <v>1421.43</v>
      </c>
      <c r="AR52" s="125">
        <f>AP52/AP54</f>
        <v>0.33333331905204278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60000006.215122253</v>
      </c>
      <c r="AQ53" s="126">
        <f>VLOOKUP(AE53,db_fifarank,2,FALSE)</f>
        <v>1673.07</v>
      </c>
      <c r="AR53" s="125">
        <f>AP53/AP54</f>
        <v>0.66666665285948978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1</v>
      </c>
      <c r="AL56" s="123">
        <f>AI56-AJ56</f>
        <v>9</v>
      </c>
      <c r="AM56" s="123">
        <f>AL56-AL60</f>
        <v>17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90000010.354474008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9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60000005.455389947</v>
      </c>
      <c r="AQ57" s="126">
        <f>VLOOKUP(AE57,db_fifarank,2,FALSE)</f>
        <v>1688.99</v>
      </c>
      <c r="AR57" s="125">
        <f>AP57/AP60</f>
        <v>0.66666664317489865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9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9.1632660909090918E-2</v>
      </c>
      <c r="AQ58" s="126">
        <f>VLOOKUP(AE58,db_fifarank,2,FALSE)</f>
        <v>1447.14</v>
      </c>
      <c r="AR58" s="125">
        <f>AP58/AP60</f>
        <v>1.018140548318228E-9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1</v>
      </c>
      <c r="BO58" s="25">
        <v>3</v>
      </c>
      <c r="BP58" s="112">
        <f>IF(OR(BM58="",BM59="",AND(BN58="",BN59&lt;&gt;""),AND(BN59="",BN58&lt;&gt;""),AND(BO58="",BO59&lt;&gt;""),AND(BO59="",BO58&lt;&gt;"")),"",BM58*1000+BN58*10+BO58)</f>
        <v>1013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6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30000003.606836077</v>
      </c>
      <c r="AQ59" s="126">
        <f>VLOOKUP(AE59,db_fifarank,2,FALSE)</f>
        <v>1550.94</v>
      </c>
      <c r="AR59" s="125">
        <f>AP59/AP60</f>
        <v>0.33333333135568255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>
        <v>1</v>
      </c>
      <c r="BO59" s="27">
        <v>2</v>
      </c>
      <c r="BP59" s="113">
        <f>IF(BP58="","",BM59*1000+BN59*10+BO59)</f>
        <v>1012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-8</v>
      </c>
      <c r="AM60" s="123">
        <f>MAX(AM56:AM59)+1</f>
        <v>18</v>
      </c>
      <c r="AN60" s="123">
        <f>MAX(AN56:AN59)+1</f>
        <v>10</v>
      </c>
      <c r="AO60" s="123">
        <f>MAX(AO56:AO59)+1</f>
        <v>10</v>
      </c>
      <c r="AP60" s="123">
        <f>MAX(AP56:AP59)+1</f>
        <v>90000011.354474008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1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19805924.335843913</v>
      </c>
      <c r="AQ63" s="126">
        <f>VLOOKUP(AE63,db_fifarank,2,FALSE)</f>
        <v>1564.26</v>
      </c>
      <c r="AR63" s="125">
        <f>AP63/AP66</f>
        <v>0.22006579913795635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1</v>
      </c>
      <c r="V64" s="123">
        <f t="shared" si="21"/>
        <v>1</v>
      </c>
      <c r="W64" s="123">
        <f t="shared" si="22"/>
        <v>1</v>
      </c>
      <c r="X64" s="123">
        <f t="shared" si="9"/>
        <v>1</v>
      </c>
      <c r="Y64" s="123">
        <f t="shared" si="10"/>
        <v>1</v>
      </c>
      <c r="Z64" s="123">
        <f t="shared" si="11"/>
        <v>1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60000005.046251275</v>
      </c>
      <c r="AQ64" s="126">
        <f>VLOOKUP(AE64,db_fifarank,2,FALSE)</f>
        <v>1593.45</v>
      </c>
      <c r="AR64" s="125">
        <f>AP64/AP66</f>
        <v>0.66666664150022825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1 - 4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19805923.426666599</v>
      </c>
      <c r="AQ65" s="126">
        <f>VLOOKUP(AE65,db_fifarank,2,FALSE)</f>
        <v>1391.45</v>
      </c>
      <c r="AR65" s="125">
        <f>AP65/AP66</f>
        <v>0.22006578903598742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8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Ecuador</v>
      </c>
      <c r="BM67" s="62">
        <v>2</v>
      </c>
      <c r="BN67" s="64"/>
      <c r="BO67" s="27"/>
      <c r="BP67" s="113">
        <f>IF(BP66="","",BM67*1000+BN67*10+BO67)</f>
        <v>2000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3</v>
      </c>
      <c r="AL68" s="123">
        <f>AI68-AJ68</f>
        <v>3</v>
      </c>
      <c r="AM68" s="123">
        <f>AL68-AL72</f>
        <v>5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87500009.191358089</v>
      </c>
      <c r="AQ68" s="126">
        <f>VLOOKUP(AE68,db_fifarank,2,FALSE)</f>
        <v>1763.83</v>
      </c>
      <c r="AR68" s="125">
        <f>AP68/AP72</f>
        <v>0.99999998857142991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Ecuador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3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6</v>
      </c>
      <c r="AL69" s="123">
        <f>AI69-AJ69</f>
        <v>-2</v>
      </c>
      <c r="AM69" s="123">
        <f>AL69-AL72</f>
        <v>0</v>
      </c>
      <c r="AN69" s="123">
        <f>AF69*3+AG69</f>
        <v>2</v>
      </c>
      <c r="AO69" s="123">
        <f>AN69/AN72*10+BA69</f>
        <v>3.4805825242718447</v>
      </c>
      <c r="AP69" s="123">
        <f>AO69*10000000+BI69*100+AM69/AM72*10+AI69/AI72*1++IF(AQ69=0,ROW(),AQ69)/2000000</f>
        <v>34805923.873138614</v>
      </c>
      <c r="AQ69" s="126">
        <f>VLOOKUP(AE69,db_fifarank,2,FALSE)</f>
        <v>1478.35</v>
      </c>
      <c r="AR69" s="125">
        <f>AP69/AP72</f>
        <v>0.39778194079086188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0</v>
      </c>
      <c r="M70" s="23">
        <f>VLOOKUP(2,AD68:AN71,4,FALSE)</f>
        <v>3</v>
      </c>
      <c r="N70" s="23">
        <f>VLOOKUP(2,AD68:AN71,5,FALSE)</f>
        <v>0</v>
      </c>
      <c r="O70" s="23" t="str">
        <f>VLOOKUP(2,AD68:AN71,6,FALSE) &amp; " - " &amp; VLOOKUP(2,AD68:AN71,7,FALSE)</f>
        <v>4 - 4</v>
      </c>
      <c r="P70" s="34">
        <f>L70*3+M70</f>
        <v>3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2</v>
      </c>
      <c r="AH70" s="123">
        <f>COUNTIF($S$7:$T$78,"=" &amp; AE70 &amp; "_lose")</f>
        <v>1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4</v>
      </c>
      <c r="AL70" s="123">
        <f>AI70-AJ70</f>
        <v>-1</v>
      </c>
      <c r="AM70" s="123">
        <f>AL70-AL72</f>
        <v>1</v>
      </c>
      <c r="AN70" s="123">
        <f>AF70*3+AG70</f>
        <v>2</v>
      </c>
      <c r="AO70" s="123">
        <f>AN70/AN72*10+BA70</f>
        <v>3.4805825242718447</v>
      </c>
      <c r="AP70" s="123">
        <f>AO70*10000000+BI70*100+AM70/AM72*10+AI70/AI72*1++IF(AQ70=0,ROW(),AQ70)/2000000</f>
        <v>34805925.396941625</v>
      </c>
      <c r="AQ70" s="126">
        <f>VLOOKUP(AE70,db_fifarank,2,FALSE)</f>
        <v>1465.34</v>
      </c>
      <c r="AR70" s="125">
        <f>AP70/AP72</f>
        <v>0.39778195820575141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3 - 4</v>
      </c>
      <c r="P71" s="34">
        <f>L71*3+M71</f>
        <v>2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0</v>
      </c>
      <c r="AG71" s="123">
        <f>COUNTIF($S$7:$T$78,"=" &amp; AE71 &amp; "_draw")</f>
        <v>3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2</v>
      </c>
      <c r="AN71" s="123">
        <f>AF71*3+AG71</f>
        <v>3</v>
      </c>
      <c r="AO71" s="123">
        <f>AN71/AN72*10+BA71</f>
        <v>3.75</v>
      </c>
      <c r="AP71" s="123">
        <f>AO71*10000000+BI71*100+AM71/AM72*10+AI71/AI72*1++IF(AQ71=0,ROW(),AQ71)/2000000</f>
        <v>37500003.905608453</v>
      </c>
      <c r="AQ71" s="126">
        <f>VLOOKUP(AE71,db_fifarank,2,FALSE)</f>
        <v>1693.09</v>
      </c>
      <c r="AR71" s="125">
        <f>AP71/AP72</f>
        <v>0.4285714232900984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2</v>
      </c>
      <c r="N72" s="36">
        <f>VLOOKUP(4,AD68:AN71,5,FALSE)</f>
        <v>1</v>
      </c>
      <c r="O72" s="36" t="str">
        <f>VLOOKUP(4,AD68:AN71,6,FALSE) &amp; " - " &amp; VLOOKUP(4,AD68:AN71,7,FALSE)</f>
        <v>4 - 6</v>
      </c>
      <c r="P72" s="37">
        <f>L72*3+M72</f>
        <v>2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3</v>
      </c>
      <c r="AH72" s="123">
        <f t="shared" si="35"/>
        <v>2</v>
      </c>
      <c r="AI72" s="123">
        <f>MAX(AI68:AI71)+1</f>
        <v>7</v>
      </c>
      <c r="AL72" s="123">
        <f>MIN(AL68:AL71)</f>
        <v>-2</v>
      </c>
      <c r="AM72" s="123">
        <f>MAX(AM68:AM71)+1</f>
        <v>6</v>
      </c>
      <c r="AN72" s="123">
        <f>MAX(AN68:AN71)+1</f>
        <v>8</v>
      </c>
      <c r="AO72" s="123">
        <f>MAX(AO68:AO71)+1</f>
        <v>9.75</v>
      </c>
      <c r="AP72" s="123">
        <f>MAX(AP68:AP71)+1</f>
        <v>87500010.191358089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13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90000010.161627263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60000007.89371568</v>
      </c>
      <c r="AQ75" s="126">
        <f>VLOOKUP(AE75,db_fifarank,2,FALSE)</f>
        <v>1717.07</v>
      </c>
      <c r="AR75" s="125">
        <f>AP75/AP78</f>
        <v>0.66666667169589755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5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30000003.947101727</v>
      </c>
      <c r="AQ76" s="126">
        <f>VLOOKUP(AE76,db_fifarank,2,FALSE)</f>
        <v>1346.31</v>
      </c>
      <c r="AR76" s="125">
        <f>AP76/AP78</f>
        <v>0.33333333585065866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8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1.3974478266912025E-9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-7</v>
      </c>
      <c r="AM78" s="123">
        <f>MAX(AM74:AM77)+1</f>
        <v>14</v>
      </c>
      <c r="AN78" s="123">
        <f>MAX(AN74:AN77)+1</f>
        <v>10</v>
      </c>
      <c r="AO78" s="123">
        <f>MAX(AO74:AO77)+1</f>
        <v>10</v>
      </c>
      <c r="AP78" s="123">
        <f>MAX(AP74:AP77)+1</f>
        <v>90000011.161627263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8866.6675071816662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Mexico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6633.3340608133331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Ecuador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4</v>
      </c>
      <c r="AK82" s="123" t="s">
        <v>3182</v>
      </c>
      <c r="AL82" s="123">
        <f t="shared" si="43"/>
        <v>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6883.3340825083333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Paraguay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3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4</v>
      </c>
      <c r="AP83" s="123">
        <f>AN83/AN92*10000+AM83/AM92*1000+AI83/AI92*100+IF(AQ83=0,ROW(),AQ83)/2000000</f>
        <v>8633.3340850833338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4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8666.6674640566653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Ⓑ Qatar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2 - 2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6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6483.334163548333</v>
      </c>
      <c r="AQ85" s="126">
        <f t="shared" si="37"/>
        <v>1660.43</v>
      </c>
      <c r="AR85" s="125" t="str">
        <f t="shared" si="50"/>
        <v>ABCDEF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Japan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3187</v>
      </c>
      <c r="AL86" s="123">
        <f t="shared" si="43"/>
        <v>-3</v>
      </c>
      <c r="AM86" s="123">
        <f t="shared" si="44"/>
        <v>0</v>
      </c>
      <c r="AN86" s="123">
        <f t="shared" si="45"/>
        <v>3</v>
      </c>
      <c r="AP86" s="123">
        <f>AN86/AN92*10000+AM86/AM92*1000+AI86/AI92*100+IF(AQ86=0,ROW(),AQ86)/2000000</f>
        <v>6033.3341409833329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Norway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6050.0007107150004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7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6250.00077547</v>
      </c>
      <c r="AQ88" s="126">
        <f t="shared" si="37"/>
        <v>1550.94</v>
      </c>
      <c r="AR88" s="125" t="str">
        <f t="shared" si="50"/>
        <v>ABCDEFI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2016.6674487966668</v>
      </c>
      <c r="AQ89" s="126">
        <f t="shared" si="37"/>
        <v>1564.26</v>
      </c>
      <c r="AR89" s="125" t="str">
        <f t="shared" si="50"/>
        <v>ABCDEFI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3</v>
      </c>
      <c r="AJ90" s="123">
        <f t="shared" si="42"/>
        <v>4</v>
      </c>
      <c r="AK90" s="123" t="s">
        <v>3191</v>
      </c>
      <c r="AL90" s="123">
        <f t="shared" si="43"/>
        <v>-1</v>
      </c>
      <c r="AM90" s="123">
        <f t="shared" si="44"/>
        <v>2</v>
      </c>
      <c r="AN90" s="123">
        <f t="shared" si="45"/>
        <v>2</v>
      </c>
      <c r="AP90" s="123">
        <f>AN90/AN92*10000+AM90/AM92*1000+AI90/AI92*100+IF(AQ90=0,ROW(),AQ90)/2000000</f>
        <v>4450.0007326699997</v>
      </c>
      <c r="AQ90" s="126">
        <f t="shared" si="37"/>
        <v>1465.34</v>
      </c>
      <c r="AR90" s="125" t="str">
        <f t="shared" si="50"/>
        <v>ABCDEFI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6250.0006731550002</v>
      </c>
      <c r="AQ91" s="126">
        <f t="shared" si="37"/>
        <v>1346.31</v>
      </c>
      <c r="AR91" s="125" t="str">
        <f t="shared" si="50"/>
        <v>ABCDEFIL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484</v>
      </c>
      <c r="C3" s="121" t="str">
        <f>'2026 World Cup'!AR91</f>
        <v>ABCDEFIL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Lopez Morales, Jose Angel</cp:lastModifiedBy>
  <cp:revision/>
  <dcterms:created xsi:type="dcterms:W3CDTF">2017-12-27T19:32:51Z</dcterms:created>
  <dcterms:modified xsi:type="dcterms:W3CDTF">2026-06-11T10:54:51Z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