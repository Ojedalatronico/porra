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oyotaeu-my.sharepoint.com/personal/joseluis_martin_external_toyota_es/Documents/Documents/MisCosas/"/>
    </mc:Choice>
  </mc:AlternateContent>
  <xr:revisionPtr revIDLastSave="0" documentId="8_{AEAAD8B6-5EE2-4642-BB65-4B7CD17BEDEB}" xr6:coauthVersionLast="47" xr6:coauthVersionMax="47" xr10:uidLastSave="{00000000-0000-0000-0000-000000000000}"/>
  <bookViews>
    <workbookView xWindow="-28920" yWindow="-120" windowWidth="29040" windowHeight="1572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S74" i="3"/>
  <c r="T74" i="3" s="1"/>
  <c r="S28" i="3"/>
  <c r="S51" i="3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S48" i="3"/>
  <c r="S43" i="3"/>
  <c r="S19" i="3"/>
  <c r="T19" i="3" s="1"/>
  <c r="S20" i="3"/>
  <c r="T20" i="3" s="1"/>
  <c r="S44" i="3"/>
  <c r="T44" i="3" s="1"/>
  <c r="S46" i="3"/>
  <c r="S21" i="3"/>
  <c r="T21" i="3" s="1"/>
  <c r="S45" i="3"/>
  <c r="T45" i="3" s="1"/>
  <c r="S18" i="3"/>
  <c r="T18" i="3" s="1"/>
  <c r="S63" i="3"/>
  <c r="T63" i="3" s="1"/>
  <c r="S17" i="3"/>
  <c r="T17" i="3" s="1"/>
  <c r="S41" i="3"/>
  <c r="S15" i="3"/>
  <c r="T15" i="3" s="1"/>
  <c r="S61" i="3"/>
  <c r="S16" i="3"/>
  <c r="T16" i="3" s="1"/>
  <c r="S39" i="3"/>
  <c r="T39" i="3" s="1"/>
  <c r="S66" i="3"/>
  <c r="T66" i="3" s="1"/>
  <c r="S10" i="3"/>
  <c r="T10" i="3" s="1"/>
  <c r="S37" i="3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T27" i="3"/>
  <c r="T28" i="3"/>
  <c r="T51" i="3"/>
  <c r="S54" i="3"/>
  <c r="S77" i="3"/>
  <c r="S50" i="3"/>
  <c r="S76" i="3"/>
  <c r="S47" i="3"/>
  <c r="S67" i="3"/>
  <c r="T23" i="3"/>
  <c r="T48" i="3"/>
  <c r="T43" i="3"/>
  <c r="S72" i="3"/>
  <c r="T46" i="3"/>
  <c r="S70" i="3"/>
  <c r="S42" i="3"/>
  <c r="S64" i="3"/>
  <c r="T41" i="3"/>
  <c r="S40" i="3"/>
  <c r="S62" i="3"/>
  <c r="T61" i="3"/>
  <c r="S38" i="3"/>
  <c r="S65" i="3"/>
  <c r="T37" i="3"/>
  <c r="S55" i="3"/>
  <c r="S57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78" i="3" l="1"/>
  <c r="BH74" i="3" s="1"/>
  <c r="BG66" i="3"/>
  <c r="BH62" i="3" s="1"/>
  <c r="BG48" i="3"/>
  <c r="BH44" i="3" s="1"/>
  <c r="BG60" i="3"/>
  <c r="BH56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8" i="3"/>
  <c r="BH59" i="3"/>
  <c r="BH57" i="3" l="1"/>
  <c r="BH60" i="3" s="1"/>
  <c r="BI56" i="3" s="1"/>
  <c r="AP56" i="3" s="1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36" i="3" l="1"/>
  <c r="AR32" i="3" s="1"/>
  <c r="AP12" i="3"/>
  <c r="AR8" i="3" s="1"/>
  <c r="AP72" i="3"/>
  <c r="AR68" i="3" s="1"/>
  <c r="AP30" i="3"/>
  <c r="AR26" i="3" s="1"/>
  <c r="AP78" i="3"/>
  <c r="AR74" i="3" s="1"/>
  <c r="AP24" i="3"/>
  <c r="AR20" i="3" s="1"/>
  <c r="AR58" i="3"/>
  <c r="AD58" i="3" s="1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R33" i="3" l="1"/>
  <c r="AR35" i="3"/>
  <c r="AR34" i="3"/>
  <c r="AR28" i="3"/>
  <c r="AR9" i="3"/>
  <c r="AR11" i="3"/>
  <c r="AR10" i="3"/>
  <c r="AR21" i="3"/>
  <c r="AR22" i="3"/>
  <c r="AR75" i="3"/>
  <c r="AR76" i="3"/>
  <c r="AR77" i="3"/>
  <c r="AD77" i="3" s="1"/>
  <c r="AR65" i="3"/>
  <c r="AR40" i="3"/>
  <c r="AR41" i="3"/>
  <c r="AR29" i="3"/>
  <c r="AR69" i="3"/>
  <c r="AR70" i="3"/>
  <c r="AR71" i="3"/>
  <c r="AR27" i="3"/>
  <c r="AD27" i="3" s="1"/>
  <c r="AR23" i="3"/>
  <c r="AR51" i="3"/>
  <c r="AR52" i="3"/>
  <c r="AR53" i="3"/>
  <c r="AD53" i="3" s="1"/>
  <c r="AR46" i="3"/>
  <c r="AR15" i="3"/>
  <c r="AR45" i="3"/>
  <c r="AR63" i="3"/>
  <c r="AR47" i="3"/>
  <c r="AR64" i="3"/>
  <c r="AR39" i="3"/>
  <c r="AD56" i="3"/>
  <c r="AR16" i="3"/>
  <c r="AR17" i="3"/>
  <c r="AD59" i="3"/>
  <c r="AD75" i="3" l="1"/>
  <c r="AD33" i="3"/>
  <c r="AD11" i="3"/>
  <c r="AD35" i="3"/>
  <c r="AD32" i="3"/>
  <c r="J33" i="3" s="1"/>
  <c r="AS32" i="3" s="1"/>
  <c r="BL10" i="3" s="1"/>
  <c r="AD34" i="3"/>
  <c r="M58" i="3"/>
  <c r="AD9" i="3"/>
  <c r="L58" i="3"/>
  <c r="AD10" i="3"/>
  <c r="AD21" i="3"/>
  <c r="O60" i="3"/>
  <c r="M59" i="3"/>
  <c r="L59" i="3"/>
  <c r="N58" i="3"/>
  <c r="AD22" i="3"/>
  <c r="AD20" i="3"/>
  <c r="AD8" i="3"/>
  <c r="AD70" i="3"/>
  <c r="AD29" i="3"/>
  <c r="AD14" i="3"/>
  <c r="AD41" i="3"/>
  <c r="AD26" i="3"/>
  <c r="AD62" i="3"/>
  <c r="AD44" i="3"/>
  <c r="AD47" i="3"/>
  <c r="AD71" i="3"/>
  <c r="AD63" i="3"/>
  <c r="AD15" i="3"/>
  <c r="AD68" i="3"/>
  <c r="AD76" i="3"/>
  <c r="AD74" i="3"/>
  <c r="AD28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J39" i="3" s="1"/>
  <c r="AS38" i="3" s="1"/>
  <c r="BL22" i="3" s="1"/>
  <c r="AD50" i="3"/>
  <c r="N59" i="3"/>
  <c r="AD17" i="3"/>
  <c r="S89" i="3" l="1"/>
  <c r="T89" i="3" s="1" a="1"/>
  <c r="T89" i="3" s="1"/>
  <c r="BS21" i="3"/>
  <c r="J27" i="3"/>
  <c r="AS26" i="3" s="1"/>
  <c r="BL34" i="3" s="1"/>
  <c r="M69" i="3"/>
  <c r="N33" i="3"/>
  <c r="N34" i="3"/>
  <c r="N35" i="3"/>
  <c r="M30" i="3"/>
  <c r="M34" i="3"/>
  <c r="J36" i="3"/>
  <c r="L36" i="3"/>
  <c r="M36" i="3"/>
  <c r="L34" i="3"/>
  <c r="O36" i="3"/>
  <c r="O33" i="3"/>
  <c r="O34" i="3"/>
  <c r="M33" i="3"/>
  <c r="L33" i="3"/>
  <c r="N36" i="3"/>
  <c r="M35" i="3"/>
  <c r="O35" i="3"/>
  <c r="J35" i="3"/>
  <c r="AE84" i="3" s="1"/>
  <c r="AQ84" i="3" s="1"/>
  <c r="J34" i="3"/>
  <c r="AS33" i="3" s="1"/>
  <c r="BL46" i="3" s="1"/>
  <c r="L35" i="3"/>
  <c r="J9" i="3"/>
  <c r="AS8" i="3" s="1"/>
  <c r="BL50" i="3" s="1"/>
  <c r="P58" i="3"/>
  <c r="N47" i="3"/>
  <c r="K58" i="3"/>
  <c r="M45" i="3"/>
  <c r="M51" i="3"/>
  <c r="M65" i="3"/>
  <c r="O45" i="3"/>
  <c r="N9" i="3"/>
  <c r="M16" i="3"/>
  <c r="P59" i="3"/>
  <c r="J45" i="3"/>
  <c r="AS44" i="3" s="1"/>
  <c r="BL38" i="3" s="1"/>
  <c r="L45" i="3"/>
  <c r="N45" i="3"/>
  <c r="K59" i="3"/>
  <c r="J28" i="3"/>
  <c r="AS27" i="3" s="1"/>
  <c r="BL62" i="3" s="1"/>
  <c r="BS61" i="3" s="1"/>
  <c r="N24" i="3"/>
  <c r="M9" i="3"/>
  <c r="J78" i="3"/>
  <c r="N22" i="3"/>
  <c r="M21" i="3"/>
  <c r="M24" i="3"/>
  <c r="M11" i="3"/>
  <c r="O9" i="3"/>
  <c r="N12" i="3"/>
  <c r="O10" i="3"/>
  <c r="L10" i="3"/>
  <c r="J11" i="3"/>
  <c r="AE80" i="3" s="1"/>
  <c r="AQ80" i="3" s="1"/>
  <c r="J29" i="3"/>
  <c r="AE83" i="3" s="1"/>
  <c r="AQ83" i="3" s="1"/>
  <c r="N21" i="3"/>
  <c r="N11" i="3"/>
  <c r="M28" i="3"/>
  <c r="O12" i="3"/>
  <c r="O11" i="3"/>
  <c r="J12" i="3"/>
  <c r="L24" i="3"/>
  <c r="N10" i="3"/>
  <c r="M22" i="3"/>
  <c r="M10" i="3"/>
  <c r="L21" i="3"/>
  <c r="L11" i="3"/>
  <c r="J21" i="3"/>
  <c r="AS20" i="3" s="1"/>
  <c r="BL42" i="3" s="1"/>
  <c r="BS44" i="3" s="1"/>
  <c r="BZ48" i="3" s="1"/>
  <c r="L9" i="3"/>
  <c r="J22" i="3"/>
  <c r="AS21" i="3" s="1"/>
  <c r="BL23" i="3" s="1"/>
  <c r="M12" i="3"/>
  <c r="N65" i="3"/>
  <c r="J10" i="3"/>
  <c r="AS9" i="3" s="1"/>
  <c r="BL18" i="3" s="1"/>
  <c r="L12" i="3"/>
  <c r="L23" i="3"/>
  <c r="L40" i="3"/>
  <c r="O63" i="3"/>
  <c r="O28" i="3"/>
  <c r="L27" i="3"/>
  <c r="L54" i="3"/>
  <c r="M40" i="3"/>
  <c r="L29" i="3"/>
  <c r="O22" i="3"/>
  <c r="J24" i="3"/>
  <c r="L70" i="3"/>
  <c r="L65" i="3"/>
  <c r="J30" i="3"/>
  <c r="N63" i="3"/>
  <c r="N40" i="3"/>
  <c r="L28" i="3"/>
  <c r="O23" i="3"/>
  <c r="M63" i="3"/>
  <c r="O39" i="3"/>
  <c r="O42" i="3"/>
  <c r="L63" i="3"/>
  <c r="M39" i="3"/>
  <c r="O29" i="3"/>
  <c r="O51" i="3"/>
  <c r="L39" i="3"/>
  <c r="L30" i="3"/>
  <c r="N29" i="3"/>
  <c r="L16" i="3"/>
  <c r="J18" i="3"/>
  <c r="J63" i="3"/>
  <c r="AS62" i="3" s="1"/>
  <c r="BL58" i="3" s="1"/>
  <c r="BS60" i="3" s="1"/>
  <c r="BZ64" i="3" s="1"/>
  <c r="L51" i="3"/>
  <c r="O40" i="3"/>
  <c r="N30" i="3"/>
  <c r="M27" i="3"/>
  <c r="O24" i="3"/>
  <c r="O16" i="3"/>
  <c r="J65" i="3"/>
  <c r="AE89" i="3" s="1"/>
  <c r="AQ89" i="3" s="1"/>
  <c r="N39" i="3"/>
  <c r="N28" i="3"/>
  <c r="M29" i="3"/>
  <c r="L22" i="3"/>
  <c r="N16" i="3"/>
  <c r="O65" i="3"/>
  <c r="O27" i="3"/>
  <c r="N27" i="3"/>
  <c r="O21" i="3"/>
  <c r="J16" i="3"/>
  <c r="AS15" i="3" s="1"/>
  <c r="BL19" i="3" s="1"/>
  <c r="O30" i="3"/>
  <c r="L66" i="3"/>
  <c r="M18" i="3"/>
  <c r="O75" i="3"/>
  <c r="J76" i="3"/>
  <c r="AS75" i="3" s="1"/>
  <c r="BL27" i="3" s="1"/>
  <c r="N75" i="3"/>
  <c r="M47" i="3"/>
  <c r="L78" i="3"/>
  <c r="O72" i="3"/>
  <c r="O47" i="3"/>
  <c r="AJ88" i="3"/>
  <c r="J41" i="3"/>
  <c r="AE85" i="3" s="1"/>
  <c r="AQ85" i="3" s="1"/>
  <c r="O77" i="3"/>
  <c r="J47" i="3"/>
  <c r="AE86" i="3" s="1"/>
  <c r="AQ86" i="3" s="1"/>
  <c r="J42" i="3"/>
  <c r="O78" i="3"/>
  <c r="M78" i="3"/>
  <c r="N72" i="3"/>
  <c r="L42" i="3"/>
  <c r="N54" i="3"/>
  <c r="N78" i="3"/>
  <c r="O48" i="3"/>
  <c r="M75" i="3"/>
  <c r="N46" i="3"/>
  <c r="M72" i="3"/>
  <c r="L76" i="3"/>
  <c r="L71" i="3"/>
  <c r="J77" i="3"/>
  <c r="AE91" i="3" s="1"/>
  <c r="AQ91" i="3" s="1"/>
  <c r="J75" i="3"/>
  <c r="AS74" i="3" s="1"/>
  <c r="BL54" i="3" s="1"/>
  <c r="O76" i="3"/>
  <c r="N77" i="3"/>
  <c r="M76" i="3"/>
  <c r="O69" i="3"/>
  <c r="L47" i="3"/>
  <c r="O18" i="3"/>
  <c r="N76" i="3"/>
  <c r="L77" i="3"/>
  <c r="L75" i="3"/>
  <c r="AN88" i="3"/>
  <c r="M77" i="3"/>
  <c r="N69" i="3"/>
  <c r="M17" i="3"/>
  <c r="O54" i="3"/>
  <c r="N52" i="3"/>
  <c r="L72" i="3"/>
  <c r="L17" i="3"/>
  <c r="P57" i="3"/>
  <c r="O64" i="3"/>
  <c r="J52" i="3"/>
  <c r="AS51" i="3" s="1"/>
  <c r="BL59" i="3" s="1"/>
  <c r="O17" i="3"/>
  <c r="N53" i="3"/>
  <c r="L69" i="3"/>
  <c r="P69" i="3" s="1"/>
  <c r="O71" i="3"/>
  <c r="N71" i="3"/>
  <c r="J64" i="3"/>
  <c r="AS63" i="3" s="1"/>
  <c r="BL31" i="3" s="1"/>
  <c r="N64" i="3"/>
  <c r="J51" i="3"/>
  <c r="AS50" i="3" s="1"/>
  <c r="BL30" i="3" s="1"/>
  <c r="M46" i="3"/>
  <c r="J48" i="3"/>
  <c r="L18" i="3"/>
  <c r="M41" i="3"/>
  <c r="N48" i="3"/>
  <c r="J46" i="3"/>
  <c r="AS45" i="3" s="1"/>
  <c r="BL63" i="3" s="1"/>
  <c r="M71" i="3"/>
  <c r="M64" i="3"/>
  <c r="N51" i="3"/>
  <c r="M42" i="3"/>
  <c r="J40" i="3"/>
  <c r="AS39" i="3" s="1"/>
  <c r="BL43" i="3" s="1"/>
  <c r="N18" i="3"/>
  <c r="L15" i="3"/>
  <c r="AT88" i="3"/>
  <c r="O46" i="3"/>
  <c r="J70" i="3"/>
  <c r="AS69" i="3" s="1"/>
  <c r="BL26" i="3" s="1"/>
  <c r="N70" i="3"/>
  <c r="N66" i="3"/>
  <c r="M54" i="3"/>
  <c r="AI88" i="3"/>
  <c r="J69" i="3"/>
  <c r="AS68" i="3" s="1"/>
  <c r="BL70" i="3" s="1"/>
  <c r="O66" i="3"/>
  <c r="J71" i="3"/>
  <c r="AE90" i="3" s="1"/>
  <c r="AQ90" i="3" s="1"/>
  <c r="M66" i="3"/>
  <c r="L48" i="3"/>
  <c r="L46" i="3"/>
  <c r="AG88" i="3"/>
  <c r="K57" i="3"/>
  <c r="J66" i="3"/>
  <c r="L64" i="3"/>
  <c r="O70" i="3"/>
  <c r="M70" i="3"/>
  <c r="J72" i="3"/>
  <c r="M48" i="3"/>
  <c r="AF88" i="3"/>
  <c r="N17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BZ17" i="3" l="1"/>
  <c r="U102" i="3" s="1"/>
  <c r="AC102" i="3" s="1" a="1"/>
  <c r="AC102" i="3" s="1"/>
  <c r="S96" i="3"/>
  <c r="T96" i="3" s="1" a="1"/>
  <c r="T96" i="3" s="1"/>
  <c r="S86" i="3"/>
  <c r="T86" i="3" s="1" a="1"/>
  <c r="T86" i="3" s="1"/>
  <c r="BS28" i="3"/>
  <c r="S88" i="3"/>
  <c r="T88" i="3" s="1" a="1"/>
  <c r="T88" i="3" s="1"/>
  <c r="BS20" i="3"/>
  <c r="K34" i="3"/>
  <c r="AJ84" i="3"/>
  <c r="S87" i="3"/>
  <c r="T87" i="3" s="1" a="1"/>
  <c r="T87" i="3" s="1"/>
  <c r="BS29" i="3"/>
  <c r="S90" i="3"/>
  <c r="T90" i="3" s="1" a="1"/>
  <c r="T90" i="3" s="1"/>
  <c r="BS36" i="3"/>
  <c r="S91" i="3"/>
  <c r="T91" i="3" s="1" a="1"/>
  <c r="T91" i="3" s="1"/>
  <c r="BS37" i="3"/>
  <c r="AI84" i="3"/>
  <c r="AG84" i="3"/>
  <c r="P41" i="3"/>
  <c r="AF84" i="3"/>
  <c r="P36" i="3"/>
  <c r="AH84" i="3"/>
  <c r="AT84" i="3"/>
  <c r="AN84" i="3"/>
  <c r="AL84" i="3"/>
  <c r="P35" i="3"/>
  <c r="K35" i="3"/>
  <c r="K36" i="3"/>
  <c r="P33" i="3"/>
  <c r="K33" i="3"/>
  <c r="P34" i="3"/>
  <c r="P51" i="3"/>
  <c r="P65" i="3"/>
  <c r="P12" i="3"/>
  <c r="P10" i="3"/>
  <c r="AH80" i="3"/>
  <c r="K45" i="3"/>
  <c r="AL85" i="3"/>
  <c r="P45" i="3"/>
  <c r="P23" i="3"/>
  <c r="P16" i="3"/>
  <c r="AG80" i="3"/>
  <c r="AH83" i="3"/>
  <c r="AI80" i="3"/>
  <c r="AG83" i="3"/>
  <c r="P24" i="3"/>
  <c r="K12" i="3"/>
  <c r="P46" i="3"/>
  <c r="P28" i="3"/>
  <c r="K24" i="3"/>
  <c r="P15" i="3"/>
  <c r="P48" i="3"/>
  <c r="K30" i="3"/>
  <c r="P21" i="3"/>
  <c r="P39" i="3"/>
  <c r="K47" i="3"/>
  <c r="K16" i="3"/>
  <c r="P9" i="3"/>
  <c r="P11" i="3"/>
  <c r="AT81" i="3"/>
  <c r="K11" i="3"/>
  <c r="AT80" i="3"/>
  <c r="AN80" i="3"/>
  <c r="AL83" i="3"/>
  <c r="AF80" i="3"/>
  <c r="AT83" i="3"/>
  <c r="AJ83" i="3"/>
  <c r="AF83" i="3"/>
  <c r="AN83" i="3"/>
  <c r="AL80" i="3"/>
  <c r="AJ80" i="3"/>
  <c r="AI83" i="3"/>
  <c r="K9" i="3"/>
  <c r="AN81" i="3"/>
  <c r="AL87" i="3"/>
  <c r="AT90" i="3"/>
  <c r="K29" i="3"/>
  <c r="K40" i="3"/>
  <c r="K10" i="3"/>
  <c r="K63" i="3"/>
  <c r="P54" i="3"/>
  <c r="P22" i="3"/>
  <c r="AN90" i="3"/>
  <c r="AJ90" i="3"/>
  <c r="AF81" i="3"/>
  <c r="AI90" i="3"/>
  <c r="K64" i="3"/>
  <c r="K53" i="3"/>
  <c r="P71" i="3"/>
  <c r="AL90" i="3"/>
  <c r="K21" i="3"/>
  <c r="AL91" i="3"/>
  <c r="K76" i="3"/>
  <c r="K66" i="3"/>
  <c r="P77" i="3"/>
  <c r="P72" i="3"/>
  <c r="AH81" i="3"/>
  <c r="K48" i="3"/>
  <c r="AF90" i="3"/>
  <c r="P29" i="3"/>
  <c r="K54" i="3"/>
  <c r="AH91" i="3"/>
  <c r="K27" i="3"/>
  <c r="K78" i="3"/>
  <c r="AN91" i="3"/>
  <c r="K75" i="3"/>
  <c r="AJ91" i="3"/>
  <c r="K28" i="3"/>
  <c r="AI91" i="3"/>
  <c r="K22" i="3"/>
  <c r="P63" i="3"/>
  <c r="P66" i="3"/>
  <c r="AG91" i="3"/>
  <c r="AN89" i="3"/>
  <c r="AL81" i="3"/>
  <c r="P27" i="3"/>
  <c r="AI85" i="3"/>
  <c r="AI89" i="3"/>
  <c r="AH90" i="3"/>
  <c r="AF91" i="3"/>
  <c r="P17" i="3"/>
  <c r="AJ81" i="3"/>
  <c r="K39" i="3"/>
  <c r="AH89" i="3"/>
  <c r="AG90" i="3"/>
  <c r="AL89" i="3"/>
  <c r="AJ85" i="3"/>
  <c r="AJ89" i="3"/>
  <c r="P40" i="3"/>
  <c r="P64" i="3"/>
  <c r="AF89" i="3"/>
  <c r="K42" i="3"/>
  <c r="AT89" i="3"/>
  <c r="P18" i="3"/>
  <c r="AG89" i="3"/>
  <c r="P78" i="3"/>
  <c r="P30" i="3"/>
  <c r="K65" i="3"/>
  <c r="K69" i="3"/>
  <c r="K51" i="3"/>
  <c r="AT91" i="3"/>
  <c r="P70" i="3"/>
  <c r="AT82" i="3"/>
  <c r="AJ82" i="3"/>
  <c r="AI82" i="3"/>
  <c r="AH85" i="3"/>
  <c r="AT86" i="3"/>
  <c r="AL86" i="3"/>
  <c r="K72" i="3"/>
  <c r="P76" i="3"/>
  <c r="AI81" i="3"/>
  <c r="AH82" i="3"/>
  <c r="AG85" i="3"/>
  <c r="AJ86" i="3"/>
  <c r="AN87" i="3"/>
  <c r="P75" i="3"/>
  <c r="K15" i="3"/>
  <c r="AF85" i="3"/>
  <c r="AI86" i="3"/>
  <c r="AN82" i="3"/>
  <c r="AG82" i="3"/>
  <c r="AG81" i="3"/>
  <c r="AF82" i="3"/>
  <c r="K41" i="3"/>
  <c r="AH86" i="3"/>
  <c r="K77" i="3"/>
  <c r="AF86" i="3"/>
  <c r="K71" i="3"/>
  <c r="P42" i="3"/>
  <c r="P47" i="3"/>
  <c r="AN86" i="3"/>
  <c r="K18" i="3"/>
  <c r="AT85" i="3"/>
  <c r="AG86" i="3"/>
  <c r="AN85" i="3"/>
  <c r="AJ87" i="3"/>
  <c r="K46" i="3"/>
  <c r="AH87" i="3"/>
  <c r="K70" i="3"/>
  <c r="AG87" i="3"/>
  <c r="K23" i="3"/>
  <c r="AF87" i="3"/>
  <c r="P52" i="3"/>
  <c r="K17" i="3"/>
  <c r="P53" i="3"/>
  <c r="AT87" i="3"/>
  <c r="AL82" i="3"/>
  <c r="AI87" i="3"/>
  <c r="K5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AN92" i="3"/>
  <c r="AJ92" i="3"/>
  <c r="AL92" i="3"/>
  <c r="AM88" i="3" s="1"/>
  <c r="AH92" i="3"/>
  <c r="AS92" i="3"/>
  <c r="AI92" i="3"/>
  <c r="AF92" i="3"/>
  <c r="AG92" i="3"/>
  <c r="S103" i="3" l="1"/>
  <c r="T103" i="3" s="1" a="1"/>
  <c r="T103" i="3" s="1"/>
  <c r="CG24" i="3"/>
  <c r="S111" i="3" s="1"/>
  <c r="T111" i="3" s="1"/>
  <c r="AM90" i="3"/>
  <c r="AM82" i="3"/>
  <c r="AM83" i="3"/>
  <c r="AM91" i="3"/>
  <c r="AM84" i="3"/>
  <c r="AM86" i="3"/>
  <c r="AM85" i="3"/>
  <c r="AM87" i="3"/>
  <c r="AM81" i="3"/>
  <c r="AM80" i="3"/>
  <c r="AM89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91" i="3"/>
  <c r="AP85" i="3"/>
  <c r="AP83" i="3"/>
  <c r="AP89" i="3"/>
  <c r="AP82" i="3"/>
  <c r="AP86" i="3"/>
  <c r="AP88" i="3"/>
  <c r="AP90" i="3"/>
  <c r="AP84" i="3"/>
  <c r="AP81" i="3"/>
  <c r="AP80" i="3"/>
  <c r="AD83" i="3" l="1"/>
  <c r="AS83" i="3" s="1"/>
  <c r="CN37" i="3"/>
  <c r="CK68" i="3" s="1"/>
  <c r="CN48" i="3"/>
  <c r="AD91" i="3"/>
  <c r="AS91" i="3" s="1"/>
  <c r="AD84" i="3"/>
  <c r="AS84" i="3" s="1"/>
  <c r="AD90" i="3"/>
  <c r="AS90" i="3" s="1"/>
  <c r="AD82" i="3"/>
  <c r="AS82" i="3" s="1"/>
  <c r="AD85" i="3"/>
  <c r="AS85" i="3" s="1"/>
  <c r="AD86" i="3"/>
  <c r="AS86" i="3" s="1"/>
  <c r="AD88" i="3"/>
  <c r="AS88" i="3" s="1"/>
  <c r="AD81" i="3"/>
  <c r="AS81" i="3" s="1"/>
  <c r="AD87" i="3"/>
  <c r="AS87" i="3" s="1"/>
  <c r="AD80" i="3"/>
  <c r="AS80" i="3" s="1"/>
  <c r="AD89" i="3"/>
  <c r="AS89" i="3" s="1"/>
  <c r="M89" i="3" l="1"/>
  <c r="M92" i="3"/>
  <c r="O81" i="3"/>
  <c r="J83" i="3"/>
  <c r="J89" i="3"/>
  <c r="M90" i="3"/>
  <c r="N89" i="3"/>
  <c r="O91" i="3"/>
  <c r="N88" i="3"/>
  <c r="N86" i="3"/>
  <c r="M91" i="3"/>
  <c r="O90" i="3"/>
  <c r="L87" i="3"/>
  <c r="N90" i="3"/>
  <c r="L81" i="3"/>
  <c r="L91" i="3"/>
  <c r="M86" i="3"/>
  <c r="J84" i="3"/>
  <c r="O89" i="3"/>
  <c r="J90" i="3"/>
  <c r="N91" i="3"/>
  <c r="N81" i="3"/>
  <c r="J82" i="3"/>
  <c r="M83" i="3"/>
  <c r="N82" i="3"/>
  <c r="L89" i="3"/>
  <c r="N92" i="3"/>
  <c r="N87" i="3"/>
  <c r="O84" i="3"/>
  <c r="M84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L85" i="3"/>
  <c r="O82" i="3"/>
  <c r="O92" i="3"/>
  <c r="M81" i="3"/>
  <c r="N83" i="3"/>
  <c r="L82" i="3"/>
  <c r="J91" i="3"/>
  <c r="L86" i="3"/>
  <c r="L90" i="3"/>
  <c r="J85" i="3"/>
  <c r="L84" i="3"/>
  <c r="N85" i="3"/>
  <c r="J92" i="3"/>
  <c r="J81" i="3"/>
  <c r="O86" i="3"/>
  <c r="M85" i="3"/>
  <c r="O85" i="3"/>
  <c r="M82" i="3"/>
  <c r="P82" i="3" s="1"/>
  <c r="L92" i="3"/>
  <c r="O88" i="3"/>
  <c r="L83" i="3"/>
  <c r="J87" i="3"/>
  <c r="L88" i="3"/>
  <c r="J88" i="3"/>
  <c r="M87" i="3"/>
  <c r="N84" i="3"/>
  <c r="M88" i="3"/>
  <c r="O83" i="3"/>
  <c r="J86" i="3"/>
  <c r="O87" i="3"/>
  <c r="P89" i="3" l="1"/>
  <c r="P84" i="3"/>
  <c r="K89" i="3"/>
  <c r="P91" i="3"/>
  <c r="K90" i="3"/>
  <c r="K87" i="3"/>
  <c r="P86" i="3"/>
  <c r="K84" i="3"/>
  <c r="P90" i="3"/>
  <c r="K81" i="3"/>
  <c r="K86" i="3"/>
  <c r="K91" i="3"/>
  <c r="P85" i="3"/>
  <c r="H3" i="4"/>
  <c r="BL39" i="3" s="1"/>
  <c r="E3" i="4"/>
  <c r="BL67" i="3" s="1"/>
  <c r="K3" i="4"/>
  <c r="BL55" i="3" s="1"/>
  <c r="D3" i="4"/>
  <c r="BL51" i="3" s="1"/>
  <c r="B3" i="4"/>
  <c r="G3" i="4"/>
  <c r="BL11" i="3" s="1"/>
  <c r="P83" i="3"/>
  <c r="P81" i="3"/>
  <c r="J3" i="4"/>
  <c r="BL71" i="3" s="1"/>
  <c r="I3" i="4"/>
  <c r="BL15" i="3" s="1"/>
  <c r="K92" i="3"/>
  <c r="K85" i="3"/>
  <c r="P92" i="3"/>
  <c r="K83" i="3"/>
  <c r="P88" i="3"/>
  <c r="K82" i="3"/>
  <c r="P87" i="3"/>
  <c r="K88" i="3"/>
  <c r="BS53" i="3"/>
  <c r="BS52" i="3"/>
  <c r="BZ49" i="3" s="1"/>
  <c r="CG55" i="3" s="1"/>
  <c r="CN49" i="3" s="1"/>
  <c r="BS69" i="3"/>
  <c r="BZ65" i="3" s="1"/>
  <c r="CG56" i="3" s="1"/>
  <c r="CN38" i="3" s="1"/>
  <c r="BS6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<sst xmlns="http://schemas.openxmlformats.org/spreadsheetml/2006/main" count="9785" uniqueCount="3699">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</sst>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1477104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1474394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1473929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1474394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1474550</xdr:colOff>
      <xdr:row>23</xdr:row>
      <xdr:rowOff>1415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160165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239475</xdr:colOff>
      <xdr:row>36</xdr:row>
      <xdr:rowOff>1526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28</xdr:row>
      <xdr:rowOff>1526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1474085</xdr:colOff>
      <xdr:row>15</xdr:row>
      <xdr:rowOff>160385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163560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1474085</xdr:colOff>
      <xdr:row>19</xdr:row>
      <xdr:rowOff>160494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1474085</xdr:colOff>
      <xdr:row>21</xdr:row>
      <xdr:rowOff>160603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160713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1474085</xdr:colOff>
      <xdr:row>42</xdr:row>
      <xdr:rowOff>160823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239010</xdr:colOff>
      <xdr:row>76</xdr:row>
      <xdr:rowOff>160932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1474085</xdr:colOff>
      <xdr:row>12</xdr:row>
      <xdr:rowOff>161041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160381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37</xdr:row>
      <xdr:rowOff>1130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49</xdr:row>
      <xdr:rowOff>1566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1478341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1476048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1478341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217866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1477876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1456116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1479223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1456116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1476302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217474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239699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238852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158776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239317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239317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1496152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" defaultRowHeight="14.5" x14ac:dyDescent="0.35"/>
  <cols>
    <col min="1" max="1" width="24.08984375" bestFit="1" customWidth="1"/>
    <col min="2" max="42" width="14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5">
      <c r="A145" s="1"/>
    </row>
    <row r="146" spans="1:42" x14ac:dyDescent="0.35">
      <c r="A146" s="1"/>
    </row>
    <row r="147" spans="1:42" x14ac:dyDescent="0.35">
      <c r="A147" s="1"/>
    </row>
    <row r="148" spans="1:42" x14ac:dyDescent="0.35">
      <c r="A148" s="1"/>
    </row>
    <row r="149" spans="1:42" x14ac:dyDescent="0.35">
      <c r="A149" s="1"/>
    </row>
    <row r="150" spans="1:42" x14ac:dyDescent="0.35">
      <c r="A150" s="1"/>
    </row>
    <row r="151" spans="1:42" x14ac:dyDescent="0.35">
      <c r="A151" s="1"/>
    </row>
    <row r="152" spans="1:42" x14ac:dyDescent="0.35">
      <c r="A152" s="1"/>
    </row>
    <row r="153" spans="1:42" x14ac:dyDescent="0.35">
      <c r="A153" s="1"/>
    </row>
    <row r="154" spans="1:42" x14ac:dyDescent="0.35">
      <c r="A154" s="1"/>
    </row>
    <row r="155" spans="1:42" x14ac:dyDescent="0.35">
      <c r="A155" s="1"/>
    </row>
    <row r="156" spans="1:42" x14ac:dyDescent="0.35">
      <c r="A156" s="1"/>
    </row>
    <row r="157" spans="1:42" x14ac:dyDescent="0.3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defaultColWidth="9.08984375" defaultRowHeight="14.5" x14ac:dyDescent="0.35"/>
  <cols>
    <col min="1" max="1" width="1.08984375" style="10" customWidth="1"/>
    <col min="2" max="2" width="18.90625" style="10" bestFit="1" customWidth="1"/>
    <col min="3" max="3" width="20.36328125" style="10" customWidth="1"/>
    <col min="4" max="4" width="9.08984375" style="10"/>
    <col min="5" max="5" width="1.08984375" style="10" customWidth="1"/>
    <col min="6" max="6" width="9.08984375" style="10"/>
    <col min="7" max="7" width="27.54296875" style="10" bestFit="1" customWidth="1"/>
    <col min="8" max="8" width="2.6328125" style="10" customWidth="1"/>
    <col min="9" max="9" width="1.08984375" style="10" customWidth="1"/>
    <col min="10" max="16384" width="9.08984375" style="10"/>
  </cols>
  <sheetData>
    <row r="1" spans="2:27" ht="7.5" customHeight="1" x14ac:dyDescent="0.35"/>
    <row r="2" spans="2:27" ht="16" thickBot="1" x14ac:dyDescent="0.4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5">
      <c r="B3" s="42"/>
      <c r="C3" s="43"/>
      <c r="D3" s="44"/>
      <c r="F3" s="42"/>
      <c r="G3" s="43"/>
      <c r="H3" s="44"/>
    </row>
    <row r="4" spans="2:27" x14ac:dyDescent="0.3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3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3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5">
      <c r="B11" s="54"/>
      <c r="C11" s="43"/>
      <c r="D11" s="44"/>
      <c r="F11" s="51"/>
      <c r="G11" s="52"/>
      <c r="H11" s="53"/>
    </row>
    <row r="12" spans="2:27" ht="15" customHeight="1" x14ac:dyDescent="0.3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5" x14ac:dyDescent="0.3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H42" zoomScaleNormal="100" workbookViewId="0">
      <selection activeCell="CN54" sqref="CN54"/>
    </sheetView>
  </sheetViews>
  <sheetFormatPr defaultColWidth="9.08984375" defaultRowHeight="14.5" x14ac:dyDescent="0.35"/>
  <cols>
    <col min="1" max="1" width="4.90625" style="3" customWidth="1"/>
    <col min="2" max="2" width="6.08984375" style="3" customWidth="1"/>
    <col min="3" max="3" width="11.6328125" style="3" bestFit="1" customWidth="1"/>
    <col min="4" max="4" width="9" style="4" customWidth="1"/>
    <col min="5" max="5" width="22.54296875" style="5" customWidth="1"/>
    <col min="6" max="7" width="4.36328125" style="6" customWidth="1"/>
    <col min="8" max="8" width="22.54296875" style="7" customWidth="1"/>
    <col min="9" max="9" width="3.453125" style="2" customWidth="1"/>
    <col min="10" max="10" width="19.453125" style="8" customWidth="1"/>
    <col min="11" max="14" width="5.453125" style="9" customWidth="1"/>
    <col min="15" max="15" width="7.6328125" style="9" customWidth="1"/>
    <col min="16" max="16" width="6.6328125" style="9" customWidth="1"/>
    <col min="17" max="17" width="3.453125" style="68" customWidth="1"/>
    <col min="18" max="18" width="15.453125" style="123" hidden="1" customWidth="1"/>
    <col min="19" max="20" width="16" style="127" hidden="1" customWidth="1"/>
    <col min="21" max="28" width="4" style="123" hidden="1" customWidth="1"/>
    <col min="29" max="29" width="4.36328125" style="124" hidden="1" customWidth="1"/>
    <col min="30" max="30" width="5.453125" style="123" hidden="1" customWidth="1"/>
    <col min="31" max="31" width="13.453125" style="124" hidden="1" customWidth="1"/>
    <col min="32" max="36" width="5.453125" style="123" hidden="1" customWidth="1"/>
    <col min="37" max="39" width="6" style="123" hidden="1" customWidth="1"/>
    <col min="40" max="40" width="5.453125" style="123" hidden="1" customWidth="1"/>
    <col min="41" max="42" width="6" style="123" hidden="1" customWidth="1"/>
    <col min="43" max="43" width="7.08984375" style="125" hidden="1" customWidth="1"/>
    <col min="44" max="44" width="10" style="125" hidden="1" customWidth="1"/>
    <col min="45" max="45" width="15.36328125" style="125" hidden="1" customWidth="1"/>
    <col min="46" max="50" width="4.6328125" style="126" hidden="1" customWidth="1"/>
    <col min="51" max="51" width="9.08984375" style="125" hidden="1" customWidth="1"/>
    <col min="52" max="61" width="9.08984375" style="126" hidden="1" customWidth="1"/>
    <col min="62" max="62" width="9.08984375" style="112" hidden="1" customWidth="1"/>
    <col min="63" max="63" width="3.36328125" style="2" customWidth="1"/>
    <col min="64" max="64" width="19.6328125" style="2" customWidth="1"/>
    <col min="65" max="67" width="3" style="2" customWidth="1"/>
    <col min="68" max="69" width="2" style="111" customWidth="1"/>
    <col min="70" max="70" width="3.36328125" style="2" customWidth="1"/>
    <col min="71" max="71" width="19.6328125" style="2" customWidth="1"/>
    <col min="72" max="74" width="3" style="2" customWidth="1"/>
    <col min="75" max="76" width="2" style="111" customWidth="1"/>
    <col min="77" max="77" width="4" style="2" customWidth="1"/>
    <col min="78" max="78" width="19.6328125" style="2" customWidth="1"/>
    <col min="79" max="81" width="3" style="2" customWidth="1"/>
    <col min="82" max="83" width="2" style="111" customWidth="1"/>
    <col min="84" max="84" width="3.90625" style="2" customWidth="1"/>
    <col min="85" max="85" width="19.6328125" style="2" customWidth="1"/>
    <col min="86" max="88" width="3" style="2" customWidth="1"/>
    <col min="89" max="90" width="2" style="111" customWidth="1"/>
    <col min="91" max="91" width="3.6328125" style="2" customWidth="1"/>
    <col min="92" max="92" width="19.6328125" style="2" customWidth="1"/>
    <col min="93" max="95" width="3" style="2" customWidth="1"/>
    <col min="96" max="96" width="2" style="111" customWidth="1"/>
    <col min="97" max="16384" width="9.08984375" style="2"/>
  </cols>
  <sheetData>
    <row r="1" spans="1:95" ht="46" x14ac:dyDescent="0.3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5"/>
    <row r="5" spans="1:95" x14ac:dyDescent="0.3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3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3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1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3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0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6</v>
      </c>
      <c r="AJ8" s="123">
        <f>SUMIF($E$7:$E$78,$AE8,$G$7:$G$78) + SUMIF($H$7:$H$78,$AE8,$F$7:$F$78)</f>
        <v>3</v>
      </c>
      <c r="AL8" s="123">
        <f>AI8-AJ8</f>
        <v>3</v>
      </c>
      <c r="AM8" s="123">
        <f>AL8-AL12</f>
        <v>5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90000009.191316694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0</v>
      </c>
      <c r="G9" s="20">
        <v>2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6 - 3</v>
      </c>
      <c r="P9" s="32">
        <f>L9*3+M9</f>
        <v>9</v>
      </c>
      <c r="R9" s="123">
        <f>DATE(2026,6,12)+TIME(8,0,0)+gmt_delta</f>
        <v>46185.875</v>
      </c>
      <c r="S9" s="127" t="str">
        <f t="shared" si="1"/>
        <v>Canada_lose</v>
      </c>
      <c r="T9" s="127" t="str">
        <f t="shared" si="2"/>
        <v>Bosnia and Herzegovina_win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-1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3</v>
      </c>
      <c r="AJ9" s="123">
        <f>SUMIF($E$7:$E$78,$AE9,$G$7:$G$78) + SUMIF($H$7:$H$78,$AE9,$F$7:$F$78)</f>
        <v>5</v>
      </c>
      <c r="AL9" s="123">
        <f>AI9-AJ9</f>
        <v>-2</v>
      </c>
      <c r="AM9" s="123">
        <f>AL9-AL12</f>
        <v>0</v>
      </c>
      <c r="AN9" s="123">
        <f>AF9*3+AG9</f>
        <v>1</v>
      </c>
      <c r="AO9" s="123">
        <f>AN9/AN12*10+BA9</f>
        <v>1</v>
      </c>
      <c r="AP9" s="123">
        <f>AO9*10000000+BI9*100+AM9/AM12*10+AI9/AI12*1++IF(AQ9=0,ROW(),AQ9)/2000000</f>
        <v>10000000.429286294</v>
      </c>
      <c r="AQ9" s="126">
        <f>VLOOKUP(AE9,db_fifarank,2,FALSE)</f>
        <v>1429.73</v>
      </c>
      <c r="AR9" s="125">
        <f>AP9/AP12</f>
        <v>0.11111110329908724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1</v>
      </c>
      <c r="G10" s="20">
        <v>1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3 - 3</v>
      </c>
      <c r="P10" s="34">
        <f>L10*3+M10</f>
        <v>4</v>
      </c>
      <c r="R10" s="123">
        <f>DATE(2026,6,12)+TIME(14,0,0)+gmt_delta</f>
        <v>46186.125</v>
      </c>
      <c r="S10" s="127" t="str">
        <f t="shared" si="1"/>
        <v>United States_draw</v>
      </c>
      <c r="T10" s="127" t="str">
        <f t="shared" si="2"/>
        <v>Paraguay_draw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0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1</v>
      </c>
      <c r="AH10" s="123">
        <f>COUNTIF($S$7:$T$78,"=" &amp; AE10 &amp; "_lose")</f>
        <v>1</v>
      </c>
      <c r="AI10" s="123">
        <f>SUMIF($E$7:$E$78,$AE10,$F$7:$F$78) + SUMIF($H$7:$H$78,$AE10,$G$7:$G$78)</f>
        <v>3</v>
      </c>
      <c r="AJ10" s="123">
        <f>SUMIF($E$7:$E$78,$AE10,$G$7:$G$78) + SUMIF($H$7:$H$78,$AE10,$F$7:$F$78)</f>
        <v>3</v>
      </c>
      <c r="AL10" s="123">
        <f>AI10-AJ10</f>
        <v>0</v>
      </c>
      <c r="AM10" s="123">
        <f>AL10-AL12</f>
        <v>2</v>
      </c>
      <c r="AN10" s="123">
        <f>AF10*3+AG10</f>
        <v>4</v>
      </c>
      <c r="AO10" s="123">
        <f>AN10/AN12*10+BA10</f>
        <v>4</v>
      </c>
      <c r="AP10" s="123">
        <f>AO10*10000000+BI10*100+AM10/AM12*10+AI10/AI12*1++IF(AQ10=0,ROW(),AQ10)/2000000</f>
        <v>40000003.76269909</v>
      </c>
      <c r="AQ10" s="126">
        <f>VLOOKUP(AE10,db_fifarank,2,FALSE)</f>
        <v>1588.66</v>
      </c>
      <c r="AR10" s="125">
        <f>AP10/AP12</f>
        <v>0.44444443592472321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3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3000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3 - 4</v>
      </c>
      <c r="P11" s="34">
        <f>L11*3+M11</f>
        <v>3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0</v>
      </c>
      <c r="AH11" s="123">
        <f>COUNTIF($S$7:$T$78,"=" &amp; AE11 &amp; "_lose")</f>
        <v>2</v>
      </c>
      <c r="AI11" s="123">
        <f>SUMIF($E$7:$E$78,$AE11,$F$7:$F$78) + SUMIF($H$7:$H$78,$AE11,$G$7:$G$78)</f>
        <v>3</v>
      </c>
      <c r="AJ11" s="123">
        <f>SUMIF($E$7:$E$78,$AE11,$G$7:$G$78) + SUMIF($H$7:$H$78,$AE11,$F$7:$F$78)</f>
        <v>4</v>
      </c>
      <c r="AL11" s="123">
        <f>AI11-AJ11</f>
        <v>-1</v>
      </c>
      <c r="AM11" s="123">
        <f>AL11-AL12</f>
        <v>1</v>
      </c>
      <c r="AN11" s="123">
        <f>AF11*3+AG11</f>
        <v>3</v>
      </c>
      <c r="AO11" s="123">
        <f>AN11/AN12*10+BA11</f>
        <v>3</v>
      </c>
      <c r="AP11" s="123">
        <f>AO11*10000000+BI11*100+AM11/AM12*10+AI11/AI12*1++IF(AQ11=0,ROW(),AQ11)/2000000</f>
        <v>30000002.095988788</v>
      </c>
      <c r="AQ11" s="126">
        <f>VLOOKUP(AE11,db_fifarank,2,FALSE)</f>
        <v>1501.38</v>
      </c>
      <c r="AR11" s="125">
        <f>AP11/AP12</f>
        <v>0.33333331887648188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Paraguay</v>
      </c>
      <c r="BM11" s="62">
        <v>1</v>
      </c>
      <c r="BN11" s="64"/>
      <c r="BO11" s="27"/>
      <c r="BP11" s="113">
        <f>IF(BP10="","",BM11*1000+BN11*10+BO11)</f>
        <v>1000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1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3 - 5</v>
      </c>
      <c r="P12" s="37">
        <f>L12*3+M12</f>
        <v>1</v>
      </c>
      <c r="R12" s="123">
        <f>DATE(2026,6,13)+TIME(17,0,0)+gmt_delta</f>
        <v>46187.25</v>
      </c>
      <c r="S12" s="127" t="str">
        <f t="shared" si="1"/>
        <v>Australia_draw</v>
      </c>
      <c r="T12" s="127" t="str">
        <f t="shared" si="2"/>
        <v>Turkey_draw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0</v>
      </c>
      <c r="AF12" s="123">
        <f t="shared" ref="AF12:AH12" si="12">MAX(AF8:AF11)-MIN(AF8:AF11)+1</f>
        <v>4</v>
      </c>
      <c r="AG12" s="123">
        <f t="shared" si="12"/>
        <v>2</v>
      </c>
      <c r="AH12" s="123">
        <f t="shared" si="12"/>
        <v>3</v>
      </c>
      <c r="AI12" s="123">
        <f>MAX(AI8:AI11)+1</f>
        <v>7</v>
      </c>
      <c r="AL12" s="123">
        <f>MIN(AL8:AL11)</f>
        <v>-2</v>
      </c>
      <c r="AM12" s="123">
        <f>MAX(AM8:AM11)+1</f>
        <v>6</v>
      </c>
      <c r="AN12" s="123">
        <f>MAX(AN8:AN11)+1</f>
        <v>10</v>
      </c>
      <c r="AO12" s="123">
        <f>MAX(AO8:AO11)+1</f>
        <v>10</v>
      </c>
      <c r="AP12" s="123">
        <f>MAX(AP8:AP11)+1</f>
        <v>90000010.191316694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3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2</v>
      </c>
      <c r="BU13" s="64"/>
      <c r="BV13" s="27"/>
      <c r="BW13" s="113">
        <f>IF(BW12="","",BT13*1000+BU13*10+BV13)</f>
        <v>2000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0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Qatar_draw</v>
      </c>
      <c r="T14" s="127" t="str">
        <f t="shared" si="2"/>
        <v>Switzerland_draw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0</v>
      </c>
      <c r="AD14" s="123">
        <f>COUNTIF(AR14:AR17,CONCATENATE("&gt;=",AR14))</f>
        <v>3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1</v>
      </c>
      <c r="AH14" s="123">
        <f>COUNTIF($S$7:$T$78,"=" &amp; AE14 &amp; "_lose")</f>
        <v>1</v>
      </c>
      <c r="AI14" s="123">
        <f>SUMIF($E$7:$E$78,$AE14,$F$7:$F$78) + SUMIF($H$7:$H$78,$AE14,$G$7:$G$78)</f>
        <v>2</v>
      </c>
      <c r="AJ14" s="123">
        <f>SUMIF($E$7:$E$78,$AE14,$G$7:$G$78) + SUMIF($H$7:$H$78,$AE14,$F$7:$F$78)</f>
        <v>3</v>
      </c>
      <c r="AL14" s="123">
        <f>AI14-AJ14</f>
        <v>-1</v>
      </c>
      <c r="AM14" s="123">
        <f>AL14-AL18</f>
        <v>1</v>
      </c>
      <c r="AN14" s="123">
        <f>AF14*3+AG14</f>
        <v>4</v>
      </c>
      <c r="AO14" s="123">
        <f>AN14/AN18*10+BA14</f>
        <v>5.7142857142857135</v>
      </c>
      <c r="AP14" s="123">
        <f>AO14*10000000+BI14*100+AM14/AM18*10+AI14/AI18*1++IF(AQ14=0,ROW(),AQ14)/2000000</f>
        <v>57142859.476968713</v>
      </c>
      <c r="AQ14" s="126">
        <f>VLOOKUP(AE14,db_fifarank,2,FALSE)</f>
        <v>1556.48</v>
      </c>
      <c r="AR14" s="125">
        <f>AP14/AP18</f>
        <v>0.66666661741110311</v>
      </c>
      <c r="AS14" s="125" t="str">
        <f>IF(SUM(AF14:AH17)=12,J15,"1B")</f>
        <v>Bosnia and Herzegovina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4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4000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2</v>
      </c>
      <c r="G15" s="20">
        <v>0</v>
      </c>
      <c r="H15" s="80" t="str">
        <f>AE35</f>
        <v>Ecuador</v>
      </c>
      <c r="J15" s="30" t="str">
        <f>VLOOKUP(1,AD14:AN17,2,FALSE)</f>
        <v>Bosnia and Herzegovina</v>
      </c>
      <c r="K15" s="31">
        <f>L15+M15+N15</f>
        <v>3</v>
      </c>
      <c r="L15" s="31">
        <f>VLOOKUP(1,AD14:AN17,3,FALSE)</f>
        <v>2</v>
      </c>
      <c r="M15" s="31">
        <f>VLOOKUP(1,AD14:AN17,4,FALSE)</f>
        <v>0</v>
      </c>
      <c r="N15" s="31">
        <f>VLOOKUP(1,AD14:AN17,5,FALSE)</f>
        <v>1</v>
      </c>
      <c r="O15" s="31" t="str">
        <f>VLOOKUP(1,AD14:AN17,6,FALSE) &amp; " - " &amp; VLOOKUP(1,AD14:AN17,7,FALSE)</f>
        <v>5 - 3</v>
      </c>
      <c r="P15" s="32">
        <f>L15*3+M15</f>
        <v>6</v>
      </c>
      <c r="R15" s="123">
        <f>DATE(2026,6,14)+TIME(12,0,0)+gmt_delta</f>
        <v>46188.041666666664</v>
      </c>
      <c r="S15" s="127" t="str">
        <f t="shared" si="1"/>
        <v>Ivory Coast_win</v>
      </c>
      <c r="T15" s="127" t="str">
        <f t="shared" si="2"/>
        <v>Ecuador_lose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1</v>
      </c>
      <c r="AD15" s="123">
        <f>COUNTIF(AR14:AR17,CONCATENATE("&gt;=",AR15))</f>
        <v>1</v>
      </c>
      <c r="AE15" s="124" t="str">
        <f>VLOOKUP("Bosnia and Herzegovina",T,lang,FALSE)</f>
        <v>Bosnia and Herzegovina</v>
      </c>
      <c r="AF15" s="123">
        <f>COUNTIF($S$7:$T$78,"=" &amp; AE15 &amp; "_win")</f>
        <v>2</v>
      </c>
      <c r="AG15" s="123">
        <f>COUNTIF($S$7:$T$78,"=" &amp; AE15 &amp; "_draw")</f>
        <v>0</v>
      </c>
      <c r="AH15" s="123">
        <f>COUNTIF($S$7:$T$78,"=" &amp; AE15 &amp; "_lose")</f>
        <v>1</v>
      </c>
      <c r="AI15" s="123">
        <f>SUMIF($E$7:$E$78,$AE15,$F$7:$F$78) + SUMIF($H$7:$H$78,$AE15,$G$7:$G$78)</f>
        <v>5</v>
      </c>
      <c r="AJ15" s="123">
        <f>SUMIF($E$7:$E$78,$AE15,$G$7:$G$78) + SUMIF($H$7:$H$78,$AE15,$F$7:$F$78)</f>
        <v>3</v>
      </c>
      <c r="AL15" s="123">
        <f>AI15-AJ15</f>
        <v>2</v>
      </c>
      <c r="AM15" s="123">
        <f>AL15-AL18</f>
        <v>4</v>
      </c>
      <c r="AN15" s="123">
        <f>AF15*3+AG15</f>
        <v>6</v>
      </c>
      <c r="AO15" s="123">
        <f>AN15/AN18*10+BA15</f>
        <v>8.5714285714285712</v>
      </c>
      <c r="AP15" s="123">
        <f>AO15*10000000+BI15*100+AM15/AM18*10+AI15/AI18*1++IF(AQ15=0,ROW(),AQ15)/2000000</f>
        <v>85714294.548311964</v>
      </c>
      <c r="AQ15" s="126">
        <f>VLOOKUP(AE15,db_fifarank,2,FALSE)</f>
        <v>1385.84</v>
      </c>
      <c r="AR15" s="125">
        <f>AP15/AP18</f>
        <v>0.9999999883333347</v>
      </c>
      <c r="AS15" s="125" t="str">
        <f>IF(SUM(AF14:AH17)=12,J16,"2B")</f>
        <v>Switzerland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Iran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5</v>
      </c>
      <c r="G16" s="20">
        <v>0</v>
      </c>
      <c r="H16" s="80" t="str">
        <f>AE33</f>
        <v>Curaçao</v>
      </c>
      <c r="J16" s="33" t="str">
        <f>VLOOKUP(2,AD14:AN17,2,FALSE)</f>
        <v>Switzerland</v>
      </c>
      <c r="K16" s="23">
        <f>L16+M16+N16</f>
        <v>3</v>
      </c>
      <c r="L16" s="23">
        <f>VLOOKUP(2,AD14:AN17,3,FALSE)</f>
        <v>1</v>
      </c>
      <c r="M16" s="23">
        <f>VLOOKUP(2,AD14:AN17,4,FALSE)</f>
        <v>2</v>
      </c>
      <c r="N16" s="23">
        <f>VLOOKUP(2,AD14:AN17,5,FALSE)</f>
        <v>0</v>
      </c>
      <c r="O16" s="23" t="str">
        <f>VLOOKUP(2,AD14:AN17,6,FALSE) &amp; " - " &amp; VLOOKUP(2,AD14:AN17,7,FALSE)</f>
        <v>3 - 2</v>
      </c>
      <c r="P16" s="34">
        <f>L16*3+M16</f>
        <v>5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1</v>
      </c>
      <c r="AH16" s="123">
        <f>COUNTIF($S$7:$T$78,"=" &amp; AE16 &amp; "_lose")</f>
        <v>2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3</v>
      </c>
      <c r="AL16" s="123">
        <f>AI16-AJ16</f>
        <v>-2</v>
      </c>
      <c r="AM16" s="123">
        <f>AL16-AL18</f>
        <v>0</v>
      </c>
      <c r="AN16" s="123">
        <f>AF16*3+AG16</f>
        <v>1</v>
      </c>
      <c r="AO16" s="123">
        <f>AN16/AN18*10+BA16</f>
        <v>1.4285714285714284</v>
      </c>
      <c r="AP16" s="123">
        <f>AO16*10000000+BI16*100+AM16/AM18*10+AI16/AI18*1++IF(AQ16=0,ROW(),AQ16)/2000000</f>
        <v>14285714.45310843</v>
      </c>
      <c r="AQ16" s="126">
        <f>VLOOKUP(AE16,db_fifarank,2,FALSE)</f>
        <v>1454.96</v>
      </c>
      <c r="AR16" s="125">
        <f>AP16/AP18</f>
        <v>0.16666664949788262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3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3</v>
      </c>
      <c r="G17" s="20">
        <v>2</v>
      </c>
      <c r="H17" s="80" t="str">
        <f>AE39</f>
        <v>Japan</v>
      </c>
      <c r="J17" s="33" t="str">
        <f>VLOOKUP(3,AD14:AN17,2,FALSE)</f>
        <v>Canada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2 - 3</v>
      </c>
      <c r="P17" s="34">
        <f>L17*3+M17</f>
        <v>4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2</v>
      </c>
      <c r="AE17" s="124" t="str">
        <f>VLOOKUP("Switzerland",T,lang,FALSE)</f>
        <v>Switzerland</v>
      </c>
      <c r="AF17" s="123">
        <f>COUNTIF($S$7:$T$78,"=" &amp; AE17 &amp; "_win")</f>
        <v>1</v>
      </c>
      <c r="AG17" s="123">
        <f>COUNTIF($S$7:$T$78,"=" &amp; AE17 &amp; "_draw")</f>
        <v>2</v>
      </c>
      <c r="AH17" s="123">
        <f>COUNTIF($S$7:$T$78,"=" &amp; AE17 &amp; "_lose")</f>
        <v>0</v>
      </c>
      <c r="AI17" s="123">
        <f>SUMIF($E$7:$E$78,$AE17,$F$7:$F$78) + SUMIF($H$7:$H$78,$AE17,$G$7:$G$78)</f>
        <v>3</v>
      </c>
      <c r="AJ17" s="123">
        <f>SUMIF($E$7:$E$78,$AE17,$G$7:$G$78) + SUMIF($H$7:$H$78,$AE17,$F$7:$F$78)</f>
        <v>2</v>
      </c>
      <c r="AL17" s="123">
        <f>AI17-AJ17</f>
        <v>1</v>
      </c>
      <c r="AM17" s="123">
        <f>AL17-AL18</f>
        <v>3</v>
      </c>
      <c r="AN17" s="123">
        <f>AF17*3+AG17</f>
        <v>5</v>
      </c>
      <c r="AO17" s="123">
        <f>AN17/AN18*10+BA17</f>
        <v>7.1428571428571432</v>
      </c>
      <c r="AP17" s="123">
        <f>AO17*10000000+BI17*100+AM17/AM18*10+AI17/AI18*1++IF(AQ17=0,ROW(),AQ17)/2000000</f>
        <v>71428577.929396138</v>
      </c>
      <c r="AQ17" s="126">
        <f>VLOOKUP(AE17,db_fifarank,2,FALSE)</f>
        <v>1649.4</v>
      </c>
      <c r="AR17" s="125">
        <f>AP17/AP18</f>
        <v>0.83333331356770202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3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1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1 - 3</v>
      </c>
      <c r="P18" s="37">
        <f>L18*3+M18</f>
        <v>1</v>
      </c>
      <c r="R18" s="123">
        <f>DATE(2026,6,14)+TIME(15,0,0)+gmt_delta</f>
        <v>46188.166666666664</v>
      </c>
      <c r="S18" s="127" t="str">
        <f t="shared" si="1"/>
        <v>Sweden_draw</v>
      </c>
      <c r="T18" s="127" t="str">
        <f t="shared" si="2"/>
        <v>Tunisia_draw</v>
      </c>
      <c r="U18" s="123">
        <f t="shared" si="8"/>
        <v>1</v>
      </c>
      <c r="V18" s="123">
        <f t="shared" si="3"/>
        <v>1</v>
      </c>
      <c r="W18" s="123">
        <f t="shared" si="4"/>
        <v>1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0</v>
      </c>
      <c r="AF18" s="123">
        <f t="shared" ref="AF18:AH18" si="13">MAX(AF14:AF17)-MIN(AF14:AF17)+1</f>
        <v>3</v>
      </c>
      <c r="AG18" s="123">
        <f t="shared" si="13"/>
        <v>3</v>
      </c>
      <c r="AH18" s="123">
        <f t="shared" si="13"/>
        <v>3</v>
      </c>
      <c r="AI18" s="123">
        <f>MAX(AI14:AI17)+1</f>
        <v>6</v>
      </c>
      <c r="AL18" s="123">
        <f>MIN(AL14:AL17)</f>
        <v>-2</v>
      </c>
      <c r="AM18" s="123">
        <f>MAX(AM14:AM17)+1</f>
        <v>5</v>
      </c>
      <c r="AN18" s="123">
        <f>MAX(AN14:AN17)+1</f>
        <v>7</v>
      </c>
      <c r="AO18" s="123">
        <f>MAX(AO14:AO17)+1</f>
        <v>9.5714285714285712</v>
      </c>
      <c r="AP18" s="123">
        <f>MAX(AP14:AP17)+1</f>
        <v>85714295.548311964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Korea Republic</v>
      </c>
      <c r="BM18" s="61">
        <v>0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Switzerland</v>
      </c>
      <c r="BM19" s="62">
        <v>2</v>
      </c>
      <c r="BN19" s="64"/>
      <c r="BO19" s="27"/>
      <c r="BP19" s="113">
        <f>IF(BP18="","",BM19*1000+BN19*10+BO19)</f>
        <v>2000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4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12</v>
      </c>
      <c r="AJ20" s="123">
        <f>SUMIF($E$7:$E$78,$AE20,$G$7:$G$78) + SUMIF($H$7:$H$78,$AE20,$F$7:$F$78)</f>
        <v>1</v>
      </c>
      <c r="AL20" s="123">
        <f>AI20-AJ20</f>
        <v>11</v>
      </c>
      <c r="AM20" s="123">
        <f>AL20-AL24</f>
        <v>23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90000010.50729084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Switzerland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1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12 - 1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1</v>
      </c>
      <c r="AG21" s="123">
        <f>COUNTIF($S$7:$T$78,"=" &amp; AE21 &amp; "_draw")</f>
        <v>1</v>
      </c>
      <c r="AH21" s="123">
        <f>COUNTIF($S$7:$T$78,"=" &amp; AE21 &amp; "_lose")</f>
        <v>1</v>
      </c>
      <c r="AI21" s="123">
        <f>SUMIF($E$7:$E$78,$AE21,$F$7:$F$78) + SUMIF($H$7:$H$78,$AE21,$G$7:$G$78)</f>
        <v>6</v>
      </c>
      <c r="AJ21" s="123">
        <f>SUMIF($E$7:$E$78,$AE21,$G$7:$G$78) + SUMIF($H$7:$H$78,$AE21,$F$7:$F$78)</f>
        <v>4</v>
      </c>
      <c r="AL21" s="123">
        <f>AI21-AJ21</f>
        <v>2</v>
      </c>
      <c r="AM21" s="123">
        <f>AL21-AL24</f>
        <v>14</v>
      </c>
      <c r="AN21" s="123">
        <f>AF21*3+AG21</f>
        <v>4</v>
      </c>
      <c r="AO21" s="123">
        <f>AN21/AN24*10+BA21</f>
        <v>4.9805825242718447</v>
      </c>
      <c r="AP21" s="123">
        <f>AO21*10000000+BI21*100+AM21/AM24*10+AI21/AI24*1++IF(AQ21=0,ROW(),AQ21)/2000000</f>
        <v>49805929.596720599</v>
      </c>
      <c r="AQ21" s="126">
        <f>VLOOKUP(AE21,db_fifarank,2,FALSE)</f>
        <v>1755.87</v>
      </c>
      <c r="AR21" s="125">
        <f>AP21/AP24</f>
        <v>0.5533991469843963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1</v>
      </c>
      <c r="AW21" s="126" cm="1">
        <f t="array" ref="AW21">SUMPRODUCT(($E$7:$E$78=AE21)*($U$7:$U$78)*($G$7:$G$78))+SUMPRODUCT(($H$7:$H$78=AE21)*($U$7:$U$78)*($F$7:$F$78))</f>
        <v>1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50.5</v>
      </c>
      <c r="BA21" s="126">
        <f>AZ21/AZ24</f>
        <v>0.98058252427184467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1</v>
      </c>
      <c r="BE21" s="126" cm="1">
        <f t="array" ref="BE21">SUMPRODUCT(($E$7:$E$78=AE21)*($X$7:$X$78)*($G$7:$G$78))+SUMPRODUCT(($H$7:$H$78=AE21)*($X$7:$X$78)*($F$7:$F$78))</f>
        <v>1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50.5</v>
      </c>
      <c r="BI21" s="126">
        <f>BH21/BH24</f>
        <v>0.98058252427184467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Netherlands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3</v>
      </c>
      <c r="G22" s="20">
        <v>2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1</v>
      </c>
      <c r="M22" s="23">
        <f>VLOOKUP(2,AD20:AN23,4,FALSE)</f>
        <v>1</v>
      </c>
      <c r="N22" s="23">
        <f>VLOOKUP(2,AD20:AN23,5,FALSE)</f>
        <v>1</v>
      </c>
      <c r="O22" s="23" t="str">
        <f>VLOOKUP(2,AD20:AN23,6,FALSE) &amp; " - " &amp; VLOOKUP(2,AD20:AN23,7,FALSE)</f>
        <v>6 - 4</v>
      </c>
      <c r="P22" s="34">
        <f>L22*3+M22</f>
        <v>4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12</v>
      </c>
      <c r="AL22" s="123">
        <f>AI22-AJ22</f>
        <v>-12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7.1761657491308178E-12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3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3000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2</v>
      </c>
      <c r="G23" s="20">
        <v>2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1</v>
      </c>
      <c r="N23" s="23">
        <f>VLOOKUP(3,AD20:AN23,5,FALSE)</f>
        <v>1</v>
      </c>
      <c r="O23" s="23" t="str">
        <f>VLOOKUP(3,AD20:AN23,6,FALSE) &amp; " - " &amp; VLOOKUP(3,AD20:AN23,7,FALSE)</f>
        <v>3 - 4</v>
      </c>
      <c r="P23" s="34">
        <f>L23*3+M23</f>
        <v>4</v>
      </c>
      <c r="R23" s="123">
        <f>DATE(2026,6,16)+TIME(8,0,0)+gmt_delta</f>
        <v>46189.875</v>
      </c>
      <c r="S23" s="127" t="str">
        <f t="shared" si="1"/>
        <v>France_draw</v>
      </c>
      <c r="T23" s="127" t="str">
        <f t="shared" si="2"/>
        <v>Senegal_draw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0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1</v>
      </c>
      <c r="AH23" s="123">
        <f>COUNTIF($S$7:$T$78,"=" &amp; AE23 &amp; "_lose")</f>
        <v>1</v>
      </c>
      <c r="AI23" s="123">
        <f>SUMIF($E$7:$E$78,$AE23,$F$7:$F$78) + SUMIF($H$7:$H$78,$AE23,$G$7:$G$78)</f>
        <v>3</v>
      </c>
      <c r="AJ23" s="123">
        <f>SUMIF($E$7:$E$78,$AE23,$G$7:$G$78) + SUMIF($H$7:$H$78,$AE23,$F$7:$F$78)</f>
        <v>4</v>
      </c>
      <c r="AL23" s="123">
        <f>AI23-AJ23</f>
        <v>-1</v>
      </c>
      <c r="AM23" s="123">
        <f>AL23-AL24</f>
        <v>11</v>
      </c>
      <c r="AN23" s="123">
        <f>AF23*3+AG23</f>
        <v>4</v>
      </c>
      <c r="AO23" s="123">
        <f>AN23/AN24*10+BA23</f>
        <v>4.9805825242718447</v>
      </c>
      <c r="AP23" s="123">
        <f>AO23*10000000+BI23*100+AM23/AM24*10+AI23/AI24*1++IF(AQ23=0,ROW(),AQ23)/2000000</f>
        <v>49805928.115822613</v>
      </c>
      <c r="AQ23" s="126">
        <f>VLOOKUP(AE23,db_fifarank,2,FALSE)</f>
        <v>1498.35</v>
      </c>
      <c r="AR23" s="125">
        <f>AP23/AP24</f>
        <v>0.55339913052997636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1</v>
      </c>
      <c r="AV23" s="126" cm="1">
        <f t="array" ref="AV23">SUMPRODUCT(($E$7:$E$78=AE23)*($U$7:$U$78)*($F$7:$F$78))+SUMPRODUCT(($H$7:$H$78=AE23)*($U$7:$U$78)*($G$7:$G$78))</f>
        <v>1</v>
      </c>
      <c r="AW23" s="126" cm="1">
        <f t="array" ref="AW23">SUMPRODUCT(($E$7:$E$78=AE23)*($U$7:$U$78)*($G$7:$G$78))+SUMPRODUCT(($H$7:$H$78=AE23)*($U$7:$U$78)*($F$7:$F$78))</f>
        <v>1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50.5</v>
      </c>
      <c r="BA23" s="126">
        <f>AZ23/AZ24</f>
        <v>0.98058252427184467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1</v>
      </c>
      <c r="BD23" s="126" cm="1">
        <f t="array" ref="BD23">SUMPRODUCT(($E$7:$E$78=AE23)*($X$7:$X$78)*($F$7:$F$78))+SUMPRODUCT(($H$7:$H$78=AE23)*($X$7:$X$78)*($G$7:$G$78))</f>
        <v>1</v>
      </c>
      <c r="BE23" s="126" cm="1">
        <f t="array" ref="BE23">SUMPRODUCT(($E$7:$E$78=AE23)*($X$7:$X$78)*($G$7:$G$78))+SUMPRODUCT(($H$7:$H$78=AE23)*($X$7:$X$78)*($F$7:$F$78))</f>
        <v>1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50.5</v>
      </c>
      <c r="BI23" s="126">
        <f>BH23/BH24</f>
        <v>0.98058252427184467</v>
      </c>
      <c r="BK23" s="132"/>
      <c r="BL23" s="26" t="str">
        <f>AS21</f>
        <v>Morocco</v>
      </c>
      <c r="BM23" s="62">
        <v>2</v>
      </c>
      <c r="BN23" s="64"/>
      <c r="BO23" s="27"/>
      <c r="BP23" s="112">
        <f>IF(BP22="","",BM23*1000+BN23*10+BO23)</f>
        <v>2000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3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3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0 - 12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2</v>
      </c>
      <c r="AH24" s="123">
        <f t="shared" si="14"/>
        <v>4</v>
      </c>
      <c r="AI24" s="123">
        <f>MAX(AI20:AI23)+1</f>
        <v>13</v>
      </c>
      <c r="AL24" s="123">
        <f>MIN(AL20:AL23)</f>
        <v>-12</v>
      </c>
      <c r="AM24" s="123">
        <f>MAX(AM20:AM23)+1</f>
        <v>24</v>
      </c>
      <c r="AN24" s="123">
        <f>MAX(AN20:AN23)+1</f>
        <v>10</v>
      </c>
      <c r="AO24" s="123">
        <f>MAX(AO20:AO23)+1</f>
        <v>10</v>
      </c>
      <c r="AP24" s="123">
        <f>MAX(AP20:AP23)+1</f>
        <v>90000011.50729084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2</v>
      </c>
      <c r="AW24" s="126">
        <f>MAX(AW20:AW23)-MIN(AW20:AW23)+1</f>
        <v>2</v>
      </c>
      <c r="AY24" s="126">
        <f>MAX(AY20:AY23)-MIN(AY20:AY23)+1</f>
        <v>1</v>
      </c>
      <c r="AZ24" s="126">
        <f>MAX(AZ20:AZ23)+1</f>
        <v>51.5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2</v>
      </c>
      <c r="BE24" s="126">
        <f>MAX(BE20:BE23)-MIN(BE20:BE23)+1</f>
        <v>2</v>
      </c>
      <c r="BG24" s="126">
        <f>MAX(BG20:BG23)-MIN(BG20:BG23)+1</f>
        <v>1</v>
      </c>
      <c r="BH24" s="126">
        <f>MAX(BH20:BH23)+1</f>
        <v>51.5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2</v>
      </c>
      <c r="CI24" s="64"/>
      <c r="CJ24" s="27"/>
      <c r="CK24" s="113">
        <f>IF(CK23="","",CH24*1000+CI24*10+CJ24)</f>
        <v>2000</v>
      </c>
    </row>
    <row r="25" spans="1:95" x14ac:dyDescent="0.3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2</v>
      </c>
      <c r="G25" s="20">
        <v>1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1</v>
      </c>
      <c r="AH26" s="123">
        <f>COUNTIF($S$7:$T$78,"=" &amp; AE26 &amp; "_lose")</f>
        <v>0</v>
      </c>
      <c r="AI26" s="123">
        <f>SUMIF($E$7:$E$78,$AE26,$F$7:$F$78) + SUMIF($H$7:$H$78,$AE26,$G$7:$G$78)</f>
        <v>5</v>
      </c>
      <c r="AJ26" s="123">
        <f>SUMIF($E$7:$E$78,$AE26,$G$7:$G$78) + SUMIF($H$7:$H$78,$AE26,$F$7:$F$78)</f>
        <v>2</v>
      </c>
      <c r="AL26" s="123">
        <f>AI26-AJ26</f>
        <v>3</v>
      </c>
      <c r="AM26" s="123">
        <f>AL26-AL30</f>
        <v>7</v>
      </c>
      <c r="AN26" s="123">
        <f>AF26*3+AG26</f>
        <v>7</v>
      </c>
      <c r="AO26" s="123">
        <f>AN26/AN30*10+BA26</f>
        <v>8.7565595277140051</v>
      </c>
      <c r="AP26" s="123">
        <f>AO26*10000000+BI26*100+AM26/AM30*10+AI26/AI30*1++IF(AQ26=0,ROW(),AQ26)/2000000</f>
        <v>87565604.861309946</v>
      </c>
      <c r="AQ26" s="126">
        <f>VLOOKUP(AE26,db_fifarank,2,FALSE)</f>
        <v>1673.13</v>
      </c>
      <c r="AR26" s="125">
        <f>AP26/AP30</f>
        <v>0.99999998857999106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1</v>
      </c>
      <c r="AZ26" s="126">
        <f>AT26/AT30*1000+AU26/AU30*100+AY26/AY30*10+AV26/AV30</f>
        <v>3.333333333333333</v>
      </c>
      <c r="BA26" s="126">
        <f>AZ26/AZ30</f>
        <v>6.5595277140045906E-3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2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2000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3</v>
      </c>
      <c r="G27" s="20">
        <v>1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5 - 2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1</v>
      </c>
      <c r="AH27" s="123">
        <f>COUNTIF($S$7:$T$78,"=" &amp; AE27 &amp; "_lose")</f>
        <v>1</v>
      </c>
      <c r="AI27" s="123">
        <f>SUMIF($E$7:$E$78,$AE27,$F$7:$F$78) + SUMIF($H$7:$H$78,$AE27,$G$7:$G$78)</f>
        <v>3</v>
      </c>
      <c r="AJ27" s="123">
        <f>SUMIF($E$7:$E$78,$AE27,$G$7:$G$78) + SUMIF($H$7:$H$78,$AE27,$F$7:$F$78)</f>
        <v>2</v>
      </c>
      <c r="AL27" s="123">
        <f>AI27-AJ27</f>
        <v>1</v>
      </c>
      <c r="AM27" s="123">
        <f>AL27-AL30</f>
        <v>5</v>
      </c>
      <c r="AN27" s="123">
        <f>AF27*3+AG27</f>
        <v>4</v>
      </c>
      <c r="AO27" s="123">
        <f>AN27/AN30*10+BA27</f>
        <v>5</v>
      </c>
      <c r="AP27" s="123">
        <f>AO27*10000000+BI27*100+AM27/AM30*10+AI27/AI30*1++IF(AQ27=0,ROW(),AQ27)/2000000</f>
        <v>50000006.750751749</v>
      </c>
      <c r="AQ27" s="126">
        <f>VLOOKUP(AE27,db_fifarank,2,FALSE)</f>
        <v>1503.5</v>
      </c>
      <c r="AR27" s="125">
        <f>AP27/AP30</f>
        <v>0.57100052308144644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1</v>
      </c>
      <c r="AX27" s="126">
        <f>AV27-AW27</f>
        <v>-1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1</v>
      </c>
      <c r="BN27" s="64"/>
      <c r="BO27" s="27"/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1</v>
      </c>
      <c r="G28" s="20">
        <v>1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1</v>
      </c>
      <c r="M28" s="23">
        <f>VLOOKUP(2,AD26:AN29,4,FALSE)</f>
        <v>1</v>
      </c>
      <c r="N28" s="23">
        <f>VLOOKUP(2,AD26:AN29,5,FALSE)</f>
        <v>1</v>
      </c>
      <c r="O28" s="23" t="str">
        <f>VLOOKUP(2,AD26:AN29,6,FALSE) &amp; " - " &amp; VLOOKUP(2,AD26:AN29,7,FALSE)</f>
        <v>3 - 3</v>
      </c>
      <c r="P28" s="34">
        <f>L28*3+M28</f>
        <v>4</v>
      </c>
      <c r="R28" s="123">
        <f>DATE(2026,6,17)+TIME(9,0,0)+gmt_delta</f>
        <v>46190.916666666664</v>
      </c>
      <c r="S28" s="127" t="str">
        <f t="shared" si="1"/>
        <v>England_draw</v>
      </c>
      <c r="T28" s="127" t="str">
        <f t="shared" si="2"/>
        <v>Croatia_draw</v>
      </c>
      <c r="U28" s="123">
        <f t="shared" si="8"/>
        <v>1</v>
      </c>
      <c r="V28" s="123">
        <f t="shared" si="3"/>
        <v>1</v>
      </c>
      <c r="W28" s="123">
        <f t="shared" si="4"/>
        <v>1</v>
      </c>
      <c r="X28" s="123">
        <f t="shared" si="9"/>
        <v>1</v>
      </c>
      <c r="Y28" s="123">
        <f t="shared" si="10"/>
        <v>1</v>
      </c>
      <c r="Z28" s="123">
        <f t="shared" si="11"/>
        <v>1</v>
      </c>
      <c r="AA28" s="123">
        <f t="shared" si="5"/>
        <v>0</v>
      </c>
      <c r="AB28" s="123">
        <f t="shared" si="6"/>
        <v>0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1</v>
      </c>
      <c r="AH28" s="123">
        <f>COUNTIF($S$7:$T$78,"=" &amp; AE28 &amp; "_lose")</f>
        <v>2</v>
      </c>
      <c r="AI28" s="123">
        <f>SUMIF($E$7:$E$78,$AE28,$F$7:$F$78) + SUMIF($H$7:$H$78,$AE28,$G$7:$G$78)</f>
        <v>1</v>
      </c>
      <c r="AJ28" s="123">
        <f>SUMIF($E$7:$E$78,$AE28,$G$7:$G$78) + SUMIF($H$7:$H$78,$AE28,$F$7:$F$78)</f>
        <v>5</v>
      </c>
      <c r="AL28" s="123">
        <f>AI28-AJ28</f>
        <v>-4</v>
      </c>
      <c r="AM28" s="123">
        <f>AL28-AL30</f>
        <v>0</v>
      </c>
      <c r="AN28" s="123">
        <f>AF28*3+AG28</f>
        <v>1</v>
      </c>
      <c r="AO28" s="123">
        <f>AN28/AN30*10+BA28</f>
        <v>1.2565595277140047</v>
      </c>
      <c r="AP28" s="123">
        <f>AO28*10000000+BI28*100+AM28/AM30*10+AI28/AI30*1++IF(AQ28=0,ROW(),AQ28)/2000000</f>
        <v>12565595.444597049</v>
      </c>
      <c r="AQ28" s="126">
        <f>VLOOKUP(AE28,db_fifarank,2,FALSE)</f>
        <v>1580.67</v>
      </c>
      <c r="AR28" s="125">
        <f>AP28/AP30</f>
        <v>0.14349921205934396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1</v>
      </c>
      <c r="AZ28" s="126">
        <f>AT28/AT30*1000+AU28/AU30*100+AY28/AY30*10+AV28/AV30</f>
        <v>3.333333333333333</v>
      </c>
      <c r="BA28" s="126">
        <f>AZ28/AZ30</f>
        <v>6.5595277140045906E-3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5</v>
      </c>
      <c r="G29" s="20">
        <v>1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1</v>
      </c>
      <c r="M29" s="23">
        <f>VLOOKUP(3,AD26:AN29,4,FALSE)</f>
        <v>1</v>
      </c>
      <c r="N29" s="23">
        <f>VLOOKUP(3,AD26:AN29,5,FALSE)</f>
        <v>1</v>
      </c>
      <c r="O29" s="23" t="str">
        <f>VLOOKUP(3,AD26:AN29,6,FALSE) &amp; " - " &amp; VLOOKUP(3,AD26:AN29,7,FALSE)</f>
        <v>3 - 2</v>
      </c>
      <c r="P29" s="34">
        <f>L29*3+M29</f>
        <v>4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1</v>
      </c>
      <c r="AH29" s="123">
        <f>COUNTIF($S$7:$T$78,"=" &amp; AE29 &amp; "_lose")</f>
        <v>1</v>
      </c>
      <c r="AI29" s="123">
        <f>SUMIF($E$7:$E$78,$AE29,$F$7:$F$78) + SUMIF($H$7:$H$78,$AE29,$G$7:$G$78)</f>
        <v>3</v>
      </c>
      <c r="AJ29" s="123">
        <f>SUMIF($E$7:$E$78,$AE29,$G$7:$G$78) + SUMIF($H$7:$H$78,$AE29,$F$7:$F$78)</f>
        <v>3</v>
      </c>
      <c r="AL29" s="123">
        <f>AI29-AJ29</f>
        <v>0</v>
      </c>
      <c r="AM29" s="123">
        <f>AL29-AL30</f>
        <v>4</v>
      </c>
      <c r="AN29" s="123">
        <f>AF29*3+AG29</f>
        <v>4</v>
      </c>
      <c r="AO29" s="123">
        <f>AN29/AN30*10+BA29</f>
        <v>5.9980321416857985</v>
      </c>
      <c r="AP29" s="123">
        <f>AO29*10000000+BI29*100+AM29/AM30*10+AI29/AI30*1++IF(AQ29=0,ROW(),AQ29)/2000000</f>
        <v>59980326.917657509</v>
      </c>
      <c r="AQ29" s="126">
        <f>VLOOKUP(AE29,db_fifarank,2,FALSE)</f>
        <v>1599.04</v>
      </c>
      <c r="AR29" s="125">
        <f>AP29/AP30</f>
        <v>0.68497586840953117</v>
      </c>
      <c r="AT29" s="126" cm="1">
        <f t="array" ref="AT29">SUMPRODUCT(($S$7:$S$78=AE29&amp;"_win")*($U$7:$U$78))+SUMPRODUCT(($T$7:$T$78=AE29&amp;"_win")*($U$7:$U$78))</f>
        <v>1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1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1</v>
      </c>
      <c r="AY29" s="126">
        <f>AX29-MIN(AX26:AX29)</f>
        <v>2</v>
      </c>
      <c r="AZ29" s="126">
        <f>AT29/AT30*1000+AU29/AU30*100+AY29/AY30*10+AV29/AV30</f>
        <v>507.16666666666669</v>
      </c>
      <c r="BA29" s="126">
        <f>AZ29/AZ30</f>
        <v>0.99803214168579857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2</v>
      </c>
      <c r="BU29" s="64"/>
      <c r="BV29" s="27"/>
      <c r="BW29" s="113">
        <f>IF(BW28="","",BT29*1000+BU29*10+BV29)</f>
        <v>2000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3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1 - 5</v>
      </c>
      <c r="P30" s="37">
        <f>L30*3+M30</f>
        <v>1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1</v>
      </c>
      <c r="AH30" s="123">
        <f t="shared" si="15"/>
        <v>3</v>
      </c>
      <c r="AI30" s="123">
        <f>MAX(AI26:AI29)+1</f>
        <v>6</v>
      </c>
      <c r="AL30" s="123">
        <f>MIN(AL26:AL29)</f>
        <v>-4</v>
      </c>
      <c r="AM30" s="123">
        <f>MAX(AM26:AM29)+1</f>
        <v>8</v>
      </c>
      <c r="AN30" s="123">
        <f>MAX(AN26:AN29)+1</f>
        <v>8</v>
      </c>
      <c r="AO30" s="123">
        <f>MAX(AO26:AO29)+1</f>
        <v>9.7565595277140051</v>
      </c>
      <c r="AP30" s="123">
        <f>MAX(AP26:AP29)+1</f>
        <v>87565605.861309946</v>
      </c>
      <c r="AT30" s="126">
        <f>MAX(AT26:AT29)-MIN(AT26:AT29)+1</f>
        <v>2</v>
      </c>
      <c r="AU30" s="126">
        <f>MAX(AU26:AU29)-MIN(AU26:AU29)+1</f>
        <v>1</v>
      </c>
      <c r="AV30" s="126">
        <f>MAX(AV26:AV29)-MIN(AV26:AV29)+1</f>
        <v>2</v>
      </c>
      <c r="AW30" s="126">
        <f>MAX(AW26:AW29)-MIN(AW26:AW29)+1</f>
        <v>2</v>
      </c>
      <c r="AY30" s="126">
        <f>MAX(AY26:AY29)-MIN(AY26:AY29)+1</f>
        <v>3</v>
      </c>
      <c r="AZ30" s="126">
        <f>MAX(AZ26:AZ29)+1</f>
        <v>508.16666666666669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2</v>
      </c>
      <c r="G31" s="20">
        <v>1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9</v>
      </c>
      <c r="AJ32" s="123">
        <f>SUMIF($E$7:$E$78,$AE32,$G$7:$G$78) + SUMIF($H$7:$H$78,$AE32,$F$7:$F$78)</f>
        <v>1</v>
      </c>
      <c r="AL32" s="123">
        <f>AI32-AJ32</f>
        <v>8</v>
      </c>
      <c r="AM32" s="123">
        <f>AL32-AL36</f>
        <v>18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90000010.374549404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 x14ac:dyDescent="0.3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1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9 - 1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10</v>
      </c>
      <c r="AL33" s="123">
        <f>AI33-AJ33</f>
        <v>-10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7.1924990909840421E-12</v>
      </c>
      <c r="AS33" s="125" t="str">
        <f>IF(SUM(AF32:AH35)=12,J34,"2E")</f>
        <v>Ivory Coast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Belgium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3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Ivory Coast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6 - 2</v>
      </c>
      <c r="P34" s="34">
        <f>L34*3+M34</f>
        <v>6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2</v>
      </c>
      <c r="AE34" s="124" t="str">
        <f>VLOOKUP("Ivory Coast",T,lang,FALSE)</f>
        <v>Ivory Coast</v>
      </c>
      <c r="AF34" s="123">
        <f>COUNTIF($S$7:$T$78,"=" &amp; AE34 &amp; "_win")</f>
        <v>2</v>
      </c>
      <c r="AG34" s="123">
        <f>COUNTIF($S$7:$T$78,"=" &amp; AE34 &amp; "_draw")</f>
        <v>0</v>
      </c>
      <c r="AH34" s="123">
        <f>COUNTIF($S$7:$T$78,"=" &amp; AE34 &amp; "_lose")</f>
        <v>1</v>
      </c>
      <c r="AI34" s="123">
        <f>SUMIF($E$7:$E$78,$AE34,$F$7:$F$78) + SUMIF($H$7:$H$78,$AE34,$G$7:$G$78)</f>
        <v>6</v>
      </c>
      <c r="AJ34" s="123">
        <f>SUMIF($E$7:$E$78,$AE34,$G$7:$G$78) + SUMIF($H$7:$H$78,$AE34,$F$7:$F$78)</f>
        <v>2</v>
      </c>
      <c r="AL34" s="123">
        <f>AI34-AJ34</f>
        <v>4</v>
      </c>
      <c r="AM34" s="123">
        <f>AL34-AL36</f>
        <v>14</v>
      </c>
      <c r="AN34" s="123">
        <f>AF34*3+AG34</f>
        <v>6</v>
      </c>
      <c r="AO34" s="123">
        <f>AN34/AN36*10+BA34</f>
        <v>6</v>
      </c>
      <c r="AP34" s="123">
        <f>AO34*10000000+BI34*100+AM34/AM36*10+AI34/AI36*1++IF(AQ34=0,ROW(),AQ34)/2000000</f>
        <v>60000007.96918755</v>
      </c>
      <c r="AQ34" s="126">
        <f>VLOOKUP(AE34,db_fifarank,2,FALSE)</f>
        <v>1532.98</v>
      </c>
      <c r="AR34" s="125">
        <f>AP34/AP36</f>
        <v>0.66666667095727294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United States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3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6</v>
      </c>
      <c r="G35" s="20">
        <v>0</v>
      </c>
      <c r="H35" s="80" t="str">
        <f>AE22</f>
        <v>Haiti</v>
      </c>
      <c r="J35" s="33" t="str">
        <f>VLOOKUP(3,AD32:AN35,2,FALSE)</f>
        <v>Ecuador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2 - 4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3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0</v>
      </c>
      <c r="AH35" s="123">
        <f>COUNTIF($S$7:$T$78,"=" &amp; AE35 &amp; "_lose")</f>
        <v>2</v>
      </c>
      <c r="AI35" s="123">
        <f>SUMIF($E$7:$E$78,$AE35,$F$7:$F$78) + SUMIF($H$7:$H$78,$AE35,$G$7:$G$78)</f>
        <v>2</v>
      </c>
      <c r="AJ35" s="123">
        <f>SUMIF($E$7:$E$78,$AE35,$G$7:$G$78) + SUMIF($H$7:$H$78,$AE35,$F$7:$F$78)</f>
        <v>4</v>
      </c>
      <c r="AL35" s="123">
        <f>AI35-AJ35</f>
        <v>-2</v>
      </c>
      <c r="AM35" s="123">
        <f>AL35-AL36</f>
        <v>8</v>
      </c>
      <c r="AN35" s="123">
        <f>AF35*3+AG35</f>
        <v>3</v>
      </c>
      <c r="AO35" s="123">
        <f>AN35/AN36*10+BA35</f>
        <v>3</v>
      </c>
      <c r="AP35" s="123">
        <f>AO35*10000000+BI35*100+AM35/AM36*10+AI35/AI36*1++IF(AQ35=0,ROW(),AQ35)/2000000</f>
        <v>30000004.411323708</v>
      </c>
      <c r="AQ35" s="126">
        <f>VLOOKUP(AE35,db_fifarank,2,FALSE)</f>
        <v>1594.78</v>
      </c>
      <c r="AR35" s="125">
        <f>AP35/AP36</f>
        <v>0.33333334022007954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Canada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1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0 - 10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Scotland_draw</v>
      </c>
      <c r="T36" s="127" t="str">
        <f t="shared" si="2"/>
        <v>Morocco_draw</v>
      </c>
      <c r="U36" s="123">
        <f t="shared" si="8"/>
        <v>1</v>
      </c>
      <c r="V36" s="123">
        <f t="shared" si="3"/>
        <v>1</v>
      </c>
      <c r="W36" s="123">
        <f t="shared" si="4"/>
        <v>1</v>
      </c>
      <c r="X36" s="123">
        <f t="shared" si="9"/>
        <v>1</v>
      </c>
      <c r="Y36" s="123">
        <f t="shared" si="10"/>
        <v>1</v>
      </c>
      <c r="Z36" s="123">
        <f t="shared" si="11"/>
        <v>1</v>
      </c>
      <c r="AA36" s="123">
        <f t="shared" si="5"/>
        <v>0</v>
      </c>
      <c r="AB36" s="123">
        <f t="shared" si="6"/>
        <v>0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10</v>
      </c>
      <c r="AL36" s="123">
        <f>MIN(AL32:AL35)</f>
        <v>-10</v>
      </c>
      <c r="AM36" s="123">
        <f>MAX(AM32:AM35)+1</f>
        <v>19</v>
      </c>
      <c r="AN36" s="123">
        <f>MAX(AN32:AN35)+1</f>
        <v>10</v>
      </c>
      <c r="AO36" s="123">
        <f>MAX(AO32:AO35)+1</f>
        <v>10</v>
      </c>
      <c r="AP36" s="123">
        <f>MAX(AP32:AP35)+1</f>
        <v>90000011.374549404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United States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0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2</v>
      </c>
      <c r="BU37" s="64"/>
      <c r="BV37" s="27"/>
      <c r="BW37" s="112">
        <f>IF(BW36="","",BT37*1000+BU37*10+BV37)</f>
        <v>2000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3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1</v>
      </c>
      <c r="G38" s="20">
        <v>0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1</v>
      </c>
      <c r="V38" s="123">
        <f t="shared" si="3"/>
        <v>1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8</v>
      </c>
      <c r="AJ38" s="123">
        <f>SUMIF($E$7:$E$78,$AE38,$G$7:$G$78) + SUMIF($H$7:$H$78,$AE38,$F$7:$F$78)</f>
        <v>3</v>
      </c>
      <c r="AL38" s="123">
        <f>AI38-AJ38</f>
        <v>5</v>
      </c>
      <c r="AM38" s="123">
        <f>AL38-AL42</f>
        <v>7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90000009.639767826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Argentina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3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2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8 - 3</v>
      </c>
      <c r="P39" s="32">
        <f>L39*3+M39</f>
        <v>9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0</v>
      </c>
      <c r="AG39" s="123">
        <f>COUNTIF($S$7:$T$78,"=" &amp; AE39 &amp; "_draw")</f>
        <v>2</v>
      </c>
      <c r="AH39" s="123">
        <f>COUNTIF($S$7:$T$78,"=" &amp; AE39 &amp; "_lose")</f>
        <v>1</v>
      </c>
      <c r="AI39" s="123">
        <f>SUMIF($E$7:$E$78,$AE39,$F$7:$F$78) + SUMIF($H$7:$H$78,$AE39,$G$7:$G$78)</f>
        <v>5</v>
      </c>
      <c r="AJ39" s="123">
        <f>SUMIF($E$7:$E$78,$AE39,$G$7:$G$78) + SUMIF($H$7:$H$78,$AE39,$F$7:$F$78)</f>
        <v>6</v>
      </c>
      <c r="AL39" s="123">
        <f>AI39-AJ39</f>
        <v>-1</v>
      </c>
      <c r="AM39" s="123">
        <f>AL39-AL42</f>
        <v>1</v>
      </c>
      <c r="AN39" s="123">
        <f>AF39*3+AG39</f>
        <v>2</v>
      </c>
      <c r="AO39" s="123">
        <f>AN39/AN42*10+BA39</f>
        <v>2.9853836784409258</v>
      </c>
      <c r="AP39" s="123">
        <f>AO39*10000000+BI39*100+AM39/AM42*10+AI39/AI42*1++IF(AQ39=0,ROW(),AQ39)/2000000</f>
        <v>29853936.65531116</v>
      </c>
      <c r="AQ39" s="126">
        <f>VLOOKUP(AE39,db_fifarank,2,FALSE)</f>
        <v>1660.43</v>
      </c>
      <c r="AR39" s="125">
        <f>AP39/AP42</f>
        <v>0.33171036806655396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2</v>
      </c>
      <c r="AV39" s="126" cm="1">
        <f t="array" ref="AV39">SUMPRODUCT(($E$7:$E$78=AE39)*($U$7:$U$78)*($F$7:$F$78))+SUMPRODUCT(($H$7:$H$78=AE39)*($U$7:$U$78)*($G$7:$G$78))</f>
        <v>3</v>
      </c>
      <c r="AW39" s="126" cm="1">
        <f t="array" ref="AW39">SUMPRODUCT(($E$7:$E$78=AE39)*($U$7:$U$78)*($G$7:$G$78))+SUMPRODUCT(($H$7:$H$78=AE39)*($U$7:$U$78)*($F$7:$F$78))</f>
        <v>3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67.416666666666657</v>
      </c>
      <c r="BA39" s="126">
        <f>AZ39/AZ42</f>
        <v>0.98538367844092567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1</v>
      </c>
      <c r="BD39" s="126" cm="1">
        <f t="array" ref="BD39">SUMPRODUCT(($E$7:$E$78=AE39)*($X$7:$X$78)*($F$7:$F$78))+SUMPRODUCT(($H$7:$H$78=AE39)*($X$7:$X$78)*($G$7:$G$78))</f>
        <v>2</v>
      </c>
      <c r="BE39" s="126" cm="1">
        <f t="array" ref="BE39">SUMPRODUCT(($E$7:$E$78=AE39)*($X$7:$X$78)*($G$7:$G$78))+SUMPRODUCT(($H$7:$H$78=AE39)*($X$7:$X$78)*($F$7:$F$78))</f>
        <v>2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50.666666666666664</v>
      </c>
      <c r="BI39" s="126">
        <f>BH39/BH42</f>
        <v>0.98064516129032253</v>
      </c>
      <c r="BK39" s="132"/>
      <c r="BL39" s="26" t="str">
        <f>IF(group_round_completed,VLOOKUP('3rd places'!H3,AK80:AS91,9,FALSE),"3rd Group A/E/H/I/J")</f>
        <v>Czech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0</v>
      </c>
      <c r="M40" s="23">
        <f>VLOOKUP(2,AD38:AN41,4,FALSE)</f>
        <v>2</v>
      </c>
      <c r="N40" s="23">
        <f>VLOOKUP(2,AD38:AN41,5,FALSE)</f>
        <v>1</v>
      </c>
      <c r="O40" s="23" t="str">
        <f>VLOOKUP(2,AD38:AN41,6,FALSE) &amp; " - " &amp; VLOOKUP(2,AD38:AN41,7,FALSE)</f>
        <v>5 - 6</v>
      </c>
      <c r="P40" s="34">
        <f>L40*3+M40</f>
        <v>2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2</v>
      </c>
      <c r="AH40" s="123">
        <f>COUNTIF($S$7:$T$78,"=" &amp; AE40 &amp; "_lose")</f>
        <v>1</v>
      </c>
      <c r="AI40" s="123">
        <f>SUMIF($E$7:$E$78,$AE40,$F$7:$F$78) + SUMIF($H$7:$H$78,$AE40,$G$7:$G$78)</f>
        <v>4</v>
      </c>
      <c r="AJ40" s="123">
        <f>SUMIF($E$7:$E$78,$AE40,$G$7:$G$78) + SUMIF($H$7:$H$78,$AE40,$F$7:$F$78)</f>
        <v>6</v>
      </c>
      <c r="AL40" s="123">
        <f>AI40-AJ40</f>
        <v>-2</v>
      </c>
      <c r="AM40" s="123">
        <f>AL40-AL42</f>
        <v>0</v>
      </c>
      <c r="AN40" s="123">
        <f>AF40*3+AG40</f>
        <v>2</v>
      </c>
      <c r="AO40" s="123">
        <f>AN40/AN42*10+BA40</f>
        <v>2.9853836784409258</v>
      </c>
      <c r="AP40" s="123">
        <f>AO40*10000000+BI40*100+AM40/AM42*10+AI40/AI42*1++IF(AQ40=0,ROW(),AQ40)/2000000</f>
        <v>29853935.294127218</v>
      </c>
      <c r="AQ40" s="126">
        <f>VLOOKUP(AE40,db_fifarank,2,FALSE)</f>
        <v>1514.77</v>
      </c>
      <c r="AR40" s="125">
        <f>AP40/AP42</f>
        <v>0.33171035294228973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2</v>
      </c>
      <c r="AV40" s="126" cm="1">
        <f t="array" ref="AV40">SUMPRODUCT(($E$7:$E$78=AE40)*($U$7:$U$78)*($F$7:$F$78))+SUMPRODUCT(($H$7:$H$78=AE40)*($U$7:$U$78)*($G$7:$G$78))</f>
        <v>3</v>
      </c>
      <c r="AW40" s="126" cm="1">
        <f t="array" ref="AW40">SUMPRODUCT(($E$7:$E$78=AE40)*($U$7:$U$78)*($G$7:$G$78))+SUMPRODUCT(($H$7:$H$78=AE40)*($U$7:$U$78)*($F$7:$F$78))</f>
        <v>3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67.416666666666657</v>
      </c>
      <c r="BA40" s="126">
        <f>AZ40/AZ42</f>
        <v>0.98538367844092567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1</v>
      </c>
      <c r="BD40" s="126" cm="1">
        <f t="array" ref="BD40">SUMPRODUCT(($E$7:$E$78=AE40)*($X$7:$X$78)*($F$7:$F$78))+SUMPRODUCT(($H$7:$H$78=AE40)*($X$7:$X$78)*($G$7:$G$78))</f>
        <v>2</v>
      </c>
      <c r="BE40" s="126" cm="1">
        <f t="array" ref="BE40">SUMPRODUCT(($E$7:$E$78=AE40)*($X$7:$X$78)*($G$7:$G$78))+SUMPRODUCT(($H$7:$H$78=AE40)*($X$7:$X$78)*($F$7:$F$78))</f>
        <v>2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50.666666666666664</v>
      </c>
      <c r="BI40" s="126">
        <f>BH40/BH42</f>
        <v>0.98064516129032253</v>
      </c>
      <c r="CK40" s="114"/>
      <c r="CL40" s="112"/>
    </row>
    <row r="41" spans="1:96" x14ac:dyDescent="0.3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3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0</v>
      </c>
      <c r="M41" s="23">
        <f>VLOOKUP(3,AD38:AN41,4,FALSE)</f>
        <v>2</v>
      </c>
      <c r="N41" s="23">
        <f>VLOOKUP(3,AD38:AN41,5,FALSE)</f>
        <v>1</v>
      </c>
      <c r="O41" s="23" t="str">
        <f>VLOOKUP(3,AD38:AN41,6,FALSE) &amp; " - " &amp; VLOOKUP(3,AD38:AN41,7,FALSE)</f>
        <v>4 - 6</v>
      </c>
      <c r="P41" s="34">
        <f>L41*3+M41</f>
        <v>2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2</v>
      </c>
      <c r="AH41" s="123">
        <f>COUNTIF($S$7:$T$78,"=" &amp; AE41 &amp; "_lose")</f>
        <v>1</v>
      </c>
      <c r="AI41" s="123">
        <f>SUMIF($E$7:$E$78,$AE41,$F$7:$F$78) + SUMIF($H$7:$H$78,$AE41,$G$7:$G$78)</f>
        <v>2</v>
      </c>
      <c r="AJ41" s="123">
        <f>SUMIF($E$7:$E$78,$AE41,$G$7:$G$78) + SUMIF($H$7:$H$78,$AE41,$F$7:$F$78)</f>
        <v>4</v>
      </c>
      <c r="AL41" s="123">
        <f>AI41-AJ41</f>
        <v>-2</v>
      </c>
      <c r="AM41" s="123">
        <f>AL41-AL42</f>
        <v>0</v>
      </c>
      <c r="AN41" s="123">
        <f>AF41*3+AG41</f>
        <v>2</v>
      </c>
      <c r="AO41" s="123">
        <f>AN41/AN42*10+BA41</f>
        <v>2.9817295980511571</v>
      </c>
      <c r="AP41" s="123">
        <f>AO41*10000000+BI41*100+AM41/AM42*10+AI41/AI42*1++IF(AQ41=0,ROW(),AQ41)/2000000</f>
        <v>29817296.203475323</v>
      </c>
      <c r="AQ41" s="126">
        <f>VLOOKUP(AE41,db_fifarank,2,FALSE)</f>
        <v>1483.05</v>
      </c>
      <c r="AR41" s="125">
        <f>AP41/AP42</f>
        <v>0.33130325198317379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2</v>
      </c>
      <c r="AV41" s="126" cm="1">
        <f t="array" ref="AV41">SUMPRODUCT(($E$7:$E$78=AE41)*($U$7:$U$78)*($F$7:$F$78))+SUMPRODUCT(($H$7:$H$78=AE41)*($U$7:$U$78)*($G$7:$G$78))</f>
        <v>2</v>
      </c>
      <c r="AW41" s="126" cm="1">
        <f t="array" ref="AW41">SUMPRODUCT(($E$7:$E$78=AE41)*($U$7:$U$78)*($G$7:$G$78))+SUMPRODUCT(($H$7:$H$78=AE41)*($U$7:$U$78)*($F$7:$F$78))</f>
        <v>2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67.166666666666657</v>
      </c>
      <c r="BA41" s="126">
        <f>AZ41/AZ42</f>
        <v>0.98172959805115712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1</v>
      </c>
      <c r="G42" s="20">
        <v>1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2</v>
      </c>
      <c r="N42" s="36">
        <f>VLOOKUP(4,AD38:AN41,5,FALSE)</f>
        <v>1</v>
      </c>
      <c r="O42" s="36" t="str">
        <f>VLOOKUP(4,AD38:AN41,6,FALSE) &amp; " - " &amp; VLOOKUP(4,AD38:AN41,7,FALSE)</f>
        <v>2 - 4</v>
      </c>
      <c r="P42" s="37">
        <f>L42*3+M42</f>
        <v>2</v>
      </c>
      <c r="R42" s="123">
        <f>DATE(2026,6,20)+TIME(17,0,0)+gmt_delta</f>
        <v>46194.25</v>
      </c>
      <c r="S42" s="127" t="str">
        <f t="shared" si="1"/>
        <v>Tunisia_draw</v>
      </c>
      <c r="T42" s="127" t="str">
        <f t="shared" si="2"/>
        <v>Japan_draw</v>
      </c>
      <c r="U42" s="123">
        <f t="shared" si="8"/>
        <v>1</v>
      </c>
      <c r="V42" s="123">
        <f t="shared" si="3"/>
        <v>1</v>
      </c>
      <c r="W42" s="123">
        <f t="shared" si="4"/>
        <v>1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0</v>
      </c>
      <c r="AF42" s="123">
        <f t="shared" ref="AF42:AH42" si="18">MAX(AF38:AF41)-MIN(AF38:AF41)+1</f>
        <v>4</v>
      </c>
      <c r="AG42" s="123">
        <f t="shared" si="18"/>
        <v>3</v>
      </c>
      <c r="AH42" s="123">
        <f t="shared" si="18"/>
        <v>2</v>
      </c>
      <c r="AI42" s="123">
        <f>MAX(AI38:AI41)+1</f>
        <v>9</v>
      </c>
      <c r="AL42" s="123">
        <f>MIN(AL38:AL41)</f>
        <v>-2</v>
      </c>
      <c r="AM42" s="123">
        <f>MAX(AM38:AM41)+1</f>
        <v>8</v>
      </c>
      <c r="AN42" s="123">
        <f>MAX(AN38:AN41)+1</f>
        <v>10</v>
      </c>
      <c r="AO42" s="123">
        <f>MAX(AO38:AO41)+1</f>
        <v>10</v>
      </c>
      <c r="AP42" s="123">
        <f>MAX(AP38:AP41)+1</f>
        <v>90000010.639767826</v>
      </c>
      <c r="AT42" s="126">
        <f>MAX(AT38:AT41)-MIN(AT38:AT41)+1</f>
        <v>1</v>
      </c>
      <c r="AU42" s="126">
        <f>MAX(AU38:AU41)-MIN(AU38:AU41)+1</f>
        <v>3</v>
      </c>
      <c r="AV42" s="126">
        <f>MAX(AV38:AV41)-MIN(AV38:AV41)+1</f>
        <v>4</v>
      </c>
      <c r="AW42" s="126">
        <f>MAX(AW38:AW41)-MIN(AW38:AW41)+1</f>
        <v>4</v>
      </c>
      <c r="AY42" s="126">
        <f>MAX(AY38:AY41)-MIN(AY38:AY41)+1</f>
        <v>1</v>
      </c>
      <c r="AZ42" s="126">
        <f>MAX(AZ38:AZ41)+1</f>
        <v>68.416666666666657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3</v>
      </c>
      <c r="BE42" s="126">
        <f>MAX(BE38:BE41)-MIN(BE38:BE41)+1</f>
        <v>3</v>
      </c>
      <c r="BG42" s="126">
        <f>MAX(BG38:BG41)-MIN(BG38:BG41)+1</f>
        <v>1</v>
      </c>
      <c r="BH42" s="126">
        <f>MAX(BH38:BH41)+1</f>
        <v>51.666666666666664</v>
      </c>
      <c r="BK42" s="131">
        <v>76</v>
      </c>
      <c r="BL42" s="24" t="str">
        <f>AS20</f>
        <v>Brazil</v>
      </c>
      <c r="BM42" s="61">
        <v>3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3000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3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4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8</v>
      </c>
      <c r="AJ44" s="123">
        <f>SUMIF($E$7:$E$78,$AE44,$G$7:$G$78) + SUMIF($H$7:$H$78,$AE44,$F$7:$F$78)</f>
        <v>2</v>
      </c>
      <c r="AL44" s="123">
        <f>AI44-AJ44</f>
        <v>6</v>
      </c>
      <c r="AM44" s="123">
        <f>AL44-AL48</f>
        <v>12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90000010.120525479</v>
      </c>
      <c r="AQ44" s="126">
        <f>VLOOKUP(AE44,db_fifarank,2,FALSE)</f>
        <v>1734.71</v>
      </c>
      <c r="AR44" s="125">
        <f>AP44/AP48</f>
        <v>0.9999999888888903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2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2000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3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8 - 2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1</v>
      </c>
      <c r="AH45" s="123">
        <f>COUNTIF($S$7:$T$78,"=" &amp; AE45 &amp; "_lose")</f>
        <v>1</v>
      </c>
      <c r="AI45" s="123">
        <f>SUMIF($E$7:$E$78,$AE45,$F$7:$F$78) + SUMIF($H$7:$H$78,$AE45,$G$7:$G$78)</f>
        <v>4</v>
      </c>
      <c r="AJ45" s="123">
        <f>SUMIF($E$7:$E$78,$AE45,$G$7:$G$78) + SUMIF($H$7:$H$78,$AE45,$F$7:$F$78)</f>
        <v>3</v>
      </c>
      <c r="AL45" s="123">
        <f>AI45-AJ45</f>
        <v>1</v>
      </c>
      <c r="AM45" s="123">
        <f>AL45-AL48</f>
        <v>7</v>
      </c>
      <c r="AN45" s="123">
        <f>AF45*3+AG45</f>
        <v>4</v>
      </c>
      <c r="AO45" s="123">
        <f>AN45/AN48*10+BA45</f>
        <v>4.9803921568627452</v>
      </c>
      <c r="AP45" s="123">
        <f>AO45*10000000+BI45*100+AM45/AM48*10+AI45/AI48*1++IF(AQ45=0,ROW(),AQ45)/2000000</f>
        <v>49804025.437684588</v>
      </c>
      <c r="AQ45" s="126">
        <f>VLOOKUP(AE45,db_fifarank,2,FALSE)</f>
        <v>1563.24</v>
      </c>
      <c r="AR45" s="125">
        <f>AP45/AP48</f>
        <v>0.55337799204256144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1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50</v>
      </c>
      <c r="BA45" s="126">
        <f>AZ45/AZ48</f>
        <v>0.98039215686274506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1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50</v>
      </c>
      <c r="BI45" s="126">
        <f>BH45/BH48</f>
        <v>0.98039215686274506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Senegal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3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2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4 - 3</v>
      </c>
      <c r="P46" s="34">
        <f>L46*3+M46</f>
        <v>4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1</v>
      </c>
      <c r="AH46" s="123">
        <f>COUNTIF($S$7:$T$78,"=" &amp; AE46 &amp; "_lose")</f>
        <v>1</v>
      </c>
      <c r="AI46" s="123">
        <f>SUMIF($E$7:$E$78,$AE46,$F$7:$F$78) + SUMIF($H$7:$H$78,$AE46,$G$7:$G$78)</f>
        <v>1</v>
      </c>
      <c r="AJ46" s="123">
        <f>SUMIF($E$7:$E$78,$AE46,$G$7:$G$78) + SUMIF($H$7:$H$78,$AE46,$F$7:$F$78)</f>
        <v>2</v>
      </c>
      <c r="AL46" s="123">
        <f>AI46-AJ46</f>
        <v>-1</v>
      </c>
      <c r="AM46" s="123">
        <f>AL46-AL48</f>
        <v>5</v>
      </c>
      <c r="AN46" s="123">
        <f>AF46*3+AG46</f>
        <v>4</v>
      </c>
      <c r="AO46" s="123">
        <f>AN46/AN48*10+BA46</f>
        <v>4.9803921568627452</v>
      </c>
      <c r="AP46" s="123">
        <f>AO46*10000000+BI46*100+AM46/AM48*10+AI46/AI48*1++IF(AQ46=0,ROW(),AQ46)/2000000</f>
        <v>49804023.565915748</v>
      </c>
      <c r="AQ46" s="126">
        <f>VLOOKUP(AE46,db_fifarank,2,FALSE)</f>
        <v>1615.3</v>
      </c>
      <c r="AR46" s="125">
        <f>AP46/AP48</f>
        <v>0.55337797124513244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50</v>
      </c>
      <c r="BA46" s="126">
        <f>AZ46/AZ48</f>
        <v>0.98039215686274506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</v>
      </c>
      <c r="BI46" s="126">
        <f>BH46/BH48</f>
        <v>0.98039215686274506</v>
      </c>
      <c r="BK46" s="131">
        <v>78</v>
      </c>
      <c r="BL46" s="24" t="str">
        <f>AS33</f>
        <v>Ivory Coast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2</v>
      </c>
      <c r="G47" s="20">
        <v>2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1</v>
      </c>
      <c r="M47" s="23">
        <f>VLOOKUP(3,AD44:AN47,4,FALSE)</f>
        <v>1</v>
      </c>
      <c r="N47" s="23">
        <f>VLOOKUP(3,AD44:AN47,5,FALSE)</f>
        <v>1</v>
      </c>
      <c r="O47" s="23" t="str">
        <f>VLOOKUP(3,AD44:AN47,6,FALSE) &amp; " - " &amp; VLOOKUP(3,AD44:AN47,7,FALSE)</f>
        <v>1 - 2</v>
      </c>
      <c r="P47" s="34">
        <f>L47*3+M47</f>
        <v>4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0</v>
      </c>
      <c r="AJ47" s="123">
        <f>SUMIF($E$7:$E$78,$AE47,$G$7:$G$78) + SUMIF($H$7:$H$78,$AE47,$F$7:$F$78)</f>
        <v>6</v>
      </c>
      <c r="AL47" s="123">
        <f>AI47-AJ47</f>
        <v>-6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6.4078499999999994E-4</v>
      </c>
      <c r="AQ47" s="126">
        <f>VLOOKUP(AE47,db_fifarank,2,FALSE)</f>
        <v>1281.57</v>
      </c>
      <c r="AR47" s="125">
        <f>AP47/AP48</f>
        <v>7.1198324535969082E-12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Senegal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4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0 - 6</v>
      </c>
      <c r="P48" s="37">
        <f>L48*3+M48</f>
        <v>0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2</v>
      </c>
      <c r="AH48" s="123">
        <f t="shared" si="24"/>
        <v>4</v>
      </c>
      <c r="AI48" s="123">
        <f>MAX(AI44:AI47)+1</f>
        <v>9</v>
      </c>
      <c r="AL48" s="123">
        <f>MIN(AL44:AL47)</f>
        <v>-6</v>
      </c>
      <c r="AM48" s="123">
        <f>MAX(AM44:AM47)+1</f>
        <v>13</v>
      </c>
      <c r="AN48" s="123">
        <f>MAX(AN44:AN47)+1</f>
        <v>10</v>
      </c>
      <c r="AO48" s="123">
        <f>MAX(AO44:AO47)+1</f>
        <v>10</v>
      </c>
      <c r="AP48" s="123">
        <f>MAX(AP44:AP47)+1</f>
        <v>90000011.120525479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51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51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2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2000</v>
      </c>
      <c r="CK48" s="114"/>
      <c r="CL48" s="112"/>
      <c r="CM48" s="131">
        <v>103</v>
      </c>
      <c r="CN48" s="24" t="str">
        <f>IF(CK23&gt;CK24,CG24,IF(CK23&lt;CK24,CG23,""))</f>
        <v>France</v>
      </c>
      <c r="CO48" s="61">
        <v>1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1000</v>
      </c>
    </row>
    <row r="49" spans="1:96" x14ac:dyDescent="0.3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3</v>
      </c>
      <c r="G49" s="20">
        <v>0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132"/>
      <c r="CN49" s="26" t="str">
        <f>IF(CK55&gt;CK56,CG56,IF(CK55&lt;CK56,CG55,""))</f>
        <v>Brazil</v>
      </c>
      <c r="CO49" s="62">
        <v>0</v>
      </c>
      <c r="CP49" s="64"/>
      <c r="CQ49" s="27"/>
      <c r="CR49" s="111">
        <f>IF(CR48="","",CO49*1000+CP49*10+CQ49)</f>
        <v>0</v>
      </c>
    </row>
    <row r="50" spans="1:96" x14ac:dyDescent="0.3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10</v>
      </c>
      <c r="AJ50" s="123">
        <f>SUMIF($E$7:$E$78,$AE50,$G$7:$G$78) + SUMIF($H$7:$H$78,$AE50,$F$7:$F$78)</f>
        <v>0</v>
      </c>
      <c r="AL50" s="123">
        <f>AI50-AJ50</f>
        <v>10</v>
      </c>
      <c r="AM50" s="123">
        <f>AL50-AL54</f>
        <v>17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90000010.354473561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2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2000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10 - 0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8</v>
      </c>
      <c r="AL51" s="123">
        <f>AI51-AJ51</f>
        <v>-7</v>
      </c>
      <c r="AM51" s="123">
        <f>AL51-AL54</f>
        <v>0</v>
      </c>
      <c r="AN51" s="123">
        <f>AF51*3+AG51</f>
        <v>1</v>
      </c>
      <c r="AO51" s="123">
        <f>AN51/AN54*10+BA51</f>
        <v>1.9805825242718447</v>
      </c>
      <c r="AP51" s="123">
        <f>AO51*10000000+BI51*100+AM51/AM54*10+AI51/AI54*1++IF(AQ51=0,ROW(),AQ51)/2000000</f>
        <v>19805923.39256303</v>
      </c>
      <c r="AQ51" s="126">
        <f>VLOOKUP(AE51,db_fifarank,2,FALSE)</f>
        <v>1366.13</v>
      </c>
      <c r="AR51" s="125">
        <f>AP51/AP54</f>
        <v>0.2200657877092429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1</v>
      </c>
      <c r="AW51" s="126" cm="1">
        <f t="array" ref="AW51">SUMPRODUCT(($E$7:$E$78=AE51)*($U$7:$U$78)*($G$7:$G$78))+SUMPRODUCT(($H$7:$H$78=AE51)*($U$7:$U$78)*($F$7:$F$78))</f>
        <v>1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50.5</v>
      </c>
      <c r="BA51" s="126">
        <f>AZ51/AZ54</f>
        <v>0.98058252427184467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1</v>
      </c>
      <c r="BE51" s="126" cm="1">
        <f t="array" ref="BE51">SUMPRODUCT(($E$7:$E$78=AE51)*($X$7:$X$78)*($G$7:$G$78))+SUMPRODUCT(($H$7:$H$78=AE51)*($X$7:$X$78)*($F$7:$F$78))</f>
        <v>1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50.5</v>
      </c>
      <c r="BI51" s="126">
        <f>BH51/BH54</f>
        <v>0.98058252427184467</v>
      </c>
      <c r="BK51" s="132"/>
      <c r="BL51" s="26" t="str">
        <f>IF(group_round_completed,VLOOKUP('3rd places'!D3,AK80:AS91,9,FALSE),"3rd Group C/E/F/H/I")</f>
        <v>Scotland</v>
      </c>
      <c r="BM51" s="62">
        <v>1</v>
      </c>
      <c r="BN51" s="64"/>
      <c r="BO51" s="27"/>
      <c r="BP51" s="113">
        <f>IF(BP50="","",BM51*1000+BN51*10+BO51)</f>
        <v>1000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5 - 2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7</v>
      </c>
      <c r="AL52" s="123">
        <f>AI52-AJ52</f>
        <v>-6</v>
      </c>
      <c r="AM52" s="123">
        <f>AL52-AL54</f>
        <v>1</v>
      </c>
      <c r="AN52" s="123">
        <f>AF52*3+AG52</f>
        <v>1</v>
      </c>
      <c r="AO52" s="123">
        <f>AN52/AN54*10+BA52</f>
        <v>1.9805825242718447</v>
      </c>
      <c r="AP52" s="123">
        <f>AO52*10000000+BI52*100+AM52/AM54*10+AI52/AI54*1++IF(AQ52=0,ROW(),AQ52)/2000000</f>
        <v>19805923.948146235</v>
      </c>
      <c r="AQ52" s="126">
        <f>VLOOKUP(AE52,db_fifarank,2,FALSE)</f>
        <v>1421.43</v>
      </c>
      <c r="AR52" s="125">
        <f>AP52/AP54</f>
        <v>0.22006579388238887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1</v>
      </c>
      <c r="AW52" s="126" cm="1">
        <f t="array" ref="AW52">SUMPRODUCT(($E$7:$E$78=AE52)*($U$7:$U$78)*($G$7:$G$78))+SUMPRODUCT(($H$7:$H$78=AE52)*($U$7:$U$78)*($F$7:$F$78))</f>
        <v>1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50.5</v>
      </c>
      <c r="BA52" s="126">
        <f>AZ52/AZ54</f>
        <v>0.98058252427184467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1</v>
      </c>
      <c r="BE52" s="126" cm="1">
        <f t="array" ref="BE52">SUMPRODUCT(($E$7:$E$78=AE52)*($X$7:$X$78)*($G$7:$G$78))+SUMPRODUCT(($H$7:$H$78=AE52)*($X$7:$X$78)*($F$7:$F$78))</f>
        <v>1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50.5</v>
      </c>
      <c r="BI52" s="126">
        <f>BH52/BH54</f>
        <v>0.98058252427184467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1 - 7</v>
      </c>
      <c r="P53" s="34">
        <f>L53*3+M53</f>
        <v>1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5</v>
      </c>
      <c r="AJ53" s="123">
        <f>SUMIF($E$7:$E$78,$AE53,$G$7:$G$78) + SUMIF($H$7:$H$78,$AE53,$F$7:$F$78)</f>
        <v>2</v>
      </c>
      <c r="AL53" s="123">
        <f>AI53-AJ53</f>
        <v>3</v>
      </c>
      <c r="AM53" s="123">
        <f>AL53-AL54</f>
        <v>10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60000006.010937542</v>
      </c>
      <c r="AQ53" s="126">
        <f>VLOOKUP(AE53,db_fifarank,2,FALSE)</f>
        <v>1673.07</v>
      </c>
      <c r="AR53" s="125">
        <f>AP53/AP54</f>
        <v>0.66666664934765218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1 - 8</v>
      </c>
      <c r="P54" s="37">
        <f>L54*3+M54</f>
        <v>1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3</v>
      </c>
      <c r="AI54" s="123">
        <f>MAX(AI50:AI53)+1</f>
        <v>11</v>
      </c>
      <c r="AL54" s="123">
        <f>MIN(AL50:AL53)</f>
        <v>-7</v>
      </c>
      <c r="AM54" s="123">
        <f>MAX(AM50:AM53)+1</f>
        <v>18</v>
      </c>
      <c r="AN54" s="123">
        <f>MAX(AN50:AN53)+1</f>
        <v>10</v>
      </c>
      <c r="AO54" s="123">
        <f>MAX(AO50:AO53)+1</f>
        <v>10</v>
      </c>
      <c r="AP54" s="123">
        <f>MAX(AP50:AP53)+1</f>
        <v>90000011.354473561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51.5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51.5</v>
      </c>
      <c r="BK54" s="13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0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Norway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0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3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4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2</v>
      </c>
      <c r="AG56" s="123">
        <f>COUNTIF($S$7:$T$78,"=" &amp; AE56 &amp; "_draw")</f>
        <v>1</v>
      </c>
      <c r="AH56" s="123">
        <f>COUNTIF($S$7:$T$78,"=" &amp; AE56 &amp; "_lose")</f>
        <v>0</v>
      </c>
      <c r="AI56" s="123">
        <f>SUMIF($E$7:$E$78,$AE56,$F$7:$F$78) + SUMIF($H$7:$H$78,$AE56,$G$7:$G$78)</f>
        <v>9</v>
      </c>
      <c r="AJ56" s="123">
        <f>SUMIF($E$7:$E$78,$AE56,$G$7:$G$78) + SUMIF($H$7:$H$78,$AE56,$F$7:$F$78)</f>
        <v>4</v>
      </c>
      <c r="AL56" s="123">
        <f>AI56-AJ56</f>
        <v>5</v>
      </c>
      <c r="AM56" s="123">
        <f>AL56-AL60</f>
        <v>15</v>
      </c>
      <c r="AN56" s="123">
        <f>AF56*3+AG56</f>
        <v>7</v>
      </c>
      <c r="AO56" s="123">
        <f>AN56/AN60*10+BA56</f>
        <v>8.75</v>
      </c>
      <c r="AP56" s="123">
        <f>AO56*10000000+BI56*100+AM56/AM60*10+AI56/AI60*1++IF(AQ56=0,ROW(),AQ56)/2000000</f>
        <v>87500010.27593866</v>
      </c>
      <c r="AQ56" s="126">
        <f>VLOOKUP(AE56,db_fifarank,2,FALSE)</f>
        <v>1877.32</v>
      </c>
      <c r="AR56" s="125">
        <f>AP56/AP60</f>
        <v>0.99999998857143002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Argentina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3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1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2</v>
      </c>
      <c r="M57" s="31">
        <f>VLOOKUP(1,AD56:AN59,4,FALSE)</f>
        <v>1</v>
      </c>
      <c r="N57" s="31">
        <f>VLOOKUP(1,AD56:AN59,5,FALSE)</f>
        <v>0</v>
      </c>
      <c r="O57" s="31" t="str">
        <f>VLOOKUP(1,AD56:AN59,6,FALSE) &amp; " - " &amp; VLOOKUP(1,AD56:AN59,7,FALSE)</f>
        <v>9 - 4</v>
      </c>
      <c r="P57" s="32">
        <f>L57*3+M57</f>
        <v>7</v>
      </c>
      <c r="R57" s="123">
        <f>DATE(2026,6,24)+TIME(8,0,0)+gmt_delta</f>
        <v>46197.875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2</v>
      </c>
      <c r="AH57" s="123">
        <f>COUNTIF($S$7:$T$78,"=" &amp; AE57 &amp; "_lose")</f>
        <v>0</v>
      </c>
      <c r="AI57" s="123">
        <f>SUMIF($E$7:$E$78,$AE57,$F$7:$F$78) + SUMIF($H$7:$H$78,$AE57,$G$7:$G$78)</f>
        <v>7</v>
      </c>
      <c r="AJ57" s="123">
        <f>SUMIF($E$7:$E$78,$AE57,$G$7:$G$78) + SUMIF($H$7:$H$78,$AE57,$F$7:$F$78)</f>
        <v>4</v>
      </c>
      <c r="AL57" s="123">
        <f>AI57-AJ57</f>
        <v>3</v>
      </c>
      <c r="AM57" s="123">
        <f>AL57-AL60</f>
        <v>13</v>
      </c>
      <c r="AN57" s="123">
        <f>AF57*3+AG57</f>
        <v>5</v>
      </c>
      <c r="AO57" s="123">
        <f>AN57/AN60*10+BA57</f>
        <v>6.25</v>
      </c>
      <c r="AP57" s="123">
        <f>AO57*10000000+BI57*100+AM57/AM60*10+AI57/AI60*1++IF(AQ57=0,ROW(),AQ57)/2000000</f>
        <v>62500008.825844496</v>
      </c>
      <c r="AQ57" s="126">
        <f>VLOOKUP(AE57,db_fifarank,2,FALSE)</f>
        <v>1688.99</v>
      </c>
      <c r="AR57" s="125">
        <f>AP57/AP60</f>
        <v>0.71428572310402849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2</v>
      </c>
      <c r="G58" s="20">
        <v>1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1</v>
      </c>
      <c r="M58" s="23">
        <f>VLOOKUP(2,AD56:AN59,4,FALSE)</f>
        <v>2</v>
      </c>
      <c r="N58" s="23">
        <f>VLOOKUP(2,AD56:AN59,5,FALSE)</f>
        <v>0</v>
      </c>
      <c r="O58" s="23" t="str">
        <f>VLOOKUP(2,AD56:AN59,6,FALSE) &amp; " - " &amp; VLOOKUP(2,AD56:AN59,7,FALSE)</f>
        <v>7 - 4</v>
      </c>
      <c r="P58" s="34">
        <f>L58*3+M58</f>
        <v>5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10</v>
      </c>
      <c r="AL58" s="123">
        <f>AI58-AJ58</f>
        <v>-10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8.2693703629152808E-12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20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20000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2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7 - 5</v>
      </c>
      <c r="P59" s="34">
        <f>L59*3+M59</f>
        <v>4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7</v>
      </c>
      <c r="AJ59" s="123">
        <f>SUMIF($E$7:$E$78,$AE59,$G$7:$G$78) + SUMIF($H$7:$H$78,$AE59,$F$7:$F$78)</f>
        <v>5</v>
      </c>
      <c r="AL59" s="123">
        <f>AI59-AJ59</f>
        <v>2</v>
      </c>
      <c r="AM59" s="123">
        <f>AL59-AL60</f>
        <v>12</v>
      </c>
      <c r="AN59" s="123">
        <f>AF59*3+AG59</f>
        <v>4</v>
      </c>
      <c r="AO59" s="123">
        <f>AN59/AN60*10+BA59</f>
        <v>5</v>
      </c>
      <c r="AP59" s="123">
        <f>AO59*10000000+BI59*100+AM59/AM60*10+AI59/AI60*1++IF(AQ59=0,ROW(),AQ59)/2000000</f>
        <v>50000008.200775474</v>
      </c>
      <c r="AQ59" s="126">
        <f>VLOOKUP(AE59,db_fifarank,2,FALSE)</f>
        <v>1550.94</v>
      </c>
      <c r="AR59" s="125">
        <f>AP59/AP60</f>
        <v>0.57142859151293401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1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0 - 10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Africa_draw</v>
      </c>
      <c r="T60" s="127" t="str">
        <f t="shared" si="20"/>
        <v>Korea Republic_draw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0</v>
      </c>
      <c r="AF60" s="123">
        <f t="shared" ref="AF60:AH60" si="27">MAX(AF56:AF59)-MIN(AF56:AF59)+1</f>
        <v>3</v>
      </c>
      <c r="AG60" s="123">
        <f t="shared" si="27"/>
        <v>3</v>
      </c>
      <c r="AH60" s="123">
        <f t="shared" si="27"/>
        <v>4</v>
      </c>
      <c r="AI60" s="123">
        <f>MAX(AI56:AI59)+1</f>
        <v>10</v>
      </c>
      <c r="AL60" s="123">
        <f>MIN(AL56:AL59)</f>
        <v>-10</v>
      </c>
      <c r="AM60" s="123">
        <f>MAX(AM56:AM59)+1</f>
        <v>16</v>
      </c>
      <c r="AN60" s="123">
        <f>MAX(AN56:AN59)+1</f>
        <v>8</v>
      </c>
      <c r="AO60" s="123">
        <f>MAX(AO56:AO59)+1</f>
        <v>9.75</v>
      </c>
      <c r="AP60" s="123">
        <f>MAX(AP56:AP59)+1</f>
        <v>87500011.27593866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 x14ac:dyDescent="0.3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3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Turkey</v>
      </c>
      <c r="BT61" s="62">
        <v>1</v>
      </c>
      <c r="BU61" s="64"/>
      <c r="BV61" s="27"/>
      <c r="BW61" s="113">
        <f>IF(BW60="","",BT61*1000+BU61*10+BV61)</f>
        <v>1000</v>
      </c>
      <c r="BX61" s="112"/>
      <c r="BY61" s="21"/>
      <c r="BZ61" s="21"/>
      <c r="CA61" s="21"/>
      <c r="CB61" s="21"/>
      <c r="CC61" s="21"/>
      <c r="CD61" s="114"/>
    </row>
    <row r="62" spans="1:96" x14ac:dyDescent="0.3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0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9</v>
      </c>
      <c r="AJ62" s="123">
        <f>SUMIF($E$7:$E$78,$AE62,$G$7:$G$78) + SUMIF($H$7:$H$78,$AE62,$F$7:$F$78)</f>
        <v>1</v>
      </c>
      <c r="AL62" s="123">
        <f>AI62-AJ62</f>
        <v>8</v>
      </c>
      <c r="AM62" s="123">
        <f>AL62-AL66</f>
        <v>16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90000010.312702134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Turkey</v>
      </c>
      <c r="BM62" s="61">
        <v>2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2000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2</v>
      </c>
      <c r="G63" s="20">
        <v>2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9 - 1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1</v>
      </c>
      <c r="V63" s="123">
        <f t="shared" si="21"/>
        <v>2</v>
      </c>
      <c r="W63" s="123">
        <f t="shared" si="22"/>
        <v>2</v>
      </c>
      <c r="X63" s="123">
        <f t="shared" si="9"/>
        <v>1</v>
      </c>
      <c r="Y63" s="123">
        <f t="shared" si="10"/>
        <v>2</v>
      </c>
      <c r="Z63" s="123">
        <f t="shared" si="11"/>
        <v>2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0</v>
      </c>
      <c r="AH63" s="123">
        <f>COUNTIF($S$7:$T$78,"=" &amp; AE63 &amp; "_lose")</f>
        <v>2</v>
      </c>
      <c r="AI63" s="123">
        <f>SUMIF($E$7:$E$78,$AE63,$F$7:$F$78) + SUMIF($H$7:$H$78,$AE63,$G$7:$G$78)</f>
        <v>4</v>
      </c>
      <c r="AJ63" s="123">
        <f>SUMIF($E$7:$E$78,$AE63,$G$7:$G$78) + SUMIF($H$7:$H$78,$AE63,$F$7:$F$78)</f>
        <v>4</v>
      </c>
      <c r="AL63" s="123">
        <f>AI63-AJ63</f>
        <v>0</v>
      </c>
      <c r="AM63" s="123">
        <f>AL63-AL66</f>
        <v>8</v>
      </c>
      <c r="AN63" s="123">
        <f>AF63*3+AG63</f>
        <v>3</v>
      </c>
      <c r="AO63" s="123">
        <f>AN63/AN66*10+BA63</f>
        <v>3</v>
      </c>
      <c r="AP63" s="123">
        <f>AO63*10000000+BI63*100+AM63/AM66*10+AI63/AI66*1++IF(AQ63=0,ROW(),AQ63)/2000000</f>
        <v>30000005.106664479</v>
      </c>
      <c r="AQ63" s="126">
        <f>VLOOKUP(AE63,db_fifarank,2,FALSE)</f>
        <v>1564.26</v>
      </c>
      <c r="AR63" s="125">
        <f>AP63/AP66</f>
        <v>0.33333334817515109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Egypt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4 - 4</v>
      </c>
      <c r="P64" s="34">
        <f>L64*3+M64</f>
        <v>6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4</v>
      </c>
      <c r="AL64" s="123">
        <f>AI64-AJ64</f>
        <v>0</v>
      </c>
      <c r="AM64" s="123">
        <f>AL64-AL66</f>
        <v>8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60000005.106679082</v>
      </c>
      <c r="AQ64" s="126">
        <f>VLOOKUP(AE64,db_fifarank,2,FALSE)</f>
        <v>1593.45</v>
      </c>
      <c r="AR64" s="125">
        <f>AP64/AP66</f>
        <v>0.66666663960975514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2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2000</v>
      </c>
    </row>
    <row r="65" spans="1:95" x14ac:dyDescent="0.3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1</v>
      </c>
      <c r="G65" s="20">
        <v>2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0</v>
      </c>
      <c r="N65" s="23">
        <f>VLOOKUP(3,AD62:AN65,5,FALSE)</f>
        <v>2</v>
      </c>
      <c r="O65" s="23" t="str">
        <f>VLOOKUP(3,AD62:AN65,6,FALSE) &amp; " - " &amp; VLOOKUP(3,AD62:AN65,7,FALSE)</f>
        <v>4 - 4</v>
      </c>
      <c r="P65" s="34">
        <f>L65*3+M65</f>
        <v>3</v>
      </c>
      <c r="R65" s="123">
        <f>DATE(2026,6,25)+TIME(15,0,0)+gmt_delta</f>
        <v>46199.166666666664</v>
      </c>
      <c r="S65" s="127" t="str">
        <f t="shared" si="19"/>
        <v>Turkey_lose</v>
      </c>
      <c r="T65" s="127" t="str">
        <f t="shared" si="20"/>
        <v>United States_win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-1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8</v>
      </c>
      <c r="AL65" s="123">
        <f>AI65-AJ65</f>
        <v>-8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7.7302768061075674E-12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0</v>
      </c>
      <c r="CB65" s="64"/>
      <c r="CC65" s="27"/>
      <c r="CD65" s="112">
        <f>IF(CD64="","",CA65*1000+CB65*10+CC65)</f>
        <v>0</v>
      </c>
    </row>
    <row r="66" spans="1:95" x14ac:dyDescent="0.3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2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0 - 8</v>
      </c>
      <c r="P66" s="37">
        <f>L66*3+M66</f>
        <v>0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1</v>
      </c>
      <c r="AH66" s="123">
        <f t="shared" si="28"/>
        <v>4</v>
      </c>
      <c r="AI66" s="123">
        <f>MAX(AI62:AI65)+1</f>
        <v>10</v>
      </c>
      <c r="AL66" s="123">
        <f>MIN(AL62:AL65)</f>
        <v>-8</v>
      </c>
      <c r="AM66" s="123">
        <f>MAX(AM62:AM65)+1</f>
        <v>17</v>
      </c>
      <c r="AN66" s="123">
        <f>MAX(AN62:AN65)+1</f>
        <v>10</v>
      </c>
      <c r="AO66" s="123">
        <f>MAX(AO62:AO65)+1</f>
        <v>10</v>
      </c>
      <c r="AP66" s="123">
        <f>MAX(AP62:AP65)+1</f>
        <v>90000011.312702134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Bosnia and Herzegovina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3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2</v>
      </c>
      <c r="G67" s="20">
        <v>3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Algeria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3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10</v>
      </c>
      <c r="AJ68" s="123">
        <f>SUMIF($E$7:$E$78,$AE68,$G$7:$G$78) + SUMIF($H$7:$H$78,$AE68,$F$7:$F$78)</f>
        <v>2</v>
      </c>
      <c r="AL68" s="123">
        <f>AI68-AJ68</f>
        <v>8</v>
      </c>
      <c r="AM68" s="123">
        <f>AL68-AL72</f>
        <v>14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90000010.243306145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Bosnia and Herzegovina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3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0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10 - 2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1</v>
      </c>
      <c r="V69" s="123">
        <f t="shared" si="21"/>
        <v>0</v>
      </c>
      <c r="W69" s="123">
        <f t="shared" si="22"/>
        <v>0</v>
      </c>
      <c r="X69" s="123">
        <f t="shared" si="9"/>
        <v>1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7</v>
      </c>
      <c r="AL69" s="123">
        <f>AI69-AJ69</f>
        <v>-6</v>
      </c>
      <c r="AM69" s="123">
        <f>AL69-AL72</f>
        <v>0</v>
      </c>
      <c r="AN69" s="123">
        <f>AF69*3+AG69</f>
        <v>1</v>
      </c>
      <c r="AO69" s="123">
        <f>AN69/AN72*10+BA69</f>
        <v>1.9803921568627452</v>
      </c>
      <c r="AP69" s="123">
        <f>AO69*10000000+BI69*100+AM69/AM72*10+AI69/AI72*1++IF(AQ69=0,ROW(),AQ69)/2000000</f>
        <v>19804019.699491404</v>
      </c>
      <c r="AQ69" s="126">
        <f>VLOOKUP(AE69,db_fifarank,2,FALSE)</f>
        <v>1478.35</v>
      </c>
      <c r="AR69" s="125">
        <f>AP69/AP72</f>
        <v>0.22004463583846887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</v>
      </c>
      <c r="BA69" s="126">
        <f>AZ69/AZ72</f>
        <v>0.98039215686274506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</v>
      </c>
      <c r="BI69" s="126">
        <f>BH69/BH72</f>
        <v>0.98039215686274506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2</v>
      </c>
      <c r="BU69" s="64"/>
      <c r="BV69" s="27"/>
      <c r="BW69" s="112">
        <f>IF(BW68="","",BT69*1000+BU69*10+BV69)</f>
        <v>2000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3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3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6 - 2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0</v>
      </c>
      <c r="AJ70" s="123">
        <f>SUMIF($E$7:$E$78,$AE70,$G$7:$G$78) + SUMIF($H$7:$H$78,$AE70,$F$7:$F$78)</f>
        <v>6</v>
      </c>
      <c r="AL70" s="123">
        <f>AI70-AJ70</f>
        <v>-6</v>
      </c>
      <c r="AM70" s="123">
        <f>AL70-AL72</f>
        <v>0</v>
      </c>
      <c r="AN70" s="123">
        <f>AF70*3+AG70</f>
        <v>1</v>
      </c>
      <c r="AO70" s="123">
        <f>AN70/AN72*10+BA70</f>
        <v>1.9803921568627452</v>
      </c>
      <c r="AP70" s="123">
        <f>AO70*10000000+BI70*100+AM70/AM72*10+AI70/AI72*1++IF(AQ70=0,ROW(),AQ70)/2000000</f>
        <v>19804019.60857581</v>
      </c>
      <c r="AQ70" s="126">
        <f>VLOOKUP(AE70,db_fifarank,2,FALSE)</f>
        <v>1465.34</v>
      </c>
      <c r="AR70" s="125">
        <f>AP70/AP72</f>
        <v>0.22004463482829573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</v>
      </c>
      <c r="BA70" s="126">
        <f>AZ70/AZ72</f>
        <v>0.98039215686274506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</v>
      </c>
      <c r="BI70" s="126">
        <f>BH70/BH72</f>
        <v>0.98039215686274506</v>
      </c>
      <c r="BK70" s="131">
        <v>87</v>
      </c>
      <c r="BL70" s="24" t="str">
        <f>AS68</f>
        <v>Portugal</v>
      </c>
      <c r="BM70" s="61">
        <v>3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3000</v>
      </c>
      <c r="BQ70" s="112"/>
      <c r="BW70" s="112"/>
    </row>
    <row r="71" spans="1:95" x14ac:dyDescent="0.3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1 - 7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1</v>
      </c>
      <c r="W71" s="123">
        <f t="shared" si="22"/>
        <v>1</v>
      </c>
      <c r="X71" s="123">
        <f t="shared" si="9"/>
        <v>1</v>
      </c>
      <c r="Y71" s="123">
        <f t="shared" si="10"/>
        <v>1</v>
      </c>
      <c r="Z71" s="123">
        <f t="shared" si="11"/>
        <v>1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6</v>
      </c>
      <c r="AJ71" s="123">
        <f>SUMIF($E$7:$E$78,$AE71,$G$7:$G$78) + SUMIF($H$7:$H$78,$AE71,$F$7:$F$78)</f>
        <v>2</v>
      </c>
      <c r="AL71" s="123">
        <f>AI71-AJ71</f>
        <v>4</v>
      </c>
      <c r="AM71" s="123">
        <f>AL71-AL72</f>
        <v>10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60000007.212967753</v>
      </c>
      <c r="AQ71" s="126">
        <f>VLOOKUP(AE71,db_fifarank,2,FALSE)</f>
        <v>1693.09</v>
      </c>
      <c r="AR71" s="125">
        <f>AP71/AP72</f>
        <v>0.66666666352700399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Ghana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 x14ac:dyDescent="0.3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0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0 - 6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11</v>
      </c>
      <c r="AL72" s="123">
        <f>MIN(AL68:AL71)</f>
        <v>-6</v>
      </c>
      <c r="AM72" s="123">
        <f>MAX(AM68:AM71)+1</f>
        <v>15</v>
      </c>
      <c r="AN72" s="123">
        <f>MAX(AN68:AN71)+1</f>
        <v>10</v>
      </c>
      <c r="AO72" s="123">
        <f>MAX(AO68:AO71)+1</f>
        <v>10</v>
      </c>
      <c r="AP72" s="123">
        <f>MAX(AP68:AP71)+1</f>
        <v>90000011.243306145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51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51</v>
      </c>
    </row>
    <row r="73" spans="1:95" x14ac:dyDescent="0.3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2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6</v>
      </c>
      <c r="AJ74" s="123">
        <f>SUMIF($E$7:$E$78,$AE74,$G$7:$G$78) + SUMIF($H$7:$H$78,$AE74,$F$7:$F$78)</f>
        <v>2</v>
      </c>
      <c r="AL74" s="123">
        <f>AI74-AJ74</f>
        <v>4</v>
      </c>
      <c r="AM74" s="123">
        <f>AL74-AL78</f>
        <v>11</v>
      </c>
      <c r="AN74" s="123">
        <f>AF74*3+AG74</f>
        <v>7</v>
      </c>
      <c r="AO74" s="123">
        <f>AN74/AN78*10+BA74</f>
        <v>9.7305825242718456</v>
      </c>
      <c r="AP74" s="123">
        <f>AO74*10000000+BI74*100+AM74/AM78*10+AI74/AI78*1++IF(AQ74=0,ROW(),AQ74)/2000000</f>
        <v>97305933.325693384</v>
      </c>
      <c r="AQ74" s="126">
        <f>VLOOKUP(AE74,db_fifarank,2,FALSE)</f>
        <v>1825.97</v>
      </c>
      <c r="AR74" s="125">
        <f>AP74/AP78</f>
        <v>0.99999998972313453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1</v>
      </c>
      <c r="AV74" s="126" cm="1">
        <f t="array" ref="AV74">SUMPRODUCT(($E$7:$E$78=AE74)*($U$7:$U$78)*($F$7:$F$78))+SUMPRODUCT(($H$7:$H$78=AE74)*($U$7:$U$78)*($G$7:$G$78))</f>
        <v>1</v>
      </c>
      <c r="AW74" s="126" cm="1">
        <f t="array" ref="AW74">SUMPRODUCT(($E$7:$E$78=AE74)*($U$7:$U$78)*($G$7:$G$78))+SUMPRODUCT(($H$7:$H$78=AE74)*($U$7:$U$78)*($F$7:$F$78))</f>
        <v>1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50.5</v>
      </c>
      <c r="BA74" s="126">
        <f>AZ74/AZ78</f>
        <v>0.98058252427184467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1</v>
      </c>
      <c r="BD74" s="126" cm="1">
        <f t="array" ref="BD74">SUMPRODUCT(($E$7:$E$78=AE74)*($X$7:$X$78)*($F$7:$F$78))+SUMPRODUCT(($H$7:$H$78=AE74)*($X$7:$X$78)*($G$7:$G$78))</f>
        <v>1</v>
      </c>
      <c r="BE74" s="126" cm="1">
        <f t="array" ref="BE74">SUMPRODUCT(($E$7:$E$78=AE74)*($X$7:$X$78)*($G$7:$G$78))+SUMPRODUCT(($H$7:$H$78=AE74)*($X$7:$X$78)*($F$7:$F$78))</f>
        <v>1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50.5</v>
      </c>
      <c r="BI74" s="126">
        <f>BH74/BH78</f>
        <v>0.98058252427184467</v>
      </c>
    </row>
    <row r="75" spans="1:95" x14ac:dyDescent="0.3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2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6 - 2</v>
      </c>
      <c r="P75" s="32">
        <f>L75*3+M75</f>
        <v>7</v>
      </c>
      <c r="R75" s="123">
        <f>DATE(2026,6,27)+TIME(15,0,0)+gmt_delta</f>
        <v>46201.166666666664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-1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1</v>
      </c>
      <c r="AH75" s="123">
        <f>COUNTIF($S$7:$T$78,"=" &amp; AE75 &amp; "_lose")</f>
        <v>0</v>
      </c>
      <c r="AI75" s="123">
        <f>SUMIF($E$7:$E$78,$AE75,$F$7:$F$78) + SUMIF($H$7:$H$78,$AE75,$G$7:$G$78)</f>
        <v>5</v>
      </c>
      <c r="AJ75" s="123">
        <f>SUMIF($E$7:$E$78,$AE75,$G$7:$G$78) + SUMIF($H$7:$H$78,$AE75,$F$7:$F$78)</f>
        <v>2</v>
      </c>
      <c r="AL75" s="123">
        <f>AI75-AJ75</f>
        <v>3</v>
      </c>
      <c r="AM75" s="123">
        <f>AL75-AL78</f>
        <v>10</v>
      </c>
      <c r="AN75" s="123">
        <f>AF75*3+AG75</f>
        <v>7</v>
      </c>
      <c r="AO75" s="123">
        <f>AN75/AN78*10+BA75</f>
        <v>9.7305825242718456</v>
      </c>
      <c r="AP75" s="123">
        <f>AO75*10000000+BI75*100+AM75/AM78*10+AI75/AI78*1++IF(AQ75=0,ROW(),AQ75)/2000000</f>
        <v>97305932.349448457</v>
      </c>
      <c r="AQ75" s="126">
        <f>VLOOKUP(AE75,db_fifarank,2,FALSE)</f>
        <v>1717.07</v>
      </c>
      <c r="AR75" s="125">
        <f>AP75/AP78</f>
        <v>0.99999997969039667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1</v>
      </c>
      <c r="AW75" s="126" cm="1">
        <f t="array" ref="AW75">SUMPRODUCT(($E$7:$E$78=AE75)*($U$7:$U$78)*($G$7:$G$78))+SUMPRODUCT(($H$7:$H$78=AE75)*($U$7:$U$78)*($F$7:$F$78))</f>
        <v>1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50.5</v>
      </c>
      <c r="BA75" s="126">
        <f>AZ75/AZ78</f>
        <v>0.98058252427184467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1</v>
      </c>
      <c r="BE75" s="126" cm="1">
        <f t="array" ref="BE75">SUMPRODUCT(($E$7:$E$78=AE75)*($X$7:$X$78)*($G$7:$G$78))+SUMPRODUCT(($H$7:$H$78=AE75)*($X$7:$X$78)*($F$7:$F$78))</f>
        <v>1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50.5</v>
      </c>
      <c r="BI75" s="126">
        <f>BH75/BH78</f>
        <v>0.98058252427184467</v>
      </c>
    </row>
    <row r="76" spans="1:95" x14ac:dyDescent="0.3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4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1</v>
      </c>
      <c r="N76" s="23">
        <f>VLOOKUP(2,AD74:AN77,5,FALSE)</f>
        <v>0</v>
      </c>
      <c r="O76" s="23" t="str">
        <f>VLOOKUP(2,AD74:AN77,6,FALSE) &amp; " - " &amp; VLOOKUP(2,AD74:AN77,7,FALSE)</f>
        <v>5 - 2</v>
      </c>
      <c r="P76" s="34">
        <f>L76*3+M76</f>
        <v>7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0</v>
      </c>
      <c r="AH76" s="123">
        <f>COUNTIF($S$7:$T$78,"=" &amp; AE76 &amp; "_lose")</f>
        <v>2</v>
      </c>
      <c r="AI76" s="123">
        <f>SUMIF($E$7:$E$78,$AE76,$F$7:$F$78) + SUMIF($H$7:$H$78,$AE76,$G$7:$G$78)</f>
        <v>5</v>
      </c>
      <c r="AJ76" s="123">
        <f>SUMIF($E$7:$E$78,$AE76,$G$7:$G$78) + SUMIF($H$7:$H$78,$AE76,$F$7:$F$78)</f>
        <v>5</v>
      </c>
      <c r="AL76" s="123">
        <f>AI76-AJ76</f>
        <v>0</v>
      </c>
      <c r="AM76" s="123">
        <f>AL76-AL78</f>
        <v>7</v>
      </c>
      <c r="AN76" s="123">
        <f>AF76*3+AG76</f>
        <v>3</v>
      </c>
      <c r="AO76" s="123">
        <f>AN76/AN78*10+BA76</f>
        <v>3.75</v>
      </c>
      <c r="AP76" s="123">
        <f>AO76*10000000+BI76*100+AM76/AM78*10+AI76/AI78*1++IF(AQ76=0,ROW(),AQ76)/2000000</f>
        <v>37500006.548292205</v>
      </c>
      <c r="AQ76" s="126">
        <f>VLOOKUP(AE76,db_fifarank,2,FALSE)</f>
        <v>1346.31</v>
      </c>
      <c r="AR76" s="125">
        <f>AP76/AP78</f>
        <v>0.38538252377060239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3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2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5 - 5</v>
      </c>
      <c r="P77" s="34">
        <f>L77*3+M77</f>
        <v>3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8</v>
      </c>
      <c r="AL77" s="123">
        <f>AI77-AJ77</f>
        <v>-7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0.14362746285714284</v>
      </c>
      <c r="AQ77" s="126">
        <f>VLOOKUP(AE77,db_fifarank,2,FALSE)</f>
        <v>1540.64</v>
      </c>
      <c r="AR77" s="125">
        <f>AP77/AP78</f>
        <v>1.4760401187496575E-9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0</v>
      </c>
      <c r="G78" s="20">
        <v>0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1 - 8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0</v>
      </c>
      <c r="W78" s="123">
        <f t="shared" si="22"/>
        <v>0</v>
      </c>
      <c r="X78" s="123">
        <f t="shared" si="32"/>
        <v>1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3</v>
      </c>
      <c r="AG78" s="123">
        <f t="shared" si="36"/>
        <v>2</v>
      </c>
      <c r="AH78" s="123">
        <f t="shared" si="36"/>
        <v>4</v>
      </c>
      <c r="AI78" s="123">
        <f>MAX(AI74:AI77)+1</f>
        <v>7</v>
      </c>
      <c r="AL78" s="123">
        <f>MIN(AL74:AL77)</f>
        <v>-7</v>
      </c>
      <c r="AM78" s="123">
        <f>MAX(AM74:AM77)+1</f>
        <v>12</v>
      </c>
      <c r="AN78" s="123">
        <f>MAX(AN74:AN77)+1</f>
        <v>8</v>
      </c>
      <c r="AO78" s="123">
        <f>MAX(AO74:AO77)+1</f>
        <v>10.730582524271846</v>
      </c>
      <c r="AP78" s="123">
        <f>MAX(AP74:AP77)+1</f>
        <v>97305934.325693384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51.5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51.5</v>
      </c>
    </row>
    <row r="79" spans="1:95" x14ac:dyDescent="0.3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8</v>
      </c>
      <c r="AE80" s="124" t="str">
        <f>J11</f>
        <v>Czech Republic</v>
      </c>
      <c r="AF80" s="123">
        <f>VLOOKUP($AE80,$AE$8:$AQ$78,2,FALSE)</f>
        <v>1</v>
      </c>
      <c r="AG80" s="123">
        <f>VLOOKUP($AE80,$AE$8:$AQ$78,3,FALSE)</f>
        <v>0</v>
      </c>
      <c r="AH80" s="123">
        <f>VLOOKUP($AE80,$AE$8:$AQ$78,4,FALSE)</f>
        <v>2</v>
      </c>
      <c r="AI80" s="123">
        <f>VLOOKUP($AE80,$AE$8:$AQ$78,5,FALSE)</f>
        <v>3</v>
      </c>
      <c r="AJ80" s="123">
        <f>VLOOKUP($AE80,$AE$8:$AQ$78,6,FALSE)</f>
        <v>4</v>
      </c>
      <c r="AK80" s="123" t="s">
        <v>3180</v>
      </c>
      <c r="AL80" s="123">
        <f>VLOOKUP($AE80,$AE$8:$AQ$78,8,FALSE)</f>
        <v>-1</v>
      </c>
      <c r="AM80" s="123">
        <f>AL80-$AL$92</f>
        <v>5</v>
      </c>
      <c r="AN80" s="123">
        <f>VLOOKUP($AE80,$AE$8:$AQ$78,10,FALSE)</f>
        <v>3</v>
      </c>
      <c r="AP80" s="123">
        <f>AN80/AN92*10000+AM80/AM92*1000+AI80/AI92*100+IF(AQ80=0,ROW(),AQ80)/2000000</f>
        <v>6593.0563062455558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3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Ⓘ Norway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7 - 5</v>
      </c>
      <c r="P81" s="98">
        <f>L81*3+M81</f>
        <v>4</v>
      </c>
      <c r="AD81" s="123">
        <f t="shared" ref="AD81:AD91" si="38">COUNTIF($AP$80:$AP$91,CONCATENATE("&gt;=",AP81))</f>
        <v>4</v>
      </c>
      <c r="AE81" s="124" t="str">
        <f>J17</f>
        <v>Canada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2</v>
      </c>
      <c r="AJ81" s="123">
        <f t="shared" ref="AJ81:AJ90" si="42">VLOOKUP($AE81,$AE$8:$AQ$78,6,FALSE)</f>
        <v>3</v>
      </c>
      <c r="AK81" s="123" t="s">
        <v>3181</v>
      </c>
      <c r="AL81" s="123">
        <f t="shared" ref="AL81:AL90" si="43">VLOOKUP($AE81,$AE$8:$AQ$78,8,FALSE)</f>
        <v>-1</v>
      </c>
      <c r="AM81" s="123">
        <f t="shared" ref="AM81:AM91" si="44">AL81-$AL$92</f>
        <v>5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8580.5563337955555</v>
      </c>
      <c r="AQ81" s="126">
        <f t="shared" si="37"/>
        <v>1556.48</v>
      </c>
      <c r="AR81" s="125" t="str">
        <f>AR80&amp;IF(AD81&lt;=8,RIGHT(AK81,1),"")</f>
        <v>AB</v>
      </c>
      <c r="AS81" s="129" t="str">
        <f t="shared" ref="AS81:AS91" si="46">IF(AD81&lt;=8,AE81,"")</f>
        <v>Canada</v>
      </c>
      <c r="AT81" s="130" t="str">
        <f>"Ⓑ "&amp;AE81</f>
        <v>Ⓑ Canada</v>
      </c>
    </row>
    <row r="82" spans="1:46" ht="15" customHeight="1" x14ac:dyDescent="0.3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Ⓓ Paraguay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3 - 2</v>
      </c>
      <c r="P82" s="101">
        <f t="shared" ref="P82:P92" si="48">L82*3+M82</f>
        <v>4</v>
      </c>
      <c r="AD82" s="123">
        <f t="shared" si="38"/>
        <v>3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1</v>
      </c>
      <c r="AH82" s="123">
        <f t="shared" si="40"/>
        <v>1</v>
      </c>
      <c r="AI82" s="123">
        <f t="shared" si="41"/>
        <v>3</v>
      </c>
      <c r="AJ82" s="123">
        <f t="shared" si="42"/>
        <v>4</v>
      </c>
      <c r="AK82" s="123" t="s">
        <v>3182</v>
      </c>
      <c r="AL82" s="123">
        <f t="shared" si="43"/>
        <v>-1</v>
      </c>
      <c r="AM82" s="123">
        <f t="shared" si="44"/>
        <v>5</v>
      </c>
      <c r="AN82" s="123">
        <f t="shared" si="45"/>
        <v>4</v>
      </c>
      <c r="AP82" s="123">
        <f>AN82/AN92*10000+AM82/AM92*1000+AI82/AI92*100+IF(AQ82=0,ROW(),AQ82)/2000000</f>
        <v>8593.056304730555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Ⓒ Scotland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3 - 4</v>
      </c>
      <c r="P83" s="101">
        <f t="shared" si="48"/>
        <v>4</v>
      </c>
      <c r="AD83" s="123">
        <f t="shared" si="38"/>
        <v>2</v>
      </c>
      <c r="AE83" s="124" t="str">
        <f>J29</f>
        <v>Paraguay</v>
      </c>
      <c r="AF83" s="123">
        <f t="shared" si="39"/>
        <v>1</v>
      </c>
      <c r="AG83" s="123">
        <f t="shared" si="49"/>
        <v>1</v>
      </c>
      <c r="AH83" s="123">
        <f t="shared" si="40"/>
        <v>1</v>
      </c>
      <c r="AI83" s="123">
        <f t="shared" si="41"/>
        <v>3</v>
      </c>
      <c r="AJ83" s="123">
        <f t="shared" si="42"/>
        <v>2</v>
      </c>
      <c r="AK83" s="123" t="s">
        <v>3184</v>
      </c>
      <c r="AL83" s="123">
        <f t="shared" si="43"/>
        <v>1</v>
      </c>
      <c r="AM83" s="123">
        <f t="shared" si="44"/>
        <v>7</v>
      </c>
      <c r="AN83" s="123">
        <f t="shared" si="45"/>
        <v>4</v>
      </c>
      <c r="AP83" s="123">
        <f>AN83/AN92*10000+AM83/AM92*1000+AI83/AI92*100+IF(AQ83=0,ROW(),AQ83)/2000000</f>
        <v>8815.2785295277772</v>
      </c>
      <c r="AQ83" s="126">
        <f t="shared" si="37"/>
        <v>1503.5</v>
      </c>
      <c r="AR83" s="125" t="str">
        <f t="shared" si="50"/>
        <v>ABCD</v>
      </c>
      <c r="AS83" s="129" t="str">
        <f t="shared" si="46"/>
        <v>Paraguay</v>
      </c>
      <c r="AT83" s="130" t="str">
        <f>"Ⓓ "&amp;AE83</f>
        <v>Ⓓ Paraguay</v>
      </c>
    </row>
    <row r="84" spans="1:46" ht="15" customHeight="1" x14ac:dyDescent="0.3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Ⓑ Canada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2 - 3</v>
      </c>
      <c r="P84" s="101">
        <f t="shared" si="48"/>
        <v>4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9</v>
      </c>
      <c r="AE84" s="124" t="str">
        <f>J35</f>
        <v>Ecuador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2</v>
      </c>
      <c r="AJ84" s="123">
        <f t="shared" si="42"/>
        <v>4</v>
      </c>
      <c r="AK84" s="123" t="s">
        <v>3185</v>
      </c>
      <c r="AL84" s="123">
        <f t="shared" si="43"/>
        <v>-2</v>
      </c>
      <c r="AM84" s="123">
        <f t="shared" si="44"/>
        <v>4</v>
      </c>
      <c r="AN84" s="123">
        <f t="shared" si="45"/>
        <v>3</v>
      </c>
      <c r="AP84" s="123">
        <f>AN84/AN92*10000+AM84/AM92*1000+AI84/AI92*100+IF(AQ84=0,ROW(),AQ84)/2000000</f>
        <v>6469.4452418344445</v>
      </c>
      <c r="AQ84" s="126">
        <f t="shared" si="37"/>
        <v>1594.78</v>
      </c>
      <c r="AR84" s="125" t="str">
        <f t="shared" si="50"/>
        <v>ABCD</v>
      </c>
      <c r="AS84" s="129" t="str">
        <f t="shared" si="46"/>
        <v/>
      </c>
      <c r="AT84" s="130" t="str">
        <f>"Ⓔ "&amp;AE84</f>
        <v>Ⓔ Ecuador</v>
      </c>
    </row>
    <row r="85" spans="1:46" ht="15" customHeight="1" x14ac:dyDescent="0.3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Ⓖ Iran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1</v>
      </c>
      <c r="N85" s="100">
        <f>VLOOKUP(5,$AD$80:$AN$91,5,FALSE)</f>
        <v>1</v>
      </c>
      <c r="O85" s="100" t="str">
        <f>VLOOKUP(5,$AD$80:$AN$91,6,FALSE) &amp; " - " &amp; VLOOKUP(5,$AD$80:$AN$91,7,FALSE)</f>
        <v>1 - 2</v>
      </c>
      <c r="P85" s="101">
        <f t="shared" si="48"/>
        <v>4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10</v>
      </c>
      <c r="AE85" s="124" t="str">
        <f>J41</f>
        <v>Sweden</v>
      </c>
      <c r="AF85" s="123">
        <f t="shared" si="39"/>
        <v>0</v>
      </c>
      <c r="AG85" s="123">
        <f t="shared" si="49"/>
        <v>2</v>
      </c>
      <c r="AH85" s="123">
        <f t="shared" si="40"/>
        <v>1</v>
      </c>
      <c r="AI85" s="123">
        <f t="shared" si="41"/>
        <v>4</v>
      </c>
      <c r="AJ85" s="123">
        <f t="shared" si="42"/>
        <v>6</v>
      </c>
      <c r="AK85" s="123" t="s">
        <v>3186</v>
      </c>
      <c r="AL85" s="123">
        <f t="shared" si="43"/>
        <v>-2</v>
      </c>
      <c r="AM85" s="123">
        <f t="shared" si="44"/>
        <v>4</v>
      </c>
      <c r="AN85" s="123">
        <f t="shared" si="45"/>
        <v>2</v>
      </c>
      <c r="AP85" s="123">
        <f>AN85/AN92*10000+AM85/AM92*1000+AI85/AI92*100+IF(AQ85=0,ROW(),AQ85)/2000000</f>
        <v>4494.4452018294442</v>
      </c>
      <c r="AQ85" s="126">
        <f t="shared" si="37"/>
        <v>1514.77</v>
      </c>
      <c r="AR85" s="125" t="str">
        <f t="shared" si="50"/>
        <v>ABCD</v>
      </c>
      <c r="AS85" s="129" t="str">
        <f t="shared" si="46"/>
        <v/>
      </c>
      <c r="AT85" s="130" t="str">
        <f>"Ⓕ "&amp;AE85</f>
        <v>Ⓕ Sweden</v>
      </c>
    </row>
    <row r="86" spans="1:46" ht="15" customHeight="1" x14ac:dyDescent="0.3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Ⓛ Ghana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5 - 5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5</v>
      </c>
      <c r="AE86" s="124" t="str">
        <f>J47</f>
        <v>Iran</v>
      </c>
      <c r="AF86" s="123">
        <f t="shared" si="39"/>
        <v>1</v>
      </c>
      <c r="AG86" s="123">
        <f t="shared" si="49"/>
        <v>1</v>
      </c>
      <c r="AH86" s="123">
        <f t="shared" si="40"/>
        <v>1</v>
      </c>
      <c r="AI86" s="123">
        <f t="shared" si="41"/>
        <v>1</v>
      </c>
      <c r="AJ86" s="123">
        <f t="shared" si="42"/>
        <v>2</v>
      </c>
      <c r="AK86" s="123" t="s">
        <v>3187</v>
      </c>
      <c r="AL86" s="123">
        <f t="shared" si="43"/>
        <v>-1</v>
      </c>
      <c r="AM86" s="123">
        <f t="shared" si="44"/>
        <v>5</v>
      </c>
      <c r="AN86" s="123">
        <f t="shared" si="45"/>
        <v>4</v>
      </c>
      <c r="AP86" s="123">
        <f>AN86/AN92*10000+AM86/AM92*1000+AI86/AI92*100+IF(AQ86=0,ROW(),AQ86)/2000000</f>
        <v>8568.0563632055546</v>
      </c>
      <c r="AQ86" s="126">
        <f t="shared" si="37"/>
        <v>1615.3</v>
      </c>
      <c r="AR86" s="125" t="str">
        <f t="shared" si="50"/>
        <v>ABCDG</v>
      </c>
      <c r="AS86" s="129" t="str">
        <f t="shared" si="46"/>
        <v>Iran</v>
      </c>
      <c r="AT86" s="130" t="str">
        <f>"Ⓖ "&amp;AE86</f>
        <v>Ⓖ Iran</v>
      </c>
    </row>
    <row r="87" spans="1:46" ht="15" customHeight="1" x14ac:dyDescent="0.3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Ⓙ Algeria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4 - 4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12</v>
      </c>
      <c r="AE87" s="124" t="str">
        <f>J53</f>
        <v>Saudi Arabia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1</v>
      </c>
      <c r="AJ87" s="123">
        <f t="shared" si="42"/>
        <v>7</v>
      </c>
      <c r="AK87" s="123" t="s">
        <v>3188</v>
      </c>
      <c r="AL87" s="123">
        <f t="shared" si="43"/>
        <v>-6</v>
      </c>
      <c r="AM87" s="123">
        <f t="shared" si="44"/>
        <v>0</v>
      </c>
      <c r="AN87" s="123">
        <f t="shared" si="45"/>
        <v>1</v>
      </c>
      <c r="AP87" s="123">
        <f>AN87/AN92*10000+AM87/AM92*1000+AI87/AI92*100+IF(AQ87=0,ROW(),AQ87)/2000000</f>
        <v>2012.500710715</v>
      </c>
      <c r="AQ87" s="126">
        <f t="shared" si="37"/>
        <v>1421.43</v>
      </c>
      <c r="AR87" s="125" t="str">
        <f t="shared" si="50"/>
        <v>ABCDG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3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Ⓐ Czech Republic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3 - 4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Switzerland</v>
      </c>
      <c r="T88" s="127" t="str" cm="1">
        <f t="array" ref="T88">IF(OR(S88="",S88="draw"),INDEX(T,90,lang),S88)</f>
        <v>Switzerland</v>
      </c>
      <c r="AD88" s="123">
        <f t="shared" si="38"/>
        <v>1</v>
      </c>
      <c r="AE88" s="124" t="str">
        <f>J59</f>
        <v>Norway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7</v>
      </c>
      <c r="AJ88" s="123">
        <f t="shared" si="42"/>
        <v>5</v>
      </c>
      <c r="AK88" s="123" t="s">
        <v>3189</v>
      </c>
      <c r="AL88" s="123">
        <f t="shared" si="43"/>
        <v>2</v>
      </c>
      <c r="AM88" s="123">
        <f t="shared" si="44"/>
        <v>8</v>
      </c>
      <c r="AN88" s="123">
        <f t="shared" si="45"/>
        <v>4</v>
      </c>
      <c r="AP88" s="123">
        <f>AN88/AN92*10000+AM88/AM92*1000+AI88/AI92*100+IF(AQ88=0,ROW(),AQ88)/2000000</f>
        <v>8976.3896643588887</v>
      </c>
      <c r="AQ88" s="126">
        <f t="shared" si="37"/>
        <v>1550.94</v>
      </c>
      <c r="AR88" s="125" t="str">
        <f t="shared" si="50"/>
        <v>ABCDGI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 x14ac:dyDescent="0.3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Ⓔ Ecuador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2 - 4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7</v>
      </c>
      <c r="AE89" s="124" t="str">
        <f>J65</f>
        <v>Algeria</v>
      </c>
      <c r="AF89" s="123">
        <f t="shared" si="39"/>
        <v>1</v>
      </c>
      <c r="AG89" s="123">
        <f t="shared" si="49"/>
        <v>0</v>
      </c>
      <c r="AH89" s="123">
        <f t="shared" si="40"/>
        <v>2</v>
      </c>
      <c r="AI89" s="123">
        <f t="shared" si="41"/>
        <v>4</v>
      </c>
      <c r="AJ89" s="123">
        <f t="shared" si="42"/>
        <v>4</v>
      </c>
      <c r="AK89" s="123" t="s">
        <v>3190</v>
      </c>
      <c r="AL89" s="123">
        <f t="shared" si="43"/>
        <v>0</v>
      </c>
      <c r="AM89" s="123">
        <f t="shared" si="44"/>
        <v>6</v>
      </c>
      <c r="AN89" s="123">
        <f t="shared" si="45"/>
        <v>3</v>
      </c>
      <c r="AP89" s="123">
        <f>AN89/AN92*10000+AM89/AM92*1000+AI89/AI92*100+IF(AQ89=0,ROW(),AQ89)/2000000</f>
        <v>6716.6674487966666</v>
      </c>
      <c r="AQ89" s="126">
        <f t="shared" si="37"/>
        <v>1564.26</v>
      </c>
      <c r="AR89" s="125" t="str">
        <f t="shared" si="50"/>
        <v>ABCDGIJ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3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Ⓕ Sweden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4 - 6</v>
      </c>
      <c r="P90" s="104">
        <f t="shared" si="48"/>
        <v>2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11</v>
      </c>
      <c r="AE90" s="124" t="str">
        <f>J71</f>
        <v>DR Congo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1</v>
      </c>
      <c r="AJ90" s="123">
        <f t="shared" si="42"/>
        <v>7</v>
      </c>
      <c r="AK90" s="123" t="s">
        <v>3191</v>
      </c>
      <c r="AL90" s="123">
        <f t="shared" si="43"/>
        <v>-6</v>
      </c>
      <c r="AM90" s="123">
        <f t="shared" si="44"/>
        <v>0</v>
      </c>
      <c r="AN90" s="123">
        <f t="shared" si="45"/>
        <v>1</v>
      </c>
      <c r="AP90" s="123">
        <f>AN90/AN92*10000+AM90/AM92*1000+AI90/AI92*100+IF(AQ90=0,ROW(),AQ90)/2000000</f>
        <v>2012.500739175</v>
      </c>
      <c r="AQ90" s="126">
        <f t="shared" si="37"/>
        <v>1478.35</v>
      </c>
      <c r="AR90" s="125" t="str">
        <f t="shared" si="50"/>
        <v>ABCDGIJ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3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Ⓚ DR Congo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1 - 7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6</v>
      </c>
      <c r="AE91" s="124" t="str">
        <f>J77</f>
        <v>Ghana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5</v>
      </c>
      <c r="AJ91" s="123">
        <f>VLOOKUP($AE91,$AE$8:$AQ$78,6,FALSE)</f>
        <v>5</v>
      </c>
      <c r="AK91" s="123" t="s">
        <v>3192</v>
      </c>
      <c r="AL91" s="123">
        <f>VLOOKUP($AE91,$AE$8:$AQ$78,8,FALSE)</f>
        <v>0</v>
      </c>
      <c r="AM91" s="123">
        <f t="shared" si="44"/>
        <v>6</v>
      </c>
      <c r="AN91" s="123">
        <f>VLOOKUP($AE91,$AE$8:$AQ$78,10,FALSE)</f>
        <v>3</v>
      </c>
      <c r="AP91" s="123">
        <f>AN91/AN92*10000+AM91/AM92*1000+AI91/AI92*100+IF(AQ91=0,ROW(),AQ91)/2000000</f>
        <v>6729.1673398216672</v>
      </c>
      <c r="AQ91" s="126">
        <f t="shared" si="37"/>
        <v>1346.31</v>
      </c>
      <c r="AR91" s="125" t="str">
        <f t="shared" si="50"/>
        <v>ABCDGIJL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3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Ⓗ Saudi Arabia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1 - 7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8</v>
      </c>
      <c r="AJ92" s="123">
        <f>MAX(AJ80:AJ91)+1</f>
        <v>8</v>
      </c>
      <c r="AL92" s="123">
        <f>MIN(AL80:AL91)</f>
        <v>-6</v>
      </c>
      <c r="AM92" s="123">
        <f>MAX(AM80:AM91)+1</f>
        <v>9</v>
      </c>
      <c r="AN92" s="123">
        <f>MAX(AN80:AN91)+1</f>
        <v>5</v>
      </c>
      <c r="AS92" s="126" t="b">
        <f>SUM(K9:K78)=144</f>
        <v>1</v>
      </c>
    </row>
    <row r="93" spans="1:46" x14ac:dyDescent="0.3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3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3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3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3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topLeftCell="A147" workbookViewId="0">
      <selection activeCell="D6" sqref="D6"/>
    </sheetView>
  </sheetViews>
  <sheetFormatPr defaultColWidth="9.08984375" defaultRowHeight="14.5" x14ac:dyDescent="0.35"/>
  <cols>
    <col min="1" max="1" width="2.453125" style="82" customWidth="1"/>
    <col min="2" max="2" width="9.08984375" style="81"/>
    <col min="3" max="3" width="13.6328125" style="81" customWidth="1"/>
    <col min="4" max="11" width="9.453125" style="81" customWidth="1"/>
    <col min="12" max="16384" width="9.08984375" style="82"/>
  </cols>
  <sheetData>
    <row r="1" spans="2:11" ht="8.25" customHeight="1" x14ac:dyDescent="0.35"/>
    <row r="2" spans="2:11" ht="21" x14ac:dyDescent="0.35">
      <c r="B2" s="108" t="s">
        <v>3193</v>
      </c>
    </row>
    <row r="3" spans="2:11" x14ac:dyDescent="0.35">
      <c r="B3" s="109">
        <f>MATCH(C3,C6:C500,0)</f>
        <v>433</v>
      </c>
      <c r="C3" s="121" t="str">
        <f>'2026 World Cup'!AR91</f>
        <v>ABCDGIJL</v>
      </c>
      <c r="D3" s="121" t="str">
        <f>VLOOKUP($C3,$C$6:$K$500,2,FALSE)</f>
        <v>3C</v>
      </c>
      <c r="E3" s="121" t="str">
        <f>VLOOKUP($C3,$C$6:$K$500,3,FALSE)</f>
        <v>3J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3G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3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Jose Luis Martin Garcia (TES)</cp:lastModifiedBy>
  <cp:revision/>
  <dcterms:created xsi:type="dcterms:W3CDTF">2017-12-27T19:32:51Z</dcterms:created>
  <dcterms:modified xsi:type="dcterms:W3CDTF">2026-06-11T11:19:09Z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