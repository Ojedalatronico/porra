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torres\Downloads\"/>
    </mc:Choice>
  </mc:AlternateContent>
  <xr:revisionPtr revIDLastSave="0" documentId="13_ncr:1_{3DF109C9-F1E3-4A37-89BF-AE5430F9C1C0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BP11" i="3" l="1"/>
  <c r="CR38" i="3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AA65" i="3" s="1"/>
  <c r="E38" i="3"/>
  <c r="H62" i="3"/>
  <c r="E39" i="3"/>
  <c r="E16" i="3"/>
  <c r="E61" i="3"/>
  <c r="H40" i="3"/>
  <c r="H16" i="3"/>
  <c r="H61" i="3"/>
  <c r="H39" i="3"/>
  <c r="E15" i="3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H69" i="3"/>
  <c r="H45" i="3"/>
  <c r="E21" i="3"/>
  <c r="E70" i="3"/>
  <c r="AA70" i="3" s="1"/>
  <c r="E46" i="3"/>
  <c r="H21" i="3"/>
  <c r="H72" i="3"/>
  <c r="E44" i="3"/>
  <c r="E20" i="3"/>
  <c r="H71" i="3"/>
  <c r="H44" i="3"/>
  <c r="E19" i="3"/>
  <c r="E72" i="3"/>
  <c r="AA72" i="3" s="1"/>
  <c r="E43" i="3"/>
  <c r="H19" i="3"/>
  <c r="H67" i="3"/>
  <c r="E48" i="3"/>
  <c r="E23" i="3"/>
  <c r="E68" i="3"/>
  <c r="H47" i="3"/>
  <c r="H23" i="3"/>
  <c r="E67" i="3"/>
  <c r="AA67" i="3" s="1"/>
  <c r="E47" i="3"/>
  <c r="AA47" i="3" s="1"/>
  <c r="H24" i="3"/>
  <c r="H76" i="3"/>
  <c r="E49" i="3"/>
  <c r="E25" i="3"/>
  <c r="E75" i="3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E77" i="3"/>
  <c r="E54" i="3"/>
  <c r="AA54" i="3" s="1"/>
  <c r="H30" i="3"/>
  <c r="H73" i="3"/>
  <c r="E51" i="3"/>
  <c r="E28" i="3"/>
  <c r="E74" i="3"/>
  <c r="H52" i="3"/>
  <c r="H28" i="3"/>
  <c r="H74" i="3"/>
  <c r="H51" i="3"/>
  <c r="E27" i="3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H8" i="3"/>
  <c r="H22" i="3"/>
  <c r="H12" i="3"/>
  <c r="E22" i="3"/>
  <c r="H9" i="3"/>
  <c r="AA9" i="3" s="1"/>
  <c r="D7" i="3"/>
  <c r="AA14" i="3" l="1"/>
  <c r="AA23" i="3"/>
  <c r="AA27" i="3"/>
  <c r="AA48" i="3"/>
  <c r="AA49" i="3"/>
  <c r="AA16" i="3"/>
  <c r="AA15" i="3"/>
  <c r="AA45" i="3"/>
  <c r="AA46" i="3"/>
  <c r="AA19" i="3"/>
  <c r="AA28" i="3"/>
  <c r="AA34" i="3"/>
  <c r="AA33" i="3"/>
  <c r="AA13" i="3"/>
  <c r="AA37" i="3"/>
  <c r="AA66" i="3"/>
  <c r="AA75" i="3"/>
  <c r="AA55" i="3"/>
  <c r="AA12" i="3"/>
  <c r="AA30" i="3"/>
  <c r="AA51" i="3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S26" i="3"/>
  <c r="S75" i="3"/>
  <c r="T75" i="3" s="1"/>
  <c r="S25" i="3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S63" i="3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S40" i="3"/>
  <c r="S62" i="3"/>
  <c r="S38" i="3"/>
  <c r="S65" i="3"/>
  <c r="S55" i="3"/>
  <c r="S57" i="3"/>
  <c r="T3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53" i="3" l="1"/>
  <c r="T48" i="3"/>
  <c r="T43" i="3"/>
  <c r="T35" i="3"/>
  <c r="T25" i="3"/>
  <c r="T23" i="3"/>
  <c r="T19" i="3"/>
  <c r="T12" i="3"/>
  <c r="T27" i="3"/>
  <c r="T28" i="3"/>
  <c r="T51" i="3"/>
  <c r="T78" i="3"/>
  <c r="T26" i="3"/>
  <c r="T46" i="3"/>
  <c r="T21" i="3"/>
  <c r="T18" i="3"/>
  <c r="T63" i="3"/>
  <c r="T41" i="3"/>
  <c r="T61" i="3"/>
  <c r="T16" i="3"/>
  <c r="T37" i="3"/>
  <c r="T56" i="3"/>
  <c r="T8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/>
  <c r="BH57" i="3" l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60" i="3" l="1"/>
  <c r="BI56" i="3" s="1"/>
  <c r="AP56" i="3" s="1"/>
  <c r="BH78" i="3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H42" i="3"/>
  <c r="BI40" i="3" s="1"/>
  <c r="AP40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9" i="3" l="1"/>
  <c r="AP59" i="3" s="1"/>
  <c r="BI57" i="3"/>
  <c r="AP57" i="3" s="1"/>
  <c r="BI58" i="3"/>
  <c r="AP58" i="3" s="1"/>
  <c r="BI26" i="3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60" i="3" l="1"/>
  <c r="AR57" i="3" s="1"/>
  <c r="AP12" i="3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P42" i="3"/>
  <c r="AR38" i="3" s="1"/>
  <c r="AP66" i="3"/>
  <c r="AR62" i="3" s="1"/>
  <c r="AP48" i="3"/>
  <c r="AR44" i="3" s="1"/>
  <c r="AP18" i="3"/>
  <c r="AR14" i="3" s="1"/>
  <c r="AP54" i="3"/>
  <c r="AR50" i="3" s="1"/>
  <c r="AR59" i="3" l="1"/>
  <c r="AR58" i="3"/>
  <c r="AR56" i="3"/>
  <c r="AD57" i="3" s="1"/>
  <c r="AR9" i="3"/>
  <c r="AR11" i="3"/>
  <c r="AR10" i="3"/>
  <c r="AR22" i="3"/>
  <c r="AR21" i="3"/>
  <c r="AR28" i="3"/>
  <c r="AR35" i="3"/>
  <c r="AR34" i="3"/>
  <c r="AR33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R16" i="3"/>
  <c r="AR17" i="3"/>
  <c r="AD58" i="3" l="1"/>
  <c r="AD59" i="3"/>
  <c r="AD56" i="3"/>
  <c r="AD11" i="3"/>
  <c r="AD9" i="3"/>
  <c r="AD8" i="3"/>
  <c r="AD53" i="3"/>
  <c r="AD10" i="3"/>
  <c r="AD76" i="3"/>
  <c r="AD74" i="3"/>
  <c r="AD28" i="3"/>
  <c r="AD22" i="3"/>
  <c r="AD63" i="3"/>
  <c r="AD77" i="3"/>
  <c r="AD29" i="3"/>
  <c r="AD71" i="3"/>
  <c r="AD44" i="3"/>
  <c r="AD62" i="3"/>
  <c r="AD14" i="3"/>
  <c r="AD35" i="3"/>
  <c r="AD26" i="3"/>
  <c r="AD15" i="3"/>
  <c r="AD75" i="3"/>
  <c r="AD68" i="3"/>
  <c r="AD70" i="3"/>
  <c r="AD47" i="3"/>
  <c r="AD41" i="3"/>
  <c r="AD33" i="3"/>
  <c r="AD32" i="3"/>
  <c r="AD34" i="3"/>
  <c r="AD27" i="3"/>
  <c r="AD21" i="3"/>
  <c r="AD20" i="3"/>
  <c r="AD69" i="3"/>
  <c r="AD39" i="3"/>
  <c r="AD64" i="3"/>
  <c r="AD16" i="3"/>
  <c r="AD46" i="3"/>
  <c r="AD23" i="3"/>
  <c r="AD65" i="3"/>
  <c r="AD51" i="3"/>
  <c r="AD45" i="3"/>
  <c r="AD40" i="3"/>
  <c r="AD52" i="3"/>
  <c r="AD38" i="3"/>
  <c r="AD50" i="3"/>
  <c r="AD17" i="3"/>
  <c r="L58" i="3" l="1"/>
  <c r="N58" i="3"/>
  <c r="M59" i="3"/>
  <c r="M58" i="3"/>
  <c r="L59" i="3"/>
  <c r="O58" i="3"/>
  <c r="N57" i="3"/>
  <c r="J60" i="3"/>
  <c r="O59" i="3"/>
  <c r="O60" i="3"/>
  <c r="L57" i="3"/>
  <c r="L60" i="3"/>
  <c r="J57" i="3"/>
  <c r="AS56" i="3" s="1"/>
  <c r="BL14" i="3" s="1"/>
  <c r="J59" i="3"/>
  <c r="AE88" i="3" s="1"/>
  <c r="AQ88" i="3" s="1"/>
  <c r="M60" i="3"/>
  <c r="O57" i="3"/>
  <c r="N60" i="3"/>
  <c r="M57" i="3"/>
  <c r="J58" i="3"/>
  <c r="AS57" i="3" s="1"/>
  <c r="BL47" i="3" s="1"/>
  <c r="N59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N75" i="3"/>
  <c r="L75" i="3"/>
  <c r="O75" i="3"/>
  <c r="J75" i="3"/>
  <c r="AS74" i="3" s="1"/>
  <c r="BL54" i="3" s="1"/>
  <c r="M75" i="3"/>
  <c r="L23" i="3"/>
  <c r="N17" i="3"/>
  <c r="O54" i="3"/>
  <c r="M64" i="3"/>
  <c r="L66" i="3"/>
  <c r="J66" i="3"/>
  <c r="L69" i="3"/>
  <c r="M70" i="3"/>
  <c r="M71" i="3"/>
  <c r="M72" i="3"/>
  <c r="L15" i="3"/>
  <c r="M16" i="3"/>
  <c r="O17" i="3"/>
  <c r="L17" i="3"/>
  <c r="J16" i="3"/>
  <c r="AS15" i="3" s="1"/>
  <c r="BL19" i="3" s="1"/>
  <c r="M18" i="3"/>
  <c r="N16" i="3"/>
  <c r="O16" i="3"/>
  <c r="J18" i="3"/>
  <c r="L16" i="3"/>
  <c r="M17" i="3"/>
  <c r="O18" i="3"/>
  <c r="N18" i="3"/>
  <c r="L18" i="3"/>
  <c r="J24" i="3"/>
  <c r="J22" i="3"/>
  <c r="AS21" i="3" s="1"/>
  <c r="BL23" i="3" s="1"/>
  <c r="J21" i="3"/>
  <c r="AS20" i="3" s="1"/>
  <c r="BL42" i="3" s="1"/>
  <c r="BS44" i="3" s="1"/>
  <c r="L21" i="3"/>
  <c r="M22" i="3"/>
  <c r="O42" i="3"/>
  <c r="M42" i="3"/>
  <c r="J46" i="3"/>
  <c r="AS45" i="3" s="1"/>
  <c r="BL63" i="3" s="1"/>
  <c r="N45" i="3"/>
  <c r="O45" i="3"/>
  <c r="L48" i="3"/>
  <c r="N63" i="3"/>
  <c r="N64" i="3"/>
  <c r="M65" i="3"/>
  <c r="M66" i="3"/>
  <c r="J65" i="3"/>
  <c r="AE89" i="3" s="1"/>
  <c r="AQ89" i="3" s="1"/>
  <c r="M69" i="3"/>
  <c r="L70" i="3"/>
  <c r="L71" i="3"/>
  <c r="L72" i="3"/>
  <c r="J72" i="3"/>
  <c r="J70" i="3"/>
  <c r="AS69" i="3" s="1"/>
  <c r="BL26" i="3" s="1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 s="1"/>
  <c r="AQ83" i="3" s="1"/>
  <c r="J28" i="3"/>
  <c r="AS27" i="3" s="1"/>
  <c r="BL62" i="3" s="1"/>
  <c r="BS61" i="3" s="1"/>
  <c r="J27" i="3"/>
  <c r="AS26" i="3" s="1"/>
  <c r="BL34" i="3" s="1"/>
  <c r="N27" i="3"/>
  <c r="M29" i="3"/>
  <c r="M27" i="3"/>
  <c r="N29" i="3"/>
  <c r="L35" i="3"/>
  <c r="N35" i="3"/>
  <c r="N34" i="3"/>
  <c r="J41" i="3"/>
  <c r="AE85" i="3" s="1"/>
  <c r="AQ85" i="3" s="1"/>
  <c r="J39" i="3"/>
  <c r="AS38" i="3" s="1"/>
  <c r="BL22" i="3" s="1"/>
  <c r="O40" i="3"/>
  <c r="L42" i="3"/>
  <c r="L40" i="3"/>
  <c r="O39" i="3"/>
  <c r="J48" i="3"/>
  <c r="M45" i="3"/>
  <c r="M47" i="3"/>
  <c r="L63" i="3"/>
  <c r="O63" i="3"/>
  <c r="L65" i="3"/>
  <c r="O65" i="3"/>
  <c r="O66" i="3"/>
  <c r="J63" i="3"/>
  <c r="AS62" i="3" s="1"/>
  <c r="BL58" i="3" s="1"/>
  <c r="O69" i="3"/>
  <c r="O70" i="3"/>
  <c r="O71" i="3"/>
  <c r="O72" i="3"/>
  <c r="J69" i="3"/>
  <c r="AS68" i="3" s="1"/>
  <c r="BL70" i="3" s="1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 s="1"/>
  <c r="AQ84" i="3" s="1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M36" i="3"/>
  <c r="M34" i="3"/>
  <c r="N36" i="3"/>
  <c r="J42" i="3"/>
  <c r="J40" i="3"/>
  <c r="AS39" i="3" s="1"/>
  <c r="BL43" i="3" s="1"/>
  <c r="N39" i="3"/>
  <c r="L39" i="3"/>
  <c r="M40" i="3"/>
  <c r="M39" i="3"/>
  <c r="N40" i="3"/>
  <c r="J47" i="3"/>
  <c r="AE86" i="3" s="1"/>
  <c r="AQ86" i="3" s="1"/>
  <c r="J45" i="3"/>
  <c r="AS44" i="3" s="1"/>
  <c r="BL38" i="3" s="1"/>
  <c r="L45" i="3"/>
  <c r="M48" i="3"/>
  <c r="M63" i="3"/>
  <c r="L64" i="3"/>
  <c r="O64" i="3"/>
  <c r="N65" i="3"/>
  <c r="N66" i="3"/>
  <c r="J64" i="3"/>
  <c r="AS63" i="3" s="1"/>
  <c r="BL31" i="3" s="1"/>
  <c r="N69" i="3"/>
  <c r="N70" i="3"/>
  <c r="N71" i="3"/>
  <c r="N72" i="3"/>
  <c r="J71" i="3"/>
  <c r="AE90" i="3" s="1"/>
  <c r="AQ90" i="3" s="1"/>
  <c r="N76" i="3"/>
  <c r="J78" i="3"/>
  <c r="M76" i="3"/>
  <c r="L76" i="3"/>
  <c r="N78" i="3"/>
  <c r="M78" i="3"/>
  <c r="L78" i="3"/>
  <c r="O78" i="3"/>
  <c r="O76" i="3"/>
  <c r="J76" i="3"/>
  <c r="AS75" i="3" s="1"/>
  <c r="BL27" i="3" s="1"/>
  <c r="L77" i="3"/>
  <c r="O77" i="3"/>
  <c r="J77" i="3"/>
  <c r="AE91" i="3" s="1"/>
  <c r="AQ91" i="3" s="1"/>
  <c r="M77" i="3"/>
  <c r="N77" i="3"/>
  <c r="M41" i="3"/>
  <c r="N53" i="3"/>
  <c r="N47" i="3"/>
  <c r="L47" i="3"/>
  <c r="N46" i="3"/>
  <c r="L46" i="3"/>
  <c r="O46" i="3"/>
  <c r="O48" i="3"/>
  <c r="M46" i="3"/>
  <c r="O47" i="3"/>
  <c r="N48" i="3"/>
  <c r="M54" i="3"/>
  <c r="M51" i="3"/>
  <c r="L51" i="3"/>
  <c r="N51" i="3"/>
  <c r="J51" i="3"/>
  <c r="AS50" i="3" s="1"/>
  <c r="BL30" i="3" s="1"/>
  <c r="J52" i="3"/>
  <c r="AS51" i="3" s="1"/>
  <c r="BL59" i="3" s="1"/>
  <c r="N54" i="3"/>
  <c r="O51" i="3"/>
  <c r="N52" i="3"/>
  <c r="L54" i="3"/>
  <c r="J54" i="3"/>
  <c r="O52" i="3"/>
  <c r="O41" i="3"/>
  <c r="L41" i="3"/>
  <c r="N23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N42" i="3"/>
  <c r="M15" i="3"/>
  <c r="O15" i="3"/>
  <c r="J15" i="3"/>
  <c r="AS14" i="3" s="1"/>
  <c r="BL66" i="3" s="1"/>
  <c r="BS60" i="3" l="1"/>
  <c r="BZ64" i="3" s="1"/>
  <c r="BS45" i="3"/>
  <c r="BZ48" i="3" s="1"/>
  <c r="S91" i="3"/>
  <c r="T91" i="3" s="1" a="1"/>
  <c r="T91" i="3" s="1"/>
  <c r="BS37" i="3"/>
  <c r="S90" i="3"/>
  <c r="T90" i="3" s="1" a="1"/>
  <c r="T90" i="3" s="1"/>
  <c r="BS36" i="3"/>
  <c r="S89" i="3"/>
  <c r="T89" i="3" s="1" a="1"/>
  <c r="T89" i="3" s="1"/>
  <c r="BS21" i="3"/>
  <c r="S86" i="3"/>
  <c r="T86" i="3" s="1" a="1"/>
  <c r="T86" i="3" s="1"/>
  <c r="BS28" i="3"/>
  <c r="S87" i="3"/>
  <c r="T87" i="3" s="1" a="1"/>
  <c r="T87" i="3" s="1"/>
  <c r="BS29" i="3"/>
  <c r="S88" i="3"/>
  <c r="T88" i="3" s="1" a="1"/>
  <c r="T88" i="3" s="1"/>
  <c r="BS20" i="3"/>
  <c r="P58" i="3"/>
  <c r="K57" i="3"/>
  <c r="AF88" i="3"/>
  <c r="AG88" i="3"/>
  <c r="AI88" i="3"/>
  <c r="AJ88" i="3"/>
  <c r="AN88" i="3"/>
  <c r="K58" i="3"/>
  <c r="P57" i="3"/>
  <c r="AT88" i="3"/>
  <c r="P59" i="3"/>
  <c r="K59" i="3"/>
  <c r="AL88" i="3"/>
  <c r="AH88" i="3"/>
  <c r="P60" i="3"/>
  <c r="K6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K10" i="3"/>
  <c r="P10" i="3"/>
  <c r="P52" i="3"/>
  <c r="P75" i="3"/>
  <c r="K75" i="3"/>
  <c r="P54" i="3"/>
  <c r="K54" i="3"/>
  <c r="AF87" i="3"/>
  <c r="AG87" i="3"/>
  <c r="AH87" i="3"/>
  <c r="AJ87" i="3"/>
  <c r="AL87" i="3"/>
  <c r="AN87" i="3"/>
  <c r="AT87" i="3"/>
  <c r="K51" i="3"/>
  <c r="P51" i="3"/>
  <c r="P23" i="3"/>
  <c r="P72" i="3"/>
  <c r="P71" i="3"/>
  <c r="P70" i="3"/>
  <c r="P69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3" i="3"/>
  <c r="K72" i="3"/>
  <c r="K71" i="3"/>
  <c r="K70" i="3"/>
  <c r="K69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AF90" i="3"/>
  <c r="AG90" i="3"/>
  <c r="AH90" i="3"/>
  <c r="AI90" i="3"/>
  <c r="AJ90" i="3"/>
  <c r="AL90" i="3"/>
  <c r="AN90" i="3"/>
  <c r="AT90" i="3"/>
  <c r="K53" i="3"/>
  <c r="K48" i="3"/>
  <c r="P48" i="3"/>
  <c r="K45" i="3"/>
  <c r="P45" i="3"/>
  <c r="P46" i="3"/>
  <c r="K46" i="3"/>
  <c r="K47" i="3"/>
  <c r="P47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2" i="3"/>
  <c r="K22" i="3"/>
  <c r="K24" i="3"/>
  <c r="P24" i="3"/>
  <c r="P21" i="3"/>
  <c r="K21" i="3"/>
  <c r="AF82" i="3"/>
  <c r="AG82" i="3"/>
  <c r="AH82" i="3"/>
  <c r="AI82" i="3"/>
  <c r="AJ82" i="3"/>
  <c r="AN82" i="3"/>
  <c r="AT82" i="3"/>
  <c r="P18" i="3"/>
  <c r="K18" i="3"/>
  <c r="P16" i="3"/>
  <c r="K16" i="3"/>
  <c r="P17" i="3"/>
  <c r="K17" i="3"/>
  <c r="AF81" i="3"/>
  <c r="AG81" i="3"/>
  <c r="AH81" i="3"/>
  <c r="AI81" i="3"/>
  <c r="AJ81" i="3"/>
  <c r="AL81" i="3"/>
  <c r="K23" i="3"/>
  <c r="AN81" i="3"/>
  <c r="AT81" i="3"/>
  <c r="P15" i="3"/>
  <c r="K15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S96" i="3"/>
  <c r="T96" i="3" s="1" a="1"/>
  <c r="T96" i="3" s="1"/>
  <c r="AJ92" i="3"/>
  <c r="AL92" i="3"/>
  <c r="AM88" i="3" s="1"/>
  <c r="AF92" i="3"/>
  <c r="AH92" i="3"/>
  <c r="AG92" i="3"/>
  <c r="AI92" i="3"/>
  <c r="AN92" i="3"/>
  <c r="AS92" i="3"/>
  <c r="S103" i="3" l="1"/>
  <c r="T103" i="3" s="1" a="1"/>
  <c r="T103" i="3" s="1"/>
  <c r="CG24" i="3"/>
  <c r="S102" i="3"/>
  <c r="T102" i="3" s="1" a="1"/>
  <c r="T102" i="3" s="1"/>
  <c r="CG23" i="3"/>
  <c r="AM83" i="3"/>
  <c r="AM91" i="3"/>
  <c r="AM82" i="3"/>
  <c r="AM90" i="3"/>
  <c r="AM80" i="3"/>
  <c r="AM81" i="3"/>
  <c r="AM89" i="3"/>
  <c r="AM87" i="3"/>
  <c r="AM86" i="3"/>
  <c r="AM85" i="3"/>
  <c r="AM84" i="3"/>
  <c r="S85" i="3"/>
  <c r="T85" i="3" s="1" a="1"/>
  <c r="T85" i="3" s="1"/>
  <c r="BS13" i="3"/>
  <c r="S84" i="3"/>
  <c r="T84" i="3" s="1" a="1"/>
  <c r="T84" i="3" s="1"/>
  <c r="BS12" i="3"/>
  <c r="CN48" i="3" l="1"/>
  <c r="CN37" i="3"/>
  <c r="CK68" i="3" s="1"/>
  <c r="S111" i="3"/>
  <c r="T111" i="3" s="1"/>
  <c r="AM92" i="3"/>
  <c r="AP87" i="3" s="1"/>
  <c r="BZ16" i="3"/>
  <c r="U102" i="3" s="1"/>
  <c r="AC102" i="3" s="1" a="1"/>
  <c r="AC102" i="3" s="1"/>
  <c r="S95" i="3"/>
  <c r="T95" i="3" s="1" a="1"/>
  <c r="T95" i="3" s="1"/>
  <c r="AP84" i="3" l="1"/>
  <c r="AP81" i="3"/>
  <c r="AP86" i="3"/>
  <c r="AP89" i="3"/>
  <c r="AP90" i="3"/>
  <c r="AP88" i="3"/>
  <c r="AP82" i="3"/>
  <c r="AP83" i="3"/>
  <c r="AP91" i="3"/>
  <c r="AP85" i="3"/>
  <c r="AP80" i="3"/>
  <c r="AD89" i="3" l="1"/>
  <c r="AS89" i="3" s="1"/>
  <c r="AD86" i="3"/>
  <c r="AS86" i="3" s="1"/>
  <c r="AD84" i="3"/>
  <c r="AS84" i="3" s="1"/>
  <c r="AD83" i="3"/>
  <c r="AS83" i="3" s="1"/>
  <c r="AD91" i="3"/>
  <c r="AS91" i="3" s="1"/>
  <c r="AD82" i="3"/>
  <c r="AS82" i="3" s="1"/>
  <c r="AD90" i="3"/>
  <c r="AS90" i="3" s="1"/>
  <c r="AD88" i="3"/>
  <c r="AS88" i="3" s="1"/>
  <c r="AD85" i="3"/>
  <c r="AS85" i="3" s="1"/>
  <c r="AD87" i="3"/>
  <c r="AS87" i="3" s="1"/>
  <c r="AD80" i="3"/>
  <c r="AD81" i="3"/>
  <c r="AS81" i="3" s="1"/>
  <c r="M85" i="3" l="1"/>
  <c r="M88" i="3"/>
  <c r="N84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O82" i="3"/>
  <c r="N92" i="3"/>
  <c r="J92" i="3"/>
  <c r="O87" i="3"/>
  <c r="AS80" i="3"/>
  <c r="O83" i="3"/>
  <c r="M87" i="3"/>
  <c r="L88" i="3"/>
  <c r="L90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7" i="3"/>
  <c r="M83" i="3"/>
  <c r="N91" i="3"/>
  <c r="O89" i="3"/>
  <c r="N89" i="3"/>
  <c r="L92" i="3"/>
  <c r="J81" i="3"/>
  <c r="J89" i="3"/>
  <c r="O81" i="3"/>
  <c r="M90" i="3"/>
  <c r="L86" i="3"/>
  <c r="M84" i="3"/>
  <c r="N83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L83" i="3"/>
  <c r="P82" i="3" l="1"/>
  <c r="K81" i="3"/>
  <c r="P84" i="3"/>
  <c r="P88" i="3"/>
  <c r="K82" i="3"/>
  <c r="P81" i="3"/>
  <c r="K84" i="3"/>
  <c r="P87" i="3"/>
  <c r="K85" i="3"/>
  <c r="P92" i="3"/>
  <c r="K91" i="3"/>
  <c r="K90" i="3"/>
  <c r="K87" i="3"/>
  <c r="P86" i="3"/>
  <c r="K92" i="3"/>
  <c r="K83" i="3"/>
  <c r="P85" i="3"/>
  <c r="P83" i="3"/>
  <c r="P90" i="3"/>
  <c r="K89" i="3"/>
  <c r="K86" i="3"/>
  <c r="P91" i="3"/>
  <c r="K88" i="3"/>
  <c r="E3" i="4"/>
  <c r="H3" i="4"/>
  <c r="BL39" i="3" s="1"/>
  <c r="I3" i="4"/>
  <c r="BL15" i="3" s="1"/>
  <c r="P89" i="3"/>
  <c r="G3" i="4"/>
  <c r="BL11" i="3" s="1"/>
  <c r="J3" i="4"/>
  <c r="B3" i="4"/>
  <c r="D3" i="4"/>
  <c r="K3" i="4"/>
  <c r="BS53" i="3"/>
  <c r="BS69" i="3"/>
  <c r="BZ65" i="3" s="1"/>
  <c r="CG56" i="3" s="1"/>
  <c r="CN49" i="3" s="1"/>
  <c r="BL55" i="3" l="1"/>
  <c r="BL51" i="3"/>
  <c r="BS52" i="3" s="1"/>
  <c r="BZ49" i="3" s="1"/>
  <c r="CG55" i="3" s="1"/>
  <c r="CN38" i="3" s="1"/>
  <c r="BL71" i="3"/>
  <c r="BL67" i="3"/>
  <c r="BS6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<sst xmlns="http://schemas.openxmlformats.org/spreadsheetml/2006/main" count="9785" uniqueCount="3699">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</sst>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29" Type="http://schemas.openxmlformats.org/officeDocument/2006/relationships/image" Target="../media/image29.pn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61" Type="http://schemas.openxmlformats.org/officeDocument/2006/relationships/image" Target="../media/image61.jpe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topLeftCell="A29" workbookViewId="0">
      <selection activeCell="C19" sqref="C19:C27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35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3150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36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0.58333333333333326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Francia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España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Inglaterra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Brasil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Países Bajos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Marruecos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Bélgica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Alemania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Croacia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México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Estados Unidos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Japón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Suiza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Irán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Turquía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República de Corea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Argelia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Egipto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Canadá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Noruega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Panamá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Costa de Marfil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Suecia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República Checa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Escocia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Túnez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RD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Uzbekistán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Katar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Irak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Sudáfrica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Arabia Saudita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Jordán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y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Cabo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Curazao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Haití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Nueva Zelanda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G9" zoomScaleNormal="100" workbookViewId="0">
      <selection activeCell="CA33" sqref="CA33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Copa Mundial de Fútbol - Brasil 2026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Spanish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Fase de grupos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Octavos de final</v>
      </c>
      <c r="BS6" s="134"/>
      <c r="BT6" s="134"/>
      <c r="BU6" s="134"/>
      <c r="BV6" s="135"/>
      <c r="BY6" s="133" t="str" cm="1">
        <f t="array" ref="BY6">INDEX(T,5,lang)</f>
        <v>Cuartos de Final</v>
      </c>
      <c r="BZ6" s="134"/>
      <c r="CA6" s="134"/>
      <c r="CB6" s="134"/>
      <c r="CC6" s="135"/>
      <c r="CF6" s="133" t="str" cm="1">
        <f t="array" ref="CF6">INDEX(T,6,lang)</f>
        <v>Semifinales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0.91666666666666663</v>
      </c>
      <c r="E7" s="77" t="str">
        <f>AE8</f>
        <v>México</v>
      </c>
      <c r="F7" s="14">
        <v>1</v>
      </c>
      <c r="G7" s="15">
        <v>1</v>
      </c>
      <c r="H7" s="79" t="str">
        <f>AE9</f>
        <v>Sudáfrica</v>
      </c>
      <c r="R7" s="123">
        <f>DATE(2026,6,11)+TIME(8,0,0)+gmt_delta</f>
        <v>46184.916666666672</v>
      </c>
      <c r="S7" s="127" t="str">
        <f t="shared" ref="S7:S46" si="1">IF(OR(F7="",G7=""),"",IF(F7&gt;G7,E7&amp;"_win",IF(F7&lt;G7,E7&amp;"_lose",E7&amp;"_draw")))</f>
        <v>México_draw</v>
      </c>
      <c r="T7" s="127" t="str">
        <f t="shared" ref="T7:T46" si="2">IF(S7="","",IF(F7&lt;G7,H7&amp;"_win",IF(F7&gt;G7,H7&amp;"_lose",H7&amp;"_draw")))</f>
        <v>Sudáfrica_draw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0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0.20833333333333334</v>
      </c>
      <c r="E8" s="78" t="str">
        <f>AE10</f>
        <v>República de Corea</v>
      </c>
      <c r="F8" s="19">
        <v>1</v>
      </c>
      <c r="G8" s="20">
        <v>0</v>
      </c>
      <c r="H8" s="80" t="str">
        <f>AE11</f>
        <v>República Checa</v>
      </c>
      <c r="J8" s="38" t="str" cm="1">
        <f t="array" ref="J8">INDEX(T,9,lang) &amp; " " &amp; "A"</f>
        <v>Grupo A</v>
      </c>
      <c r="K8" s="94" t="str" cm="1">
        <f t="array" ref="K8">INDEX(T,10,lang)</f>
        <v>J</v>
      </c>
      <c r="L8" s="94" t="str" cm="1">
        <f t="array" ref="L8">INDEX(T,11,lang)</f>
        <v>G</v>
      </c>
      <c r="M8" s="94" t="str" cm="1">
        <f t="array" ref="M8">INDEX(T,12,lang)</f>
        <v>DRAW</v>
      </c>
      <c r="N8" s="94" t="str" cm="1">
        <f t="array" ref="N8">INDEX(T,13,lang)</f>
        <v>P</v>
      </c>
      <c r="O8" s="94" t="str" cm="1">
        <f t="array" ref="O8">INDEX(T,14,lang)</f>
        <v>GF - GC</v>
      </c>
      <c r="P8" s="95" t="str" cm="1">
        <f t="array" ref="P8">INDEX(T,15,lang)</f>
        <v>PTS</v>
      </c>
      <c r="R8" s="123">
        <f>DATE(2026,6,11)+TIME(15,0,0)+gmt_delta</f>
        <v>46185.208333333336</v>
      </c>
      <c r="S8" s="127" t="str">
        <f t="shared" si="1"/>
        <v>República de Corea_win</v>
      </c>
      <c r="T8" s="127" t="str">
        <f t="shared" si="2"/>
        <v>República Checa_lose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3</v>
      </c>
      <c r="AE8" s="124" t="str">
        <f>VLOOKUP("Mexico",T,lang,FALSE)</f>
        <v>México</v>
      </c>
      <c r="AF8" s="123">
        <f>COUNTIF($S$7:$T$78,"=" &amp; AE8 &amp; "_win")</f>
        <v>0</v>
      </c>
      <c r="AG8" s="123">
        <f>COUNTIF($S$7:$T$78,"=" &amp; AE8 &amp; "_draw")</f>
        <v>3</v>
      </c>
      <c r="AH8" s="123">
        <f>COUNTIF($S$7:$T$78,"=" &amp; AE8 &amp; "_lose")</f>
        <v>0</v>
      </c>
      <c r="AI8" s="123">
        <f>SUMIF($E$7:$E$78,$AE8,$F$7:$F$78) + SUMIF($H$7:$H$78,$AE8,$G$7:$G$78)</f>
        <v>2</v>
      </c>
      <c r="AJ8" s="123">
        <f>SUMIF($E$7:$E$78,$AE8,$G$7:$G$78) + SUMIF($H$7:$H$78,$AE8,$F$7:$F$78)</f>
        <v>2</v>
      </c>
      <c r="AL8" s="123">
        <f>AI8-AJ8</f>
        <v>0</v>
      </c>
      <c r="AM8" s="123">
        <f>AL8-AL12</f>
        <v>1</v>
      </c>
      <c r="AN8" s="123">
        <f>AF8*3+AG8</f>
        <v>3</v>
      </c>
      <c r="AO8" s="123">
        <f>AN8/AN12*10+BA8</f>
        <v>5</v>
      </c>
      <c r="AP8" s="123">
        <f>AO8*10000000+BI8*100+AM8/AM12*10+AI8/AI12*1++IF(AQ8=0,ROW(),AQ8)/2000000</f>
        <v>50000003.734173849</v>
      </c>
      <c r="AQ8" s="126">
        <f>VLOOKUP(AE8,db_fifarank,2,FALSE)</f>
        <v>1681.03</v>
      </c>
      <c r="AR8" s="125">
        <f>AP8/AP12</f>
        <v>0.59999998384494069</v>
      </c>
      <c r="AS8" s="125" t="str">
        <f>IF(SUM(AF8:AH11)=12,J9,"1A")</f>
        <v>Sudáfrica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0.91666666666666663</v>
      </c>
      <c r="E9" s="78" t="str">
        <f>AE14</f>
        <v>Canadá</v>
      </c>
      <c r="F9" s="19">
        <v>2</v>
      </c>
      <c r="G9" s="20">
        <v>0</v>
      </c>
      <c r="H9" s="80" t="str">
        <f>AE15</f>
        <v>Bosnia y Herzegovina</v>
      </c>
      <c r="J9" s="30" t="str">
        <f>VLOOKUP(1,AD8:AN11,2,FALSE)</f>
        <v>Sudáfrica</v>
      </c>
      <c r="K9" s="31">
        <f>L9+M9+N9</f>
        <v>3</v>
      </c>
      <c r="L9" s="31">
        <f>VLOOKUP(1,AD8:AN11,3,FALSE)</f>
        <v>1</v>
      </c>
      <c r="M9" s="31">
        <f>VLOOKUP(1,AD8:AN11,4,FALSE)</f>
        <v>2</v>
      </c>
      <c r="N9" s="31">
        <f>VLOOKUP(1,AD8:AN11,5,FALSE)</f>
        <v>0</v>
      </c>
      <c r="O9" s="31" t="str">
        <f>VLOOKUP(1,AD8:AN11,6,FALSE) &amp; " - " &amp; VLOOKUP(1,AD8:AN11,7,FALSE)</f>
        <v>4 - 3</v>
      </c>
      <c r="P9" s="32">
        <f>L9*3+M9</f>
        <v>5</v>
      </c>
      <c r="R9" s="123">
        <f>DATE(2026,6,12)+TIME(8,0,0)+gmt_delta</f>
        <v>46185.916666666672</v>
      </c>
      <c r="S9" s="127" t="str">
        <f t="shared" si="1"/>
        <v>Canadá_win</v>
      </c>
      <c r="T9" s="127" t="str">
        <f t="shared" si="2"/>
        <v>Bosnia y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1</v>
      </c>
      <c r="AE9" s="124" t="str">
        <f>VLOOKUP("South Africa",T,lang,FALSE)</f>
        <v>Sudáfrica</v>
      </c>
      <c r="AF9" s="123">
        <f>COUNTIF($S$7:$T$78,"=" &amp; AE9 &amp; "_win")</f>
        <v>1</v>
      </c>
      <c r="AG9" s="123">
        <f>COUNTIF($S$7:$T$78,"=" &amp; AE9 &amp; "_draw")</f>
        <v>2</v>
      </c>
      <c r="AH9" s="123">
        <f>COUNTIF($S$7:$T$78,"=" &amp; AE9 &amp; "_lose")</f>
        <v>0</v>
      </c>
      <c r="AI9" s="123">
        <f>SUMIF($E$7:$E$78,$AE9,$F$7:$F$78) + SUMIF($H$7:$H$78,$AE9,$G$7:$G$78)</f>
        <v>4</v>
      </c>
      <c r="AJ9" s="123">
        <f>SUMIF($E$7:$E$78,$AE9,$G$7:$G$78) + SUMIF($H$7:$H$78,$AE9,$F$7:$F$78)</f>
        <v>3</v>
      </c>
      <c r="AL9" s="123">
        <f>AI9-AJ9</f>
        <v>1</v>
      </c>
      <c r="AM9" s="123">
        <f>AL9-AL12</f>
        <v>2</v>
      </c>
      <c r="AN9" s="123">
        <f>AF9*3+AG9</f>
        <v>5</v>
      </c>
      <c r="AO9" s="123">
        <f>AN9/AN12*10+BA9</f>
        <v>8.3333333333333339</v>
      </c>
      <c r="AP9" s="123">
        <f>AO9*10000000+BI9*100+AM9/AM12*10+AI9/AI12*1++IF(AQ9=0,ROW(),AQ9)/2000000</f>
        <v>83333340.80071488</v>
      </c>
      <c r="AQ9" s="126">
        <f>VLOOKUP(AE9,db_fifarank,2,FALSE)</f>
        <v>1429.73</v>
      </c>
      <c r="AR9" s="125">
        <f>AP9/AP12</f>
        <v>0.99999998800000123</v>
      </c>
      <c r="AS9" s="125" t="str">
        <f>IF(SUM(AF8:AH11)=12,J10,"2A")</f>
        <v>República de Corea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23:30</v>
      </c>
      <c r="BL9" s="21"/>
      <c r="BM9" s="21"/>
      <c r="BN9" s="21"/>
      <c r="BO9" s="110"/>
      <c r="BP9" s="112">
        <f>DATE(2026,6,29)+TIME(9,30,0)+gmt_delta</f>
        <v>46202.979166666672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0.16666666666666666</v>
      </c>
      <c r="E10" s="78" t="str">
        <f>AE26</f>
        <v>Estados Unidos</v>
      </c>
      <c r="F10" s="19">
        <v>0</v>
      </c>
      <c r="G10" s="20">
        <v>0</v>
      </c>
      <c r="H10" s="80" t="str">
        <f>AE27</f>
        <v>Paraguay</v>
      </c>
      <c r="J10" s="33" t="str">
        <f>VLOOKUP(2,AD8:AN11,2,FALSE)</f>
        <v>República de Corea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2 - 2</v>
      </c>
      <c r="P10" s="34">
        <f>L10*3+M10</f>
        <v>4</v>
      </c>
      <c r="R10" s="123">
        <f>DATE(2026,6,12)+TIME(14,0,0)+gmt_delta</f>
        <v>46186.166666666672</v>
      </c>
      <c r="S10" s="127" t="str">
        <f t="shared" si="1"/>
        <v>Estados Unidos_draw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2</v>
      </c>
      <c r="AE10" s="124" t="str">
        <f>VLOOKUP("Korea Republic",T,lang,FALSE)</f>
        <v>República de Corea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2</v>
      </c>
      <c r="AL10" s="123">
        <f>AI10-AJ10</f>
        <v>0</v>
      </c>
      <c r="AM10" s="123">
        <f>AL10-AL12</f>
        <v>1</v>
      </c>
      <c r="AN10" s="123">
        <f>AF10*3+AG10</f>
        <v>4</v>
      </c>
      <c r="AO10" s="123">
        <f>AN10/AN12*10+BA10</f>
        <v>6.6666666666666661</v>
      </c>
      <c r="AP10" s="123">
        <f>AO10*10000000+BI10*100+AM10/AM12*10+AI10/AI12*1++IF(AQ10=0,ROW(),AQ10)/2000000</f>
        <v>66666670.400794327</v>
      </c>
      <c r="AQ10" s="126">
        <f>VLOOKUP(AE10,db_fifarank,2,FALSE)</f>
        <v>1588.66</v>
      </c>
      <c r="AR10" s="125">
        <f>AP10/AP12</f>
        <v>0.79999996352267277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Alemania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0.16666666666666666</v>
      </c>
      <c r="E11" s="78" t="str">
        <f>AE22</f>
        <v>Haití</v>
      </c>
      <c r="F11" s="19">
        <v>0</v>
      </c>
      <c r="G11" s="20">
        <v>2</v>
      </c>
      <c r="H11" s="80" t="str">
        <f>AE23</f>
        <v>Escocia</v>
      </c>
      <c r="J11" s="33" t="str">
        <f>VLOOKUP(3,AD8:AN11,2,FALSE)</f>
        <v>México</v>
      </c>
      <c r="K11" s="23">
        <f>L11+M11+N11</f>
        <v>3</v>
      </c>
      <c r="L11" s="23">
        <f>VLOOKUP(3,AD8:AN11,3,FALSE)</f>
        <v>0</v>
      </c>
      <c r="M11" s="23">
        <f>VLOOKUP(3,AD8:AN11,4,FALSE)</f>
        <v>3</v>
      </c>
      <c r="N11" s="23">
        <f>VLOOKUP(3,AD8:AN11,5,FALSE)</f>
        <v>0</v>
      </c>
      <c r="O11" s="23" t="str">
        <f>VLOOKUP(3,AD8:AN11,6,FALSE) &amp; " - " &amp; VLOOKUP(3,AD8:AN11,7,FALSE)</f>
        <v>2 - 2</v>
      </c>
      <c r="P11" s="34">
        <f>L11*3+M11</f>
        <v>3</v>
      </c>
      <c r="R11" s="123">
        <f>DATE(2026,6,13)+TIME(14,0,0)+gmt_delta</f>
        <v>46187.166666666672</v>
      </c>
      <c r="S11" s="127" t="str">
        <f t="shared" si="1"/>
        <v>Haití_lose</v>
      </c>
      <c r="T11" s="127" t="str">
        <f t="shared" si="2"/>
        <v>Escocia_win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4</v>
      </c>
      <c r="AE11" s="124" t="str">
        <f>VLOOKUP("Czech Republic",T,lang,FALSE)</f>
        <v>República Checa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3</v>
      </c>
      <c r="AL11" s="123">
        <f>AI11-AJ11</f>
        <v>-1</v>
      </c>
      <c r="AM11" s="123">
        <f>AL11-AL12</f>
        <v>0</v>
      </c>
      <c r="AN11" s="123">
        <f>AF11*3+AG11</f>
        <v>2</v>
      </c>
      <c r="AO11" s="123">
        <f>AN11/AN12*10+BA11</f>
        <v>3.333333333333333</v>
      </c>
      <c r="AP11" s="123">
        <f>AO11*10000000+BI11*100+AM11/AM12*10+AI11/AI12*1++IF(AQ11=0,ROW(),AQ11)/2000000</f>
        <v>33333333.734084021</v>
      </c>
      <c r="AQ11" s="126">
        <f>VLOOKUP(AE11,db_fifarank,2,FALSE)</f>
        <v>1501.38</v>
      </c>
      <c r="AR11" s="125">
        <f>AP11/AP12</f>
        <v>0.39999996416558048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Estados Unidos</v>
      </c>
      <c r="BM11" s="62">
        <v>2</v>
      </c>
      <c r="BN11" s="64"/>
      <c r="BO11" s="27"/>
      <c r="BP11" s="113">
        <f>IF(BP10="","",BM11*1000+BN11*10+BO11)</f>
        <v>2000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5, 2026   00:00</v>
      </c>
      <c r="BS11" s="21"/>
      <c r="BT11" s="21"/>
      <c r="BU11" s="21"/>
      <c r="BV11" s="28"/>
      <c r="BW11" s="112">
        <f>DATE(2026,7,4)+TIME(10,0,0)+gmt_delta</f>
        <v>46208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0.29166666666666669</v>
      </c>
      <c r="E12" s="78" t="str">
        <f>AE28</f>
        <v>Australia</v>
      </c>
      <c r="F12" s="19">
        <v>0</v>
      </c>
      <c r="G12" s="20">
        <v>3</v>
      </c>
      <c r="H12" s="80" t="str">
        <f>AE29</f>
        <v>Turquía</v>
      </c>
      <c r="J12" s="35" t="str">
        <f>VLOOKUP(4,AD8:AN11,2,FALSE)</f>
        <v>República Checa</v>
      </c>
      <c r="K12" s="36">
        <f>L12+M12+N12</f>
        <v>3</v>
      </c>
      <c r="L12" s="36">
        <f>VLOOKUP(4,AD8:AN11,3,FALSE)</f>
        <v>0</v>
      </c>
      <c r="M12" s="36">
        <f>VLOOKUP(4,AD8:AN11,4,FALSE)</f>
        <v>2</v>
      </c>
      <c r="N12" s="36">
        <f>VLOOKUP(4,AD8:AN11,5,FALSE)</f>
        <v>1</v>
      </c>
      <c r="O12" s="36" t="str">
        <f>VLOOKUP(4,AD8:AN11,6,FALSE) &amp; " - " &amp; VLOOKUP(4,AD8:AN11,7,FALSE)</f>
        <v>2 - 3</v>
      </c>
      <c r="P12" s="37">
        <f>L12*3+M12</f>
        <v>2</v>
      </c>
      <c r="R12" s="123">
        <f>DATE(2026,6,13)+TIME(17,0,0)+gmt_delta</f>
        <v>46187.291666666672</v>
      </c>
      <c r="S12" s="127" t="str">
        <f t="shared" si="1"/>
        <v>Australia_lose</v>
      </c>
      <c r="T12" s="127" t="str">
        <f t="shared" si="2"/>
        <v>Turquía_win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2</v>
      </c>
      <c r="AG12" s="123">
        <f t="shared" si="12"/>
        <v>3</v>
      </c>
      <c r="AH12" s="123">
        <f t="shared" si="12"/>
        <v>2</v>
      </c>
      <c r="AI12" s="123">
        <f>MAX(AI8:AI11)+1</f>
        <v>5</v>
      </c>
      <c r="AL12" s="123">
        <f>MIN(AL8:AL11)</f>
        <v>-1</v>
      </c>
      <c r="AM12" s="123">
        <f>MAX(AM8:AM11)+1</f>
        <v>3</v>
      </c>
      <c r="AN12" s="123">
        <f>MAX(AN8:AN11)+1</f>
        <v>6</v>
      </c>
      <c r="AO12" s="123">
        <f>MAX(AO8:AO11)+1</f>
        <v>9.3333333333333339</v>
      </c>
      <c r="AP12" s="123">
        <f>MAX(AP8:AP11)+1</f>
        <v>83333341.80071488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Alemania</v>
      </c>
      <c r="BT12" s="61">
        <v>2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2000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4.1666666666666664E-2</v>
      </c>
      <c r="E13" s="78" t="str">
        <f>AE20</f>
        <v>Brasil</v>
      </c>
      <c r="F13" s="19">
        <v>2</v>
      </c>
      <c r="G13" s="20">
        <v>2</v>
      </c>
      <c r="H13" s="80" t="str">
        <f>AE21</f>
        <v>Marruecos</v>
      </c>
      <c r="R13" s="123">
        <f>DATE(2026,6,13)+TIME(11,0,0)+gmt_delta</f>
        <v>46187.041666666672</v>
      </c>
      <c r="S13" s="127" t="str">
        <f t="shared" si="1"/>
        <v>Brasil_draw</v>
      </c>
      <c r="T13" s="127" t="str">
        <f t="shared" si="2"/>
        <v>Marruecos_draw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Jul 1, 2026   00:00</v>
      </c>
      <c r="BL13" s="21"/>
      <c r="BM13" s="21"/>
      <c r="BN13" s="21"/>
      <c r="BO13" s="28"/>
      <c r="BP13" s="114">
        <f>DATE(2026,6,30)+TIME(10,0,0)+gmt_delta</f>
        <v>46204</v>
      </c>
      <c r="BQ13" s="115"/>
      <c r="BR13" s="132"/>
      <c r="BS13" s="26" t="str">
        <f>IF(BP14&gt;BP15,BL14,IF(BP14&lt;BP15,BL15,""))</f>
        <v>Francia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0.91666666666666663</v>
      </c>
      <c r="E14" s="78" t="str">
        <f>AE16</f>
        <v>Katar</v>
      </c>
      <c r="F14" s="19">
        <v>1</v>
      </c>
      <c r="G14" s="20">
        <v>2</v>
      </c>
      <c r="H14" s="80" t="str">
        <f>AE17</f>
        <v>Suiza</v>
      </c>
      <c r="J14" s="38" t="str" cm="1">
        <f t="array" ref="J14">INDEX(T,9,lang) &amp; " " &amp; "B"</f>
        <v>Grupo B</v>
      </c>
      <c r="K14" s="94" t="str" cm="1">
        <f t="array" ref="K14">INDEX(T,10,lang)</f>
        <v>J</v>
      </c>
      <c r="L14" s="94" t="str" cm="1">
        <f t="array" ref="L14">INDEX(T,11,lang)</f>
        <v>G</v>
      </c>
      <c r="M14" s="94" t="str" cm="1">
        <f t="array" ref="M14">INDEX(T,12,lang)</f>
        <v>DRAW</v>
      </c>
      <c r="N14" s="94" t="str" cm="1">
        <f t="array" ref="N14">INDEX(T,13,lang)</f>
        <v>P</v>
      </c>
      <c r="O14" s="94" t="str" cm="1">
        <f t="array" ref="O14">INDEX(T,14,lang)</f>
        <v>GF - GC</v>
      </c>
      <c r="P14" s="95" t="str" cm="1">
        <f t="array" ref="P14">INDEX(T,15,lang)</f>
        <v>PTS</v>
      </c>
      <c r="R14" s="123">
        <f>DATE(2026,6,13)+TIME(8,0,0)+gmt_delta</f>
        <v>46186.916666666672</v>
      </c>
      <c r="S14" s="127" t="str">
        <f t="shared" si="1"/>
        <v>Katar_lose</v>
      </c>
      <c r="T14" s="127" t="str">
        <f t="shared" si="2"/>
        <v>Suiza_win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Canadá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1</v>
      </c>
      <c r="AL14" s="123">
        <f>AI14-AJ14</f>
        <v>4</v>
      </c>
      <c r="AM14" s="123">
        <f>AL14-AL18</f>
        <v>9</v>
      </c>
      <c r="AN14" s="123">
        <f>AF14*3+AG14</f>
        <v>7</v>
      </c>
      <c r="AO14" s="123">
        <f>AN14/AN18*10+BA14</f>
        <v>8.75</v>
      </c>
      <c r="AP14" s="123">
        <f>AO14*10000000+BI14*100+AM14/AM18*10+AI14/AI18*1++IF(AQ14=0,ROW(),AQ14)/2000000</f>
        <v>87500009.834111571</v>
      </c>
      <c r="AQ14" s="126">
        <f>VLOOKUP(AE14,db_fifarank,2,FALSE)</f>
        <v>1556.48</v>
      </c>
      <c r="AR14" s="125">
        <f>AP14/AP18</f>
        <v>0.99999998857143002</v>
      </c>
      <c r="AS14" s="125" t="str">
        <f>IF(SUM(AF14:AH17)=12,J15,"1B")</f>
        <v>Canadá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Francia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8.3333333333333329E-2</v>
      </c>
      <c r="E15" s="78" t="str">
        <f>AE34</f>
        <v>Costa de Marfil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Canadá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5 - 1</v>
      </c>
      <c r="P15" s="32">
        <f>L15*3+M15</f>
        <v>7</v>
      </c>
      <c r="R15" s="123">
        <f>DATE(2026,6,14)+TIME(12,0,0)+gmt_delta</f>
        <v>46188.083333333336</v>
      </c>
      <c r="S15" s="127" t="str">
        <f t="shared" si="1"/>
        <v>Costa de Marfil_draw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y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4</v>
      </c>
      <c r="AL15" s="123">
        <f>AI15-AJ15</f>
        <v>0</v>
      </c>
      <c r="AM15" s="123">
        <f>AL15-AL18</f>
        <v>5</v>
      </c>
      <c r="AN15" s="123">
        <f>AF15*3+AG15</f>
        <v>4</v>
      </c>
      <c r="AO15" s="123">
        <f>AN15/AN18*10+BA15</f>
        <v>5</v>
      </c>
      <c r="AP15" s="123">
        <f>AO15*10000000+BI15*100+AM15/AM18*10+AI15/AI18*1++IF(AQ15=0,ROW(),AQ15)/2000000</f>
        <v>50000005.667359583</v>
      </c>
      <c r="AQ15" s="126">
        <f>VLOOKUP(AE15,db_fifarank,2,FALSE)</f>
        <v>1385.84</v>
      </c>
      <c r="AR15" s="125">
        <f>AP15/AP18</f>
        <v>0.5714285654450143</v>
      </c>
      <c r="AS15" s="125" t="str">
        <f>IF(SUM(AF14:AH17)=12,J16,"2B")</f>
        <v>Suiza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Japón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23:00</v>
      </c>
      <c r="BZ15" s="21"/>
      <c r="CA15" s="21"/>
      <c r="CB15" s="21"/>
      <c r="CC15" s="28"/>
      <c r="CD15" s="112">
        <f>DATE(2026,7,9)+TIME(9,0,0)+gmt_delta</f>
        <v>46212.958333333336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0.83333333333333337</v>
      </c>
      <c r="E16" s="78" t="str">
        <f>AE32</f>
        <v>Alemania</v>
      </c>
      <c r="F16" s="19">
        <v>6</v>
      </c>
      <c r="G16" s="20">
        <v>0</v>
      </c>
      <c r="H16" s="80" t="str">
        <f>AE33</f>
        <v>Curazao</v>
      </c>
      <c r="J16" s="33" t="str">
        <f>VLOOKUP(2,AD14:AN17,2,FALSE)</f>
        <v>Suiza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4 - 3</v>
      </c>
      <c r="P16" s="34">
        <f>L16*3+M16</f>
        <v>5</v>
      </c>
      <c r="R16" s="123">
        <f>DATE(2026,6,14)+TIME(6,0,0)+gmt_delta</f>
        <v>46187.833333333336</v>
      </c>
      <c r="S16" s="127" t="str">
        <f t="shared" si="1"/>
        <v>Alemania_win</v>
      </c>
      <c r="T16" s="127" t="str">
        <f t="shared" si="2"/>
        <v>Curazao_lose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Katar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7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0.33406081333333332</v>
      </c>
      <c r="AQ16" s="126">
        <f>VLOOKUP(AE16,db_fifarank,2,FALSE)</f>
        <v>1454.96</v>
      </c>
      <c r="AR16" s="125">
        <f>AP16/AP18</f>
        <v>3.8178373939480804E-9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Alemania</v>
      </c>
      <c r="CA16" s="61">
        <v>1</v>
      </c>
      <c r="CB16" s="63">
        <v>1</v>
      </c>
      <c r="CC16" s="25">
        <v>2</v>
      </c>
      <c r="CD16" s="112">
        <f>IF(OR(CA16="",CA17="",AND(CB16="",CB17&lt;&gt;""),AND(CB17="",CB16&lt;&gt;""),AND(CC16="",CC17&lt;&gt;""),AND(CC17="",CC16&lt;&gt;"")),"",CA16*1000+CB16*10+CC16)</f>
        <v>1012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0.95833333333333337</v>
      </c>
      <c r="E17" s="78" t="str">
        <f>AE38</f>
        <v>Países Bajos</v>
      </c>
      <c r="F17" s="19">
        <v>2</v>
      </c>
      <c r="G17" s="20">
        <v>1</v>
      </c>
      <c r="H17" s="80" t="str">
        <f>AE39</f>
        <v>Japón</v>
      </c>
      <c r="J17" s="33" t="str">
        <f>VLOOKUP(3,AD14:AN17,2,FALSE)</f>
        <v>Bosnia y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4 - 4</v>
      </c>
      <c r="P17" s="34">
        <f>L17*3+M17</f>
        <v>4</v>
      </c>
      <c r="R17" s="123">
        <f>DATE(2026,6,14)+TIME(9,0,0)+gmt_delta</f>
        <v>46187.958333333336</v>
      </c>
      <c r="S17" s="127" t="str">
        <f t="shared" si="1"/>
        <v>Países Bajos_win</v>
      </c>
      <c r="T17" s="127" t="str">
        <f t="shared" si="2"/>
        <v>Japón_lose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Suiza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3</v>
      </c>
      <c r="AL17" s="123">
        <f>AI17-AJ17</f>
        <v>1</v>
      </c>
      <c r="AM17" s="123">
        <f>AL17-AL18</f>
        <v>6</v>
      </c>
      <c r="AN17" s="123">
        <f>AF17*3+AG17</f>
        <v>5</v>
      </c>
      <c r="AO17" s="123">
        <f>AN17/AN18*10+BA17</f>
        <v>6.25</v>
      </c>
      <c r="AP17" s="123">
        <f>AO17*10000000+BI17*100+AM17/AM18*10+AI17/AI18*1++IF(AQ17=0,ROW(),AQ17)/2000000</f>
        <v>62500006.667491361</v>
      </c>
      <c r="AQ17" s="126">
        <f>VLOOKUP(AE17,db_fifarank,2,FALSE)</f>
        <v>1649.4</v>
      </c>
      <c r="AR17" s="125">
        <f>AP17/AP18</f>
        <v>0.71428570204388997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22:00</v>
      </c>
      <c r="BL17" s="21"/>
      <c r="BM17" s="21"/>
      <c r="BN17" s="21"/>
      <c r="BO17" s="28"/>
      <c r="BP17" s="112">
        <f>DATE(2026,6,28)+TIME(8,0,0)+gmt_delta</f>
        <v>46201.916666666672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Marruecos</v>
      </c>
      <c r="CA17" s="62">
        <v>1</v>
      </c>
      <c r="CB17" s="64">
        <v>1</v>
      </c>
      <c r="CC17" s="27">
        <v>3</v>
      </c>
      <c r="CD17" s="113">
        <f>IF(CD16="","",CA17*1000+CB17*10+CC17)</f>
        <v>1013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0.20833333333333334</v>
      </c>
      <c r="E18" s="78" t="str">
        <f>AE40</f>
        <v>Suecia</v>
      </c>
      <c r="F18" s="19">
        <v>2</v>
      </c>
      <c r="G18" s="20">
        <v>1</v>
      </c>
      <c r="H18" s="80" t="str">
        <f>AE41</f>
        <v>Túnez</v>
      </c>
      <c r="J18" s="35" t="str">
        <f>VLOOKUP(4,AD14:AN17,2,FALSE)</f>
        <v>Katar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2 - 7</v>
      </c>
      <c r="P18" s="37">
        <f>L18*3+M18</f>
        <v>0</v>
      </c>
      <c r="R18" s="123">
        <f>DATE(2026,6,14)+TIME(15,0,0)+gmt_delta</f>
        <v>46188.208333333336</v>
      </c>
      <c r="S18" s="127" t="str">
        <f t="shared" si="1"/>
        <v>Suecia_win</v>
      </c>
      <c r="T18" s="127" t="str">
        <f t="shared" si="2"/>
        <v>Túnez_lose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6</v>
      </c>
      <c r="AL18" s="123">
        <f>MIN(AL14:AL17)</f>
        <v>-5</v>
      </c>
      <c r="AM18" s="123">
        <f>MAX(AM14:AM17)+1</f>
        <v>10</v>
      </c>
      <c r="AN18" s="123">
        <f>MAX(AN14:AN17)+1</f>
        <v>8</v>
      </c>
      <c r="AO18" s="123">
        <f>MAX(AO14:AO17)+1</f>
        <v>9.75</v>
      </c>
      <c r="AP18" s="123">
        <f>MAX(AP14:AP17)+1</f>
        <v>87500010.834111571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República de Corea</v>
      </c>
      <c r="BM18" s="61">
        <v>1</v>
      </c>
      <c r="BN18" s="63">
        <v>1</v>
      </c>
      <c r="BO18" s="25"/>
      <c r="BP18" s="112">
        <f>IF(OR(BM18="",BM19="",AND(BN18="",BN19&lt;&gt;""),AND(BN19="",BN18&lt;&gt;""),AND(BO18="",BO19&lt;&gt;""),AND(BO19="",BO18&lt;&gt;"")),"",BM18*1000+BN18*10+BO18)</f>
        <v>1010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4.1666666666666664E-2</v>
      </c>
      <c r="E19" s="78" t="str">
        <f>AE52</f>
        <v>Arabia Saudita</v>
      </c>
      <c r="F19" s="19">
        <v>1</v>
      </c>
      <c r="G19" s="20">
        <v>2</v>
      </c>
      <c r="H19" s="80" t="str">
        <f>AE53</f>
        <v>Uruguay</v>
      </c>
      <c r="R19" s="123">
        <f>DATE(2026,6,15)+TIME(11,0,0)+gmt_delta</f>
        <v>46189.041666666672</v>
      </c>
      <c r="S19" s="127" t="str">
        <f t="shared" si="1"/>
        <v>Arabia Saudita_lose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Suiza</v>
      </c>
      <c r="BM19" s="62">
        <v>1</v>
      </c>
      <c r="BN19" s="64">
        <v>2</v>
      </c>
      <c r="BO19" s="27"/>
      <c r="BP19" s="113">
        <f>IF(BP18="","",BM19*1000+BN19*10+BO19)</f>
        <v>1020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20:00</v>
      </c>
      <c r="BS19" s="21"/>
      <c r="BT19" s="21"/>
      <c r="BU19" s="21"/>
      <c r="BV19" s="28"/>
      <c r="BW19" s="114">
        <f>DATE(2026,7,4)+TIME(6,0,0)+gmt_delta</f>
        <v>46207.833333333336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0.79166666666666663</v>
      </c>
      <c r="E20" s="78" t="str">
        <f>AE50</f>
        <v>España</v>
      </c>
      <c r="F20" s="19">
        <v>4</v>
      </c>
      <c r="G20" s="20">
        <v>0</v>
      </c>
      <c r="H20" s="80" t="str">
        <f>AE51</f>
        <v>Cabo Verde</v>
      </c>
      <c r="J20" s="38" t="str" cm="1">
        <f t="array" ref="J20">INDEX(T,9,lang) &amp; " " &amp; "C"</f>
        <v>Grupo C</v>
      </c>
      <c r="K20" s="94" t="str" cm="1">
        <f t="array" ref="K20">INDEX(T,10,lang)</f>
        <v>J</v>
      </c>
      <c r="L20" s="94" t="str" cm="1">
        <f t="array" ref="L20">INDEX(T,11,lang)</f>
        <v>G</v>
      </c>
      <c r="M20" s="94" t="str" cm="1">
        <f t="array" ref="M20">INDEX(T,12,lang)</f>
        <v>DRAW</v>
      </c>
      <c r="N20" s="94" t="str" cm="1">
        <f t="array" ref="N20">INDEX(T,13,lang)</f>
        <v>P</v>
      </c>
      <c r="O20" s="94" t="str" cm="1">
        <f t="array" ref="O20">INDEX(T,14,lang)</f>
        <v>GF - GC</v>
      </c>
      <c r="P20" s="95" t="str" cm="1">
        <f t="array" ref="P20">INDEX(T,15,lang)</f>
        <v>PTS</v>
      </c>
      <c r="R20" s="123">
        <f>DATE(2026,6,15)+TIME(5,0,0)+gmt_delta</f>
        <v>46188.791666666672</v>
      </c>
      <c r="S20" s="127" t="str">
        <f t="shared" si="1"/>
        <v>España_win</v>
      </c>
      <c r="T20" s="127" t="str">
        <f t="shared" si="2"/>
        <v>Cabo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Brasil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10</v>
      </c>
      <c r="AJ20" s="123">
        <f>SUMIF($E$7:$E$78,$AE20,$G$7:$G$78) + SUMIF($H$7:$H$78,$AE20,$F$7:$F$78)</f>
        <v>3</v>
      </c>
      <c r="AL20" s="123">
        <f>AI20-AJ20</f>
        <v>7</v>
      </c>
      <c r="AM20" s="123">
        <f>AL20-AL24</f>
        <v>17</v>
      </c>
      <c r="AN20" s="123">
        <f>AF20*3+AG20</f>
        <v>7</v>
      </c>
      <c r="AO20" s="123">
        <f>AN20/AN24*10+BA20</f>
        <v>9.7306451612903224</v>
      </c>
      <c r="AP20" s="123">
        <f>AO20*10000000+BI20*100+AM20/AM24*10+AI20/AI24*1++IF(AQ20=0,ROW(),AQ20)/2000000</f>
        <v>97306560.031835288</v>
      </c>
      <c r="AQ20" s="126">
        <f>VLOOKUP(AE20,db_fifarank,2,FALSE)</f>
        <v>1761.16</v>
      </c>
      <c r="AR20" s="125">
        <f>AP20/AP24</f>
        <v>0.9999999897232007</v>
      </c>
      <c r="AS20" s="125" t="str">
        <f>IF(SUM(AF20:AH23)=12,J21,"1C")</f>
        <v>Brasil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50.666666666666664</v>
      </c>
      <c r="BA20" s="126">
        <f>AZ20/AZ24</f>
        <v>0.98064516129032253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50.666666666666664</v>
      </c>
      <c r="BI20" s="126">
        <f>BH20/BH24</f>
        <v>0.98064516129032253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Suiza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0.16666666666666666</v>
      </c>
      <c r="E21" s="78" t="str">
        <f>AE46</f>
        <v>Irán</v>
      </c>
      <c r="F21" s="19">
        <v>1</v>
      </c>
      <c r="G21" s="20">
        <v>0</v>
      </c>
      <c r="H21" s="80" t="str">
        <f>AE47</f>
        <v>Nueva Zelanda</v>
      </c>
      <c r="J21" s="30" t="str">
        <f>VLOOKUP(1,AD20:AN23,2,FALSE)</f>
        <v>Brasil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10 - 3</v>
      </c>
      <c r="P21" s="32">
        <f>L21*3+M21</f>
        <v>7</v>
      </c>
      <c r="R21" s="123">
        <f>DATE(2026,6,15)+TIME(14,0,0)+gmt_delta</f>
        <v>46189.166666666672</v>
      </c>
      <c r="S21" s="127" t="str">
        <f t="shared" si="1"/>
        <v>Irán_win</v>
      </c>
      <c r="T21" s="127" t="str">
        <f t="shared" si="2"/>
        <v>Nueva Zelanda_lose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Marruecos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3</v>
      </c>
      <c r="AL21" s="123">
        <f>AI21-AJ21</f>
        <v>4</v>
      </c>
      <c r="AM21" s="123">
        <f>AL21-AL24</f>
        <v>14</v>
      </c>
      <c r="AN21" s="123">
        <f>AF21*3+AG21</f>
        <v>7</v>
      </c>
      <c r="AO21" s="123">
        <f>AN21/AN24*10+BA21</f>
        <v>9.7306451612903224</v>
      </c>
      <c r="AP21" s="123">
        <f>AO21*10000000+BI21*100+AM21/AM24*10+AI21/AI24*1++IF(AQ21=0,ROW(),AQ21)/2000000</f>
        <v>97306558.092438698</v>
      </c>
      <c r="AQ21" s="126">
        <f>VLOOKUP(AE21,db_fifarank,2,FALSE)</f>
        <v>1755.87</v>
      </c>
      <c r="AR21" s="125">
        <f>AP21/AP24</f>
        <v>0.99999996979241113</v>
      </c>
      <c r="AS21" s="125" t="str">
        <f>IF(SUM(AF20:AH23)=12,J22,"2C")</f>
        <v>Marruecos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04:00</v>
      </c>
      <c r="BL21" s="21"/>
      <c r="BM21" s="21"/>
      <c r="BN21" s="21"/>
      <c r="BO21" s="28"/>
      <c r="BP21" s="114">
        <f>DATE(2026,6,29)+TIME(14,0,0)+gmt_delta</f>
        <v>46203.166666666672</v>
      </c>
      <c r="BQ21" s="115"/>
      <c r="BR21" s="132"/>
      <c r="BS21" s="26" t="str">
        <f>IF(BP22&gt;BP23,BL22,IF(BP22&lt;BP23,BL23,""))</f>
        <v>Marruecos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0.91666666666666663</v>
      </c>
      <c r="E22" s="78" t="str">
        <f>AE44</f>
        <v>Bélgica</v>
      </c>
      <c r="F22" s="19">
        <v>3</v>
      </c>
      <c r="G22" s="20">
        <v>0</v>
      </c>
      <c r="H22" s="80" t="str">
        <f>AE45</f>
        <v>Egipto</v>
      </c>
      <c r="J22" s="33" t="str">
        <f>VLOOKUP(2,AD20:AN23,2,FALSE)</f>
        <v>Marruecos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7 - 3</v>
      </c>
      <c r="P22" s="34">
        <f>L22*3+M22</f>
        <v>7</v>
      </c>
      <c r="R22" s="123">
        <f>DATE(2026,6,15)+TIME(8,0,0)+gmt_delta</f>
        <v>46188.916666666672</v>
      </c>
      <c r="S22" s="127" t="str">
        <f t="shared" si="1"/>
        <v>Bélgica_win</v>
      </c>
      <c r="T22" s="127" t="str">
        <f t="shared" si="2"/>
        <v>Egipto_lose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Haití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10</v>
      </c>
      <c r="AL22" s="123">
        <f>AI22-AJ22</f>
        <v>-10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6.637322223202389E-12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Países Bajos</v>
      </c>
      <c r="BM22" s="61">
        <v>2</v>
      </c>
      <c r="BN22" s="63">
        <v>2</v>
      </c>
      <c r="BO22" s="25">
        <v>1</v>
      </c>
      <c r="BP22" s="116">
        <f>IF(OR(BM22="",BM23="",AND(BN22="",BN23&lt;&gt;""),AND(BN23="",BN22&lt;&gt;""),AND(BO22="",BO23&lt;&gt;""),AND(BO23="",BO22&lt;&gt;"")),"",BM22*1000+BN22*10+BO22)</f>
        <v>2021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22:00</v>
      </c>
      <c r="CG22" s="21"/>
      <c r="CH22" s="21"/>
      <c r="CI22" s="21"/>
      <c r="CJ22" s="28"/>
      <c r="CK22" s="111">
        <f>DATE(2026,7,14)+TIME(8,0,0)+gmt_delta</f>
        <v>46217.916666666672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0.91666666666666663</v>
      </c>
      <c r="E23" s="78" t="str">
        <f>AE56</f>
        <v>Francia</v>
      </c>
      <c r="F23" s="19">
        <v>2</v>
      </c>
      <c r="G23" s="20">
        <v>2</v>
      </c>
      <c r="H23" s="80" t="str">
        <f>AE57</f>
        <v>Senegal</v>
      </c>
      <c r="J23" s="33" t="str">
        <f>VLOOKUP(3,AD20:AN23,2,FALSE)</f>
        <v>Escocia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4 - 5</v>
      </c>
      <c r="P23" s="34">
        <f>L23*3+M23</f>
        <v>3</v>
      </c>
      <c r="R23" s="123">
        <f>DATE(2026,6,16)+TIME(8,0,0)+gmt_delta</f>
        <v>46189.916666666672</v>
      </c>
      <c r="S23" s="127" t="str">
        <f t="shared" si="1"/>
        <v>Francia_draw</v>
      </c>
      <c r="T23" s="127" t="str">
        <f t="shared" si="2"/>
        <v>Senegal_draw</v>
      </c>
      <c r="U23" s="123">
        <f t="shared" si="8"/>
        <v>1</v>
      </c>
      <c r="V23" s="123">
        <f t="shared" si="3"/>
        <v>2</v>
      </c>
      <c r="W23" s="123">
        <f t="shared" si="4"/>
        <v>2</v>
      </c>
      <c r="X23" s="123">
        <f t="shared" si="9"/>
        <v>1</v>
      </c>
      <c r="Y23" s="123">
        <f t="shared" si="10"/>
        <v>2</v>
      </c>
      <c r="Z23" s="123">
        <f t="shared" si="11"/>
        <v>2</v>
      </c>
      <c r="AA23" s="123">
        <f t="shared" si="5"/>
        <v>0</v>
      </c>
      <c r="AB23" s="123">
        <f t="shared" si="6"/>
        <v>0</v>
      </c>
      <c r="AD23" s="123">
        <f>COUNTIF(AR20:AR23,CONCATENATE("&gt;=",AR23))</f>
        <v>3</v>
      </c>
      <c r="AE23" s="124" t="str">
        <f>VLOOKUP("Scotland",T,lang,FALSE)</f>
        <v>Escocia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5</v>
      </c>
      <c r="AL23" s="123">
        <f>AI23-AJ23</f>
        <v>-1</v>
      </c>
      <c r="AM23" s="123">
        <f>AL23-AL24</f>
        <v>9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37500005.364385545</v>
      </c>
      <c r="AQ23" s="126">
        <f>VLOOKUP(AE23,db_fifarank,2,FALSE)</f>
        <v>1498.35</v>
      </c>
      <c r="AR23" s="125">
        <f>AP23/AP24</f>
        <v>0.38538002953487238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Marruecos</v>
      </c>
      <c r="BM23" s="62">
        <v>2</v>
      </c>
      <c r="BN23" s="64">
        <v>2</v>
      </c>
      <c r="BO23" s="27">
        <v>3</v>
      </c>
      <c r="BP23" s="112">
        <f>IF(BP22="","",BM23*1000+BN23*10+BO23)</f>
        <v>2023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Marruecos</v>
      </c>
      <c r="CH23" s="61">
        <v>2</v>
      </c>
      <c r="CI23" s="63">
        <v>2</v>
      </c>
      <c r="CJ23" s="25"/>
      <c r="CK23" s="112">
        <f>IF(OR(CH23="",CH24="",AND(CI23="",CI24&lt;&gt;""),AND(CI24="",CI23&lt;&gt;""),AND(CJ23="",CJ24&lt;&gt;""),AND(CJ24="",CJ23&lt;&gt;"")),"",CH23*1000+CI23*10+CJ23)</f>
        <v>2020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4.1666666666666664E-2</v>
      </c>
      <c r="E24" s="78" t="str">
        <f>AE58</f>
        <v>Irak</v>
      </c>
      <c r="F24" s="19">
        <v>0</v>
      </c>
      <c r="G24" s="20">
        <v>2</v>
      </c>
      <c r="H24" s="80" t="str">
        <f>AE59</f>
        <v>Noruega</v>
      </c>
      <c r="J24" s="35" t="str">
        <f>VLOOKUP(4,AD20:AN23,2,FALSE)</f>
        <v>Haití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0 - 10</v>
      </c>
      <c r="P24" s="37">
        <f>L24*3+M24</f>
        <v>0</v>
      </c>
      <c r="R24" s="123">
        <f>DATE(2026,6,16)+TIME(11,0,0)+gmt_delta</f>
        <v>46190.041666666672</v>
      </c>
      <c r="S24" s="127" t="str">
        <f t="shared" si="1"/>
        <v>Irak_lose</v>
      </c>
      <c r="T24" s="127" t="str">
        <f t="shared" si="2"/>
        <v>Noruega_win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11</v>
      </c>
      <c r="AL24" s="123">
        <f>MIN(AL20:AL23)</f>
        <v>-10</v>
      </c>
      <c r="AM24" s="123">
        <f>MAX(AM20:AM23)+1</f>
        <v>18</v>
      </c>
      <c r="AN24" s="123">
        <f>MAX(AN20:AN23)+1</f>
        <v>8</v>
      </c>
      <c r="AO24" s="123">
        <f>MAX(AO20:AO23)+1</f>
        <v>10.730645161290322</v>
      </c>
      <c r="AP24" s="123">
        <f>MAX(AP20:AP23)+1</f>
        <v>97306561.031835288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España</v>
      </c>
      <c r="CH24" s="62">
        <v>2</v>
      </c>
      <c r="CI24" s="64">
        <v>3</v>
      </c>
      <c r="CJ24" s="27"/>
      <c r="CK24" s="113">
        <f>IF(CK23="","",CH24*1000+CI24*10+CJ24)</f>
        <v>2030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0.16666666666666666</v>
      </c>
      <c r="E25" s="78" t="str">
        <f>AE62</f>
        <v>Argentina</v>
      </c>
      <c r="F25" s="19">
        <v>1</v>
      </c>
      <c r="G25" s="20">
        <v>0</v>
      </c>
      <c r="H25" s="80" t="str">
        <f>AE63</f>
        <v>Argelia</v>
      </c>
      <c r="R25" s="123">
        <f>DATE(2026,6,16)+TIME(14,0,0)+gmt_delta</f>
        <v>46190.166666666672</v>
      </c>
      <c r="S25" s="127" t="str">
        <f t="shared" si="1"/>
        <v>Argentina_win</v>
      </c>
      <c r="T25" s="127" t="str">
        <f t="shared" si="2"/>
        <v>Argelia_lose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02:00</v>
      </c>
      <c r="BL25" s="21"/>
      <c r="BM25" s="21"/>
      <c r="BN25" s="21"/>
      <c r="BO25" s="29"/>
      <c r="BP25" s="112">
        <f>DATE(2026,7,2)+TIME(12,0,0)+gmt_delta</f>
        <v>46206.083333333336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0.29166666666666669</v>
      </c>
      <c r="E26" s="78" t="str">
        <f>AE64</f>
        <v>Austria</v>
      </c>
      <c r="F26" s="19">
        <v>3</v>
      </c>
      <c r="G26" s="20">
        <v>0</v>
      </c>
      <c r="H26" s="80" t="str">
        <f>AE65</f>
        <v>Jordán</v>
      </c>
      <c r="J26" s="38" t="str" cm="1">
        <f t="array" ref="J26">INDEX(T,9,lang) &amp; " " &amp; "D"</f>
        <v>Grupo D</v>
      </c>
      <c r="K26" s="94" t="str" cm="1">
        <f t="array" ref="K26">INDEX(T,10,lang)</f>
        <v>J</v>
      </c>
      <c r="L26" s="94" t="str" cm="1">
        <f t="array" ref="L26">INDEX(T,11,lang)</f>
        <v>G</v>
      </c>
      <c r="M26" s="94" t="str" cm="1">
        <f t="array" ref="M26">INDEX(T,12,lang)</f>
        <v>DRAW</v>
      </c>
      <c r="N26" s="94" t="str" cm="1">
        <f t="array" ref="N26">INDEX(T,13,lang)</f>
        <v>P</v>
      </c>
      <c r="O26" s="94" t="str" cm="1">
        <f t="array" ref="O26">INDEX(T,14,lang)</f>
        <v>GF - GC</v>
      </c>
      <c r="P26" s="95" t="str" cm="1">
        <f t="array" ref="P26">INDEX(T,15,lang)</f>
        <v>PTS</v>
      </c>
      <c r="R26" s="123">
        <f>DATE(2026,6,16)+TIME(17,0,0)+gmt_delta</f>
        <v>46190.291666666672</v>
      </c>
      <c r="S26" s="127" t="str">
        <f t="shared" si="1"/>
        <v>Austria_win</v>
      </c>
      <c r="T26" s="127" t="str">
        <f t="shared" si="2"/>
        <v>Jordán_lose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Estados Unidos</v>
      </c>
      <c r="AF26" s="123">
        <f>COUNTIF($S$7:$T$78,"=" &amp; AE26 &amp; "_win")</f>
        <v>1</v>
      </c>
      <c r="AG26" s="123">
        <f>COUNTIF($S$7:$T$78,"=" &amp; AE26 &amp; "_draw")</f>
        <v>1</v>
      </c>
      <c r="AH26" s="123">
        <f>COUNTIF($S$7:$T$78,"=" &amp; AE26 &amp; "_lose")</f>
        <v>1</v>
      </c>
      <c r="AI26" s="123">
        <f>SUMIF($E$7:$E$78,$AE26,$F$7:$F$78) + SUMIF($H$7:$H$78,$AE26,$G$7:$G$78)</f>
        <v>2</v>
      </c>
      <c r="AJ26" s="123">
        <f>SUMIF($E$7:$E$78,$AE26,$G$7:$G$78) + SUMIF($H$7:$H$78,$AE26,$F$7:$F$78)</f>
        <v>2</v>
      </c>
      <c r="AL26" s="123">
        <f>AI26-AJ26</f>
        <v>0</v>
      </c>
      <c r="AM26" s="123">
        <f>AL26-AL30</f>
        <v>5</v>
      </c>
      <c r="AN26" s="123">
        <f>AF26*3+AG26</f>
        <v>4</v>
      </c>
      <c r="AO26" s="123">
        <f>AN26/AN30*10+BA26</f>
        <v>5</v>
      </c>
      <c r="AP26" s="123">
        <f>AO26*10000000+BI26*100+AM26/AM30*10+AI26/AI30*1++IF(AQ26=0,ROW(),AQ26)/2000000</f>
        <v>50000005.250836566</v>
      </c>
      <c r="AQ26" s="126">
        <f>VLOOKUP(AE26,db_fifarank,2,FALSE)</f>
        <v>1673.13</v>
      </c>
      <c r="AR26" s="125">
        <f>AP26/AP30</f>
        <v>0.57142856041250401</v>
      </c>
      <c r="AS26" s="125" t="str">
        <f>IF(SUM(AF26:AH29)=12,J27,"1D")</f>
        <v>Turquía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2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2000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8.3333333333333329E-2</v>
      </c>
      <c r="E27" s="78" t="str">
        <f>AE76</f>
        <v>Ghana</v>
      </c>
      <c r="F27" s="19">
        <v>1</v>
      </c>
      <c r="G27" s="20">
        <v>1</v>
      </c>
      <c r="H27" s="80" t="str">
        <f>AE77</f>
        <v>Panamá</v>
      </c>
      <c r="J27" s="30" t="str">
        <f>VLOOKUP(1,AD26:AN29,2,FALSE)</f>
        <v>Turquía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7 - 3</v>
      </c>
      <c r="P27" s="32">
        <f>L27*3+M27</f>
        <v>7</v>
      </c>
      <c r="R27" s="123">
        <f>DATE(2026,6,17)+TIME(12,0,0)+gmt_delta</f>
        <v>46191.083333333336</v>
      </c>
      <c r="S27" s="127" t="str">
        <f t="shared" si="1"/>
        <v>Ghana_draw</v>
      </c>
      <c r="T27" s="127" t="str">
        <f t="shared" si="2"/>
        <v>Panamá_draw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2</v>
      </c>
      <c r="AH27" s="123">
        <f>COUNTIF($S$7:$T$78,"=" &amp; AE27 &amp; "_lose")</f>
        <v>0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2</v>
      </c>
      <c r="AL27" s="123">
        <f>AI27-AJ27</f>
        <v>1</v>
      </c>
      <c r="AM27" s="123">
        <f>AL27-AL30</f>
        <v>6</v>
      </c>
      <c r="AN27" s="123">
        <f>AF27*3+AG27</f>
        <v>5</v>
      </c>
      <c r="AO27" s="123">
        <f>AN27/AN30*10+BA27</f>
        <v>6.25</v>
      </c>
      <c r="AP27" s="123">
        <f>AO27*10000000+BI27*100+AM27/AM30*10+AI27/AI30*1++IF(AQ27=0,ROW(),AQ27)/2000000</f>
        <v>62500006.375751749</v>
      </c>
      <c r="AQ27" s="126">
        <f>VLOOKUP(AE27,db_fifarank,2,FALSE)</f>
        <v>1503.5</v>
      </c>
      <c r="AR27" s="125">
        <f>AP27/AP30</f>
        <v>0.71428569836941358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Croacia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22:00</v>
      </c>
      <c r="BS27" s="21"/>
      <c r="BT27" s="21"/>
      <c r="BU27" s="21"/>
      <c r="BV27" s="28"/>
      <c r="BW27" s="112">
        <f>DATE(2026,7,6)+TIME(8,0,0)+gmt_delta</f>
        <v>46209.916666666672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0.95833333333333337</v>
      </c>
      <c r="E28" s="78" t="str">
        <f>AE74</f>
        <v>Inglaterra</v>
      </c>
      <c r="F28" s="19">
        <v>2</v>
      </c>
      <c r="G28" s="20">
        <v>1</v>
      </c>
      <c r="H28" s="80" t="str">
        <f>AE75</f>
        <v>Croacia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3 - 2</v>
      </c>
      <c r="P28" s="34">
        <f>L28*3+M28</f>
        <v>5</v>
      </c>
      <c r="R28" s="123">
        <f>DATE(2026,6,17)+TIME(9,0,0)+gmt_delta</f>
        <v>46190.958333333336</v>
      </c>
      <c r="S28" s="127" t="str">
        <f t="shared" si="1"/>
        <v>Inglaterra_win</v>
      </c>
      <c r="T28" s="127" t="str">
        <f t="shared" si="2"/>
        <v>Croacia_lose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0</v>
      </c>
      <c r="AJ28" s="123">
        <f>SUMIF($E$7:$E$78,$AE28,$G$7:$G$78) + SUMIF($H$7:$H$78,$AE28,$F$7:$F$78)</f>
        <v>5</v>
      </c>
      <c r="AL28" s="123">
        <f>AI28-AJ28</f>
        <v>-5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7.9033500000000008E-4</v>
      </c>
      <c r="AQ28" s="126">
        <f>VLOOKUP(AE28,db_fifarank,2,FALSE)</f>
        <v>1580.67</v>
      </c>
      <c r="AR28" s="125">
        <f>AP28/AP30</f>
        <v>9.0323988773193219E-12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1</v>
      </c>
      <c r="BU28" s="63">
        <v>1</v>
      </c>
      <c r="BV28" s="25"/>
      <c r="BW28" s="112">
        <f>IF(OR(BT28="",BT29="",AND(BU28="",BU29&lt;&gt;""),AND(BU29="",BU28&lt;&gt;""),AND(BV28="",BV29&lt;&gt;""),AND(BV29="",BV28&lt;&gt;"")),"",BT28*1000+BU28*10+BV28)</f>
        <v>1010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0.83333333333333337</v>
      </c>
      <c r="E29" s="78" t="str">
        <f>AE68</f>
        <v>Portugal</v>
      </c>
      <c r="F29" s="19">
        <v>3</v>
      </c>
      <c r="G29" s="20">
        <v>1</v>
      </c>
      <c r="H29" s="80" t="str">
        <f>AE69</f>
        <v>RD Congo</v>
      </c>
      <c r="J29" s="33" t="str">
        <f>VLOOKUP(3,AD26:AN29,2,FALSE)</f>
        <v>Estados Unidos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2 - 2</v>
      </c>
      <c r="P29" s="34">
        <f>L29*3+M29</f>
        <v>4</v>
      </c>
      <c r="R29" s="123">
        <f>DATE(2026,6,17)+TIME(6,0,0)+gmt_delta</f>
        <v>46190.833333333336</v>
      </c>
      <c r="S29" s="127" t="str">
        <f t="shared" si="1"/>
        <v>Portugal_win</v>
      </c>
      <c r="T29" s="127" t="str">
        <f t="shared" si="2"/>
        <v>RD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Turquía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7</v>
      </c>
      <c r="AJ29" s="123">
        <f>SUMIF($E$7:$E$78,$AE29,$G$7:$G$78) + SUMIF($H$7:$H$78,$AE29,$F$7:$F$78)</f>
        <v>3</v>
      </c>
      <c r="AL29" s="123">
        <f>AI29-AJ29</f>
        <v>4</v>
      </c>
      <c r="AM29" s="123">
        <f>AL29-AL30</f>
        <v>9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87500009.875799522</v>
      </c>
      <c r="AQ29" s="126">
        <f>VLOOKUP(AE29,db_fifarank,2,FALSE)</f>
        <v>1599.04</v>
      </c>
      <c r="AR29" s="125">
        <f>AP29/AP30</f>
        <v>0.99999998857143002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22:00</v>
      </c>
      <c r="BL29" s="21"/>
      <c r="BM29" s="21"/>
      <c r="BN29" s="21"/>
      <c r="BO29" s="28"/>
      <c r="BP29" s="114">
        <f>DATE(2026,7,2)+TIME(8,0,0)+gmt_delta</f>
        <v>46205.916666666672</v>
      </c>
      <c r="BQ29" s="115"/>
      <c r="BR29" s="132"/>
      <c r="BS29" s="26" t="str">
        <f>IF(BP30&gt;BP31,BL30,IF(BP30&lt;BP31,BL31,""))</f>
        <v>España</v>
      </c>
      <c r="BT29" s="62">
        <v>1</v>
      </c>
      <c r="BU29" s="64">
        <v>2</v>
      </c>
      <c r="BV29" s="27"/>
      <c r="BW29" s="113">
        <f>IF(BW28="","",BT29*1000+BU29*10+BV29)</f>
        <v>1020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0.20833333333333334</v>
      </c>
      <c r="E30" s="78" t="str">
        <f>AE70</f>
        <v>Uzbekistán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0 - 5</v>
      </c>
      <c r="P30" s="37">
        <f>L30*3+M30</f>
        <v>0</v>
      </c>
      <c r="R30" s="123">
        <f>DATE(2026,6,17)+TIME(15,0,0)+gmt_delta</f>
        <v>46191.208333333336</v>
      </c>
      <c r="S30" s="127" t="str">
        <f t="shared" si="1"/>
        <v>Uzbekistán_lose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4</v>
      </c>
      <c r="AI30" s="123">
        <f>MAX(AI26:AI29)+1</f>
        <v>8</v>
      </c>
      <c r="AL30" s="123">
        <f>MIN(AL26:AL29)</f>
        <v>-5</v>
      </c>
      <c r="AM30" s="123">
        <f>MAX(AM26:AM29)+1</f>
        <v>10</v>
      </c>
      <c r="AN30" s="123">
        <f>MAX(AN26:AN29)+1</f>
        <v>8</v>
      </c>
      <c r="AO30" s="123">
        <f>MAX(AO26:AO29)+1</f>
        <v>9.75</v>
      </c>
      <c r="AP30" s="123">
        <f>MAX(AP26:AP29)+1</f>
        <v>87500010.875799522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España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0.79166666666666663</v>
      </c>
      <c r="E31" s="78" t="str">
        <f>AE11</f>
        <v>República Checa</v>
      </c>
      <c r="F31" s="19">
        <v>1</v>
      </c>
      <c r="G31" s="20">
        <v>1</v>
      </c>
      <c r="H31" s="80" t="str">
        <f>AE9</f>
        <v>Sudáfrica</v>
      </c>
      <c r="R31" s="123">
        <f>DATE(2026,6,18)+TIME(5,0,0)+gmt_delta</f>
        <v>46191.791666666672</v>
      </c>
      <c r="S31" s="127" t="str">
        <f t="shared" si="1"/>
        <v>República Checa_draw</v>
      </c>
      <c r="T31" s="127" t="str">
        <f t="shared" si="2"/>
        <v>Sudáfrica_draw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22:00</v>
      </c>
      <c r="BZ31" s="21"/>
      <c r="CA31" s="21"/>
      <c r="CB31" s="21"/>
      <c r="CC31" s="28"/>
      <c r="CD31" s="114">
        <f>DATE(2026,7,10)+TIME(8,0,0)+gmt_delta</f>
        <v>46213.916666666672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0.91666666666666663</v>
      </c>
      <c r="E32" s="78" t="str">
        <f>AE17</f>
        <v>Suiza</v>
      </c>
      <c r="F32" s="19">
        <v>2</v>
      </c>
      <c r="G32" s="20">
        <v>2</v>
      </c>
      <c r="H32" s="80" t="str">
        <f>AE15</f>
        <v>Bosnia y Herzegovina</v>
      </c>
      <c r="J32" s="38" t="str" cm="1">
        <f t="array" ref="J32">INDEX(T,9,lang) &amp; " " &amp; "E"</f>
        <v>Grupo E</v>
      </c>
      <c r="K32" s="94" t="str" cm="1">
        <f t="array" ref="K32">INDEX(T,10,lang)</f>
        <v>J</v>
      </c>
      <c r="L32" s="94" t="str" cm="1">
        <f t="array" ref="L32">INDEX(T,11,lang)</f>
        <v>G</v>
      </c>
      <c r="M32" s="94" t="str" cm="1">
        <f t="array" ref="M32">INDEX(T,12,lang)</f>
        <v>DRAW</v>
      </c>
      <c r="N32" s="94" t="str" cm="1">
        <f t="array" ref="N32">INDEX(T,13,lang)</f>
        <v>P</v>
      </c>
      <c r="O32" s="94" t="str" cm="1">
        <f t="array" ref="O32">INDEX(T,14,lang)</f>
        <v>GF - GC</v>
      </c>
      <c r="P32" s="95" t="str" cm="1">
        <f t="array" ref="P32">INDEX(T,15,lang)</f>
        <v>PTS</v>
      </c>
      <c r="R32" s="123">
        <f>DATE(2026,6,18)+TIME(8,0,0)+gmt_delta</f>
        <v>46191.916666666672</v>
      </c>
      <c r="S32" s="127" t="str">
        <f t="shared" si="1"/>
        <v>Suiza_draw</v>
      </c>
      <c r="T32" s="127" t="str">
        <f t="shared" si="2"/>
        <v>Bosnia y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Alemania</v>
      </c>
      <c r="AF32" s="123">
        <f>COUNTIF($S$7:$T$78,"=" &amp; AE32 &amp; "_win")</f>
        <v>1</v>
      </c>
      <c r="AG32" s="123">
        <f>COUNTIF($S$7:$T$78,"=" &amp; AE32 &amp; "_draw")</f>
        <v>2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3</v>
      </c>
      <c r="AL32" s="123">
        <f>AI32-AJ32</f>
        <v>6</v>
      </c>
      <c r="AM32" s="123">
        <f>AL32-AL36</f>
        <v>17</v>
      </c>
      <c r="AN32" s="123">
        <f>AF32*3+AG32</f>
        <v>5</v>
      </c>
      <c r="AO32" s="123">
        <f>AN32/AN36*10+BA32</f>
        <v>9.3187170117742593</v>
      </c>
      <c r="AP32" s="123">
        <f>AO32*10000000+BI32*100+AM32/AM36*10+AI32/AI36*1++IF(AQ32=0,ROW(),AQ32)/2000000</f>
        <v>93187278.52756837</v>
      </c>
      <c r="AQ32" s="126">
        <f>VLOOKUP(AE32,db_fifarank,2,FALSE)</f>
        <v>1730.37</v>
      </c>
      <c r="AR32" s="125">
        <f>AP32/AP36</f>
        <v>0.99999998926892164</v>
      </c>
      <c r="AS32" s="125" t="str">
        <f>IF(SUM(AF32:AH35)=12,J33,"1E")</f>
        <v>Alemania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2</v>
      </c>
      <c r="AV32" s="126" cm="1">
        <f t="array" ref="AV32">SUMPRODUCT(($E$7:$E$78=AE32)*($U$7:$U$78)*($F$7:$F$78))+SUMPRODUCT(($H$7:$H$78=AE32)*($U$7:$U$78)*($G$7:$G$78))</f>
        <v>3</v>
      </c>
      <c r="AW32" s="126" cm="1">
        <f t="array" ref="AW32">SUMPRODUCT(($E$7:$E$78=AE32)*($U$7:$U$78)*($G$7:$G$78))+SUMPRODUCT(($H$7:$H$78=AE32)*($U$7:$U$78)*($F$7:$F$78))</f>
        <v>3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67.416666666666657</v>
      </c>
      <c r="BA32" s="126">
        <f>AZ32/AZ36</f>
        <v>0.98538367844092567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1</v>
      </c>
      <c r="BD32" s="126" cm="1">
        <f t="array" ref="BD32">SUMPRODUCT(($E$7:$E$78=AE32)*($X$7:$X$78)*($F$7:$F$78))+SUMPRODUCT(($H$7:$H$78=AE32)*($X$7:$X$78)*($G$7:$G$78))</f>
        <v>2</v>
      </c>
      <c r="BE32" s="126" cm="1">
        <f t="array" ref="BE32">SUMPRODUCT(($E$7:$E$78=AE32)*($X$7:$X$78)*($G$7:$G$78))+SUMPRODUCT(($H$7:$H$78=AE32)*($X$7:$X$78)*($F$7:$F$78))</f>
        <v>2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50.666666666666664</v>
      </c>
      <c r="BI32" s="126">
        <f>BH32/BH36</f>
        <v>0.98064516129032253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España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4.1666666666666664E-2</v>
      </c>
      <c r="E33" s="78" t="str">
        <f>AE14</f>
        <v>Canadá</v>
      </c>
      <c r="F33" s="19">
        <v>3</v>
      </c>
      <c r="G33" s="20">
        <v>1</v>
      </c>
      <c r="H33" s="80" t="str">
        <f>AE16</f>
        <v>Katar</v>
      </c>
      <c r="J33" s="30" t="str">
        <f>VLOOKUP(1,AD32:AN35,2,FALSE)</f>
        <v>Alemania</v>
      </c>
      <c r="K33" s="31">
        <f>L33+M33+N33</f>
        <v>3</v>
      </c>
      <c r="L33" s="31">
        <f>VLOOKUP(1,AD32:AN35,3,FALSE)</f>
        <v>1</v>
      </c>
      <c r="M33" s="31">
        <f>VLOOKUP(1,AD32:AN35,4,FALSE)</f>
        <v>2</v>
      </c>
      <c r="N33" s="31">
        <f>VLOOKUP(1,AD32:AN35,5,FALSE)</f>
        <v>0</v>
      </c>
      <c r="O33" s="31" t="str">
        <f>VLOOKUP(1,AD32:AN35,6,FALSE) &amp; " - " &amp; VLOOKUP(1,AD32:AN35,7,FALSE)</f>
        <v>9 - 3</v>
      </c>
      <c r="P33" s="32">
        <f>L33*3+M33</f>
        <v>5</v>
      </c>
      <c r="R33" s="123">
        <f>DATE(2026,6,18)+TIME(11,0,0)+gmt_delta</f>
        <v>46192.041666666672</v>
      </c>
      <c r="S33" s="127" t="str">
        <f t="shared" si="1"/>
        <v>Canadá_win</v>
      </c>
      <c r="T33" s="127" t="str">
        <f t="shared" si="2"/>
        <v>Katar_lose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Curazao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11</v>
      </c>
      <c r="AL33" s="123">
        <f>AI33-AJ33</f>
        <v>-11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6.9464953079620323E-12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03:00</v>
      </c>
      <c r="BL33" s="21"/>
      <c r="BM33" s="21"/>
      <c r="BN33" s="21"/>
      <c r="BO33" s="28"/>
      <c r="BP33" s="112">
        <f>DATE(2026,7,1)+TIME(13,0,0)+gmt_delta</f>
        <v>46205.125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Bélgica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0.16666666666666666</v>
      </c>
      <c r="E34" s="78" t="str">
        <f>AE8</f>
        <v>México</v>
      </c>
      <c r="F34" s="19">
        <v>0</v>
      </c>
      <c r="G34" s="20">
        <v>0</v>
      </c>
      <c r="H34" s="80" t="str">
        <f>AE10</f>
        <v>República de Corea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6 - 3</v>
      </c>
      <c r="P34" s="34">
        <f>L34*3+M34</f>
        <v>5</v>
      </c>
      <c r="R34" s="123">
        <f>DATE(2026,6,18)+TIME(14,0,0)+gmt_delta</f>
        <v>46192.166666666672</v>
      </c>
      <c r="S34" s="127" t="str">
        <f t="shared" si="1"/>
        <v>México_draw</v>
      </c>
      <c r="T34" s="127" t="str">
        <f t="shared" si="2"/>
        <v>República de Corea_draw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Costa de Marfil</v>
      </c>
      <c r="AF34" s="123">
        <f>COUNTIF($S$7:$T$78,"=" &amp; AE34 &amp; "_win")</f>
        <v>1</v>
      </c>
      <c r="AG34" s="123">
        <f>COUNTIF($S$7:$T$78,"=" &amp; AE34 &amp; "_draw")</f>
        <v>2</v>
      </c>
      <c r="AH34" s="123">
        <f>COUNTIF($S$7:$T$78,"=" &amp; AE34 &amp; "_lose")</f>
        <v>0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2</v>
      </c>
      <c r="AL34" s="123">
        <f>AI34-AJ34</f>
        <v>2</v>
      </c>
      <c r="AM34" s="123">
        <f>AL34-AL36</f>
        <v>13</v>
      </c>
      <c r="AN34" s="123">
        <f>AF34*3+AG34</f>
        <v>5</v>
      </c>
      <c r="AO34" s="123">
        <f>AN34/AN36*10+BA34</f>
        <v>9.3150629313844906</v>
      </c>
      <c r="AP34" s="123">
        <f>AO34*10000000+BI34*100+AM34/AM36*10+AI34/AI36*1++IF(AQ34=0,ROW(),AQ34)/2000000</f>
        <v>93150636.93683362</v>
      </c>
      <c r="AQ34" s="126">
        <f>VLOOKUP(AE34,db_fifarank,2,FALSE)</f>
        <v>1532.98</v>
      </c>
      <c r="AR34" s="125">
        <f>AP34/AP36</f>
        <v>0.99960678548702664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2</v>
      </c>
      <c r="AV34" s="126" cm="1">
        <f t="array" ref="AV34">SUMPRODUCT(($E$7:$E$78=AE34)*($U$7:$U$78)*($F$7:$F$78))+SUMPRODUCT(($H$7:$H$78=AE34)*($U$7:$U$78)*($G$7:$G$78))</f>
        <v>2</v>
      </c>
      <c r="AW34" s="126" cm="1">
        <f t="array" ref="AW34">SUMPRODUCT(($E$7:$E$78=AE34)*($U$7:$U$78)*($G$7:$G$78))+SUMPRODUCT(($H$7:$H$78=AE34)*($U$7:$U$78)*($F$7:$F$78))</f>
        <v>2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67.166666666666657</v>
      </c>
      <c r="BA34" s="126">
        <f>AZ34/AZ36</f>
        <v>0.98172959805115712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Turquía</v>
      </c>
      <c r="BM34" s="61">
        <v>3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3000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0.14583333333333334</v>
      </c>
      <c r="E35" s="78" t="str">
        <f>AE20</f>
        <v>Brasil</v>
      </c>
      <c r="F35" s="19">
        <v>5</v>
      </c>
      <c r="G35" s="20">
        <v>0</v>
      </c>
      <c r="H35" s="80" t="str">
        <f>AE22</f>
        <v>Haití</v>
      </c>
      <c r="J35" s="33" t="str">
        <f>VLOOKUP(3,AD32:AN35,2,FALSE)</f>
        <v>Costa de Marfil</v>
      </c>
      <c r="K35" s="23">
        <f>L35+M35+N35</f>
        <v>3</v>
      </c>
      <c r="L35" s="23">
        <f>VLOOKUP(3,AD32:AN35,3,FALSE)</f>
        <v>1</v>
      </c>
      <c r="M35" s="23">
        <f>VLOOKUP(3,AD32:AN35,4,FALSE)</f>
        <v>2</v>
      </c>
      <c r="N35" s="23">
        <f>VLOOKUP(3,AD32:AN35,5,FALSE)</f>
        <v>0</v>
      </c>
      <c r="O35" s="23" t="str">
        <f>VLOOKUP(3,AD32:AN35,6,FALSE) &amp; " - " &amp; VLOOKUP(3,AD32:AN35,7,FALSE)</f>
        <v>4 - 2</v>
      </c>
      <c r="P35" s="34">
        <f>L35*3+M35</f>
        <v>5</v>
      </c>
      <c r="R35" s="123">
        <f>DATE(2026,6,19)+TIME(13,30,0)+gmt_delta</f>
        <v>46193.145833333336</v>
      </c>
      <c r="S35" s="127" t="str">
        <f t="shared" si="1"/>
        <v>Brasil_win</v>
      </c>
      <c r="T35" s="127" t="str">
        <f t="shared" si="2"/>
        <v>Haití_lose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2</v>
      </c>
      <c r="AH35" s="123">
        <f>COUNTIF($S$7:$T$78,"=" &amp; AE35 &amp; "_lose")</f>
        <v>0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3</v>
      </c>
      <c r="AL35" s="123">
        <f>AI35-AJ35</f>
        <v>3</v>
      </c>
      <c r="AM35" s="123">
        <f>AL35-AL36</f>
        <v>14</v>
      </c>
      <c r="AN35" s="123">
        <f>AF35*3+AG35</f>
        <v>5</v>
      </c>
      <c r="AO35" s="123">
        <f>AN35/AN36*10+BA35</f>
        <v>9.3187170117742593</v>
      </c>
      <c r="AP35" s="123">
        <f>AO35*10000000+BI35*100+AM35/AM36*10+AI35/AI36*1++IF(AQ35=0,ROW(),AQ35)/2000000</f>
        <v>93187276.560833886</v>
      </c>
      <c r="AQ35" s="126">
        <f>VLOOKUP(AE35,db_fifarank,2,FALSE)</f>
        <v>1594.78</v>
      </c>
      <c r="AR35" s="125">
        <f>AP35/AP36</f>
        <v>0.99999996816373971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2</v>
      </c>
      <c r="AV35" s="126" cm="1">
        <f t="array" ref="AV35">SUMPRODUCT(($E$7:$E$78=AE35)*($U$7:$U$78)*($F$7:$F$78))+SUMPRODUCT(($H$7:$H$78=AE35)*($U$7:$U$78)*($G$7:$G$78))</f>
        <v>3</v>
      </c>
      <c r="AW35" s="126" cm="1">
        <f t="array" ref="AW35">SUMPRODUCT(($E$7:$E$78=AE35)*($U$7:$U$78)*($G$7:$G$78))+SUMPRODUCT(($H$7:$H$78=AE35)*($U$7:$U$78)*($F$7:$F$78))</f>
        <v>3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67.416666666666657</v>
      </c>
      <c r="BA35" s="126">
        <f>AZ35/AZ36</f>
        <v>0.98538367844092567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2</v>
      </c>
      <c r="BE35" s="126" cm="1">
        <f t="array" ref="BE35">SUMPRODUCT(($E$7:$E$78=AE35)*($X$7:$X$78)*($G$7:$G$78))+SUMPRODUCT(($H$7:$H$78=AE35)*($X$7:$X$78)*($F$7:$F$78))</f>
        <v>2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50.666666666666664</v>
      </c>
      <c r="BI35" s="126">
        <f>BH35/BH36</f>
        <v>0.98064516129032253</v>
      </c>
      <c r="BK35" s="132"/>
      <c r="BL35" s="26" t="str">
        <f>IF(group_round_completed,VLOOKUP('3rd places'!F3,AK80:AS91,9,FALSE),"3rd Group B/E/F/I/J")</f>
        <v>Bosnia y Herzegovina</v>
      </c>
      <c r="BM35" s="62">
        <v>2</v>
      </c>
      <c r="BN35" s="64"/>
      <c r="BO35" s="27"/>
      <c r="BP35" s="113">
        <f>IF(BP34="","",BM35*1000+BN35*10+BO35)</f>
        <v>2000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03:00</v>
      </c>
      <c r="BS35" s="21"/>
      <c r="BT35" s="21"/>
      <c r="BU35" s="21"/>
      <c r="BV35" s="28"/>
      <c r="BW35" s="114">
        <f>DATE(2026,7,6)+TIME(13,0,0)+gmt_delta</f>
        <v>46210.125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4.1666666666666664E-2</v>
      </c>
      <c r="E36" s="78" t="str">
        <f>AE23</f>
        <v>Escocia</v>
      </c>
      <c r="F36" s="19">
        <v>1</v>
      </c>
      <c r="G36" s="20">
        <v>2</v>
      </c>
      <c r="H36" s="80" t="str">
        <f>AE21</f>
        <v>Marruecos</v>
      </c>
      <c r="J36" s="35" t="str">
        <f>VLOOKUP(4,AD32:AN35,2,FALSE)</f>
        <v>Curazao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0 - 11</v>
      </c>
      <c r="P36" s="37">
        <f>L36*3+M36</f>
        <v>0</v>
      </c>
      <c r="R36" s="123">
        <f>DATE(2026,6,19)+TIME(11,0,0)+gmt_delta</f>
        <v>46193.041666666672</v>
      </c>
      <c r="S36" s="127" t="str">
        <f t="shared" si="1"/>
        <v>Escocia_lose</v>
      </c>
      <c r="T36" s="127" t="str">
        <f t="shared" si="2"/>
        <v>Marruecos_win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2</v>
      </c>
      <c r="AG36" s="123">
        <f t="shared" si="16"/>
        <v>3</v>
      </c>
      <c r="AH36" s="123">
        <f t="shared" si="16"/>
        <v>4</v>
      </c>
      <c r="AI36" s="123">
        <f>MAX(AI32:AI35)+1</f>
        <v>10</v>
      </c>
      <c r="AL36" s="123">
        <f>MIN(AL32:AL35)</f>
        <v>-11</v>
      </c>
      <c r="AM36" s="123">
        <f>MAX(AM32:AM35)+1</f>
        <v>18</v>
      </c>
      <c r="AN36" s="123">
        <f>MAX(AN32:AN35)+1</f>
        <v>6</v>
      </c>
      <c r="AO36" s="123">
        <f>MAX(AO32:AO35)+1</f>
        <v>10.318717011774259</v>
      </c>
      <c r="AP36" s="123">
        <f>MAX(AP32:AP35)+1</f>
        <v>93187279.52756837</v>
      </c>
      <c r="AT36" s="126">
        <f>MAX(AT32:AT35)-MIN(AT32:AT35)+1</f>
        <v>1</v>
      </c>
      <c r="AU36" s="126">
        <f>MAX(AU32:AU35)-MIN(AU32:AU35)+1</f>
        <v>3</v>
      </c>
      <c r="AV36" s="126">
        <f>MAX(AV32:AV35)-MIN(AV32:AV35)+1</f>
        <v>4</v>
      </c>
      <c r="AW36" s="126">
        <f>MAX(AW32:AW35)-MIN(AW32:AW35)+1</f>
        <v>4</v>
      </c>
      <c r="AY36" s="126">
        <f>MAX(AY32:AY35)-MIN(AY32:AY35)+1</f>
        <v>1</v>
      </c>
      <c r="AZ36" s="126">
        <f>MAX(AZ32:AZ35)+1</f>
        <v>68.416666666666657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3</v>
      </c>
      <c r="BE36" s="126">
        <f>MAX(BE32:BE35)-MIN(BE32:BE35)+1</f>
        <v>3</v>
      </c>
      <c r="BG36" s="126">
        <f>MAX(BG32:BG35)-MIN(BG32:BG35)+1</f>
        <v>1</v>
      </c>
      <c r="BH36" s="126">
        <f>MAX(BH32:BH35)+1</f>
        <v>51.666666666666664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Turquía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22:00</v>
      </c>
      <c r="CN36" s="21"/>
      <c r="CO36" s="21"/>
      <c r="CP36" s="21"/>
      <c r="CQ36" s="28"/>
      <c r="CR36" s="111">
        <f>DATE(2026,7,19)+TIME(8,0,0)+gmt_delta</f>
        <v>46222.916666666672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0.25</v>
      </c>
      <c r="E37" s="78" t="str">
        <f>AE26</f>
        <v>Estados Unidos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46193.25</v>
      </c>
      <c r="S37" s="127" t="str">
        <f t="shared" si="1"/>
        <v>Estados Unidos_win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23:00</v>
      </c>
      <c r="BL37" s="21"/>
      <c r="BM37" s="21"/>
      <c r="BN37" s="21"/>
      <c r="BO37" s="28"/>
      <c r="BP37" s="114">
        <f>DATE(2026,7,1)+TIME(9,0,0)+gmt_delta</f>
        <v>46204.958333333336</v>
      </c>
      <c r="BQ37" s="115"/>
      <c r="BR37" s="132"/>
      <c r="BS37" s="26" t="str">
        <f>IF(BP38&gt;BP39,BL38,IF(BP38&lt;BP39,BL39,""))</f>
        <v>Bélgica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España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0.91666666666666663</v>
      </c>
      <c r="E38" s="78" t="str">
        <f>AE29</f>
        <v>Turquía</v>
      </c>
      <c r="F38" s="19">
        <v>2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Grupo F</v>
      </c>
      <c r="K38" s="94" t="str" cm="1">
        <f t="array" ref="K38">INDEX(T,10,lang)</f>
        <v>J</v>
      </c>
      <c r="L38" s="94" t="str" cm="1">
        <f t="array" ref="L38">INDEX(T,11,lang)</f>
        <v>G</v>
      </c>
      <c r="M38" s="94" t="str" cm="1">
        <f t="array" ref="M38">INDEX(T,12,lang)</f>
        <v>DRAW</v>
      </c>
      <c r="N38" s="94" t="str" cm="1">
        <f t="array" ref="N38">INDEX(T,13,lang)</f>
        <v>P</v>
      </c>
      <c r="O38" s="94" t="str" cm="1">
        <f t="array" ref="O38">INDEX(T,14,lang)</f>
        <v>GF - GC</v>
      </c>
      <c r="P38" s="95" t="str" cm="1">
        <f t="array" ref="P38">INDEX(T,15,lang)</f>
        <v>PTS</v>
      </c>
      <c r="R38" s="123">
        <f>DATE(2026,6,19)+TIME(8,0,0)+gmt_delta</f>
        <v>46192.916666666672</v>
      </c>
      <c r="S38" s="127" t="str">
        <f t="shared" si="1"/>
        <v>Turquía_draw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Países Bajos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3</v>
      </c>
      <c r="AL38" s="123">
        <f>AI38-AJ38</f>
        <v>4</v>
      </c>
      <c r="AM38" s="123">
        <f>AL38-AL42</f>
        <v>9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87500009.87587893</v>
      </c>
      <c r="AQ38" s="126">
        <f>VLOOKUP(AE38,db_fifarank,2,FALSE)</f>
        <v>1757.87</v>
      </c>
      <c r="AR38" s="125">
        <f>AP38/AP42</f>
        <v>0.99999998857143002</v>
      </c>
      <c r="AS38" s="125" t="str">
        <f>IF(SUM(AF38:AH41)=12,J39,"1F")</f>
        <v>Países Bajos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Bélgica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Inglaterra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0.95833333333333337</v>
      </c>
      <c r="E39" s="78" t="str">
        <f>AE32</f>
        <v>Alemania</v>
      </c>
      <c r="F39" s="19">
        <v>1</v>
      </c>
      <c r="G39" s="20">
        <v>1</v>
      </c>
      <c r="H39" s="80" t="str">
        <f>AE34</f>
        <v>Costa de Marfil</v>
      </c>
      <c r="J39" s="30" t="str">
        <f>VLOOKUP(1,AD38:AN41,2,FALSE)</f>
        <v>Países Bajos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7 - 3</v>
      </c>
      <c r="P39" s="32">
        <f>L39*3+M39</f>
        <v>7</v>
      </c>
      <c r="R39" s="123">
        <f>DATE(2026,6,20)+TIME(9,0,0)+gmt_delta</f>
        <v>46193.958333333336</v>
      </c>
      <c r="S39" s="127" t="str">
        <f t="shared" si="1"/>
        <v>Alemania_draw</v>
      </c>
      <c r="T39" s="127" t="str">
        <f t="shared" si="2"/>
        <v>Costa de Marfil_draw</v>
      </c>
      <c r="U39" s="123">
        <f t="shared" si="8"/>
        <v>1</v>
      </c>
      <c r="V39" s="123">
        <f t="shared" si="3"/>
        <v>1</v>
      </c>
      <c r="W39" s="123">
        <f t="shared" si="4"/>
        <v>1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0</v>
      </c>
      <c r="AD39" s="123">
        <f>COUNTIF(AR38:AR41,CONCATENATE("&gt;=",AR39))</f>
        <v>3</v>
      </c>
      <c r="AE39" s="124" t="str">
        <f>VLOOKUP("Japan",T,lang,FALSE)</f>
        <v>Japón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2</v>
      </c>
      <c r="AL39" s="123">
        <f>AI39-AJ39</f>
        <v>0</v>
      </c>
      <c r="AM39" s="123">
        <f>AL39-AL42</f>
        <v>5</v>
      </c>
      <c r="AN39" s="123">
        <f>AF39*3+AG39</f>
        <v>4</v>
      </c>
      <c r="AO39" s="123">
        <f>AN39/AN42*10+BA39</f>
        <v>5</v>
      </c>
      <c r="AP39" s="123">
        <f>AO39*10000000+BI39*100+AM39/AM42*10+AI39/AI42*1++IF(AQ39=0,ROW(),AQ39)/2000000</f>
        <v>50000005.250830218</v>
      </c>
      <c r="AQ39" s="126">
        <f>VLOOKUP(AE39,db_fifarank,2,FALSE)</f>
        <v>1660.43</v>
      </c>
      <c r="AR39" s="125">
        <f>AP39/AP42</f>
        <v>0.57142856041191292</v>
      </c>
      <c r="AS39" s="125" t="str">
        <f>IF(SUM(AF38:AH41)=12,J40,"2F")</f>
        <v>Suecia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México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0.125</v>
      </c>
      <c r="E40" s="78" t="str">
        <f>AE35</f>
        <v>Ecuador</v>
      </c>
      <c r="F40" s="19">
        <v>3</v>
      </c>
      <c r="G40" s="20">
        <v>0</v>
      </c>
      <c r="H40" s="80" t="str">
        <f>AE33</f>
        <v>Curazao</v>
      </c>
      <c r="J40" s="33" t="str">
        <f>VLOOKUP(2,AD38:AN41,2,FALSE)</f>
        <v>Suecia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4 - 3</v>
      </c>
      <c r="P40" s="34">
        <f>L40*3+M40</f>
        <v>5</v>
      </c>
      <c r="R40" s="123">
        <f>DATE(2026,6,20)+TIME(13,0,0)+gmt_delta</f>
        <v>46194.125</v>
      </c>
      <c r="S40" s="127" t="str">
        <f t="shared" si="1"/>
        <v>Ecuador_win</v>
      </c>
      <c r="T40" s="127" t="str">
        <f t="shared" si="2"/>
        <v>Curazao_lose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Suecia</v>
      </c>
      <c r="AF40" s="123">
        <f>COUNTIF($S$7:$T$78,"=" &amp; AE40 &amp; "_win")</f>
        <v>1</v>
      </c>
      <c r="AG40" s="123">
        <f>COUNTIF($S$7:$T$78,"=" &amp; AE40 &amp; "_draw")</f>
        <v>2</v>
      </c>
      <c r="AH40" s="123">
        <f>COUNTIF($S$7:$T$78,"=" &amp; AE40 &amp; "_lose")</f>
        <v>0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3</v>
      </c>
      <c r="AL40" s="123">
        <f>AI40-AJ40</f>
        <v>1</v>
      </c>
      <c r="AM40" s="123">
        <f>AL40-AL42</f>
        <v>6</v>
      </c>
      <c r="AN40" s="123">
        <f>AF40*3+AG40</f>
        <v>5</v>
      </c>
      <c r="AO40" s="123">
        <f>AN40/AN42*10+BA40</f>
        <v>6.25</v>
      </c>
      <c r="AP40" s="123">
        <f>AO40*10000000+BI40*100+AM40/AM42*10+AI40/AI42*1++IF(AQ40=0,ROW(),AQ40)/2000000</f>
        <v>62500006.500757381</v>
      </c>
      <c r="AQ40" s="126">
        <f>VLOOKUP(AE40,db_fifarank,2,FALSE)</f>
        <v>1514.77</v>
      </c>
      <c r="AR40" s="125">
        <f>AP40/AP42</f>
        <v>0.71428569979740097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0.83333333333333337</v>
      </c>
      <c r="E41" s="78" t="str">
        <f>AE38</f>
        <v>Países Bajos</v>
      </c>
      <c r="F41" s="19">
        <v>2</v>
      </c>
      <c r="G41" s="20">
        <v>2</v>
      </c>
      <c r="H41" s="80" t="str">
        <f>AE40</f>
        <v>Suecia</v>
      </c>
      <c r="J41" s="33" t="str">
        <f>VLOOKUP(3,AD38:AN41,2,FALSE)</f>
        <v>Japón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2 - 2</v>
      </c>
      <c r="P41" s="34">
        <f>L41*3+M41</f>
        <v>4</v>
      </c>
      <c r="R41" s="123">
        <f>DATE(2026,6,20)+TIME(6,0,0)+gmt_delta</f>
        <v>46193.833333333336</v>
      </c>
      <c r="S41" s="127" t="str">
        <f t="shared" si="1"/>
        <v>Países Bajos_draw</v>
      </c>
      <c r="T41" s="127" t="str">
        <f t="shared" si="2"/>
        <v>Suecia_draw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Túnez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6</v>
      </c>
      <c r="AL41" s="123">
        <f>AI41-AJ41</f>
        <v>-5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0.12574152499999999</v>
      </c>
      <c r="AQ41" s="126">
        <f>VLOOKUP(AE41,db_fifarank,2,FALSE)</f>
        <v>1483.05</v>
      </c>
      <c r="AR41" s="125">
        <f>AP41/AP42</f>
        <v>1.4370458213812985E-9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20:00</v>
      </c>
      <c r="BL41" s="21"/>
      <c r="BM41" s="21"/>
      <c r="BN41" s="21"/>
      <c r="BO41" s="22"/>
      <c r="BP41" s="112">
        <f>DATE(2026,6,29)+TIME(6,0,0)+gmt_delta</f>
        <v>46202.833333333336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0.29166666666666669</v>
      </c>
      <c r="E42" s="78" t="str">
        <f>AE41</f>
        <v>Túnez</v>
      </c>
      <c r="F42" s="19">
        <v>0</v>
      </c>
      <c r="G42" s="20">
        <v>1</v>
      </c>
      <c r="H42" s="80" t="str">
        <f>AE39</f>
        <v>Japón</v>
      </c>
      <c r="J42" s="35" t="str">
        <f>VLOOKUP(4,AD38:AN41,2,FALSE)</f>
        <v>Túnez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1 - 6</v>
      </c>
      <c r="P42" s="37">
        <f>L42*3+M42</f>
        <v>0</v>
      </c>
      <c r="R42" s="123">
        <f>DATE(2026,6,20)+TIME(17,0,0)+gmt_delta</f>
        <v>46194.291666666672</v>
      </c>
      <c r="S42" s="127" t="str">
        <f t="shared" si="1"/>
        <v>Túnez_lose</v>
      </c>
      <c r="T42" s="127" t="str">
        <f t="shared" si="2"/>
        <v>Japón_win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4</v>
      </c>
      <c r="AI42" s="123">
        <f>MAX(AI38:AI41)+1</f>
        <v>8</v>
      </c>
      <c r="AL42" s="123">
        <f>MIN(AL38:AL41)</f>
        <v>-5</v>
      </c>
      <c r="AM42" s="123">
        <f>MAX(AM38:AM41)+1</f>
        <v>10</v>
      </c>
      <c r="AN42" s="123">
        <f>MAX(AN38:AN41)+1</f>
        <v>8</v>
      </c>
      <c r="AO42" s="123">
        <f>MAX(AO38:AO41)+1</f>
        <v>9.75</v>
      </c>
      <c r="AP42" s="123">
        <f>MAX(AP38:AP41)+1</f>
        <v>87500010.87587893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Brasil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4.1666666666666664E-2</v>
      </c>
      <c r="E43" s="78" t="str">
        <f>AE53</f>
        <v>Uruguay</v>
      </c>
      <c r="F43" s="19">
        <v>2</v>
      </c>
      <c r="G43" s="20">
        <v>0</v>
      </c>
      <c r="H43" s="80" t="str">
        <f>AE51</f>
        <v>Cabo Verde</v>
      </c>
      <c r="R43" s="123">
        <f>DATE(2026,6,21)+TIME(11,0,0)+gmt_delta</f>
        <v>46195.041666666672</v>
      </c>
      <c r="S43" s="127" t="str">
        <f t="shared" si="1"/>
        <v>Uruguay_win</v>
      </c>
      <c r="T43" s="127" t="str">
        <f t="shared" si="2"/>
        <v>Cabo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Suecia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23:00</v>
      </c>
      <c r="BS43" s="21"/>
      <c r="BT43" s="21"/>
      <c r="BU43" s="21"/>
      <c r="BV43" s="28"/>
      <c r="BW43" s="112">
        <f>DATE(2026,7,5)+TIME(9,0,0)+gmt_delta</f>
        <v>46208.958333333336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0.79166666666666663</v>
      </c>
      <c r="E44" s="78" t="str">
        <f>AE50</f>
        <v>España</v>
      </c>
      <c r="F44" s="19">
        <v>3</v>
      </c>
      <c r="G44" s="20">
        <v>1</v>
      </c>
      <c r="H44" s="80" t="str">
        <f>AE52</f>
        <v>Arabia Saudita</v>
      </c>
      <c r="J44" s="38" t="str" cm="1">
        <f t="array" ref="J44">INDEX(T,9,lang) &amp; " " &amp; "G"</f>
        <v>Grupo G</v>
      </c>
      <c r="K44" s="94" t="str" cm="1">
        <f t="array" ref="K44">INDEX(T,10,lang)</f>
        <v>J</v>
      </c>
      <c r="L44" s="94" t="str" cm="1">
        <f t="array" ref="L44">INDEX(T,11,lang)</f>
        <v>G</v>
      </c>
      <c r="M44" s="94" t="str" cm="1">
        <f t="array" ref="M44">INDEX(T,12,lang)</f>
        <v>DRAW</v>
      </c>
      <c r="N44" s="94" t="str" cm="1">
        <f t="array" ref="N44">INDEX(T,13,lang)</f>
        <v>P</v>
      </c>
      <c r="O44" s="94" t="str" cm="1">
        <f t="array" ref="O44">INDEX(T,14,lang)</f>
        <v>GF - GC</v>
      </c>
      <c r="P44" s="95" t="str" cm="1">
        <f t="array" ref="P44">INDEX(T,15,lang)</f>
        <v>PTS</v>
      </c>
      <c r="R44" s="123">
        <f>DATE(2026,6,21)+TIME(5,0,0)+gmt_delta</f>
        <v>46194.791666666672</v>
      </c>
      <c r="S44" s="127" t="str">
        <f t="shared" si="1"/>
        <v>España_win</v>
      </c>
      <c r="T44" s="127" t="str">
        <f t="shared" si="2"/>
        <v>Arabia Saudita_lose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Bélgica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1</v>
      </c>
      <c r="AL44" s="123">
        <f>AI44-AJ44</f>
        <v>5</v>
      </c>
      <c r="AM44" s="123">
        <f>AL44-AL48</f>
        <v>10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87500009.948919296</v>
      </c>
      <c r="AQ44" s="126">
        <f>VLOOKUP(AE44,db_fifarank,2,FALSE)</f>
        <v>1734.71</v>
      </c>
      <c r="AR44" s="125">
        <f>AP44/AP48</f>
        <v>0.99999998857143002</v>
      </c>
      <c r="AS44" s="125" t="str">
        <f>IF(SUM(AF44:AH47)=12,J45,"1G")</f>
        <v>Bélgica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Brasil</v>
      </c>
      <c r="BT44" s="61">
        <v>2</v>
      </c>
      <c r="BU44" s="63">
        <v>2</v>
      </c>
      <c r="BV44" s="25">
        <v>3</v>
      </c>
      <c r="BW44" s="112">
        <f>IF(OR(BT44="",BT45="",AND(BU44="",BU45&lt;&gt;""),AND(BU45="",BU44&lt;&gt;""),AND(BV44="",BV45&lt;&gt;""),AND(BV45="",BV44&lt;&gt;"")),"",BT44*1000+BU44*10+BV44)</f>
        <v>2023</v>
      </c>
      <c r="CK44" s="114"/>
      <c r="CM44" s="133" t="str" cm="1">
        <f t="array" ref="CM44">INDEX(T,7,lang)</f>
        <v>Tercer puesto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0.91666666666666663</v>
      </c>
      <c r="E45" s="78" t="str">
        <f>AE44</f>
        <v>Bélgica</v>
      </c>
      <c r="F45" s="19">
        <v>1</v>
      </c>
      <c r="G45" s="20">
        <v>1</v>
      </c>
      <c r="H45" s="80" t="str">
        <f>AE46</f>
        <v>Irán</v>
      </c>
      <c r="J45" s="30" t="str">
        <f>VLOOKUP(1,AD44:AN47,2,FALSE)</f>
        <v>Bélgica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7</v>
      </c>
      <c r="R45" s="123">
        <f>DATE(2026,6,21)+TIME(8,0,0)+gmt_delta</f>
        <v>46194.916666666672</v>
      </c>
      <c r="S45" s="127" t="str">
        <f t="shared" si="1"/>
        <v>Bélgica_draw</v>
      </c>
      <c r="T45" s="127" t="str">
        <f t="shared" si="2"/>
        <v>Irán_draw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3</v>
      </c>
      <c r="AE45" s="124" t="str">
        <f>VLOOKUP("Egypt",T,lang,FALSE)</f>
        <v>Egipto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4</v>
      </c>
      <c r="AL45" s="123">
        <f>AI45-AJ45</f>
        <v>-1</v>
      </c>
      <c r="AM45" s="123">
        <f>AL45-AL48</f>
        <v>4</v>
      </c>
      <c r="AN45" s="123">
        <f>AF45*3+AG45</f>
        <v>4</v>
      </c>
      <c r="AO45" s="123">
        <f>AN45/AN48*10+BA45</f>
        <v>5</v>
      </c>
      <c r="AP45" s="123">
        <f>AO45*10000000+BI45*100+AM45/AM48*10+AI45/AI48*1++IF(AQ45=0,ROW(),AQ45)/2000000</f>
        <v>50000004.065716676</v>
      </c>
      <c r="AQ45" s="126">
        <f>VLOOKUP(AE45,db_fifarank,2,FALSE)</f>
        <v>1563.24</v>
      </c>
      <c r="AR45" s="125">
        <f>AP45/AP48</f>
        <v>0.57142854639076157</v>
      </c>
      <c r="AS45" s="125" t="str">
        <f>IF(SUM(AF44:AH47)=12,J46,"2G")</f>
        <v>Irán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20:00</v>
      </c>
      <c r="BL45" s="21"/>
      <c r="BM45" s="21"/>
      <c r="BN45" s="21"/>
      <c r="BO45" s="28"/>
      <c r="BP45" s="114">
        <f>DATE(2026,6,30)+TIME(6,0,0)+gmt_delta</f>
        <v>46203.833333333336</v>
      </c>
      <c r="BQ45" s="115"/>
      <c r="BR45" s="132"/>
      <c r="BS45" s="26" t="str">
        <f>IF(BP46&gt;BP47,BL46,IF(BP46&lt;BP47,BL47,""))</f>
        <v>Ecuador</v>
      </c>
      <c r="BT45" s="62">
        <v>2</v>
      </c>
      <c r="BU45" s="64">
        <v>2</v>
      </c>
      <c r="BV45" s="27">
        <v>2</v>
      </c>
      <c r="BW45" s="113">
        <f>IF(BW44="","",BT45*1000+BU45*10+BV45)</f>
        <v>2022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0.16666666666666666</v>
      </c>
      <c r="E46" s="78" t="str">
        <f>AE47</f>
        <v>Nueva Zelanda</v>
      </c>
      <c r="F46" s="19">
        <v>0</v>
      </c>
      <c r="G46" s="20">
        <v>2</v>
      </c>
      <c r="H46" s="80" t="str">
        <f>AE45</f>
        <v>Egipto</v>
      </c>
      <c r="J46" s="33" t="str">
        <f>VLOOKUP(2,AD44:AN47,2,FALSE)</f>
        <v>Irán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3 - 2</v>
      </c>
      <c r="P46" s="34">
        <f>L46*3+M46</f>
        <v>5</v>
      </c>
      <c r="R46" s="123">
        <f>DATE(2026,6,21)+TIME(14,0,0)+gmt_delta</f>
        <v>46195.166666666672</v>
      </c>
      <c r="S46" s="127" t="str">
        <f t="shared" si="1"/>
        <v>Nueva Zelanda_lose</v>
      </c>
      <c r="T46" s="127" t="str">
        <f t="shared" si="2"/>
        <v>Egipto_win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2</v>
      </c>
      <c r="AE46" s="124" t="str">
        <f>VLOOKUP("Iran",T,lang,FALSE)</f>
        <v>Irán</v>
      </c>
      <c r="AF46" s="123">
        <f>COUNTIF($S$7:$T$78,"=" &amp; AE46 &amp; "_win")</f>
        <v>1</v>
      </c>
      <c r="AG46" s="123">
        <f>COUNTIF($S$7:$T$78,"=" &amp; AE46 &amp; "_draw")</f>
        <v>2</v>
      </c>
      <c r="AH46" s="123">
        <f>COUNTIF($S$7:$T$78,"=" &amp; AE46 &amp; "_lose")</f>
        <v>0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2</v>
      </c>
      <c r="AL46" s="123">
        <f>AI46-AJ46</f>
        <v>1</v>
      </c>
      <c r="AM46" s="123">
        <f>AL46-AL48</f>
        <v>6</v>
      </c>
      <c r="AN46" s="123">
        <f>AF46*3+AG46</f>
        <v>5</v>
      </c>
      <c r="AO46" s="123">
        <f>AN46/AN48*10+BA46</f>
        <v>6.25</v>
      </c>
      <c r="AP46" s="123">
        <f>AO46*10000000+BI46*100+AM46/AM48*10+AI46/AI48*1++IF(AQ46=0,ROW(),AQ46)/2000000</f>
        <v>62500005.883924529</v>
      </c>
      <c r="AQ46" s="126">
        <f>VLOOKUP(AE46,db_fifarank,2,FALSE)</f>
        <v>1615.3</v>
      </c>
      <c r="AR46" s="125">
        <f>AP46/AP48</f>
        <v>0.71428569215163573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2</v>
      </c>
      <c r="BN46" s="63">
        <v>3</v>
      </c>
      <c r="BO46" s="25">
        <v>4</v>
      </c>
      <c r="BP46" s="116">
        <f>IF(OR(BM46="",BM47="",AND(BN46="",BN47&lt;&gt;""),AND(BN47="",BN46&lt;&gt;""),AND(BO46="",BO47&lt;&gt;""),AND(BO47="",BO46&lt;&gt;"")),"",BM46*1000+BN46*10+BO46)</f>
        <v>2034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0.125</v>
      </c>
      <c r="E47" s="78" t="str">
        <f>AE59</f>
        <v>Noruega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Egipto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3 - 4</v>
      </c>
      <c r="P47" s="34">
        <f>L47*3+M47</f>
        <v>4</v>
      </c>
      <c r="R47" s="123">
        <f>DATE(2026,6,22)+TIME(13,0,0)+gmt_delta</f>
        <v>46196.125</v>
      </c>
      <c r="S47" s="127" t="str">
        <f t="shared" ref="S47:S78" si="19">IF(OR(F47="",G47=""),"",IF(F47&gt;G47,E47&amp;"_win",IF(F47&lt;G47,E47&amp;"_lose",E47&amp;"_draw")))</f>
        <v>Noruega_lose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Nueva Zelanda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5</v>
      </c>
      <c r="AL47" s="123">
        <f>AI47-AJ47</f>
        <v>-5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7.3232562264943828E-12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2</v>
      </c>
      <c r="BN47" s="64">
        <v>3</v>
      </c>
      <c r="BO47" s="27">
        <v>2</v>
      </c>
      <c r="BP47" s="112">
        <f>IF(BP46="","",BM47*1000+BN47*10+BO47)</f>
        <v>2032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12, 2026   00:00</v>
      </c>
      <c r="BZ47" s="21"/>
      <c r="CA47" s="21"/>
      <c r="CB47" s="21"/>
      <c r="CC47" s="28"/>
      <c r="CD47" s="112">
        <f>DATE(2026,7,11)+TIME(10,0,0)+gmt_delta</f>
        <v>46215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19, 2026   00:00</v>
      </c>
      <c r="CN47" s="21"/>
      <c r="CO47" s="21"/>
      <c r="CP47" s="21"/>
      <c r="CQ47" s="28"/>
      <c r="CR47" s="111">
        <f>DATE(2026,7,18)+TIME(10,0,0)+gmt_delta</f>
        <v>46222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0.95833333333333337</v>
      </c>
      <c r="E48" s="78" t="str">
        <f>AE56</f>
        <v>Francia</v>
      </c>
      <c r="F48" s="19">
        <v>4</v>
      </c>
      <c r="G48" s="20">
        <v>0</v>
      </c>
      <c r="H48" s="80" t="str">
        <f>AE58</f>
        <v>Irak</v>
      </c>
      <c r="J48" s="35" t="str">
        <f>VLOOKUP(4,AD44:AN47,2,FALSE)</f>
        <v>Nueva Zelanda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0 - 5</v>
      </c>
      <c r="P48" s="37">
        <f>L48*3+M48</f>
        <v>0</v>
      </c>
      <c r="R48" s="123">
        <f>DATE(2026,6,22)+TIME(105,0,0)+gmt_delta</f>
        <v>46195.958333333336</v>
      </c>
      <c r="S48" s="127" t="str">
        <f t="shared" si="19"/>
        <v>Francia_win</v>
      </c>
      <c r="T48" s="127" t="str">
        <f t="shared" si="20"/>
        <v>Irak_lose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3</v>
      </c>
      <c r="AH48" s="123">
        <f t="shared" si="24"/>
        <v>4</v>
      </c>
      <c r="AI48" s="123">
        <f>MAX(AI44:AI47)+1</f>
        <v>7</v>
      </c>
      <c r="AL48" s="123">
        <f>MIN(AL44:AL47)</f>
        <v>-5</v>
      </c>
      <c r="AM48" s="123">
        <f>MAX(AM44:AM47)+1</f>
        <v>11</v>
      </c>
      <c r="AN48" s="123">
        <f>MAX(AN44:AN47)+1</f>
        <v>8</v>
      </c>
      <c r="AO48" s="123">
        <f>MAX(AO44:AO47)+1</f>
        <v>9.75</v>
      </c>
      <c r="AP48" s="123">
        <f>MAX(AP44:AP47)+1</f>
        <v>87500010.948919296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Brasil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31">
        <v>103</v>
      </c>
      <c r="CN48" s="24" t="str">
        <f>IF(CK23&gt;CK24,CG24,IF(CK23&lt;CK24,CG23,""))</f>
        <v>Marruecos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0.83333333333333337</v>
      </c>
      <c r="E49" s="78" t="str">
        <f>AE62</f>
        <v>Argentina</v>
      </c>
      <c r="F49" s="19">
        <v>1</v>
      </c>
      <c r="G49" s="20">
        <v>0</v>
      </c>
      <c r="H49" s="80" t="str">
        <f>AE64</f>
        <v>Austria</v>
      </c>
      <c r="R49" s="123">
        <f>DATE(2026,6,22)+TIME(6,0,0)+gmt_delta</f>
        <v>46195.833333333336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04:00</v>
      </c>
      <c r="BL49" s="21"/>
      <c r="BM49" s="21"/>
      <c r="BN49" s="21"/>
      <c r="BO49" s="28"/>
      <c r="BP49" s="112">
        <f>DATE(2026,6,30)+TIME(14,0,0)+gmt_delta</f>
        <v>46204.166666666672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Inglaterra</v>
      </c>
      <c r="CA49" s="62">
        <v>3</v>
      </c>
      <c r="CB49" s="64"/>
      <c r="CC49" s="27"/>
      <c r="CD49" s="113">
        <f>IF(CD48="","",CA49*1000+CB49*10+CC49)</f>
        <v>3000</v>
      </c>
      <c r="CK49" s="114"/>
      <c r="CL49" s="115"/>
      <c r="CM49" s="132"/>
      <c r="CN49" s="26" t="str">
        <f>IF(CK55&gt;CK56,CG56,IF(CK55&lt;CK56,CG55,""))</f>
        <v>Portugal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0.25</v>
      </c>
      <c r="E50" s="78" t="str">
        <f>AE65</f>
        <v>Jordán</v>
      </c>
      <c r="F50" s="19">
        <v>0</v>
      </c>
      <c r="G50" s="20">
        <v>0</v>
      </c>
      <c r="H50" s="80" t="str">
        <f>AE63</f>
        <v>Argelia</v>
      </c>
      <c r="J50" s="38" t="str" cm="1">
        <f t="array" ref="J50">INDEX(T,9,lang) &amp; " " &amp; "H"</f>
        <v>Grupo H</v>
      </c>
      <c r="K50" s="94" t="str" cm="1">
        <f t="array" ref="K50">INDEX(T,10,lang)</f>
        <v>J</v>
      </c>
      <c r="L50" s="94" t="str" cm="1">
        <f t="array" ref="L50">INDEX(T,11,lang)</f>
        <v>G</v>
      </c>
      <c r="M50" s="94" t="str" cm="1">
        <f t="array" ref="M50">INDEX(T,12,lang)</f>
        <v>DRAW</v>
      </c>
      <c r="N50" s="94" t="str" cm="1">
        <f t="array" ref="N50">INDEX(T,13,lang)</f>
        <v>P</v>
      </c>
      <c r="O50" s="94" t="str" cm="1">
        <f t="array" ref="O50">INDEX(T,14,lang)</f>
        <v>GF - GC</v>
      </c>
      <c r="P50" s="95" t="str" cm="1">
        <f t="array" ref="P50">INDEX(T,15,lang)</f>
        <v>PTS</v>
      </c>
      <c r="R50" s="123">
        <f>DATE(2026,6,22)+TIME(16,0,0)+gmt_delta</f>
        <v>46196.25</v>
      </c>
      <c r="S50" s="127" t="str">
        <f t="shared" si="19"/>
        <v>Jordán_draw</v>
      </c>
      <c r="T50" s="127" t="str">
        <f t="shared" si="20"/>
        <v>Argelia_draw</v>
      </c>
      <c r="U50" s="123">
        <f t="shared" si="8"/>
        <v>1</v>
      </c>
      <c r="V50" s="123">
        <f t="shared" si="21"/>
        <v>0</v>
      </c>
      <c r="W50" s="123">
        <f t="shared" si="22"/>
        <v>0</v>
      </c>
      <c r="X50" s="123">
        <f t="shared" si="9"/>
        <v>1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España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3</v>
      </c>
      <c r="AL50" s="123">
        <f>AI50-AJ50</f>
        <v>7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90000010.195743397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España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Sudáfrica</v>
      </c>
      <c r="BM50" s="61">
        <v>0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0.95833333333333337</v>
      </c>
      <c r="E51" s="78" t="str">
        <f>AE74</f>
        <v>Inglaterra</v>
      </c>
      <c r="F51" s="19">
        <v>2</v>
      </c>
      <c r="G51" s="20">
        <v>2</v>
      </c>
      <c r="H51" s="80" t="str">
        <f>AE76</f>
        <v>Ghana</v>
      </c>
      <c r="J51" s="30" t="str">
        <f>VLOOKUP(1,AD50:AN53,2,FALSE)</f>
        <v>España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10 - 3</v>
      </c>
      <c r="P51" s="32">
        <f>L51*3+M51</f>
        <v>9</v>
      </c>
      <c r="R51" s="123">
        <f>DATE(2026,6,23)+TIME(9,0,0)+gmt_delta</f>
        <v>46196.958333333336</v>
      </c>
      <c r="S51" s="127" t="str">
        <f t="shared" si="19"/>
        <v>Inglaterra_draw</v>
      </c>
      <c r="T51" s="127" t="str">
        <f t="shared" si="20"/>
        <v>Ghana_draw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0</v>
      </c>
      <c r="AD51" s="123">
        <f>COUNTIF(AR50:AR53,CONCATENATE("&gt;=",AR51))</f>
        <v>4</v>
      </c>
      <c r="AE51" s="124" t="str">
        <f>VLOOKUP("Cape Verde",T,lang,FALSE)</f>
        <v>Cabo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6</v>
      </c>
      <c r="AL51" s="123">
        <f>AI51-AJ51</f>
        <v>-6</v>
      </c>
      <c r="AM51" s="123">
        <f>AL51-AL54</f>
        <v>0</v>
      </c>
      <c r="AN51" s="123">
        <f>AF51*3+AG51</f>
        <v>1</v>
      </c>
      <c r="AO51" s="123">
        <f>AN51/AN54*10+BA51</f>
        <v>1.9803921568627452</v>
      </c>
      <c r="AP51" s="123">
        <f>AO51*10000000+BI51*100+AM51/AM54*10+AI51/AI54*1++IF(AQ51=0,ROW(),AQ51)/2000000</f>
        <v>19804019.608526204</v>
      </c>
      <c r="AQ51" s="126">
        <f>VLOOKUP(AE51,db_fifarank,2,FALSE)</f>
        <v>1366.13</v>
      </c>
      <c r="AR51" s="125">
        <f>AP51/AP54</f>
        <v>0.22004463494403262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</v>
      </c>
      <c r="BA51" s="126">
        <f>AZ51/AZ54</f>
        <v>0.98039215686274506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</v>
      </c>
      <c r="BI51" s="126">
        <f>BH51/BH54</f>
        <v>0.98039215686274506</v>
      </c>
      <c r="BK51" s="132"/>
      <c r="BL51" s="26" t="str">
        <f>IF(group_round_completed,VLOOKUP('3rd places'!D3,AK80:AS91,9,FALSE),"3rd Group C/E/F/H/I")</f>
        <v>Costa de Marfil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03:00</v>
      </c>
      <c r="BS51" s="21"/>
      <c r="BT51" s="21"/>
      <c r="BU51" s="21"/>
      <c r="BV51" s="28"/>
      <c r="BW51" s="114">
        <f>DATE(2026,7,5)+TIME(13,0,0)+gmt_delta</f>
        <v>46209.125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8.3333333333333329E-2</v>
      </c>
      <c r="E52" s="78" t="str">
        <f>AE77</f>
        <v>Panamá</v>
      </c>
      <c r="F52" s="19">
        <v>0</v>
      </c>
      <c r="G52" s="20">
        <v>1</v>
      </c>
      <c r="H52" s="80" t="str">
        <f>AE75</f>
        <v>Croacia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6 - 4</v>
      </c>
      <c r="P52" s="34">
        <f>L52*3+M52</f>
        <v>6</v>
      </c>
      <c r="R52" s="123">
        <f>DATE(2026,6,23)+TIME(12,0,0)+gmt_delta</f>
        <v>46197.083333333336</v>
      </c>
      <c r="S52" s="127" t="str">
        <f t="shared" si="19"/>
        <v>Panamá_lose</v>
      </c>
      <c r="T52" s="127" t="str">
        <f t="shared" si="20"/>
        <v>Croacia_win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Arabia Saudita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5</v>
      </c>
      <c r="AL52" s="123">
        <f>AI52-AJ52</f>
        <v>-3</v>
      </c>
      <c r="AM52" s="123">
        <f>AL52-AL54</f>
        <v>3</v>
      </c>
      <c r="AN52" s="123">
        <f>AF52*3+AG52</f>
        <v>1</v>
      </c>
      <c r="AO52" s="123">
        <f>AN52/AN54*10+BA52</f>
        <v>1.9803921568627452</v>
      </c>
      <c r="AP52" s="123">
        <f>AO52*10000000+BI52*100+AM52/AM54*10+AI52/AI54*1++IF(AQ52=0,ROW(),AQ52)/2000000</f>
        <v>19804021.933229178</v>
      </c>
      <c r="AQ52" s="126">
        <f>VLOOKUP(AE52,db_fifarank,2,FALSE)</f>
        <v>1421.43</v>
      </c>
      <c r="AR52" s="125">
        <f>AP52/AP54</f>
        <v>0.22004466077406246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</v>
      </c>
      <c r="BA52" s="126">
        <f>AZ52/AZ54</f>
        <v>0.98039215686274506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</v>
      </c>
      <c r="BI52" s="126">
        <f>BH52/BH54</f>
        <v>0.98039215686274506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Costa de Marfil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0.83333333333333337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Uzbekistán</v>
      </c>
      <c r="J53" s="33" t="str">
        <f>VLOOKUP(3,AD50:AN53,2,FALSE)</f>
        <v>Arabia Saudita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2 - 5</v>
      </c>
      <c r="P53" s="34">
        <f>L53*3+M53</f>
        <v>1</v>
      </c>
      <c r="R53" s="123">
        <f>DATE(2026,6,23)+TIME(6,0,0)+gmt_delta</f>
        <v>46196.833333333336</v>
      </c>
      <c r="S53" s="127" t="str">
        <f t="shared" si="19"/>
        <v>Portugal_win</v>
      </c>
      <c r="T53" s="127" t="str">
        <f t="shared" si="20"/>
        <v>Uzbekistán_lose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4</v>
      </c>
      <c r="AL53" s="123">
        <f>AI53-AJ53</f>
        <v>2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60000006.2605768</v>
      </c>
      <c r="AQ53" s="126">
        <f>VLOOKUP(AE53,db_fifarank,2,FALSE)</f>
        <v>1673.07</v>
      </c>
      <c r="AR53" s="125">
        <f>AP53/AP54</f>
        <v>0.66666665329720021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19:00</v>
      </c>
      <c r="BL53" s="21"/>
      <c r="BM53" s="21"/>
      <c r="BN53" s="21"/>
      <c r="BO53" s="28"/>
      <c r="BP53" s="114">
        <f>DATE(2026,7,1)+TIME(5,0,0)+gmt_delta</f>
        <v>46204.791666666672</v>
      </c>
      <c r="BQ53" s="115"/>
      <c r="BR53" s="132"/>
      <c r="BS53" s="26" t="str">
        <f>IF(BP54&gt;BP55,BL54,IF(BP54&lt;BP55,BL55,""))</f>
        <v>Inglaterra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0.20833333333333334</v>
      </c>
      <c r="E54" s="78" t="str">
        <f>AE71</f>
        <v>Colombia</v>
      </c>
      <c r="F54" s="19">
        <v>1</v>
      </c>
      <c r="G54" s="20">
        <v>1</v>
      </c>
      <c r="H54" s="80" t="str">
        <f>AE69</f>
        <v>RD Congo</v>
      </c>
      <c r="J54" s="35" t="str">
        <f>VLOOKUP(4,AD50:AN53,2,FALSE)</f>
        <v>Cabo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0 - 6</v>
      </c>
      <c r="P54" s="37">
        <f>L54*3+M54</f>
        <v>1</v>
      </c>
      <c r="R54" s="123">
        <f>DATE(2026,6,23)+TIME(15,0,0)+gmt_delta</f>
        <v>46197.208333333336</v>
      </c>
      <c r="S54" s="127" t="str">
        <f t="shared" si="19"/>
        <v>Colombia_draw</v>
      </c>
      <c r="T54" s="127" t="str">
        <f t="shared" si="20"/>
        <v>RD Congo_draw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11</v>
      </c>
      <c r="AL54" s="123">
        <f>MIN(AL50:AL53)</f>
        <v>-6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90000011.195743397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51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51</v>
      </c>
      <c r="BK54" s="131">
        <v>80</v>
      </c>
      <c r="BL54" s="24" t="str">
        <f>AS74</f>
        <v>Inglaterra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22:00</v>
      </c>
      <c r="CG54" s="21"/>
      <c r="CH54" s="21"/>
      <c r="CI54" s="21"/>
      <c r="CJ54" s="28"/>
      <c r="CK54" s="114">
        <f>DATE(2026,7,15)+TIME(8,0,0)+gmt_delta</f>
        <v>46218.916666666672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4.1666666666666664E-2</v>
      </c>
      <c r="E55" s="78" t="str">
        <f>AE23</f>
        <v>Escocia</v>
      </c>
      <c r="F55" s="19">
        <v>1</v>
      </c>
      <c r="G55" s="20">
        <v>3</v>
      </c>
      <c r="H55" s="80" t="str">
        <f>AE20</f>
        <v>Brasil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46198.041666666672</v>
      </c>
      <c r="S55" s="127" t="str">
        <f t="shared" si="19"/>
        <v>Escocia_lose</v>
      </c>
      <c r="T55" s="127" t="str">
        <f t="shared" si="20"/>
        <v>Brasil_win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Noruega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Inglaterra</v>
      </c>
      <c r="CH55" s="61">
        <v>2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2000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4.1666666666666664E-2</v>
      </c>
      <c r="E56" s="78" t="str">
        <f>AE21</f>
        <v>Marruecos</v>
      </c>
      <c r="F56" s="19">
        <v>3</v>
      </c>
      <c r="G56" s="20">
        <v>0</v>
      </c>
      <c r="H56" s="80" t="str">
        <f>AE22</f>
        <v>Haití</v>
      </c>
      <c r="I56" s="69"/>
      <c r="J56" s="38" t="str" cm="1">
        <f t="array" ref="J56">INDEX(T,9,lang) &amp; " " &amp; "I"</f>
        <v>Grupo I</v>
      </c>
      <c r="K56" s="94" t="str" cm="1">
        <f t="array" ref="K56">INDEX(T,10,lang)</f>
        <v>J</v>
      </c>
      <c r="L56" s="94" t="str" cm="1">
        <f t="array" ref="L56">INDEX(T,11,lang)</f>
        <v>G</v>
      </c>
      <c r="M56" s="94" t="str" cm="1">
        <f t="array" ref="M56">INDEX(T,12,lang)</f>
        <v>DRAW</v>
      </c>
      <c r="N56" s="94" t="str" cm="1">
        <f t="array" ref="N56">INDEX(T,13,lang)</f>
        <v>P</v>
      </c>
      <c r="O56" s="94" t="str" cm="1">
        <f t="array" ref="O56">INDEX(T,14,lang)</f>
        <v>GF - GC</v>
      </c>
      <c r="P56" s="95" t="str" cm="1">
        <f t="array" ref="P56">INDEX(T,15,lang)</f>
        <v>PTS</v>
      </c>
      <c r="R56" s="123">
        <f>DATE(2026,6,24)+TIME(11,0,0)+gmt_delta</f>
        <v>46198.041666666672</v>
      </c>
      <c r="S56" s="127" t="str">
        <f t="shared" si="19"/>
        <v>Marruecos_win</v>
      </c>
      <c r="T56" s="127" t="str">
        <f t="shared" si="20"/>
        <v>Haití_lose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Francia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4</v>
      </c>
      <c r="AL56" s="123">
        <f>AI56-AJ56</f>
        <v>5</v>
      </c>
      <c r="AM56" s="123">
        <f>AL56-AL60</f>
        <v>12</v>
      </c>
      <c r="AN56" s="123">
        <f>AF56*3+AG56</f>
        <v>7</v>
      </c>
      <c r="AO56" s="123">
        <f>AN56/AN60*10+BA56</f>
        <v>9.7306451612903224</v>
      </c>
      <c r="AP56" s="123">
        <f>AO56*10000000+BI56*100+AM56/AM60*10+AI56/AI60*1++IF(AQ56=0,ROW(),AQ56)/2000000</f>
        <v>97306559.809127241</v>
      </c>
      <c r="AQ56" s="126">
        <f>VLOOKUP(AE56,db_fifarank,2,FALSE)</f>
        <v>1877.32</v>
      </c>
      <c r="AR56" s="125">
        <f>AP56/AP60</f>
        <v>0.9999999897232007</v>
      </c>
      <c r="AS56" s="125" t="str">
        <f>IF(SUM(AF56:AH59)=12,J57,"1I")</f>
        <v>Francia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1</v>
      </c>
      <c r="AV56" s="126" cm="1">
        <f t="array" ref="AV56">SUMPRODUCT(($E$7:$E$78=AE56)*($U$7:$U$78)*($F$7:$F$78))+SUMPRODUCT(($H$7:$H$78=AE56)*($U$7:$U$78)*($G$7:$G$78))</f>
        <v>2</v>
      </c>
      <c r="AW56" s="126" cm="1">
        <f t="array" ref="AW56">SUMPRODUCT(($E$7:$E$78=AE56)*($U$7:$U$78)*($G$7:$G$78))+SUMPRODUCT(($H$7:$H$78=AE56)*($U$7:$U$78)*($F$7:$F$78))</f>
        <v>2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50.666666666666664</v>
      </c>
      <c r="BA56" s="126">
        <f>AZ56/AZ60</f>
        <v>0.98064516129032253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2</v>
      </c>
      <c r="BE56" s="126" cm="1">
        <f t="array" ref="BE56">SUMPRODUCT(($E$7:$E$78=AE56)*($X$7:$X$78)*($G$7:$G$78))+SUMPRODUCT(($H$7:$H$78=AE56)*($X$7:$X$78)*($F$7:$F$78))</f>
        <v>2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50.666666666666664</v>
      </c>
      <c r="BI56" s="126">
        <f>BH56/BH60</f>
        <v>0.98064516129032253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0.91666666666666663</v>
      </c>
      <c r="E57" s="78" t="str">
        <f>AE17</f>
        <v>Suiza</v>
      </c>
      <c r="F57" s="19">
        <v>0</v>
      </c>
      <c r="G57" s="20">
        <v>0</v>
      </c>
      <c r="H57" s="80" t="str">
        <f>AE14</f>
        <v>Canadá</v>
      </c>
      <c r="I57" s="69"/>
      <c r="J57" s="30" t="str">
        <f>VLOOKUP(1,AD56:AN59,2,FALSE)</f>
        <v>Francia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9 - 4</v>
      </c>
      <c r="P57" s="32">
        <f>L57*3+M57</f>
        <v>7</v>
      </c>
      <c r="R57" s="123">
        <f>DATE(2026,6,24)+TIME(8,0,0)+gmt_delta</f>
        <v>46197.916666666672</v>
      </c>
      <c r="S57" s="127" t="str">
        <f t="shared" si="19"/>
        <v>Suiza_draw</v>
      </c>
      <c r="T57" s="127" t="str">
        <f t="shared" si="20"/>
        <v>Canadá_draw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1</v>
      </c>
      <c r="AH57" s="123">
        <f>COUNTIF($S$7:$T$78,"=" &amp; AE57 &amp; "_lose")</f>
        <v>0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3</v>
      </c>
      <c r="AL57" s="123">
        <f>AI57-AJ57</f>
        <v>2</v>
      </c>
      <c r="AM57" s="123">
        <f>AL57-AL60</f>
        <v>9</v>
      </c>
      <c r="AN57" s="123">
        <f>AF57*3+AG57</f>
        <v>7</v>
      </c>
      <c r="AO57" s="123">
        <f>AN57/AN60*10+BA57</f>
        <v>9.7306451612903224</v>
      </c>
      <c r="AP57" s="123">
        <f>AO57*10000000+BI57*100+AM57/AM60*10+AI57/AI60*1++IF(AQ57=0,ROW(),AQ57)/2000000</f>
        <v>97306557.101340771</v>
      </c>
      <c r="AQ57" s="126">
        <f>VLOOKUP(AE57,db_fifarank,2,FALSE)</f>
        <v>1688.99</v>
      </c>
      <c r="AR57" s="125">
        <f>AP57/AP60</f>
        <v>0.99999996189582241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2</v>
      </c>
      <c r="AW57" s="126" cm="1">
        <f t="array" ref="AW57">SUMPRODUCT(($E$7:$E$78=AE57)*($U$7:$U$78)*($G$7:$G$78))+SUMPRODUCT(($H$7:$H$78=AE57)*($U$7:$U$78)*($F$7:$F$78))</f>
        <v>2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50.666666666666664</v>
      </c>
      <c r="BA57" s="126">
        <f>AZ57/AZ60</f>
        <v>0.98064516129032253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2</v>
      </c>
      <c r="BE57" s="126" cm="1">
        <f t="array" ref="BE57">SUMPRODUCT(($E$7:$E$78=AE57)*($X$7:$X$78)*($G$7:$G$78))+SUMPRODUCT(($H$7:$H$78=AE57)*($X$7:$X$78)*($F$7:$F$78))</f>
        <v>2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50.666666666666664</v>
      </c>
      <c r="BI57" s="126">
        <f>BH57/BH60</f>
        <v>0.98064516129032253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01:00</v>
      </c>
      <c r="BL57" s="21"/>
      <c r="BM57" s="21"/>
      <c r="BN57" s="21"/>
      <c r="BO57" s="29"/>
      <c r="BP57" s="112">
        <f>DATE(2026,7,3)+TIME(11,0,0)+gmt_delta</f>
        <v>46207.041666666672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0.91666666666666663</v>
      </c>
      <c r="E58" s="78" t="str">
        <f>AE15</f>
        <v>Bosnia y Herzegovina</v>
      </c>
      <c r="F58" s="19">
        <v>2</v>
      </c>
      <c r="G58" s="20">
        <v>0</v>
      </c>
      <c r="H58" s="80" t="str">
        <f>AE16</f>
        <v>Katar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1</v>
      </c>
      <c r="N58" s="23">
        <f>VLOOKUP(2,AD56:AN59,5,FALSE)</f>
        <v>0</v>
      </c>
      <c r="O58" s="23" t="str">
        <f>VLOOKUP(2,AD56:AN59,6,FALSE) &amp; " - " &amp; VLOOKUP(2,AD56:AN59,7,FALSE)</f>
        <v>5 - 3</v>
      </c>
      <c r="P58" s="34">
        <f>L58*3+M58</f>
        <v>7</v>
      </c>
      <c r="R58" s="123">
        <f>DATE(2026,6,24)+TIME(8,0,0)+gmt_delta</f>
        <v>46197.916666666672</v>
      </c>
      <c r="S58" s="127" t="str">
        <f t="shared" si="19"/>
        <v>Bosnia y Herzegovina_win</v>
      </c>
      <c r="T58" s="127" t="str">
        <f t="shared" si="20"/>
        <v>Katar_lose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Irak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7.4359836991806426E-12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>
        <v>2</v>
      </c>
      <c r="BO58" s="25"/>
      <c r="BP58" s="112">
        <f>IF(OR(BM58="",BM59="",AND(BN58="",BN59&lt;&gt;""),AND(BN59="",BN58&lt;&gt;""),AND(BO58="",BO59&lt;&gt;""),AND(BO59="",BO58&lt;&gt;"")),"",BM58*1000+BN58*10+BO58)</f>
        <v>2020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0.16666666666666666</v>
      </c>
      <c r="E59" s="78" t="str">
        <f>AE11</f>
        <v>República Checa</v>
      </c>
      <c r="F59" s="19">
        <v>1</v>
      </c>
      <c r="G59" s="20">
        <v>1</v>
      </c>
      <c r="H59" s="80" t="str">
        <f>AE8</f>
        <v>México</v>
      </c>
      <c r="I59" s="69"/>
      <c r="J59" s="33" t="str">
        <f>VLOOKUP(3,AD56:AN59,2,FALSE)</f>
        <v>Noruega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5 - 5</v>
      </c>
      <c r="P59" s="34">
        <f>L59*3+M59</f>
        <v>3</v>
      </c>
      <c r="R59" s="123">
        <f>DATE(2026,6,24)+TIME(14,0,0)+gmt_delta</f>
        <v>46198.166666666672</v>
      </c>
      <c r="S59" s="127" t="str">
        <f t="shared" si="19"/>
        <v>República Checa_draw</v>
      </c>
      <c r="T59" s="127" t="str">
        <f t="shared" si="20"/>
        <v>México_draw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Noruega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5</v>
      </c>
      <c r="AL59" s="123">
        <f>AI59-AJ59</f>
        <v>0</v>
      </c>
      <c r="AM59" s="123">
        <f>AL59-AL60</f>
        <v>7</v>
      </c>
      <c r="AN59" s="123">
        <f>AF59*3+AG59</f>
        <v>3</v>
      </c>
      <c r="AO59" s="123">
        <f>AN59/AN60*10+BA59</f>
        <v>3.75</v>
      </c>
      <c r="AP59" s="123">
        <f>AO59*10000000+BI59*100+AM59/AM60*10+AI59/AI60*1++IF(AQ59=0,ROW(),AQ59)/2000000</f>
        <v>37500005.885390855</v>
      </c>
      <c r="AQ59" s="126">
        <f>VLOOKUP(AE59,db_fifarank,2,FALSE)</f>
        <v>1550.94</v>
      </c>
      <c r="AR59" s="125">
        <f>AP59/AP60</f>
        <v>0.38538003577116869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2</v>
      </c>
      <c r="BN59" s="64">
        <v>3</v>
      </c>
      <c r="BO59" s="27"/>
      <c r="BP59" s="113">
        <f>IF(BP58="","",BM59*1000+BN59*10+BO59)</f>
        <v>2030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19:00</v>
      </c>
      <c r="BS59" s="21"/>
      <c r="BT59" s="21"/>
      <c r="BU59" s="21"/>
      <c r="BV59" s="28"/>
      <c r="BW59" s="112">
        <f>DATE(2026,7,7)+TIME(5,0,0)+gmt_delta</f>
        <v>46210.791666666672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0.16666666666666666</v>
      </c>
      <c r="E60" s="78" t="str">
        <f>AE9</f>
        <v>Sudáfrica</v>
      </c>
      <c r="F60" s="19">
        <v>2</v>
      </c>
      <c r="G60" s="20">
        <v>1</v>
      </c>
      <c r="H60" s="80" t="str">
        <f>AE10</f>
        <v>República de Corea</v>
      </c>
      <c r="I60" s="69"/>
      <c r="J60" s="35" t="str">
        <f>VLOOKUP(4,AD56:AN59,2,FALSE)</f>
        <v>Irak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46198.166666666672</v>
      </c>
      <c r="S60" s="127" t="str">
        <f t="shared" si="19"/>
        <v>Sudáfrica_win</v>
      </c>
      <c r="T60" s="127" t="str">
        <f t="shared" si="20"/>
        <v>República de Corea_lose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10</v>
      </c>
      <c r="AL60" s="123">
        <f>MIN(AL56:AL59)</f>
        <v>-7</v>
      </c>
      <c r="AM60" s="123">
        <f>MAX(AM56:AM59)+1</f>
        <v>13</v>
      </c>
      <c r="AN60" s="123">
        <f>MAX(AN56:AN59)+1</f>
        <v>8</v>
      </c>
      <c r="AO60" s="123">
        <f>MAX(AO56:AO59)+1</f>
        <v>10.730645161290322</v>
      </c>
      <c r="AP60" s="123">
        <f>MAX(AP56:AP59)+1</f>
        <v>97306560.809127241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Uruguay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0.95833333333333337</v>
      </c>
      <c r="E61" s="78" t="str">
        <f>AE33</f>
        <v>Curazao</v>
      </c>
      <c r="F61" s="19">
        <v>0</v>
      </c>
      <c r="G61" s="20">
        <v>2</v>
      </c>
      <c r="H61" s="80" t="str">
        <f>AE34</f>
        <v>Costa de Marfil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46198.958333333336</v>
      </c>
      <c r="S61" s="127" t="str">
        <f t="shared" si="19"/>
        <v>Curazao_lose</v>
      </c>
      <c r="T61" s="127" t="str">
        <f t="shared" si="20"/>
        <v>Costa de Marfil_win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21:00</v>
      </c>
      <c r="BL61" s="21"/>
      <c r="BM61" s="21"/>
      <c r="BN61" s="21"/>
      <c r="BO61" s="28"/>
      <c r="BP61" s="114">
        <f>DATE(2026,7,3)+TIME(7,0,0)+gmt_delta</f>
        <v>46206.875</v>
      </c>
      <c r="BQ61" s="115"/>
      <c r="BR61" s="132"/>
      <c r="BS61" s="26" t="str">
        <f>IF(BP62&gt;BP63,BL62,IF(BP62&lt;BP63,BL63,""))</f>
        <v>Paraguay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0.95833333333333337</v>
      </c>
      <c r="E62" s="78" t="str">
        <f>AE35</f>
        <v>Ecuador</v>
      </c>
      <c r="F62" s="19">
        <v>2</v>
      </c>
      <c r="G62" s="20">
        <v>2</v>
      </c>
      <c r="H62" s="80" t="str">
        <f>AE32</f>
        <v>Alemania</v>
      </c>
      <c r="I62" s="69"/>
      <c r="J62" s="38" t="str" cm="1">
        <f t="array" ref="J62">INDEX(T,9,lang) &amp; " " &amp; "J"</f>
        <v>Grupo J</v>
      </c>
      <c r="K62" s="94" t="str" cm="1">
        <f t="array" ref="K62">INDEX(T,10,lang)</f>
        <v>J</v>
      </c>
      <c r="L62" s="94" t="str" cm="1">
        <f t="array" ref="L62">INDEX(T,11,lang)</f>
        <v>G</v>
      </c>
      <c r="M62" s="94" t="str" cm="1">
        <f t="array" ref="M62">INDEX(T,12,lang)</f>
        <v>DRAW</v>
      </c>
      <c r="N62" s="94" t="str" cm="1">
        <f t="array" ref="N62">INDEX(T,13,lang)</f>
        <v>P</v>
      </c>
      <c r="O62" s="94" t="str" cm="1">
        <f t="array" ref="O62">INDEX(T,14,lang)</f>
        <v>GF - GC</v>
      </c>
      <c r="P62" s="95" t="str" cm="1">
        <f t="array" ref="P62">INDEX(T,15,lang)</f>
        <v>PTS</v>
      </c>
      <c r="R62" s="123">
        <f>DATE(2026,6,25)+TIME(9,0,0)+gmt_delta</f>
        <v>46198.958333333336</v>
      </c>
      <c r="S62" s="127" t="str">
        <f t="shared" si="19"/>
        <v>Ecuador_draw</v>
      </c>
      <c r="T62" s="127" t="str">
        <f t="shared" si="20"/>
        <v>Alemania_draw</v>
      </c>
      <c r="U62" s="123">
        <f t="shared" si="8"/>
        <v>1</v>
      </c>
      <c r="V62" s="123">
        <f t="shared" si="21"/>
        <v>2</v>
      </c>
      <c r="W62" s="123">
        <f t="shared" si="22"/>
        <v>2</v>
      </c>
      <c r="X62" s="123">
        <f t="shared" si="9"/>
        <v>1</v>
      </c>
      <c r="Y62" s="123">
        <f t="shared" si="10"/>
        <v>2</v>
      </c>
      <c r="Z62" s="123">
        <f t="shared" si="11"/>
        <v>2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0</v>
      </c>
      <c r="AL62" s="123">
        <f>AI62-AJ62</f>
        <v>6</v>
      </c>
      <c r="AM62" s="123">
        <f>AL62-AL66</f>
        <v>13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90000010.143794551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1</v>
      </c>
      <c r="BN62" s="63">
        <v>1</v>
      </c>
      <c r="BO62" s="25">
        <v>4</v>
      </c>
      <c r="BP62" s="116">
        <f>IF(OR(BM62="",BM63="",AND(BN62="",BN63&lt;&gt;""),AND(BN63="",BN62&lt;&gt;""),AND(BO62="",BO63&lt;&gt;""),AND(BO63="",BO62&lt;&gt;"")),"",BM62*1000+BN62*10+BO62)</f>
        <v>1014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8.3333333333333329E-2</v>
      </c>
      <c r="E63" s="78" t="str">
        <f>AE39</f>
        <v>Japón</v>
      </c>
      <c r="F63" s="19">
        <v>0</v>
      </c>
      <c r="G63" s="20">
        <v>0</v>
      </c>
      <c r="H63" s="80" t="str">
        <f>AE40</f>
        <v>Suecia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6 - 0</v>
      </c>
      <c r="P63" s="32">
        <f>L63*3+M63</f>
        <v>9</v>
      </c>
      <c r="R63" s="123">
        <f>DATE(2026,6,25)+TIME(12,0,0)+gmt_delta</f>
        <v>46199.083333333336</v>
      </c>
      <c r="S63" s="127" t="str">
        <f t="shared" si="19"/>
        <v>Japón_draw</v>
      </c>
      <c r="T63" s="127" t="str">
        <f t="shared" si="20"/>
        <v>Suecia_draw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Argelia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0</v>
      </c>
      <c r="AJ63" s="123">
        <f>SUMIF($E$7:$E$78,$AE63,$G$7:$G$78) + SUMIF($H$7:$H$78,$AE63,$F$7:$F$78)</f>
        <v>2</v>
      </c>
      <c r="AL63" s="123">
        <f>AI63-AJ63</f>
        <v>-2</v>
      </c>
      <c r="AM63" s="123">
        <f>AL63-AL66</f>
        <v>5</v>
      </c>
      <c r="AN63" s="123">
        <f>AF63*3+AG63</f>
        <v>1</v>
      </c>
      <c r="AO63" s="123">
        <f>AN63/AN66*10+BA63</f>
        <v>1.9803921568627452</v>
      </c>
      <c r="AP63" s="123">
        <f>AO63*10000000+BI63*100+AM63/AM66*10+AI63/AI66*1++IF(AQ63=0,ROW(),AQ63)/2000000</f>
        <v>19804023.180053838</v>
      </c>
      <c r="AQ63" s="126">
        <f>VLOOKUP(AE63,db_fifarank,2,FALSE)</f>
        <v>1564.26</v>
      </c>
      <c r="AR63" s="125">
        <f>AP63/AP66</f>
        <v>0.2200446747546799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</v>
      </c>
      <c r="BA63" s="126">
        <f>AZ63/AZ66</f>
        <v>0.98039215686274506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</v>
      </c>
      <c r="BI63" s="126">
        <f>BH63/BH66</f>
        <v>0.98039215686274506</v>
      </c>
      <c r="BK63" s="132"/>
      <c r="BL63" s="26" t="str">
        <f>AS45</f>
        <v>Irán</v>
      </c>
      <c r="BM63" s="62">
        <v>1</v>
      </c>
      <c r="BN63" s="64">
        <v>1</v>
      </c>
      <c r="BO63" s="27">
        <v>3</v>
      </c>
      <c r="BP63" s="112">
        <f>IF(BP62="","",BM63*1000+BN63*10+BO63)</f>
        <v>1013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04:00</v>
      </c>
      <c r="BZ63" s="21"/>
      <c r="CA63" s="21"/>
      <c r="CB63" s="21"/>
      <c r="CC63" s="28"/>
      <c r="CD63" s="114">
        <f>DATE(2026,7,11)+TIME(14,0,0)+gmt_delta</f>
        <v>46215.166666666672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8.3333333333333329E-2</v>
      </c>
      <c r="E64" s="78" t="str">
        <f>AE41</f>
        <v>Túnez</v>
      </c>
      <c r="F64" s="19">
        <v>0</v>
      </c>
      <c r="G64" s="20">
        <v>3</v>
      </c>
      <c r="H64" s="80" t="str">
        <f>AE38</f>
        <v>Países Bajos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4 - 1</v>
      </c>
      <c r="P64" s="34">
        <f>L64*3+M64</f>
        <v>6</v>
      </c>
      <c r="R64" s="123">
        <f>DATE(2026,6,25)+TIME(12,0,0)+gmt_delta</f>
        <v>46199.083333333336</v>
      </c>
      <c r="S64" s="127" t="str">
        <f t="shared" si="19"/>
        <v>Túnez_lose</v>
      </c>
      <c r="T64" s="127" t="str">
        <f t="shared" si="20"/>
        <v>Países Bajos_win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1</v>
      </c>
      <c r="AL64" s="123">
        <f>AI64-AJ64</f>
        <v>3</v>
      </c>
      <c r="AM64" s="123">
        <f>AL64-AL66</f>
        <v>10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60000007.715082444</v>
      </c>
      <c r="AQ64" s="126">
        <f>VLOOKUP(AE64,db_fifarank,2,FALSE)</f>
        <v>1593.45</v>
      </c>
      <c r="AR64" s="125">
        <f>AP64/AP66</f>
        <v>0.66666666984317824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Uruguay</v>
      </c>
      <c r="CA64" s="61">
        <v>1</v>
      </c>
      <c r="CB64" s="63">
        <v>1</v>
      </c>
      <c r="CC64" s="25">
        <v>3</v>
      </c>
      <c r="CD64" s="116">
        <f>IF(OR(CA64="",CA65="",AND(CB64="",CB65&lt;&gt;""),AND(CB65="",CB64&lt;&gt;""),AND(CC64="",CC65&lt;&gt;""),AND(CC65="",CC64&lt;&gt;"")),"",CA64*1000+CB64*10+CC64)</f>
        <v>1013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0.20833333333333334</v>
      </c>
      <c r="E65" s="78" t="str">
        <f>AE29</f>
        <v>Turquía</v>
      </c>
      <c r="F65" s="19">
        <v>2</v>
      </c>
      <c r="G65" s="20">
        <v>1</v>
      </c>
      <c r="H65" s="80" t="str">
        <f>AE26</f>
        <v>Estados Unidos</v>
      </c>
      <c r="I65" s="69"/>
      <c r="J65" s="33" t="str">
        <f>VLOOKUP(3,AD62:AN65,2,FALSE)</f>
        <v>Argelia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0 - 2</v>
      </c>
      <c r="P65" s="34">
        <f>L65*3+M65</f>
        <v>1</v>
      </c>
      <c r="R65" s="123">
        <f>DATE(2026,6,25)+TIME(15,0,0)+gmt_delta</f>
        <v>46199.208333333336</v>
      </c>
      <c r="S65" s="127" t="str">
        <f t="shared" si="19"/>
        <v>Turquía_win</v>
      </c>
      <c r="T65" s="127" t="str">
        <f t="shared" si="20"/>
        <v>Estados Unidos_lose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Jordán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7</v>
      </c>
      <c r="AL65" s="123">
        <f>AI65-AJ65</f>
        <v>-7</v>
      </c>
      <c r="AM65" s="123">
        <f>AL65-AL66</f>
        <v>0</v>
      </c>
      <c r="AN65" s="123">
        <f>AF65*3+AG65</f>
        <v>1</v>
      </c>
      <c r="AO65" s="123">
        <f>AN65/AN66*10+BA65</f>
        <v>1.9803921568627452</v>
      </c>
      <c r="AP65" s="123">
        <f>AO65*10000000+BI65*100+AM65/AM66*10+AI65/AI66*1++IF(AQ65=0,ROW(),AQ65)/2000000</f>
        <v>19804019.608538862</v>
      </c>
      <c r="AQ65" s="126">
        <f>VLOOKUP(AE65,db_fifarank,2,FALSE)</f>
        <v>1391.45</v>
      </c>
      <c r="AR65" s="125">
        <f>AP65/AP66</f>
        <v>0.22004463507118507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</v>
      </c>
      <c r="BA65" s="126">
        <f>AZ65/AZ66</f>
        <v>0.98039215686274506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</v>
      </c>
      <c r="BI65" s="126">
        <f>BH65/BH66</f>
        <v>0.98039215686274506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06:00</v>
      </c>
      <c r="BL65" s="21"/>
      <c r="BM65" s="21"/>
      <c r="BN65" s="21"/>
      <c r="BO65" s="28"/>
      <c r="BP65" s="112">
        <f>DATE(2026,7,2)+TIME(16,0,0)+gmt_delta</f>
        <v>46206.25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>
        <v>1</v>
      </c>
      <c r="CC65" s="27">
        <v>4</v>
      </c>
      <c r="CD65" s="112">
        <f>IF(CD64="","",CA65*1000+CB65*10+CC65)</f>
        <v>1014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0.20833333333333334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Jordán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0 - 7</v>
      </c>
      <c r="P66" s="37">
        <f>L66*3+M66</f>
        <v>1</v>
      </c>
      <c r="R66" s="123">
        <f>DATE(2026,6,25)+TIME(15,0,0)+gmt_delta</f>
        <v>46199.208333333336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7</v>
      </c>
      <c r="AL66" s="123">
        <f>MIN(AL62:AL65)</f>
        <v>-7</v>
      </c>
      <c r="AM66" s="123">
        <f>MAX(AM62:AM65)+1</f>
        <v>14</v>
      </c>
      <c r="AN66" s="123">
        <f>MAX(AN62:AN65)+1</f>
        <v>10</v>
      </c>
      <c r="AO66" s="123">
        <f>MAX(AO62:AO65)+1</f>
        <v>10</v>
      </c>
      <c r="AP66" s="123">
        <f>MAX(AP62:AP65)+1</f>
        <v>90000011.143794551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51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51</v>
      </c>
      <c r="BK66" s="131">
        <v>85</v>
      </c>
      <c r="BL66" s="24" t="str">
        <f>AS14</f>
        <v>Canadá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0.91666666666666663</v>
      </c>
      <c r="E67" s="78" t="str">
        <f>AE59</f>
        <v>Noruega</v>
      </c>
      <c r="F67" s="19">
        <v>2</v>
      </c>
      <c r="G67" s="20">
        <v>3</v>
      </c>
      <c r="H67" s="80" t="str">
        <f>AE56</f>
        <v>Francia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46199.916666666672</v>
      </c>
      <c r="S67" s="127" t="str">
        <f t="shared" si="19"/>
        <v>Noruega_lose</v>
      </c>
      <c r="T67" s="127" t="str">
        <f t="shared" si="20"/>
        <v>Francia_win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Egipto</v>
      </c>
      <c r="BM67" s="62">
        <v>2</v>
      </c>
      <c r="BN67" s="64"/>
      <c r="BO67" s="27"/>
      <c r="BP67" s="113">
        <f>IF(BP66="","",BM67*1000+BN67*10+BO67)</f>
        <v>2000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23:00</v>
      </c>
      <c r="BS67" s="21"/>
      <c r="BT67" s="21"/>
      <c r="BU67" s="21"/>
      <c r="BV67" s="28"/>
      <c r="BW67" s="114">
        <f>DATE(2026,7,7)+TIME(9,0,0)+gmt_delta</f>
        <v>46210.958333333336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0.91666666666666663</v>
      </c>
      <c r="E68" s="78" t="str">
        <f>AE57</f>
        <v>Senegal</v>
      </c>
      <c r="F68" s="19">
        <v>1</v>
      </c>
      <c r="G68" s="20">
        <v>0</v>
      </c>
      <c r="H68" s="80" t="str">
        <f>AE58</f>
        <v>Irak</v>
      </c>
      <c r="I68" s="69"/>
      <c r="J68" s="38" t="str" cm="1">
        <f t="array" ref="J68">INDEX(T,9,lang) &amp; " " &amp; "K"</f>
        <v>Grupo K</v>
      </c>
      <c r="K68" s="94" t="str" cm="1">
        <f t="array" ref="K68">INDEX(T,10,lang)</f>
        <v>J</v>
      </c>
      <c r="L68" s="94" t="str" cm="1">
        <f t="array" ref="L68">INDEX(T,11,lang)</f>
        <v>G</v>
      </c>
      <c r="M68" s="94" t="str" cm="1">
        <f t="array" ref="M68">INDEX(T,12,lang)</f>
        <v>DRAW</v>
      </c>
      <c r="N68" s="94" t="str" cm="1">
        <f t="array" ref="N68">INDEX(T,13,lang)</f>
        <v>P</v>
      </c>
      <c r="O68" s="94" t="str" cm="1">
        <f t="array" ref="O68">INDEX(T,14,lang)</f>
        <v>GF - GC</v>
      </c>
      <c r="P68" s="95" t="str" cm="1">
        <f t="array" ref="P68">INDEX(T,15,lang)</f>
        <v>PTS</v>
      </c>
      <c r="R68" s="123">
        <f>DATE(2026,6,26)+TIME(8,0,0)+gmt_delta</f>
        <v>46199.916666666672</v>
      </c>
      <c r="S68" s="127" t="str">
        <f t="shared" si="19"/>
        <v>Senegal_win</v>
      </c>
      <c r="T68" s="127" t="str">
        <f t="shared" si="20"/>
        <v>Irak_lose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2</v>
      </c>
      <c r="AL68" s="123">
        <f>AI68-AJ68</f>
        <v>4</v>
      </c>
      <c r="AM68" s="123">
        <f>AL68-AL72</f>
        <v>8</v>
      </c>
      <c r="AN68" s="123">
        <f>AF68*3+AG68</f>
        <v>7</v>
      </c>
      <c r="AO68" s="123">
        <f>AN68/AN72*10+BA68</f>
        <v>8.75</v>
      </c>
      <c r="AP68" s="123">
        <f>AO68*10000000+BI68*100+AM68/AM72*10+AI68/AI72*1++IF(AQ68=0,ROW(),AQ68)/2000000</f>
        <v>87500009.746913657</v>
      </c>
      <c r="AQ68" s="126">
        <f>VLOOKUP(AE68,db_fifarank,2,FALSE)</f>
        <v>1763.83</v>
      </c>
      <c r="AR68" s="125">
        <f>AP68/AP72</f>
        <v>0.99999998857143002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Egipto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Campeón 2026</v>
      </c>
      <c r="CF68" s="163"/>
      <c r="CG68" s="163"/>
      <c r="CH68" s="163"/>
      <c r="CI68" s="163"/>
      <c r="CJ68" s="163"/>
      <c r="CK68" s="153" t="str">
        <f>IF(CR37&gt;CR38,CN37,IF(CR37&lt;CR38,CN38,""))</f>
        <v>España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0.25</v>
      </c>
      <c r="E69" s="78" t="str">
        <f>AE45</f>
        <v>Egipto</v>
      </c>
      <c r="F69" s="19">
        <v>1</v>
      </c>
      <c r="G69" s="20">
        <v>1</v>
      </c>
      <c r="H69" s="80" t="str">
        <f>AE46</f>
        <v>Irán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6 - 2</v>
      </c>
      <c r="P69" s="32">
        <f>L69*3+M69</f>
        <v>7</v>
      </c>
      <c r="R69" s="123">
        <f>DATE(2026,6,26)+TIME(16,0,0)+gmt_delta</f>
        <v>46200.25</v>
      </c>
      <c r="S69" s="127" t="str">
        <f t="shared" si="19"/>
        <v>Egipto_draw</v>
      </c>
      <c r="T69" s="127" t="str">
        <f t="shared" si="20"/>
        <v>Irán_draw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RD Congo</v>
      </c>
      <c r="AF69" s="123">
        <f>COUNTIF($S$7:$T$78,"=" &amp; AE69 &amp; "_win")</f>
        <v>0</v>
      </c>
      <c r="AG69" s="123">
        <f>COUNTIF($S$7:$T$78,"=" &amp; AE69 &amp; "_draw")</f>
        <v>2</v>
      </c>
      <c r="AH69" s="123">
        <f>COUNTIF($S$7:$T$78,"=" &amp; AE69 &amp; "_lose")</f>
        <v>1</v>
      </c>
      <c r="AI69" s="123">
        <f>SUMIF($E$7:$E$78,$AE69,$F$7:$F$78) + SUMIF($H$7:$H$78,$AE69,$G$7:$G$78)</f>
        <v>4</v>
      </c>
      <c r="AJ69" s="123">
        <f>SUMIF($E$7:$E$78,$AE69,$G$7:$G$78) + SUMIF($H$7:$H$78,$AE69,$F$7:$F$78)</f>
        <v>6</v>
      </c>
      <c r="AL69" s="123">
        <f>AI69-AJ69</f>
        <v>-2</v>
      </c>
      <c r="AM69" s="123">
        <f>AL69-AL72</f>
        <v>2</v>
      </c>
      <c r="AN69" s="123">
        <f>AF69*3+AG69</f>
        <v>2</v>
      </c>
      <c r="AO69" s="123">
        <f>AN69/AN72*10+BA69</f>
        <v>2.5</v>
      </c>
      <c r="AP69" s="123">
        <f>AO69*10000000+BI69*100+AM69/AM72*10+AI69/AI72*1++IF(AQ69=0,ROW(),AQ69)/2000000</f>
        <v>25000002.794389971</v>
      </c>
      <c r="AQ69" s="126">
        <f>VLOOKUP(AE69,db_fifarank,2,FALSE)</f>
        <v>1478.35</v>
      </c>
      <c r="AR69" s="125">
        <f>AP69/AP72</f>
        <v>0.28571428255820852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04:30</v>
      </c>
      <c r="BL69" s="21"/>
      <c r="BM69" s="21"/>
      <c r="BN69" s="21"/>
      <c r="BO69" s="28"/>
      <c r="BP69" s="114">
        <f>DATE(2026,7,3)+TIME(14,30,0)+gmt_delta</f>
        <v>46207.1875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0.25</v>
      </c>
      <c r="E70" s="78" t="str">
        <f>AE47</f>
        <v>Nueva Zelanda</v>
      </c>
      <c r="F70" s="19">
        <v>0</v>
      </c>
      <c r="G70" s="20">
        <v>2</v>
      </c>
      <c r="H70" s="80" t="str">
        <f>AE44</f>
        <v>Bélgica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2</v>
      </c>
      <c r="N70" s="23">
        <f>VLOOKUP(2,AD68:AN71,5,FALSE)</f>
        <v>0</v>
      </c>
      <c r="O70" s="23" t="str">
        <f>VLOOKUP(2,AD68:AN71,6,FALSE) &amp; " - " &amp; VLOOKUP(2,AD68:AN71,7,FALSE)</f>
        <v>4 - 2</v>
      </c>
      <c r="P70" s="34">
        <f>L70*3+M70</f>
        <v>5</v>
      </c>
      <c r="R70" s="123">
        <f>DATE(2026,6,26)+TIME(16,0,0)+gmt_delta</f>
        <v>46200.25</v>
      </c>
      <c r="S70" s="127" t="str">
        <f t="shared" si="19"/>
        <v>Nueva Zelanda_lose</v>
      </c>
      <c r="T70" s="127" t="str">
        <f t="shared" si="20"/>
        <v>Bélgica_win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Uzbekistán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6</v>
      </c>
      <c r="AL70" s="123">
        <f>AI70-AJ70</f>
        <v>-4</v>
      </c>
      <c r="AM70" s="123">
        <f>AL70-AL72</f>
        <v>0</v>
      </c>
      <c r="AN70" s="123">
        <f>AF70*3+AG70</f>
        <v>1</v>
      </c>
      <c r="AO70" s="123">
        <f>AN70/AN72*10+BA70</f>
        <v>1.25</v>
      </c>
      <c r="AP70" s="123">
        <f>AO70*10000000+BI70*100+AM70/AM72*10+AI70/AI72*1++IF(AQ70=0,ROW(),AQ70)/2000000</f>
        <v>12500000.286446955</v>
      </c>
      <c r="AQ70" s="126">
        <f>VLOOKUP(AE70,db_fifarank,2,FALSE)</f>
        <v>1465.34</v>
      </c>
      <c r="AR70" s="125">
        <f>AP70/AP72</f>
        <v>0.14285712858484262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0.125</v>
      </c>
      <c r="E71" s="78" t="str">
        <f>AE51</f>
        <v>Cabo Verde</v>
      </c>
      <c r="F71" s="19">
        <v>0</v>
      </c>
      <c r="G71" s="20">
        <v>0</v>
      </c>
      <c r="H71" s="80" t="str">
        <f>AE52</f>
        <v>Arabia Saudita</v>
      </c>
      <c r="I71" s="69"/>
      <c r="J71" s="33" t="str">
        <f>VLOOKUP(3,AD68:AN71,2,FALSE)</f>
        <v>RD Congo</v>
      </c>
      <c r="K71" s="23">
        <f>L71+M71+N71</f>
        <v>3</v>
      </c>
      <c r="L71" s="23">
        <f>VLOOKUP(3,AD68:AN71,3,FALSE)</f>
        <v>0</v>
      </c>
      <c r="M71" s="23">
        <f>VLOOKUP(3,AD68:AN71,4,FALSE)</f>
        <v>2</v>
      </c>
      <c r="N71" s="23">
        <f>VLOOKUP(3,AD68:AN71,5,FALSE)</f>
        <v>1</v>
      </c>
      <c r="O71" s="23" t="str">
        <f>VLOOKUP(3,AD68:AN71,6,FALSE) &amp; " - " &amp; VLOOKUP(3,AD68:AN71,7,FALSE)</f>
        <v>4 - 6</v>
      </c>
      <c r="P71" s="34">
        <f>L71*3+M71</f>
        <v>2</v>
      </c>
      <c r="R71" s="123">
        <f>DATE(2026,6,26)+TIME(13,0,0)+gmt_delta</f>
        <v>46200.125</v>
      </c>
      <c r="S71" s="127" t="str">
        <f t="shared" si="19"/>
        <v>Cabo Verde_draw</v>
      </c>
      <c r="T71" s="127" t="str">
        <f t="shared" si="20"/>
        <v>Arabia Saudita_draw</v>
      </c>
      <c r="U71" s="123">
        <f t="shared" si="8"/>
        <v>1</v>
      </c>
      <c r="V71" s="123">
        <f t="shared" si="21"/>
        <v>0</v>
      </c>
      <c r="W71" s="123">
        <f t="shared" si="22"/>
        <v>0</v>
      </c>
      <c r="X71" s="123">
        <f t="shared" si="9"/>
        <v>1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2</v>
      </c>
      <c r="AH71" s="123">
        <f>COUNTIF($S$7:$T$78,"=" &amp; AE71 &amp; "_lose")</f>
        <v>0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2</v>
      </c>
      <c r="AL71" s="123">
        <f>AI71-AJ71</f>
        <v>2</v>
      </c>
      <c r="AM71" s="123">
        <f>AL71-AL72</f>
        <v>6</v>
      </c>
      <c r="AN71" s="123">
        <f>AF71*3+AG71</f>
        <v>5</v>
      </c>
      <c r="AO71" s="123">
        <f>AN71/AN72*10+BA71</f>
        <v>6.25</v>
      </c>
      <c r="AP71" s="123">
        <f>AO71*10000000+BI71*100+AM71/AM72*10+AI71/AI72*1++IF(AQ71=0,ROW(),AQ71)/2000000</f>
        <v>62500007.238941781</v>
      </c>
      <c r="AQ71" s="126">
        <f>VLOOKUP(AE71,db_fifarank,2,FALSE)</f>
        <v>1693.09</v>
      </c>
      <c r="AR71" s="125">
        <f>AP71/AP72</f>
        <v>0.71428570928657076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0.125</v>
      </c>
      <c r="E72" s="78" t="str">
        <f>AE53</f>
        <v>Uruguay</v>
      </c>
      <c r="F72" s="19">
        <v>2</v>
      </c>
      <c r="G72" s="20">
        <v>3</v>
      </c>
      <c r="H72" s="80" t="str">
        <f>AE50</f>
        <v>España</v>
      </c>
      <c r="I72" s="69"/>
      <c r="J72" s="35" t="str">
        <f>VLOOKUP(4,AD68:AN71,2,FALSE)</f>
        <v>Uzbekistán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2 - 6</v>
      </c>
      <c r="P72" s="37">
        <f>L72*3+M72</f>
        <v>1</v>
      </c>
      <c r="R72" s="123">
        <f>DATE(2026,6,26)+TIME(13,0,0)+gmt_delta</f>
        <v>46200.125</v>
      </c>
      <c r="S72" s="127" t="str">
        <f t="shared" si="19"/>
        <v>Uruguay_lose</v>
      </c>
      <c r="T72" s="127" t="str">
        <f t="shared" si="20"/>
        <v>España_win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3</v>
      </c>
      <c r="AI72" s="123">
        <f>MAX(AI68:AI71)+1</f>
        <v>7</v>
      </c>
      <c r="AL72" s="123">
        <f>MIN(AL68:AL71)</f>
        <v>-4</v>
      </c>
      <c r="AM72" s="123">
        <f>MAX(AM68:AM71)+1</f>
        <v>9</v>
      </c>
      <c r="AN72" s="123">
        <f>MAX(AN68:AN71)+1</f>
        <v>8</v>
      </c>
      <c r="AO72" s="123">
        <f>MAX(AO68:AO71)+1</f>
        <v>9.75</v>
      </c>
      <c r="AP72" s="123">
        <f>MAX(AP68:AP71)+1</f>
        <v>87500010.746913657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Sun</v>
      </c>
      <c r="C73" s="18" t="str" cm="1">
        <f t="array" ref="C73">INDEX(T,24+MONTH(R73),lang) &amp; " " &amp; DAY(R73) &amp; ", " &amp; YEAR(R73)</f>
        <v>Jun 28, 2026</v>
      </c>
      <c r="D73" s="120">
        <f t="shared" si="30"/>
        <v>0</v>
      </c>
      <c r="E73" s="78" t="str">
        <f>AE77</f>
        <v>Panamá</v>
      </c>
      <c r="F73" s="19">
        <v>0</v>
      </c>
      <c r="G73" s="20">
        <v>1</v>
      </c>
      <c r="H73" s="80" t="str">
        <f>AE74</f>
        <v>Inglaterra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46201</v>
      </c>
      <c r="S73" s="127" t="str">
        <f t="shared" si="19"/>
        <v>Panamá_lose</v>
      </c>
      <c r="T73" s="127" t="str">
        <f t="shared" si="20"/>
        <v>Inglaterra_win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Sun</v>
      </c>
      <c r="C74" s="18" t="str" cm="1">
        <f t="array" ref="C74">INDEX(T,24+MONTH(R74),lang) &amp; " " &amp; DAY(R74) &amp; ", " &amp; YEAR(R74)</f>
        <v>Jun 28, 2026</v>
      </c>
      <c r="D74" s="120">
        <f t="shared" si="30"/>
        <v>0</v>
      </c>
      <c r="E74" s="78" t="str">
        <f>AE75</f>
        <v>Croacia</v>
      </c>
      <c r="F74" s="19">
        <v>2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Grupo L</v>
      </c>
      <c r="K74" s="94" t="str" cm="1">
        <f t="array" ref="K74">INDEX(T,10,lang)</f>
        <v>J</v>
      </c>
      <c r="L74" s="94" t="str" cm="1">
        <f t="array" ref="L74">INDEX(T,11,lang)</f>
        <v>G</v>
      </c>
      <c r="M74" s="94" t="str" cm="1">
        <f t="array" ref="M74">INDEX(T,12,lang)</f>
        <v>DRAW</v>
      </c>
      <c r="N74" s="94" t="str" cm="1">
        <f t="array" ref="N74">INDEX(T,13,lang)</f>
        <v>P</v>
      </c>
      <c r="O74" s="94" t="str" cm="1">
        <f t="array" ref="O74">INDEX(T,14,lang)</f>
        <v>GF - GC</v>
      </c>
      <c r="P74" s="95" t="str" cm="1">
        <f t="array" ref="P74">INDEX(T,15,lang)</f>
        <v>PTS</v>
      </c>
      <c r="R74" s="123">
        <f>DATE(2026,6,27)+TIME(10,0,0)+gmt_delta</f>
        <v>46201</v>
      </c>
      <c r="S74" s="127" t="str">
        <f t="shared" si="19"/>
        <v>Croacia_draw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Inglaterra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3</v>
      </c>
      <c r="AL74" s="123">
        <f>AI74-AJ74</f>
        <v>2</v>
      </c>
      <c r="AM74" s="123">
        <f>AL74-AL78</f>
        <v>4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87500008.834246308</v>
      </c>
      <c r="AQ74" s="126">
        <f>VLOOKUP(AE74,db_fifarank,2,FALSE)</f>
        <v>1825.97</v>
      </c>
      <c r="AR74" s="125">
        <f>AP74/AP78</f>
        <v>0.99999998857142991</v>
      </c>
      <c r="AS74" s="125" t="str">
        <f>IF(SUM(AF74:AH77)=12,J75,"1L")</f>
        <v>Inglaterra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0.20833333333333334</v>
      </c>
      <c r="E75" s="78" t="str">
        <f>AE63</f>
        <v>Argelia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Inglaterra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5 - 3</v>
      </c>
      <c r="P75" s="32">
        <f>L75*3+M75</f>
        <v>7</v>
      </c>
      <c r="R75" s="123">
        <f>DATE(2026,6,27)+TIME(15,0,0)+gmt_delta</f>
        <v>46201.208333333336</v>
      </c>
      <c r="S75" s="127" t="str">
        <f t="shared" si="19"/>
        <v>Argelia_lose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Croacia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4</v>
      </c>
      <c r="AL75" s="123">
        <f>AI75-AJ75</f>
        <v>0</v>
      </c>
      <c r="AM75" s="123">
        <f>AL75-AL78</f>
        <v>2</v>
      </c>
      <c r="AN75" s="123">
        <f>AF75*3+AG75</f>
        <v>4</v>
      </c>
      <c r="AO75" s="123">
        <f>AN75/AN78*10+BA75</f>
        <v>5</v>
      </c>
      <c r="AP75" s="123">
        <f>AO75*10000000+BI75*100+AM75/AM78*10+AI75/AI78*1++IF(AQ75=0,ROW(),AQ75)/2000000</f>
        <v>50000004.667525202</v>
      </c>
      <c r="AQ75" s="126">
        <f>VLOOKUP(AE75,db_fifarank,2,FALSE)</f>
        <v>1717.07</v>
      </c>
      <c r="AR75" s="125">
        <f>AP75/AP78</f>
        <v>0.57142856054806845</v>
      </c>
      <c r="AS75" s="125" t="str">
        <f>IF(SUM(AF74:AH77)=12,J76,"2L")</f>
        <v>Croacia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0.20833333333333334</v>
      </c>
      <c r="E76" s="78" t="str">
        <f>AE65</f>
        <v>Jordán</v>
      </c>
      <c r="F76" s="19">
        <v>0</v>
      </c>
      <c r="G76" s="20">
        <v>4</v>
      </c>
      <c r="H76" s="80" t="str">
        <f>AE62</f>
        <v>Argentina</v>
      </c>
      <c r="I76" s="69"/>
      <c r="J76" s="33" t="str">
        <f>VLOOKUP(2,AD74:AN77,2,FALSE)</f>
        <v>Croacia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4 - 4</v>
      </c>
      <c r="P76" s="34">
        <f>L76*3+M76</f>
        <v>4</v>
      </c>
      <c r="R76" s="123">
        <f>DATE(2026,6,27)+TIME(15,0,0)+gmt_delta</f>
        <v>46201.208333333336</v>
      </c>
      <c r="S76" s="127" t="str">
        <f t="shared" si="19"/>
        <v>Jordán_lose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3</v>
      </c>
      <c r="AH76" s="123">
        <f>COUNTIF($S$7:$T$78,"=" &amp; AE76 &amp; "_lose")</f>
        <v>0</v>
      </c>
      <c r="AI76" s="123">
        <f>SUMIF($E$7:$E$78,$AE76,$F$7:$F$78) + SUMIF($H$7:$H$78,$AE76,$G$7:$G$78)</f>
        <v>5</v>
      </c>
      <c r="AJ76" s="123">
        <f>SUMIF($E$7:$E$78,$AE76,$G$7:$G$78) + SUMIF($H$7:$H$78,$AE76,$F$7:$F$78)</f>
        <v>5</v>
      </c>
      <c r="AL76" s="123">
        <f>AI76-AJ76</f>
        <v>0</v>
      </c>
      <c r="AM76" s="123">
        <f>AL76-AL78</f>
        <v>2</v>
      </c>
      <c r="AN76" s="123">
        <f>AF76*3+AG76</f>
        <v>3</v>
      </c>
      <c r="AO76" s="123">
        <f>AN76/AN78*10+BA76</f>
        <v>3.75</v>
      </c>
      <c r="AP76" s="123">
        <f>AO76*10000000+BI76*100+AM76/AM78*10+AI76/AI78*1++IF(AQ76=0,ROW(),AQ76)/2000000</f>
        <v>37500004.834006488</v>
      </c>
      <c r="AQ76" s="126">
        <f>VLOOKUP(AE76,db_fifarank,2,FALSE)</f>
        <v>1346.31</v>
      </c>
      <c r="AR76" s="125">
        <f>AP76/AP78</f>
        <v>0.42857143564947919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0.10416666666666667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3</v>
      </c>
      <c r="N77" s="23">
        <f>VLOOKUP(3,AD74:AN77,5,FALSE)</f>
        <v>0</v>
      </c>
      <c r="O77" s="23" t="str">
        <f>VLOOKUP(3,AD74:AN77,6,FALSE) &amp; " - " &amp; VLOOKUP(3,AD74:AN77,7,FALSE)</f>
        <v>5 - 5</v>
      </c>
      <c r="P77" s="34">
        <f>L77*3+M77</f>
        <v>3</v>
      </c>
      <c r="R77" s="123">
        <f>DATE(2026,6,27)+TIME(12,30,0)+gmt_delta</f>
        <v>46201.104166666672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Panamá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3</v>
      </c>
      <c r="AL77" s="123">
        <f>AI77-AJ77</f>
        <v>-2</v>
      </c>
      <c r="AM77" s="123">
        <f>AL77-AL78</f>
        <v>0</v>
      </c>
      <c r="AN77" s="123">
        <f>AF77*3+AG77</f>
        <v>1</v>
      </c>
      <c r="AO77" s="123">
        <f>AN77/AN78*10+BA77</f>
        <v>1.25</v>
      </c>
      <c r="AP77" s="123">
        <f>AO77*10000000+BI77*100+AM77/AM78*10+AI77/AI78*1++IF(AQ77=0,ROW(),AQ77)/2000000</f>
        <v>12500000.167436985</v>
      </c>
      <c r="AQ77" s="126">
        <f>VLOOKUP(AE77,db_fifarank,2,FALSE)</f>
        <v>1540.64</v>
      </c>
      <c r="AR77" s="125">
        <f>AP77/AP78</f>
        <v>0.14285712871479767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0.10416666666666667</v>
      </c>
      <c r="E78" s="78" t="str">
        <f>AE69</f>
        <v>RD Congo</v>
      </c>
      <c r="F78" s="19">
        <v>2</v>
      </c>
      <c r="G78" s="20">
        <v>2</v>
      </c>
      <c r="H78" s="80" t="str">
        <f>AE70</f>
        <v>Uzbekistán</v>
      </c>
      <c r="I78" s="69"/>
      <c r="J78" s="35" t="str">
        <f>VLOOKUP(4,AD74:AN77,2,FALSE)</f>
        <v>Panamá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1 - 3</v>
      </c>
      <c r="P78" s="37">
        <f>L78*3+M78</f>
        <v>1</v>
      </c>
      <c r="R78" s="123">
        <f>DATE(2026,6,27)+TIME(12,30,0)+gmt_delta</f>
        <v>46201.104166666672</v>
      </c>
      <c r="S78" s="127" t="str">
        <f t="shared" si="19"/>
        <v>RD Congo_draw</v>
      </c>
      <c r="T78" s="127" t="str">
        <f t="shared" si="20"/>
        <v>Uzbekistán_draw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3</v>
      </c>
      <c r="AH78" s="123">
        <f t="shared" si="36"/>
        <v>3</v>
      </c>
      <c r="AI78" s="123">
        <f>MAX(AI74:AI77)+1</f>
        <v>6</v>
      </c>
      <c r="AL78" s="123">
        <f>MIN(AL74:AL77)</f>
        <v>-2</v>
      </c>
      <c r="AM78" s="123">
        <f>MAX(AM74:AM77)+1</f>
        <v>5</v>
      </c>
      <c r="AN78" s="123">
        <f>MAX(AN74:AN77)+1</f>
        <v>8</v>
      </c>
      <c r="AO78" s="123">
        <f>MAX(AO74:AO77)+1</f>
        <v>9.75</v>
      </c>
      <c r="AP78" s="123">
        <f>MAX(AP74:AP77)+1</f>
        <v>87500009.834246308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J</v>
      </c>
      <c r="L80" s="94" t="str" cm="1">
        <f t="array" ref="L80">INDEX(T,11,lang)</f>
        <v>G</v>
      </c>
      <c r="M80" s="94" t="str" cm="1">
        <f t="array" ref="M80">INDEX(T,12,lang)</f>
        <v>DRAW</v>
      </c>
      <c r="N80" s="94" t="str" cm="1">
        <f t="array" ref="N80">INDEX(T,13,lang)</f>
        <v>P</v>
      </c>
      <c r="O80" s="94" t="str" cm="1">
        <f t="array" ref="O80">INDEX(T,14,lang)</f>
        <v>GF - GC</v>
      </c>
      <c r="P80" s="95" t="str" cm="1">
        <f t="array" ref="P80">INDEX(T,15,lang)</f>
        <v>PTS</v>
      </c>
      <c r="AD80" s="123">
        <f>COUNTIF($AP$80:$AP$91,CONCATENATE("&gt;=",AP80))</f>
        <v>8</v>
      </c>
      <c r="AE80" s="124" t="str">
        <f>J11</f>
        <v>México</v>
      </c>
      <c r="AF80" s="123">
        <f>VLOOKUP($AE80,$AE$8:$AQ$78,2,FALSE)</f>
        <v>0</v>
      </c>
      <c r="AG80" s="123">
        <f>VLOOKUP($AE80,$AE$8:$AQ$78,3,FALSE)</f>
        <v>3</v>
      </c>
      <c r="AH80" s="123">
        <f>VLOOKUP($AE80,$AE$8:$AQ$78,4,FALSE)</f>
        <v>0</v>
      </c>
      <c r="AI80" s="123">
        <f>VLOOKUP($AE80,$AE$8:$AQ$78,5,FALSE)</f>
        <v>2</v>
      </c>
      <c r="AJ80" s="123">
        <f>VLOOKUP($AE80,$AE$8:$AQ$78,6,FALSE)</f>
        <v>2</v>
      </c>
      <c r="AK80" s="123" t="s">
        <v>3180</v>
      </c>
      <c r="AL80" s="123">
        <f>VLOOKUP($AE80,$AE$8:$AQ$78,8,FALSE)</f>
        <v>0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5533.3341738483332</v>
      </c>
      <c r="AQ80" s="126">
        <f t="shared" ref="AQ80:AQ91" si="37">VLOOKUP($AE80,$AE$8:$AQ$78,13,FALSE)</f>
        <v>1681.03</v>
      </c>
      <c r="AR80" s="125" t="str">
        <f>IF(AD80&lt;=8,RIGHT(AK80,1),"")</f>
        <v>A</v>
      </c>
      <c r="AS80" s="129" t="str">
        <f>IF(AD80&lt;=8,AE80,"")</f>
        <v>México</v>
      </c>
      <c r="AT80" s="130" t="str">
        <f>"Ⓐ "&amp;AE80</f>
        <v>Ⓐ México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Costa de Marfil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4 - 2</v>
      </c>
      <c r="P81" s="98">
        <f>L81*3+M81</f>
        <v>5</v>
      </c>
      <c r="AD81" s="123">
        <f t="shared" ref="AD81:AD91" si="38">COUNTIF($AP$80:$AP$91,CONCATENATE("&gt;=",AP81))</f>
        <v>2</v>
      </c>
      <c r="AE81" s="124" t="str">
        <f>J17</f>
        <v>Bosnia y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3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7233.3340262533329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y Herzegovina</v>
      </c>
      <c r="AT81" s="130" t="str">
        <f>"Ⓑ "&amp;AE81</f>
        <v>Ⓑ Bosnia y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Bosnia y Herzegovina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9</v>
      </c>
      <c r="AE82" s="124" t="str">
        <f>J23</f>
        <v>Escocia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5</v>
      </c>
      <c r="AK82" s="123" t="s">
        <v>3182</v>
      </c>
      <c r="AL82" s="123">
        <f t="shared" si="43"/>
        <v>-1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5400.0007491750002</v>
      </c>
      <c r="AQ82" s="126">
        <f t="shared" si="37"/>
        <v>1498.35</v>
      </c>
      <c r="AR82" s="125" t="str">
        <f t="shared" ref="AR82:AR91" si="50">AR81&amp;IF(AD82&lt;=8,RIGHT(AK82,1),"")</f>
        <v>AB</v>
      </c>
      <c r="AS82" s="129" t="str">
        <f t="shared" si="46"/>
        <v/>
      </c>
      <c r="AT82" s="130" t="str">
        <f>"Ⓒ "&amp;AE82</f>
        <v>Ⓒ Escocia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Ⓓ Estados Unidos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2 - 2</v>
      </c>
      <c r="P83" s="101">
        <f t="shared" si="48"/>
        <v>4</v>
      </c>
      <c r="AD83" s="123">
        <f t="shared" si="38"/>
        <v>3</v>
      </c>
      <c r="AE83" s="124" t="str">
        <f>J29</f>
        <v>Estados Unidos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2</v>
      </c>
      <c r="AJ83" s="123">
        <f t="shared" si="42"/>
        <v>2</v>
      </c>
      <c r="AK83" s="123" t="s">
        <v>3184</v>
      </c>
      <c r="AL83" s="123">
        <f t="shared" si="43"/>
        <v>0</v>
      </c>
      <c r="AM83" s="123">
        <f t="shared" si="44"/>
        <v>3</v>
      </c>
      <c r="AN83" s="123">
        <f t="shared" si="45"/>
        <v>4</v>
      </c>
      <c r="AP83" s="123">
        <f>AN83/AN92*10000+AM83/AM92*1000+AI83/AI92*100+IF(AQ83=0,ROW(),AQ83)/2000000</f>
        <v>7200.0008365649992</v>
      </c>
      <c r="AQ83" s="126">
        <f t="shared" si="37"/>
        <v>1673.13</v>
      </c>
      <c r="AR83" s="125" t="str">
        <f t="shared" si="50"/>
        <v>ABD</v>
      </c>
      <c r="AS83" s="129" t="str">
        <f t="shared" si="46"/>
        <v>Estados Unidos</v>
      </c>
      <c r="AT83" s="130" t="str">
        <f>"Ⓓ "&amp;AE83</f>
        <v>Ⓓ Estados Unidos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Ⓕ Japón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2 - 2</v>
      </c>
      <c r="P84" s="101">
        <f t="shared" si="48"/>
        <v>4</v>
      </c>
      <c r="R84" s="123">
        <f>DATE(2026,12,3)+TIME(4,0,0)+gmt_delta</f>
        <v>46359.75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Alemania</v>
      </c>
      <c r="T84" s="127" t="str" cm="1">
        <f t="array" ref="T84">IF(OR(S84="",S84="draw"),INDEX(T,86,lang),S84)</f>
        <v>Alemania</v>
      </c>
      <c r="AD84" s="123">
        <f t="shared" si="38"/>
        <v>1</v>
      </c>
      <c r="AE84" s="124" t="str">
        <f>J35</f>
        <v>Costa de Marfil</v>
      </c>
      <c r="AF84" s="123">
        <f t="shared" si="39"/>
        <v>1</v>
      </c>
      <c r="AG84" s="123">
        <f t="shared" si="49"/>
        <v>2</v>
      </c>
      <c r="AH84" s="123">
        <f t="shared" si="40"/>
        <v>0</v>
      </c>
      <c r="AI84" s="123">
        <f t="shared" si="41"/>
        <v>4</v>
      </c>
      <c r="AJ84" s="123">
        <f t="shared" si="42"/>
        <v>2</v>
      </c>
      <c r="AK84" s="123" t="s">
        <v>3185</v>
      </c>
      <c r="AL84" s="123">
        <f t="shared" si="43"/>
        <v>2</v>
      </c>
      <c r="AM84" s="123">
        <f t="shared" si="44"/>
        <v>5</v>
      </c>
      <c r="AN84" s="123">
        <f t="shared" si="45"/>
        <v>5</v>
      </c>
      <c r="AP84" s="123">
        <f>AN84/AN92*10000+AM84/AM92*1000+AI84/AI92*100+IF(AQ84=0,ROW(),AQ84)/2000000</f>
        <v>9233.3340998233343</v>
      </c>
      <c r="AQ84" s="126">
        <f t="shared" si="37"/>
        <v>1532.98</v>
      </c>
      <c r="AR84" s="125" t="str">
        <f t="shared" si="50"/>
        <v>ABDE</v>
      </c>
      <c r="AS84" s="129" t="str">
        <f t="shared" si="46"/>
        <v>Costa de Marfil</v>
      </c>
      <c r="AT84" s="130" t="str">
        <f>"Ⓔ "&amp;AE84</f>
        <v>Ⓔ Costa de Marfil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Ⓖ Egipto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3 - 4</v>
      </c>
      <c r="P85" s="101">
        <f t="shared" si="48"/>
        <v>4</v>
      </c>
      <c r="R85" s="123">
        <f>DATE(2026,12,3)+TIME(8,0,0)+gmt_delta</f>
        <v>46359.916666666672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Francia</v>
      </c>
      <c r="T85" s="127" t="str" cm="1">
        <f t="array" ref="T85">IF(OR(S85="",S85="draw"),INDEX(T,87,lang),S85)</f>
        <v>Francia</v>
      </c>
      <c r="AD85" s="123">
        <f t="shared" si="38"/>
        <v>4</v>
      </c>
      <c r="AE85" s="124" t="str">
        <f>J41</f>
        <v>Japón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2</v>
      </c>
      <c r="AJ85" s="123">
        <f t="shared" si="42"/>
        <v>2</v>
      </c>
      <c r="AK85" s="123" t="s">
        <v>3186</v>
      </c>
      <c r="AL85" s="123">
        <f t="shared" si="43"/>
        <v>0</v>
      </c>
      <c r="AM85" s="123">
        <f t="shared" si="44"/>
        <v>3</v>
      </c>
      <c r="AN85" s="123">
        <f t="shared" si="45"/>
        <v>4</v>
      </c>
      <c r="AP85" s="123">
        <f>AN85/AN92*10000+AM85/AM92*1000+AI85/AI92*100+IF(AQ85=0,ROW(),AQ85)/2000000</f>
        <v>7200.000830214999</v>
      </c>
      <c r="AQ85" s="126">
        <f t="shared" si="37"/>
        <v>1660.43</v>
      </c>
      <c r="AR85" s="125" t="str">
        <f t="shared" si="50"/>
        <v>ABDEF</v>
      </c>
      <c r="AS85" s="129" t="str">
        <f t="shared" si="46"/>
        <v>Japón</v>
      </c>
      <c r="AT85" s="130" t="str">
        <f>"Ⓕ "&amp;AE85</f>
        <v>Ⓕ Japón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Ⓘ Noruega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5 - 5</v>
      </c>
      <c r="P86" s="101">
        <f t="shared" si="48"/>
        <v>3</v>
      </c>
      <c r="R86" s="123">
        <f>DATE(2026,12,4)+TIME(8,0,0)+gmt_delta</f>
        <v>46360.916666666672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5</v>
      </c>
      <c r="AE86" s="124" t="str">
        <f>J47</f>
        <v>Egipto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3</v>
      </c>
      <c r="AJ86" s="123">
        <f t="shared" si="42"/>
        <v>4</v>
      </c>
      <c r="AK86" s="123" t="s">
        <v>3187</v>
      </c>
      <c r="AL86" s="123">
        <f t="shared" si="43"/>
        <v>-1</v>
      </c>
      <c r="AM86" s="123">
        <f t="shared" si="44"/>
        <v>2</v>
      </c>
      <c r="AN86" s="123">
        <f t="shared" si="45"/>
        <v>4</v>
      </c>
      <c r="AP86" s="123">
        <f>AN86/AN92*10000+AM86/AM92*1000+AI86/AI92*100+IF(AQ86=0,ROW(),AQ86)/2000000</f>
        <v>7050.0007816199995</v>
      </c>
      <c r="AQ86" s="126">
        <f t="shared" si="37"/>
        <v>1563.24</v>
      </c>
      <c r="AR86" s="125" t="str">
        <f t="shared" si="50"/>
        <v>ABDEFG</v>
      </c>
      <c r="AS86" s="129" t="str">
        <f t="shared" si="46"/>
        <v>Egipto</v>
      </c>
      <c r="AT86" s="130" t="str">
        <f>"Ⓖ "&amp;AE86</f>
        <v>Ⓖ Egipto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Ⓛ Ghana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3</v>
      </c>
      <c r="N87" s="100">
        <f>VLOOKUP(7,$AD$80:$AN$91,5,FALSE)</f>
        <v>0</v>
      </c>
      <c r="O87" s="100" t="str">
        <f>VLOOKUP(7,$AD$80:$AN$91,6,FALSE) &amp; " - " &amp; VLOOKUP(7,$AD$80:$AN$91,7,FALSE)</f>
        <v>5 - 5</v>
      </c>
      <c r="P87" s="101">
        <f t="shared" si="48"/>
        <v>3</v>
      </c>
      <c r="R87" s="123">
        <f>DATE(2026,12,4)+TIME(4,0,0)+gmt_delta</f>
        <v>46360.75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España</v>
      </c>
      <c r="T87" s="127" t="str" cm="1">
        <f t="array" ref="T87">IF(OR(S87="",S87="draw"),INDEX(T,89,lang),S87)</f>
        <v>España</v>
      </c>
      <c r="AD87" s="123">
        <f t="shared" si="38"/>
        <v>12</v>
      </c>
      <c r="AE87" s="124" t="str">
        <f>J53</f>
        <v>Arabia Saudita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2</v>
      </c>
      <c r="AJ87" s="123">
        <f t="shared" si="42"/>
        <v>5</v>
      </c>
      <c r="AK87" s="123" t="s">
        <v>3188</v>
      </c>
      <c r="AL87" s="123">
        <f t="shared" si="43"/>
        <v>-3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1700.0007107149997</v>
      </c>
      <c r="AQ87" s="126">
        <f t="shared" si="37"/>
        <v>1421.43</v>
      </c>
      <c r="AR87" s="125" t="str">
        <f t="shared" si="50"/>
        <v>ABDEFG</v>
      </c>
      <c r="AS87" s="129" t="str">
        <f t="shared" si="46"/>
        <v/>
      </c>
      <c r="AT87" s="130" t="str">
        <f>"Ⓗ "&amp;AE87</f>
        <v>Ⓗ Arabia Saudita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Ⓐ México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3</v>
      </c>
      <c r="N88" s="100">
        <f>VLOOKUP(8,$AD$80:$AN$91,5,FALSE)</f>
        <v>0</v>
      </c>
      <c r="O88" s="100" t="str">
        <f>VLOOKUP(8,$AD$80:$AN$91,6,FALSE) &amp; " - " &amp; VLOOKUP(8,$AD$80:$AN$91,7,FALSE)</f>
        <v>2 - 2</v>
      </c>
      <c r="P88" s="101">
        <f t="shared" si="48"/>
        <v>3</v>
      </c>
      <c r="R88" s="123">
        <f>DATE(2026,12,5)+TIME(4,0,0)+gmt_delta</f>
        <v>46361.75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Suiza</v>
      </c>
      <c r="T88" s="127" t="str" cm="1">
        <f t="array" ref="T88">IF(OR(S88="",S88="draw"),INDEX(T,90,lang),S88)</f>
        <v>Suiza</v>
      </c>
      <c r="AD88" s="123">
        <f t="shared" si="38"/>
        <v>6</v>
      </c>
      <c r="AE88" s="124" t="str">
        <f>J59</f>
        <v>Noruega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5</v>
      </c>
      <c r="AJ88" s="123">
        <f t="shared" si="42"/>
        <v>5</v>
      </c>
      <c r="AK88" s="123" t="s">
        <v>3189</v>
      </c>
      <c r="AL88" s="123">
        <f t="shared" si="43"/>
        <v>0</v>
      </c>
      <c r="AM88" s="123">
        <f t="shared" si="44"/>
        <v>3</v>
      </c>
      <c r="AN88" s="123">
        <f t="shared" si="45"/>
        <v>3</v>
      </c>
      <c r="AP88" s="123">
        <f>AN88/AN92*10000+AM88/AM92*1000+AI88/AI92*100+IF(AQ88=0,ROW(),AQ88)/2000000</f>
        <v>5583.334108803333</v>
      </c>
      <c r="AQ88" s="126">
        <f t="shared" si="37"/>
        <v>1550.94</v>
      </c>
      <c r="AR88" s="125" t="str">
        <f t="shared" si="50"/>
        <v>ABDEFGI</v>
      </c>
      <c r="AS88" s="129" t="str">
        <f t="shared" si="46"/>
        <v>Noruega</v>
      </c>
      <c r="AT88" s="130" t="str">
        <f>"Ⓘ "&amp;AE88</f>
        <v>Ⓘ Noruega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Ⓒ Escocia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4 - 5</v>
      </c>
      <c r="P89" s="104">
        <f t="shared" si="48"/>
        <v>3</v>
      </c>
      <c r="R89" s="123">
        <f>DATE(2026,12,5)+TIME(8,0,0)+gmt_delta</f>
        <v>46361.916666666672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Marruecos</v>
      </c>
      <c r="T89" s="127" t="str" cm="1">
        <f t="array" ref="T89">IF(OR(S89="",S89="draw"),INDEX(T,91,lang),S89)</f>
        <v>Marruecos</v>
      </c>
      <c r="AD89" s="123">
        <f t="shared" si="38"/>
        <v>11</v>
      </c>
      <c r="AE89" s="124" t="str">
        <f>J65</f>
        <v>Argelia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0</v>
      </c>
      <c r="AJ89" s="123">
        <f t="shared" si="42"/>
        <v>2</v>
      </c>
      <c r="AK89" s="123" t="s">
        <v>3190</v>
      </c>
      <c r="AL89" s="123">
        <f t="shared" si="43"/>
        <v>-2</v>
      </c>
      <c r="AM89" s="123">
        <f t="shared" si="44"/>
        <v>1</v>
      </c>
      <c r="AN89" s="123">
        <f t="shared" si="45"/>
        <v>1</v>
      </c>
      <c r="AP89" s="123">
        <f>AN89/AN92*10000+AM89/AM92*1000+AI89/AI92*100+IF(AQ89=0,ROW(),AQ89)/2000000</f>
        <v>1833.3341154633333</v>
      </c>
      <c r="AQ89" s="126">
        <f t="shared" si="37"/>
        <v>1564.26</v>
      </c>
      <c r="AR89" s="125" t="str">
        <f t="shared" si="50"/>
        <v>ABDEFGI</v>
      </c>
      <c r="AS89" s="129" t="str">
        <f t="shared" si="46"/>
        <v/>
      </c>
      <c r="AT89" s="130" t="str">
        <f>"Ⓙ "&amp;AE89</f>
        <v>Ⓙ Argelia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RD Congo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4 - 6</v>
      </c>
      <c r="P90" s="104">
        <f t="shared" si="48"/>
        <v>2</v>
      </c>
      <c r="R90" s="123">
        <f>DATE(2026,12,6)+TIME(4,0,0)+gmt_delta</f>
        <v>46362.75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Turquía</v>
      </c>
      <c r="T90" s="127" t="str" cm="1">
        <f t="array" ref="T90">IF(OR(S90="",S90="draw"),INDEX(T,92,lang),S90)</f>
        <v>Turquía</v>
      </c>
      <c r="AD90" s="123">
        <f t="shared" si="38"/>
        <v>10</v>
      </c>
      <c r="AE90" s="124" t="str">
        <f>J71</f>
        <v>RD Congo</v>
      </c>
      <c r="AF90" s="123">
        <f t="shared" si="39"/>
        <v>0</v>
      </c>
      <c r="AG90" s="123">
        <f t="shared" si="49"/>
        <v>2</v>
      </c>
      <c r="AH90" s="123">
        <f t="shared" si="40"/>
        <v>1</v>
      </c>
      <c r="AI90" s="123">
        <f t="shared" si="41"/>
        <v>4</v>
      </c>
      <c r="AJ90" s="123">
        <f t="shared" si="42"/>
        <v>6</v>
      </c>
      <c r="AK90" s="123" t="s">
        <v>3191</v>
      </c>
      <c r="AL90" s="123">
        <f t="shared" si="43"/>
        <v>-2</v>
      </c>
      <c r="AM90" s="123">
        <f t="shared" si="44"/>
        <v>1</v>
      </c>
      <c r="AN90" s="123">
        <f t="shared" si="45"/>
        <v>2</v>
      </c>
      <c r="AP90" s="123">
        <f>AN90/AN92*10000+AM90/AM92*1000+AI90/AI92*100+IF(AQ90=0,ROW(),AQ90)/2000000</f>
        <v>3566.6674058416661</v>
      </c>
      <c r="AQ90" s="126">
        <f t="shared" si="37"/>
        <v>1478.35</v>
      </c>
      <c r="AR90" s="125" t="str">
        <f t="shared" si="50"/>
        <v>ABDEFGI</v>
      </c>
      <c r="AS90" s="129" t="str">
        <f t="shared" si="46"/>
        <v/>
      </c>
      <c r="AT90" s="130" t="str">
        <f>"Ⓚ "&amp;AE90</f>
        <v>Ⓚ RD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Ⓙ Argelia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0 - 2</v>
      </c>
      <c r="P91" s="104">
        <f t="shared" si="48"/>
        <v>1</v>
      </c>
      <c r="R91" s="123">
        <f>DATE(2026,12,6)+TIME(8,0,0)+gmt_delta</f>
        <v>46362.916666666672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Bélgica</v>
      </c>
      <c r="T91" s="127" t="str" cm="1">
        <f t="array" ref="T91">IF(OR(S91="",S91="draw"),INDEX(T,93,lang),S91)</f>
        <v>Bélgica</v>
      </c>
      <c r="AD91" s="123">
        <f t="shared" si="38"/>
        <v>7</v>
      </c>
      <c r="AE91" s="124" t="str">
        <f>J77</f>
        <v>Ghana</v>
      </c>
      <c r="AF91" s="123">
        <f t="shared" si="39"/>
        <v>0</v>
      </c>
      <c r="AG91" s="123">
        <f t="shared" si="49"/>
        <v>3</v>
      </c>
      <c r="AH91" s="123">
        <f>VLOOKUP($AE91,$AE$8:$AQ$78,4,FALSE)</f>
        <v>0</v>
      </c>
      <c r="AI91" s="123">
        <f>VLOOKUP($AE91,$AE$8:$AQ$78,5,FALSE)</f>
        <v>5</v>
      </c>
      <c r="AJ91" s="123">
        <f>VLOOKUP($AE91,$AE$8:$AQ$78,6,FALSE)</f>
        <v>5</v>
      </c>
      <c r="AK91" s="123" t="s">
        <v>3192</v>
      </c>
      <c r="AL91" s="123">
        <f>VLOOKUP($AE91,$AE$8:$AQ$78,8,FALSE)</f>
        <v>0</v>
      </c>
      <c r="AM91" s="123">
        <f t="shared" si="44"/>
        <v>3</v>
      </c>
      <c r="AN91" s="123">
        <f>VLOOKUP($AE91,$AE$8:$AQ$78,10,FALSE)</f>
        <v>3</v>
      </c>
      <c r="AP91" s="123">
        <f>AN91/AN92*10000+AM91/AM92*1000+AI91/AI92*100+IF(AQ91=0,ROW(),AQ91)/2000000</f>
        <v>5583.3340064883332</v>
      </c>
      <c r="AQ91" s="126">
        <f t="shared" si="37"/>
        <v>1346.31</v>
      </c>
      <c r="AR91" s="125" t="str">
        <f t="shared" si="50"/>
        <v>ABDEFGIL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Arabia Saudita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2 - 5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6</v>
      </c>
      <c r="AJ92" s="123">
        <f>MAX(AJ80:AJ91)+1</f>
        <v>7</v>
      </c>
      <c r="AL92" s="123">
        <f>MIN(AL80:AL91)</f>
        <v>-3</v>
      </c>
      <c r="AM92" s="123">
        <f>MAX(AM80:AM91)+1</f>
        <v>6</v>
      </c>
      <c r="AN92" s="123">
        <f>MAX(AN80:AN91)+1</f>
        <v>6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46365.916666666672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Alemania</v>
      </c>
      <c r="T95" s="127" t="str" cm="1">
        <f t="array" ref="T95">IF(OR(S95="",S95="draw"),INDEX(T,94,lang),S95)</f>
        <v>Alemania</v>
      </c>
    </row>
    <row r="96" spans="1:46" ht="12.75" customHeight="1" x14ac:dyDescent="0.25">
      <c r="R96" s="123">
        <f>DATE(2026,12,9)+TIME(4,0,0)+gmt_delta</f>
        <v>46365.75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Marruecos</v>
      </c>
      <c r="T96" s="127" t="str" cm="1">
        <f t="array" ref="T96">IF(OR(S96="",S96="draw"),INDEX(T,95,lang),S96)</f>
        <v>Marruecos</v>
      </c>
    </row>
    <row r="97" spans="18:29" ht="12.75" customHeight="1" x14ac:dyDescent="0.25">
      <c r="R97" s="123">
        <f>DATE(2026,12,10)+TIME(8,0,0)+gmt_delta</f>
        <v>46366.916666666672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España</v>
      </c>
      <c r="T97" s="127" t="str" cm="1">
        <f t="array" ref="T97">IF(OR(S97="",S97="draw"),INDEX(T,96,lang),S97)</f>
        <v>España</v>
      </c>
    </row>
    <row r="98" spans="18:29" x14ac:dyDescent="0.25">
      <c r="R98" s="123">
        <f>DATE(2026,12,10)+TIME(4,0,0)+gmt_delta</f>
        <v>46366.75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Bélgica</v>
      </c>
      <c r="T98" s="127" t="str" cm="1">
        <f t="array" ref="T98">IF(OR(S98="",S98="draw"),INDEX(T,97,lang),S98)</f>
        <v>Bélgica</v>
      </c>
    </row>
    <row r="102" spans="18:29" x14ac:dyDescent="0.25">
      <c r="R102" s="123">
        <f>DATE(2026,12,13)+TIME(8,0,0)+gmt_delta</f>
        <v>46369.916666666672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Marruecos</v>
      </c>
      <c r="T102" s="127" t="str" cm="1">
        <f t="array" ref="T102">IF(OR(S102="",S102="draw"),INDEX(T,98,lang),S102)</f>
        <v>Marruecos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Alemania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Alemania</v>
      </c>
    </row>
    <row r="103" spans="18:29" x14ac:dyDescent="0.25">
      <c r="R103" s="123">
        <f>DATE(2026,12,14)+TIME(8,0,0)+gmt_delta</f>
        <v>46370.916666666672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España</v>
      </c>
      <c r="T103" s="127" t="str" cm="1">
        <f t="array" ref="T103">IF(OR(S103="",S103="draw"),INDEX(T,99,lang),S103)</f>
        <v>España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Bélgica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Bélgica</v>
      </c>
    </row>
    <row r="107" spans="18:29" x14ac:dyDescent="0.25">
      <c r="R107" s="123">
        <f>DATE(2026,12,17)+TIME(8,0,0)+gmt_delta</f>
        <v>46373.916666666672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46374.916666666672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España</v>
      </c>
      <c r="T111" s="127" t="str">
        <f>S111</f>
        <v>España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E469" sqref="E469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363</v>
      </c>
      <c r="C3" s="121" t="str">
        <f>'2026 World Cup'!AR91</f>
        <v>ABDEFGIL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Luis Torres Del Nuevo</cp:lastModifiedBy>
  <cp:revision/>
  <dcterms:created xsi:type="dcterms:W3CDTF">2017-12-27T19:32:51Z</dcterms:created>
  <dcterms:modified xsi:type="dcterms:W3CDTF">2026-06-09T12:41:29Z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