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M1\Downloads\"/>
    </mc:Choice>
  </mc:AlternateContent>
  <xr:revisionPtr revIDLastSave="0" documentId="8_{D7886323-4A76-46F4-A580-12AF25A5A352}" xr6:coauthVersionLast="47" xr6:coauthVersionMax="47" xr10:uidLastSave="{00000000-0000-0000-0000-000000000000}"/>
  <bookViews>
    <workbookView xWindow="-38510" yWindow="-1540" windowWidth="38620" windowHeight="211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S54" i="3"/>
  <c r="S77" i="3"/>
  <c r="S50" i="3"/>
  <c r="S76" i="3"/>
  <c r="T25" i="3"/>
  <c r="S47" i="3"/>
  <c r="S67" i="3"/>
  <c r="T23" i="3"/>
  <c r="S72" i="3"/>
  <c r="T19" i="3"/>
  <c r="S70" i="3"/>
  <c r="S42" i="3"/>
  <c r="S64" i="3"/>
  <c r="T63" i="3"/>
  <c r="S40" i="3"/>
  <c r="S62" i="3"/>
  <c r="T61" i="3"/>
  <c r="T16" i="3"/>
  <c r="S38" i="3"/>
  <c r="S65" i="3"/>
  <c r="S55" i="3"/>
  <c r="S57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D58" i="3"/>
  <c r="AR34" i="3"/>
  <c r="AR33" i="3"/>
  <c r="AR10" i="3"/>
  <c r="AR9" i="3"/>
  <c r="AR28" i="3"/>
  <c r="AR11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8" i="3"/>
  <c r="AD10" i="3"/>
  <c r="AD11" i="3"/>
  <c r="AD15" i="3" l="1"/>
  <c r="M58" i="3"/>
  <c r="N58" i="3"/>
  <c r="AD9" i="3"/>
  <c r="N10" i="3" s="1"/>
  <c r="AD77" i="3"/>
  <c r="AD62" i="3"/>
  <c r="M63" i="3" s="1"/>
  <c r="AD34" i="3"/>
  <c r="AD35" i="3"/>
  <c r="AD32" i="3"/>
  <c r="L33" i="3" s="1"/>
  <c r="AD33" i="3"/>
  <c r="AD41" i="3"/>
  <c r="AD74" i="3"/>
  <c r="AD22" i="3"/>
  <c r="AD14" i="3"/>
  <c r="AD70" i="3"/>
  <c r="AD47" i="3"/>
  <c r="AD76" i="3"/>
  <c r="AD75" i="3"/>
  <c r="L58" i="3"/>
  <c r="M59" i="3"/>
  <c r="O60" i="3"/>
  <c r="AD28" i="3"/>
  <c r="L59" i="3"/>
  <c r="AD44" i="3"/>
  <c r="AD63" i="3"/>
  <c r="AD20" i="3"/>
  <c r="AD26" i="3"/>
  <c r="AD71" i="3"/>
  <c r="AD29" i="3"/>
  <c r="AD68" i="3"/>
  <c r="N69" i="3" s="1"/>
  <c r="AD21" i="3"/>
  <c r="AD27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9" i="3"/>
  <c r="N9" i="3"/>
  <c r="M9" i="3"/>
  <c r="J9" i="3"/>
  <c r="AS8" i="3" s="1"/>
  <c r="BL50" i="3" s="1"/>
  <c r="L9" i="3"/>
  <c r="L11" i="3" l="1"/>
  <c r="M12" i="3"/>
  <c r="L12" i="3"/>
  <c r="O12" i="3"/>
  <c r="M51" i="3"/>
  <c r="J12" i="3"/>
  <c r="N12" i="3"/>
  <c r="N39" i="3"/>
  <c r="N75" i="3"/>
  <c r="L36" i="3"/>
  <c r="J10" i="3"/>
  <c r="AS9" i="3" s="1"/>
  <c r="BL18" i="3" s="1"/>
  <c r="M11" i="3"/>
  <c r="N11" i="3"/>
  <c r="O33" i="3"/>
  <c r="O10" i="3"/>
  <c r="L10" i="3"/>
  <c r="O34" i="3"/>
  <c r="M33" i="3"/>
  <c r="O35" i="3"/>
  <c r="O11" i="3"/>
  <c r="J11" i="3"/>
  <c r="AE80" i="3" s="1"/>
  <c r="AQ80" i="3" s="1"/>
  <c r="M10" i="3"/>
  <c r="K58" i="3"/>
  <c r="L34" i="3"/>
  <c r="N27" i="3"/>
  <c r="O76" i="3"/>
  <c r="L75" i="3"/>
  <c r="AN88" i="3"/>
  <c r="O18" i="3"/>
  <c r="M34" i="3"/>
  <c r="M75" i="3"/>
  <c r="J75" i="3"/>
  <c r="AS74" i="3" s="1"/>
  <c r="BL54" i="3" s="1"/>
  <c r="O75" i="3"/>
  <c r="M35" i="3"/>
  <c r="N21" i="3"/>
  <c r="J63" i="3"/>
  <c r="AS62" i="3" s="1"/>
  <c r="BL58" i="3" s="1"/>
  <c r="BS60" i="3" s="1"/>
  <c r="BZ64" i="3" s="1"/>
  <c r="O63" i="3"/>
  <c r="N63" i="3"/>
  <c r="L63" i="3"/>
  <c r="P63" i="3" s="1"/>
  <c r="L65" i="3"/>
  <c r="M21" i="3"/>
  <c r="J35" i="3"/>
  <c r="AE84" i="3" s="1"/>
  <c r="AQ84" i="3" s="1"/>
  <c r="L35" i="3"/>
  <c r="J36" i="3"/>
  <c r="O36" i="3"/>
  <c r="N18" i="3"/>
  <c r="L18" i="3"/>
  <c r="J18" i="3"/>
  <c r="M69" i="3"/>
  <c r="N34" i="3"/>
  <c r="J33" i="3"/>
  <c r="AS32" i="3" s="1"/>
  <c r="BL10" i="3" s="1"/>
  <c r="P58" i="3"/>
  <c r="N33" i="3"/>
  <c r="N36" i="3"/>
  <c r="AT88" i="3"/>
  <c r="M54" i="3"/>
  <c r="L47" i="3"/>
  <c r="N35" i="3"/>
  <c r="J34" i="3"/>
  <c r="AS33" i="3" s="1"/>
  <c r="BL46" i="3" s="1"/>
  <c r="N17" i="3"/>
  <c r="P59" i="3"/>
  <c r="M36" i="3"/>
  <c r="J21" i="3"/>
  <c r="AS20" i="3" s="1"/>
  <c r="BL42" i="3" s="1"/>
  <c r="BS44" i="3" s="1"/>
  <c r="BZ48" i="3" s="1"/>
  <c r="L72" i="3"/>
  <c r="N51" i="3"/>
  <c r="J51" i="3"/>
  <c r="AS50" i="3" s="1"/>
  <c r="BL30" i="3" s="1"/>
  <c r="L77" i="3"/>
  <c r="L51" i="3"/>
  <c r="J76" i="3"/>
  <c r="AS75" i="3" s="1"/>
  <c r="BL27" i="3" s="1"/>
  <c r="N22" i="3"/>
  <c r="L76" i="3"/>
  <c r="J78" i="3"/>
  <c r="M27" i="3"/>
  <c r="N76" i="3"/>
  <c r="L16" i="3"/>
  <c r="M16" i="3"/>
  <c r="O69" i="3"/>
  <c r="K57" i="3"/>
  <c r="N77" i="3"/>
  <c r="J70" i="3"/>
  <c r="AS69" i="3" s="1"/>
  <c r="BL26" i="3" s="1"/>
  <c r="L71" i="3"/>
  <c r="J77" i="3"/>
  <c r="AE91" i="3" s="1"/>
  <c r="AQ91" i="3" s="1"/>
  <c r="O77" i="3"/>
  <c r="O78" i="3"/>
  <c r="N16" i="3"/>
  <c r="N78" i="3"/>
  <c r="L70" i="3"/>
  <c r="O16" i="3"/>
  <c r="M18" i="3"/>
  <c r="N54" i="3"/>
  <c r="M72" i="3"/>
  <c r="M76" i="3"/>
  <c r="L69" i="3"/>
  <c r="J47" i="3"/>
  <c r="AE86" i="3" s="1"/>
  <c r="AQ86" i="3" s="1"/>
  <c r="J69" i="3"/>
  <c r="AS68" i="3" s="1"/>
  <c r="BL70" i="3" s="1"/>
  <c r="J71" i="3"/>
  <c r="AE90" i="3" s="1"/>
  <c r="AQ90" i="3" s="1"/>
  <c r="J72" i="3"/>
  <c r="L78" i="3"/>
  <c r="O51" i="3"/>
  <c r="O23" i="3"/>
  <c r="M78" i="3"/>
  <c r="O72" i="3"/>
  <c r="L54" i="3"/>
  <c r="N72" i="3"/>
  <c r="O71" i="3"/>
  <c r="O65" i="3"/>
  <c r="M77" i="3"/>
  <c r="N71" i="3"/>
  <c r="N65" i="3"/>
  <c r="M48" i="3"/>
  <c r="J27" i="3"/>
  <c r="AS26" i="3" s="1"/>
  <c r="BL34" i="3" s="1"/>
  <c r="J16" i="3"/>
  <c r="AS15" i="3" s="1"/>
  <c r="BL19" i="3" s="1"/>
  <c r="M71" i="3"/>
  <c r="M65" i="3"/>
  <c r="M47" i="3"/>
  <c r="J65" i="3"/>
  <c r="AE89" i="3" s="1"/>
  <c r="AQ89" i="3" s="1"/>
  <c r="N66" i="3"/>
  <c r="O45" i="3"/>
  <c r="M70" i="3"/>
  <c r="L45" i="3"/>
  <c r="N52" i="3"/>
  <c r="N70" i="3"/>
  <c r="J46" i="3"/>
  <c r="AS45" i="3" s="1"/>
  <c r="BL63" i="3" s="1"/>
  <c r="M66" i="3"/>
  <c r="N47" i="3"/>
  <c r="J45" i="3"/>
  <c r="AS44" i="3" s="1"/>
  <c r="BL38" i="3" s="1"/>
  <c r="J24" i="3"/>
  <c r="J30" i="3"/>
  <c r="J48" i="3"/>
  <c r="N48" i="3"/>
  <c r="O47" i="3"/>
  <c r="N45" i="3"/>
  <c r="O39" i="3"/>
  <c r="O30" i="3"/>
  <c r="O22" i="3"/>
  <c r="AJ88" i="3"/>
  <c r="O66" i="3"/>
  <c r="N40" i="3"/>
  <c r="O27" i="3"/>
  <c r="J52" i="3"/>
  <c r="AS51" i="3" s="1"/>
  <c r="BL59" i="3" s="1"/>
  <c r="O48" i="3"/>
  <c r="M39" i="3"/>
  <c r="M28" i="3"/>
  <c r="AI88" i="3"/>
  <c r="O46" i="3"/>
  <c r="L39" i="3"/>
  <c r="M30" i="3"/>
  <c r="O21" i="3"/>
  <c r="AG88" i="3"/>
  <c r="M40" i="3"/>
  <c r="M45" i="3"/>
  <c r="J39" i="3"/>
  <c r="AS38" i="3" s="1"/>
  <c r="BL22" i="3" s="1"/>
  <c r="O28" i="3"/>
  <c r="L21" i="3"/>
  <c r="AF88" i="3"/>
  <c r="M46" i="3"/>
  <c r="L46" i="3"/>
  <c r="L23" i="3"/>
  <c r="J28" i="3"/>
  <c r="AS27" i="3" s="1"/>
  <c r="BL62" i="3" s="1"/>
  <c r="J29" i="3"/>
  <c r="AE83" i="3" s="1"/>
  <c r="AQ83" i="3" s="1"/>
  <c r="J40" i="3"/>
  <c r="AS39" i="3" s="1"/>
  <c r="BL43" i="3" s="1"/>
  <c r="L28" i="3"/>
  <c r="O70" i="3"/>
  <c r="N46" i="3"/>
  <c r="J41" i="3"/>
  <c r="AE85" i="3" s="1"/>
  <c r="AQ85" i="3" s="1"/>
  <c r="L27" i="3"/>
  <c r="J22" i="3"/>
  <c r="AS21" i="3" s="1"/>
  <c r="BL23" i="3" s="1"/>
  <c r="K59" i="3"/>
  <c r="M22" i="3"/>
  <c r="M42" i="3"/>
  <c r="L48" i="3"/>
  <c r="J42" i="3"/>
  <c r="L17" i="3"/>
  <c r="L66" i="3"/>
  <c r="O64" i="3"/>
  <c r="O42" i="3"/>
  <c r="L29" i="3"/>
  <c r="O24" i="3"/>
  <c r="M17" i="3"/>
  <c r="O54" i="3"/>
  <c r="N29" i="3"/>
  <c r="L22" i="3"/>
  <c r="N53" i="3"/>
  <c r="L15" i="3"/>
  <c r="M64" i="3"/>
  <c r="J64" i="3"/>
  <c r="AS63" i="3" s="1"/>
  <c r="BL31" i="3" s="1"/>
  <c r="L64" i="3"/>
  <c r="L42" i="3"/>
  <c r="L30" i="3"/>
  <c r="M29" i="3"/>
  <c r="N24" i="3"/>
  <c r="M41" i="3"/>
  <c r="N64" i="3"/>
  <c r="N30" i="3"/>
  <c r="M24" i="3"/>
  <c r="O29" i="3"/>
  <c r="P57" i="3"/>
  <c r="L40" i="3"/>
  <c r="J66" i="3"/>
  <c r="O40" i="3"/>
  <c r="N28" i="3"/>
  <c r="L24" i="3"/>
  <c r="O1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3" i="3"/>
  <c r="P9" i="3"/>
  <c r="K9" i="3"/>
  <c r="BS61" i="3" l="1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11" i="3"/>
  <c r="P12" i="3"/>
  <c r="K12" i="3"/>
  <c r="K11" i="3"/>
  <c r="P36" i="3"/>
  <c r="K10" i="3"/>
  <c r="AN80" i="3"/>
  <c r="AJ80" i="3"/>
  <c r="AL80" i="3"/>
  <c r="AI80" i="3"/>
  <c r="AF80" i="3"/>
  <c r="AH80" i="3"/>
  <c r="AT80" i="3"/>
  <c r="P10" i="3"/>
  <c r="P34" i="3"/>
  <c r="AG80" i="3"/>
  <c r="K33" i="3"/>
  <c r="K75" i="3"/>
  <c r="P75" i="3"/>
  <c r="P21" i="3"/>
  <c r="K63" i="3"/>
  <c r="K34" i="3"/>
  <c r="K35" i="3"/>
  <c r="K51" i="3"/>
  <c r="AJ84" i="3"/>
  <c r="AI84" i="3"/>
  <c r="P18" i="3"/>
  <c r="K36" i="3"/>
  <c r="AF84" i="3"/>
  <c r="P35" i="3"/>
  <c r="AH84" i="3"/>
  <c r="AL84" i="3"/>
  <c r="P65" i="3"/>
  <c r="AG84" i="3"/>
  <c r="AT84" i="3"/>
  <c r="AN84" i="3"/>
  <c r="K69" i="3"/>
  <c r="P54" i="3"/>
  <c r="AF86" i="3"/>
  <c r="P51" i="3"/>
  <c r="P46" i="3"/>
  <c r="P72" i="3"/>
  <c r="P77" i="3"/>
  <c r="P16" i="3"/>
  <c r="K76" i="3"/>
  <c r="K27" i="3"/>
  <c r="P69" i="3"/>
  <c r="K16" i="3"/>
  <c r="P71" i="3"/>
  <c r="AI91" i="3"/>
  <c r="AL91" i="3"/>
  <c r="AH91" i="3"/>
  <c r="P70" i="3"/>
  <c r="AT91" i="3"/>
  <c r="AN85" i="3"/>
  <c r="AG91" i="3"/>
  <c r="K39" i="3"/>
  <c r="K54" i="3"/>
  <c r="AH86" i="3"/>
  <c r="AF91" i="3"/>
  <c r="K78" i="3"/>
  <c r="P28" i="3"/>
  <c r="K18" i="3"/>
  <c r="K71" i="3"/>
  <c r="AI86" i="3"/>
  <c r="AN91" i="3"/>
  <c r="AG86" i="3"/>
  <c r="AJ91" i="3"/>
  <c r="P76" i="3"/>
  <c r="P48" i="3"/>
  <c r="P41" i="3"/>
  <c r="P45" i="3"/>
  <c r="P29" i="3"/>
  <c r="AL85" i="3"/>
  <c r="K42" i="3"/>
  <c r="AF85" i="3"/>
  <c r="AT86" i="3"/>
  <c r="K47" i="3"/>
  <c r="K72" i="3"/>
  <c r="AI90" i="3"/>
  <c r="K17" i="3"/>
  <c r="K48" i="3"/>
  <c r="AI85" i="3"/>
  <c r="P66" i="3"/>
  <c r="AH90" i="3"/>
  <c r="P23" i="3"/>
  <c r="AG90" i="3"/>
  <c r="AJ85" i="3"/>
  <c r="AT90" i="3"/>
  <c r="AN90" i="3"/>
  <c r="AH85" i="3"/>
  <c r="AL90" i="3"/>
  <c r="K30" i="3"/>
  <c r="AG85" i="3"/>
  <c r="AJ90" i="3"/>
  <c r="AG82" i="3"/>
  <c r="AN86" i="3"/>
  <c r="AF90" i="3"/>
  <c r="P27" i="3"/>
  <c r="AL86" i="3"/>
  <c r="K65" i="3"/>
  <c r="P15" i="3"/>
  <c r="AJ86" i="3"/>
  <c r="AL87" i="3"/>
  <c r="AJ87" i="3"/>
  <c r="P78" i="3"/>
  <c r="P39" i="3"/>
  <c r="K28" i="3"/>
  <c r="P30" i="3"/>
  <c r="AH87" i="3"/>
  <c r="K70" i="3"/>
  <c r="AG87" i="3"/>
  <c r="K77" i="3"/>
  <c r="K45" i="3"/>
  <c r="AN87" i="3"/>
  <c r="AF87" i="3"/>
  <c r="K41" i="3"/>
  <c r="P64" i="3"/>
  <c r="AJ83" i="3"/>
  <c r="K66" i="3"/>
  <c r="AI83" i="3"/>
  <c r="AT89" i="3"/>
  <c r="AN89" i="3"/>
  <c r="AF83" i="3"/>
  <c r="AJ89" i="3"/>
  <c r="P22" i="3"/>
  <c r="P42" i="3"/>
  <c r="AL89" i="3"/>
  <c r="AI89" i="3"/>
  <c r="AH89" i="3"/>
  <c r="K46" i="3"/>
  <c r="AN83" i="3"/>
  <c r="P53" i="3"/>
  <c r="P17" i="3"/>
  <c r="AG83" i="3"/>
  <c r="P47" i="3"/>
  <c r="AG89" i="3"/>
  <c r="AT83" i="3"/>
  <c r="AL83" i="3"/>
  <c r="AH83" i="3"/>
  <c r="AF89" i="3"/>
  <c r="AF82" i="3"/>
  <c r="K24" i="3"/>
  <c r="K29" i="3"/>
  <c r="K21" i="3"/>
  <c r="K23" i="3"/>
  <c r="K22" i="3"/>
  <c r="K15" i="3"/>
  <c r="AT82" i="3"/>
  <c r="AN82" i="3"/>
  <c r="AT85" i="3"/>
  <c r="AI82" i="3"/>
  <c r="AJ82" i="3"/>
  <c r="AH82" i="3"/>
  <c r="K40" i="3"/>
  <c r="AT81" i="3"/>
  <c r="AN81" i="3"/>
  <c r="AJ81" i="3"/>
  <c r="K53" i="3"/>
  <c r="AI81" i="3"/>
  <c r="P40" i="3"/>
  <c r="AG81" i="3"/>
  <c r="AF81" i="3"/>
  <c r="AL81" i="3"/>
  <c r="AH81" i="3"/>
  <c r="K64" i="3"/>
  <c r="P24" i="3"/>
  <c r="AT87" i="3"/>
  <c r="P52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J92" i="3"/>
  <c r="AN92" i="3"/>
  <c r="AG92" i="3"/>
  <c r="AL92" i="3"/>
  <c r="AM88" i="3" s="1"/>
  <c r="AF92" i="3"/>
  <c r="AS92" i="3"/>
  <c r="AH92" i="3"/>
  <c r="AI92" i="3"/>
  <c r="S103" i="3" l="1"/>
  <c r="T103" i="3" s="1" a="1"/>
  <c r="T103" i="3" s="1"/>
  <c r="CG24" i="3"/>
  <c r="CN48" i="3" s="1"/>
  <c r="AM80" i="3"/>
  <c r="AM89" i="3"/>
  <c r="AM90" i="3"/>
  <c r="AM82" i="3"/>
  <c r="AM83" i="3"/>
  <c r="AM91" i="3"/>
  <c r="AM84" i="3"/>
  <c r="AM85" i="3"/>
  <c r="AM87" i="3"/>
  <c r="AM81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S111" i="3"/>
  <c r="T111" i="3" s="1"/>
  <c r="AD88" i="3"/>
  <c r="AS88" i="3" s="1"/>
  <c r="AD80" i="3"/>
  <c r="AD86" i="3"/>
  <c r="AS86" i="3" s="1"/>
  <c r="AD91" i="3"/>
  <c r="AS91" i="3" s="1"/>
  <c r="AD82" i="3"/>
  <c r="AS82" i="3" s="1"/>
  <c r="AD89" i="3"/>
  <c r="AS89" i="3" s="1"/>
  <c r="AD85" i="3"/>
  <c r="AS85" i="3" s="1"/>
  <c r="AD84" i="3"/>
  <c r="AS84" i="3" s="1"/>
  <c r="AD90" i="3"/>
  <c r="AS90" i="3" s="1"/>
  <c r="AD83" i="3"/>
  <c r="AS83" i="3" s="1"/>
  <c r="AD81" i="3"/>
  <c r="AS81" i="3" s="1"/>
  <c r="AD87" i="3"/>
  <c r="AS87" i="3" s="1"/>
  <c r="J81" i="3" l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AS80" i="3"/>
  <c r="L81" i="3"/>
  <c r="N81" i="3"/>
  <c r="M81" i="3"/>
  <c r="O81" i="3"/>
  <c r="J91" i="3"/>
  <c r="M86" i="3"/>
  <c r="L84" i="3"/>
  <c r="L92" i="3"/>
  <c r="M87" i="3"/>
  <c r="N89" i="3"/>
  <c r="N90" i="3"/>
  <c r="N84" i="3"/>
  <c r="J84" i="3"/>
  <c r="M82" i="3"/>
  <c r="O89" i="3"/>
  <c r="L83" i="3"/>
  <c r="N88" i="3"/>
  <c r="J90" i="3"/>
  <c r="N91" i="3"/>
  <c r="J88" i="3"/>
  <c r="O83" i="3"/>
  <c r="O85" i="3"/>
  <c r="J82" i="3"/>
  <c r="M83" i="3"/>
  <c r="M91" i="3"/>
  <c r="O86" i="3"/>
  <c r="O88" i="3"/>
  <c r="L87" i="3"/>
  <c r="N86" i="3"/>
  <c r="M89" i="3"/>
  <c r="N92" i="3"/>
  <c r="N87" i="3"/>
  <c r="J86" i="3"/>
  <c r="O87" i="3"/>
  <c r="L86" i="3"/>
  <c r="L90" i="3"/>
  <c r="M90" i="3"/>
  <c r="J83" i="3"/>
  <c r="J87" i="3"/>
  <c r="M92" i="3"/>
  <c r="J89" i="3"/>
  <c r="L88" i="3"/>
  <c r="O90" i="3"/>
  <c r="M85" i="3"/>
  <c r="O91" i="3"/>
  <c r="L89" i="3"/>
  <c r="M84" i="3"/>
  <c r="N82" i="3"/>
  <c r="J92" i="3"/>
  <c r="N85" i="3"/>
  <c r="M88" i="3"/>
  <c r="O84" i="3"/>
  <c r="O82" i="3"/>
  <c r="O92" i="3"/>
  <c r="L91" i="3"/>
  <c r="L85" i="3"/>
  <c r="N83" i="3"/>
  <c r="L82" i="3"/>
  <c r="J85" i="3"/>
  <c r="P81" i="3" l="1"/>
  <c r="K81" i="3"/>
  <c r="P86" i="3"/>
  <c r="K84" i="3"/>
  <c r="P84" i="3"/>
  <c r="P89" i="3"/>
  <c r="P82" i="3"/>
  <c r="K87" i="3"/>
  <c r="K92" i="3"/>
  <c r="K86" i="3"/>
  <c r="K91" i="3"/>
  <c r="P88" i="3"/>
  <c r="P87" i="3"/>
  <c r="P90" i="3"/>
  <c r="K90" i="3"/>
  <c r="K85" i="3"/>
  <c r="P92" i="3"/>
  <c r="K83" i="3"/>
  <c r="G3" i="4"/>
  <c r="BL11" i="3" s="1"/>
  <c r="H3" i="4"/>
  <c r="BL39" i="3" s="1"/>
  <c r="K89" i="3"/>
  <c r="E3" i="4"/>
  <c r="BL67" i="3" s="1"/>
  <c r="K88" i="3"/>
  <c r="K3" i="4"/>
  <c r="BL55" i="3" s="1"/>
  <c r="P83" i="3"/>
  <c r="K82" i="3"/>
  <c r="I3" i="4"/>
  <c r="BL15" i="3" s="1"/>
  <c r="P91" i="3"/>
  <c r="B3" i="4"/>
  <c r="D3" i="4"/>
  <c r="BL51" i="3" s="1"/>
  <c r="P85" i="3"/>
  <c r="J3" i="4"/>
  <c r="BL71" i="3" s="1"/>
  <c r="BS53" i="3"/>
  <c r="BS52" i="3"/>
  <c r="BZ49" i="3" s="1"/>
  <c r="CG55" i="3" s="1"/>
  <c r="CN49" i="3" s="1"/>
  <c r="BS69" i="3"/>
  <c r="BZ65" i="3" s="1"/>
  <c r="CG56" i="3" s="1"/>
  <c r="CN38" i="3" s="1"/>
  <c r="CK68" i="3" s="1"/>
  <c r="BS68" i="3"/>
  <c r="S91" i="3" l="1"/>
  <c r="T91" i="3" s="1" a="1"/>
  <c r="T91" i="3" s="1"/>
  <c r="BS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<sst xmlns="http://schemas.openxmlformats.org/spreadsheetml/2006/main" count="9785" uniqueCount="3699">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</sst>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" zoomScale="130" zoomScaleNormal="130" workbookViewId="0">
      <selection activeCell="BS76" sqref="BS76"/>
    </sheetView>
  </sheetViews>
  <sheetFormatPr baseColWidth="10"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3167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44" t="s">
        <v>3180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87500009.550840512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12500000.200714864</v>
      </c>
      <c r="AQ9" s="126">
        <f>VLOOKUP(AE9,db_fifarank,2,FALSE)</f>
        <v>1429.73</v>
      </c>
      <c r="AR9" s="125">
        <f>AP9/AP12</f>
        <v>0.14285712792516675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6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62500008.300794326</v>
      </c>
      <c r="AQ10" s="126">
        <f>VLOOKUP(AE10,db_fifarank,2,FALSE)</f>
        <v>1588.66</v>
      </c>
      <c r="AR10" s="125">
        <f>AP10/AP12</f>
        <v>0.71428572302262383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3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25000004.150750689</v>
      </c>
      <c r="AQ11" s="126">
        <f>VLOOKUP(AE11,db_fifarank,2,FALSE)</f>
        <v>1501.38</v>
      </c>
      <c r="AR11" s="125">
        <f>AP11/AP12</f>
        <v>0.28571429869971077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87500010.550840512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60000006.334111579</v>
      </c>
      <c r="AQ14" s="126">
        <f>VLOOKUP(AE14,db_fifarank,2,FALSE)</f>
        <v>1556.48</v>
      </c>
      <c r="AR14" s="125">
        <f>AP14/AP18</f>
        <v>0.66666665524945323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3</v>
      </c>
      <c r="AL15" s="123">
        <f>AI15-AJ15</f>
        <v>-3</v>
      </c>
      <c r="AM15" s="123">
        <f>AL15-AL18</f>
        <v>2</v>
      </c>
      <c r="AN15" s="123">
        <f>AF15*3+AG15</f>
        <v>1</v>
      </c>
      <c r="AO15" s="123">
        <f>AN15/AN18*10+BA15</f>
        <v>1.9803921568627452</v>
      </c>
      <c r="AP15" s="123">
        <f>AO15*10000000+BI15*100+AM15/AM18*10+AI15/AI18*1++IF(AQ15=0,ROW(),AQ15)/2000000</f>
        <v>19804021.275202725</v>
      </c>
      <c r="AQ15" s="126">
        <f>VLOOKUP(AE15,db_fifarank,2,FALSE)</f>
        <v>1385.84</v>
      </c>
      <c r="AR15" s="125">
        <f>AP15/AP18</f>
        <v>0.22004465383735036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19804019.608570617</v>
      </c>
      <c r="AQ16" s="126">
        <f>VLOOKUP(AE16,db_fifarank,2,FALSE)</f>
        <v>1454.96</v>
      </c>
      <c r="AR16" s="125">
        <f>AP16/AP18</f>
        <v>0.22004463531921808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0 - 3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90000010.042491376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-5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90000011.042491376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12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60000008.750880577</v>
      </c>
      <c r="AQ20" s="126">
        <f>VLOOKUP(AE20,db_fifarank,2,FALSE)</f>
        <v>1761.16</v>
      </c>
      <c r="AR20" s="125">
        <f>AP20/AP24</f>
        <v>0.66666668086747682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1</v>
      </c>
      <c r="AL21" s="123">
        <f>AI21-AJ21</f>
        <v>6</v>
      </c>
      <c r="AM21" s="123">
        <f>AL21-AL24</f>
        <v>14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90000010.20921126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7.176165772898242E-12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Sweden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30000004.250749175</v>
      </c>
      <c r="AQ23" s="126">
        <f>VLOOKUP(AE23,db_fifarank,2,FALSE)</f>
        <v>1498.35</v>
      </c>
      <c r="AR23" s="125">
        <f>AP23/AP24</f>
        <v>0.33333333904828172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90000011.20921126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5</v>
      </c>
      <c r="AL26" s="123">
        <f>AI26-AJ26</f>
        <v>-2</v>
      </c>
      <c r="AM26" s="123">
        <f>AL26-AL30</f>
        <v>2</v>
      </c>
      <c r="AN26" s="123">
        <f>AF26*3+AG26</f>
        <v>3</v>
      </c>
      <c r="AO26" s="123">
        <f>AN26/AN30*10+BA26</f>
        <v>3.75</v>
      </c>
      <c r="AP26" s="123">
        <f>AO26*10000000+BI26*100+AM26/AM30*10+AI26/AI30*1++IF(AQ26=0,ROW(),AQ26)/2000000</f>
        <v>37500002.59805879</v>
      </c>
      <c r="AQ26" s="126">
        <f>VLOOKUP(AE26,db_fifarank,2,FALSE)</f>
        <v>1673.13</v>
      </c>
      <c r="AR26" s="125">
        <f>AP26/AP30</f>
        <v>0.38538248420445609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2</v>
      </c>
      <c r="AL27" s="123">
        <f>AI27-AJ27</f>
        <v>2</v>
      </c>
      <c r="AM27" s="123">
        <f>AL27-AL30</f>
        <v>6</v>
      </c>
      <c r="AN27" s="123">
        <f>AF27*3+AG27</f>
        <v>7</v>
      </c>
      <c r="AO27" s="123">
        <f>AN27/AN30*10+BA27</f>
        <v>9.7305825242718456</v>
      </c>
      <c r="AP27" s="123">
        <f>AO27*10000000+BI27*100+AM27/AM30*10+AI27/AI30*1++IF(AQ27=0,ROW(),AQ27)/2000000</f>
        <v>97305930.468389302</v>
      </c>
      <c r="AQ27" s="126">
        <f>VLOOKUP(AE27,db_fifarank,2,FALSE)</f>
        <v>1503.5</v>
      </c>
      <c r="AR27" s="125">
        <f>AP27/AP30</f>
        <v>0.99999996303133998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0.37579033499999998</v>
      </c>
      <c r="AQ28" s="126">
        <f>VLOOKUP(AE28,db_fifarank,2,FALSE)</f>
        <v>1580.67</v>
      </c>
      <c r="AR28" s="125">
        <f>AP28/AP30</f>
        <v>3.8619467415669355E-9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97305933.065659299</v>
      </c>
      <c r="AQ29" s="126">
        <f>VLOOKUP(AE29,db_fifarank,2,FALSE)</f>
        <v>1599.04</v>
      </c>
      <c r="AR29" s="125">
        <f>AP29/AP30</f>
        <v>0.99999998972313442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8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97305934.065659299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90000010.383640304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7.1924990902575279E-12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3</v>
      </c>
      <c r="AL34" s="123">
        <f>AI34-AJ34</f>
        <v>2</v>
      </c>
      <c r="AM34" s="123">
        <f>AL34-AL36</f>
        <v>12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49805930.07207229</v>
      </c>
      <c r="AQ34" s="126">
        <f>VLOOKUP(AE34,db_fifarank,2,FALSE)</f>
        <v>1532.98</v>
      </c>
      <c r="AR34" s="125">
        <f>AP34/AP36</f>
        <v>0.5533991530263932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5 - 5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10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49805929.019471608</v>
      </c>
      <c r="AQ35" s="126">
        <f>VLOOKUP(AE35,db_fifarank,2,FALSE)</f>
        <v>1594.78</v>
      </c>
      <c r="AR35" s="125">
        <f>AP35/AP36</f>
        <v>0.55339914133083157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Ecuador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90000011.383640304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Senegal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2</v>
      </c>
      <c r="AL38" s="123">
        <f>AI38-AJ38</f>
        <v>2</v>
      </c>
      <c r="AM38" s="123">
        <f>AL38-AL42</f>
        <v>6</v>
      </c>
      <c r="AN38" s="123">
        <f>AF38*3+AG38</f>
        <v>5</v>
      </c>
      <c r="AO38" s="123">
        <f>AN38/AN42*10+BA38</f>
        <v>6.25</v>
      </c>
      <c r="AP38" s="123">
        <f>AO38*10000000+BI38*100+AM38/AM42*10+AI38/AI42*1++IF(AQ38=0,ROW(),AQ38)/2000000</f>
        <v>62500008.300878935</v>
      </c>
      <c r="AQ38" s="126">
        <f>VLOOKUP(AE38,db_fifarank,2,FALSE)</f>
        <v>1757.87</v>
      </c>
      <c r="AR38" s="125">
        <f>AP38/AP42</f>
        <v>0.7142857230242694</v>
      </c>
      <c r="AS38" s="125" t="str">
        <f>IF(SUM(AF38:AH41)=12,J39,"1F")</f>
        <v>Sweden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Sweden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3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50000004.150830217</v>
      </c>
      <c r="AQ39" s="126">
        <f>VLOOKUP(AE39,db_fifarank,2,FALSE)</f>
        <v>1660.43</v>
      </c>
      <c r="AR39" s="125">
        <f>AP39/AP42</f>
        <v>0.57142854996372827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Senegal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1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1</v>
      </c>
      <c r="AH40" s="123">
        <f>COUNTIF($S$7:$T$78,"=" &amp; AE40 &amp; "_lose")</f>
        <v>0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1</v>
      </c>
      <c r="AL40" s="123">
        <f>AI40-AJ40</f>
        <v>3</v>
      </c>
      <c r="AM40" s="123">
        <f>AL40-AL42</f>
        <v>7</v>
      </c>
      <c r="AN40" s="123">
        <f>AF40*3+AG40</f>
        <v>7</v>
      </c>
      <c r="AO40" s="123">
        <f>AN40/AN42*10+BA40</f>
        <v>8.75</v>
      </c>
      <c r="AP40" s="123">
        <f>AO40*10000000+BI40*100+AM40/AM42*10+AI40/AI42*1++IF(AQ40=0,ROW(),AQ40)/2000000</f>
        <v>87500009.550757378</v>
      </c>
      <c r="AQ40" s="126">
        <f>VLOOKUP(AE40,db_fifarank,2,FALSE)</f>
        <v>1514.77</v>
      </c>
      <c r="AR40" s="125">
        <f>AP40/AP42</f>
        <v>0.99999998857142991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8.474570406707014E-12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5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87500010.550757378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90000010.120525479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60000005.82984145</v>
      </c>
      <c r="AQ45" s="126">
        <f>VLOOKUP(AE45,db_fifarank,2,FALSE)</f>
        <v>1563.24</v>
      </c>
      <c r="AR45" s="125">
        <f>AP45/AP48</f>
        <v>0.6666666490684221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19804019.608650789</v>
      </c>
      <c r="AQ46" s="126">
        <f>VLOOKUP(AE46,db_fifarank,2,FALSE)</f>
        <v>1615.3</v>
      </c>
      <c r="AR46" s="125">
        <f>AP46/AP48</f>
        <v>0.22004463512932018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1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19804020.37771469</v>
      </c>
      <c r="AQ47" s="126">
        <f>VLOOKUP(AE47,db_fifarank,2,FALSE)</f>
        <v>1281.57</v>
      </c>
      <c r="AR47" s="125">
        <f>AP47/AP48</f>
        <v>0.2200446436744736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90000011.120525479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Morocco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Mexico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90000010.106707439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0.12568306500000001</v>
      </c>
      <c r="AQ51" s="126">
        <f>VLOOKUP(AE51,db_fifarank,2,FALSE)</f>
        <v>1366.13</v>
      </c>
      <c r="AR51" s="125">
        <f>AP51/AP54</f>
        <v>1.3964783276635975E-9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30000002.558403023</v>
      </c>
      <c r="AQ52" s="126">
        <f>VLOOKUP(AE52,db_fifarank,2,FALSE)</f>
        <v>1421.43</v>
      </c>
      <c r="AR52" s="125">
        <f>AP52/AP54</f>
        <v>0.33333332062408166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60000007.548913456</v>
      </c>
      <c r="AQ53" s="126">
        <f>VLOOKUP(AE53,db_fifarank,2,FALSE)</f>
        <v>1673.07</v>
      </c>
      <c r="AR53" s="125">
        <f>AP53/AP54</f>
        <v>0.66666666827157572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Croatia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2</v>
      </c>
      <c r="W54" s="123">
        <f t="shared" si="22"/>
        <v>2</v>
      </c>
      <c r="X54" s="123">
        <f t="shared" si="9"/>
        <v>1</v>
      </c>
      <c r="Y54" s="123">
        <f t="shared" si="10"/>
        <v>2</v>
      </c>
      <c r="Z54" s="123">
        <f t="shared" si="11"/>
        <v>2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90000011.106707439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Mexico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30000005.885459878</v>
      </c>
      <c r="AQ57" s="126">
        <f>VLOOKUP(AE57,db_fifarank,2,FALSE)</f>
        <v>1688.99</v>
      </c>
      <c r="AR57" s="125">
        <f>AP57/AP60</f>
        <v>0.33333335759137384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60000007.548852392</v>
      </c>
      <c r="AQ59" s="126">
        <f>VLOOKUP(AE59,db_fifarank,2,FALSE)</f>
        <v>1550.94</v>
      </c>
      <c r="AR59" s="125">
        <f>AP59/AP60</f>
        <v>0.66666666827089394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90000010.161651701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6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30000004.536496416</v>
      </c>
      <c r="AQ63" s="126">
        <f>VLOOKUP(AE63,db_fifarank,2,FALSE)</f>
        <v>1564.26</v>
      </c>
      <c r="AR63" s="125">
        <f>AP63/AP66</f>
        <v>0.33333334239939721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60000006.929368153</v>
      </c>
      <c r="AQ64" s="126">
        <f>VLOOKUP(AE64,db_fifarank,2,FALSE)</f>
        <v>1593.45</v>
      </c>
      <c r="AR64" s="125">
        <f>AP64/AP66</f>
        <v>0.66666666098074534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7.7302768190815852E-12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-7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90000011.161651701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90000010.120540038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Portugal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3</v>
      </c>
      <c r="AN69" s="123">
        <f>AF69*3+AG69</f>
        <v>4</v>
      </c>
      <c r="AO69" s="123">
        <f>AN69/AN72*10+BA69</f>
        <v>4.9806451612903224</v>
      </c>
      <c r="AP69" s="123">
        <f>AO69*10000000+BI69*100+AM69/AM72*10+AI69/AI72*1++IF(AQ69=0,ROW(),AQ69)/2000000</f>
        <v>49806552.430295274</v>
      </c>
      <c r="AQ69" s="126">
        <f>VLOOKUP(AE69,db_fifarank,2,FALSE)</f>
        <v>1478.35</v>
      </c>
      <c r="AR69" s="125">
        <f>AP69/AP72</f>
        <v>0.55340606973467688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0.11184378111111111</v>
      </c>
      <c r="AQ70" s="126">
        <f>VLOOKUP(AE70,db_fifarank,2,FALSE)</f>
        <v>1465.34</v>
      </c>
      <c r="AR70" s="125">
        <f>AP70/AP72</f>
        <v>1.2427085254613466E-9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4 - 6</v>
      </c>
      <c r="P71" s="34">
        <f>L71*3+M71</f>
        <v>4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5</v>
      </c>
      <c r="AN71" s="123">
        <f>AF71*3+AG71</f>
        <v>4</v>
      </c>
      <c r="AO71" s="123">
        <f>AN71/AN72*10+BA71</f>
        <v>4.9806451612903224</v>
      </c>
      <c r="AP71" s="123">
        <f>AO71*10000000+BI71*100+AM71/AM72*10+AI71/AI72*1++IF(AQ71=0,ROW(),AQ71)/2000000</f>
        <v>49806553.968864188</v>
      </c>
      <c r="AQ71" s="126">
        <f>VLOOKUP(AE71,db_fifarank,2,FALSE)</f>
        <v>1693.09</v>
      </c>
      <c r="AR71" s="125">
        <f>AP71/AP72</f>
        <v>0.5534060868298849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9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90000011.120540038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2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2</v>
      </c>
      <c r="AL74" s="123">
        <f>AI74-AJ74</f>
        <v>2</v>
      </c>
      <c r="AM74" s="123">
        <f>AL74-AL78</f>
        <v>7</v>
      </c>
      <c r="AN74" s="123">
        <f>AF74*3+AG74</f>
        <v>5</v>
      </c>
      <c r="AO74" s="123">
        <f>AN74/AN78*10+BA74</f>
        <v>6.25</v>
      </c>
      <c r="AP74" s="123">
        <f>AO74*10000000+BI74*100+AM74/AM78*10+AI74/AI78*1++IF(AQ74=0,ROW(),AQ74)/2000000</f>
        <v>62500009.550912984</v>
      </c>
      <c r="AQ74" s="126">
        <f>VLOOKUP(AE74,db_fifarank,2,FALSE)</f>
        <v>1825.97</v>
      </c>
      <c r="AR74" s="125">
        <f>AP74/AP78</f>
        <v>0.71428573894219838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3 - 1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7</v>
      </c>
      <c r="AN75" s="123">
        <f>AF75*3+AG75</f>
        <v>7</v>
      </c>
      <c r="AO75" s="123">
        <f>AN75/AN78*10+BA75</f>
        <v>8.75</v>
      </c>
      <c r="AP75" s="123">
        <f>AO75*10000000+BI75*100+AM75/AM78*10+AI75/AI78*1++IF(AQ75=0,ROW(),AQ75)/2000000</f>
        <v>87500009.350858524</v>
      </c>
      <c r="AQ75" s="126">
        <f>VLOOKUP(AE75,db_fifarank,2,FALSE)</f>
        <v>1717.07</v>
      </c>
      <c r="AR75" s="125">
        <f>AP75/AP78</f>
        <v>0.99999998857142991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4 - 2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2</v>
      </c>
      <c r="AL76" s="123">
        <f>AI76-AJ76</f>
        <v>1</v>
      </c>
      <c r="AM76" s="123">
        <f>AL76-AL78</f>
        <v>6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50000008.100673154</v>
      </c>
      <c r="AQ76" s="126">
        <f>VLOOKUP(AE76,db_fifarank,2,FALSE)</f>
        <v>1346.31</v>
      </c>
      <c r="AR76" s="125">
        <f>AP76/AP78</f>
        <v>0.57142859641024679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3 - 2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8.8036561014240143E-12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5</v>
      </c>
      <c r="AL78" s="123">
        <f>MIN(AL74:AL77)</f>
        <v>-5</v>
      </c>
      <c r="AM78" s="123">
        <f>MAX(AM74:AM77)+1</f>
        <v>8</v>
      </c>
      <c r="AN78" s="123">
        <f>MAX(AN74:AN77)+1</f>
        <v>8</v>
      </c>
      <c r="AO78" s="123">
        <f>MAX(AO74:AO77)+1</f>
        <v>9.75</v>
      </c>
      <c r="AP78" s="123">
        <f>MAX(AP74:AP77)+1</f>
        <v>87500010.350858524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3181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4533.3340840233332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3</v>
      </c>
      <c r="AK81" s="123" t="s">
        <v>3182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2166.6673595866664</v>
      </c>
      <c r="AQ81" s="126">
        <f t="shared" si="37"/>
        <v>1385.84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Ecuador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3183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6366.6674158416663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3184</v>
      </c>
      <c r="D83" s="133"/>
      <c r="E83" s="133"/>
      <c r="F83" s="133"/>
      <c r="G83" s="134"/>
      <c r="H83" s="75"/>
      <c r="I83" s="69"/>
      <c r="J83" s="99" t="str">
        <f>VLOOKUP(3,$AD$80:$AT$91,17,FALSE)</f>
        <v>Ⓕ Japan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7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3185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6383.3341698983331</v>
      </c>
      <c r="AQ83" s="126">
        <f t="shared" si="37"/>
        <v>1673.13</v>
      </c>
      <c r="AR83" s="125" t="str">
        <f t="shared" si="50"/>
        <v>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Ⓚ DR Congo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4 - 6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5</v>
      </c>
      <c r="AK84" s="123" t="s">
        <v>3186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8750.0007973899992</v>
      </c>
      <c r="AQ84" s="126">
        <f t="shared" si="37"/>
        <v>1594.78</v>
      </c>
      <c r="AR84" s="125" t="str">
        <f t="shared" si="50"/>
        <v>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3187</v>
      </c>
      <c r="AL85" s="123">
        <f t="shared" si="43"/>
        <v>-1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8533.3341635483339</v>
      </c>
      <c r="AQ85" s="126">
        <f t="shared" si="37"/>
        <v>1660.43</v>
      </c>
      <c r="AR85" s="125" t="str">
        <f t="shared" si="50"/>
        <v>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4</v>
      </c>
      <c r="AK86" s="123" t="s">
        <v>3188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2000.0006407850001</v>
      </c>
      <c r="AQ86" s="126">
        <f t="shared" si="37"/>
        <v>1281.57</v>
      </c>
      <c r="AR86" s="125" t="str">
        <f t="shared" si="50"/>
        <v>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United States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3189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6200.0007107150004</v>
      </c>
      <c r="AQ87" s="126">
        <f t="shared" si="37"/>
        <v>1421.43</v>
      </c>
      <c r="AR87" s="125" t="str">
        <f t="shared" si="50"/>
        <v>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3190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6733.3341778283338</v>
      </c>
      <c r="AQ88" s="126">
        <f t="shared" si="37"/>
        <v>1688.99</v>
      </c>
      <c r="AR88" s="125" t="str">
        <f t="shared" si="50"/>
        <v>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3191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6533.3341154633326</v>
      </c>
      <c r="AQ89" s="126">
        <f t="shared" si="37"/>
        <v>1564.26</v>
      </c>
      <c r="AR89" s="125" t="str">
        <f t="shared" si="50"/>
        <v>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4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4</v>
      </c>
      <c r="AJ90" s="123">
        <f t="shared" si="42"/>
        <v>6</v>
      </c>
      <c r="AK90" s="123" t="s">
        <v>3192</v>
      </c>
      <c r="AL90" s="123">
        <f t="shared" si="43"/>
        <v>-2</v>
      </c>
      <c r="AM90" s="123">
        <f t="shared" si="44"/>
        <v>2</v>
      </c>
      <c r="AN90" s="123">
        <f t="shared" si="45"/>
        <v>4</v>
      </c>
      <c r="AP90" s="123">
        <f>AN90/AN92*10000+AM90/AM92*1000+AI90/AI92*100+IF(AQ90=0,ROW(),AQ90)/2000000</f>
        <v>8400.0007391750005</v>
      </c>
      <c r="AQ90" s="126">
        <f t="shared" si="37"/>
        <v>1478.35</v>
      </c>
      <c r="AR90" s="125" t="str">
        <f t="shared" si="50"/>
        <v>CDEFIJK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Senegal</v>
      </c>
      <c r="T91" s="127" t="str" cm="1">
        <f t="array" ref="T91">IF(OR(S91="",S91="draw"),INDEX(T,93,lang),S91)</f>
        <v>Senegal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2</v>
      </c>
      <c r="AK91" s="123" t="s">
        <v>3193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8883.3340064883341</v>
      </c>
      <c r="AQ91" s="126">
        <f t="shared" si="37"/>
        <v>1346.31</v>
      </c>
      <c r="AR91" s="125" t="str">
        <f t="shared" si="50"/>
        <v>CDEFIJKL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3194</v>
      </c>
    </row>
    <row r="3" spans="2:11" x14ac:dyDescent="0.35">
      <c r="B3" s="109">
        <f>MATCH(C3,C6:C500,0)</f>
        <v>31</v>
      </c>
      <c r="C3" s="121" t="str">
        <f>'2026 World Cup'!AR91</f>
        <v>CDEFIJKL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 x14ac:dyDescent="0.35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 x14ac:dyDescent="0.35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 x14ac:dyDescent="0.35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 x14ac:dyDescent="0.35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 x14ac:dyDescent="0.35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 x14ac:dyDescent="0.35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 x14ac:dyDescent="0.35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 x14ac:dyDescent="0.35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 x14ac:dyDescent="0.35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 x14ac:dyDescent="0.35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 x14ac:dyDescent="0.35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 x14ac:dyDescent="0.35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 x14ac:dyDescent="0.35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 x14ac:dyDescent="0.35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 x14ac:dyDescent="0.35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 x14ac:dyDescent="0.35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 x14ac:dyDescent="0.35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 x14ac:dyDescent="0.35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 x14ac:dyDescent="0.35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 x14ac:dyDescent="0.35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 x14ac:dyDescent="0.35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 x14ac:dyDescent="0.35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 x14ac:dyDescent="0.35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 x14ac:dyDescent="0.35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 x14ac:dyDescent="0.35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 x14ac:dyDescent="0.35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 x14ac:dyDescent="0.35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 x14ac:dyDescent="0.35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 x14ac:dyDescent="0.35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 x14ac:dyDescent="0.35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 x14ac:dyDescent="0.35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 x14ac:dyDescent="0.35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 x14ac:dyDescent="0.35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 x14ac:dyDescent="0.35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 x14ac:dyDescent="0.35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 x14ac:dyDescent="0.35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 x14ac:dyDescent="0.35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 x14ac:dyDescent="0.35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 x14ac:dyDescent="0.35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 x14ac:dyDescent="0.35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 x14ac:dyDescent="0.35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 x14ac:dyDescent="0.35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 x14ac:dyDescent="0.35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 x14ac:dyDescent="0.35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 x14ac:dyDescent="0.35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 x14ac:dyDescent="0.35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 x14ac:dyDescent="0.35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 x14ac:dyDescent="0.35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 x14ac:dyDescent="0.35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 x14ac:dyDescent="0.35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 x14ac:dyDescent="0.35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 x14ac:dyDescent="0.35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 x14ac:dyDescent="0.35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 x14ac:dyDescent="0.35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 x14ac:dyDescent="0.35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 x14ac:dyDescent="0.35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 x14ac:dyDescent="0.35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 x14ac:dyDescent="0.35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 x14ac:dyDescent="0.35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 x14ac:dyDescent="0.35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 x14ac:dyDescent="0.35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 x14ac:dyDescent="0.35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 x14ac:dyDescent="0.35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 x14ac:dyDescent="0.35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 x14ac:dyDescent="0.35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 x14ac:dyDescent="0.35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 x14ac:dyDescent="0.35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 x14ac:dyDescent="0.35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 x14ac:dyDescent="0.35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 x14ac:dyDescent="0.35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 x14ac:dyDescent="0.35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 x14ac:dyDescent="0.35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 x14ac:dyDescent="0.35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 x14ac:dyDescent="0.35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 x14ac:dyDescent="0.35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 x14ac:dyDescent="0.35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 x14ac:dyDescent="0.35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 x14ac:dyDescent="0.35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 x14ac:dyDescent="0.35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 x14ac:dyDescent="0.35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 x14ac:dyDescent="0.35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 x14ac:dyDescent="0.35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 x14ac:dyDescent="0.35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 x14ac:dyDescent="0.35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 x14ac:dyDescent="0.35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 x14ac:dyDescent="0.35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 x14ac:dyDescent="0.35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 x14ac:dyDescent="0.35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 x14ac:dyDescent="0.35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 x14ac:dyDescent="0.35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 x14ac:dyDescent="0.35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 x14ac:dyDescent="0.35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 x14ac:dyDescent="0.35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 x14ac:dyDescent="0.35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 x14ac:dyDescent="0.35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 x14ac:dyDescent="0.35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 x14ac:dyDescent="0.35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 x14ac:dyDescent="0.35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 x14ac:dyDescent="0.35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 x14ac:dyDescent="0.35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 x14ac:dyDescent="0.35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 x14ac:dyDescent="0.35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 x14ac:dyDescent="0.35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 x14ac:dyDescent="0.35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 x14ac:dyDescent="0.35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 x14ac:dyDescent="0.35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 x14ac:dyDescent="0.35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 x14ac:dyDescent="0.35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 x14ac:dyDescent="0.35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 x14ac:dyDescent="0.35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 x14ac:dyDescent="0.35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 x14ac:dyDescent="0.35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 x14ac:dyDescent="0.35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 x14ac:dyDescent="0.35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 x14ac:dyDescent="0.35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 x14ac:dyDescent="0.35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 x14ac:dyDescent="0.35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 x14ac:dyDescent="0.35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 x14ac:dyDescent="0.35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 x14ac:dyDescent="0.35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 x14ac:dyDescent="0.35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 x14ac:dyDescent="0.35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 x14ac:dyDescent="0.35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 x14ac:dyDescent="0.35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 x14ac:dyDescent="0.35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 x14ac:dyDescent="0.35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 x14ac:dyDescent="0.35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 x14ac:dyDescent="0.35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 x14ac:dyDescent="0.35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 x14ac:dyDescent="0.35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 x14ac:dyDescent="0.35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 x14ac:dyDescent="0.35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 x14ac:dyDescent="0.35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 x14ac:dyDescent="0.35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 x14ac:dyDescent="0.35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 x14ac:dyDescent="0.35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 x14ac:dyDescent="0.35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 x14ac:dyDescent="0.35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 x14ac:dyDescent="0.35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 x14ac:dyDescent="0.35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 x14ac:dyDescent="0.35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 x14ac:dyDescent="0.35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 x14ac:dyDescent="0.35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 x14ac:dyDescent="0.35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 x14ac:dyDescent="0.35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 x14ac:dyDescent="0.35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 x14ac:dyDescent="0.35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 x14ac:dyDescent="0.35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 x14ac:dyDescent="0.35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 x14ac:dyDescent="0.35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 x14ac:dyDescent="0.35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 x14ac:dyDescent="0.35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 x14ac:dyDescent="0.35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 x14ac:dyDescent="0.35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 x14ac:dyDescent="0.35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 x14ac:dyDescent="0.35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 x14ac:dyDescent="0.35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 x14ac:dyDescent="0.35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 x14ac:dyDescent="0.35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 x14ac:dyDescent="0.35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 x14ac:dyDescent="0.35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 x14ac:dyDescent="0.35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 x14ac:dyDescent="0.35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 x14ac:dyDescent="0.35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 x14ac:dyDescent="0.35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 x14ac:dyDescent="0.35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 x14ac:dyDescent="0.35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 x14ac:dyDescent="0.35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 x14ac:dyDescent="0.35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 x14ac:dyDescent="0.35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 x14ac:dyDescent="0.35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 x14ac:dyDescent="0.35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 x14ac:dyDescent="0.35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 x14ac:dyDescent="0.35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 x14ac:dyDescent="0.35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 x14ac:dyDescent="0.35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 x14ac:dyDescent="0.35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 x14ac:dyDescent="0.35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 x14ac:dyDescent="0.35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 x14ac:dyDescent="0.35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 x14ac:dyDescent="0.35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 x14ac:dyDescent="0.35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 x14ac:dyDescent="0.35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 x14ac:dyDescent="0.35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 x14ac:dyDescent="0.35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 x14ac:dyDescent="0.35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 x14ac:dyDescent="0.35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 x14ac:dyDescent="0.35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 x14ac:dyDescent="0.35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 x14ac:dyDescent="0.35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 x14ac:dyDescent="0.35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 x14ac:dyDescent="0.35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 x14ac:dyDescent="0.35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 x14ac:dyDescent="0.35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 x14ac:dyDescent="0.35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 x14ac:dyDescent="0.35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 x14ac:dyDescent="0.35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 x14ac:dyDescent="0.35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 x14ac:dyDescent="0.35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 x14ac:dyDescent="0.35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 x14ac:dyDescent="0.35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 x14ac:dyDescent="0.35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 x14ac:dyDescent="0.35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 x14ac:dyDescent="0.35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 x14ac:dyDescent="0.35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 x14ac:dyDescent="0.35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 x14ac:dyDescent="0.35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 x14ac:dyDescent="0.35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 x14ac:dyDescent="0.35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 x14ac:dyDescent="0.35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 x14ac:dyDescent="0.35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 x14ac:dyDescent="0.35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 x14ac:dyDescent="0.35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 x14ac:dyDescent="0.35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 x14ac:dyDescent="0.35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 x14ac:dyDescent="0.35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 x14ac:dyDescent="0.35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 x14ac:dyDescent="0.35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 x14ac:dyDescent="0.35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 x14ac:dyDescent="0.35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 x14ac:dyDescent="0.35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 x14ac:dyDescent="0.35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 x14ac:dyDescent="0.35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 x14ac:dyDescent="0.35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 x14ac:dyDescent="0.35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 x14ac:dyDescent="0.35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 x14ac:dyDescent="0.35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 x14ac:dyDescent="0.35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 x14ac:dyDescent="0.35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 x14ac:dyDescent="0.35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 x14ac:dyDescent="0.35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 x14ac:dyDescent="0.35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 x14ac:dyDescent="0.35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 x14ac:dyDescent="0.35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 x14ac:dyDescent="0.35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 x14ac:dyDescent="0.35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 x14ac:dyDescent="0.35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 x14ac:dyDescent="0.35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 x14ac:dyDescent="0.35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 x14ac:dyDescent="0.35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 x14ac:dyDescent="0.35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 x14ac:dyDescent="0.35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 x14ac:dyDescent="0.35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 x14ac:dyDescent="0.35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 x14ac:dyDescent="0.35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 x14ac:dyDescent="0.35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 x14ac:dyDescent="0.35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 x14ac:dyDescent="0.35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 x14ac:dyDescent="0.35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 x14ac:dyDescent="0.35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 x14ac:dyDescent="0.35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 x14ac:dyDescent="0.35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 x14ac:dyDescent="0.35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 x14ac:dyDescent="0.35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 x14ac:dyDescent="0.35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 x14ac:dyDescent="0.35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 x14ac:dyDescent="0.35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 x14ac:dyDescent="0.35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 x14ac:dyDescent="0.35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 x14ac:dyDescent="0.35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 x14ac:dyDescent="0.35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 x14ac:dyDescent="0.35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 x14ac:dyDescent="0.35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 x14ac:dyDescent="0.35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 x14ac:dyDescent="0.35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 x14ac:dyDescent="0.35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 x14ac:dyDescent="0.35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 x14ac:dyDescent="0.35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 x14ac:dyDescent="0.35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 x14ac:dyDescent="0.35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 x14ac:dyDescent="0.35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 x14ac:dyDescent="0.35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 x14ac:dyDescent="0.35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 x14ac:dyDescent="0.35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 x14ac:dyDescent="0.35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 x14ac:dyDescent="0.35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 x14ac:dyDescent="0.35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 x14ac:dyDescent="0.35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 x14ac:dyDescent="0.35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 x14ac:dyDescent="0.35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 x14ac:dyDescent="0.35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 x14ac:dyDescent="0.35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 x14ac:dyDescent="0.35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 x14ac:dyDescent="0.35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 x14ac:dyDescent="0.35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 x14ac:dyDescent="0.35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 x14ac:dyDescent="0.35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 x14ac:dyDescent="0.35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 x14ac:dyDescent="0.35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 x14ac:dyDescent="0.35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 x14ac:dyDescent="0.35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 x14ac:dyDescent="0.35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 x14ac:dyDescent="0.35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 x14ac:dyDescent="0.35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 x14ac:dyDescent="0.35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 x14ac:dyDescent="0.35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 x14ac:dyDescent="0.35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 x14ac:dyDescent="0.35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 x14ac:dyDescent="0.35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 x14ac:dyDescent="0.35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 x14ac:dyDescent="0.35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 x14ac:dyDescent="0.35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 x14ac:dyDescent="0.35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 x14ac:dyDescent="0.35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 x14ac:dyDescent="0.35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 x14ac:dyDescent="0.35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 x14ac:dyDescent="0.35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 x14ac:dyDescent="0.35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 x14ac:dyDescent="0.35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 x14ac:dyDescent="0.35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 x14ac:dyDescent="0.35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 x14ac:dyDescent="0.35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 x14ac:dyDescent="0.35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 x14ac:dyDescent="0.35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 x14ac:dyDescent="0.35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 x14ac:dyDescent="0.35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 x14ac:dyDescent="0.35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 x14ac:dyDescent="0.35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 x14ac:dyDescent="0.35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 x14ac:dyDescent="0.35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 x14ac:dyDescent="0.35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 x14ac:dyDescent="0.35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 x14ac:dyDescent="0.35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 x14ac:dyDescent="0.35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 x14ac:dyDescent="0.35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 x14ac:dyDescent="0.35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 x14ac:dyDescent="0.35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 x14ac:dyDescent="0.35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 x14ac:dyDescent="0.35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 x14ac:dyDescent="0.35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 x14ac:dyDescent="0.35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 x14ac:dyDescent="0.35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 x14ac:dyDescent="0.35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 x14ac:dyDescent="0.35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 x14ac:dyDescent="0.35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 x14ac:dyDescent="0.35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 x14ac:dyDescent="0.35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 x14ac:dyDescent="0.35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 x14ac:dyDescent="0.35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 x14ac:dyDescent="0.35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 x14ac:dyDescent="0.35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 x14ac:dyDescent="0.35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 x14ac:dyDescent="0.35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 x14ac:dyDescent="0.35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 x14ac:dyDescent="0.35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 x14ac:dyDescent="0.35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 x14ac:dyDescent="0.35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 x14ac:dyDescent="0.35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 x14ac:dyDescent="0.35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 x14ac:dyDescent="0.35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 x14ac:dyDescent="0.35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 x14ac:dyDescent="0.35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 x14ac:dyDescent="0.35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 x14ac:dyDescent="0.35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 x14ac:dyDescent="0.35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 x14ac:dyDescent="0.35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 x14ac:dyDescent="0.35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 x14ac:dyDescent="0.35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 x14ac:dyDescent="0.35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 x14ac:dyDescent="0.35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 x14ac:dyDescent="0.35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 x14ac:dyDescent="0.35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 x14ac:dyDescent="0.35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 x14ac:dyDescent="0.35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 x14ac:dyDescent="0.35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 x14ac:dyDescent="0.35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 x14ac:dyDescent="0.35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 x14ac:dyDescent="0.35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 x14ac:dyDescent="0.35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 x14ac:dyDescent="0.35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 x14ac:dyDescent="0.35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 x14ac:dyDescent="0.35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 x14ac:dyDescent="0.35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 x14ac:dyDescent="0.35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 x14ac:dyDescent="0.35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 x14ac:dyDescent="0.35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 x14ac:dyDescent="0.35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 x14ac:dyDescent="0.35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 x14ac:dyDescent="0.35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 x14ac:dyDescent="0.35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 x14ac:dyDescent="0.35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 x14ac:dyDescent="0.35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 x14ac:dyDescent="0.35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 x14ac:dyDescent="0.35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 x14ac:dyDescent="0.35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 x14ac:dyDescent="0.35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 x14ac:dyDescent="0.35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 x14ac:dyDescent="0.35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 x14ac:dyDescent="0.35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 x14ac:dyDescent="0.35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 x14ac:dyDescent="0.35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 x14ac:dyDescent="0.35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 x14ac:dyDescent="0.35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 x14ac:dyDescent="0.35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 x14ac:dyDescent="0.35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 x14ac:dyDescent="0.35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 x14ac:dyDescent="0.35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 x14ac:dyDescent="0.35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 x14ac:dyDescent="0.35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 x14ac:dyDescent="0.35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 x14ac:dyDescent="0.35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 x14ac:dyDescent="0.35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 x14ac:dyDescent="0.35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 x14ac:dyDescent="0.35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 x14ac:dyDescent="0.35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 x14ac:dyDescent="0.35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 x14ac:dyDescent="0.35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 x14ac:dyDescent="0.35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 x14ac:dyDescent="0.35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 x14ac:dyDescent="0.35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 x14ac:dyDescent="0.35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 x14ac:dyDescent="0.35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 x14ac:dyDescent="0.35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 x14ac:dyDescent="0.35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 x14ac:dyDescent="0.35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 x14ac:dyDescent="0.35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 x14ac:dyDescent="0.35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 x14ac:dyDescent="0.35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 x14ac:dyDescent="0.35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 x14ac:dyDescent="0.35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 x14ac:dyDescent="0.35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 x14ac:dyDescent="0.35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 x14ac:dyDescent="0.35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 x14ac:dyDescent="0.35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 x14ac:dyDescent="0.35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 x14ac:dyDescent="0.35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 x14ac:dyDescent="0.35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 x14ac:dyDescent="0.35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 x14ac:dyDescent="0.35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 x14ac:dyDescent="0.35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 x14ac:dyDescent="0.35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 x14ac:dyDescent="0.35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 x14ac:dyDescent="0.35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 x14ac:dyDescent="0.35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 x14ac:dyDescent="0.35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 x14ac:dyDescent="0.35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 x14ac:dyDescent="0.35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 x14ac:dyDescent="0.35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 x14ac:dyDescent="0.35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 x14ac:dyDescent="0.35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 x14ac:dyDescent="0.35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 x14ac:dyDescent="0.35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 x14ac:dyDescent="0.35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 x14ac:dyDescent="0.35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 x14ac:dyDescent="0.35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 x14ac:dyDescent="0.35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 x14ac:dyDescent="0.35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 x14ac:dyDescent="0.35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 x14ac:dyDescent="0.35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 x14ac:dyDescent="0.35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 x14ac:dyDescent="0.35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 x14ac:dyDescent="0.35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 x14ac:dyDescent="0.35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 x14ac:dyDescent="0.35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 x14ac:dyDescent="0.35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 x14ac:dyDescent="0.35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 x14ac:dyDescent="0.35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 x14ac:dyDescent="0.35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 x14ac:dyDescent="0.35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 x14ac:dyDescent="0.35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 x14ac:dyDescent="0.35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 x14ac:dyDescent="0.35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 x14ac:dyDescent="0.35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 x14ac:dyDescent="0.35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 x14ac:dyDescent="0.35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 x14ac:dyDescent="0.35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 x14ac:dyDescent="0.35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 x14ac:dyDescent="0.35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 x14ac:dyDescent="0.35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 x14ac:dyDescent="0.35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 x14ac:dyDescent="0.35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 x14ac:dyDescent="0.35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 x14ac:dyDescent="0.35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 x14ac:dyDescent="0.35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 x14ac:dyDescent="0.35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 x14ac:dyDescent="0.35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 x14ac:dyDescent="0.35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 x14ac:dyDescent="0.35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 x14ac:dyDescent="0.35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 x14ac:dyDescent="0.35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 x14ac:dyDescent="0.35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 x14ac:dyDescent="0.35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 x14ac:dyDescent="0.35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 x14ac:dyDescent="0.35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 x14ac:dyDescent="0.35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 x14ac:dyDescent="0.35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 x14ac:dyDescent="0.35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 x14ac:dyDescent="0.35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 x14ac:dyDescent="0.35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 x14ac:dyDescent="0.35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 x14ac:dyDescent="0.35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 x14ac:dyDescent="0.35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 x14ac:dyDescent="0.35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 x14ac:dyDescent="0.35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 x14ac:dyDescent="0.35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Rafael Venegas Mendiola  (TES)</cp:lastModifiedBy>
  <cp:revision/>
  <dcterms:created xsi:type="dcterms:W3CDTF">2017-12-27T19:32:51Z</dcterms:created>
  <dcterms:modified xsi:type="dcterms:W3CDTF">2026-06-11T16:14:57Z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