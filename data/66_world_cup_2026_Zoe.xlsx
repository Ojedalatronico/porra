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\Desktop\"/>
    </mc:Choice>
  </mc:AlternateContent>
  <xr:revisionPtr revIDLastSave="0" documentId="8_{0B1CFB04-1049-42F6-87F3-BD25584E24F3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T78" i="3"/>
  <c r="S50" i="3"/>
  <c r="S76" i="3"/>
  <c r="S47" i="3"/>
  <c r="S67" i="3"/>
  <c r="T43" i="3"/>
  <c r="S72" i="3"/>
  <c r="S70" i="3"/>
  <c r="S42" i="3"/>
  <c r="S64" i="3"/>
  <c r="T63" i="3"/>
  <c r="S40" i="3"/>
  <c r="S62" i="3"/>
  <c r="S38" i="3"/>
  <c r="S65" i="3"/>
  <c r="T37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H57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9" i="3"/>
  <c r="BH58" i="3" l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9" i="3" l="1"/>
  <c r="AD58" i="3"/>
  <c r="AR10" i="3"/>
  <c r="AR11" i="3"/>
  <c r="AD57" i="3"/>
  <c r="AR33" i="3"/>
  <c r="AR34" i="3"/>
  <c r="AR35" i="3"/>
  <c r="AR28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0" i="3" l="1"/>
  <c r="AD9" i="3"/>
  <c r="AD11" i="3"/>
  <c r="AD8" i="3"/>
  <c r="AD33" i="3"/>
  <c r="AD15" i="3"/>
  <c r="M58" i="3"/>
  <c r="AD34" i="3"/>
  <c r="AD32" i="3"/>
  <c r="J33" i="3" s="1"/>
  <c r="AS32" i="3" s="1"/>
  <c r="BL10" i="3" s="1"/>
  <c r="M59" i="3"/>
  <c r="AD70" i="3"/>
  <c r="N58" i="3"/>
  <c r="AD68" i="3"/>
  <c r="M69" i="3" s="1"/>
  <c r="AD62" i="3"/>
  <c r="M63" i="3" s="1"/>
  <c r="AD35" i="3"/>
  <c r="O60" i="3"/>
  <c r="AD75" i="3"/>
  <c r="AD47" i="3"/>
  <c r="AD22" i="3"/>
  <c r="AD41" i="3"/>
  <c r="AD28" i="3"/>
  <c r="AD26" i="3"/>
  <c r="AD14" i="3"/>
  <c r="AD27" i="3"/>
  <c r="AD77" i="3"/>
  <c r="AD74" i="3"/>
  <c r="L58" i="3"/>
  <c r="AD53" i="3"/>
  <c r="AD20" i="3"/>
  <c r="L59" i="3"/>
  <c r="AD21" i="3"/>
  <c r="AD44" i="3"/>
  <c r="AD63" i="3"/>
  <c r="AD76" i="3"/>
  <c r="AD71" i="3"/>
  <c r="AD29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M27" i="3" l="1"/>
  <c r="N71" i="3"/>
  <c r="J12" i="3"/>
  <c r="M75" i="3"/>
  <c r="P58" i="3"/>
  <c r="O12" i="3"/>
  <c r="J45" i="3"/>
  <c r="AS44" i="3" s="1"/>
  <c r="BL38" i="3" s="1"/>
  <c r="J69" i="3"/>
  <c r="AS68" i="3" s="1"/>
  <c r="BL70" i="3" s="1"/>
  <c r="L69" i="3"/>
  <c r="L63" i="3"/>
  <c r="M10" i="3"/>
  <c r="L11" i="3"/>
  <c r="J10" i="3"/>
  <c r="AS9" i="3" s="1"/>
  <c r="BL18" i="3" s="1"/>
  <c r="O10" i="3"/>
  <c r="O69" i="3"/>
  <c r="N69" i="3"/>
  <c r="J9" i="3"/>
  <c r="AS8" i="3" s="1"/>
  <c r="BL50" i="3" s="1"/>
  <c r="N9" i="3"/>
  <c r="P59" i="3"/>
  <c r="N27" i="3"/>
  <c r="O9" i="3"/>
  <c r="M11" i="3"/>
  <c r="N18" i="3"/>
  <c r="O51" i="3"/>
  <c r="N11" i="3"/>
  <c r="L9" i="3"/>
  <c r="N12" i="3"/>
  <c r="L10" i="3"/>
  <c r="J11" i="3"/>
  <c r="AE80" i="3" s="1"/>
  <c r="AQ80" i="3" s="1"/>
  <c r="L12" i="3"/>
  <c r="M12" i="3"/>
  <c r="O33" i="3"/>
  <c r="O11" i="3"/>
  <c r="M9" i="3"/>
  <c r="N10" i="3"/>
  <c r="M36" i="3"/>
  <c r="M35" i="3"/>
  <c r="M33" i="3"/>
  <c r="N33" i="3"/>
  <c r="J34" i="3"/>
  <c r="AS33" i="3" s="1"/>
  <c r="BL46" i="3" s="1"/>
  <c r="L33" i="3"/>
  <c r="J36" i="3"/>
  <c r="L36" i="3"/>
  <c r="O36" i="3"/>
  <c r="N36" i="3"/>
  <c r="O29" i="3"/>
  <c r="J35" i="3"/>
  <c r="AE84" i="3" s="1"/>
  <c r="AQ84" i="3" s="1"/>
  <c r="M29" i="3"/>
  <c r="N34" i="3"/>
  <c r="N35" i="3"/>
  <c r="J27" i="3"/>
  <c r="AS26" i="3" s="1"/>
  <c r="BL34" i="3" s="1"/>
  <c r="L35" i="3"/>
  <c r="J63" i="3"/>
  <c r="AS62" i="3" s="1"/>
  <c r="BL58" i="3" s="1"/>
  <c r="BS60" i="3" s="1"/>
  <c r="BZ64" i="3" s="1"/>
  <c r="N63" i="3"/>
  <c r="O35" i="3"/>
  <c r="L30" i="3"/>
  <c r="O27" i="3"/>
  <c r="J29" i="3"/>
  <c r="AE83" i="3" s="1"/>
  <c r="AQ83" i="3" s="1"/>
  <c r="N52" i="3"/>
  <c r="O30" i="3"/>
  <c r="O63" i="3"/>
  <c r="L27" i="3"/>
  <c r="L34" i="3"/>
  <c r="L65" i="3"/>
  <c r="M21" i="3"/>
  <c r="O78" i="3"/>
  <c r="J18" i="3"/>
  <c r="O77" i="3"/>
  <c r="J75" i="3"/>
  <c r="AS74" i="3" s="1"/>
  <c r="BL54" i="3" s="1"/>
  <c r="L17" i="3"/>
  <c r="L78" i="3"/>
  <c r="O75" i="3"/>
  <c r="J65" i="3"/>
  <c r="AE89" i="3" s="1"/>
  <c r="AQ89" i="3" s="1"/>
  <c r="O18" i="3"/>
  <c r="L15" i="3"/>
  <c r="L64" i="3"/>
  <c r="N29" i="3"/>
  <c r="N75" i="3"/>
  <c r="M18" i="3"/>
  <c r="O65" i="3"/>
  <c r="N65" i="3"/>
  <c r="O34" i="3"/>
  <c r="N77" i="3"/>
  <c r="L76" i="3"/>
  <c r="M65" i="3"/>
  <c r="M34" i="3"/>
  <c r="J76" i="3"/>
  <c r="AS75" i="3" s="1"/>
  <c r="BL27" i="3" s="1"/>
  <c r="L75" i="3"/>
  <c r="M77" i="3"/>
  <c r="M54" i="3"/>
  <c r="M78" i="3"/>
  <c r="N78" i="3"/>
  <c r="M76" i="3"/>
  <c r="J77" i="3"/>
  <c r="AE91" i="3" s="1"/>
  <c r="AQ91" i="3" s="1"/>
  <c r="J78" i="3"/>
  <c r="K59" i="3"/>
  <c r="O17" i="3"/>
  <c r="L77" i="3"/>
  <c r="N76" i="3"/>
  <c r="M28" i="3"/>
  <c r="M30" i="3"/>
  <c r="M17" i="3"/>
  <c r="P17" i="3" s="1"/>
  <c r="L28" i="3"/>
  <c r="O76" i="3"/>
  <c r="J28" i="3"/>
  <c r="AS27" i="3" s="1"/>
  <c r="BL62" i="3" s="1"/>
  <c r="N16" i="3"/>
  <c r="N17" i="3"/>
  <c r="N30" i="3"/>
  <c r="J30" i="3"/>
  <c r="L29" i="3"/>
  <c r="N28" i="3"/>
  <c r="L18" i="3"/>
  <c r="J21" i="3"/>
  <c r="AS20" i="3" s="1"/>
  <c r="BL42" i="3" s="1"/>
  <c r="BS44" i="3" s="1"/>
  <c r="BZ48" i="3" s="1"/>
  <c r="J70" i="3"/>
  <c r="AS69" i="3" s="1"/>
  <c r="BL26" i="3" s="1"/>
  <c r="O39" i="3"/>
  <c r="M16" i="3"/>
  <c r="L16" i="3"/>
  <c r="N70" i="3"/>
  <c r="K58" i="3"/>
  <c r="M71" i="3"/>
  <c r="M39" i="3"/>
  <c r="M70" i="3"/>
  <c r="N21" i="3"/>
  <c r="O21" i="3"/>
  <c r="O22" i="3"/>
  <c r="M72" i="3"/>
  <c r="L72" i="3"/>
  <c r="L70" i="3"/>
  <c r="O71" i="3"/>
  <c r="J46" i="3"/>
  <c r="AS45" i="3" s="1"/>
  <c r="BL63" i="3" s="1"/>
  <c r="O28" i="3"/>
  <c r="L21" i="3"/>
  <c r="O16" i="3"/>
  <c r="J71" i="3"/>
  <c r="AE90" i="3" s="1"/>
  <c r="AQ90" i="3" s="1"/>
  <c r="J72" i="3"/>
  <c r="L71" i="3"/>
  <c r="L39" i="3"/>
  <c r="J16" i="3"/>
  <c r="AS15" i="3" s="1"/>
  <c r="BL19" i="3" s="1"/>
  <c r="O72" i="3"/>
  <c r="O70" i="3"/>
  <c r="J39" i="3"/>
  <c r="AS38" i="3" s="1"/>
  <c r="BL22" i="3" s="1"/>
  <c r="N72" i="3"/>
  <c r="J40" i="3"/>
  <c r="AS39" i="3" s="1"/>
  <c r="BL43" i="3" s="1"/>
  <c r="J24" i="3"/>
  <c r="J22" i="3"/>
  <c r="AS21" i="3" s="1"/>
  <c r="BL23" i="3" s="1"/>
  <c r="O23" i="3"/>
  <c r="M48" i="3"/>
  <c r="O48" i="3"/>
  <c r="J64" i="3"/>
  <c r="AS63" i="3" s="1"/>
  <c r="BL31" i="3" s="1"/>
  <c r="O46" i="3"/>
  <c r="O45" i="3"/>
  <c r="M45" i="3"/>
  <c r="J48" i="3"/>
  <c r="N22" i="3"/>
  <c r="M24" i="3"/>
  <c r="O54" i="3"/>
  <c r="O40" i="3"/>
  <c r="J66" i="3"/>
  <c r="L45" i="3"/>
  <c r="L46" i="3"/>
  <c r="L24" i="3"/>
  <c r="N24" i="3"/>
  <c r="J47" i="3"/>
  <c r="AE86" i="3" s="1"/>
  <c r="AQ86" i="3" s="1"/>
  <c r="O66" i="3"/>
  <c r="O64" i="3"/>
  <c r="N48" i="3"/>
  <c r="N46" i="3"/>
  <c r="M22" i="3"/>
  <c r="N66" i="3"/>
  <c r="N64" i="3"/>
  <c r="O47" i="3"/>
  <c r="L47" i="3"/>
  <c r="O42" i="3"/>
  <c r="M47" i="3"/>
  <c r="N47" i="3"/>
  <c r="O24" i="3"/>
  <c r="AT88" i="3"/>
  <c r="L23" i="3"/>
  <c r="M66" i="3"/>
  <c r="M64" i="3"/>
  <c r="P64" i="3" s="1"/>
  <c r="M46" i="3"/>
  <c r="L66" i="3"/>
  <c r="L48" i="3"/>
  <c r="N45" i="3"/>
  <c r="L22" i="3"/>
  <c r="AJ88" i="3"/>
  <c r="K57" i="3"/>
  <c r="N54" i="3"/>
  <c r="L40" i="3"/>
  <c r="J41" i="3"/>
  <c r="AE85" i="3" s="1"/>
  <c r="AQ85" i="3" s="1"/>
  <c r="AN88" i="3"/>
  <c r="J42" i="3"/>
  <c r="J51" i="3"/>
  <c r="AS50" i="3" s="1"/>
  <c r="BL30" i="3" s="1"/>
  <c r="L42" i="3"/>
  <c r="AI88" i="3"/>
  <c r="M41" i="3"/>
  <c r="J52" i="3"/>
  <c r="AS51" i="3" s="1"/>
  <c r="BL59" i="3" s="1"/>
  <c r="N51" i="3"/>
  <c r="M42" i="3"/>
  <c r="AG88" i="3"/>
  <c r="M40" i="3"/>
  <c r="N53" i="3"/>
  <c r="L51" i="3"/>
  <c r="N40" i="3"/>
  <c r="AF88" i="3"/>
  <c r="P57" i="3"/>
  <c r="L54" i="3"/>
  <c r="M51" i="3"/>
  <c r="J54" i="3"/>
  <c r="O52" i="3"/>
  <c r="O41" i="3"/>
  <c r="L41" i="3"/>
  <c r="P41" i="3" s="1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69" i="3"/>
  <c r="P63" i="3"/>
  <c r="BS61" i="3" l="1"/>
  <c r="S91" i="3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AF80" i="3"/>
  <c r="P27" i="3"/>
  <c r="P9" i="3"/>
  <c r="AG80" i="3"/>
  <c r="P75" i="3"/>
  <c r="AT84" i="3"/>
  <c r="AL84" i="3"/>
  <c r="AF84" i="3"/>
  <c r="AN84" i="3"/>
  <c r="AJ84" i="3"/>
  <c r="AI84" i="3"/>
  <c r="AH84" i="3"/>
  <c r="P10" i="3"/>
  <c r="P11" i="3"/>
  <c r="P16" i="3"/>
  <c r="P35" i="3"/>
  <c r="K69" i="3"/>
  <c r="K63" i="3"/>
  <c r="AT80" i="3"/>
  <c r="AL80" i="3"/>
  <c r="AJ80" i="3"/>
  <c r="AN80" i="3"/>
  <c r="AI80" i="3"/>
  <c r="AH80" i="3"/>
  <c r="P12" i="3"/>
  <c r="K27" i="3"/>
  <c r="K33" i="3"/>
  <c r="K11" i="3"/>
  <c r="P33" i="3"/>
  <c r="P36" i="3"/>
  <c r="K12" i="3"/>
  <c r="K35" i="3"/>
  <c r="K9" i="3"/>
  <c r="AF83" i="3"/>
  <c r="P76" i="3"/>
  <c r="AT83" i="3"/>
  <c r="AN83" i="3"/>
  <c r="K30" i="3"/>
  <c r="AL83" i="3"/>
  <c r="AJ83" i="3"/>
  <c r="AI83" i="3"/>
  <c r="AH83" i="3"/>
  <c r="AG83" i="3"/>
  <c r="K10" i="3"/>
  <c r="K36" i="3"/>
  <c r="AG84" i="3"/>
  <c r="K29" i="3"/>
  <c r="P30" i="3"/>
  <c r="P65" i="3"/>
  <c r="AL89" i="3"/>
  <c r="K34" i="3"/>
  <c r="AI89" i="3"/>
  <c r="AG89" i="3"/>
  <c r="P21" i="3"/>
  <c r="AJ89" i="3"/>
  <c r="P29" i="3"/>
  <c r="K21" i="3"/>
  <c r="AJ91" i="3"/>
  <c r="P77" i="3"/>
  <c r="K65" i="3"/>
  <c r="P18" i="3"/>
  <c r="P39" i="3"/>
  <c r="K39" i="3"/>
  <c r="AG81" i="3"/>
  <c r="AH89" i="3"/>
  <c r="K18" i="3"/>
  <c r="AF89" i="3"/>
  <c r="P54" i="3"/>
  <c r="AT89" i="3"/>
  <c r="AN89" i="3"/>
  <c r="K24" i="3"/>
  <c r="K17" i="3"/>
  <c r="P78" i="3"/>
  <c r="K77" i="3"/>
  <c r="P71" i="3"/>
  <c r="K16" i="3"/>
  <c r="K76" i="3"/>
  <c r="K78" i="3"/>
  <c r="K75" i="3"/>
  <c r="AI91" i="3"/>
  <c r="P34" i="3"/>
  <c r="AH91" i="3"/>
  <c r="AG91" i="3"/>
  <c r="AF91" i="3"/>
  <c r="AL90" i="3"/>
  <c r="AT91" i="3"/>
  <c r="AJ86" i="3"/>
  <c r="AN91" i="3"/>
  <c r="AL91" i="3"/>
  <c r="P28" i="3"/>
  <c r="K28" i="3"/>
  <c r="AN90" i="3"/>
  <c r="AJ90" i="3"/>
  <c r="AT82" i="3"/>
  <c r="AI90" i="3"/>
  <c r="AH90" i="3"/>
  <c r="AG90" i="3"/>
  <c r="AF90" i="3"/>
  <c r="AT90" i="3"/>
  <c r="P24" i="3"/>
  <c r="P23" i="3"/>
  <c r="AL86" i="3"/>
  <c r="P22" i="3"/>
  <c r="P70" i="3"/>
  <c r="AF86" i="3"/>
  <c r="P72" i="3"/>
  <c r="K45" i="3"/>
  <c r="P46" i="3"/>
  <c r="K70" i="3"/>
  <c r="K51" i="3"/>
  <c r="K22" i="3"/>
  <c r="K71" i="3"/>
  <c r="AT86" i="3"/>
  <c r="P51" i="3"/>
  <c r="K15" i="3"/>
  <c r="P66" i="3"/>
  <c r="AN86" i="3"/>
  <c r="K72" i="3"/>
  <c r="AI86" i="3"/>
  <c r="AH86" i="3"/>
  <c r="AG86" i="3"/>
  <c r="AF87" i="3"/>
  <c r="K48" i="3"/>
  <c r="K46" i="3"/>
  <c r="P15" i="3"/>
  <c r="AT85" i="3"/>
  <c r="AN85" i="3"/>
  <c r="AL85" i="3"/>
  <c r="AT87" i="3"/>
  <c r="AJ85" i="3"/>
  <c r="AN87" i="3"/>
  <c r="K54" i="3"/>
  <c r="K47" i="3"/>
  <c r="AI85" i="3"/>
  <c r="P45" i="3"/>
  <c r="AL87" i="3"/>
  <c r="AJ87" i="3"/>
  <c r="AH85" i="3"/>
  <c r="AG85" i="3"/>
  <c r="P48" i="3"/>
  <c r="AH87" i="3"/>
  <c r="K66" i="3"/>
  <c r="AF85" i="3"/>
  <c r="AG87" i="3"/>
  <c r="P47" i="3"/>
  <c r="K53" i="3"/>
  <c r="K42" i="3"/>
  <c r="K40" i="3"/>
  <c r="AN82" i="3"/>
  <c r="AH82" i="3"/>
  <c r="K41" i="3"/>
  <c r="K64" i="3"/>
  <c r="AT81" i="3"/>
  <c r="AJ82" i="3"/>
  <c r="P42" i="3"/>
  <c r="AF81" i="3"/>
  <c r="AN81" i="3"/>
  <c r="AI82" i="3"/>
  <c r="P40" i="3"/>
  <c r="K23" i="3"/>
  <c r="AJ81" i="3"/>
  <c r="AG82" i="3"/>
  <c r="AI81" i="3"/>
  <c r="AF82" i="3"/>
  <c r="P52" i="3"/>
  <c r="AL81" i="3"/>
  <c r="AH81" i="3"/>
  <c r="P53" i="3"/>
  <c r="AL82" i="3"/>
  <c r="AI87" i="3"/>
  <c r="K52" i="3"/>
  <c r="S97" i="3" l="1"/>
  <c r="T97" i="3" s="1" a="1"/>
  <c r="T97" i="3" s="1"/>
  <c r="BZ32" i="3"/>
  <c r="S98" i="3"/>
  <c r="T98" i="3" s="1" a="1"/>
  <c r="T98" i="3" s="1"/>
  <c r="BZ33" i="3"/>
  <c r="U103" i="3" s="1"/>
  <c r="AC103" i="3" s="1" a="1"/>
  <c r="AC103" i="3" s="1"/>
  <c r="BZ17" i="3"/>
  <c r="S96" i="3"/>
  <c r="T96" i="3" s="1" a="1"/>
  <c r="T96" i="3" s="1"/>
  <c r="AJ92" i="3"/>
  <c r="AF92" i="3"/>
  <c r="AN92" i="3"/>
  <c r="AH92" i="3"/>
  <c r="AG92" i="3"/>
  <c r="AI92" i="3"/>
  <c r="AS92" i="3"/>
  <c r="AL92" i="3"/>
  <c r="AM88" i="3" s="1"/>
  <c r="S102" i="3" l="1"/>
  <c r="T102" i="3" s="1" a="1"/>
  <c r="T102" i="3" s="1"/>
  <c r="CG23" i="3"/>
  <c r="S103" i="3"/>
  <c r="T103" i="3" s="1" a="1"/>
  <c r="T103" i="3" s="1"/>
  <c r="CG24" i="3"/>
  <c r="S111" i="3" s="1"/>
  <c r="T111" i="3" s="1"/>
  <c r="AM90" i="3"/>
  <c r="AM82" i="3"/>
  <c r="AM91" i="3"/>
  <c r="AM84" i="3"/>
  <c r="AM83" i="3"/>
  <c r="AM85" i="3"/>
  <c r="AM86" i="3"/>
  <c r="AM87" i="3"/>
  <c r="AM89" i="3"/>
  <c r="AM81" i="3"/>
  <c r="AM80" i="3"/>
  <c r="S85" i="3"/>
  <c r="T85" i="3" s="1" a="1"/>
  <c r="T85" i="3" s="1"/>
  <c r="BS13" i="3"/>
  <c r="S84" i="3"/>
  <c r="T84" i="3" s="1" a="1"/>
  <c r="T84" i="3" s="1"/>
  <c r="BS12" i="3"/>
  <c r="CN37" i="3" l="1"/>
  <c r="CK68" i="3" s="1"/>
  <c r="CN48" i="3"/>
  <c r="AM92" i="3"/>
  <c r="AP87" i="3" s="1"/>
  <c r="BZ16" i="3"/>
  <c r="U102" i="3" s="1"/>
  <c r="AC102" i="3" s="1" a="1"/>
  <c r="AC102" i="3" s="1"/>
  <c r="S95" i="3"/>
  <c r="T95" i="3" s="1" a="1"/>
  <c r="T95" i="3" s="1"/>
  <c r="AP80" i="3" l="1"/>
  <c r="AP85" i="3"/>
  <c r="AP84" i="3"/>
  <c r="AP90" i="3"/>
  <c r="AP86" i="3"/>
  <c r="AP91" i="3"/>
  <c r="AP81" i="3"/>
  <c r="AP88" i="3"/>
  <c r="AP89" i="3"/>
  <c r="AP83" i="3"/>
  <c r="AP82" i="3"/>
  <c r="AD88" i="3" l="1"/>
  <c r="AS88" i="3" s="1"/>
  <c r="AD83" i="3"/>
  <c r="AS83" i="3" s="1"/>
  <c r="AD91" i="3"/>
  <c r="AS91" i="3" s="1"/>
  <c r="AD81" i="3"/>
  <c r="AS81" i="3" s="1"/>
  <c r="AD90" i="3"/>
  <c r="AS90" i="3" s="1"/>
  <c r="AD82" i="3"/>
  <c r="AS82" i="3" s="1"/>
  <c r="AD89" i="3"/>
  <c r="AS89" i="3" s="1"/>
  <c r="AD85" i="3"/>
  <c r="AS85" i="3" s="1"/>
  <c r="AD84" i="3"/>
  <c r="AS84" i="3" s="1"/>
  <c r="AD80" i="3"/>
  <c r="AR80" i="3" s="1"/>
  <c r="AD86" i="3"/>
  <c r="AS86" i="3" s="1"/>
  <c r="AD87" i="3"/>
  <c r="AS87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J89" i="3"/>
  <c r="J82" i="3"/>
  <c r="M84" i="3"/>
  <c r="O83" i="3"/>
  <c r="J84" i="3"/>
  <c r="L92" i="3"/>
  <c r="M92" i="3"/>
  <c r="O85" i="3"/>
  <c r="M81" i="3"/>
  <c r="O91" i="3"/>
  <c r="J91" i="3"/>
  <c r="J85" i="3"/>
  <c r="L83" i="3"/>
  <c r="L82" i="3"/>
  <c r="AS80" i="3"/>
  <c r="L87" i="3"/>
  <c r="N89" i="3"/>
  <c r="J88" i="3"/>
  <c r="O87" i="3"/>
  <c r="N86" i="3"/>
  <c r="M91" i="3"/>
  <c r="L88" i="3"/>
  <c r="M88" i="3"/>
  <c r="L81" i="3"/>
  <c r="M89" i="3"/>
  <c r="O82" i="3"/>
  <c r="L90" i="3"/>
  <c r="J87" i="3"/>
  <c r="L89" i="3"/>
  <c r="N83" i="3"/>
  <c r="O89" i="3"/>
  <c r="N81" i="3"/>
  <c r="O84" i="3"/>
  <c r="M86" i="3"/>
  <c r="L86" i="3"/>
  <c r="N91" i="3"/>
  <c r="O86" i="3"/>
  <c r="J86" i="3"/>
  <c r="M85" i="3"/>
  <c r="J92" i="3"/>
  <c r="N85" i="3"/>
  <c r="L85" i="3"/>
  <c r="M82" i="3"/>
  <c r="M90" i="3"/>
  <c r="M83" i="3"/>
  <c r="O88" i="3"/>
  <c r="N82" i="3"/>
  <c r="M87" i="3"/>
  <c r="J90" i="3"/>
  <c r="O81" i="3"/>
  <c r="N87" i="3"/>
  <c r="O90" i="3"/>
  <c r="L91" i="3"/>
  <c r="N84" i="3"/>
  <c r="N88" i="3"/>
  <c r="J83" i="3"/>
  <c r="N92" i="3"/>
  <c r="J81" i="3"/>
  <c r="O92" i="3"/>
  <c r="N90" i="3"/>
  <c r="L84" i="3"/>
  <c r="P83" i="3" l="1"/>
  <c r="P84" i="3"/>
  <c r="P81" i="3"/>
  <c r="P89" i="3"/>
  <c r="K91" i="3"/>
  <c r="F3" i="4"/>
  <c r="BL35" i="3" s="1"/>
  <c r="H3" i="4"/>
  <c r="BL39" i="3" s="1"/>
  <c r="E3" i="4"/>
  <c r="BL67" i="3" s="1"/>
  <c r="I3" i="4"/>
  <c r="BL15" i="3" s="1"/>
  <c r="K3" i="4"/>
  <c r="BL55" i="3" s="1"/>
  <c r="D3" i="4"/>
  <c r="BL51" i="3" s="1"/>
  <c r="K88" i="3"/>
  <c r="K85" i="3"/>
  <c r="P88" i="3"/>
  <c r="B3" i="4"/>
  <c r="J3" i="4"/>
  <c r="BL71" i="3" s="1"/>
  <c r="G3" i="4"/>
  <c r="BL11" i="3" s="1"/>
  <c r="P82" i="3"/>
  <c r="K90" i="3"/>
  <c r="K92" i="3"/>
  <c r="K86" i="3"/>
  <c r="P92" i="3"/>
  <c r="K83" i="3"/>
  <c r="K81" i="3"/>
  <c r="P87" i="3"/>
  <c r="P85" i="3"/>
  <c r="P86" i="3"/>
  <c r="K87" i="3"/>
  <c r="K82" i="3"/>
  <c r="P90" i="3"/>
  <c r="P91" i="3"/>
  <c r="K84" i="3"/>
  <c r="K89" i="3"/>
  <c r="BS53" i="3"/>
  <c r="BS52" i="3"/>
  <c r="BS69" i="3"/>
  <c r="BZ65" i="3" s="1"/>
  <c r="CG56" i="3" s="1"/>
  <c r="CN49" i="3" s="1"/>
  <c r="BS68" i="3"/>
  <c r="BZ49" i="3" l="1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<sst xmlns="http://schemas.openxmlformats.org/spreadsheetml/2006/main" count="9785" uniqueCount="3699">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</sst>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36" zoomScaleNormal="100" workbookViewId="0">
      <selection activeCell="CN54" sqref="CN54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5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87500009.167507172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1</v>
      </c>
      <c r="AH9" s="123">
        <f>COUNTIF($S$7:$T$78,"=" &amp; AE9 &amp; "_lose")</f>
        <v>1</v>
      </c>
      <c r="AI9" s="123">
        <f>SUMIF($E$7:$E$78,$AE9,$F$7:$F$78) + SUMIF($H$7:$H$78,$AE9,$G$7:$G$78)</f>
        <v>4</v>
      </c>
      <c r="AJ9" s="123">
        <f>SUMIF($E$7:$E$78,$AE9,$G$7:$G$78) + SUMIF($H$7:$H$78,$AE9,$F$7:$F$78)</f>
        <v>4</v>
      </c>
      <c r="AL9" s="123">
        <f>AI9-AJ9</f>
        <v>0</v>
      </c>
      <c r="AM9" s="123">
        <f>AL9-AL12</f>
        <v>2</v>
      </c>
      <c r="AN9" s="123">
        <f>AF9*3+AG9</f>
        <v>4</v>
      </c>
      <c r="AO9" s="123">
        <f>AN9/AN12*10+BA9</f>
        <v>5</v>
      </c>
      <c r="AP9" s="123">
        <f>AO9*10000000+BI9*100+AM9/AM12*10+AI9/AI12*1++IF(AQ9=0,ROW(),AQ9)/2000000</f>
        <v>50000004.000714868</v>
      </c>
      <c r="AQ9" s="126">
        <f>VLOOKUP(AE9,db_fifarank,2,FALSE)</f>
        <v>1429.73</v>
      </c>
      <c r="AR9" s="125">
        <f>AP9/AP12</f>
        <v>0.57142855075098264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4 - 4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5</v>
      </c>
      <c r="AL10" s="123">
        <f>AI10-AJ10</f>
        <v>-2</v>
      </c>
      <c r="AM10" s="123">
        <f>AL10-AL12</f>
        <v>0</v>
      </c>
      <c r="AN10" s="123">
        <f>AF10*3+AG10</f>
        <v>3</v>
      </c>
      <c r="AO10" s="123">
        <f>AN10/AN12*10+BA10</f>
        <v>3.75</v>
      </c>
      <c r="AP10" s="123">
        <f>AO10*10000000+BI10*100+AM10/AM12*10+AI10/AI12*1++IF(AQ10=0,ROW(),AQ10)/2000000</f>
        <v>37500000.500794329</v>
      </c>
      <c r="AQ10" s="126">
        <f>VLOOKUP(AE10,db_fifarank,2,FALSE)</f>
        <v>1588.66</v>
      </c>
      <c r="AR10" s="125">
        <f>AP10/AP12</f>
        <v>0.42857138449476234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1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3 - 5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4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6</v>
      </c>
      <c r="AL11" s="123">
        <f>AI11-AJ11</f>
        <v>-1</v>
      </c>
      <c r="AM11" s="123">
        <f>AL11-AL12</f>
        <v>1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25000002.500750691</v>
      </c>
      <c r="AQ11" s="126">
        <f>VLOOKUP(AE11,db_fifarank,2,FALSE)</f>
        <v>1501.38</v>
      </c>
      <c r="AR11" s="125">
        <f>AP11/AP12</f>
        <v>0.28571428109427072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Czech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2</v>
      </c>
      <c r="N12" s="36">
        <f>VLOOKUP(4,AD8:AN11,5,FALSE)</f>
        <v>1</v>
      </c>
      <c r="O12" s="36" t="str">
        <f>VLOOKUP(4,AD8:AN11,6,FALSE) &amp; " - " &amp; VLOOKUP(4,AD8:AN11,7,FALSE)</f>
        <v>5 - 6</v>
      </c>
      <c r="P12" s="37">
        <f>L12*3+M12</f>
        <v>2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-2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87500010.167507172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3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1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Qatar_draw</v>
      </c>
      <c r="T14" s="127" t="str">
        <f t="shared" si="2"/>
        <v>Switzerland_draw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0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3</v>
      </c>
      <c r="AL14" s="123">
        <f>AI14-AJ14</f>
        <v>3</v>
      </c>
      <c r="AM14" s="123">
        <f>AL14-AL18</f>
        <v>8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87500009.746809989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2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6 - 3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0</v>
      </c>
      <c r="AH15" s="123">
        <f>COUNTIF($S$7:$T$78,"=" &amp; AE15 &amp; "_lose")</f>
        <v>3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6</v>
      </c>
      <c r="AL15" s="123">
        <f>AI15-AJ15</f>
        <v>-5</v>
      </c>
      <c r="AM15" s="123">
        <f>AL15-AL18</f>
        <v>0</v>
      </c>
      <c r="AN15" s="123">
        <f>AF15*3+AG15</f>
        <v>0</v>
      </c>
      <c r="AO15" s="123">
        <f>AN15/AN18*10+BA15</f>
        <v>0</v>
      </c>
      <c r="AP15" s="123">
        <f>AO15*10000000+BI15*100+AM15/AM18*10+AI15/AI18*1++IF(AQ15=0,ROW(),AQ15)/2000000</f>
        <v>0.14355006285714286</v>
      </c>
      <c r="AQ15" s="126">
        <f>VLOOKUP(AE15,db_fifarank,2,FALSE)</f>
        <v>1385.84</v>
      </c>
      <c r="AR15" s="125">
        <f>AP15/AP18</f>
        <v>1.6405719454426044E-9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Egypt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2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5 - 3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1</v>
      </c>
      <c r="AG16" s="123">
        <f>COUNTIF($S$7:$T$78,"=" &amp; AE16 &amp; "_draw")</f>
        <v>1</v>
      </c>
      <c r="AH16" s="123">
        <f>COUNTIF($S$7:$T$78,"=" &amp; AE16 &amp; "_lose")</f>
        <v>1</v>
      </c>
      <c r="AI16" s="123">
        <f>SUMIF($E$7:$E$78,$AE16,$F$7:$F$78) + SUMIF($H$7:$H$78,$AE16,$G$7:$G$78)</f>
        <v>4</v>
      </c>
      <c r="AJ16" s="123">
        <f>SUMIF($E$7:$E$78,$AE16,$G$7:$G$78) + SUMIF($H$7:$H$78,$AE16,$F$7:$F$78)</f>
        <v>4</v>
      </c>
      <c r="AL16" s="123">
        <f>AI16-AJ16</f>
        <v>0</v>
      </c>
      <c r="AM16" s="123">
        <f>AL16-AL18</f>
        <v>5</v>
      </c>
      <c r="AN16" s="123">
        <f>AF16*3+AG16</f>
        <v>4</v>
      </c>
      <c r="AO16" s="123">
        <f>AN16/AN18*10+BA16</f>
        <v>5</v>
      </c>
      <c r="AP16" s="123">
        <f>AO16*10000000+BI16*100+AM16/AM18*10+AI16/AI18*1++IF(AQ16=0,ROW(),AQ16)/2000000</f>
        <v>50000006.127711609</v>
      </c>
      <c r="AQ16" s="126">
        <f>VLOOKUP(AE16,db_fifarank,2,FALSE)</f>
        <v>1454.96</v>
      </c>
      <c r="AR16" s="125">
        <f>AP16/AP18</f>
        <v>0.5714285712763123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0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3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3</v>
      </c>
      <c r="AL17" s="123">
        <f>AI17-AJ17</f>
        <v>2</v>
      </c>
      <c r="AM17" s="123">
        <f>AL17-AL18</f>
        <v>7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62500008.49288819</v>
      </c>
      <c r="AQ17" s="126">
        <f>VLOOKUP(AE17,db_fifarank,2,FALSE)</f>
        <v>1649.4</v>
      </c>
      <c r="AR17" s="125">
        <f>AP17/AP18</f>
        <v>0.71428572361823128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2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1</v>
      </c>
      <c r="V18" s="123">
        <f t="shared" si="3"/>
        <v>2</v>
      </c>
      <c r="W18" s="123">
        <f t="shared" si="4"/>
        <v>2</v>
      </c>
      <c r="X18" s="123">
        <f t="shared" si="9"/>
        <v>1</v>
      </c>
      <c r="Y18" s="123">
        <f t="shared" si="10"/>
        <v>2</v>
      </c>
      <c r="Z18" s="123">
        <f t="shared" si="11"/>
        <v>2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7</v>
      </c>
      <c r="AL18" s="123">
        <f>MIN(AL14:AL17)</f>
        <v>-5</v>
      </c>
      <c r="AM18" s="123">
        <f>MAX(AM14:AM17)+1</f>
        <v>9</v>
      </c>
      <c r="AN18" s="123">
        <f>MAX(AN14:AN17)+1</f>
        <v>8</v>
      </c>
      <c r="AO18" s="123">
        <f>MAX(AO14:AO17)+1</f>
        <v>9.75</v>
      </c>
      <c r="AP18" s="123">
        <f>MAX(AP14:AP17)+1</f>
        <v>87500010.746809989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South Africa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90000010.140740722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5</v>
      </c>
      <c r="AL21" s="123">
        <f>AI21-AJ21</f>
        <v>2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60000006.021856949</v>
      </c>
      <c r="AQ21" s="126">
        <f>VLOOKUP(AE21,db_fifarank,2,FALSE)</f>
        <v>1755.87</v>
      </c>
      <c r="AR21" s="125">
        <f>AP21/AP24</f>
        <v>0.66666665105218492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7 - 5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3</v>
      </c>
      <c r="AJ22" s="123">
        <f>SUMIF($E$7:$E$78,$AE22,$G$7:$G$78) + SUMIF($H$7:$H$78,$AE22,$F$7:$F$78)</f>
        <v>8</v>
      </c>
      <c r="AL22" s="123">
        <f>AI22-AJ22</f>
        <v>-5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0.27337312772727268</v>
      </c>
      <c r="AQ22" s="126">
        <f>VLOOKUP(AE22,db_fifarank,2,FALSE)</f>
        <v>1291.71</v>
      </c>
      <c r="AR22" s="125">
        <f>AP22/AP24</f>
        <v>3.0374788209723188E-9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3 - 7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7</v>
      </c>
      <c r="AL23" s="123">
        <f>AI23-AJ23</f>
        <v>-4</v>
      </c>
      <c r="AM23" s="123">
        <f>AL23-AL24</f>
        <v>1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30000001.042707216</v>
      </c>
      <c r="AQ23" s="126">
        <f>VLOOKUP(AE23,db_fifarank,2,FALSE)</f>
        <v>1498.35</v>
      </c>
      <c r="AR23" s="125">
        <f>AP23/AP24</f>
        <v>0.33333330365697006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Netherlands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3 - 8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11</v>
      </c>
      <c r="AL24" s="123">
        <f>MIN(AL20:AL23)</f>
        <v>-5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90000011.140740722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Austria_draw</v>
      </c>
      <c r="T26" s="127" t="str">
        <f t="shared" si="2"/>
        <v>Jordan_draw</v>
      </c>
      <c r="U26" s="123">
        <f t="shared" si="8"/>
        <v>1</v>
      </c>
      <c r="V26" s="123">
        <f t="shared" si="3"/>
        <v>1</v>
      </c>
      <c r="W26" s="123">
        <f t="shared" si="4"/>
        <v>1</v>
      </c>
      <c r="X26" s="123">
        <f t="shared" si="9"/>
        <v>1</v>
      </c>
      <c r="Y26" s="123">
        <f t="shared" si="10"/>
        <v>1</v>
      </c>
      <c r="Z26" s="123">
        <f t="shared" si="11"/>
        <v>1</v>
      </c>
      <c r="AA26" s="123">
        <f t="shared" si="5"/>
        <v>0</v>
      </c>
      <c r="AB26" s="123">
        <f t="shared" si="6"/>
        <v>0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7.1428571428571432</v>
      </c>
      <c r="AP26" s="123">
        <f>AO26*10000000+BI26*100+AM26/AM30*10+AI26/AI30*1++IF(AQ26=0,ROW(),AQ26)/2000000</f>
        <v>71428578.262741327</v>
      </c>
      <c r="AQ26" s="126">
        <f>VLOOKUP(AE26,db_fifarank,2,FALSE)</f>
        <v>1673.13</v>
      </c>
      <c r="AR26" s="125">
        <f>AP26/AP30</f>
        <v>0.83333331907606245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0</v>
      </c>
      <c r="N27" s="31">
        <f>VLOOKUP(1,AD26:AN29,5,FALSE)</f>
        <v>1</v>
      </c>
      <c r="O27" s="31" t="str">
        <f>VLOOKUP(1,AD26:AN29,6,FALSE) &amp; " - " &amp; VLOOKUP(1,AD26:AN29,7,FALSE)</f>
        <v>4 - 2</v>
      </c>
      <c r="P27" s="32">
        <f>L27*3+M27</f>
        <v>6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3</v>
      </c>
      <c r="AL27" s="123">
        <f>AI27-AJ27</f>
        <v>-1</v>
      </c>
      <c r="AM27" s="123">
        <f>AL27-AL30</f>
        <v>1</v>
      </c>
      <c r="AN27" s="123">
        <f>AF27*3+AG27</f>
        <v>2</v>
      </c>
      <c r="AO27" s="123">
        <f>AN27/AN30*10+BA27</f>
        <v>3.8377253814147014</v>
      </c>
      <c r="AP27" s="123">
        <f>AO27*10000000+BI27*100+AM27/AM30*10+AI27/AI30*1++IF(AQ27=0,ROW(),AQ27)/2000000</f>
        <v>38377354.206484526</v>
      </c>
      <c r="AQ27" s="126">
        <f>VLOOKUP(AE27,db_fifarank,2,FALSE)</f>
        <v>1503.5</v>
      </c>
      <c r="AR27" s="125">
        <f>AP27/AP30</f>
        <v>0.44773574857683363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1</v>
      </c>
      <c r="AV27" s="126" cm="1">
        <f t="array" ref="AV27">SUMPRODUCT(($E$7:$E$78=AE27)*($U$7:$U$78)*($F$7:$F$78))+SUMPRODUCT(($H$7:$H$78=AE27)*($U$7:$U$78)*($G$7:$G$78))</f>
        <v>1</v>
      </c>
      <c r="AW27" s="126" cm="1">
        <f t="array" ref="AW27">SUMPRODUCT(($E$7:$E$78=AE27)*($U$7:$U$78)*($G$7:$G$78))+SUMPRODUCT(($H$7:$H$78=AE27)*($U$7:$U$78)*($F$7:$F$78))</f>
        <v>1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50.5</v>
      </c>
      <c r="BA27" s="126">
        <f>AZ27/AZ30</f>
        <v>0.98058252427184467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1</v>
      </c>
      <c r="BD27" s="126" cm="1">
        <f t="array" ref="BD27">SUMPRODUCT(($E$7:$E$78=AE27)*($X$7:$X$78)*($F$7:$F$78))+SUMPRODUCT(($H$7:$H$78=AE27)*($X$7:$X$78)*($G$7:$G$78))</f>
        <v>1</v>
      </c>
      <c r="BE27" s="126" cm="1">
        <f t="array" ref="BE27">SUMPRODUCT(($E$7:$E$78=AE27)*($X$7:$X$78)*($G$7:$G$78))+SUMPRODUCT(($H$7:$H$78=AE27)*($X$7:$X$78)*($F$7:$F$78))</f>
        <v>1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50.5</v>
      </c>
      <c r="BI27" s="126">
        <f>BH27/BH30</f>
        <v>0.98058252427184467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3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England_lose</v>
      </c>
      <c r="T28" s="127" t="str">
        <f t="shared" si="2"/>
        <v>Croatia_win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-1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2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2</v>
      </c>
      <c r="AO28" s="123">
        <f>AN28/AN30*10+BA28</f>
        <v>3.8377253814147014</v>
      </c>
      <c r="AP28" s="123">
        <f>AO28*10000000+BI28*100+AM28/AM30*10+AI28/AI30*1++IF(AQ28=0,ROW(),AQ28)/2000000</f>
        <v>38377352.373189777</v>
      </c>
      <c r="AQ28" s="126">
        <f>VLOOKUP(AE28,db_fifarank,2,FALSE)</f>
        <v>1580.67</v>
      </c>
      <c r="AR28" s="125">
        <f>AP28/AP30</f>
        <v>0.44773572718839733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1</v>
      </c>
      <c r="AV28" s="126" cm="1">
        <f t="array" ref="AV28">SUMPRODUCT(($E$7:$E$78=AE28)*($U$7:$U$78)*($F$7:$F$78))+SUMPRODUCT(($H$7:$H$78=AE28)*($U$7:$U$78)*($G$7:$G$78))</f>
        <v>1</v>
      </c>
      <c r="AW28" s="126" cm="1">
        <f t="array" ref="AW28">SUMPRODUCT(($E$7:$E$78=AE28)*($U$7:$U$78)*($G$7:$G$78))+SUMPRODUCT(($H$7:$H$78=AE28)*($U$7:$U$78)*($F$7:$F$78))</f>
        <v>1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50.5</v>
      </c>
      <c r="BA28" s="126">
        <f>AZ28/AZ30</f>
        <v>0.98058252427184467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1</v>
      </c>
      <c r="BD28" s="126" cm="1">
        <f t="array" ref="BD28">SUMPRODUCT(($E$7:$E$78=AE28)*($X$7:$X$78)*($F$7:$F$78))+SUMPRODUCT(($H$7:$H$78=AE28)*($X$7:$X$78)*($G$7:$G$78))</f>
        <v>1</v>
      </c>
      <c r="BE28" s="126" cm="1">
        <f t="array" ref="BE28">SUMPRODUCT(($E$7:$E$78=AE28)*($X$7:$X$78)*($G$7:$G$78))+SUMPRODUCT(($H$7:$H$78=AE28)*($X$7:$X$78)*($F$7:$F$78))</f>
        <v>1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50.5</v>
      </c>
      <c r="BI28" s="126">
        <f>BH28/BH30</f>
        <v>0.98058252427184467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2 - 3</v>
      </c>
      <c r="P29" s="34">
        <f>L29*3+M29</f>
        <v>2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4</v>
      </c>
      <c r="AN29" s="123">
        <f>AF29*3+AG29</f>
        <v>6</v>
      </c>
      <c r="AO29" s="123">
        <f>AN29/AN30*10+BA29</f>
        <v>8.5714285714285712</v>
      </c>
      <c r="AP29" s="123">
        <f>AO29*10000000+BI29*100+AM29/AM30*10+AI29/AI30*1++IF(AQ29=0,ROW(),AQ29)/2000000</f>
        <v>85714294.38175191</v>
      </c>
      <c r="AQ29" s="126">
        <f>VLOOKUP(AE29,db_fifarank,2,FALSE)</f>
        <v>1599.04</v>
      </c>
      <c r="AR29" s="125">
        <f>AP29/AP30</f>
        <v>0.9999999883333347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3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2</v>
      </c>
      <c r="N30" s="36">
        <f>VLOOKUP(4,AD26:AN29,5,FALSE)</f>
        <v>1</v>
      </c>
      <c r="O30" s="36" t="str">
        <f>VLOOKUP(4,AD26:AN29,6,FALSE) &amp; " - " &amp; VLOOKUP(4,AD26:AN29,7,FALSE)</f>
        <v>3 - 5</v>
      </c>
      <c r="P30" s="37">
        <f>L30*3+M30</f>
        <v>2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2</v>
      </c>
      <c r="AI30" s="123">
        <f>MAX(AI26:AI29)+1</f>
        <v>6</v>
      </c>
      <c r="AL30" s="123">
        <f>MIN(AL26:AL29)</f>
        <v>-2</v>
      </c>
      <c r="AM30" s="123">
        <f>MAX(AM26:AM29)+1</f>
        <v>5</v>
      </c>
      <c r="AN30" s="123">
        <f>MAX(AN26:AN29)+1</f>
        <v>7</v>
      </c>
      <c r="AO30" s="123">
        <f>MAX(AO26:AO29)+1</f>
        <v>9.5714285714285712</v>
      </c>
      <c r="AP30" s="123">
        <f>MAX(AP26:AP29)+1</f>
        <v>85714295.38175191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Jordan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3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0</v>
      </c>
      <c r="AL32" s="123">
        <f>AI32-AJ32</f>
        <v>8</v>
      </c>
      <c r="AM32" s="123">
        <f>AL32-AL36</f>
        <v>12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90000010.120523319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19805923.412729312</v>
      </c>
      <c r="AQ33" s="126">
        <f>VLOOKUP(AE33,db_fifarank,2,FALSE)</f>
        <v>1294.6500000000001</v>
      </c>
      <c r="AR33" s="125">
        <f>AP33/AP36</f>
        <v>0.22006578850536199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4</v>
      </c>
      <c r="AL34" s="123">
        <f>AI34-AJ34</f>
        <v>0</v>
      </c>
      <c r="AM34" s="123">
        <f>AL34-AL36</f>
        <v>4</v>
      </c>
      <c r="AN34" s="123">
        <f>AF34*3+AG34</f>
        <v>6</v>
      </c>
      <c r="AO34" s="123">
        <f>AN34/AN36*10+BA34</f>
        <v>6</v>
      </c>
      <c r="AP34" s="123">
        <f>AO34*10000000+BI34*100+AM34/AM36*10+AI34/AI36*1++IF(AQ34=0,ROW(),AQ34)/2000000</f>
        <v>60000003.522134021</v>
      </c>
      <c r="AQ34" s="126">
        <f>VLOOKUP(AE34,db_fifarank,2,FALSE)</f>
        <v>1532.98</v>
      </c>
      <c r="AR34" s="125">
        <f>AP34/AP36</f>
        <v>0.6666666234272477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2 - 6</v>
      </c>
      <c r="P35" s="34">
        <f>L35*3+M35</f>
        <v>1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1</v>
      </c>
      <c r="AH35" s="123">
        <f>COUNTIF($S$7:$T$78,"=" &amp; AE35 &amp; "_lose")</f>
        <v>2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6</v>
      </c>
      <c r="AL35" s="123">
        <f>AI35-AJ35</f>
        <v>-4</v>
      </c>
      <c r="AM35" s="123">
        <f>AL35-AL36</f>
        <v>0</v>
      </c>
      <c r="AN35" s="123">
        <f>AF35*3+AG35</f>
        <v>1</v>
      </c>
      <c r="AO35" s="123">
        <f>AN35/AN36*10+BA35</f>
        <v>1.9805825242718447</v>
      </c>
      <c r="AP35" s="123">
        <f>AO35*10000000+BI35*100+AM35/AM36*10+AI35/AI36*1++IF(AQ35=0,ROW(),AQ35)/2000000</f>
        <v>19805923.52399049</v>
      </c>
      <c r="AQ35" s="126">
        <f>VLOOKUP(AE35,db_fifarank,2,FALSE)</f>
        <v>1594.78</v>
      </c>
      <c r="AR35" s="125">
        <f>AP35/AP36</f>
        <v>0.22006578974159716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Qatar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1 - 5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9</v>
      </c>
      <c r="AL36" s="123">
        <f>MIN(AL32:AL35)</f>
        <v>-4</v>
      </c>
      <c r="AM36" s="123">
        <f>MAX(AM32:AM35)+1</f>
        <v>13</v>
      </c>
      <c r="AN36" s="123">
        <f>MAX(AN32:AN35)+1</f>
        <v>10</v>
      </c>
      <c r="AO36" s="123">
        <f>MAX(AO32:AO35)+1</f>
        <v>10</v>
      </c>
      <c r="AP36" s="123">
        <f>MAX(AP32:AP35)+1</f>
        <v>90000011.120523319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2</v>
      </c>
      <c r="AL38" s="123">
        <f>AI38-AJ38</f>
        <v>5</v>
      </c>
      <c r="AM38" s="123">
        <f>AL38-AL42</f>
        <v>9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90000009.87587893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7 - 2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5</v>
      </c>
      <c r="AJ39" s="123">
        <f>SUMIF($E$7:$E$78,$AE39,$G$7:$G$78) + SUMIF($H$7:$H$78,$AE39,$F$7:$F$78)</f>
        <v>4</v>
      </c>
      <c r="AL39" s="123">
        <f>AI39-AJ39</f>
        <v>1</v>
      </c>
      <c r="AM39" s="123">
        <f>AL39-AL42</f>
        <v>5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60000005.625830218</v>
      </c>
      <c r="AQ39" s="126">
        <f>VLOOKUP(AE39,db_fifarank,2,FALSE)</f>
        <v>1660.43</v>
      </c>
      <c r="AR39" s="125">
        <f>AP39/AP42</f>
        <v>0.6666666486138273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Korea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1</v>
      </c>
      <c r="V40" s="123">
        <f t="shared" si="3"/>
        <v>1</v>
      </c>
      <c r="W40" s="123">
        <f t="shared" si="4"/>
        <v>1</v>
      </c>
      <c r="X40" s="123">
        <f t="shared" si="9"/>
        <v>1</v>
      </c>
      <c r="Y40" s="123">
        <f t="shared" si="10"/>
        <v>1</v>
      </c>
      <c r="Z40" s="123">
        <f t="shared" si="11"/>
        <v>1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1</v>
      </c>
      <c r="AH40" s="123">
        <f>COUNTIF($S$7:$T$78,"=" &amp; AE40 &amp; "_lose")</f>
        <v>2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6</v>
      </c>
      <c r="AL40" s="123">
        <f>AI40-AJ40</f>
        <v>-2</v>
      </c>
      <c r="AM40" s="123">
        <f>AL40-AL42</f>
        <v>2</v>
      </c>
      <c r="AN40" s="123">
        <f>AF40*3+AG40</f>
        <v>1</v>
      </c>
      <c r="AO40" s="123">
        <f>AN40/AN42*10+BA40</f>
        <v>1.9806451612903224</v>
      </c>
      <c r="AP40" s="123">
        <f>AO40*10000000+BI40*100+AM40/AM42*10+AI40/AI42*1++IF(AQ40=0,ROW(),AQ40)/2000000</f>
        <v>19806552.178176738</v>
      </c>
      <c r="AQ40" s="126">
        <f>VLOOKUP(AE40,db_fifarank,2,FALSE)</f>
        <v>1514.77</v>
      </c>
      <c r="AR40" s="125">
        <f>AP40/AP42</f>
        <v>0.2200727753854653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2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50.666666666666664</v>
      </c>
      <c r="BA40" s="126">
        <f>AZ40/AZ42</f>
        <v>0.98064516129032253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2</v>
      </c>
      <c r="BE40" s="126" cm="1">
        <f t="array" ref="BE40">SUMPRODUCT(($E$7:$E$78=AE40)*($X$7:$X$78)*($G$7:$G$78))+SUMPRODUCT(($H$7:$H$78=AE40)*($X$7:$X$78)*($F$7:$F$78))</f>
        <v>2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50.666666666666664</v>
      </c>
      <c r="BI40" s="126">
        <f>BH40/BH42</f>
        <v>0.98064516129032253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1</v>
      </c>
      <c r="N41" s="23">
        <f>VLOOKUP(3,AD38:AN41,5,FALSE)</f>
        <v>2</v>
      </c>
      <c r="O41" s="23" t="str">
        <f>VLOOKUP(3,AD38:AN41,6,FALSE) &amp; " - " &amp; VLOOKUP(3,AD38:AN41,7,FALSE)</f>
        <v>4 - 6</v>
      </c>
      <c r="P41" s="34">
        <f>L41*3+M41</f>
        <v>1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6</v>
      </c>
      <c r="AL41" s="123">
        <f>AI41-AJ41</f>
        <v>-4</v>
      </c>
      <c r="AM41" s="123">
        <f>AL41-AL42</f>
        <v>0</v>
      </c>
      <c r="AN41" s="123">
        <f>AF41*3+AG41</f>
        <v>1</v>
      </c>
      <c r="AO41" s="123">
        <f>AN41/AN42*10+BA41</f>
        <v>1.9806451612903224</v>
      </c>
      <c r="AP41" s="123">
        <f>AO41*10000000+BI41*100+AM41/AM42*10+AI41/AI42*1++IF(AQ41=0,ROW(),AQ41)/2000000</f>
        <v>19806549.92816088</v>
      </c>
      <c r="AQ41" s="126">
        <f>VLOOKUP(AE41,db_fifarank,2,FALSE)</f>
        <v>1483.05</v>
      </c>
      <c r="AR41" s="125">
        <f>AP41/AP42</f>
        <v>0.22007275038529212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1</v>
      </c>
      <c r="AV41" s="126" cm="1">
        <f t="array" ref="AV41">SUMPRODUCT(($E$7:$E$78=AE41)*($U$7:$U$78)*($F$7:$F$78))+SUMPRODUCT(($H$7:$H$78=AE41)*($U$7:$U$78)*($G$7:$G$78))</f>
        <v>2</v>
      </c>
      <c r="AW41" s="126" cm="1">
        <f t="array" ref="AW41">SUMPRODUCT(($E$7:$E$78=AE41)*($U$7:$U$78)*($G$7:$G$78))+SUMPRODUCT(($H$7:$H$78=AE41)*($U$7:$U$78)*($F$7:$F$78))</f>
        <v>2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50.666666666666664</v>
      </c>
      <c r="BA41" s="126">
        <f>AZ41/AZ42</f>
        <v>0.98064516129032253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1</v>
      </c>
      <c r="BD41" s="126" cm="1">
        <f t="array" ref="BD41">SUMPRODUCT(($E$7:$E$78=AE41)*($X$7:$X$78)*($F$7:$F$78))+SUMPRODUCT(($H$7:$H$78=AE41)*($X$7:$X$78)*($G$7:$G$78))</f>
        <v>2</v>
      </c>
      <c r="BE41" s="126" cm="1">
        <f t="array" ref="BE41">SUMPRODUCT(($E$7:$E$78=AE41)*($X$7:$X$78)*($G$7:$G$78))+SUMPRODUCT(($H$7:$H$78=AE41)*($X$7:$X$78)*($F$7:$F$78))</f>
        <v>2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50.666666666666664</v>
      </c>
      <c r="BI41" s="126">
        <f>BH41/BH42</f>
        <v>0.98064516129032253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2 - 6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3</v>
      </c>
      <c r="AI42" s="123">
        <f>MAX(AI38:AI41)+1</f>
        <v>8</v>
      </c>
      <c r="AL42" s="123">
        <f>MIN(AL38:AL41)</f>
        <v>-4</v>
      </c>
      <c r="AM42" s="123">
        <f>MAX(AM38:AM41)+1</f>
        <v>10</v>
      </c>
      <c r="AN42" s="123">
        <f>MAX(AN38:AN41)+1</f>
        <v>10</v>
      </c>
      <c r="AO42" s="123">
        <f>MAX(AO38:AO41)+1</f>
        <v>10</v>
      </c>
      <c r="AP42" s="123">
        <f>MAX(AP38:AP41)+1</f>
        <v>90000010.87587893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3</v>
      </c>
      <c r="AL44" s="123">
        <f>AI44-AJ44</f>
        <v>2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87500009.167534009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5 - 3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3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50000005.667448282</v>
      </c>
      <c r="AQ45" s="126">
        <f>VLOOKUP(AE45,db_fifarank,2,FALSE)</f>
        <v>1563.24</v>
      </c>
      <c r="AR45" s="125">
        <f>AP45/AP48</f>
        <v>0.57142856979918699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2</v>
      </c>
      <c r="N46" s="23">
        <f>VLOOKUP(2,AD44:AN47,5,FALSE)</f>
        <v>0</v>
      </c>
      <c r="O46" s="23" t="str">
        <f>VLOOKUP(2,AD44:AN47,6,FALSE) &amp; " - " &amp; VLOOKUP(2,AD44:AN47,7,FALSE)</f>
        <v>3 - 2</v>
      </c>
      <c r="P46" s="34">
        <f>L46*3+M46</f>
        <v>5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2</v>
      </c>
      <c r="AH46" s="123">
        <f>COUNTIF($S$7:$T$78,"=" &amp; AE46 &amp; "_lose")</f>
        <v>0</v>
      </c>
      <c r="AI46" s="123">
        <f>SUMIF($E$7:$E$78,$AE46,$F$7:$F$78) + SUMIF($H$7:$H$78,$AE46,$G$7:$G$78)</f>
        <v>3</v>
      </c>
      <c r="AJ46" s="123">
        <f>SUMIF($E$7:$E$78,$AE46,$G$7:$G$78) + SUMIF($H$7:$H$78,$AE46,$F$7:$F$78)</f>
        <v>2</v>
      </c>
      <c r="AL46" s="123">
        <f>AI46-AJ46</f>
        <v>1</v>
      </c>
      <c r="AM46" s="123">
        <f>AL46-AL48</f>
        <v>4</v>
      </c>
      <c r="AN46" s="123">
        <f>AF46*3+AG46</f>
        <v>5</v>
      </c>
      <c r="AO46" s="123">
        <f>AN46/AN48*10+BA46</f>
        <v>6.25</v>
      </c>
      <c r="AP46" s="123">
        <f>AO46*10000000+BI46*100+AM46/AM48*10+AI46/AI48*1++IF(AQ46=0,ROW(),AQ46)/2000000</f>
        <v>62500007.167474315</v>
      </c>
      <c r="AQ46" s="126">
        <f>VLOOKUP(AE46,db_fifarank,2,FALSE)</f>
        <v>1615.3</v>
      </c>
      <c r="AR46" s="125">
        <f>AP46/AP48</f>
        <v>0.71428571319942891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4 - 4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5</v>
      </c>
      <c r="AL47" s="123">
        <f>AI47-AJ47</f>
        <v>-3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0.33397411833333329</v>
      </c>
      <c r="AQ47" s="126">
        <f>VLOOKUP(AE47,db_fifarank,2,FALSE)</f>
        <v>1281.57</v>
      </c>
      <c r="AR47" s="125">
        <f>AP47/AP48</f>
        <v>3.816846623147605E-9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2 - 5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4</v>
      </c>
      <c r="AI48" s="123">
        <f>MAX(AI44:AI47)+1</f>
        <v>6</v>
      </c>
      <c r="AL48" s="123">
        <f>MIN(AL44:AL47)</f>
        <v>-3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87500010.167534009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Netherlands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4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Jordan_win</v>
      </c>
      <c r="T50" s="127" t="str">
        <f t="shared" si="20"/>
        <v>Algeria_lose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8</v>
      </c>
      <c r="AJ50" s="123">
        <f>SUMIF($E$7:$E$78,$AE50,$G$7:$G$78) + SUMIF($H$7:$H$78,$AE50,$F$7:$F$78)</f>
        <v>3</v>
      </c>
      <c r="AL50" s="123">
        <f>AI50-AJ50</f>
        <v>5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90000009.889827102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8 - 3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6</v>
      </c>
      <c r="AL51" s="123">
        <f>AI51-AJ51</f>
        <v>-4</v>
      </c>
      <c r="AM51" s="123">
        <f>AL51-AL54</f>
        <v>0</v>
      </c>
      <c r="AN51" s="123">
        <f>AF51*3+AG51</f>
        <v>1</v>
      </c>
      <c r="AO51" s="123">
        <f>AN51/AN54*10+BA51</f>
        <v>1.9806451612903224</v>
      </c>
      <c r="AP51" s="123">
        <f>AO51*10000000+BI51*100+AM51/AM54*10+AI51/AI54*1++IF(AQ51=0,ROW(),AQ51)/2000000</f>
        <v>19806549.900324643</v>
      </c>
      <c r="AQ51" s="126">
        <f>VLOOKUP(AE51,db_fifarank,2,FALSE)</f>
        <v>1366.13</v>
      </c>
      <c r="AR51" s="125">
        <f>AP51/AP54</f>
        <v>0.22007275004189383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2</v>
      </c>
      <c r="AW51" s="126" cm="1">
        <f t="array" ref="AW51">SUMPRODUCT(($E$7:$E$78=AE51)*($U$7:$U$78)*($G$7:$G$78))+SUMPRODUCT(($H$7:$H$78=AE51)*($U$7:$U$78)*($F$7:$F$78))</f>
        <v>2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50.666666666666664</v>
      </c>
      <c r="BA51" s="126">
        <f>AZ51/AZ54</f>
        <v>0.98064516129032253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2</v>
      </c>
      <c r="BE51" s="126" cm="1">
        <f t="array" ref="BE51">SUMPRODUCT(($E$7:$E$78=AE51)*($X$7:$X$78)*($G$7:$G$78))+SUMPRODUCT(($H$7:$H$78=AE51)*($X$7:$X$78)*($F$7:$F$78))</f>
        <v>2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50.666666666666664</v>
      </c>
      <c r="BI51" s="126">
        <f>BH51/BH54</f>
        <v>0.98064516129032253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7 - 4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8</v>
      </c>
      <c r="AL52" s="123">
        <f>AI52-AJ52</f>
        <v>-4</v>
      </c>
      <c r="AM52" s="123">
        <f>AL52-AL54</f>
        <v>0</v>
      </c>
      <c r="AN52" s="123">
        <f>AF52*3+AG52</f>
        <v>1</v>
      </c>
      <c r="AO52" s="123">
        <f>AN52/AN54*10+BA52</f>
        <v>1.9806451612903224</v>
      </c>
      <c r="AP52" s="123">
        <f>AO52*10000000+BI52*100+AM52/AM54*10+AI52/AI54*1++IF(AQ52=0,ROW(),AQ52)/2000000</f>
        <v>19806550.122574512</v>
      </c>
      <c r="AQ52" s="126">
        <f>VLOOKUP(AE52,db_fifarank,2,FALSE)</f>
        <v>1421.43</v>
      </c>
      <c r="AR52" s="125">
        <f>AP52/AP54</f>
        <v>0.22007275251133651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2</v>
      </c>
      <c r="AW52" s="126" cm="1">
        <f t="array" ref="AW52">SUMPRODUCT(($E$7:$E$78=AE52)*($U$7:$U$78)*($G$7:$G$78))+SUMPRODUCT(($H$7:$H$78=AE52)*($U$7:$U$78)*($F$7:$F$78))</f>
        <v>2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50.666666666666664</v>
      </c>
      <c r="BA52" s="126">
        <f>AZ52/AZ54</f>
        <v>0.98064516129032253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2</v>
      </c>
      <c r="BE52" s="126" cm="1">
        <f t="array" ref="BE52">SUMPRODUCT(($E$7:$E$78=AE52)*($X$7:$X$78)*($G$7:$G$78))+SUMPRODUCT(($H$7:$H$78=AE52)*($X$7:$X$78)*($F$7:$F$78))</f>
        <v>2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50.666666666666664</v>
      </c>
      <c r="BI52" s="126">
        <f>BH52/BH54</f>
        <v>0.98064516129032253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3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4 - 8</v>
      </c>
      <c r="P53" s="34">
        <f>L53*3+M53</f>
        <v>1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7</v>
      </c>
      <c r="AJ53" s="123">
        <f>SUMIF($E$7:$E$78,$AE53,$G$7:$G$78) + SUMIF($H$7:$H$78,$AE53,$F$7:$F$78)</f>
        <v>4</v>
      </c>
      <c r="AL53" s="123">
        <f>AI53-AJ53</f>
        <v>3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60000007.778614312</v>
      </c>
      <c r="AQ53" s="126">
        <f>VLOOKUP(AE53,db_fifarank,2,FALSE)</f>
        <v>1673.07</v>
      </c>
      <c r="AR53" s="125">
        <f>AP53/AP54</f>
        <v>0.66666667243032796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2 - 6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9</v>
      </c>
      <c r="AL54" s="123">
        <f>MIN(AL50:AL53)</f>
        <v>-4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90000010.889827102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3</v>
      </c>
      <c r="AW54" s="126">
        <f>MAX(AW50:AW53)-MIN(AW50:AW53)+1</f>
        <v>3</v>
      </c>
      <c r="AY54" s="126">
        <f>MAX(AY50:AY53)-MIN(AY50:AY53)+1</f>
        <v>1</v>
      </c>
      <c r="AZ54" s="126">
        <f>MAX(AZ50:AZ53)+1</f>
        <v>51.666666666666664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3</v>
      </c>
      <c r="BE54" s="126">
        <f>MAX(BE50:BE53)-MIN(BE50:BE53)+1</f>
        <v>3</v>
      </c>
      <c r="BG54" s="126">
        <f>MAX(BG50:BG53)-MIN(BG50:BG53)+1</f>
        <v>1</v>
      </c>
      <c r="BH54" s="126">
        <f>MAX(BH50:BH53)+1</f>
        <v>51.666666666666664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4</v>
      </c>
      <c r="AL56" s="123">
        <f>AI56-AJ56</f>
        <v>5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90000010.067605332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6</v>
      </c>
      <c r="AL57" s="123">
        <f>AI57-AJ57</f>
        <v>-2</v>
      </c>
      <c r="AM57" s="123">
        <f>AL57-AL60</f>
        <v>4</v>
      </c>
      <c r="AN57" s="123">
        <f>AF57*3+AG57</f>
        <v>1</v>
      </c>
      <c r="AO57" s="123">
        <f>AN57/AN60*10+BA57</f>
        <v>1.9805825242718447</v>
      </c>
      <c r="AP57" s="123">
        <f>AO57*10000000+BI57*100+AM57/AM60*10+AI57/AI60*1++IF(AQ57=0,ROW(),AQ57)/2000000</f>
        <v>19805927.035148699</v>
      </c>
      <c r="AQ57" s="126">
        <f>VLOOKUP(AE57,db_fifarank,2,FALSE)</f>
        <v>1688.99</v>
      </c>
      <c r="AR57" s="125">
        <f>AP57/AP60</f>
        <v>0.22006582888385509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7 - 4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Herzegovina_lose</v>
      </c>
      <c r="T58" s="127" t="str">
        <f t="shared" si="20"/>
        <v>Qatar_win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-1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1</v>
      </c>
      <c r="AO58" s="123">
        <f>AN58/AN60*10+BA58</f>
        <v>1.9805825242718447</v>
      </c>
      <c r="AP58" s="123">
        <f>AO58*10000000+BI58*100+AM58/AM60*10+AI58/AI60*1++IF(AQ58=0,ROW(),AQ58)/2000000</f>
        <v>19805923.401694447</v>
      </c>
      <c r="AQ58" s="126">
        <f>VLOOKUP(AE58,db_fifarank,2,FALSE)</f>
        <v>1447.14</v>
      </c>
      <c r="AR58" s="125">
        <f>AP58/AP60</f>
        <v>0.22006578851214614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1</v>
      </c>
      <c r="AW58" s="126" cm="1">
        <f t="array" ref="AW58">SUMPRODUCT(($E$7:$E$78=AE58)*($U$7:$U$78)*($G$7:$G$78))+SUMPRODUCT(($H$7:$H$78=AE58)*($U$7:$U$78)*($F$7:$F$78))</f>
        <v>1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50.5</v>
      </c>
      <c r="BA58" s="126">
        <f>AZ58/AZ60</f>
        <v>0.98058252427184467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1</v>
      </c>
      <c r="BE58" s="126" cm="1">
        <f t="array" ref="BE58">SUMPRODUCT(($E$7:$E$78=AE58)*($X$7:$X$78)*($G$7:$G$78))+SUMPRODUCT(($H$7:$H$78=AE58)*($X$7:$X$78)*($F$7:$F$78))</f>
        <v>1</v>
      </c>
      <c r="BF58" s="126">
        <f>BD58-BE58</f>
        <v>0</v>
      </c>
      <c r="BG58" s="126">
        <f>BF58-MIN(BF56:BF59)</f>
        <v>0</v>
      </c>
      <c r="BH58" s="126">
        <f t="shared" si="26"/>
        <v>50.5</v>
      </c>
      <c r="BI58" s="126">
        <f>BH58/BH60</f>
        <v>0.98058252427184467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2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4 - 6</v>
      </c>
      <c r="P59" s="34">
        <f>L59*3+M59</f>
        <v>1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7</v>
      </c>
      <c r="AJ59" s="123">
        <f>SUMIF($E$7:$E$78,$AE59,$G$7:$G$78) + SUMIF($H$7:$H$78,$AE59,$F$7:$F$78)</f>
        <v>4</v>
      </c>
      <c r="AL59" s="123">
        <f>AI59-AJ59</f>
        <v>3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60000008.200775474</v>
      </c>
      <c r="AQ59" s="126">
        <f>VLOOKUP(AE59,db_fifarank,2,FALSE)</f>
        <v>1550.94</v>
      </c>
      <c r="AR59" s="125">
        <f>AP59/AP60</f>
        <v>0.6666666758041313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2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1 - 7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3</v>
      </c>
      <c r="AI60" s="123">
        <f>MAX(AI56:AI59)+1</f>
        <v>10</v>
      </c>
      <c r="AL60" s="123">
        <f>MIN(AL56:AL59)</f>
        <v>-6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90000011.067605332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Iran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2</v>
      </c>
      <c r="AL62" s="123">
        <f>AI62-AJ62</f>
        <v>7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90000010.067604095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9 - 2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4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0</v>
      </c>
      <c r="AH63" s="123">
        <f>COUNTIF($S$7:$T$78,"=" &amp; AE63 &amp; "_lose")</f>
        <v>3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5</v>
      </c>
      <c r="AL63" s="123">
        <f>AI63-AJ63</f>
        <v>-4</v>
      </c>
      <c r="AM63" s="123">
        <f>AL63-AL66</f>
        <v>0</v>
      </c>
      <c r="AN63" s="123">
        <f>AF63*3+AG63</f>
        <v>0</v>
      </c>
      <c r="AO63" s="123">
        <f>AN63/AN66*10+BA63</f>
        <v>0</v>
      </c>
      <c r="AP63" s="123">
        <f>AO63*10000000+BI63*100+AM63/AM66*10+AI63/AI66*1++IF(AQ63=0,ROW(),AQ63)/2000000</f>
        <v>0.10078213000000001</v>
      </c>
      <c r="AQ63" s="126">
        <f>VLOOKUP(AE63,db_fifarank,2,FALSE)</f>
        <v>1564.26</v>
      </c>
      <c r="AR63" s="125">
        <f>AP63/AP66</f>
        <v>1.1198013067386943E-9</v>
      </c>
      <c r="AS63" s="125" t="str">
        <f>IF(SUM(AF62:AH65)=12,J64,"2J")</f>
        <v>Jordan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Jordan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2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49805925.268434256</v>
      </c>
      <c r="AQ64" s="126">
        <f>VLOOKUP(AE64,db_fifarank,2,FALSE)</f>
        <v>1593.45</v>
      </c>
      <c r="AR64" s="125">
        <f>AP64/AP66</f>
        <v>0.5533991015959121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2</v>
      </c>
      <c r="AE65" s="124" t="str">
        <f>VLOOKUP("Jordan",T,lang,FALSE)</f>
        <v>Jordan</v>
      </c>
      <c r="AF65" s="123">
        <f>COUNTIF($S$7:$T$78,"=" &amp; AE65 &amp; "_win")</f>
        <v>1</v>
      </c>
      <c r="AG65" s="123">
        <f>COUNTIF($S$7:$T$78,"=" &amp; AE65 &amp; "_draw")</f>
        <v>1</v>
      </c>
      <c r="AH65" s="123">
        <f>COUNTIF($S$7:$T$78,"=" &amp; AE65 &amp; "_lose")</f>
        <v>1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3</v>
      </c>
      <c r="AL65" s="123">
        <f>AI65-AJ65</f>
        <v>-1</v>
      </c>
      <c r="AM65" s="123">
        <f>AL65-AL66</f>
        <v>3</v>
      </c>
      <c r="AN65" s="123">
        <f>AF65*3+AG65</f>
        <v>4</v>
      </c>
      <c r="AO65" s="123">
        <f>AN65/AN66*10+BA65</f>
        <v>4.9805825242718447</v>
      </c>
      <c r="AP65" s="123">
        <f>AO65*10000000+BI65*100+AM65/AM66*10+AI65/AI66*1++IF(AQ65=0,ROW(),AQ65)/2000000</f>
        <v>49805926.001666598</v>
      </c>
      <c r="AQ65" s="126">
        <f>VLOOKUP(AE65,db_fifarank,2,FALSE)</f>
        <v>1391.45</v>
      </c>
      <c r="AR65" s="125">
        <f>AP65/AP66</f>
        <v>0.55339910974293716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Algeria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1</v>
      </c>
      <c r="V66" s="123">
        <f t="shared" si="21"/>
        <v>1</v>
      </c>
      <c r="W66" s="123">
        <f t="shared" si="22"/>
        <v>1</v>
      </c>
      <c r="X66" s="123">
        <f t="shared" si="9"/>
        <v>1</v>
      </c>
      <c r="Y66" s="123">
        <f t="shared" si="10"/>
        <v>1</v>
      </c>
      <c r="Z66" s="123">
        <f t="shared" si="11"/>
        <v>1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10</v>
      </c>
      <c r="AL66" s="123">
        <f>MIN(AL62:AL65)</f>
        <v>-4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90000011.067604095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2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1</v>
      </c>
      <c r="W68" s="123">
        <f t="shared" si="22"/>
        <v>1</v>
      </c>
      <c r="X68" s="123">
        <f t="shared" si="9"/>
        <v>1</v>
      </c>
      <c r="Y68" s="123">
        <f t="shared" si="10"/>
        <v>1</v>
      </c>
      <c r="Z68" s="123">
        <f t="shared" si="11"/>
        <v>1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4</v>
      </c>
      <c r="AL69" s="123">
        <f>AI69-AJ69</f>
        <v>-4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19804020.322868027</v>
      </c>
      <c r="AQ69" s="126">
        <f>VLOOKUP(AE69,db_fifarank,2,FALSE)</f>
        <v>1478.35</v>
      </c>
      <c r="AR69" s="125">
        <f>AP69/AP72</f>
        <v>0.22004464290352735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5 - 4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19804019.708575811</v>
      </c>
      <c r="AQ70" s="126">
        <f>VLOOKUP(AE70,db_fifarank,2,FALSE)</f>
        <v>1465.34</v>
      </c>
      <c r="AR70" s="125">
        <f>AP70/AP72</f>
        <v>0.22004463607805913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2</v>
      </c>
      <c r="G71" s="20">
        <v>2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0 - 4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2</v>
      </c>
      <c r="W71" s="123">
        <f t="shared" si="22"/>
        <v>2</v>
      </c>
      <c r="X71" s="123">
        <f t="shared" si="9"/>
        <v>1</v>
      </c>
      <c r="Y71" s="123">
        <f t="shared" si="10"/>
        <v>2</v>
      </c>
      <c r="Z71" s="123">
        <f t="shared" si="11"/>
        <v>2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4</v>
      </c>
      <c r="AL71" s="123">
        <f>AI71-AJ71</f>
        <v>1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60000004.786560826</v>
      </c>
      <c r="AQ71" s="126">
        <f>VLOOKUP(AE71,db_fifarank,2,FALSE)</f>
        <v>1693.09</v>
      </c>
      <c r="AR71" s="125">
        <f>AP71/AP72</f>
        <v>0.66666663698700401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-5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0</v>
      </c>
      <c r="AH74" s="123">
        <f>COUNTIF($S$7:$T$78,"=" &amp; AE74 &amp; "_lose")</f>
        <v>1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3</v>
      </c>
      <c r="AL74" s="123">
        <f>AI74-AJ74</f>
        <v>3</v>
      </c>
      <c r="AM74" s="123">
        <f>AL74-AL78</f>
        <v>7</v>
      </c>
      <c r="AN74" s="123">
        <f>AF74*3+AG74</f>
        <v>6</v>
      </c>
      <c r="AO74" s="123">
        <f>AN74/AN78*10+BA74</f>
        <v>6</v>
      </c>
      <c r="AP74" s="123">
        <f>AO74*10000000+BI74*100+AM74/AM78*10+AI74/AI78*1++IF(AQ74=0,ROW(),AQ74)/2000000</f>
        <v>60000009.608055845</v>
      </c>
      <c r="AQ74" s="126">
        <f>VLOOKUP(AE74,db_fifarank,2,FALSE)</f>
        <v>1825.97</v>
      </c>
      <c r="AR74" s="125">
        <f>AP74/AP78</f>
        <v>0.66666669484505137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6 - 3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3</v>
      </c>
      <c r="AG75" s="123">
        <f>COUNTIF($S$7:$T$78,"=" &amp; AE75 &amp; "_draw")</f>
        <v>0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7</v>
      </c>
      <c r="AN75" s="123">
        <f>AF75*3+AG75</f>
        <v>9</v>
      </c>
      <c r="AO75" s="123">
        <f>AN75/AN78*10+BA75</f>
        <v>9</v>
      </c>
      <c r="AP75" s="123">
        <f>AO75*10000000+BI75*100+AM75/AM78*10+AI75/AI78*1++IF(AQ75=0,ROW(),AQ75)/2000000</f>
        <v>90000009.608001381</v>
      </c>
      <c r="AQ75" s="126">
        <f>VLOOKUP(AE75,db_fifarank,2,FALSE)</f>
        <v>1717.07</v>
      </c>
      <c r="AR75" s="125">
        <f>AP75/AP78</f>
        <v>0.99999998888889019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2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30000002.786387444</v>
      </c>
      <c r="AQ76" s="126">
        <f>VLOOKUP(AE76,db_fifarank,2,FALSE)</f>
        <v>1346.31</v>
      </c>
      <c r="AR76" s="125">
        <f>AP76/AP78</f>
        <v>0.3333333250043008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2</v>
      </c>
      <c r="AJ77" s="123">
        <f>SUMIF($E$7:$E$78,$AE77,$G$7:$G$78) + SUMIF($H$7:$H$78,$AE77,$F$7:$F$78)</f>
        <v>6</v>
      </c>
      <c r="AL77" s="123">
        <f>AI77-AJ77</f>
        <v>-4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0.28648460571428569</v>
      </c>
      <c r="AQ77" s="126">
        <f>VLOOKUP(AE77,db_fifarank,2,FALSE)</f>
        <v>1540.64</v>
      </c>
      <c r="AR77" s="125">
        <f>AP77/AP78</f>
        <v>3.1831619105255525E-9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2 - 6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-4</v>
      </c>
      <c r="AM78" s="123">
        <f>MAX(AM74:AM77)+1</f>
        <v>8</v>
      </c>
      <c r="AN78" s="123">
        <f>MAX(AN74:AN77)+1</f>
        <v>10</v>
      </c>
      <c r="AO78" s="123">
        <f>MAX(AO74:AO77)+1</f>
        <v>10</v>
      </c>
      <c r="AP78" s="123">
        <f>MAX(AP74:AP77)+1</f>
        <v>90000010.608001381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3</v>
      </c>
      <c r="AJ80" s="123">
        <f>VLOOKUP($AE80,$AE$8:$AQ$78,6,FALSE)</f>
        <v>5</v>
      </c>
      <c r="AK80" s="123" t="s">
        <v>3180</v>
      </c>
      <c r="AL80" s="123">
        <f>VLOOKUP($AE80,$AE$8:$AQ$78,8,FALSE)</f>
        <v>-2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6460.0007943299997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Ⓖ Egypt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Qatar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8880.0007274799991</v>
      </c>
      <c r="AQ81" s="126">
        <f t="shared" si="37"/>
        <v>1454.96</v>
      </c>
      <c r="AR81" s="125" t="str">
        <f>AR80&amp;IF(AD81&lt;=8,RIGHT(AK81,1),"")</f>
        <v>AB</v>
      </c>
      <c r="AS81" s="129" t="str">
        <f t="shared" ref="AS81:AS91" si="46">IF(AD81&lt;=8,AE81,"")</f>
        <v>Qatar</v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Qatar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6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7</v>
      </c>
      <c r="AK82" s="123" t="s">
        <v>3182</v>
      </c>
      <c r="AL82" s="123">
        <f t="shared" si="43"/>
        <v>-4</v>
      </c>
      <c r="AM82" s="123">
        <f t="shared" si="44"/>
        <v>0</v>
      </c>
      <c r="AN82" s="123">
        <f t="shared" si="45"/>
        <v>3</v>
      </c>
      <c r="AP82" s="123">
        <f>AN82/AN92*10000+AM82/AM92*1000+AI82/AI92*100+IF(AQ82=0,ROW(),AQ82)/2000000</f>
        <v>6060.0007491750002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Austria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3 - 5</v>
      </c>
      <c r="P83" s="101">
        <f t="shared" si="48"/>
        <v>4</v>
      </c>
      <c r="AD83" s="123">
        <f t="shared" si="38"/>
        <v>7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2</v>
      </c>
      <c r="AP83" s="123">
        <f>AN83/AN92*10000+AM83/AM92*1000+AI83/AI92*100+IF(AQ83=0,ROW(),AQ83)/2000000</f>
        <v>4640.0007517499998</v>
      </c>
      <c r="AQ83" s="126">
        <f t="shared" si="37"/>
        <v>1503.5</v>
      </c>
      <c r="AR83" s="125" t="str">
        <f t="shared" si="50"/>
        <v>ABCD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Korea Republic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Ecuador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2</v>
      </c>
      <c r="AJ84" s="123">
        <f t="shared" si="42"/>
        <v>6</v>
      </c>
      <c r="AK84" s="123" t="s">
        <v>3185</v>
      </c>
      <c r="AL84" s="123">
        <f t="shared" si="43"/>
        <v>-4</v>
      </c>
      <c r="AM84" s="123">
        <f t="shared" si="44"/>
        <v>0</v>
      </c>
      <c r="AN84" s="123">
        <f t="shared" si="45"/>
        <v>1</v>
      </c>
      <c r="AP84" s="123">
        <f>AN84/AN92*10000+AM84/AM92*1000+AI84/AI92*100+IF(AQ84=0,ROW(),AQ84)/2000000</f>
        <v>2040.0007973899999</v>
      </c>
      <c r="AQ84" s="126">
        <f t="shared" si="37"/>
        <v>1594.78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Sweden</v>
      </c>
      <c r="AF85" s="123">
        <f t="shared" si="39"/>
        <v>0</v>
      </c>
      <c r="AG85" s="123">
        <f t="shared" si="49"/>
        <v>1</v>
      </c>
      <c r="AH85" s="123">
        <f t="shared" si="40"/>
        <v>2</v>
      </c>
      <c r="AI85" s="123">
        <f t="shared" si="41"/>
        <v>4</v>
      </c>
      <c r="AJ85" s="123">
        <f t="shared" si="42"/>
        <v>6</v>
      </c>
      <c r="AK85" s="123" t="s">
        <v>3186</v>
      </c>
      <c r="AL85" s="123">
        <f t="shared" si="43"/>
        <v>-2</v>
      </c>
      <c r="AM85" s="123">
        <f t="shared" si="44"/>
        <v>2</v>
      </c>
      <c r="AN85" s="123">
        <f t="shared" si="45"/>
        <v>1</v>
      </c>
      <c r="AP85" s="123">
        <f>AN85/AN92*10000+AM85/AM92*1000+AI85/AI92*100+IF(AQ85=0,ROW(),AQ85)/2000000</f>
        <v>2480.0007573849998</v>
      </c>
      <c r="AQ85" s="126">
        <f t="shared" si="37"/>
        <v>1514.77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Ⓒ Scotland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3 - 7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4</v>
      </c>
      <c r="AJ86" s="123">
        <f t="shared" si="42"/>
        <v>4</v>
      </c>
      <c r="AK86" s="123" t="s">
        <v>3187</v>
      </c>
      <c r="AL86" s="123">
        <f t="shared" si="43"/>
        <v>0</v>
      </c>
      <c r="AM86" s="123">
        <f t="shared" si="44"/>
        <v>4</v>
      </c>
      <c r="AN86" s="123">
        <f t="shared" si="45"/>
        <v>4</v>
      </c>
      <c r="AP86" s="123">
        <f>AN86/AN92*10000+AM86/AM92*1000+AI86/AI92*100+IF(AQ86=0,ROW(),AQ86)/2000000</f>
        <v>8880.0007816199995</v>
      </c>
      <c r="AQ86" s="126">
        <f t="shared" si="37"/>
        <v>1563.24</v>
      </c>
      <c r="AR86" s="125" t="str">
        <f t="shared" si="50"/>
        <v>ABCDG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Ⓓ Paraguay</v>
      </c>
      <c r="K87" s="100">
        <f t="shared" si="47"/>
        <v>3</v>
      </c>
      <c r="L87" s="100">
        <f>VLOOKUP(7,$AD$80:$AN$91,3,FALSE)</f>
        <v>0</v>
      </c>
      <c r="M87" s="100">
        <f>VLOOKUP(7,$AD$80:$AN$91,4,FALSE)</f>
        <v>2</v>
      </c>
      <c r="N87" s="100">
        <f>VLOOKUP(7,$AD$80:$AN$91,5,FALSE)</f>
        <v>1</v>
      </c>
      <c r="O87" s="100" t="str">
        <f>VLOOKUP(7,$AD$80:$AN$91,6,FALSE) &amp; " - " &amp; VLOOKUP(7,$AD$80:$AN$91,7,FALSE)</f>
        <v>2 - 3</v>
      </c>
      <c r="P87" s="101">
        <f t="shared" si="48"/>
        <v>2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4</v>
      </c>
      <c r="AJ87" s="123">
        <f t="shared" si="42"/>
        <v>8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2080.000710715</v>
      </c>
      <c r="AQ87" s="126">
        <f t="shared" si="37"/>
        <v>1421.43</v>
      </c>
      <c r="AR87" s="125" t="str">
        <f t="shared" si="50"/>
        <v>ABCDG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Ⓘ Senegal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1</v>
      </c>
      <c r="N88" s="100">
        <f>VLOOKUP(8,$AD$80:$AN$91,5,FALSE)</f>
        <v>2</v>
      </c>
      <c r="O88" s="100" t="str">
        <f>VLOOKUP(8,$AD$80:$AN$91,6,FALSE) &amp; " - " &amp; VLOOKUP(8,$AD$80:$AN$91,7,FALSE)</f>
        <v>4 - 6</v>
      </c>
      <c r="P88" s="101">
        <f t="shared" si="48"/>
        <v>1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8</v>
      </c>
      <c r="AE88" s="124" t="str">
        <f>J59</f>
        <v>Senegal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4</v>
      </c>
      <c r="AJ88" s="123">
        <f t="shared" si="42"/>
        <v>6</v>
      </c>
      <c r="AK88" s="123" t="s">
        <v>3189</v>
      </c>
      <c r="AL88" s="123">
        <f t="shared" si="43"/>
        <v>-2</v>
      </c>
      <c r="AM88" s="123">
        <f t="shared" si="44"/>
        <v>2</v>
      </c>
      <c r="AN88" s="123">
        <f t="shared" si="45"/>
        <v>1</v>
      </c>
      <c r="AP88" s="123">
        <f>AN88/AN92*10000+AM88/AM92*1000+AI88/AI92*100+IF(AQ88=0,ROW(),AQ88)/2000000</f>
        <v>2480.0008444949999</v>
      </c>
      <c r="AQ88" s="126">
        <f t="shared" si="37"/>
        <v>1688.99</v>
      </c>
      <c r="AR88" s="125" t="str">
        <f t="shared" si="50"/>
        <v>ABCDGI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Sweden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1</v>
      </c>
      <c r="N89" s="103">
        <f>VLOOKUP(9,$AD$80:$AN$91,5,FALSE)</f>
        <v>2</v>
      </c>
      <c r="O89" s="103" t="str">
        <f>VLOOKUP(9,$AD$80:$AN$91,6,FALSE) &amp; " - " &amp; VLOOKUP(9,$AD$80:$AN$91,7,FALSE)</f>
        <v>4 - 6</v>
      </c>
      <c r="P89" s="104">
        <f t="shared" si="48"/>
        <v>1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8460.0007967250003</v>
      </c>
      <c r="AQ89" s="126">
        <f t="shared" si="37"/>
        <v>1593.45</v>
      </c>
      <c r="AR89" s="125" t="str">
        <f t="shared" si="50"/>
        <v>ABCDGIJ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4 - 8</v>
      </c>
      <c r="P90" s="104">
        <f t="shared" si="48"/>
        <v>1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4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ABCDGIJ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Ecuador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2 - 6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6440.0006731550002</v>
      </c>
      <c r="AQ91" s="126">
        <f t="shared" si="37"/>
        <v>1346.31</v>
      </c>
      <c r="AR91" s="125" t="str">
        <f t="shared" si="50"/>
        <v>ABCDGIJL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9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Netherlands</v>
      </c>
      <c r="T102" s="127" t="str" cm="1">
        <f t="array" ref="T102">IF(OR(S102="",S102="draw"),INDEX(T,98,lang),S102)</f>
        <v>Netherlands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France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France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433</v>
      </c>
      <c r="C3" s="121" t="str">
        <f>'2026 World Cup'!AR91</f>
        <v>ABCDGIJL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Alberto_Arozamena</cp:lastModifiedBy>
  <cp:revision/>
  <dcterms:created xsi:type="dcterms:W3CDTF">2017-12-27T19:32:51Z</dcterms:created>
  <dcterms:modified xsi:type="dcterms:W3CDTF">2026-06-10T19:54:25Z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