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om\Desktop\"/>
    </mc:Choice>
  </mc:AlternateContent>
  <xr:revisionPtr revIDLastSave="0" documentId="13_ncr:1_{69C3FA11-5FB2-4201-AFE0-F1543D913179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AA14" i="3" s="1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E10" i="3"/>
  <c r="E66" i="3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E46" i="3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E23" i="3"/>
  <c r="AA23" i="3" s="1"/>
  <c r="E68" i="3"/>
  <c r="H47" i="3"/>
  <c r="H23" i="3"/>
  <c r="E67" i="3"/>
  <c r="AA67" i="3" s="1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H8" i="3"/>
  <c r="H22" i="3"/>
  <c r="H12" i="3"/>
  <c r="E22" i="3"/>
  <c r="H9" i="3"/>
  <c r="AA9" i="3" s="1"/>
  <c r="D7" i="3"/>
  <c r="AA54" i="3" l="1"/>
  <c r="AA49" i="3"/>
  <c r="AA37" i="3"/>
  <c r="AA33" i="3"/>
  <c r="AA46" i="3"/>
  <c r="AA47" i="3"/>
  <c r="AA48" i="3"/>
  <c r="AA12" i="3"/>
  <c r="AA76" i="3"/>
  <c r="AA75" i="3"/>
  <c r="AA70" i="3"/>
  <c r="AA66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T51" i="3" s="1"/>
  <c r="S30" i="3"/>
  <c r="T30" i="3" s="1"/>
  <c r="S78" i="3"/>
  <c r="S26" i="3"/>
  <c r="T26" i="3" s="1"/>
  <c r="S75" i="3"/>
  <c r="T75" i="3" s="1"/>
  <c r="S25" i="3"/>
  <c r="S49" i="3"/>
  <c r="T49" i="3" s="1"/>
  <c r="S68" i="3"/>
  <c r="T68" i="3" s="1"/>
  <c r="S23" i="3"/>
  <c r="S48" i="3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T78" i="3"/>
  <c r="S50" i="3"/>
  <c r="S76" i="3"/>
  <c r="T25" i="3"/>
  <c r="S47" i="3"/>
  <c r="S67" i="3"/>
  <c r="T23" i="3"/>
  <c r="T48" i="3"/>
  <c r="S72" i="3"/>
  <c r="S70" i="3"/>
  <c r="S42" i="3"/>
  <c r="S64" i="3"/>
  <c r="T41" i="3"/>
  <c r="S40" i="3"/>
  <c r="S62" i="3"/>
  <c r="T61" i="3"/>
  <c r="S38" i="3"/>
  <c r="S65" i="3"/>
  <c r="S55" i="3"/>
  <c r="S57" i="3"/>
  <c r="T8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33" i="3"/>
  <c r="AR34" i="3"/>
  <c r="AR35" i="3"/>
  <c r="AR9" i="3"/>
  <c r="AR10" i="3"/>
  <c r="AR11" i="3"/>
  <c r="AR28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35" i="3"/>
  <c r="AD26" i="3"/>
  <c r="AD8" i="3"/>
  <c r="AD34" i="3"/>
  <c r="AD33" i="3"/>
  <c r="AD14" i="3"/>
  <c r="AD9" i="3"/>
  <c r="AD11" i="3"/>
  <c r="AD22" i="3"/>
  <c r="AD32" i="3"/>
  <c r="L58" i="3"/>
  <c r="O60" i="3"/>
  <c r="M59" i="3"/>
  <c r="N58" i="3"/>
  <c r="AD21" i="3"/>
  <c r="AD44" i="3"/>
  <c r="J45" i="3" s="1"/>
  <c r="AS44" i="3" s="1"/>
  <c r="BL38" i="3" s="1"/>
  <c r="AD71" i="3"/>
  <c r="AD76" i="3"/>
  <c r="AD10" i="3"/>
  <c r="AD29" i="3"/>
  <c r="AD41" i="3"/>
  <c r="AD20" i="3"/>
  <c r="AD70" i="3"/>
  <c r="AD62" i="3"/>
  <c r="M63" i="3" s="1"/>
  <c r="AD15" i="3"/>
  <c r="AD75" i="3"/>
  <c r="AD53" i="3"/>
  <c r="AD77" i="3"/>
  <c r="AD63" i="3"/>
  <c r="AD74" i="3"/>
  <c r="AD27" i="3"/>
  <c r="AD47" i="3"/>
  <c r="AD28" i="3"/>
  <c r="L59" i="3"/>
  <c r="AD68" i="3"/>
  <c r="N69" i="3" s="1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M39" i="3" s="1"/>
  <c r="AD50" i="3"/>
  <c r="N59" i="3"/>
  <c r="AD17" i="3"/>
  <c r="S91" i="3" l="1"/>
  <c r="T91" i="3" s="1" a="1"/>
  <c r="T91" i="3" s="1"/>
  <c r="BS37" i="3"/>
  <c r="M22" i="3"/>
  <c r="M9" i="3"/>
  <c r="O9" i="3"/>
  <c r="L75" i="3"/>
  <c r="M51" i="3"/>
  <c r="J27" i="3"/>
  <c r="AS26" i="3" s="1"/>
  <c r="BL34" i="3" s="1"/>
  <c r="N9" i="3"/>
  <c r="P58" i="3"/>
  <c r="O36" i="3"/>
  <c r="L9" i="3"/>
  <c r="J9" i="3"/>
  <c r="AS8" i="3" s="1"/>
  <c r="BL50" i="3" s="1"/>
  <c r="O33" i="3"/>
  <c r="O27" i="3"/>
  <c r="N27" i="3"/>
  <c r="L27" i="3"/>
  <c r="M27" i="3"/>
  <c r="M10" i="3"/>
  <c r="L12" i="3"/>
  <c r="J24" i="3"/>
  <c r="N34" i="3"/>
  <c r="N36" i="3"/>
  <c r="N10" i="3"/>
  <c r="J12" i="3"/>
  <c r="M16" i="3"/>
  <c r="N12" i="3"/>
  <c r="J35" i="3"/>
  <c r="AE84" i="3" s="1"/>
  <c r="AQ84" i="3" s="1"/>
  <c r="M12" i="3"/>
  <c r="P59" i="3"/>
  <c r="J36" i="3"/>
  <c r="N11" i="3"/>
  <c r="L18" i="3"/>
  <c r="K58" i="3"/>
  <c r="J34" i="3"/>
  <c r="AS33" i="3" s="1"/>
  <c r="BL46" i="3" s="1"/>
  <c r="L34" i="3"/>
  <c r="J16" i="3"/>
  <c r="AS15" i="3" s="1"/>
  <c r="BL19" i="3" s="1"/>
  <c r="M33" i="3"/>
  <c r="M36" i="3"/>
  <c r="L36" i="3"/>
  <c r="J33" i="3"/>
  <c r="AS32" i="3" s="1"/>
  <c r="BL10" i="3" s="1"/>
  <c r="N16" i="3"/>
  <c r="M34" i="3"/>
  <c r="O35" i="3"/>
  <c r="L33" i="3"/>
  <c r="L16" i="3"/>
  <c r="N35" i="3"/>
  <c r="O34" i="3"/>
  <c r="N33" i="3"/>
  <c r="O16" i="3"/>
  <c r="L45" i="3"/>
  <c r="L35" i="3"/>
  <c r="M35" i="3"/>
  <c r="J10" i="3"/>
  <c r="AS9" i="3" s="1"/>
  <c r="BL18" i="3" s="1"/>
  <c r="L11" i="3"/>
  <c r="M11" i="3"/>
  <c r="J11" i="3"/>
  <c r="AE80" i="3" s="1"/>
  <c r="AQ80" i="3" s="1"/>
  <c r="N24" i="3"/>
  <c r="O11" i="3"/>
  <c r="J47" i="3"/>
  <c r="AE86" i="3" s="1"/>
  <c r="AQ86" i="3" s="1"/>
  <c r="L22" i="3"/>
  <c r="M45" i="3"/>
  <c r="M21" i="3"/>
  <c r="L24" i="3"/>
  <c r="L47" i="3"/>
  <c r="O22" i="3"/>
  <c r="L21" i="3"/>
  <c r="N21" i="3"/>
  <c r="J21" i="3"/>
  <c r="AS20" i="3" s="1"/>
  <c r="BL42" i="3" s="1"/>
  <c r="BS44" i="3" s="1"/>
  <c r="BZ48" i="3" s="1"/>
  <c r="N45" i="3"/>
  <c r="N22" i="3"/>
  <c r="M24" i="3"/>
  <c r="M47" i="3"/>
  <c r="N47" i="3"/>
  <c r="O45" i="3"/>
  <c r="O21" i="3"/>
  <c r="J22" i="3"/>
  <c r="AS21" i="3" s="1"/>
  <c r="BL23" i="3" s="1"/>
  <c r="J69" i="3"/>
  <c r="AS68" i="3" s="1"/>
  <c r="BL70" i="3" s="1"/>
  <c r="O47" i="3"/>
  <c r="O24" i="3"/>
  <c r="O46" i="3"/>
  <c r="O54" i="3"/>
  <c r="L23" i="3"/>
  <c r="J42" i="3"/>
  <c r="L15" i="3"/>
  <c r="O48" i="3"/>
  <c r="N18" i="3"/>
  <c r="M75" i="3"/>
  <c r="L46" i="3"/>
  <c r="O18" i="3"/>
  <c r="O10" i="3"/>
  <c r="O12" i="3"/>
  <c r="O64" i="3"/>
  <c r="L48" i="3"/>
  <c r="L10" i="3"/>
  <c r="AJ88" i="3"/>
  <c r="N17" i="3"/>
  <c r="M18" i="3"/>
  <c r="O66" i="3"/>
  <c r="J18" i="3"/>
  <c r="N48" i="3"/>
  <c r="J46" i="3"/>
  <c r="AS45" i="3" s="1"/>
  <c r="BL63" i="3" s="1"/>
  <c r="M48" i="3"/>
  <c r="J48" i="3"/>
  <c r="N70" i="3"/>
  <c r="M46" i="3"/>
  <c r="N46" i="3"/>
  <c r="O69" i="3"/>
  <c r="P57" i="3"/>
  <c r="M71" i="3"/>
  <c r="N76" i="3"/>
  <c r="O70" i="3"/>
  <c r="J65" i="3"/>
  <c r="AE89" i="3" s="1"/>
  <c r="AQ89" i="3" s="1"/>
  <c r="L65" i="3"/>
  <c r="L63" i="3"/>
  <c r="P63" i="3" s="1"/>
  <c r="L39" i="3"/>
  <c r="P39" i="3" s="1"/>
  <c r="N66" i="3"/>
  <c r="J77" i="3"/>
  <c r="AE91" i="3" s="1"/>
  <c r="AQ91" i="3" s="1"/>
  <c r="J70" i="3"/>
  <c r="AS69" i="3" s="1"/>
  <c r="BL26" i="3" s="1"/>
  <c r="M69" i="3"/>
  <c r="M66" i="3"/>
  <c r="O63" i="3"/>
  <c r="O77" i="3"/>
  <c r="L78" i="3"/>
  <c r="L69" i="3"/>
  <c r="N63" i="3"/>
  <c r="O39" i="3"/>
  <c r="M64" i="3"/>
  <c r="M72" i="3"/>
  <c r="O65" i="3"/>
  <c r="M78" i="3"/>
  <c r="L72" i="3"/>
  <c r="J63" i="3"/>
  <c r="AS62" i="3" s="1"/>
  <c r="BL58" i="3" s="1"/>
  <c r="BS60" i="3" s="1"/>
  <c r="BZ64" i="3" s="1"/>
  <c r="M65" i="3"/>
  <c r="M17" i="3"/>
  <c r="K59" i="3"/>
  <c r="O40" i="3"/>
  <c r="M29" i="3"/>
  <c r="O17" i="3"/>
  <c r="J41" i="3"/>
  <c r="AE85" i="3" s="1"/>
  <c r="AQ85" i="3" s="1"/>
  <c r="L17" i="3"/>
  <c r="O51" i="3"/>
  <c r="L64" i="3"/>
  <c r="N54" i="3"/>
  <c r="J75" i="3"/>
  <c r="AS74" i="3" s="1"/>
  <c r="BL54" i="3" s="1"/>
  <c r="M54" i="3"/>
  <c r="O42" i="3"/>
  <c r="N39" i="3"/>
  <c r="M28" i="3"/>
  <c r="AG88" i="3"/>
  <c r="N53" i="3"/>
  <c r="K57" i="3"/>
  <c r="J76" i="3"/>
  <c r="AS75" i="3" s="1"/>
  <c r="BL27" i="3" s="1"/>
  <c r="L76" i="3"/>
  <c r="N75" i="3"/>
  <c r="J72" i="3"/>
  <c r="N71" i="3"/>
  <c r="L70" i="3"/>
  <c r="J64" i="3"/>
  <c r="AS63" i="3" s="1"/>
  <c r="BL31" i="3" s="1"/>
  <c r="L66" i="3"/>
  <c r="N64" i="3"/>
  <c r="J51" i="3"/>
  <c r="AS50" i="3" s="1"/>
  <c r="BL30" i="3" s="1"/>
  <c r="L40" i="3"/>
  <c r="J39" i="3"/>
  <c r="AS38" i="3" s="1"/>
  <c r="BL22" i="3" s="1"/>
  <c r="L30" i="3"/>
  <c r="M30" i="3"/>
  <c r="N29" i="3"/>
  <c r="J29" i="3"/>
  <c r="AE83" i="3" s="1"/>
  <c r="AQ83" i="3" s="1"/>
  <c r="AF88" i="3"/>
  <c r="M41" i="3"/>
  <c r="L29" i="3"/>
  <c r="J28" i="3"/>
  <c r="AS27" i="3" s="1"/>
  <c r="BL62" i="3" s="1"/>
  <c r="BS61" i="3" s="1"/>
  <c r="M40" i="3"/>
  <c r="J40" i="3"/>
  <c r="AS39" i="3" s="1"/>
  <c r="BL43" i="3" s="1"/>
  <c r="O28" i="3"/>
  <c r="J30" i="3"/>
  <c r="AT88" i="3"/>
  <c r="O30" i="3"/>
  <c r="O29" i="3"/>
  <c r="AI88" i="3"/>
  <c r="L77" i="3"/>
  <c r="N78" i="3"/>
  <c r="J71" i="3"/>
  <c r="AE90" i="3" s="1"/>
  <c r="AQ90" i="3" s="1"/>
  <c r="O71" i="3"/>
  <c r="M70" i="3"/>
  <c r="J52" i="3"/>
  <c r="AS51" i="3" s="1"/>
  <c r="BL59" i="3" s="1"/>
  <c r="N77" i="3"/>
  <c r="O76" i="3"/>
  <c r="M76" i="3"/>
  <c r="O75" i="3"/>
  <c r="O72" i="3"/>
  <c r="L54" i="3"/>
  <c r="N51" i="3"/>
  <c r="M42" i="3"/>
  <c r="N30" i="3"/>
  <c r="M77" i="3"/>
  <c r="O78" i="3"/>
  <c r="J78" i="3"/>
  <c r="N72" i="3"/>
  <c r="L71" i="3"/>
  <c r="J66" i="3"/>
  <c r="N65" i="3"/>
  <c r="N52" i="3"/>
  <c r="L51" i="3"/>
  <c r="N40" i="3"/>
  <c r="L42" i="3"/>
  <c r="P42" i="3" s="1"/>
  <c r="N28" i="3"/>
  <c r="L28" i="3"/>
  <c r="O23" i="3"/>
  <c r="AN8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0" i="3" l="1"/>
  <c r="T90" i="3" s="1" a="1"/>
  <c r="T90" i="3" s="1"/>
  <c r="BS36" i="3"/>
  <c r="BZ33" i="3" s="1"/>
  <c r="U103" i="3" s="1"/>
  <c r="AC103" i="3" s="1" a="1"/>
  <c r="AC103" i="3" s="1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S96" i="3" s="1"/>
  <c r="T96" i="3" s="1" a="1"/>
  <c r="T96" i="3" s="1"/>
  <c r="P71" i="3"/>
  <c r="P22" i="3"/>
  <c r="P75" i="3"/>
  <c r="P51" i="3"/>
  <c r="K9" i="3"/>
  <c r="P9" i="3"/>
  <c r="P27" i="3"/>
  <c r="K27" i="3"/>
  <c r="P12" i="3"/>
  <c r="P34" i="3"/>
  <c r="P10" i="3"/>
  <c r="AH84" i="3"/>
  <c r="P17" i="3"/>
  <c r="P16" i="3"/>
  <c r="K12" i="3"/>
  <c r="K10" i="3"/>
  <c r="AJ80" i="3"/>
  <c r="AI80" i="3"/>
  <c r="P36" i="3"/>
  <c r="K36" i="3"/>
  <c r="P18" i="3"/>
  <c r="P45" i="3"/>
  <c r="P33" i="3"/>
  <c r="AT80" i="3"/>
  <c r="AG80" i="3"/>
  <c r="AL84" i="3"/>
  <c r="AN90" i="3"/>
  <c r="P21" i="3"/>
  <c r="K11" i="3"/>
  <c r="AF80" i="3"/>
  <c r="K34" i="3"/>
  <c r="AH80" i="3"/>
  <c r="AN80" i="3"/>
  <c r="AJ84" i="3"/>
  <c r="AL80" i="3"/>
  <c r="AI84" i="3"/>
  <c r="AJ86" i="3"/>
  <c r="P35" i="3"/>
  <c r="AT84" i="3"/>
  <c r="AG84" i="3"/>
  <c r="AH86" i="3"/>
  <c r="AI86" i="3"/>
  <c r="AN84" i="3"/>
  <c r="AF84" i="3"/>
  <c r="AH89" i="3"/>
  <c r="P11" i="3"/>
  <c r="AT85" i="3"/>
  <c r="K21" i="3"/>
  <c r="AT86" i="3"/>
  <c r="AG86" i="3"/>
  <c r="K33" i="3"/>
  <c r="AG85" i="3"/>
  <c r="AF86" i="3"/>
  <c r="P15" i="3"/>
  <c r="P41" i="3"/>
  <c r="K24" i="3"/>
  <c r="K16" i="3"/>
  <c r="AL83" i="3"/>
  <c r="AN86" i="3"/>
  <c r="AL86" i="3"/>
  <c r="K45" i="3"/>
  <c r="K35" i="3"/>
  <c r="AG83" i="3"/>
  <c r="P64" i="3"/>
  <c r="K69" i="3"/>
  <c r="K22" i="3"/>
  <c r="P47" i="3"/>
  <c r="AL85" i="3"/>
  <c r="AJ87" i="3"/>
  <c r="K18" i="3"/>
  <c r="AT89" i="3"/>
  <c r="AG89" i="3"/>
  <c r="P23" i="3"/>
  <c r="K46" i="3"/>
  <c r="K48" i="3"/>
  <c r="P24" i="3"/>
  <c r="K47" i="3"/>
  <c r="AN89" i="3"/>
  <c r="AF89" i="3"/>
  <c r="AL89" i="3"/>
  <c r="P69" i="3"/>
  <c r="AJ89" i="3"/>
  <c r="AN82" i="3"/>
  <c r="AI89" i="3"/>
  <c r="AN91" i="3"/>
  <c r="AJ81" i="3"/>
  <c r="K75" i="3"/>
  <c r="AL91" i="3"/>
  <c r="K15" i="3"/>
  <c r="P48" i="3"/>
  <c r="K17" i="3"/>
  <c r="P46" i="3"/>
  <c r="K63" i="3"/>
  <c r="AF83" i="3"/>
  <c r="P28" i="3"/>
  <c r="AT83" i="3"/>
  <c r="AH91" i="3"/>
  <c r="P72" i="3"/>
  <c r="AN83" i="3"/>
  <c r="AF91" i="3"/>
  <c r="K66" i="3"/>
  <c r="P78" i="3"/>
  <c r="AL90" i="3"/>
  <c r="K78" i="3"/>
  <c r="P70" i="3"/>
  <c r="P65" i="3"/>
  <c r="AJ90" i="3"/>
  <c r="K72" i="3"/>
  <c r="AF90" i="3"/>
  <c r="K39" i="3"/>
  <c r="P77" i="3"/>
  <c r="K40" i="3"/>
  <c r="AG87" i="3"/>
  <c r="P66" i="3"/>
  <c r="AJ91" i="3"/>
  <c r="K51" i="3"/>
  <c r="K54" i="3"/>
  <c r="AJ85" i="3"/>
  <c r="AH87" i="3"/>
  <c r="K42" i="3"/>
  <c r="K71" i="3"/>
  <c r="AI81" i="3"/>
  <c r="AI85" i="3"/>
  <c r="AH85" i="3"/>
  <c r="AT87" i="3"/>
  <c r="AF87" i="3"/>
  <c r="AI91" i="3"/>
  <c r="K64" i="3"/>
  <c r="AN87" i="3"/>
  <c r="K65" i="3"/>
  <c r="AN85" i="3"/>
  <c r="AF85" i="3"/>
  <c r="AL87" i="3"/>
  <c r="AT91" i="3"/>
  <c r="AG91" i="3"/>
  <c r="P30" i="3"/>
  <c r="P54" i="3"/>
  <c r="AJ83" i="3"/>
  <c r="K77" i="3"/>
  <c r="P53" i="3"/>
  <c r="K23" i="3"/>
  <c r="K70" i="3"/>
  <c r="P40" i="3"/>
  <c r="K29" i="3"/>
  <c r="K28" i="3"/>
  <c r="AI83" i="3"/>
  <c r="K41" i="3"/>
  <c r="K30" i="3"/>
  <c r="K76" i="3"/>
  <c r="AH83" i="3"/>
  <c r="P29" i="3"/>
  <c r="AJ82" i="3"/>
  <c r="K53" i="3"/>
  <c r="AT81" i="3"/>
  <c r="AG81" i="3"/>
  <c r="AH82" i="3"/>
  <c r="AI90" i="3"/>
  <c r="P76" i="3"/>
  <c r="AH81" i="3"/>
  <c r="AI82" i="3"/>
  <c r="AN81" i="3"/>
  <c r="AF81" i="3"/>
  <c r="AG82" i="3"/>
  <c r="AH90" i="3"/>
  <c r="AL81" i="3"/>
  <c r="AT82" i="3"/>
  <c r="AF82" i="3"/>
  <c r="AT90" i="3"/>
  <c r="AG90" i="3"/>
  <c r="P52" i="3"/>
  <c r="AL82" i="3"/>
  <c r="AI87" i="3"/>
  <c r="K52" i="3"/>
  <c r="S98" i="3" l="1"/>
  <c r="T98" i="3" s="1" a="1"/>
  <c r="T98" i="3" s="1"/>
  <c r="BZ17" i="3"/>
  <c r="U102" i="3" s="1"/>
  <c r="AC102" i="3" s="1" a="1"/>
  <c r="AC102" i="3" s="1"/>
  <c r="S97" i="3"/>
  <c r="T97" i="3" s="1" a="1"/>
  <c r="T97" i="3" s="1"/>
  <c r="BZ32" i="3"/>
  <c r="AJ92" i="3"/>
  <c r="AL92" i="3"/>
  <c r="AM88" i="3" s="1"/>
  <c r="AN92" i="3"/>
  <c r="AS92" i="3"/>
  <c r="AG92" i="3"/>
  <c r="AF92" i="3"/>
  <c r="AH92" i="3"/>
  <c r="AI92" i="3"/>
  <c r="S103" i="3" l="1"/>
  <c r="T103" i="3" s="1" a="1"/>
  <c r="T103" i="3" s="1"/>
  <c r="CG24" i="3"/>
  <c r="S111" i="3" s="1"/>
  <c r="T111" i="3" s="1"/>
  <c r="AM90" i="3"/>
  <c r="AM82" i="3"/>
  <c r="AM91" i="3"/>
  <c r="AM85" i="3"/>
  <c r="AM83" i="3"/>
  <c r="AM86" i="3"/>
  <c r="AM87" i="3"/>
  <c r="AM81" i="3"/>
  <c r="AM80" i="3"/>
  <c r="AM84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8" i="3"/>
  <c r="AP90" i="3"/>
  <c r="AP80" i="3"/>
  <c r="AP85" i="3"/>
  <c r="AP91" i="3"/>
  <c r="AP86" i="3"/>
  <c r="AP83" i="3"/>
  <c r="AP84" i="3"/>
  <c r="AP82" i="3"/>
  <c r="AP81" i="3"/>
  <c r="AP89" i="3"/>
  <c r="CN37" i="3" l="1"/>
  <c r="CK68" i="3" s="1"/>
  <c r="CN48" i="3"/>
  <c r="AD83" i="3"/>
  <c r="AS83" i="3" s="1"/>
  <c r="AD80" i="3"/>
  <c r="AS80" i="3" s="1"/>
  <c r="AD91" i="3"/>
  <c r="AS91" i="3" s="1"/>
  <c r="AD82" i="3"/>
  <c r="AS82" i="3" s="1"/>
  <c r="AD84" i="3"/>
  <c r="AS84" i="3" s="1"/>
  <c r="AD88" i="3"/>
  <c r="AS88" i="3" s="1"/>
  <c r="AD90" i="3"/>
  <c r="AS90" i="3" s="1"/>
  <c r="AD89" i="3"/>
  <c r="AS89" i="3" s="1"/>
  <c r="AD87" i="3"/>
  <c r="AS87" i="3" s="1"/>
  <c r="AD86" i="3"/>
  <c r="AS86" i="3" s="1"/>
  <c r="AD85" i="3"/>
  <c r="AS85" i="3" s="1"/>
  <c r="AD81" i="3"/>
  <c r="AS81" i="3" s="1"/>
  <c r="O81" i="3" l="1"/>
  <c r="J8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81" i="3"/>
  <c r="N81" i="3"/>
  <c r="M81" i="3"/>
  <c r="O91" i="3"/>
  <c r="M82" i="3"/>
  <c r="N89" i="3"/>
  <c r="M89" i="3"/>
  <c r="L82" i="3"/>
  <c r="J82" i="3"/>
  <c r="O82" i="3"/>
  <c r="J91" i="3"/>
  <c r="L86" i="3"/>
  <c r="J83" i="3"/>
  <c r="O92" i="3"/>
  <c r="L91" i="3"/>
  <c r="J90" i="3"/>
  <c r="L89" i="3"/>
  <c r="O89" i="3"/>
  <c r="N91" i="3"/>
  <c r="N82" i="3"/>
  <c r="L88" i="3"/>
  <c r="L90" i="3"/>
  <c r="N90" i="3"/>
  <c r="M85" i="3"/>
  <c r="O87" i="3"/>
  <c r="J84" i="3"/>
  <c r="L85" i="3"/>
  <c r="N86" i="3"/>
  <c r="M84" i="3"/>
  <c r="J89" i="3"/>
  <c r="M83" i="3"/>
  <c r="M91" i="3"/>
  <c r="J85" i="3"/>
  <c r="M87" i="3"/>
  <c r="M88" i="3"/>
  <c r="M92" i="3"/>
  <c r="M90" i="3"/>
  <c r="O84" i="3"/>
  <c r="L87" i="3"/>
  <c r="N92" i="3"/>
  <c r="N88" i="3"/>
  <c r="M86" i="3"/>
  <c r="N87" i="3"/>
  <c r="O86" i="3"/>
  <c r="J88" i="3"/>
  <c r="L84" i="3"/>
  <c r="N84" i="3"/>
  <c r="J92" i="3"/>
  <c r="O90" i="3"/>
  <c r="J86" i="3"/>
  <c r="J87" i="3"/>
  <c r="O83" i="3"/>
  <c r="O85" i="3"/>
  <c r="N83" i="3"/>
  <c r="L92" i="3"/>
  <c r="O88" i="3"/>
  <c r="N85" i="3"/>
  <c r="L83" i="3"/>
  <c r="P91" i="3" l="1"/>
  <c r="P92" i="3"/>
  <c r="P81" i="3"/>
  <c r="P89" i="3"/>
  <c r="K81" i="3"/>
  <c r="P83" i="3"/>
  <c r="P82" i="3"/>
  <c r="K82" i="3"/>
  <c r="P86" i="3"/>
  <c r="P87" i="3"/>
  <c r="K87" i="3"/>
  <c r="K86" i="3"/>
  <c r="K89" i="3"/>
  <c r="K91" i="3"/>
  <c r="K92" i="3"/>
  <c r="K85" i="3"/>
  <c r="K84" i="3"/>
  <c r="P85" i="3"/>
  <c r="K88" i="3"/>
  <c r="K90" i="3"/>
  <c r="K83" i="3"/>
  <c r="P84" i="3"/>
  <c r="K3" i="4"/>
  <c r="BL55" i="3" s="1"/>
  <c r="I3" i="4"/>
  <c r="BL15" i="3" s="1"/>
  <c r="D3" i="4"/>
  <c r="BL51" i="3" s="1"/>
  <c r="H3" i="4"/>
  <c r="BL39" i="3" s="1"/>
  <c r="P90" i="3"/>
  <c r="P88" i="3"/>
  <c r="B3" i="4"/>
  <c r="E3" i="4"/>
  <c r="BL67" i="3" s="1"/>
  <c r="J3" i="4"/>
  <c r="BL71" i="3" s="1"/>
  <c r="G3" i="4"/>
  <c r="BL11" i="3" s="1"/>
  <c r="BS53" i="3"/>
  <c r="BS52" i="3"/>
  <c r="BS69" i="3"/>
  <c r="BZ65" i="3" s="1"/>
  <c r="CG56" i="3" s="1"/>
  <c r="CN49" i="3" s="1"/>
  <c r="BS68" i="3"/>
  <c r="BZ49" i="3" l="1"/>
  <c r="CG55" i="3" s="1"/>
  <c r="CN3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<sst xmlns="http://schemas.openxmlformats.org/spreadsheetml/2006/main" count="9785" uniqueCount="3699">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</sst>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Collegamento ipertestuale" xfId="1" builtinId="8"/>
    <cellStyle name="Normale" xfId="0" builtinId="0"/>
    <cellStyle name="Nota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G5" sqref="G5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22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23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Francia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Spagna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Inghilterra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Portogallo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Brasile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Olanda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Marocco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Belgio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Germania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Croazia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Messico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Stati Uniti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Giappone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Svizzera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Turchia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Corea del Sud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Egitto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Norvegia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Costa d'Avorio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Svezia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Repubblica Ceca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Scozia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RD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Sudafrica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Arabia Saudita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Giordania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ed 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Capo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Nuova Zelanda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H24" zoomScaleNormal="100" workbookViewId="0">
      <selection activeCell="CO38" sqref="CO38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Calendario Coppa del mondo 2026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Italian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Fase a gironi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Ottavi di finale</v>
      </c>
      <c r="BS6" s="134"/>
      <c r="BT6" s="134"/>
      <c r="BU6" s="134"/>
      <c r="BV6" s="135"/>
      <c r="BY6" s="133" t="str" cm="1">
        <f t="array" ref="BY6">INDEX(T,5,lang)</f>
        <v>Quarti di finale</v>
      </c>
      <c r="BZ6" s="134"/>
      <c r="CA6" s="134"/>
      <c r="CB6" s="134"/>
      <c r="CC6" s="135"/>
      <c r="CF6" s="133" t="str" cm="1">
        <f t="array" ref="CF6">INDEX(T,6,lang)</f>
        <v>Semifinali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Gio</v>
      </c>
      <c r="C7" s="13" t="str" cm="1">
        <f t="array" ref="C7">INDEX(T,24+MONTH(R7),lang) &amp; " " &amp; DAY(R7) &amp; ", " &amp; YEAR(R7)</f>
        <v>Giu 11, 2026</v>
      </c>
      <c r="D7" s="119">
        <f t="shared" ref="D7" si="0">TIME(HOUR(R7),MINUTE(R7),0)</f>
        <v>0.875</v>
      </c>
      <c r="E7" s="77" t="str">
        <f>AE8</f>
        <v>Messico</v>
      </c>
      <c r="F7" s="14">
        <v>2</v>
      </c>
      <c r="G7" s="15">
        <v>1</v>
      </c>
      <c r="H7" s="79" t="str">
        <f>AE9</f>
        <v>Sudafrica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Messico_win</v>
      </c>
      <c r="T7" s="127" t="str">
        <f t="shared" ref="T7:T46" si="2">IF(S7="","",IF(F7&lt;G7,H7&amp;"_win",IF(F7&gt;G7,H7&amp;"_lose",H7&amp;"_draw")))</f>
        <v>Sudafrica_lose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Ven</v>
      </c>
      <c r="C8" s="18" t="str" cm="1">
        <f t="array" ref="C8">INDEX(T,24+MONTH(R8),lang) &amp; " " &amp; DAY(R8) &amp; ", " &amp; YEAR(R8)</f>
        <v>Giu 12, 2026</v>
      </c>
      <c r="D8" s="120">
        <f t="shared" ref="D8:D71" si="7">TIME(HOUR(R8),MINUTE(R8),0)</f>
        <v>0.16666666666666666</v>
      </c>
      <c r="E8" s="78" t="str">
        <f>AE10</f>
        <v>Corea del Sud</v>
      </c>
      <c r="F8" s="19">
        <v>1</v>
      </c>
      <c r="G8" s="20">
        <v>1</v>
      </c>
      <c r="H8" s="80" t="str">
        <f>AE11</f>
        <v>Repubblica Ceca</v>
      </c>
      <c r="J8" s="38" t="str" cm="1">
        <f t="array" ref="J8">INDEX(T,9,lang) &amp; " " &amp; "A"</f>
        <v>Gruppo A</v>
      </c>
      <c r="K8" s="94" t="str" cm="1">
        <f t="array" ref="K8">INDEX(T,10,lang)</f>
        <v>G</v>
      </c>
      <c r="L8" s="94" t="str" cm="1">
        <f t="array" ref="L8">INDEX(T,11,lang)</f>
        <v>V</v>
      </c>
      <c r="M8" s="94" t="str" cm="1">
        <f t="array" ref="M8">INDEX(T,12,lang)</f>
        <v>P</v>
      </c>
      <c r="N8" s="94" t="str" cm="1">
        <f t="array" ref="N8">INDEX(T,13,lang)</f>
        <v>S</v>
      </c>
      <c r="O8" s="94" t="str" cm="1">
        <f t="array" ref="O8">INDEX(T,14,lang)</f>
        <v>GF - GS</v>
      </c>
      <c r="P8" s="95" t="str" cm="1">
        <f t="array" ref="P8">INDEX(T,15,lang)</f>
        <v>Punti</v>
      </c>
      <c r="R8" s="123">
        <f>DATE(2026,6,11)+TIME(15,0,0)+gmt_delta</f>
        <v>46185.166666666664</v>
      </c>
      <c r="S8" s="127" t="str">
        <f t="shared" si="1"/>
        <v>Corea del Sud_draw</v>
      </c>
      <c r="T8" s="127" t="str">
        <f t="shared" si="2"/>
        <v>Repubblica Ceca_draw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2</v>
      </c>
      <c r="AE8" s="124" t="str">
        <f>VLOOKUP("Mexico",T,lang,FALSE)</f>
        <v>Messico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3</v>
      </c>
      <c r="AJ8" s="123">
        <f>SUMIF($E$7:$E$78,$AE8,$G$7:$G$78) + SUMIF($H$7:$H$78,$AE8,$F$7:$F$78)</f>
        <v>2</v>
      </c>
      <c r="AL8" s="123">
        <f>AI8-AJ8</f>
        <v>1</v>
      </c>
      <c r="AM8" s="123">
        <f>AL8-AL12</f>
        <v>4</v>
      </c>
      <c r="AN8" s="123">
        <f>AF8*3+AG8</f>
        <v>5</v>
      </c>
      <c r="AO8" s="123">
        <f>AN8/AN12*10+BA8</f>
        <v>9.3138211382113827</v>
      </c>
      <c r="AP8" s="123">
        <f>AO8*10000000+BI8*100+AM8/AM12*10+AI8/AI12*1++IF(AQ8=0,ROW(),AQ8)/2000000</f>
        <v>93138318.022170022</v>
      </c>
      <c r="AQ8" s="126">
        <f>VLOOKUP(AE8,db_fifarank,2,FALSE)</f>
        <v>1681.03</v>
      </c>
      <c r="AR8" s="125">
        <f>AP8/AP12</f>
        <v>0.99947757039425889</v>
      </c>
      <c r="AS8" s="125" t="str">
        <f>IF(SUM(AF8:AH11)=12,J9,"1A")</f>
        <v>Corea del Sud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2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66.999999999999986</v>
      </c>
      <c r="BA8" s="126">
        <f>AZ8/AZ12</f>
        <v>0.98048780487804865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</v>
      </c>
      <c r="BI8" s="126">
        <f>BH8/BH12</f>
        <v>0.98039215686274506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Ven</v>
      </c>
      <c r="C9" s="18" t="str" cm="1">
        <f t="array" ref="C9">INDEX(T,24+MONTH(R9),lang) &amp; " " &amp; DAY(R9) &amp; ", " &amp; YEAR(R9)</f>
        <v>Giu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ed Erzegovina</v>
      </c>
      <c r="J9" s="30" t="str">
        <f>VLOOKUP(1,AD8:AN11,2,FALSE)</f>
        <v>Corea del Sud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4 - 3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ed 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Sudafrica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0.40071486500000003</v>
      </c>
      <c r="AQ9" s="126">
        <f>VLOOKUP(AE9,db_fifarank,2,FALSE)</f>
        <v>1429.73</v>
      </c>
      <c r="AR9" s="125">
        <f>AP9/AP12</f>
        <v>4.3001154433101297E-9</v>
      </c>
      <c r="AS9" s="125" t="str">
        <f>IF(SUM(AF8:AH11)=12,J10,"2A")</f>
        <v>Messico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Giu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Sab</v>
      </c>
      <c r="C10" s="18" t="str" cm="1">
        <f t="array" ref="C10">INDEX(T,24+MONTH(R10),lang) &amp; " " &amp; DAY(R10) &amp; ", " &amp; YEAR(R10)</f>
        <v>Giu 13, 2026</v>
      </c>
      <c r="D10" s="120">
        <f t="shared" si="7"/>
        <v>0.125</v>
      </c>
      <c r="E10" s="78" t="str">
        <f>AE26</f>
        <v>Stati Uniti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Messico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Stati Uniti_win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1</v>
      </c>
      <c r="AE10" s="124" t="str">
        <f>VLOOKUP("Korea Republic",T,lang,FALSE)</f>
        <v>Corea del Sud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3</v>
      </c>
      <c r="AL10" s="123">
        <f>AI10-AJ10</f>
        <v>1</v>
      </c>
      <c r="AM10" s="123">
        <f>AL10-AL12</f>
        <v>4</v>
      </c>
      <c r="AN10" s="123">
        <f>AF10*3+AG10</f>
        <v>5</v>
      </c>
      <c r="AO10" s="123">
        <f>AN10/AN12*10+BA10</f>
        <v>9.3186991869918714</v>
      </c>
      <c r="AP10" s="123">
        <f>AO10*10000000+BI10*100+AM10/AM12*10+AI10/AI12*1++IF(AQ10=0,ROW(),AQ10)/2000000</f>
        <v>93187000.670713052</v>
      </c>
      <c r="AQ10" s="126">
        <f>VLOOKUP(AE10,db_fifarank,2,FALSE)</f>
        <v>1588.66</v>
      </c>
      <c r="AR10" s="125">
        <f>AP10/AP12</f>
        <v>0.99999998926888967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2</v>
      </c>
      <c r="AV10" s="126" cm="1">
        <f t="array" ref="AV10">SUMPRODUCT(($E$7:$E$78=AE10)*($U$7:$U$78)*($F$7:$F$78))+SUMPRODUCT(($H$7:$H$78=AE10)*($U$7:$U$78)*($G$7:$G$78))</f>
        <v>2</v>
      </c>
      <c r="AW10" s="126" cm="1">
        <f t="array" ref="AW10">SUMPRODUCT(($E$7:$E$78=AE10)*($U$7:$U$78)*($G$7:$G$78))+SUMPRODUCT(($H$7:$H$78=AE10)*($U$7:$U$78)*($F$7:$F$78))</f>
        <v>2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67.333333333333329</v>
      </c>
      <c r="BA10" s="126">
        <f>AZ10/AZ12</f>
        <v>0.98536585365853657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Germania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Dom</v>
      </c>
      <c r="C11" s="18" t="str" cm="1">
        <f t="array" ref="C11">INDEX(T,24+MONTH(R11),lang) &amp; " " &amp; DAY(R11) &amp; ", " &amp; YEAR(R11)</f>
        <v>Giu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Scozia</v>
      </c>
      <c r="J11" s="33" t="str">
        <f>VLOOKUP(3,AD8:AN11,2,FALSE)</f>
        <v>Repubblica Ceca</v>
      </c>
      <c r="K11" s="23">
        <f>L11+M11+N11</f>
        <v>3</v>
      </c>
      <c r="L11" s="23">
        <f>VLOOKUP(3,AD8:AN11,3,FALSE)</f>
        <v>1</v>
      </c>
      <c r="M11" s="23">
        <f>VLOOKUP(3,AD8:AN11,4,FALSE)</f>
        <v>2</v>
      </c>
      <c r="N11" s="23">
        <f>VLOOKUP(3,AD8:AN11,5,FALSE)</f>
        <v>0</v>
      </c>
      <c r="O11" s="23" t="str">
        <f>VLOOKUP(3,AD8:AN11,6,FALSE) &amp; " - " &amp; VLOOKUP(3,AD8:AN11,7,FALSE)</f>
        <v>2 - 1</v>
      </c>
      <c r="P11" s="34">
        <f>L11*3+M11</f>
        <v>5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Scozia_win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Repubblica Ceca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1</v>
      </c>
      <c r="AL11" s="123">
        <f>AI11-AJ11</f>
        <v>1</v>
      </c>
      <c r="AM11" s="123">
        <f>AL11-AL12</f>
        <v>4</v>
      </c>
      <c r="AN11" s="123">
        <f>AF11*3+AG11</f>
        <v>5</v>
      </c>
      <c r="AO11" s="123">
        <f>AN11/AN12*10+BA11</f>
        <v>9.3138211382113827</v>
      </c>
      <c r="AP11" s="123">
        <f>AO11*10000000+BI11*100+AM11/AM12*10+AI11/AI12*1++IF(AQ11=0,ROW(),AQ11)/2000000</f>
        <v>93138317.82208021</v>
      </c>
      <c r="AQ11" s="126">
        <f>VLOOKUP(AE11,db_fifarank,2,FALSE)</f>
        <v>1501.38</v>
      </c>
      <c r="AR11" s="125">
        <f>AP11/AP12</f>
        <v>0.99947756824707301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2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66.999999999999986</v>
      </c>
      <c r="BA11" s="126">
        <f>AZ11/AZ12</f>
        <v>0.98048780487804865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</v>
      </c>
      <c r="BI11" s="126">
        <f>BH11/BH12</f>
        <v>0.98039215686274506</v>
      </c>
      <c r="BK11" s="132"/>
      <c r="BL11" s="26" t="str">
        <f>IF(group_round_completed,VLOOKUP('3rd places'!G3,AK80:AS91,9,FALSE),"3rd Group A/B/C/D/F")</f>
        <v>Scozia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Lug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Dom</v>
      </c>
      <c r="C12" s="18" t="str" cm="1">
        <f t="array" ref="C12">INDEX(T,24+MONTH(R12),lang) &amp; " " &amp; DAY(R12) &amp; ", " &amp; YEAR(R12)</f>
        <v>Giu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Turchia</v>
      </c>
      <c r="J12" s="35" t="str">
        <f>VLOOKUP(4,AD8:AN11,2,FALSE)</f>
        <v>Sudafrica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Turchia_win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4</v>
      </c>
      <c r="AI12" s="123">
        <f>MAX(AI8:AI11)+1</f>
        <v>5</v>
      </c>
      <c r="AL12" s="123">
        <f>MIN(AL8:AL11)</f>
        <v>-3</v>
      </c>
      <c r="AM12" s="123">
        <f>MAX(AM8:AM11)+1</f>
        <v>5</v>
      </c>
      <c r="AN12" s="123">
        <f>MAX(AN8:AN11)+1</f>
        <v>6</v>
      </c>
      <c r="AO12" s="123">
        <f>MAX(AO8:AO11)+1</f>
        <v>10.318699186991871</v>
      </c>
      <c r="AP12" s="123">
        <f>MAX(AP8:AP11)+1</f>
        <v>93187001.670713052</v>
      </c>
      <c r="AT12" s="126">
        <f>MAX(AT8:AT11)-MIN(AT8:AT11)+1</f>
        <v>1</v>
      </c>
      <c r="AU12" s="126">
        <f>MAX(AU8:AU11)-MIN(AU8:AU11)+1</f>
        <v>3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1</v>
      </c>
      <c r="AZ12" s="126">
        <f>MAX(AZ8:AZ11)+1</f>
        <v>68.333333333333329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51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Germania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Dom</v>
      </c>
      <c r="C13" s="18" t="str" cm="1">
        <f t="array" ref="C13">INDEX(T,24+MONTH(R13),lang) &amp; " " &amp; DAY(R13) &amp; ", " &amp; YEAR(R13)</f>
        <v>Giu 14, 2026</v>
      </c>
      <c r="D13" s="120">
        <f t="shared" si="7"/>
        <v>0</v>
      </c>
      <c r="E13" s="78" t="str">
        <f>AE20</f>
        <v>Brasile</v>
      </c>
      <c r="F13" s="19">
        <v>2</v>
      </c>
      <c r="G13" s="20">
        <v>0</v>
      </c>
      <c r="H13" s="80" t="str">
        <f>AE21</f>
        <v>Marocco</v>
      </c>
      <c r="R13" s="123">
        <f>DATE(2026,6,13)+TIME(11,0,0)+gmt_delta</f>
        <v>46187</v>
      </c>
      <c r="S13" s="127" t="str">
        <f t="shared" si="1"/>
        <v>Brasile_win</v>
      </c>
      <c r="T13" s="127" t="str">
        <f t="shared" si="2"/>
        <v>Marocco_lose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Giu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Francia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Sab</v>
      </c>
      <c r="C14" s="18" t="str" cm="1">
        <f t="array" ref="C14">INDEX(T,24+MONTH(R14),lang) &amp; " " &amp; DAY(R14) &amp; ", " &amp; YEAR(R14)</f>
        <v>Giu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3</v>
      </c>
      <c r="H14" s="80" t="str">
        <f>AE17</f>
        <v>Svizzera</v>
      </c>
      <c r="J14" s="38" t="str" cm="1">
        <f t="array" ref="J14">INDEX(T,9,lang) &amp; " " &amp; "B"</f>
        <v>Gruppo B</v>
      </c>
      <c r="K14" s="94" t="str" cm="1">
        <f t="array" ref="K14">INDEX(T,10,lang)</f>
        <v>G</v>
      </c>
      <c r="L14" s="94" t="str" cm="1">
        <f t="array" ref="L14">INDEX(T,11,lang)</f>
        <v>V</v>
      </c>
      <c r="M14" s="94" t="str" cm="1">
        <f t="array" ref="M14">INDEX(T,12,lang)</f>
        <v>P</v>
      </c>
      <c r="N14" s="94" t="str" cm="1">
        <f t="array" ref="N14">INDEX(T,13,lang)</f>
        <v>S</v>
      </c>
      <c r="O14" s="94" t="str" cm="1">
        <f t="array" ref="O14">INDEX(T,14,lang)</f>
        <v>GF - GS</v>
      </c>
      <c r="P14" s="95" t="str" cm="1">
        <f t="array" ref="P14">INDEX(T,15,lang)</f>
        <v>Punti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Svizzera_win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10</v>
      </c>
      <c r="AN14" s="123">
        <f>AF14*3+AG14</f>
        <v>7</v>
      </c>
      <c r="AO14" s="123">
        <f>AN14/AN18*10+BA14</f>
        <v>9.7305825242718456</v>
      </c>
      <c r="AP14" s="123">
        <f>AO14*10000000+BI14*100+AM14/AM18*10+AI14/AI18*1++IF(AQ14=0,ROW(),AQ14)/2000000</f>
        <v>97305931.708342537</v>
      </c>
      <c r="AQ14" s="126">
        <f>VLOOKUP(AE14,db_fifarank,2,FALSE)</f>
        <v>1556.48</v>
      </c>
      <c r="AR14" s="125">
        <f>AP14/AP18</f>
        <v>0.99999997244397121</v>
      </c>
      <c r="AS14" s="125" t="str">
        <f>IF(SUM(AF14:AH17)=12,J15,"1B")</f>
        <v>Svizzera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31">
        <v>77</v>
      </c>
      <c r="BL14" s="24" t="str">
        <f>AS56</f>
        <v>Francia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Lun</v>
      </c>
      <c r="C15" s="18" t="str" cm="1">
        <f t="array" ref="C15">INDEX(T,24+MONTH(R15),lang) &amp; " " &amp; DAY(R15) &amp; ", " &amp; YEAR(R15)</f>
        <v>Giu 15, 2026</v>
      </c>
      <c r="D15" s="120">
        <f t="shared" si="7"/>
        <v>4.1666666666666664E-2</v>
      </c>
      <c r="E15" s="78" t="str">
        <f>AE34</f>
        <v>Costa d'Avorio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Svizzera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Costa d'Avorio_draw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ed 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4</v>
      </c>
      <c r="AL15" s="123">
        <f>AI15-AJ15</f>
        <v>-1</v>
      </c>
      <c r="AM15" s="123">
        <f>AL15-AL18</f>
        <v>6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37500005.04464896</v>
      </c>
      <c r="AQ15" s="126">
        <f>VLOOKUP(AE15,db_fifarank,2,FALSE)</f>
        <v>1385.84</v>
      </c>
      <c r="AR15" s="125">
        <f>AP15/AP18</f>
        <v>0.38538250806433288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Capo Verde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Lug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Dom</v>
      </c>
      <c r="C16" s="18" t="str" cm="1">
        <f t="array" ref="C16">INDEX(T,24+MONTH(R16),lang) &amp; " " &amp; DAY(R16) &amp; ", " &amp; YEAR(R16)</f>
        <v>Giu 14, 2026</v>
      </c>
      <c r="D16" s="120">
        <f t="shared" si="7"/>
        <v>0.79166666666666663</v>
      </c>
      <c r="E16" s="78" t="str">
        <f>AE32</f>
        <v>Germania</v>
      </c>
      <c r="F16" s="19">
        <v>6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Germania_win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9</v>
      </c>
      <c r="AL16" s="123">
        <f>AI16-AJ16</f>
        <v>-7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0.2864417657142857</v>
      </c>
      <c r="AQ16" s="126">
        <f>VLOOKUP(AE16,db_fifarank,2,FALSE)</f>
        <v>1454.96</v>
      </c>
      <c r="AR16" s="125">
        <f>AP16/AP18</f>
        <v>2.9437234996078872E-9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Francia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Dom</v>
      </c>
      <c r="C17" s="18" t="str" cm="1">
        <f t="array" ref="C17">INDEX(T,24+MONTH(R17),lang) &amp; " " &amp; DAY(R17) &amp; ", " &amp; YEAR(R17)</f>
        <v>Giu 14, 2026</v>
      </c>
      <c r="D17" s="120">
        <f t="shared" si="7"/>
        <v>0.91666666666666663</v>
      </c>
      <c r="E17" s="78" t="str">
        <f>AE38</f>
        <v>Olanda</v>
      </c>
      <c r="F17" s="19">
        <v>3</v>
      </c>
      <c r="G17" s="20">
        <v>1</v>
      </c>
      <c r="H17" s="80" t="str">
        <f>AE39</f>
        <v>Giappone</v>
      </c>
      <c r="J17" s="33" t="str">
        <f>VLOOKUP(3,AD14:AN17,2,FALSE)</f>
        <v>Bosnia ed 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3 - 4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Olanda_win</v>
      </c>
      <c r="T17" s="127" t="str">
        <f t="shared" si="2"/>
        <v>Giappone_lose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Svizzera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1</v>
      </c>
      <c r="AL17" s="123">
        <f>AI17-AJ17</f>
        <v>5</v>
      </c>
      <c r="AM17" s="123">
        <f>AL17-AL18</f>
        <v>12</v>
      </c>
      <c r="AN17" s="123">
        <f>AF17*3+AG17</f>
        <v>7</v>
      </c>
      <c r="AO17" s="123">
        <f>AN17/AN18*10+BA17</f>
        <v>9.7305825242718456</v>
      </c>
      <c r="AP17" s="123">
        <f>AO17*10000000+BI17*100+AM17/AM18*10+AI17/AI18*1++IF(AQ17=0,ROW(),AQ17)/2000000</f>
        <v>97305933.38970767</v>
      </c>
      <c r="AQ17" s="126">
        <f>VLOOKUP(AE17,db_fifarank,2,FALSE)</f>
        <v>1649.4</v>
      </c>
      <c r="AR17" s="125">
        <f>AP17/AP18</f>
        <v>0.99999998972313453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Giu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Messico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Lun</v>
      </c>
      <c r="C18" s="18" t="str" cm="1">
        <f t="array" ref="C18">INDEX(T,24+MONTH(R18),lang) &amp; " " &amp; DAY(R18) &amp; ", " &amp; YEAR(R18)</f>
        <v>Giu 15, 2026</v>
      </c>
      <c r="D18" s="120">
        <f t="shared" si="7"/>
        <v>0.16666666666666666</v>
      </c>
      <c r="E18" s="78" t="str">
        <f>AE40</f>
        <v>Svezia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2 - 9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Svezia_win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-7</v>
      </c>
      <c r="AM18" s="123">
        <f>MAX(AM14:AM17)+1</f>
        <v>13</v>
      </c>
      <c r="AN18" s="123">
        <f>MAX(AN14:AN17)+1</f>
        <v>8</v>
      </c>
      <c r="AO18" s="123">
        <f>MAX(AO14:AO17)+1</f>
        <v>10.730582524271846</v>
      </c>
      <c r="AP18" s="123">
        <f>MAX(AP14:AP17)+1</f>
        <v>97305934.38970767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Messico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Mar</v>
      </c>
      <c r="C19" s="18" t="str" cm="1">
        <f t="array" ref="C19">INDEX(T,24+MONTH(R19),lang) &amp; " " &amp; DAY(R19) &amp; ", " &amp; YEAR(R19)</f>
        <v>Giu 16, 2026</v>
      </c>
      <c r="D19" s="120">
        <f t="shared" si="7"/>
        <v>0</v>
      </c>
      <c r="E19" s="78" t="str">
        <f>AE52</f>
        <v>Arabia Saudita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Arabia Saudita_lose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Lug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Lun</v>
      </c>
      <c r="C20" s="18" t="str" cm="1">
        <f t="array" ref="C20">INDEX(T,24+MONTH(R20),lang) &amp; " " &amp; DAY(R20) &amp; ", " &amp; YEAR(R20)</f>
        <v>Giu 15, 2026</v>
      </c>
      <c r="D20" s="120">
        <f t="shared" si="7"/>
        <v>0.75</v>
      </c>
      <c r="E20" s="78" t="str">
        <f>AE50</f>
        <v>Spagna</v>
      </c>
      <c r="F20" s="19">
        <v>4</v>
      </c>
      <c r="G20" s="20">
        <v>0</v>
      </c>
      <c r="H20" s="80" t="str">
        <f>AE51</f>
        <v>Capo Verde</v>
      </c>
      <c r="J20" s="38" t="str" cm="1">
        <f t="array" ref="J20">INDEX(T,9,lang) &amp; " " &amp; "C"</f>
        <v>Gruppo C</v>
      </c>
      <c r="K20" s="94" t="str" cm="1">
        <f t="array" ref="K20">INDEX(T,10,lang)</f>
        <v>G</v>
      </c>
      <c r="L20" s="94" t="str" cm="1">
        <f t="array" ref="L20">INDEX(T,11,lang)</f>
        <v>V</v>
      </c>
      <c r="M20" s="94" t="str" cm="1">
        <f t="array" ref="M20">INDEX(T,12,lang)</f>
        <v>P</v>
      </c>
      <c r="N20" s="94" t="str" cm="1">
        <f t="array" ref="N20">INDEX(T,13,lang)</f>
        <v>S</v>
      </c>
      <c r="O20" s="94" t="str" cm="1">
        <f t="array" ref="O20">INDEX(T,14,lang)</f>
        <v>GF - GS</v>
      </c>
      <c r="P20" s="95" t="str" cm="1">
        <f t="array" ref="P20">INDEX(T,15,lang)</f>
        <v>Punti</v>
      </c>
      <c r="R20" s="123">
        <f>DATE(2026,6,15)+TIME(5,0,0)+gmt_delta</f>
        <v>46188.75</v>
      </c>
      <c r="S20" s="127" t="str">
        <f t="shared" si="1"/>
        <v>Spagna_win</v>
      </c>
      <c r="T20" s="127" t="str">
        <f t="shared" si="2"/>
        <v>Capo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Brasile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11</v>
      </c>
      <c r="AJ20" s="123">
        <f>SUMIF($E$7:$E$78,$AE20,$G$7:$G$78) + SUMIF($H$7:$H$78,$AE20,$F$7:$F$78)</f>
        <v>0</v>
      </c>
      <c r="AL20" s="123">
        <f>AI20-AJ20</f>
        <v>11</v>
      </c>
      <c r="AM20" s="123">
        <f>AL20-AL24</f>
        <v>24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90000010.51754725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Brasile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Messico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Mar</v>
      </c>
      <c r="C21" s="18" t="str" cm="1">
        <f t="array" ref="C21">INDEX(T,24+MONTH(R21),lang) &amp; " " &amp; DAY(R21) &amp; ", " &amp; YEAR(R21)</f>
        <v>Giu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Nuova Zelanda</v>
      </c>
      <c r="J21" s="30" t="str">
        <f>VLOOKUP(1,AD20:AN23,2,FALSE)</f>
        <v>Brasile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11 - 0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Nuova Zelanda_draw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Marocco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3</v>
      </c>
      <c r="AL21" s="123">
        <f>AI21-AJ21</f>
        <v>2</v>
      </c>
      <c r="AM21" s="123">
        <f>AL21-AL24</f>
        <v>15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60000006.417544596</v>
      </c>
      <c r="AQ21" s="126">
        <f>VLOOKUP(AE21,db_fifarank,2,FALSE)</f>
        <v>1755.87</v>
      </c>
      <c r="AR21" s="125">
        <f>AP21/AP24</f>
        <v>0.66666665265755476</v>
      </c>
      <c r="AS21" s="125" t="str">
        <f>IF(SUM(AF20:AH23)=12,J22,"2C")</f>
        <v>Marocco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Giu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Marocco</v>
      </c>
      <c r="BT21" s="62">
        <v>0</v>
      </c>
      <c r="BU21" s="64"/>
      <c r="BV21" s="27"/>
      <c r="BW21" s="112">
        <f>IF(BW20="","",BT21*1000+BU21*10+BV21)</f>
        <v>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Lun</v>
      </c>
      <c r="C22" s="18" t="str" cm="1">
        <f t="array" ref="C22">INDEX(T,24+MONTH(R22),lang) &amp; " " &amp; DAY(R22) &amp; ", " &amp; YEAR(R22)</f>
        <v>Giu 15, 2026</v>
      </c>
      <c r="D22" s="120">
        <f t="shared" si="7"/>
        <v>0.875</v>
      </c>
      <c r="E22" s="78" t="str">
        <f>AE44</f>
        <v>Belgio</v>
      </c>
      <c r="F22" s="19">
        <v>3</v>
      </c>
      <c r="G22" s="20">
        <v>1</v>
      </c>
      <c r="H22" s="80" t="str">
        <f>AE45</f>
        <v>Egitto</v>
      </c>
      <c r="J22" s="33" t="str">
        <f>VLOOKUP(2,AD20:AN23,2,FALSE)</f>
        <v>Marocco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Belgio_win</v>
      </c>
      <c r="T22" s="127" t="str">
        <f t="shared" si="2"/>
        <v>Egitto_lose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13</v>
      </c>
      <c r="AL22" s="123">
        <f>AI22-AJ22</f>
        <v>-13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7.1761657483130214E-12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Olanda</v>
      </c>
      <c r="BM22" s="61">
        <v>1</v>
      </c>
      <c r="BN22" s="63">
        <v>1</v>
      </c>
      <c r="BO22" s="25">
        <v>1</v>
      </c>
      <c r="BP22" s="116">
        <f>IF(OR(BM22="",BM23="",AND(BN22="",BN23&lt;&gt;""),AND(BN23="",BN22&lt;&gt;""),AND(BO22="",BO23&lt;&gt;""),AND(BO23="",BO22&lt;&gt;"")),"",BM22*1000+BN22*10+BO22)</f>
        <v>1011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Lug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Mar</v>
      </c>
      <c r="C23" s="18" t="str" cm="1">
        <f t="array" ref="C23">INDEX(T,24+MONTH(R23),lang) &amp; " " &amp; DAY(R23) &amp; ", " &amp; YEAR(R23)</f>
        <v>Giu 16, 2026</v>
      </c>
      <c r="D23" s="120">
        <f t="shared" si="7"/>
        <v>0.875</v>
      </c>
      <c r="E23" s="78" t="str">
        <f>AE56</f>
        <v>Francia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Scozia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Francia_win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Scozia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13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30000005.534082506</v>
      </c>
      <c r="AQ23" s="126">
        <f>VLOOKUP(AE23,db_fifarank,2,FALSE)</f>
        <v>1498.35</v>
      </c>
      <c r="AR23" s="125">
        <f>AP23/AP24</f>
        <v>0.33333335216555415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Marocco</v>
      </c>
      <c r="BM23" s="62">
        <v>1</v>
      </c>
      <c r="BN23" s="64">
        <v>1</v>
      </c>
      <c r="BO23" s="27">
        <v>2</v>
      </c>
      <c r="BP23" s="112">
        <f>IF(BP22="","",BM23*1000+BN23*10+BO23)</f>
        <v>1012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Francia</v>
      </c>
      <c r="CH23" s="61">
        <v>2</v>
      </c>
      <c r="CI23" s="63">
        <v>2</v>
      </c>
      <c r="CJ23" s="25">
        <v>2</v>
      </c>
      <c r="CK23" s="112">
        <f>IF(OR(CH23="",CH24="",AND(CI23="",CI24&lt;&gt;""),AND(CI24="",CI23&lt;&gt;""),AND(CJ23="",CJ24&lt;&gt;""),AND(CJ24="",CJ23&lt;&gt;"")),"",CH23*1000+CI23*10+CJ23)</f>
        <v>2022</v>
      </c>
    </row>
    <row r="24" spans="1:95" x14ac:dyDescent="0.25">
      <c r="A24" s="16">
        <v>18</v>
      </c>
      <c r="B24" s="17" t="str" cm="1">
        <f t="array" ref="B24">INDEX(T,18+INT(MOD(R24-1,7)),lang)</f>
        <v>Mer</v>
      </c>
      <c r="C24" s="18" t="str" cm="1">
        <f t="array" ref="C24">INDEX(T,24+MONTH(R24),lang) &amp; " " &amp; DAY(R24) &amp; ", " &amp; YEAR(R24)</f>
        <v>Giu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5</v>
      </c>
      <c r="H24" s="80" t="str">
        <f>AE59</f>
        <v>Norvegia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0 - 13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Norvegia_win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12</v>
      </c>
      <c r="AL24" s="123">
        <f>MIN(AL20:AL23)</f>
        <v>-13</v>
      </c>
      <c r="AM24" s="123">
        <f>MAX(AM20:AM23)+1</f>
        <v>25</v>
      </c>
      <c r="AN24" s="123">
        <f>MAX(AN20:AN23)+1</f>
        <v>10</v>
      </c>
      <c r="AO24" s="123">
        <f>MAX(AO20:AO23)+1</f>
        <v>10</v>
      </c>
      <c r="AP24" s="123">
        <f>MAX(AP20:AP23)+1</f>
        <v>90000011.51754725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Spagna</v>
      </c>
      <c r="CH24" s="62">
        <v>2</v>
      </c>
      <c r="CI24" s="64">
        <v>2</v>
      </c>
      <c r="CJ24" s="27">
        <v>3</v>
      </c>
      <c r="CK24" s="113">
        <f>IF(CK23="","",CH24*1000+CI24*10+CJ24)</f>
        <v>2023</v>
      </c>
    </row>
    <row r="25" spans="1:95" x14ac:dyDescent="0.25">
      <c r="A25" s="16">
        <v>19</v>
      </c>
      <c r="B25" s="17" t="str" cm="1">
        <f t="array" ref="B25">INDEX(T,18+INT(MOD(R25-1,7)),lang)</f>
        <v>Mer</v>
      </c>
      <c r="C25" s="18" t="str" cm="1">
        <f t="array" ref="C25">INDEX(T,24+MONTH(R25),lang) &amp; " " &amp; DAY(R25) &amp; ", " &amp; YEAR(R25)</f>
        <v>Giu 17, 2026</v>
      </c>
      <c r="D25" s="120">
        <f t="shared" si="7"/>
        <v>0.125</v>
      </c>
      <c r="E25" s="78" t="str">
        <f>AE62</f>
        <v>Argentina</v>
      </c>
      <c r="F25" s="19">
        <v>4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Lug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Mer</v>
      </c>
      <c r="C26" s="18" t="str" cm="1">
        <f t="array" ref="C26">INDEX(T,24+MONTH(R26),lang) &amp; " " &amp; DAY(R26) &amp; ", " &amp; YEAR(R26)</f>
        <v>Giu 17, 2026</v>
      </c>
      <c r="D26" s="120">
        <f t="shared" si="7"/>
        <v>0.25</v>
      </c>
      <c r="E26" s="78" t="str">
        <f>AE64</f>
        <v>Austria</v>
      </c>
      <c r="F26" s="19">
        <v>3</v>
      </c>
      <c r="G26" s="20">
        <v>0</v>
      </c>
      <c r="H26" s="80" t="str">
        <f>AE65</f>
        <v>Giordania</v>
      </c>
      <c r="J26" s="38" t="str" cm="1">
        <f t="array" ref="J26">INDEX(T,9,lang) &amp; " " &amp; "D"</f>
        <v>Gruppo D</v>
      </c>
      <c r="K26" s="94" t="str" cm="1">
        <f t="array" ref="K26">INDEX(T,10,lang)</f>
        <v>G</v>
      </c>
      <c r="L26" s="94" t="str" cm="1">
        <f t="array" ref="L26">INDEX(T,11,lang)</f>
        <v>V</v>
      </c>
      <c r="M26" s="94" t="str" cm="1">
        <f t="array" ref="M26">INDEX(T,12,lang)</f>
        <v>P</v>
      </c>
      <c r="N26" s="94" t="str" cm="1">
        <f t="array" ref="N26">INDEX(T,13,lang)</f>
        <v>S</v>
      </c>
      <c r="O26" s="94" t="str" cm="1">
        <f t="array" ref="O26">INDEX(T,14,lang)</f>
        <v>GF - GS</v>
      </c>
      <c r="P26" s="95" t="str" cm="1">
        <f t="array" ref="P26">INDEX(T,15,lang)</f>
        <v>Punti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Giordania_lose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Stati Uniti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3</v>
      </c>
      <c r="AL26" s="123">
        <f>AI26-AJ26</f>
        <v>2</v>
      </c>
      <c r="AM26" s="123">
        <f>AL26-AL30</f>
        <v>6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60000006.625836566</v>
      </c>
      <c r="AQ26" s="126">
        <f>VLOOKUP(AE26,db_fifarank,2,FALSE)</f>
        <v>1673.13</v>
      </c>
      <c r="AR26" s="125">
        <f>AP26/AP30</f>
        <v>0.66666665972559591</v>
      </c>
      <c r="AS26" s="125" t="str">
        <f>IF(SUM(AF26:AH29)=12,J27,"1D")</f>
        <v>Turchia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Gio</v>
      </c>
      <c r="C27" s="18" t="str" cm="1">
        <f t="array" ref="C27">INDEX(T,24+MONTH(R27),lang) &amp; " " &amp; DAY(R27) &amp; ", " &amp; YEAR(R27)</f>
        <v>Giu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Turchia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7 - 2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5</v>
      </c>
      <c r="AL27" s="123">
        <f>AI27-AJ27</f>
        <v>-4</v>
      </c>
      <c r="AM27" s="123">
        <f>AL27-AL30</f>
        <v>0</v>
      </c>
      <c r="AN27" s="123">
        <f>AF27*3+AG27</f>
        <v>1</v>
      </c>
      <c r="AO27" s="123">
        <f>AN27/AN30*10+BA27</f>
        <v>1.9805825242718447</v>
      </c>
      <c r="AP27" s="123">
        <f>AO27*10000000+BI27*100+AM27/AM30*10+AI27/AI30*1++IF(AQ27=0,ROW(),AQ27)/2000000</f>
        <v>19805923.426722623</v>
      </c>
      <c r="AQ27" s="126">
        <f>VLOOKUP(AE27,db_fifarank,2,FALSE)</f>
        <v>1503.5</v>
      </c>
      <c r="AR27" s="125">
        <f>AP27/AP30</f>
        <v>0.22006578925923576</v>
      </c>
      <c r="AS27" s="125" t="str">
        <f>IF(SUM(AF26:AH29)=12,J28,"2D")</f>
        <v>Stati Uniti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Croazia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Lug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Mer</v>
      </c>
      <c r="C28" s="18" t="str" cm="1">
        <f t="array" ref="C28">INDEX(T,24+MONTH(R28),lang) &amp; " " &amp; DAY(R28) &amp; ", " &amp; YEAR(R28)</f>
        <v>Giu 17, 2026</v>
      </c>
      <c r="D28" s="120">
        <f t="shared" si="7"/>
        <v>0.91666666666666663</v>
      </c>
      <c r="E28" s="78" t="str">
        <f>AE74</f>
        <v>Inghilterra</v>
      </c>
      <c r="F28" s="19">
        <v>2</v>
      </c>
      <c r="G28" s="20">
        <v>1</v>
      </c>
      <c r="H28" s="80" t="str">
        <f>AE75</f>
        <v>Croazia</v>
      </c>
      <c r="J28" s="33" t="str">
        <f>VLOOKUP(2,AD26:AN29,2,FALSE)</f>
        <v>Stati Uniti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Inghilterra_win</v>
      </c>
      <c r="T28" s="127" t="str">
        <f t="shared" si="2"/>
        <v>Croazia_lose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6</v>
      </c>
      <c r="AL28" s="123">
        <f>AI28-AJ28</f>
        <v>-3</v>
      </c>
      <c r="AM28" s="123">
        <f>AL28-AL30</f>
        <v>1</v>
      </c>
      <c r="AN28" s="123">
        <f>AF28*3+AG28</f>
        <v>1</v>
      </c>
      <c r="AO28" s="123">
        <f>AN28/AN30*10+BA28</f>
        <v>1.9805825242718447</v>
      </c>
      <c r="AP28" s="123">
        <f>AO28*10000000+BI28*100+AM28/AM30*10+AI28/AI30*1++IF(AQ28=0,ROW(),AQ28)/2000000</f>
        <v>19805924.67676121</v>
      </c>
      <c r="AQ28" s="126">
        <f>VLOOKUP(AE28,db_fifarank,2,FALSE)</f>
        <v>1580.67</v>
      </c>
      <c r="AR28" s="125">
        <f>AP28/AP30</f>
        <v>0.2200658031485517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Mer</v>
      </c>
      <c r="C29" s="18" t="str" cm="1">
        <f t="array" ref="C29">INDEX(T,24+MONTH(R29),lang) &amp; " " &amp; DAY(R29) &amp; ", " &amp; YEAR(R29)</f>
        <v>Giu 17, 2026</v>
      </c>
      <c r="D29" s="120">
        <f t="shared" si="7"/>
        <v>0.79166666666666663</v>
      </c>
      <c r="E29" s="78" t="str">
        <f>AE68</f>
        <v>Portogallo</v>
      </c>
      <c r="F29" s="19">
        <v>4</v>
      </c>
      <c r="G29" s="20">
        <v>0</v>
      </c>
      <c r="H29" s="80" t="str">
        <f>AE69</f>
        <v>RD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3 - 6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Portogallo_win</v>
      </c>
      <c r="T29" s="127" t="str">
        <f t="shared" si="2"/>
        <v>RD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Turchia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2</v>
      </c>
      <c r="AL29" s="123">
        <f>AI29-AJ29</f>
        <v>5</v>
      </c>
      <c r="AM29" s="123">
        <f>AL29-AL30</f>
        <v>9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90000009.875799522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Lug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Spagna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Gio</v>
      </c>
      <c r="C30" s="18" t="str" cm="1">
        <f t="array" ref="C30">INDEX(T,24+MONTH(R30),lang) &amp; " " &amp; DAY(R30) &amp; ", " &amp; YEAR(R30)</f>
        <v>Giu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8</v>
      </c>
      <c r="AL30" s="123">
        <f>MIN(AL26:AL29)</f>
        <v>-4</v>
      </c>
      <c r="AM30" s="123">
        <f>MAX(AM26:AM29)+1</f>
        <v>10</v>
      </c>
      <c r="AN30" s="123">
        <f>MAX(AN26:AN29)+1</f>
        <v>10</v>
      </c>
      <c r="AO30" s="123">
        <f>MAX(AO26:AO29)+1</f>
        <v>10</v>
      </c>
      <c r="AP30" s="123">
        <f>MAX(AP26:AP29)+1</f>
        <v>90000010.875799522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Spagna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Gio</v>
      </c>
      <c r="C31" s="18" t="str" cm="1">
        <f t="array" ref="C31">INDEX(T,24+MONTH(R31),lang) &amp; " " &amp; DAY(R31) &amp; ", " &amp; YEAR(R31)</f>
        <v>Giu 18, 2026</v>
      </c>
      <c r="D31" s="120">
        <f t="shared" si="7"/>
        <v>0.75</v>
      </c>
      <c r="E31" s="78" t="str">
        <f>AE11</f>
        <v>Repubblica Ceca</v>
      </c>
      <c r="F31" s="19">
        <v>1</v>
      </c>
      <c r="G31" s="20">
        <v>0</v>
      </c>
      <c r="H31" s="80" t="str">
        <f>AE9</f>
        <v>Sudafrica</v>
      </c>
      <c r="R31" s="123">
        <f>DATE(2026,6,18)+TIME(5,0,0)+gmt_delta</f>
        <v>46191.75</v>
      </c>
      <c r="S31" s="127" t="str">
        <f t="shared" si="1"/>
        <v>Repubblica Ceca_win</v>
      </c>
      <c r="T31" s="127" t="str">
        <f t="shared" si="2"/>
        <v>Sudafrica_lose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Lug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Gio</v>
      </c>
      <c r="C32" s="18" t="str" cm="1">
        <f t="array" ref="C32">INDEX(T,24+MONTH(R32),lang) &amp; " " &amp; DAY(R32) &amp; ", " &amp; YEAR(R32)</f>
        <v>Giu 18, 2026</v>
      </c>
      <c r="D32" s="120">
        <f t="shared" si="7"/>
        <v>0.875</v>
      </c>
      <c r="E32" s="78" t="str">
        <f>AE17</f>
        <v>Svizzera</v>
      </c>
      <c r="F32" s="19">
        <v>2</v>
      </c>
      <c r="G32" s="20">
        <v>0</v>
      </c>
      <c r="H32" s="80" t="str">
        <f>AE15</f>
        <v>Bosnia ed Erzegovina</v>
      </c>
      <c r="J32" s="38" t="str" cm="1">
        <f t="array" ref="J32">INDEX(T,9,lang) &amp; " " &amp; "E"</f>
        <v>Gruppo E</v>
      </c>
      <c r="K32" s="94" t="str" cm="1">
        <f t="array" ref="K32">INDEX(T,10,lang)</f>
        <v>G</v>
      </c>
      <c r="L32" s="94" t="str" cm="1">
        <f t="array" ref="L32">INDEX(T,11,lang)</f>
        <v>V</v>
      </c>
      <c r="M32" s="94" t="str" cm="1">
        <f t="array" ref="M32">INDEX(T,12,lang)</f>
        <v>P</v>
      </c>
      <c r="N32" s="94" t="str" cm="1">
        <f t="array" ref="N32">INDEX(T,13,lang)</f>
        <v>S</v>
      </c>
      <c r="O32" s="94" t="str" cm="1">
        <f t="array" ref="O32">INDEX(T,14,lang)</f>
        <v>GF - GS</v>
      </c>
      <c r="P32" s="95" t="str" cm="1">
        <f t="array" ref="P32">INDEX(T,15,lang)</f>
        <v>Punti</v>
      </c>
      <c r="R32" s="123">
        <f>DATE(2026,6,18)+TIME(8,0,0)+gmt_delta</f>
        <v>46191.875</v>
      </c>
      <c r="S32" s="127" t="str">
        <f t="shared" si="1"/>
        <v>Svizzera_win</v>
      </c>
      <c r="T32" s="127" t="str">
        <f t="shared" si="2"/>
        <v>Bosnia ed 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Germania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12</v>
      </c>
      <c r="AJ32" s="123">
        <f>SUMIF($E$7:$E$78,$AE32,$G$7:$G$78) + SUMIF($H$7:$H$78,$AE32,$F$7:$F$78)</f>
        <v>2</v>
      </c>
      <c r="AL32" s="123">
        <f>AI32-AJ32</f>
        <v>10</v>
      </c>
      <c r="AM32" s="123">
        <f>AL32-AL36</f>
        <v>22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90000010.48915951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Germania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Spagna</v>
      </c>
      <c r="CA32" s="61">
        <v>4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4000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Ven</v>
      </c>
      <c r="C33" s="18" t="str" cm="1">
        <f t="array" ref="C33">INDEX(T,24+MONTH(R33),lang) &amp; " " &amp; DAY(R33) &amp; ", " &amp; YEAR(R33)</f>
        <v>Giu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1</v>
      </c>
      <c r="H33" s="80" t="str">
        <f>AE16</f>
        <v>Qatar</v>
      </c>
      <c r="J33" s="30" t="str">
        <f>VLOOKUP(1,AD32:AN35,2,FALSE)</f>
        <v>Germania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12 - 2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12</v>
      </c>
      <c r="AL33" s="123">
        <f>AI33-AJ33</f>
        <v>-12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7.1924990818247867E-12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Lug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Turchia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Finale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Ven</v>
      </c>
      <c r="C34" s="18" t="str" cm="1">
        <f t="array" ref="C34">INDEX(T,24+MONTH(R34),lang) &amp; " " &amp; DAY(R34) &amp; ", " &amp; YEAR(R34)</f>
        <v>Giu 19, 2026</v>
      </c>
      <c r="D34" s="120">
        <f t="shared" si="7"/>
        <v>0.125</v>
      </c>
      <c r="E34" s="78" t="str">
        <f>AE8</f>
        <v>Messico</v>
      </c>
      <c r="F34" s="19">
        <v>1</v>
      </c>
      <c r="G34" s="20">
        <v>1</v>
      </c>
      <c r="H34" s="80" t="str">
        <f>AE10</f>
        <v>Corea del Sud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5 - 4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Messico_draw</v>
      </c>
      <c r="T34" s="127" t="str">
        <f t="shared" si="2"/>
        <v>Corea del Sud_draw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Costa d'Avorio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4</v>
      </c>
      <c r="AL34" s="123">
        <f>AI34-AJ34</f>
        <v>1</v>
      </c>
      <c r="AM34" s="123">
        <f>AL34-AL36</f>
        <v>13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49805929.338526659</v>
      </c>
      <c r="AQ34" s="126">
        <f>VLOOKUP(AE34,db_fifarank,2,FALSE)</f>
        <v>1532.98</v>
      </c>
      <c r="AR34" s="125">
        <f>AP34/AP36</f>
        <v>0.55339914422706238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Turchia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Sab</v>
      </c>
      <c r="C35" s="18" t="str" cm="1">
        <f t="array" ref="C35">INDEX(T,24+MONTH(R35),lang) &amp; " " &amp; DAY(R35) &amp; ", " &amp; YEAR(R35)</f>
        <v>Giu 20, 2026</v>
      </c>
      <c r="D35" s="120">
        <f t="shared" si="7"/>
        <v>0.10416666666666667</v>
      </c>
      <c r="E35" s="78" t="str">
        <f>AE20</f>
        <v>Brasile</v>
      </c>
      <c r="F35" s="19">
        <v>7</v>
      </c>
      <c r="G35" s="20">
        <v>0</v>
      </c>
      <c r="H35" s="80" t="str">
        <f>AE22</f>
        <v>Haiti</v>
      </c>
      <c r="J35" s="33" t="str">
        <f>VLOOKUP(3,AD32:AN35,2,FALSE)</f>
        <v>Costa d'Avorio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5 - 4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Brasile_win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4</v>
      </c>
      <c r="AL35" s="123">
        <f>AI35-AJ35</f>
        <v>1</v>
      </c>
      <c r="AM35" s="123">
        <f>AL35-AL36</f>
        <v>13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49805929.338557556</v>
      </c>
      <c r="AQ35" s="126">
        <f>VLOOKUP(AE35,db_fifarank,2,FALSE)</f>
        <v>1594.78</v>
      </c>
      <c r="AR35" s="125">
        <f>AP35/AP36</f>
        <v>0.55339914422740577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Bosnia ed 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Lug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Sab</v>
      </c>
      <c r="C36" s="18" t="str" cm="1">
        <f t="array" ref="C36">INDEX(T,24+MONTH(R36),lang) &amp; " " &amp; DAY(R36) &amp; ", " &amp; YEAR(R36)</f>
        <v>Giu 20, 2026</v>
      </c>
      <c r="D36" s="120">
        <f t="shared" si="7"/>
        <v>0</v>
      </c>
      <c r="E36" s="78" t="str">
        <f>AE23</f>
        <v>Scozia</v>
      </c>
      <c r="F36" s="19">
        <v>1</v>
      </c>
      <c r="G36" s="20">
        <v>2</v>
      </c>
      <c r="H36" s="80" t="str">
        <f>AE21</f>
        <v>Marocco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0 - 12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Scozia_lose</v>
      </c>
      <c r="T36" s="127" t="str">
        <f t="shared" si="2"/>
        <v>Marocco_win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13</v>
      </c>
      <c r="AL36" s="123">
        <f>MIN(AL32:AL35)</f>
        <v>-12</v>
      </c>
      <c r="AM36" s="123">
        <f>MAX(AM32:AM35)+1</f>
        <v>23</v>
      </c>
      <c r="AN36" s="123">
        <f>MAX(AN32:AN35)+1</f>
        <v>10</v>
      </c>
      <c r="AO36" s="123">
        <f>MAX(AO32:AO35)+1</f>
        <v>10</v>
      </c>
      <c r="AP36" s="123">
        <f>MAX(AP32:AP35)+1</f>
        <v>90000011.48915951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Turchia</v>
      </c>
      <c r="BT36" s="61">
        <v>2</v>
      </c>
      <c r="BU36" s="63">
        <v>3</v>
      </c>
      <c r="BV36" s="25"/>
      <c r="BW36" s="116">
        <f>IF(OR(BT36="",BT37="",AND(BU36="",BU37&lt;&gt;""),AND(BU37="",BU36&lt;&gt;""),AND(BV36="",BV37&lt;&gt;""),AND(BV37="",BV36&lt;&gt;"")),"",BT36*1000+BU36*10+BV36)</f>
        <v>2030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Lug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Sab</v>
      </c>
      <c r="C37" s="18" t="str" cm="1">
        <f t="array" ref="C37">INDEX(T,24+MONTH(R37),lang) &amp; " " &amp; DAY(R37) &amp; ", " &amp; YEAR(R37)</f>
        <v>Giu 20, 2026</v>
      </c>
      <c r="D37" s="120">
        <f t="shared" si="7"/>
        <v>0.20833333333333334</v>
      </c>
      <c r="E37" s="78" t="str">
        <f>AE26</f>
        <v>Stati Uniti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Stati Uniti_win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Lug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Belgio</v>
      </c>
      <c r="BT37" s="62">
        <v>2</v>
      </c>
      <c r="BU37" s="64">
        <v>2</v>
      </c>
      <c r="BV37" s="27"/>
      <c r="BW37" s="112">
        <f>IF(BW36="","",BT37*1000+BU37*10+BV37)</f>
        <v>2020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Spagna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Ven</v>
      </c>
      <c r="C38" s="18" t="str" cm="1">
        <f t="array" ref="C38">INDEX(T,24+MONTH(R38),lang) &amp; " " &amp; DAY(R38) &amp; ", " &amp; YEAR(R38)</f>
        <v>Giu 19, 2026</v>
      </c>
      <c r="D38" s="120">
        <f t="shared" si="7"/>
        <v>0.875</v>
      </c>
      <c r="E38" s="78" t="str">
        <f>AE29</f>
        <v>Turchia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Gruppo F</v>
      </c>
      <c r="K38" s="94" t="str" cm="1">
        <f t="array" ref="K38">INDEX(T,10,lang)</f>
        <v>G</v>
      </c>
      <c r="L38" s="94" t="str" cm="1">
        <f t="array" ref="L38">INDEX(T,11,lang)</f>
        <v>V</v>
      </c>
      <c r="M38" s="94" t="str" cm="1">
        <f t="array" ref="M38">INDEX(T,12,lang)</f>
        <v>P</v>
      </c>
      <c r="N38" s="94" t="str" cm="1">
        <f t="array" ref="N38">INDEX(T,13,lang)</f>
        <v>S</v>
      </c>
      <c r="O38" s="94" t="str" cm="1">
        <f t="array" ref="O38">INDEX(T,14,lang)</f>
        <v>GF - GS</v>
      </c>
      <c r="P38" s="95" t="str" cm="1">
        <f t="array" ref="P38">INDEX(T,15,lang)</f>
        <v>Punti</v>
      </c>
      <c r="R38" s="123">
        <f>DATE(2026,6,19)+TIME(8,0,0)+gmt_delta</f>
        <v>46192.875</v>
      </c>
      <c r="S38" s="127" t="str">
        <f t="shared" si="1"/>
        <v>Turchia_win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Olanda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10</v>
      </c>
      <c r="AJ38" s="123">
        <f>SUMIF($E$7:$E$78,$AE38,$G$7:$G$78) + SUMIF($H$7:$H$78,$AE38,$F$7:$F$78)</f>
        <v>3</v>
      </c>
      <c r="AL38" s="123">
        <f>AI38-AJ38</f>
        <v>7</v>
      </c>
      <c r="AM38" s="123">
        <f>AL38-AL42</f>
        <v>11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90000010.076636508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Olanda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Belgio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Brasile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Sab</v>
      </c>
      <c r="C39" s="18" t="str" cm="1">
        <f t="array" ref="C39">INDEX(T,24+MONTH(R39),lang) &amp; " " &amp; DAY(R39) &amp; ", " &amp; YEAR(R39)</f>
        <v>Giu 20, 2026</v>
      </c>
      <c r="D39" s="120">
        <f t="shared" si="7"/>
        <v>0.91666666666666663</v>
      </c>
      <c r="E39" s="78" t="str">
        <f>AE32</f>
        <v>Germania</v>
      </c>
      <c r="F39" s="19">
        <v>3</v>
      </c>
      <c r="G39" s="20">
        <v>1</v>
      </c>
      <c r="H39" s="80" t="str">
        <f>AE34</f>
        <v>Costa d'Avorio</v>
      </c>
      <c r="J39" s="30" t="str">
        <f>VLOOKUP(1,AD38:AN41,2,FALSE)</f>
        <v>Olanda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10 - 3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Germania_win</v>
      </c>
      <c r="T39" s="127" t="str">
        <f t="shared" si="2"/>
        <v>Costa d'Avorio_lose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Giappone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5</v>
      </c>
      <c r="AL39" s="123">
        <f>AI39-AJ39</f>
        <v>-2</v>
      </c>
      <c r="AM39" s="123">
        <f>AL39-AL42</f>
        <v>2</v>
      </c>
      <c r="AN39" s="123">
        <f>AF39*3+AG39</f>
        <v>2</v>
      </c>
      <c r="AO39" s="123">
        <f>AN39/AN42*10+BA39</f>
        <v>2</v>
      </c>
      <c r="AP39" s="123">
        <f>AO39*10000000+BI39*100+AM39/AM42*10+AI39/AI42*1++IF(AQ39=0,ROW(),AQ39)/2000000</f>
        <v>20000001.940224156</v>
      </c>
      <c r="AQ39" s="126">
        <f>VLOOKUP(AE39,db_fifarank,2,FALSE)</f>
        <v>1660.43</v>
      </c>
      <c r="AR39" s="125">
        <f>AP39/AP42</f>
        <v>0.22222221643054935</v>
      </c>
      <c r="AS39" s="125" t="str">
        <f>IF(SUM(AF38:AH41)=12,J40,"2F")</f>
        <v>Svezia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Repubblica Ceca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Dom</v>
      </c>
      <c r="C40" s="18" t="str" cm="1">
        <f t="array" ref="C40">INDEX(T,24+MONTH(R40),lang) &amp; " " &amp; DAY(R40) &amp; ", " &amp; YEAR(R40)</f>
        <v>Giu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Svezia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4 - 5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Svezia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5</v>
      </c>
      <c r="AL40" s="123">
        <f>AI40-AJ40</f>
        <v>-1</v>
      </c>
      <c r="AM40" s="123">
        <f>AL40-AL42</f>
        <v>3</v>
      </c>
      <c r="AN40" s="123">
        <f>AF40*3+AG40</f>
        <v>4</v>
      </c>
      <c r="AO40" s="123">
        <f>AN40/AN42*10+BA40</f>
        <v>4</v>
      </c>
      <c r="AP40" s="123">
        <f>AO40*10000000+BI40*100+AM40/AM42*10+AI40/AI42*1++IF(AQ40=0,ROW(),AQ40)/2000000</f>
        <v>40000002.864393748</v>
      </c>
      <c r="AQ40" s="126">
        <f>VLOOKUP(AE40,db_fifarank,2,FALSE)</f>
        <v>1514.77</v>
      </c>
      <c r="AR40" s="125">
        <f>AP40/AP42</f>
        <v>0.44444442157160491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Sab</v>
      </c>
      <c r="C41" s="18" t="str" cm="1">
        <f t="array" ref="C41">INDEX(T,24+MONTH(R41),lang) &amp; " " &amp; DAY(R41) &amp; ", " &amp; YEAR(R41)</f>
        <v>Giu 20, 2026</v>
      </c>
      <c r="D41" s="120">
        <f t="shared" si="7"/>
        <v>0.79166666666666663</v>
      </c>
      <c r="E41" s="78" t="str">
        <f>AE38</f>
        <v>Olanda</v>
      </c>
      <c r="F41" s="19">
        <v>3</v>
      </c>
      <c r="G41" s="20">
        <v>1</v>
      </c>
      <c r="H41" s="80" t="str">
        <f>AE40</f>
        <v>Svezia</v>
      </c>
      <c r="J41" s="33" t="str">
        <f>VLOOKUP(3,AD38:AN41,2,FALSE)</f>
        <v>Giappone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3 - 5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Olanda_win</v>
      </c>
      <c r="T41" s="127" t="str">
        <f t="shared" si="2"/>
        <v>Svezia_lose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7</v>
      </c>
      <c r="AL41" s="123">
        <f>AI41-AJ41</f>
        <v>-4</v>
      </c>
      <c r="AM41" s="123">
        <f>AL41-AL42</f>
        <v>0</v>
      </c>
      <c r="AN41" s="123">
        <f>AF41*3+AG41</f>
        <v>1</v>
      </c>
      <c r="AO41" s="123">
        <f>AN41/AN42*10+BA41</f>
        <v>1</v>
      </c>
      <c r="AP41" s="123">
        <f>AO41*10000000+BI41*100+AM41/AM42*10+AI41/AI42*1++IF(AQ41=0,ROW(),AQ41)/2000000</f>
        <v>10000000.273468798</v>
      </c>
      <c r="AQ41" s="126">
        <f>VLOOKUP(AE41,db_fifarank,2,FALSE)</f>
        <v>1483.05</v>
      </c>
      <c r="AR41" s="125">
        <f>AP41/AP42</f>
        <v>0.11111110047479474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Giu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Dom</v>
      </c>
      <c r="C42" s="18" t="str" cm="1">
        <f t="array" ref="C42">INDEX(T,24+MONTH(R42),lang) &amp; " " &amp; DAY(R42) &amp; ", " &amp; YEAR(R42)</f>
        <v>Giu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Giappone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3 - 7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Giappone_draw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11</v>
      </c>
      <c r="AL42" s="123">
        <f>MIN(AL38:AL41)</f>
        <v>-4</v>
      </c>
      <c r="AM42" s="123">
        <f>MAX(AM38:AM41)+1</f>
        <v>12</v>
      </c>
      <c r="AN42" s="123">
        <f>MAX(AN38:AN41)+1</f>
        <v>10</v>
      </c>
      <c r="AO42" s="123">
        <f>MAX(AO38:AO41)+1</f>
        <v>10</v>
      </c>
      <c r="AP42" s="123">
        <f>MAX(AP38:AP41)+1</f>
        <v>90000011.076636508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Brasile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Lun</v>
      </c>
      <c r="C43" s="18" t="str" cm="1">
        <f t="array" ref="C43">INDEX(T,24+MONTH(R43),lang) &amp; " " &amp; DAY(R43) &amp; ", " &amp; YEAR(R43)</f>
        <v>Giu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1</v>
      </c>
      <c r="H43" s="80" t="str">
        <f>AE51</f>
        <v>Capo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Capo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Svezia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Lug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Dom</v>
      </c>
      <c r="C44" s="18" t="str" cm="1">
        <f t="array" ref="C44">INDEX(T,24+MONTH(R44),lang) &amp; " " &amp; DAY(R44) &amp; ", " &amp; YEAR(R44)</f>
        <v>Giu 21, 2026</v>
      </c>
      <c r="D44" s="120">
        <f t="shared" si="7"/>
        <v>0.75</v>
      </c>
      <c r="E44" s="78" t="str">
        <f>AE50</f>
        <v>Spagna</v>
      </c>
      <c r="F44" s="19">
        <v>5</v>
      </c>
      <c r="G44" s="20">
        <v>0</v>
      </c>
      <c r="H44" s="80" t="str">
        <f>AE52</f>
        <v>Arabia Saudita</v>
      </c>
      <c r="J44" s="38" t="str" cm="1">
        <f t="array" ref="J44">INDEX(T,9,lang) &amp; " " &amp; "G"</f>
        <v>Gruppo G</v>
      </c>
      <c r="K44" s="94" t="str" cm="1">
        <f t="array" ref="K44">INDEX(T,10,lang)</f>
        <v>G</v>
      </c>
      <c r="L44" s="94" t="str" cm="1">
        <f t="array" ref="L44">INDEX(T,11,lang)</f>
        <v>V</v>
      </c>
      <c r="M44" s="94" t="str" cm="1">
        <f t="array" ref="M44">INDEX(T,12,lang)</f>
        <v>P</v>
      </c>
      <c r="N44" s="94" t="str" cm="1">
        <f t="array" ref="N44">INDEX(T,13,lang)</f>
        <v>S</v>
      </c>
      <c r="O44" s="94" t="str" cm="1">
        <f t="array" ref="O44">INDEX(T,14,lang)</f>
        <v>GF - GS</v>
      </c>
      <c r="P44" s="95" t="str" cm="1">
        <f t="array" ref="P44">INDEX(T,15,lang)</f>
        <v>Punti</v>
      </c>
      <c r="R44" s="123">
        <f>DATE(2026,6,21)+TIME(5,0,0)+gmt_delta</f>
        <v>46194.75</v>
      </c>
      <c r="S44" s="127" t="str">
        <f t="shared" si="1"/>
        <v>Spagna_win</v>
      </c>
      <c r="T44" s="127" t="str">
        <f t="shared" si="2"/>
        <v>Arabia Saudita_lose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Belgio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10</v>
      </c>
      <c r="AJ44" s="123">
        <f>SUMIF($E$7:$E$78,$AE44,$G$7:$G$78) + SUMIF($H$7:$H$78,$AE44,$F$7:$F$78)</f>
        <v>2</v>
      </c>
      <c r="AL44" s="123">
        <f>AI44-AJ44</f>
        <v>8</v>
      </c>
      <c r="AM44" s="123">
        <f>AL44-AL48</f>
        <v>13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90000010.195672542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Belgio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Brasile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33" t="str" cm="1">
        <f t="array" ref="CM44">INDEX(T,7,lang)</f>
        <v>Finale 3°- 4° posto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Dom</v>
      </c>
      <c r="C45" s="18" t="str" cm="1">
        <f t="array" ref="C45">INDEX(T,24+MONTH(R45),lang) &amp; " " &amp; DAY(R45) &amp; ", " &amp; YEAR(R45)</f>
        <v>Giu 21, 2026</v>
      </c>
      <c r="D45" s="120">
        <f t="shared" si="7"/>
        <v>0.875</v>
      </c>
      <c r="E45" s="78" t="str">
        <f>AE44</f>
        <v>Belgio</v>
      </c>
      <c r="F45" s="19">
        <v>4</v>
      </c>
      <c r="G45" s="20">
        <v>1</v>
      </c>
      <c r="H45" s="80" t="str">
        <f>AE46</f>
        <v>Iran</v>
      </c>
      <c r="J45" s="30" t="str">
        <f>VLOOKUP(1,AD44:AN47,2,FALSE)</f>
        <v>Belgio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10 - 2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Belgio_win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Egitto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5</v>
      </c>
      <c r="AL45" s="123">
        <f>AI45-AJ45</f>
        <v>1</v>
      </c>
      <c r="AM45" s="123">
        <f>AL45-AL48</f>
        <v>6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60000004.831950448</v>
      </c>
      <c r="AQ45" s="126">
        <f>VLOOKUP(AE45,db_fifarank,2,FALSE)</f>
        <v>1563.24</v>
      </c>
      <c r="AR45" s="125">
        <f>AP45/AP48</f>
        <v>0.66666663742410093</v>
      </c>
      <c r="AS45" s="125" t="str">
        <f>IF(SUM(AF44:AH47)=12,J46,"2G")</f>
        <v>Egitto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Giu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Norvegia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Lun</v>
      </c>
      <c r="C46" s="18" t="str" cm="1">
        <f t="array" ref="C46">INDEX(T,24+MONTH(R46),lang) &amp; " " &amp; DAY(R46) &amp; ", " &amp; YEAR(R46)</f>
        <v>Giu 22, 2026</v>
      </c>
      <c r="D46" s="120">
        <f t="shared" si="7"/>
        <v>0.125</v>
      </c>
      <c r="E46" s="78" t="str">
        <f>AE47</f>
        <v>Nuova Zelanda</v>
      </c>
      <c r="F46" s="19">
        <v>1</v>
      </c>
      <c r="G46" s="20">
        <v>3</v>
      </c>
      <c r="H46" s="80" t="str">
        <f>AE45</f>
        <v>Egitto</v>
      </c>
      <c r="J46" s="33" t="str">
        <f>VLOOKUP(2,AD44:AN47,2,FALSE)</f>
        <v>Egitto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6 - 5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Nuova Zelanda_lose</v>
      </c>
      <c r="T46" s="127" t="str">
        <f t="shared" si="2"/>
        <v>Egitto_win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7</v>
      </c>
      <c r="AL46" s="123">
        <f>AI46-AJ46</f>
        <v>-4</v>
      </c>
      <c r="AM46" s="123">
        <f>AL46-AL48</f>
        <v>1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19805924.288791511</v>
      </c>
      <c r="AQ46" s="126">
        <f>VLOOKUP(AE46,db_fifarank,2,FALSE)</f>
        <v>1615.3</v>
      </c>
      <c r="AR46" s="125">
        <f>AP46/AP48</f>
        <v>0.2200657980556322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Mar</v>
      </c>
      <c r="C47" s="18" t="str" cm="1">
        <f t="array" ref="C47">INDEX(T,24+MONTH(R47),lang) &amp; " " &amp; DAY(R47) &amp; ", " &amp; YEAR(R47)</f>
        <v>Giu 23, 2026</v>
      </c>
      <c r="D47" s="120">
        <f t="shared" si="7"/>
        <v>8.3333333333333329E-2</v>
      </c>
      <c r="E47" s="78" t="str">
        <f>AE59</f>
        <v>Norvegia</v>
      </c>
      <c r="F47" s="19">
        <v>3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3 - 7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Norvegia_win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Nuova Zelanda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7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19805923.483429842</v>
      </c>
      <c r="AQ47" s="126">
        <f>VLOOKUP(AE47,db_fifarank,2,FALSE)</f>
        <v>1281.57</v>
      </c>
      <c r="AR47" s="125">
        <f>AP47/AP48</f>
        <v>0.22006578910717031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Norvegia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Lug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Lug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Lun</v>
      </c>
      <c r="C48" s="18" t="str" cm="1">
        <f t="array" ref="C48">INDEX(T,24+MONTH(R48),lang) &amp; " " &amp; DAY(R48) &amp; ", " &amp; YEAR(R48)</f>
        <v>Giu 22, 2026</v>
      </c>
      <c r="D48" s="120">
        <f t="shared" si="7"/>
        <v>0.91666666666666663</v>
      </c>
      <c r="E48" s="78" t="str">
        <f>AE56</f>
        <v>Francia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Nuova Zelanda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2 - 7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Francia_win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11</v>
      </c>
      <c r="AL48" s="123">
        <f>MIN(AL44:AL47)</f>
        <v>-5</v>
      </c>
      <c r="AM48" s="123">
        <f>MAX(AM44:AM47)+1</f>
        <v>14</v>
      </c>
      <c r="AN48" s="123">
        <f>MAX(AN44:AN47)+1</f>
        <v>10</v>
      </c>
      <c r="AO48" s="123">
        <f>MAX(AO44:AO47)+1</f>
        <v>10</v>
      </c>
      <c r="AP48" s="123">
        <f>MAX(AP44:AP47)+1</f>
        <v>90000011.195672542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Brasile</v>
      </c>
      <c r="CA48" s="61">
        <v>0</v>
      </c>
      <c r="CB48" s="63">
        <v>0</v>
      </c>
      <c r="CC48" s="25">
        <v>1</v>
      </c>
      <c r="CD48" s="112">
        <f>IF(OR(CA48="",CA49="",AND(CB48="",CB49&lt;&gt;""),AND(CB49="",CB48&lt;&gt;""),AND(CC48="",CC49&lt;&gt;""),AND(CC49="",CC48&lt;&gt;"")),"",CA48*1000+CB48*10+CC48)</f>
        <v>1</v>
      </c>
      <c r="CK48" s="114"/>
      <c r="CL48" s="112"/>
      <c r="CM48" s="131">
        <v>103</v>
      </c>
      <c r="CN48" s="24" t="str">
        <f>IF(CK23&gt;CK24,CG24,IF(CK23&lt;CK24,CG23,""))</f>
        <v>Francia</v>
      </c>
      <c r="CO48" s="61">
        <v>1</v>
      </c>
      <c r="CP48" s="63">
        <v>2</v>
      </c>
      <c r="CQ48" s="25"/>
      <c r="CR48" s="111">
        <f>IF(OR(CO48="",CO49="",AND(CP48="",CP49&lt;&gt;""),AND(CP49="",CP48&lt;&gt;""),AND(CQ48="",CQ49&lt;&gt;""),AND(CQ49="",CQ48&lt;&gt;"")),"",CO48*1000+CP48*10+CQ48)</f>
        <v>1020</v>
      </c>
    </row>
    <row r="49" spans="1:96" x14ac:dyDescent="0.25">
      <c r="A49" s="16">
        <v>43</v>
      </c>
      <c r="B49" s="17" t="str" cm="1">
        <f t="array" ref="B49">INDEX(T,18+INT(MOD(R49-1,7)),lang)</f>
        <v>Lun</v>
      </c>
      <c r="C49" s="18" t="str" cm="1">
        <f t="array" ref="C49">INDEX(T,24+MONTH(R49),lang) &amp; " " &amp; DAY(R49) &amp; ", " &amp; YEAR(R49)</f>
        <v>Giu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Lug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Inghilterra</v>
      </c>
      <c r="CA49" s="62">
        <v>0</v>
      </c>
      <c r="CB49" s="64">
        <v>0</v>
      </c>
      <c r="CC49" s="27">
        <v>0</v>
      </c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Portogallo</v>
      </c>
      <c r="CO49" s="62">
        <v>1</v>
      </c>
      <c r="CP49" s="64">
        <v>1</v>
      </c>
      <c r="CQ49" s="27"/>
      <c r="CR49" s="111">
        <f>IF(CR48="","",CO49*1000+CP49*10+CQ49)</f>
        <v>1010</v>
      </c>
    </row>
    <row r="50" spans="1:96" x14ac:dyDescent="0.25">
      <c r="A50" s="16">
        <v>44</v>
      </c>
      <c r="B50" s="17" t="str" cm="1">
        <f t="array" ref="B50">INDEX(T,18+INT(MOD(R50-1,7)),lang)</f>
        <v>Mar</v>
      </c>
      <c r="C50" s="18" t="str" cm="1">
        <f t="array" ref="C50">INDEX(T,24+MONTH(R50),lang) &amp; " " &amp; DAY(R50) &amp; ", " &amp; YEAR(R50)</f>
        <v>Giu 23, 2026</v>
      </c>
      <c r="D50" s="120">
        <f t="shared" si="7"/>
        <v>0.20833333333333334</v>
      </c>
      <c r="E50" s="78" t="str">
        <f>AE65</f>
        <v>Giordania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Gruppo H</v>
      </c>
      <c r="K50" s="94" t="str" cm="1">
        <f t="array" ref="K50">INDEX(T,10,lang)</f>
        <v>G</v>
      </c>
      <c r="L50" s="94" t="str" cm="1">
        <f t="array" ref="L50">INDEX(T,11,lang)</f>
        <v>V</v>
      </c>
      <c r="M50" s="94" t="str" cm="1">
        <f t="array" ref="M50">INDEX(T,12,lang)</f>
        <v>P</v>
      </c>
      <c r="N50" s="94" t="str" cm="1">
        <f t="array" ref="N50">INDEX(T,13,lang)</f>
        <v>S</v>
      </c>
      <c r="O50" s="94" t="str" cm="1">
        <f t="array" ref="O50">INDEX(T,14,lang)</f>
        <v>GF - GS</v>
      </c>
      <c r="P50" s="95" t="str" cm="1">
        <f t="array" ref="P50">INDEX(T,15,lang)</f>
        <v>Punti</v>
      </c>
      <c r="R50" s="123">
        <f>DATE(2026,6,22)+TIME(16,0,0)+gmt_delta</f>
        <v>46196.208333333328</v>
      </c>
      <c r="S50" s="127" t="str">
        <f t="shared" si="19"/>
        <v>Giordania_lose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Spagna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0</v>
      </c>
      <c r="AL50" s="123">
        <f>AI50-AJ50</f>
        <v>11</v>
      </c>
      <c r="AM50" s="123">
        <f>AL50-AL54</f>
        <v>18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90000010.391289085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Spagna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Corea del Sud</v>
      </c>
      <c r="BM50" s="61">
        <v>2</v>
      </c>
      <c r="BN50" s="63">
        <v>3</v>
      </c>
      <c r="BO50" s="25"/>
      <c r="BP50" s="112">
        <f>IF(OR(BM50="",BM51="",AND(BN50="",BN51&lt;&gt;""),AND(BN51="",BN50&lt;&gt;""),AND(BO50="",BO51&lt;&gt;""),AND(BO51="",BO50&lt;&gt;"")),"",BM50*1000+BN50*10+BO50)</f>
        <v>2030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Mar</v>
      </c>
      <c r="C51" s="18" t="str" cm="1">
        <f t="array" ref="C51">INDEX(T,24+MONTH(R51),lang) &amp; " " &amp; DAY(R51) &amp; ", " &amp; YEAR(R51)</f>
        <v>Giu 23, 2026</v>
      </c>
      <c r="D51" s="120">
        <f t="shared" si="7"/>
        <v>0.91666666666666663</v>
      </c>
      <c r="E51" s="78" t="str">
        <f>AE74</f>
        <v>Inghilterra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Spagna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11 - 0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Inghilterra_win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Capo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7</v>
      </c>
      <c r="AL51" s="123">
        <f>AI51-AJ51</f>
        <v>-5</v>
      </c>
      <c r="AM51" s="123">
        <f>AL51-AL54</f>
        <v>2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30000001.219981313</v>
      </c>
      <c r="AQ51" s="126">
        <f>VLOOKUP(AE51,db_fifarank,2,FALSE)</f>
        <v>1366.13</v>
      </c>
      <c r="AR51" s="125">
        <f>AP51/AP54</f>
        <v>0.3333333046987253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Costa d'Avorio</v>
      </c>
      <c r="BM51" s="62">
        <v>2</v>
      </c>
      <c r="BN51" s="64">
        <v>2</v>
      </c>
      <c r="BO51" s="27"/>
      <c r="BP51" s="113">
        <f>IF(BP50="","",BM51*1000+BN51*10+BO51)</f>
        <v>2020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Lug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Mer</v>
      </c>
      <c r="C52" s="18" t="str" cm="1">
        <f t="array" ref="C52">INDEX(T,24+MONTH(R52),lang) &amp; " " &amp; DAY(R52) &amp; ", " &amp; YEAR(R52)</f>
        <v>Giu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Croazia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Croazia_win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Arabia Saudita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7</v>
      </c>
      <c r="AL52" s="123">
        <f>AI52-AJ52</f>
        <v>-7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7.10715E-4</v>
      </c>
      <c r="AQ52" s="126">
        <f>VLOOKUP(AE52,db_fifarank,2,FALSE)</f>
        <v>1421.43</v>
      </c>
      <c r="AR52" s="125">
        <f>AP52/AP54</f>
        <v>7.8968323338322219E-12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Corea del Sud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Mar</v>
      </c>
      <c r="C53" s="18" t="str" cm="1">
        <f t="array" ref="C53">INDEX(T,24+MONTH(R53),lang) &amp; " " &amp; DAY(R53) &amp; ", " &amp; YEAR(R53)</f>
        <v>Giu 23, 2026</v>
      </c>
      <c r="D53" s="120">
        <f t="shared" si="7"/>
        <v>0.79166666666666663</v>
      </c>
      <c r="E53" s="78" t="str">
        <f>AE68</f>
        <v>Portogallo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Capo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2 - 7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Portogallo_win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3</v>
      </c>
      <c r="AL53" s="123">
        <f>AI53-AJ53</f>
        <v>1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60000004.544696189</v>
      </c>
      <c r="AQ53" s="126">
        <f>VLOOKUP(AE53,db_fifarank,2,FALSE)</f>
        <v>1673.07</v>
      </c>
      <c r="AR53" s="125">
        <f>AP53/AP54</f>
        <v>0.66666663278337612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Lug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Inghilterra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Mer</v>
      </c>
      <c r="C54" s="18" t="str" cm="1">
        <f t="array" ref="C54">INDEX(T,24+MONTH(R54),lang) &amp; " " &amp; DAY(R54) &amp; ", " &amp; YEAR(R54)</f>
        <v>Giu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0</v>
      </c>
      <c r="H54" s="80" t="str">
        <f>AE69</f>
        <v>RD Congo</v>
      </c>
      <c r="J54" s="35" t="str">
        <f>VLOOKUP(4,AD50:AN53,2,FALSE)</f>
        <v>Arabia Saudita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RD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12</v>
      </c>
      <c r="AL54" s="123">
        <f>MIN(AL50:AL53)</f>
        <v>-7</v>
      </c>
      <c r="AM54" s="123">
        <f>MAX(AM50:AM53)+1</f>
        <v>19</v>
      </c>
      <c r="AN54" s="123">
        <f>MAX(AN50:AN53)+1</f>
        <v>10</v>
      </c>
      <c r="AO54" s="123">
        <f>MAX(AO50:AO53)+1</f>
        <v>10</v>
      </c>
      <c r="AP54" s="123">
        <f>MAX(AP50:AP53)+1</f>
        <v>90000011.391289085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Inghilterra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Lug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Gio</v>
      </c>
      <c r="C55" s="18" t="str" cm="1">
        <f t="array" ref="C55">INDEX(T,24+MONTH(R55),lang) &amp; " " &amp; DAY(R55) &amp; ", " &amp; YEAR(R55)</f>
        <v>Giu 25, 2026</v>
      </c>
      <c r="D55" s="120">
        <f t="shared" si="7"/>
        <v>0</v>
      </c>
      <c r="E55" s="78" t="str">
        <f>AE23</f>
        <v>Scozia</v>
      </c>
      <c r="F55" s="19">
        <v>0</v>
      </c>
      <c r="G55" s="20">
        <v>2</v>
      </c>
      <c r="H55" s="80" t="str">
        <f>AE20</f>
        <v>Brasile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Scozia_lose</v>
      </c>
      <c r="T55" s="127" t="str">
        <f t="shared" si="20"/>
        <v>Brasile_win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Brasile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Gio</v>
      </c>
      <c r="C56" s="18" t="str" cm="1">
        <f t="array" ref="C56">INDEX(T,24+MONTH(R56),lang) &amp; " " &amp; DAY(R56) &amp; ", " &amp; YEAR(R56)</f>
        <v>Giu 25, 2026</v>
      </c>
      <c r="D56" s="120">
        <f t="shared" si="7"/>
        <v>0</v>
      </c>
      <c r="E56" s="78" t="str">
        <f>AE21</f>
        <v>Marocco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Gruppo I</v>
      </c>
      <c r="K56" s="94" t="str" cm="1">
        <f t="array" ref="K56">INDEX(T,10,lang)</f>
        <v>G</v>
      </c>
      <c r="L56" s="94" t="str" cm="1">
        <f t="array" ref="L56">INDEX(T,11,lang)</f>
        <v>V</v>
      </c>
      <c r="M56" s="94" t="str" cm="1">
        <f t="array" ref="M56">INDEX(T,12,lang)</f>
        <v>P</v>
      </c>
      <c r="N56" s="94" t="str" cm="1">
        <f t="array" ref="N56">INDEX(T,13,lang)</f>
        <v>S</v>
      </c>
      <c r="O56" s="94" t="str" cm="1">
        <f t="array" ref="O56">INDEX(T,14,lang)</f>
        <v>GF - GS</v>
      </c>
      <c r="P56" s="95" t="str" cm="1">
        <f t="array" ref="P56">INDEX(T,15,lang)</f>
        <v>Punti</v>
      </c>
      <c r="R56" s="123">
        <f>DATE(2026,6,24)+TIME(11,0,0)+gmt_delta</f>
        <v>46198</v>
      </c>
      <c r="S56" s="127" t="str">
        <f t="shared" si="19"/>
        <v>Marocco_win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Francia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10</v>
      </c>
      <c r="AJ56" s="123">
        <f>SUMIF($E$7:$E$78,$AE56,$G$7:$G$78) + SUMIF($H$7:$H$78,$AE56,$F$7:$F$78)</f>
        <v>1</v>
      </c>
      <c r="AL56" s="123">
        <f>AI56-AJ56</f>
        <v>9</v>
      </c>
      <c r="AM56" s="123">
        <f>AL56-AL60</f>
        <v>22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90000010.475246951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Francia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Portogallo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Mer</v>
      </c>
      <c r="C57" s="18" t="str" cm="1">
        <f t="array" ref="C57">INDEX(T,24+MONTH(R57),lang) &amp; " " &amp; DAY(R57) &amp; ", " &amp; YEAR(R57)</f>
        <v>Giu 24, 2026</v>
      </c>
      <c r="D57" s="120">
        <f t="shared" si="7"/>
        <v>0.875</v>
      </c>
      <c r="E57" s="78" t="str">
        <f>AE17</f>
        <v>Svizzera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Francia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10 - 1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Svizzera_draw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5</v>
      </c>
      <c r="AL57" s="123">
        <f>AI57-AJ57</f>
        <v>-1</v>
      </c>
      <c r="AM57" s="123">
        <f>AL57-AL60</f>
        <v>12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30000005.581872161</v>
      </c>
      <c r="AQ57" s="126">
        <f>VLOOKUP(AE57,db_fifarank,2,FALSE)</f>
        <v>1688.99</v>
      </c>
      <c r="AR57" s="125">
        <f>AP57/AP60</f>
        <v>0.33333335285321802</v>
      </c>
      <c r="AS57" s="125" t="str">
        <f>IF(SUM(AF56:AH59)=12,J58,"2I")</f>
        <v>Norvegia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Lug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Mer</v>
      </c>
      <c r="C58" s="18" t="str" cm="1">
        <f t="array" ref="C58">INDEX(T,24+MONTH(R58),lang) &amp; " " &amp; DAY(R58) &amp; ", " &amp; YEAR(R58)</f>
        <v>Giu 24, 2026</v>
      </c>
      <c r="D58" s="120">
        <f t="shared" si="7"/>
        <v>0.875</v>
      </c>
      <c r="E58" s="78" t="str">
        <f>AE15</f>
        <v>Bosnia ed Erzegovina</v>
      </c>
      <c r="F58" s="19">
        <v>3</v>
      </c>
      <c r="G58" s="20">
        <v>1</v>
      </c>
      <c r="H58" s="80" t="str">
        <f>AE16</f>
        <v>Qatar</v>
      </c>
      <c r="I58" s="69"/>
      <c r="J58" s="33" t="str">
        <f>VLOOKUP(2,AD56:AN59,2,FALSE)</f>
        <v>Norvegia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9 - 4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ed 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13</v>
      </c>
      <c r="AL58" s="123">
        <f>AI58-AJ58</f>
        <v>-13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8.0396656415872385E-12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Gio</v>
      </c>
      <c r="C59" s="18" t="str" cm="1">
        <f t="array" ref="C59">INDEX(T,24+MONTH(R59),lang) &amp; " " &amp; DAY(R59) &amp; ", " &amp; YEAR(R59)</f>
        <v>Giu 25, 2026</v>
      </c>
      <c r="D59" s="120">
        <f t="shared" si="7"/>
        <v>0.125</v>
      </c>
      <c r="E59" s="78" t="str">
        <f>AE11</f>
        <v>Repubblica Ceca</v>
      </c>
      <c r="F59" s="19">
        <v>0</v>
      </c>
      <c r="G59" s="20">
        <v>0</v>
      </c>
      <c r="H59" s="80" t="str">
        <f>AE8</f>
        <v>Messico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Repubblica Ceca_draw</v>
      </c>
      <c r="T59" s="127" t="str">
        <f t="shared" si="20"/>
        <v>Messico_draw</v>
      </c>
      <c r="U59" s="123">
        <f t="shared" si="8"/>
        <v>1</v>
      </c>
      <c r="V59" s="123">
        <f t="shared" si="21"/>
        <v>0</v>
      </c>
      <c r="W59" s="123">
        <f t="shared" si="22"/>
        <v>0</v>
      </c>
      <c r="X59" s="123">
        <f t="shared" si="9"/>
        <v>1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Norvegia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9</v>
      </c>
      <c r="AJ59" s="123">
        <f>SUMIF($E$7:$E$78,$AE59,$G$7:$G$78) + SUMIF($H$7:$H$78,$AE59,$F$7:$F$78)</f>
        <v>4</v>
      </c>
      <c r="AL59" s="123">
        <f>AI59-AJ59</f>
        <v>5</v>
      </c>
      <c r="AM59" s="123">
        <f>AL59-AL60</f>
        <v>18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60000008.645044245</v>
      </c>
      <c r="AQ59" s="126">
        <f>VLOOKUP(AE59,db_fifarank,2,FALSE)</f>
        <v>1550.94</v>
      </c>
      <c r="AR59" s="125">
        <f>AP59/AP60</f>
        <v>0.66666667772088317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Lug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Gio</v>
      </c>
      <c r="C60" s="18" t="str" cm="1">
        <f t="array" ref="C60">INDEX(T,24+MONTH(R60),lang) &amp; " " &amp; DAY(R60) &amp; ", " &amp; YEAR(R60)</f>
        <v>Giu 25, 2026</v>
      </c>
      <c r="D60" s="120">
        <f t="shared" si="7"/>
        <v>0.125</v>
      </c>
      <c r="E60" s="78" t="str">
        <f>AE9</f>
        <v>Sudafrica</v>
      </c>
      <c r="F60" s="19">
        <v>1</v>
      </c>
      <c r="G60" s="20">
        <v>2</v>
      </c>
      <c r="H60" s="80" t="str">
        <f>AE10</f>
        <v>Corea del Sud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0 - 13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Sudafrica_lose</v>
      </c>
      <c r="T60" s="127" t="str">
        <f t="shared" si="20"/>
        <v>Corea del Sud_win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11</v>
      </c>
      <c r="AL60" s="123">
        <f>MIN(AL56:AL59)</f>
        <v>-13</v>
      </c>
      <c r="AM60" s="123">
        <f>MAX(AM56:AM59)+1</f>
        <v>23</v>
      </c>
      <c r="AN60" s="123">
        <f>MAX(AN56:AN59)+1</f>
        <v>10</v>
      </c>
      <c r="AO60" s="123">
        <f>MAX(AO56:AO59)+1</f>
        <v>10</v>
      </c>
      <c r="AP60" s="123">
        <f>MAX(AP56:AP59)+1</f>
        <v>90000011.475246951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Gio</v>
      </c>
      <c r="C61" s="18" t="str" cm="1">
        <f t="array" ref="C61">INDEX(T,24+MONTH(R61),lang) &amp; " " &amp; DAY(R61) &amp; ", " &amp; YEAR(R61)</f>
        <v>Giu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3</v>
      </c>
      <c r="H61" s="80" t="str">
        <f>AE34</f>
        <v>Costa d'Avorio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Costa d'Avorio_win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Lug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Stati Uniti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Gio</v>
      </c>
      <c r="C62" s="18" t="str" cm="1">
        <f t="array" ref="C62">INDEX(T,24+MONTH(R62),lang) &amp; " " &amp; DAY(R62) &amp; ", " &amp; YEAR(R62)</f>
        <v>Giu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Germania</v>
      </c>
      <c r="I62" s="69"/>
      <c r="J62" s="38" t="str" cm="1">
        <f t="array" ref="J62">INDEX(T,9,lang) &amp; " " &amp; "J"</f>
        <v>Gruppo J</v>
      </c>
      <c r="K62" s="94" t="str" cm="1">
        <f t="array" ref="K62">INDEX(T,10,lang)</f>
        <v>G</v>
      </c>
      <c r="L62" s="94" t="str" cm="1">
        <f t="array" ref="L62">INDEX(T,11,lang)</f>
        <v>V</v>
      </c>
      <c r="M62" s="94" t="str" cm="1">
        <f t="array" ref="M62">INDEX(T,12,lang)</f>
        <v>P</v>
      </c>
      <c r="N62" s="94" t="str" cm="1">
        <f t="array" ref="N62">INDEX(T,13,lang)</f>
        <v>S</v>
      </c>
      <c r="O62" s="94" t="str" cm="1">
        <f t="array" ref="O62">INDEX(T,14,lang)</f>
        <v>GF - GS</v>
      </c>
      <c r="P62" s="95" t="str" cm="1">
        <f t="array" ref="P62">INDEX(T,15,lang)</f>
        <v>Punti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Germania_win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11</v>
      </c>
      <c r="AJ62" s="123">
        <f>SUMIF($E$7:$E$78,$AE62,$G$7:$G$78) + SUMIF($H$7:$H$78,$AE62,$F$7:$F$78)</f>
        <v>1</v>
      </c>
      <c r="AL62" s="123">
        <f>AI62-AJ62</f>
        <v>10</v>
      </c>
      <c r="AM62" s="123">
        <f>AL62-AL66</f>
        <v>20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90000010.441413611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Stati Uniti</v>
      </c>
      <c r="BM62" s="61">
        <v>1</v>
      </c>
      <c r="BN62" s="63">
        <v>1</v>
      </c>
      <c r="BO62" s="25">
        <v>2</v>
      </c>
      <c r="BP62" s="116">
        <f>IF(OR(BM62="",BM63="",AND(BN62="",BN63&lt;&gt;""),AND(BN63="",BN62&lt;&gt;""),AND(BO62="",BO63&lt;&gt;""),AND(BO63="",BO62&lt;&gt;"")),"",BM62*1000+BN62*10+BO62)</f>
        <v>1012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Ven</v>
      </c>
      <c r="C63" s="18" t="str" cm="1">
        <f t="array" ref="C63">INDEX(T,24+MONTH(R63),lang) &amp; " " &amp; DAY(R63) &amp; ", " &amp; YEAR(R63)</f>
        <v>Giu 26, 2026</v>
      </c>
      <c r="D63" s="120">
        <f t="shared" si="7"/>
        <v>4.1666666666666664E-2</v>
      </c>
      <c r="E63" s="78" t="str">
        <f>AE39</f>
        <v>Giappone</v>
      </c>
      <c r="F63" s="19">
        <v>1</v>
      </c>
      <c r="G63" s="20">
        <v>1</v>
      </c>
      <c r="H63" s="80" t="str">
        <f>AE40</f>
        <v>Svezia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11 - 1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Giappone_draw</v>
      </c>
      <c r="T63" s="127" t="str">
        <f t="shared" si="20"/>
        <v>Svezia_draw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5</v>
      </c>
      <c r="AL63" s="123">
        <f>AI63-AJ63</f>
        <v>-1</v>
      </c>
      <c r="AM63" s="123">
        <f>AL63-AL66</f>
        <v>9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49805927.920800619</v>
      </c>
      <c r="AQ63" s="126">
        <f>VLOOKUP(AE63,db_fifarank,2,FALSE)</f>
        <v>1564.26</v>
      </c>
      <c r="AR63" s="125">
        <f>AP63/AP66</f>
        <v>0.55339912876813657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Egitto</v>
      </c>
      <c r="BM63" s="62">
        <v>1</v>
      </c>
      <c r="BN63" s="64">
        <v>1</v>
      </c>
      <c r="BO63" s="27">
        <v>1</v>
      </c>
      <c r="BP63" s="112">
        <f>IF(BP62="","",BM63*1000+BN63*10+BO63)</f>
        <v>1011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Lug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Ven</v>
      </c>
      <c r="C64" s="18" t="str" cm="1">
        <f t="array" ref="C64">INDEX(T,24+MONTH(R64),lang) &amp; " " &amp; DAY(R64) &amp; ", " &amp; YEAR(R64)</f>
        <v>Giu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4</v>
      </c>
      <c r="H64" s="80" t="str">
        <f>AE38</f>
        <v>Olanda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Olanda_win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11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49805928.87319617</v>
      </c>
      <c r="AQ64" s="126">
        <f>VLOOKUP(AE64,db_fifarank,2,FALSE)</f>
        <v>1593.45</v>
      </c>
      <c r="AR64" s="125">
        <f>AP64/AP66</f>
        <v>0.55339913935030804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>
        <v>1</v>
      </c>
      <c r="CC64" s="25"/>
      <c r="CD64" s="116">
        <f>IF(OR(CA64="",CA65="",AND(CB64="",CB65&lt;&gt;""),AND(CB65="",CB64&lt;&gt;""),AND(CC64="",CC65&lt;&gt;""),AND(CC65="",CC64&lt;&gt;"")),"",CA64*1000+CB64*10+CC64)</f>
        <v>1010</v>
      </c>
    </row>
    <row r="65" spans="1:95" x14ac:dyDescent="0.25">
      <c r="A65" s="16">
        <v>59</v>
      </c>
      <c r="B65" s="17" t="str" cm="1">
        <f t="array" ref="B65">INDEX(T,18+INT(MOD(R65-1,7)),lang)</f>
        <v>Ven</v>
      </c>
      <c r="C65" s="18" t="str" cm="1">
        <f t="array" ref="C65">INDEX(T,24+MONTH(R65),lang) &amp; " " &amp; DAY(R65) &amp; ", " &amp; YEAR(R65)</f>
        <v>Giu 26, 2026</v>
      </c>
      <c r="D65" s="120">
        <f t="shared" si="7"/>
        <v>0.16666666666666666</v>
      </c>
      <c r="E65" s="78" t="str">
        <f>AE29</f>
        <v>Turchia</v>
      </c>
      <c r="F65" s="19">
        <v>2</v>
      </c>
      <c r="G65" s="20">
        <v>1</v>
      </c>
      <c r="H65" s="80" t="str">
        <f>AE26</f>
        <v>Stati Uniti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4 - 5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Turchia_win</v>
      </c>
      <c r="T65" s="127" t="str">
        <f t="shared" si="20"/>
        <v>Stati Uniti_lose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Giordania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10</v>
      </c>
      <c r="AL65" s="123">
        <f>AI65-AJ65</f>
        <v>-10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7.7302767950522872E-12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Lug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Portogallo</v>
      </c>
      <c r="CA65" s="62">
        <v>1</v>
      </c>
      <c r="CB65" s="64">
        <v>2</v>
      </c>
      <c r="CC65" s="27"/>
      <c r="CD65" s="112">
        <f>IF(CD64="","",CA65*1000+CB65*10+CC65)</f>
        <v>1020</v>
      </c>
    </row>
    <row r="66" spans="1:95" x14ac:dyDescent="0.25">
      <c r="A66" s="16">
        <v>60</v>
      </c>
      <c r="B66" s="17" t="str" cm="1">
        <f t="array" ref="B66">INDEX(T,18+INT(MOD(R66-1,7)),lang)</f>
        <v>Ven</v>
      </c>
      <c r="C66" s="18" t="str" cm="1">
        <f t="array" ref="C66">INDEX(T,24+MONTH(R66),lang) &amp; " " &amp; DAY(R66) &amp; ", " &amp; YEAR(R66)</f>
        <v>Giu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Giordania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0 - 10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12</v>
      </c>
      <c r="AL66" s="123">
        <f>MIN(AL62:AL65)</f>
        <v>-10</v>
      </c>
      <c r="AM66" s="123">
        <f>MAX(AM62:AM65)+1</f>
        <v>21</v>
      </c>
      <c r="AN66" s="123">
        <f>MAX(AN62:AN65)+1</f>
        <v>10</v>
      </c>
      <c r="AO66" s="123">
        <f>MAX(AO62:AO65)+1</f>
        <v>10</v>
      </c>
      <c r="AP66" s="123">
        <f>MAX(AP62:AP65)+1</f>
        <v>90000011.441413611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Svizzera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Ven</v>
      </c>
      <c r="C67" s="18" t="str" cm="1">
        <f t="array" ref="C67">INDEX(T,24+MONTH(R67),lang) &amp; " " &amp; DAY(R67) &amp; ", " &amp; YEAR(R67)</f>
        <v>Giu 26, 2026</v>
      </c>
      <c r="D67" s="120">
        <f t="shared" si="7"/>
        <v>0.875</v>
      </c>
      <c r="E67" s="78" t="str">
        <f>AE59</f>
        <v>Norvegia</v>
      </c>
      <c r="F67" s="19">
        <v>1</v>
      </c>
      <c r="G67" s="20">
        <v>3</v>
      </c>
      <c r="H67" s="80" t="str">
        <f>AE56</f>
        <v>Francia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Norvegia_lose</v>
      </c>
      <c r="T67" s="127" t="str">
        <f t="shared" si="20"/>
        <v>Francia_win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Lug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Ven</v>
      </c>
      <c r="C68" s="18" t="str" cm="1">
        <f t="array" ref="C68">INDEX(T,24+MONTH(R68),lang) &amp; " " &amp; DAY(R68) &amp; ", " &amp; YEAR(R68)</f>
        <v>Giu 26, 2026</v>
      </c>
      <c r="D68" s="120">
        <f t="shared" si="7"/>
        <v>0.875</v>
      </c>
      <c r="E68" s="78" t="str">
        <f>AE57</f>
        <v>Senegal</v>
      </c>
      <c r="F68" s="19">
        <v>3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Gruppo K</v>
      </c>
      <c r="K68" s="94" t="str" cm="1">
        <f t="array" ref="K68">INDEX(T,10,lang)</f>
        <v>G</v>
      </c>
      <c r="L68" s="94" t="str" cm="1">
        <f t="array" ref="L68">INDEX(T,11,lang)</f>
        <v>V</v>
      </c>
      <c r="M68" s="94" t="str" cm="1">
        <f t="array" ref="M68">INDEX(T,12,lang)</f>
        <v>P</v>
      </c>
      <c r="N68" s="94" t="str" cm="1">
        <f t="array" ref="N68">INDEX(T,13,lang)</f>
        <v>S</v>
      </c>
      <c r="O68" s="94" t="str" cm="1">
        <f t="array" ref="O68">INDEX(T,14,lang)</f>
        <v>GF - GS</v>
      </c>
      <c r="P68" s="95" t="str" cm="1">
        <f t="array" ref="P68">INDEX(T,15,lang)</f>
        <v>Punti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Portogallo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1</v>
      </c>
      <c r="AL68" s="123">
        <f>AI68-AJ68</f>
        <v>9</v>
      </c>
      <c r="AM68" s="123">
        <f>AL68-AL72</f>
        <v>17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90000010.354417264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Portogallo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Svizzera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Coppa del Mondo 2026</v>
      </c>
      <c r="CF68" s="163"/>
      <c r="CG68" s="163"/>
      <c r="CH68" s="163"/>
      <c r="CI68" s="163"/>
      <c r="CJ68" s="163"/>
      <c r="CK68" s="153" t="str">
        <f>IF(CR37&gt;CR38,CN37,IF(CR37&lt;CR38,CN38,""))</f>
        <v>Spagna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Sab</v>
      </c>
      <c r="C69" s="18" t="str" cm="1">
        <f t="array" ref="C69">INDEX(T,24+MONTH(R69),lang) &amp; " " &amp; DAY(R69) &amp; ", " &amp; YEAR(R69)</f>
        <v>Giu 27, 2026</v>
      </c>
      <c r="D69" s="120">
        <f t="shared" si="7"/>
        <v>0.20833333333333334</v>
      </c>
      <c r="E69" s="78" t="str">
        <f>AE45</f>
        <v>Egitto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Portogallo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Egitto_win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RD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8</v>
      </c>
      <c r="AL69" s="123">
        <f>AI69-AJ69</f>
        <v>-6</v>
      </c>
      <c r="AM69" s="123">
        <f>AL69-AL72</f>
        <v>2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30000001.293668471</v>
      </c>
      <c r="AQ69" s="126">
        <f>VLOOKUP(AE69,db_fifarank,2,FALSE)</f>
        <v>1478.35</v>
      </c>
      <c r="AR69" s="125">
        <f>AP69/AP72</f>
        <v>0.33333330565403368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Lug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Portogallo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Sab</v>
      </c>
      <c r="C70" s="18" t="str" cm="1">
        <f t="array" ref="C70">INDEX(T,24+MONTH(R70),lang) &amp; " " &amp; DAY(R70) &amp; ", " &amp; YEAR(R70)</f>
        <v>Giu 27, 2026</v>
      </c>
      <c r="D70" s="120">
        <f t="shared" si="7"/>
        <v>0.20833333333333334</v>
      </c>
      <c r="E70" s="78" t="str">
        <f>AE47</f>
        <v>Nuova Zelanda</v>
      </c>
      <c r="F70" s="19">
        <v>0</v>
      </c>
      <c r="G70" s="20">
        <v>3</v>
      </c>
      <c r="H70" s="80" t="str">
        <f>AE44</f>
        <v>Belgio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7 - 2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Nuova Zelanda_lose</v>
      </c>
      <c r="T70" s="127" t="str">
        <f t="shared" si="20"/>
        <v>Belgio_win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9</v>
      </c>
      <c r="AL70" s="123">
        <f>AI70-AJ70</f>
        <v>-8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9.1641760909090916E-2</v>
      </c>
      <c r="AQ70" s="126">
        <f>VLOOKUP(AE70,db_fifarank,2,FALSE)</f>
        <v>1465.34</v>
      </c>
      <c r="AR70" s="125">
        <f>AP70/AP72</f>
        <v>1.0182416594172249E-9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Portogallo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Sab</v>
      </c>
      <c r="C71" s="18" t="str" cm="1">
        <f t="array" ref="C71">INDEX(T,24+MONTH(R71),lang) &amp; " " &amp; DAY(R71) &amp; ", " &amp; YEAR(R71)</f>
        <v>Giu 27, 2026</v>
      </c>
      <c r="D71" s="120">
        <f t="shared" si="7"/>
        <v>8.3333333333333329E-2</v>
      </c>
      <c r="E71" s="78" t="str">
        <f>AE51</f>
        <v>Capo Verde</v>
      </c>
      <c r="F71" s="19">
        <v>1</v>
      </c>
      <c r="G71" s="20">
        <v>0</v>
      </c>
      <c r="H71" s="80" t="str">
        <f>AE52</f>
        <v>Arabia Saudita</v>
      </c>
      <c r="I71" s="69"/>
      <c r="J71" s="33" t="str">
        <f>VLOOKUP(3,AD68:AN71,2,FALSE)</f>
        <v>RD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2 - 8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Capo Verde_win</v>
      </c>
      <c r="T71" s="127" t="str">
        <f t="shared" si="20"/>
        <v>Arabia Saudita_lose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2</v>
      </c>
      <c r="AL71" s="123">
        <f>AI71-AJ71</f>
        <v>5</v>
      </c>
      <c r="AM71" s="123">
        <f>AL71-AL72</f>
        <v>13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60000007.859432399</v>
      </c>
      <c r="AQ71" s="126">
        <f>VLOOKUP(AE71,db_fifarank,2,FALSE)</f>
        <v>1693.09</v>
      </c>
      <c r="AR71" s="125">
        <f>AP71/AP72</f>
        <v>0.66666666988689838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Sab</v>
      </c>
      <c r="C72" s="18" t="str" cm="1">
        <f t="array" ref="C72">INDEX(T,24+MONTH(R72),lang) &amp; " " &amp; DAY(R72) &amp; ", " &amp; YEAR(R72)</f>
        <v>Giu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2</v>
      </c>
      <c r="H72" s="80" t="str">
        <f>AE50</f>
        <v>Spagna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1 - 9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Spagna_win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11</v>
      </c>
      <c r="AL72" s="123">
        <f>MIN(AL68:AL71)</f>
        <v>-8</v>
      </c>
      <c r="AM72" s="123">
        <f>MAX(AM68:AM71)+1</f>
        <v>18</v>
      </c>
      <c r="AN72" s="123">
        <f>MAX(AN68:AN71)+1</f>
        <v>10</v>
      </c>
      <c r="AO72" s="123">
        <f>MAX(AO68:AO71)+1</f>
        <v>10</v>
      </c>
      <c r="AP72" s="123">
        <f>MAX(AP68:AP71)+1</f>
        <v>90000011.354417264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Sab</v>
      </c>
      <c r="C73" s="18" t="str" cm="1">
        <f t="array" ref="C73">INDEX(T,24+MONTH(R73),lang) &amp; " " &amp; DAY(R73) &amp; ", " &amp; YEAR(R73)</f>
        <v>Giu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Inghilterra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Inghilterra_win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Sab</v>
      </c>
      <c r="C74" s="18" t="str" cm="1">
        <f t="array" ref="C74">INDEX(T,24+MONTH(R74),lang) &amp; " " &amp; DAY(R74) &amp; ", " &amp; YEAR(R74)</f>
        <v>Giu 27, 2026</v>
      </c>
      <c r="D74" s="120">
        <f t="shared" si="30"/>
        <v>0.95833333333333337</v>
      </c>
      <c r="E74" s="78" t="str">
        <f>AE75</f>
        <v>Croazia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Gruppo L</v>
      </c>
      <c r="K74" s="94" t="str" cm="1">
        <f t="array" ref="K74">INDEX(T,10,lang)</f>
        <v>G</v>
      </c>
      <c r="L74" s="94" t="str" cm="1">
        <f t="array" ref="L74">INDEX(T,11,lang)</f>
        <v>V</v>
      </c>
      <c r="M74" s="94" t="str" cm="1">
        <f t="array" ref="M74">INDEX(T,12,lang)</f>
        <v>P</v>
      </c>
      <c r="N74" s="94" t="str" cm="1">
        <f t="array" ref="N74">INDEX(T,13,lang)</f>
        <v>S</v>
      </c>
      <c r="O74" s="94" t="str" cm="1">
        <f t="array" ref="O74">INDEX(T,14,lang)</f>
        <v>GF - GS</v>
      </c>
      <c r="P74" s="95" t="str" cm="1">
        <f t="array" ref="P74">INDEX(T,15,lang)</f>
        <v>Punti</v>
      </c>
      <c r="R74" s="123">
        <f>DATE(2026,6,27)+TIME(10,0,0)+gmt_delta</f>
        <v>46200.958333333328</v>
      </c>
      <c r="S74" s="127" t="str">
        <f t="shared" si="19"/>
        <v>Croazia_draw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Inghilterra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2</v>
      </c>
      <c r="AL74" s="123">
        <f>AI74-AJ74</f>
        <v>5</v>
      </c>
      <c r="AM74" s="123">
        <f>AL74-AL78</f>
        <v>12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90000010.106682211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Inghilterra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Dom</v>
      </c>
      <c r="C75" s="18" t="str" cm="1">
        <f t="array" ref="C75">INDEX(T,24+MONTH(R75),lang) &amp; " " &amp; DAY(R75) &amp; ", " &amp; YEAR(R75)</f>
        <v>Giu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Inghilterra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Croazia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8</v>
      </c>
      <c r="AN75" s="123">
        <f>AF75*3+AG75</f>
        <v>4</v>
      </c>
      <c r="AO75" s="123">
        <f>AN75/AN78*10+BA75</f>
        <v>4.9805825242718447</v>
      </c>
      <c r="AP75" s="123">
        <f>AO75*10000000+BI75*100+AM75/AM78*10+AI75/AI78*1++IF(AQ75=0,ROW(),AQ75)/2000000</f>
        <v>49805929.955675557</v>
      </c>
      <c r="AQ75" s="126">
        <f>VLOOKUP(AE75,db_fifarank,2,FALSE)</f>
        <v>1717.07</v>
      </c>
      <c r="AR75" s="125">
        <f>AP75/AP78</f>
        <v>0.55339915343607804</v>
      </c>
      <c r="AS75" s="125" t="str">
        <f>IF(SUM(AF74:AH77)=12,J76,"2L")</f>
        <v>Croazia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Dom</v>
      </c>
      <c r="C76" s="18" t="str" cm="1">
        <f t="array" ref="C76">INDEX(T,24+MONTH(R76),lang) &amp; " " &amp; DAY(R76) &amp; ", " &amp; YEAR(R76)</f>
        <v>Giu 28, 2026</v>
      </c>
      <c r="D76" s="120">
        <f t="shared" si="30"/>
        <v>0.16666666666666666</v>
      </c>
      <c r="E76" s="78" t="str">
        <f>AE65</f>
        <v>Giordania</v>
      </c>
      <c r="F76" s="19">
        <v>0</v>
      </c>
      <c r="G76" s="20">
        <v>5</v>
      </c>
      <c r="H76" s="80" t="str">
        <f>AE62</f>
        <v>Argentina</v>
      </c>
      <c r="I76" s="69"/>
      <c r="J76" s="33" t="str">
        <f>VLOOKUP(2,AD74:AN77,2,FALSE)</f>
        <v>Croazia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Giordania_lose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3</v>
      </c>
      <c r="AL76" s="123">
        <f>AI76-AJ76</f>
        <v>1</v>
      </c>
      <c r="AM76" s="123">
        <f>AL76-AL78</f>
        <v>8</v>
      </c>
      <c r="AN76" s="123">
        <f>AF76*3+AG76</f>
        <v>4</v>
      </c>
      <c r="AO76" s="123">
        <f>AN76/AN78*10+BA76</f>
        <v>4.9805825242718447</v>
      </c>
      <c r="AP76" s="123">
        <f>AO76*10000000+BI76*100+AM76/AM78*10+AI76/AI78*1++IF(AQ76=0,ROW(),AQ76)/2000000</f>
        <v>49805929.955490172</v>
      </c>
      <c r="AQ76" s="126">
        <f>VLOOKUP(AE76,db_fifarank,2,FALSE)</f>
        <v>1346.31</v>
      </c>
      <c r="AR76" s="125">
        <f>AP76/AP78</f>
        <v>0.55339915343401824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5">
      <c r="A77" s="16">
        <v>71</v>
      </c>
      <c r="B77" s="17" t="str" cm="1">
        <f t="array" ref="B77">INDEX(T,18+INT(MOD(R77-1,7)),lang)</f>
        <v>Dom</v>
      </c>
      <c r="C77" s="18" t="str" cm="1">
        <f t="array" ref="C77">INDEX(T,24+MONTH(R77),lang) &amp; " " &amp; DAY(R77) &amp; ", " &amp; YEAR(R77)</f>
        <v>Giu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Portogallo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4 - 3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Portogallo_win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8.5591100548520515E-12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Dom</v>
      </c>
      <c r="C78" s="18" t="str" cm="1">
        <f t="array" ref="C78">INDEX(T,24+MONTH(R78),lang) &amp; " " &amp; DAY(R78) &amp; ", " &amp; YEAR(R78)</f>
        <v>Giu 28, 2026</v>
      </c>
      <c r="D78" s="120">
        <f t="shared" si="30"/>
        <v>6.25E-2</v>
      </c>
      <c r="E78" s="78" t="str">
        <f>AE69</f>
        <v>RD Congo</v>
      </c>
      <c r="F78" s="19">
        <v>2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RD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8</v>
      </c>
      <c r="AL78" s="123">
        <f>MIN(AL74:AL77)</f>
        <v>-7</v>
      </c>
      <c r="AM78" s="123">
        <f>MAX(AM74:AM77)+1</f>
        <v>13</v>
      </c>
      <c r="AN78" s="123">
        <f>MAX(AN74:AN77)+1</f>
        <v>10</v>
      </c>
      <c r="AO78" s="123">
        <f>MAX(AO74:AO77)+1</f>
        <v>10</v>
      </c>
      <c r="AP78" s="123">
        <f>MAX(AP74:AP77)+1</f>
        <v>90000011.106682211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G</v>
      </c>
      <c r="L80" s="94" t="str" cm="1">
        <f t="array" ref="L80">INDEX(T,11,lang)</f>
        <v>V</v>
      </c>
      <c r="M80" s="94" t="str" cm="1">
        <f t="array" ref="M80">INDEX(T,12,lang)</f>
        <v>P</v>
      </c>
      <c r="N80" s="94" t="str" cm="1">
        <f t="array" ref="N80">INDEX(T,13,lang)</f>
        <v>S</v>
      </c>
      <c r="O80" s="94" t="str" cm="1">
        <f t="array" ref="O80">INDEX(T,14,lang)</f>
        <v>GF - GS</v>
      </c>
      <c r="P80" s="95" t="str" cm="1">
        <f t="array" ref="P80">INDEX(T,15,lang)</f>
        <v>Punti</v>
      </c>
      <c r="AD80" s="123">
        <f>COUNTIF($AP$80:$AP$91,CONCATENATE("&gt;=",AP80))</f>
        <v>1</v>
      </c>
      <c r="AE80" s="124" t="str">
        <f>J11</f>
        <v>Repubblica Ceca</v>
      </c>
      <c r="AF80" s="123">
        <f>VLOOKUP($AE80,$AE$8:$AQ$78,2,FALSE)</f>
        <v>1</v>
      </c>
      <c r="AG80" s="123">
        <f>VLOOKUP($AE80,$AE$8:$AQ$78,3,FALSE)</f>
        <v>2</v>
      </c>
      <c r="AH80" s="123">
        <f>VLOOKUP($AE80,$AE$8:$AQ$78,4,FALSE)</f>
        <v>0</v>
      </c>
      <c r="AI80" s="123">
        <f>VLOOKUP($AE80,$AE$8:$AQ$78,5,FALSE)</f>
        <v>2</v>
      </c>
      <c r="AJ80" s="123">
        <f>VLOOKUP($AE80,$AE$8:$AQ$78,6,FALSE)</f>
        <v>1</v>
      </c>
      <c r="AK80" s="123" t="s">
        <v>3180</v>
      </c>
      <c r="AL80" s="123">
        <f>VLOOKUP($AE80,$AE$8:$AQ$78,8,FALSE)</f>
        <v>1</v>
      </c>
      <c r="AM80" s="123">
        <f>AL80-$AL$92</f>
        <v>7</v>
      </c>
      <c r="AN80" s="123">
        <f>VLOOKUP($AE80,$AE$8:$AQ$78,10,FALSE)</f>
        <v>5</v>
      </c>
      <c r="AP80" s="123">
        <f>AN80/AN92*10000+AM80/AM92*1000+AI80/AI92*100+IF(AQ80=0,ROW(),AQ80)/2000000</f>
        <v>9241.667417356668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Repubblica Ceca</v>
      </c>
      <c r="AT80" s="130" t="str">
        <f>"Ⓐ "&amp;AE80</f>
        <v>Ⓐ Repubblica Ceca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Repubblica Ceca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2 - 1</v>
      </c>
      <c r="P81" s="98">
        <f>L81*3+M81</f>
        <v>5</v>
      </c>
      <c r="AD81" s="123">
        <f t="shared" ref="AD81:AD91" si="38">COUNTIF($AP$80:$AP$91,CONCATENATE("&gt;=",AP81))</f>
        <v>7</v>
      </c>
      <c r="AE81" s="124" t="str">
        <f>J17</f>
        <v>Bosnia ed 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5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5675.0006929199999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ed Erzegovina</v>
      </c>
      <c r="AT81" s="130" t="str">
        <f>"Ⓑ "&amp;AE81</f>
        <v>Ⓑ Bosnia ed 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Ⓔ Costa d'Avorio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5 - 4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Scozia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6</v>
      </c>
      <c r="AN82" s="123">
        <f t="shared" si="45"/>
        <v>3</v>
      </c>
      <c r="AP82" s="123">
        <f>AN82/AN92*10000+AM82/AM92*1000+AI82/AI92*100+IF(AQ82=0,ROW(),AQ82)/2000000</f>
        <v>5816.6674158416672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Scozia</v>
      </c>
      <c r="AT82" s="130" t="str">
        <f>"Ⓒ "&amp;AE82</f>
        <v>Ⓒ Scozia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4 - 3</v>
      </c>
      <c r="P83" s="101">
        <f t="shared" si="48"/>
        <v>4</v>
      </c>
      <c r="AD83" s="123">
        <f t="shared" si="38"/>
        <v>11</v>
      </c>
      <c r="AE83" s="124" t="str">
        <f>J29</f>
        <v>Australia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3</v>
      </c>
      <c r="AJ83" s="123">
        <f t="shared" si="42"/>
        <v>6</v>
      </c>
      <c r="AK83" s="123" t="s">
        <v>3184</v>
      </c>
      <c r="AL83" s="123">
        <f t="shared" si="43"/>
        <v>-3</v>
      </c>
      <c r="AM83" s="123">
        <f t="shared" si="44"/>
        <v>3</v>
      </c>
      <c r="AN83" s="123">
        <f t="shared" si="45"/>
        <v>1</v>
      </c>
      <c r="AP83" s="123">
        <f>AN83/AN92*10000+AM83/AM92*1000+AI83/AI92*100+IF(AQ83=0,ROW(),AQ83)/2000000</f>
        <v>2091.6674570016667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Ⓙ Algeria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4 - 5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Germania</v>
      </c>
      <c r="T84" s="127" t="str" cm="1">
        <f t="array" ref="T84">IF(OR(S84="",S84="draw"),INDEX(T,86,lang),S84)</f>
        <v>Germania</v>
      </c>
      <c r="AD84" s="123">
        <f t="shared" si="38"/>
        <v>2</v>
      </c>
      <c r="AE84" s="124" t="str">
        <f>J35</f>
        <v>Costa d'Avorio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5</v>
      </c>
      <c r="AJ84" s="123">
        <f t="shared" si="42"/>
        <v>4</v>
      </c>
      <c r="AK84" s="123" t="s">
        <v>3185</v>
      </c>
      <c r="AL84" s="123">
        <f t="shared" si="43"/>
        <v>1</v>
      </c>
      <c r="AM84" s="123">
        <f t="shared" si="44"/>
        <v>7</v>
      </c>
      <c r="AN84" s="123">
        <f t="shared" si="45"/>
        <v>4</v>
      </c>
      <c r="AP84" s="123">
        <f>AN84/AN92*10000+AM84/AM92*1000+AI84/AI92*100+IF(AQ84=0,ROW(),AQ84)/2000000</f>
        <v>7625.0007664899995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Costa d'Avorio</v>
      </c>
      <c r="AT84" s="130" t="str">
        <f>"Ⓔ "&amp;AE84</f>
        <v>Ⓔ Costa d'Avorio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Scozia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Francia</v>
      </c>
      <c r="T85" s="127" t="str" cm="1">
        <f t="array" ref="T85">IF(OR(S85="",S85="draw"),INDEX(T,87,lang),S85)</f>
        <v>Francia</v>
      </c>
      <c r="AD85" s="123">
        <f t="shared" si="38"/>
        <v>10</v>
      </c>
      <c r="AE85" s="124" t="str">
        <f>J41</f>
        <v>Giappone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4</v>
      </c>
      <c r="AN85" s="123">
        <f t="shared" si="45"/>
        <v>2</v>
      </c>
      <c r="AP85" s="123">
        <f>AN85/AN92*10000+AM85/AM92*1000+AI85/AI92*100+IF(AQ85=0,ROW(),AQ85)/2000000</f>
        <v>3883.334163548333</v>
      </c>
      <c r="AQ85" s="126">
        <f t="shared" si="37"/>
        <v>1660.43</v>
      </c>
      <c r="AR85" s="125" t="str">
        <f t="shared" si="50"/>
        <v>ABCE</v>
      </c>
      <c r="AS85" s="129" t="str">
        <f t="shared" si="46"/>
        <v/>
      </c>
      <c r="AT85" s="130" t="str">
        <f>"Ⓕ "&amp;AE85</f>
        <v>Ⓕ Giappone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12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3</v>
      </c>
      <c r="AJ86" s="123">
        <f t="shared" si="42"/>
        <v>7</v>
      </c>
      <c r="AK86" s="123" t="s">
        <v>3187</v>
      </c>
      <c r="AL86" s="123">
        <f t="shared" si="43"/>
        <v>-4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1966.6674743166666</v>
      </c>
      <c r="AQ86" s="126">
        <f t="shared" si="37"/>
        <v>1615.3</v>
      </c>
      <c r="AR86" s="125" t="str">
        <f t="shared" si="50"/>
        <v>ABCE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Ⓑ Bosnia ed Erzegovina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Spagna</v>
      </c>
      <c r="T87" s="127" t="str" cm="1">
        <f t="array" ref="T87">IF(OR(S87="",S87="draw"),INDEX(T,89,lang),S87)</f>
        <v>Spagna</v>
      </c>
      <c r="AD87" s="123">
        <f t="shared" si="38"/>
        <v>8</v>
      </c>
      <c r="AE87" s="124" t="str">
        <f>J53</f>
        <v>Capo Verde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7</v>
      </c>
      <c r="AK87" s="123" t="s">
        <v>3188</v>
      </c>
      <c r="AL87" s="123">
        <f t="shared" si="43"/>
        <v>-5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5158.334016398333</v>
      </c>
      <c r="AQ87" s="126">
        <f t="shared" si="37"/>
        <v>1366.13</v>
      </c>
      <c r="AR87" s="125" t="str">
        <f t="shared" si="50"/>
        <v>ABCEH</v>
      </c>
      <c r="AS87" s="129" t="str">
        <f t="shared" si="46"/>
        <v>Capo Verde</v>
      </c>
      <c r="AT87" s="130" t="str">
        <f>"Ⓗ "&amp;AE87</f>
        <v>Ⓗ Capo Verde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Ⓗ Capo Verde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2 - 7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Messico</v>
      </c>
      <c r="T88" s="127" t="str" cm="1">
        <f t="array" ref="T88">IF(OR(S88="",S88="draw"),INDEX(T,90,lang),S88)</f>
        <v>Messico</v>
      </c>
      <c r="AD88" s="123">
        <f t="shared" si="38"/>
        <v>6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5</v>
      </c>
      <c r="AK88" s="123" t="s">
        <v>3189</v>
      </c>
      <c r="AL88" s="123">
        <f t="shared" si="43"/>
        <v>-1</v>
      </c>
      <c r="AM88" s="123">
        <f t="shared" si="44"/>
        <v>5</v>
      </c>
      <c r="AN88" s="123">
        <f t="shared" si="45"/>
        <v>3</v>
      </c>
      <c r="AP88" s="123">
        <f>AN88/AN92*10000+AM88/AM92*1000+AI88/AI92*100+IF(AQ88=0,ROW(),AQ88)/2000000</f>
        <v>5691.6675111616669</v>
      </c>
      <c r="AQ88" s="126">
        <f t="shared" si="37"/>
        <v>1688.99</v>
      </c>
      <c r="AR88" s="125" t="str">
        <f t="shared" si="50"/>
        <v>ABCEHI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RD Congo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2 - 8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Marocco</v>
      </c>
      <c r="T89" s="127" t="str" cm="1">
        <f t="array" ref="T89">IF(OR(S89="",S89="draw"),INDEX(T,91,lang),S89)</f>
        <v>Marocco</v>
      </c>
      <c r="AD89" s="123">
        <f t="shared" si="38"/>
        <v>4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4</v>
      </c>
      <c r="AJ89" s="123">
        <f t="shared" si="42"/>
        <v>5</v>
      </c>
      <c r="AK89" s="123" t="s">
        <v>3190</v>
      </c>
      <c r="AL89" s="123">
        <f t="shared" si="43"/>
        <v>-1</v>
      </c>
      <c r="AM89" s="123">
        <f t="shared" si="44"/>
        <v>5</v>
      </c>
      <c r="AN89" s="123">
        <f t="shared" si="45"/>
        <v>4</v>
      </c>
      <c r="AP89" s="123">
        <f>AN89/AN92*10000+AM89/AM92*1000+AI89/AI92*100+IF(AQ89=0,ROW(),AQ89)/2000000</f>
        <v>7358.3341154633326</v>
      </c>
      <c r="AQ89" s="126">
        <f t="shared" si="37"/>
        <v>1564.26</v>
      </c>
      <c r="AR89" s="125" t="str">
        <f t="shared" si="50"/>
        <v>ABCEHIJ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Ⓕ Giappone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3 - 5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Turchia</v>
      </c>
      <c r="T90" s="127" t="str" cm="1">
        <f t="array" ref="T90">IF(OR(S90="",S90="draw"),INDEX(T,92,lang),S90)</f>
        <v>Turchia</v>
      </c>
      <c r="AD90" s="123">
        <f t="shared" si="38"/>
        <v>9</v>
      </c>
      <c r="AE90" s="124" t="str">
        <f>J71</f>
        <v>RD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8</v>
      </c>
      <c r="AK90" s="123" t="s">
        <v>3191</v>
      </c>
      <c r="AL90" s="123">
        <f t="shared" si="43"/>
        <v>-6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5033.3340725083326</v>
      </c>
      <c r="AQ90" s="126">
        <f t="shared" si="37"/>
        <v>1478.35</v>
      </c>
      <c r="AR90" s="125" t="str">
        <f t="shared" si="50"/>
        <v>ABCEHIJ</v>
      </c>
      <c r="AS90" s="129" t="str">
        <f t="shared" si="46"/>
        <v/>
      </c>
      <c r="AT90" s="130" t="str">
        <f>"Ⓚ "&amp;AE90</f>
        <v>Ⓚ RD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Australia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Belgio</v>
      </c>
      <c r="T91" s="127" t="str" cm="1">
        <f t="array" ref="T91">IF(OR(S91="",S91="draw"),INDEX(T,93,lang),S91)</f>
        <v>Belgio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4</v>
      </c>
      <c r="AJ91" s="123">
        <f>VLOOKUP($AE91,$AE$8:$AQ$78,6,FALSE)</f>
        <v>3</v>
      </c>
      <c r="AK91" s="123" t="s">
        <v>3192</v>
      </c>
      <c r="AL91" s="123">
        <f>VLOOKUP($AE91,$AE$8:$AQ$78,8,FALSE)</f>
        <v>1</v>
      </c>
      <c r="AM91" s="123">
        <f t="shared" si="44"/>
        <v>7</v>
      </c>
      <c r="AN91" s="123">
        <f>VLOOKUP($AE91,$AE$8:$AQ$78,10,FALSE)</f>
        <v>4</v>
      </c>
      <c r="AP91" s="123">
        <f>AN91/AN92*10000+AM91/AM92*1000+AI91/AI92*100+IF(AQ91=0,ROW(),AQ91)/2000000</f>
        <v>7608.3340064883332</v>
      </c>
      <c r="AQ91" s="126">
        <f t="shared" si="37"/>
        <v>1346.31</v>
      </c>
      <c r="AR91" s="125" t="str">
        <f t="shared" si="50"/>
        <v>ABCEHIJL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Iran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3 - 7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9</v>
      </c>
      <c r="AL92" s="123">
        <f>MIN(AL80:AL91)</f>
        <v>-6</v>
      </c>
      <c r="AM92" s="123">
        <f>MAX(AM80:AM91)+1</f>
        <v>8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Francia</v>
      </c>
      <c r="T95" s="127" t="str" cm="1">
        <f t="array" ref="T95">IF(OR(S95="",S95="draw"),INDEX(T,94,lang),S95)</f>
        <v>Francia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Messico</v>
      </c>
      <c r="T96" s="127" t="str" cm="1">
        <f t="array" ref="T96">IF(OR(S96="",S96="draw"),INDEX(T,95,lang),S96)</f>
        <v>Messico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Spagna</v>
      </c>
      <c r="T97" s="127" t="str" cm="1">
        <f t="array" ref="T97">IF(OR(S97="",S97="draw"),INDEX(T,96,lang),S97)</f>
        <v>Spagna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Turchia</v>
      </c>
      <c r="T98" s="127" t="str" cm="1">
        <f t="array" ref="T98">IF(OR(S98="",S98="draw"),INDEX(T,97,lang),S98)</f>
        <v>Turchia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Francia</v>
      </c>
      <c r="T102" s="127" t="str" cm="1">
        <f t="array" ref="T102">IF(OR(S102="",S102="draw"),INDEX(T,98,lang),S102)</f>
        <v>Francia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Messico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Messico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Spagna</v>
      </c>
      <c r="T103" s="127" t="str" cm="1">
        <f t="array" ref="T103">IF(OR(S103="",S103="draw"),INDEX(T,99,lang),S103)</f>
        <v>Spagna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Turchia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Turchia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Spagna</v>
      </c>
      <c r="T111" s="127" t="str">
        <f>S111</f>
        <v>Spagna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394</v>
      </c>
      <c r="C3" s="121" t="str">
        <f>'2026 World Cup'!AR91</f>
        <v>ABCEHIJL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3H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Roberto Musicò</cp:lastModifiedBy>
  <cp:revision/>
  <dcterms:created xsi:type="dcterms:W3CDTF">2017-12-27T19:32:51Z</dcterms:created>
  <dcterms:modified xsi:type="dcterms:W3CDTF">2026-06-11T16:31:06Z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