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LuisDiaz\Downloads\"/>
    </mc:Choice>
  </mc:AlternateContent>
  <xr:revisionPtr revIDLastSave="0" documentId="13_ncr:1_{72E55779-10B0-4A6C-B7AF-AB4D984AEE69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T26" i="3"/>
  <c r="S47" i="3"/>
  <c r="S67" i="3"/>
  <c r="S72" i="3"/>
  <c r="T19" i="3"/>
  <c r="S70" i="3"/>
  <c r="S42" i="3"/>
  <c r="S64" i="3"/>
  <c r="T18" i="3"/>
  <c r="T41" i="3"/>
  <c r="S40" i="3"/>
  <c r="S62" i="3"/>
  <c r="T16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9" i="3"/>
  <c r="AR10" i="3"/>
  <c r="AR11" i="3"/>
  <c r="AR34" i="3"/>
  <c r="AR33" i="3"/>
  <c r="AR35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9" i="3"/>
  <c r="AD14" i="3"/>
  <c r="AD8" i="3"/>
  <c r="M9" i="3" s="1"/>
  <c r="AD28" i="3"/>
  <c r="AD70" i="3"/>
  <c r="AD34" i="3"/>
  <c r="AD10" i="3"/>
  <c r="AD75" i="3"/>
  <c r="AD68" i="3"/>
  <c r="L58" i="3"/>
  <c r="N58" i="3"/>
  <c r="O60" i="3"/>
  <c r="AD77" i="3"/>
  <c r="M59" i="3"/>
  <c r="AD32" i="3"/>
  <c r="L59" i="3"/>
  <c r="AD33" i="3"/>
  <c r="AD11" i="3"/>
  <c r="AD41" i="3"/>
  <c r="AD35" i="3"/>
  <c r="AD44" i="3"/>
  <c r="AD22" i="3"/>
  <c r="AD20" i="3"/>
  <c r="AD21" i="3"/>
  <c r="AD63" i="3"/>
  <c r="AD15" i="3"/>
  <c r="AD47" i="3"/>
  <c r="AD26" i="3"/>
  <c r="AD62" i="3"/>
  <c r="O63" i="3" s="1"/>
  <c r="AD27" i="3"/>
  <c r="AD76" i="3"/>
  <c r="AD74" i="3"/>
  <c r="AD71" i="3"/>
  <c r="AD53" i="3"/>
  <c r="AD29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N69" i="3" l="1"/>
  <c r="L75" i="3"/>
  <c r="N45" i="3"/>
  <c r="P58" i="3"/>
  <c r="J51" i="3"/>
  <c r="AS50" i="3" s="1"/>
  <c r="BL30" i="3" s="1"/>
  <c r="L33" i="3"/>
  <c r="M18" i="3"/>
  <c r="J45" i="3"/>
  <c r="AS44" i="3" s="1"/>
  <c r="BL38" i="3" s="1"/>
  <c r="N51" i="3"/>
  <c r="M45" i="3"/>
  <c r="O18" i="3"/>
  <c r="N54" i="3"/>
  <c r="O69" i="3"/>
  <c r="M16" i="3"/>
  <c r="J63" i="3"/>
  <c r="AS62" i="3" s="1"/>
  <c r="BL58" i="3" s="1"/>
  <c r="BS60" i="3" s="1"/>
  <c r="BZ64" i="3" s="1"/>
  <c r="O45" i="3"/>
  <c r="M69" i="3"/>
  <c r="L71" i="3"/>
  <c r="N27" i="3"/>
  <c r="L18" i="3"/>
  <c r="L16" i="3"/>
  <c r="L70" i="3"/>
  <c r="L76" i="3"/>
  <c r="L45" i="3"/>
  <c r="O16" i="3"/>
  <c r="N9" i="3"/>
  <c r="O65" i="3"/>
  <c r="O47" i="3"/>
  <c r="N16" i="3"/>
  <c r="N12" i="3"/>
  <c r="M10" i="3"/>
  <c r="O12" i="3"/>
  <c r="J16" i="3"/>
  <c r="AS15" i="3" s="1"/>
  <c r="BL19" i="3" s="1"/>
  <c r="O10" i="3"/>
  <c r="O51" i="3"/>
  <c r="L10" i="3"/>
  <c r="L46" i="3"/>
  <c r="N10" i="3"/>
  <c r="O9" i="3"/>
  <c r="L12" i="3"/>
  <c r="N48" i="3"/>
  <c r="N65" i="3"/>
  <c r="L9" i="3"/>
  <c r="P9" i="3" s="1"/>
  <c r="O70" i="3"/>
  <c r="L11" i="3"/>
  <c r="J10" i="3"/>
  <c r="AS9" i="3" s="1"/>
  <c r="BL18" i="3" s="1"/>
  <c r="J9" i="3"/>
  <c r="AS8" i="3" s="1"/>
  <c r="BL50" i="3" s="1"/>
  <c r="J12" i="3"/>
  <c r="M11" i="3"/>
  <c r="N11" i="3"/>
  <c r="K58" i="3"/>
  <c r="L69" i="3"/>
  <c r="O72" i="3"/>
  <c r="J18" i="3"/>
  <c r="L48" i="3"/>
  <c r="L47" i="3"/>
  <c r="L72" i="3"/>
  <c r="J65" i="3"/>
  <c r="AE89" i="3" s="1"/>
  <c r="AQ89" i="3" s="1"/>
  <c r="J48" i="3"/>
  <c r="J11" i="3"/>
  <c r="AE80" i="3" s="1"/>
  <c r="AQ80" i="3" s="1"/>
  <c r="N46" i="3"/>
  <c r="J69" i="3"/>
  <c r="AS68" i="3" s="1"/>
  <c r="BL70" i="3" s="1"/>
  <c r="J27" i="3"/>
  <c r="AS26" i="3" s="1"/>
  <c r="BL34" i="3" s="1"/>
  <c r="O11" i="3"/>
  <c r="M65" i="3"/>
  <c r="N72" i="3"/>
  <c r="N70" i="3"/>
  <c r="M72" i="3"/>
  <c r="M70" i="3"/>
  <c r="L40" i="3"/>
  <c r="O71" i="3"/>
  <c r="L27" i="3"/>
  <c r="J70" i="3"/>
  <c r="AS69" i="3" s="1"/>
  <c r="BL26" i="3" s="1"/>
  <c r="N71" i="3"/>
  <c r="J41" i="3"/>
  <c r="AE85" i="3" s="1"/>
  <c r="AQ85" i="3" s="1"/>
  <c r="J71" i="3"/>
  <c r="AE90" i="3" s="1"/>
  <c r="AQ90" i="3" s="1"/>
  <c r="M71" i="3"/>
  <c r="M27" i="3"/>
  <c r="M12" i="3"/>
  <c r="O27" i="3"/>
  <c r="J72" i="3"/>
  <c r="AJ88" i="3"/>
  <c r="O30" i="3"/>
  <c r="P59" i="3"/>
  <c r="M76" i="3"/>
  <c r="N76" i="3"/>
  <c r="K59" i="3"/>
  <c r="J47" i="3"/>
  <c r="AE86" i="3" s="1"/>
  <c r="AQ86" i="3" s="1"/>
  <c r="L51" i="3"/>
  <c r="M24" i="3"/>
  <c r="J75" i="3"/>
  <c r="AS74" i="3" s="1"/>
  <c r="BL54" i="3" s="1"/>
  <c r="O77" i="3"/>
  <c r="M78" i="3"/>
  <c r="M75" i="3"/>
  <c r="N75" i="3"/>
  <c r="J76" i="3"/>
  <c r="AS75" i="3" s="1"/>
  <c r="BL27" i="3" s="1"/>
  <c r="O75" i="3"/>
  <c r="O76" i="3"/>
  <c r="O21" i="3"/>
  <c r="L34" i="3"/>
  <c r="N34" i="3"/>
  <c r="N24" i="3"/>
  <c r="L65" i="3"/>
  <c r="M51" i="3"/>
  <c r="M46" i="3"/>
  <c r="N47" i="3"/>
  <c r="M34" i="3"/>
  <c r="L36" i="3"/>
  <c r="J35" i="3"/>
  <c r="AE84" i="3" s="1"/>
  <c r="AQ84" i="3" s="1"/>
  <c r="O23" i="3"/>
  <c r="M22" i="3"/>
  <c r="J33" i="3"/>
  <c r="AS32" i="3" s="1"/>
  <c r="BL10" i="3" s="1"/>
  <c r="N78" i="3"/>
  <c r="N35" i="3"/>
  <c r="L21" i="3"/>
  <c r="N33" i="3"/>
  <c r="O35" i="3"/>
  <c r="N63" i="3"/>
  <c r="M48" i="3"/>
  <c r="O48" i="3"/>
  <c r="J46" i="3"/>
  <c r="AS45" i="3" s="1"/>
  <c r="BL63" i="3" s="1"/>
  <c r="M36" i="3"/>
  <c r="M33" i="3"/>
  <c r="O22" i="3"/>
  <c r="J21" i="3"/>
  <c r="AS20" i="3" s="1"/>
  <c r="BL42" i="3" s="1"/>
  <c r="BS44" i="3" s="1"/>
  <c r="L17" i="3"/>
  <c r="N36" i="3"/>
  <c r="O34" i="3"/>
  <c r="J34" i="3"/>
  <c r="AS33" i="3" s="1"/>
  <c r="BL46" i="3" s="1"/>
  <c r="L24" i="3"/>
  <c r="M35" i="3"/>
  <c r="J36" i="3"/>
  <c r="M21" i="3"/>
  <c r="J77" i="3"/>
  <c r="AE91" i="3" s="1"/>
  <c r="AQ91" i="3" s="1"/>
  <c r="M63" i="3"/>
  <c r="M47" i="3"/>
  <c r="P47" i="3" s="1"/>
  <c r="O46" i="3"/>
  <c r="L35" i="3"/>
  <c r="O33" i="3"/>
  <c r="N21" i="3"/>
  <c r="J24" i="3"/>
  <c r="O36" i="3"/>
  <c r="O29" i="3"/>
  <c r="O24" i="3"/>
  <c r="J66" i="3"/>
  <c r="L63" i="3"/>
  <c r="J29" i="3"/>
  <c r="AE83" i="3" s="1"/>
  <c r="AQ83" i="3" s="1"/>
  <c r="L22" i="3"/>
  <c r="J22" i="3"/>
  <c r="AS21" i="3" s="1"/>
  <c r="BL23" i="3" s="1"/>
  <c r="J40" i="3"/>
  <c r="AS39" i="3" s="1"/>
  <c r="BL43" i="3" s="1"/>
  <c r="J30" i="3"/>
  <c r="N53" i="3"/>
  <c r="M54" i="3"/>
  <c r="M30" i="3"/>
  <c r="N22" i="3"/>
  <c r="N18" i="3"/>
  <c r="L23" i="3"/>
  <c r="N17" i="3"/>
  <c r="J64" i="3"/>
  <c r="AS63" i="3" s="1"/>
  <c r="BL31" i="3" s="1"/>
  <c r="P57" i="3"/>
  <c r="J78" i="3"/>
  <c r="N66" i="3"/>
  <c r="N64" i="3"/>
  <c r="L30" i="3"/>
  <c r="L29" i="3"/>
  <c r="L77" i="3"/>
  <c r="M66" i="3"/>
  <c r="M64" i="3"/>
  <c r="J52" i="3"/>
  <c r="AS51" i="3" s="1"/>
  <c r="BL59" i="3" s="1"/>
  <c r="N30" i="3"/>
  <c r="N29" i="3"/>
  <c r="O64" i="3"/>
  <c r="L66" i="3"/>
  <c r="L64" i="3"/>
  <c r="N28" i="3"/>
  <c r="J28" i="3"/>
  <c r="AS27" i="3" s="1"/>
  <c r="BL62" i="3" s="1"/>
  <c r="BS61" i="3" s="1"/>
  <c r="N77" i="3"/>
  <c r="L78" i="3"/>
  <c r="M29" i="3"/>
  <c r="M17" i="3"/>
  <c r="O17" i="3"/>
  <c r="O66" i="3"/>
  <c r="O78" i="3"/>
  <c r="M77" i="3"/>
  <c r="AN88" i="3"/>
  <c r="L42" i="3"/>
  <c r="AI88" i="3"/>
  <c r="M41" i="3"/>
  <c r="M42" i="3"/>
  <c r="L39" i="3"/>
  <c r="M28" i="3"/>
  <c r="AG88" i="3"/>
  <c r="N40" i="3"/>
  <c r="O40" i="3"/>
  <c r="AF88" i="3"/>
  <c r="M40" i="3"/>
  <c r="L54" i="3"/>
  <c r="N39" i="3"/>
  <c r="O28" i="3"/>
  <c r="J42" i="3"/>
  <c r="O39" i="3"/>
  <c r="N52" i="3"/>
  <c r="M39" i="3"/>
  <c r="J39" i="3"/>
  <c r="AS38" i="3" s="1"/>
  <c r="BL22" i="3" s="1"/>
  <c r="L28" i="3"/>
  <c r="O42" i="3"/>
  <c r="L15" i="3"/>
  <c r="AT88" i="3"/>
  <c r="O54" i="3"/>
  <c r="K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 l="1"/>
  <c r="K18" i="3"/>
  <c r="P71" i="3"/>
  <c r="P18" i="3"/>
  <c r="P11" i="3"/>
  <c r="AN80" i="3"/>
  <c r="P76" i="3"/>
  <c r="K45" i="3"/>
  <c r="P33" i="3"/>
  <c r="AG84" i="3"/>
  <c r="AH84" i="3"/>
  <c r="P16" i="3"/>
  <c r="AF84" i="3"/>
  <c r="P46" i="3"/>
  <c r="AN84" i="3"/>
  <c r="K16" i="3"/>
  <c r="AL91" i="3"/>
  <c r="AI84" i="3"/>
  <c r="AT84" i="3"/>
  <c r="P70" i="3"/>
  <c r="AL84" i="3"/>
  <c r="AJ84" i="3"/>
  <c r="AF85" i="3"/>
  <c r="AJ80" i="3"/>
  <c r="K71" i="3"/>
  <c r="AI80" i="3"/>
  <c r="AL80" i="3"/>
  <c r="AH90" i="3"/>
  <c r="K75" i="3"/>
  <c r="P27" i="3"/>
  <c r="AH80" i="3"/>
  <c r="AL81" i="3"/>
  <c r="AG90" i="3"/>
  <c r="AF90" i="3"/>
  <c r="AJ89" i="3"/>
  <c r="P10" i="3"/>
  <c r="AI89" i="3"/>
  <c r="AH89" i="3"/>
  <c r="AN91" i="3"/>
  <c r="AT85" i="3"/>
  <c r="AH91" i="3"/>
  <c r="K24" i="3"/>
  <c r="P48" i="3"/>
  <c r="AJ91" i="3"/>
  <c r="AJ86" i="3"/>
  <c r="P45" i="3"/>
  <c r="P69" i="3"/>
  <c r="P12" i="3"/>
  <c r="P21" i="3"/>
  <c r="K70" i="3"/>
  <c r="P23" i="3"/>
  <c r="K11" i="3"/>
  <c r="K9" i="3"/>
  <c r="AL85" i="3"/>
  <c r="AG89" i="3"/>
  <c r="AT90" i="3"/>
  <c r="K40" i="3"/>
  <c r="AN85" i="3"/>
  <c r="AN90" i="3"/>
  <c r="AG80" i="3"/>
  <c r="AT82" i="3"/>
  <c r="AI85" i="3"/>
  <c r="AT89" i="3"/>
  <c r="K69" i="3"/>
  <c r="AL90" i="3"/>
  <c r="K48" i="3"/>
  <c r="K10" i="3"/>
  <c r="AF80" i="3"/>
  <c r="AH85" i="3"/>
  <c r="AN89" i="3"/>
  <c r="AJ90" i="3"/>
  <c r="P36" i="3"/>
  <c r="AJ85" i="3"/>
  <c r="AF89" i="3"/>
  <c r="AT80" i="3"/>
  <c r="AH83" i="3"/>
  <c r="AG85" i="3"/>
  <c r="AL89" i="3"/>
  <c r="AI90" i="3"/>
  <c r="K12" i="3"/>
  <c r="P22" i="3"/>
  <c r="K63" i="3"/>
  <c r="P15" i="3"/>
  <c r="K27" i="3"/>
  <c r="P54" i="3"/>
  <c r="P65" i="3"/>
  <c r="P72" i="3"/>
  <c r="K51" i="3"/>
  <c r="AN86" i="3"/>
  <c r="AL86" i="3"/>
  <c r="K76" i="3"/>
  <c r="K54" i="3"/>
  <c r="AH86" i="3"/>
  <c r="K46" i="3"/>
  <c r="K65" i="3"/>
  <c r="K72" i="3"/>
  <c r="K78" i="3"/>
  <c r="AI86" i="3"/>
  <c r="AI91" i="3"/>
  <c r="AG86" i="3"/>
  <c r="AG91" i="3"/>
  <c r="AF86" i="3"/>
  <c r="P51" i="3"/>
  <c r="AF91" i="3"/>
  <c r="P40" i="3"/>
  <c r="P41" i="3"/>
  <c r="P17" i="3"/>
  <c r="K30" i="3"/>
  <c r="K21" i="3"/>
  <c r="K33" i="3"/>
  <c r="K36" i="3"/>
  <c r="AT86" i="3"/>
  <c r="AT91" i="3"/>
  <c r="AJ81" i="3"/>
  <c r="P29" i="3"/>
  <c r="K22" i="3"/>
  <c r="P34" i="3"/>
  <c r="AI81" i="3"/>
  <c r="AH81" i="3"/>
  <c r="AF81" i="3"/>
  <c r="AT81" i="3"/>
  <c r="K17" i="3"/>
  <c r="AG81" i="3"/>
  <c r="AN81" i="3"/>
  <c r="AI83" i="3"/>
  <c r="AN82" i="3"/>
  <c r="AG83" i="3"/>
  <c r="P42" i="3"/>
  <c r="P30" i="3"/>
  <c r="P35" i="3"/>
  <c r="K47" i="3"/>
  <c r="AJ82" i="3"/>
  <c r="AF83" i="3"/>
  <c r="AN83" i="3"/>
  <c r="K29" i="3"/>
  <c r="AI82" i="3"/>
  <c r="AT83" i="3"/>
  <c r="K34" i="3"/>
  <c r="AH82" i="3"/>
  <c r="AG82" i="3"/>
  <c r="AL83" i="3"/>
  <c r="AF82" i="3"/>
  <c r="AJ83" i="3"/>
  <c r="P63" i="3"/>
  <c r="P24" i="3"/>
  <c r="K23" i="3"/>
  <c r="P28" i="3"/>
  <c r="P66" i="3"/>
  <c r="K35" i="3"/>
  <c r="P78" i="3"/>
  <c r="K41" i="3"/>
  <c r="P39" i="3"/>
  <c r="K64" i="3"/>
  <c r="P77" i="3"/>
  <c r="K42" i="3"/>
  <c r="K28" i="3"/>
  <c r="K66" i="3"/>
  <c r="AH87" i="3"/>
  <c r="P64" i="3"/>
  <c r="K53" i="3"/>
  <c r="K77" i="3"/>
  <c r="K39" i="3"/>
  <c r="AJ87" i="3"/>
  <c r="AF87" i="3"/>
  <c r="P52" i="3"/>
  <c r="AG87" i="3"/>
  <c r="P53" i="3"/>
  <c r="AT87" i="3"/>
  <c r="K15" i="3"/>
  <c r="AN87" i="3"/>
  <c r="AL87" i="3"/>
  <c r="AL82" i="3"/>
  <c r="AI87" i="3"/>
  <c r="K52" i="3"/>
  <c r="AL92" i="3" l="1"/>
  <c r="AM88" i="3" s="1"/>
  <c r="AI92" i="3"/>
  <c r="AF92" i="3"/>
  <c r="AH92" i="3"/>
  <c r="AJ92" i="3"/>
  <c r="AN92" i="3"/>
  <c r="AS92" i="3"/>
  <c r="AG92" i="3"/>
  <c r="AM81" i="3" l="1"/>
  <c r="AM86" i="3"/>
  <c r="AM83" i="3"/>
  <c r="AM87" i="3"/>
  <c r="AM80" i="3"/>
  <c r="AM89" i="3"/>
  <c r="AM90" i="3"/>
  <c r="AM84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8" i="3" l="1"/>
  <c r="AP83" i="3"/>
  <c r="AP90" i="3"/>
  <c r="AP86" i="3"/>
  <c r="AP82" i="3"/>
  <c r="AP80" i="3"/>
  <c r="AP85" i="3"/>
  <c r="AP81" i="3"/>
  <c r="AP89" i="3"/>
  <c r="AP91" i="3"/>
  <c r="AP84" i="3"/>
  <c r="AD86" i="3" l="1"/>
  <c r="AS86" i="3" s="1"/>
  <c r="AD85" i="3"/>
  <c r="AS85" i="3" s="1"/>
  <c r="AD81" i="3"/>
  <c r="AS81" i="3" s="1"/>
  <c r="AD91" i="3"/>
  <c r="AS91" i="3" s="1"/>
  <c r="AD87" i="3"/>
  <c r="AS87" i="3" s="1"/>
  <c r="AD84" i="3"/>
  <c r="AS84" i="3" s="1"/>
  <c r="AD82" i="3"/>
  <c r="AS82" i="3" s="1"/>
  <c r="AD83" i="3"/>
  <c r="AS83" i="3" s="1"/>
  <c r="AD89" i="3"/>
  <c r="AS89" i="3" s="1"/>
  <c r="AD80" i="3"/>
  <c r="AS80" i="3" s="1"/>
  <c r="AD90" i="3"/>
  <c r="AS90" i="3" s="1"/>
  <c r="AD88" i="3"/>
  <c r="AS88" i="3" s="1"/>
  <c r="AR80" i="3" l="1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91" i="3"/>
  <c r="N81" i="3"/>
  <c r="J81" i="3"/>
  <c r="O91" i="3"/>
  <c r="M81" i="3"/>
  <c r="N91" i="3"/>
  <c r="O81" i="3"/>
  <c r="J91" i="3"/>
  <c r="N83" i="3"/>
  <c r="N87" i="3"/>
  <c r="M88" i="3"/>
  <c r="J89" i="3"/>
  <c r="J92" i="3"/>
  <c r="N92" i="3"/>
  <c r="M87" i="3"/>
  <c r="J83" i="3"/>
  <c r="N82" i="3"/>
  <c r="N88" i="3"/>
  <c r="L87" i="3"/>
  <c r="O92" i="3"/>
  <c r="L91" i="3"/>
  <c r="M89" i="3"/>
  <c r="M82" i="3"/>
  <c r="L90" i="3"/>
  <c r="L84" i="3"/>
  <c r="L85" i="3"/>
  <c r="O82" i="3"/>
  <c r="M83" i="3"/>
  <c r="J88" i="3"/>
  <c r="N84" i="3"/>
  <c r="O87" i="3"/>
  <c r="J84" i="3"/>
  <c r="L89" i="3"/>
  <c r="J90" i="3"/>
  <c r="N89" i="3"/>
  <c r="J87" i="3"/>
  <c r="O84" i="3"/>
  <c r="J82" i="3"/>
  <c r="O89" i="3"/>
  <c r="O88" i="3"/>
  <c r="L88" i="3"/>
  <c r="N86" i="3"/>
  <c r="M86" i="3"/>
  <c r="L86" i="3"/>
  <c r="O86" i="3"/>
  <c r="J86" i="3"/>
  <c r="M85" i="3"/>
  <c r="M90" i="3"/>
  <c r="O90" i="3"/>
  <c r="J85" i="3"/>
  <c r="L83" i="3"/>
  <c r="N90" i="3"/>
  <c r="O83" i="3"/>
  <c r="O85" i="3"/>
  <c r="M92" i="3"/>
  <c r="M84" i="3"/>
  <c r="L92" i="3"/>
  <c r="L82" i="3"/>
  <c r="L81" i="3"/>
  <c r="N85" i="3"/>
  <c r="P86" i="3" l="1"/>
  <c r="K91" i="3"/>
  <c r="P88" i="3"/>
  <c r="P91" i="3"/>
  <c r="K88" i="3"/>
  <c r="P84" i="3"/>
  <c r="K81" i="3"/>
  <c r="P89" i="3"/>
  <c r="K82" i="3"/>
  <c r="P85" i="3"/>
  <c r="P82" i="3"/>
  <c r="P83" i="3"/>
  <c r="K86" i="3"/>
  <c r="K83" i="3"/>
  <c r="P87" i="3"/>
  <c r="K87" i="3"/>
  <c r="P81" i="3"/>
  <c r="K89" i="3"/>
  <c r="K92" i="3"/>
  <c r="K90" i="3"/>
  <c r="H3" i="4"/>
  <c r="BL39" i="3" s="1"/>
  <c r="K85" i="3"/>
  <c r="G3" i="4"/>
  <c r="BL11" i="3" s="1"/>
  <c r="K84" i="3"/>
  <c r="J3" i="4"/>
  <c r="BL71" i="3" s="1"/>
  <c r="I3" i="4"/>
  <c r="BL15" i="3" s="1"/>
  <c r="P92" i="3"/>
  <c r="E3" i="4"/>
  <c r="P90" i="3"/>
  <c r="K3" i="4"/>
  <c r="BL55" i="3" s="1"/>
  <c r="D3" i="4"/>
  <c r="BL51" i="3" s="1"/>
  <c r="B3" i="4"/>
  <c r="BS53" i="3"/>
  <c r="BS52" i="3"/>
  <c r="BZ49" i="3" s="1"/>
  <c r="CG55" i="3" s="1"/>
  <c r="BS69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<sst xmlns="http://schemas.openxmlformats.org/spreadsheetml/2006/main" count="9785" uniqueCount="3699">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</sst>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12" zoomScaleNormal="100" workbookViewId="0">
      <selection activeCell="F79" sqref="F79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5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87500009.167507172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2</v>
      </c>
      <c r="AG9" s="123">
        <f>COUNTIF($S$7:$T$78,"=" &amp; AE9 &amp; "_draw")</f>
        <v>0</v>
      </c>
      <c r="AH9" s="123">
        <f>COUNTIF($S$7:$T$78,"=" &amp; AE9 &amp; "_lose")</f>
        <v>1</v>
      </c>
      <c r="AI9" s="123">
        <f>SUMIF($E$7:$E$78,$AE9,$F$7:$F$78) + SUMIF($H$7:$H$78,$AE9,$G$7:$G$78)</f>
        <v>5</v>
      </c>
      <c r="AJ9" s="123">
        <f>SUMIF($E$7:$E$78,$AE9,$G$7:$G$78) + SUMIF($H$7:$H$78,$AE9,$F$7:$F$78)</f>
        <v>3</v>
      </c>
      <c r="AL9" s="123">
        <f>AI9-AJ9</f>
        <v>2</v>
      </c>
      <c r="AM9" s="123">
        <f>AL9-AL12</f>
        <v>5</v>
      </c>
      <c r="AN9" s="123">
        <f>AF9*3+AG9</f>
        <v>6</v>
      </c>
      <c r="AO9" s="123">
        <f>AN9/AN12*10+BA9</f>
        <v>7.5</v>
      </c>
      <c r="AP9" s="123">
        <f>AO9*10000000+BI9*100+AM9/AM12*10+AI9/AI12*1++IF(AQ9=0,ROW(),AQ9)/2000000</f>
        <v>75000009.167381525</v>
      </c>
      <c r="AQ9" s="126">
        <f>VLOOKUP(AE9,db_fifarank,2,FALSE)</f>
        <v>1429.73</v>
      </c>
      <c r="AR9" s="125">
        <f>AP9/AP12</f>
        <v>0.85714286231286085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3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5 - 3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3</v>
      </c>
      <c r="AL10" s="123">
        <f>AI10-AJ10</f>
        <v>-1</v>
      </c>
      <c r="AM10" s="123">
        <f>AL10-AL12</f>
        <v>2</v>
      </c>
      <c r="AN10" s="123">
        <f>AF10*3+AG10</f>
        <v>2</v>
      </c>
      <c r="AO10" s="123">
        <f>AN10/AN12*10+BA10</f>
        <v>2.5</v>
      </c>
      <c r="AP10" s="123">
        <f>AO10*10000000+BI10*100+AM10/AM12*10+AI10/AI12*1++IF(AQ10=0,ROW(),AQ10)/2000000</f>
        <v>25000003.667460993</v>
      </c>
      <c r="AQ10" s="126">
        <f>VLOOKUP(AE10,db_fifarank,2,FALSE)</f>
        <v>1588.66</v>
      </c>
      <c r="AR10" s="125">
        <f>AP10/AP12</f>
        <v>0.2857142944281012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/>
      <c r="BN10" s="63"/>
      <c r="BO10" s="25"/>
      <c r="BP10" s="112" t="str">
        <f>IF(OR(BM10="",BM11="",AND(BN10="",BN11&lt;&gt;""),AND(BN11="",BN10&lt;&gt;""),AND(BO10="",BO11&lt;&gt;""),AND(BO11="",BO10&lt;&gt;"")),"",BM10*1000+BN10*10+BO10)</f>
        <v/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6</v>
      </c>
      <c r="AL11" s="123">
        <f>AI11-AJ11</f>
        <v>-3</v>
      </c>
      <c r="AM11" s="123">
        <f>AL11-AL12</f>
        <v>0</v>
      </c>
      <c r="AN11" s="123">
        <f>AF11*3+AG11</f>
        <v>1</v>
      </c>
      <c r="AO11" s="123">
        <f>AN11/AN12*10+BA11</f>
        <v>1.25</v>
      </c>
      <c r="AP11" s="123">
        <f>AO11*10000000+BI11*100+AM11/AM12*10+AI11/AI12*1++IF(AQ11=0,ROW(),AQ11)/2000000</f>
        <v>12500000.500750691</v>
      </c>
      <c r="AQ11" s="126">
        <f>VLOOKUP(AE11,db_fifarank,2,FALSE)</f>
        <v>1501.38</v>
      </c>
      <c r="AR11" s="125">
        <f>AP11/AP12</f>
        <v>0.14285713197999744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/>
      <c r="BN11" s="64"/>
      <c r="BO11" s="27"/>
      <c r="BP11" s="113" t="str">
        <f>IF(BP10="","",BM11*1000+BN11*10+BO11)</f>
        <v/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-3</v>
      </c>
      <c r="AM12" s="123">
        <f>MAX(AM8:AM11)+1</f>
        <v>6</v>
      </c>
      <c r="AN12" s="123">
        <f>MAX(AN8:AN11)+1</f>
        <v>8</v>
      </c>
      <c r="AO12" s="123">
        <f>MAX(AO8:AO11)+1</f>
        <v>9.75</v>
      </c>
      <c r="AP12" s="123">
        <f>MAX(AP8:AP11)+1</f>
        <v>87500010.167507172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/>
      </c>
      <c r="BT12" s="61"/>
      <c r="BU12" s="63"/>
      <c r="BV12" s="25"/>
      <c r="BW12" s="112" t="str">
        <f>IF(OR(BT12="",BT13="",AND(BU12="",BU13&lt;&gt;""),AND(BU13="",BU12&lt;&gt;""),AND(BV12="",BV13&lt;&gt;""),AND(BV13="",BV12&lt;&gt;"")),"",BT12*1000+BU12*10+BV12)</f>
        <v/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0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/>
      </c>
      <c r="BT13" s="62"/>
      <c r="BU13" s="64"/>
      <c r="BV13" s="27"/>
      <c r="BW13" s="113" t="str">
        <f>IF(BW12="","",BT13*1000+BU13*10+BV13)</f>
        <v/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4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7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87500009.375778243</v>
      </c>
      <c r="AQ14" s="126">
        <f>VLOOKUP(AE14,db_fifarank,2,FALSE)</f>
        <v>1556.48</v>
      </c>
      <c r="AR14" s="125">
        <f>AP14/AP18</f>
        <v>0.99999998857142991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/>
      <c r="BN14" s="63"/>
      <c r="BO14" s="25"/>
      <c r="BP14" s="116" t="str">
        <f>IF(OR(BM14="",BM15="",AND(BN14="",BN15&lt;&gt;""),AND(BN15="",BN14&lt;&gt;""),AND(BO14="",BO15&lt;&gt;""),AND(BO15="",BO14&lt;&gt;"")),"",BM14*1000+BN14*10+BO14)</f>
        <v/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2</v>
      </c>
      <c r="AN15" s="123">
        <f>AF15*3+AG15</f>
        <v>2</v>
      </c>
      <c r="AO15" s="123">
        <f>AN15/AN18*10+BA15</f>
        <v>2.5</v>
      </c>
      <c r="AP15" s="123">
        <f>AO15*10000000+BI15*100+AM15/AM18*10+AI15/AI18*1++IF(AQ15=0,ROW(),AQ15)/2000000</f>
        <v>25000002.625692919</v>
      </c>
      <c r="AQ15" s="126">
        <f>VLOOKUP(AE15,db_fifarank,2,FALSE)</f>
        <v>1385.84</v>
      </c>
      <c r="AR15" s="125">
        <f>AP15/AP18</f>
        <v>0.285714281842113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Tunisia</v>
      </c>
      <c r="BM15" s="62"/>
      <c r="BN15" s="64"/>
      <c r="BO15" s="27"/>
      <c r="BP15" s="112" t="str">
        <f>IF(BP14="","",BM15*1000+BN15*10+BO15)</f>
        <v/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7 - 4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1.25</v>
      </c>
      <c r="AP16" s="123">
        <f>AO16*10000000+BI16*100+AM16/AM18*10+AI16/AI18*1++IF(AQ16=0,ROW(),AQ16)/2000000</f>
        <v>12500000.12572748</v>
      </c>
      <c r="AQ16" s="126">
        <f>VLOOKUP(AE16,db_fifarank,2,FALSE)</f>
        <v>1454.96</v>
      </c>
      <c r="AR16" s="125">
        <f>AP16/AP18</f>
        <v>0.14285712735398406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/>
      </c>
      <c r="CA16" s="61"/>
      <c r="CB16" s="63"/>
      <c r="CC16" s="25"/>
      <c r="CD16" s="112" t="str">
        <f>IF(OR(CA16="",CA17="",AND(CB16="",CB17&lt;&gt;""),AND(CB17="",CB16&lt;&gt;""),AND(CC16="",CC17&lt;&gt;""),AND(CC17="",CC16&lt;&gt;"")),"",CA16*1000+CB16*10+CC16)</f>
        <v/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1 - 3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4</v>
      </c>
      <c r="AL17" s="123">
        <f>AI17-AJ17</f>
        <v>3</v>
      </c>
      <c r="AM17" s="123">
        <f>AL17-AL18</f>
        <v>7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62500009.625824697</v>
      </c>
      <c r="AQ17" s="126">
        <f>VLOOKUP(AE17,db_fifarank,2,FALSE)</f>
        <v>1649.4</v>
      </c>
      <c r="AR17" s="125">
        <f>AP17/AP18</f>
        <v>0.71428573959490582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/>
      </c>
      <c r="CA17" s="62"/>
      <c r="CB17" s="64"/>
      <c r="CC17" s="27"/>
      <c r="CD17" s="113" t="str">
        <f>IF(CD16="","",CA17*1000+CB17*10+CC17)</f>
        <v/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1 - 5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3</v>
      </c>
      <c r="AI18" s="123">
        <f>MAX(AI14:AI17)+1</f>
        <v>8</v>
      </c>
      <c r="AL18" s="123">
        <f>MIN(AL14:AL17)</f>
        <v>-4</v>
      </c>
      <c r="AM18" s="123">
        <f>MAX(AM14:AM17)+1</f>
        <v>8</v>
      </c>
      <c r="AN18" s="123">
        <f>MAX(AN14:AN17)+1</f>
        <v>8</v>
      </c>
      <c r="AO18" s="123">
        <f>MAX(AO14:AO17)+1</f>
        <v>9.75</v>
      </c>
      <c r="AP18" s="123">
        <f>MAX(AP14:AP17)+1</f>
        <v>87500010.375778243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South Africa</v>
      </c>
      <c r="BM18" s="61"/>
      <c r="BN18" s="63"/>
      <c r="BO18" s="25"/>
      <c r="BP18" s="112" t="str">
        <f>IF(OR(BM18="",BM19="",AND(BN18="",BN19&lt;&gt;""),AND(BN19="",BN18&lt;&gt;""),AND(BO18="",BO19&lt;&gt;""),AND(BO19="",BO18&lt;&gt;"")),"",BM18*1000+BN18*10+BO18)</f>
        <v/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/>
      <c r="BN19" s="64"/>
      <c r="BO19" s="27"/>
      <c r="BP19" s="113" t="str">
        <f>IF(BP18="","",BM19*1000+BN19*10+BO19)</f>
        <v/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0</v>
      </c>
      <c r="AH20" s="123">
        <f>COUNTIF($S$7:$T$78,"=" &amp; AE20 &amp; "_lose")</f>
        <v>1</v>
      </c>
      <c r="AI20" s="123">
        <f>SUMIF($E$7:$E$78,$AE20,$F$7:$F$78) + SUMIF($H$7:$H$78,$AE20,$G$7:$G$78)</f>
        <v>5</v>
      </c>
      <c r="AJ20" s="123">
        <f>SUMIF($E$7:$E$78,$AE20,$G$7:$G$78) + SUMIF($H$7:$H$78,$AE20,$F$7:$F$78)</f>
        <v>2</v>
      </c>
      <c r="AL20" s="123">
        <f>AI20-AJ20</f>
        <v>3</v>
      </c>
      <c r="AM20" s="123">
        <f>AL20-AL24</f>
        <v>10</v>
      </c>
      <c r="AN20" s="123">
        <f>AF20*3+AG20</f>
        <v>6</v>
      </c>
      <c r="AO20" s="123">
        <f>AN20/AN24*10+BA20</f>
        <v>6</v>
      </c>
      <c r="AP20" s="123">
        <f>AO20*10000000+BI20*100+AM20/AM24*10+AI20/AI24*1++IF(AQ20=0,ROW(),AQ20)/2000000</f>
        <v>60000007.768737718</v>
      </c>
      <c r="AQ20" s="126">
        <f>VLOOKUP(AE20,db_fifarank,2,FALSE)</f>
        <v>1761.16</v>
      </c>
      <c r="AR20" s="125">
        <f>AP20/AP24</f>
        <v>0.66666667030751336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/>
      </c>
      <c r="BT20" s="61"/>
      <c r="BU20" s="63"/>
      <c r="BV20" s="25"/>
      <c r="BW20" s="116" t="str">
        <f>IF(OR(BT20="",BT21="",AND(BU20="",BU21&lt;&gt;""),AND(BU21="",BU20&lt;&gt;""),AND(BV20="",BV21&lt;&gt;""),AND(BV21="",BV20&lt;&gt;"")),"",BT20*1000+BU20*10+BV20)</f>
        <v/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3</v>
      </c>
      <c r="AG21" s="123">
        <f>COUNTIF($S$7:$T$78,"=" &amp; AE21 &amp; "_draw")</f>
        <v>0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1</v>
      </c>
      <c r="AL21" s="123">
        <f>AI21-AJ21</f>
        <v>6</v>
      </c>
      <c r="AM21" s="123">
        <f>AL21-AL24</f>
        <v>13</v>
      </c>
      <c r="AN21" s="123">
        <f>AF21*3+AG21</f>
        <v>9</v>
      </c>
      <c r="AO21" s="123">
        <f>AN21/AN24*10+BA21</f>
        <v>9</v>
      </c>
      <c r="AP21" s="123">
        <f>AO21*10000000+BI21*100+AM21/AM24*10+AI21/AI24*1++IF(AQ21=0,ROW(),AQ21)/2000000</f>
        <v>90000010.161592215</v>
      </c>
      <c r="AQ21" s="126">
        <f>VLOOKUP(AE21,db_fifarank,2,FALSE)</f>
        <v>1755.87</v>
      </c>
      <c r="AR21" s="125">
        <f>AP21/AP24</f>
        <v>0.9999999888888903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/>
      </c>
      <c r="BT21" s="62"/>
      <c r="BU21" s="64"/>
      <c r="BV21" s="27"/>
      <c r="BW21" s="112" t="str">
        <f>IF(BW20="","",BT21*1000+BU21*10+BV21)</f>
        <v/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1</v>
      </c>
      <c r="W22" s="123">
        <f t="shared" si="4"/>
        <v>1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7.1761657766951545E-12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/>
      <c r="BN22" s="63"/>
      <c r="BO22" s="25"/>
      <c r="BP22" s="116" t="str">
        <f>IF(OR(BM22="",BM23="",AND(BN22="",BN23&lt;&gt;""),AND(BN23="",BN22&lt;&gt;""),AND(BO22="",BO23&lt;&gt;""),AND(BO23="",BO22&lt;&gt;"")),"",BM22*1000+BN22*10+BO22)</f>
        <v/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3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5</v>
      </c>
      <c r="AL23" s="123">
        <f>AI23-AJ23</f>
        <v>-2</v>
      </c>
      <c r="AM23" s="123">
        <f>AL23-AL24</f>
        <v>5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30000003.947177745</v>
      </c>
      <c r="AQ23" s="126">
        <f>VLOOKUP(AE23,db_fifarank,2,FALSE)</f>
        <v>1498.35</v>
      </c>
      <c r="AR23" s="125">
        <f>AP23/AP24</f>
        <v>0.33333333585163311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Brazil</v>
      </c>
      <c r="BM23" s="62"/>
      <c r="BN23" s="64"/>
      <c r="BO23" s="27"/>
      <c r="BP23" s="112" t="str">
        <f>IF(BP22="","",BM23*1000+BN23*10+BO23)</f>
        <v/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/>
      </c>
      <c r="CH23" s="61"/>
      <c r="CI23" s="63"/>
      <c r="CJ23" s="25"/>
      <c r="CK23" s="112" t="str">
        <f>IF(OR(CH23="",CH24="",AND(CI23="",CI24&lt;&gt;""),AND(CI24="",CI23&lt;&gt;""),AND(CJ23="",CJ24&lt;&gt;""),AND(CJ24="",CJ23&lt;&gt;"")),"",CH23*1000+CI23*10+CJ23)</f>
        <v/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-7</v>
      </c>
      <c r="AM24" s="123">
        <f>MAX(AM20:AM23)+1</f>
        <v>14</v>
      </c>
      <c r="AN24" s="123">
        <f>MAX(AN20:AN23)+1</f>
        <v>10</v>
      </c>
      <c r="AO24" s="123">
        <f>MAX(AO20:AO23)+1</f>
        <v>10</v>
      </c>
      <c r="AP24" s="123">
        <f>MAX(AP20:AP23)+1</f>
        <v>90000011.161592215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/>
      </c>
      <c r="CH24" s="62"/>
      <c r="CI24" s="64"/>
      <c r="CJ24" s="27"/>
      <c r="CK24" s="113" t="str">
        <f>IF(CK23="","",CH24*1000+CI24*10+CJ24)</f>
        <v/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4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1</v>
      </c>
      <c r="V26" s="123">
        <f t="shared" si="3"/>
        <v>0</v>
      </c>
      <c r="W26" s="123">
        <f t="shared" si="4"/>
        <v>0</v>
      </c>
      <c r="X26" s="123">
        <f t="shared" si="9"/>
        <v>1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2</v>
      </c>
      <c r="AH26" s="123">
        <f>COUNTIF($S$7:$T$78,"=" &amp; AE26 &amp; "_lose")</f>
        <v>1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4</v>
      </c>
      <c r="AL26" s="123">
        <f>AI26-AJ26</f>
        <v>-1</v>
      </c>
      <c r="AM26" s="123">
        <f>AL26-AL30</f>
        <v>1</v>
      </c>
      <c r="AN26" s="123">
        <f>AF26*3+AG26</f>
        <v>2</v>
      </c>
      <c r="AO26" s="123">
        <f>AN26/AN30*10+BA26</f>
        <v>3.4805825242718447</v>
      </c>
      <c r="AP26" s="123">
        <f>AO26*10000000+BI26*100+AM26/AM30*10+AI26/AI30*1++IF(AQ26=0,ROW(),AQ26)/2000000</f>
        <v>34805925.343474098</v>
      </c>
      <c r="AQ26" s="126">
        <f>VLOOKUP(AE26,db_fifarank,2,FALSE)</f>
        <v>1673.13</v>
      </c>
      <c r="AR26" s="125">
        <f>AP26/AP30</f>
        <v>0.39778195751410572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31">
        <v>83</v>
      </c>
      <c r="BL26" s="24" t="str">
        <f>AS69</f>
        <v>Colombia</v>
      </c>
      <c r="BM26" s="61"/>
      <c r="BN26" s="63"/>
      <c r="BO26" s="25"/>
      <c r="BP26" s="112" t="str">
        <f>IF(OR(BM26="",BM27="",AND(BN26="",BN27&lt;&gt;""),AND(BN27="",BN26&lt;&gt;""),AND(BO26="",BO27&lt;&gt;""),AND(BO27="",BO26&lt;&gt;"")),"",BM26*1000+BN26*10+BO26)</f>
        <v/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2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7 - 4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2</v>
      </c>
      <c r="W27" s="123">
        <f t="shared" si="4"/>
        <v>2</v>
      </c>
      <c r="X27" s="123">
        <f t="shared" si="9"/>
        <v>1</v>
      </c>
      <c r="Y27" s="123">
        <f t="shared" si="10"/>
        <v>2</v>
      </c>
      <c r="Z27" s="123">
        <f t="shared" si="11"/>
        <v>2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1</v>
      </c>
      <c r="AH27" s="123">
        <f>COUNTIF($S$7:$T$78,"=" &amp; AE27 &amp; "_lose")</f>
        <v>0</v>
      </c>
      <c r="AI27" s="123">
        <f>SUMIF($E$7:$E$78,$AE27,$F$7:$F$78) + SUMIF($H$7:$H$78,$AE27,$G$7:$G$78)</f>
        <v>7</v>
      </c>
      <c r="AJ27" s="123">
        <f>SUMIF($E$7:$E$78,$AE27,$G$7:$G$78) + SUMIF($H$7:$H$78,$AE27,$F$7:$F$78)</f>
        <v>4</v>
      </c>
      <c r="AL27" s="123">
        <f>AI27-AJ27</f>
        <v>3</v>
      </c>
      <c r="AM27" s="123">
        <f>AL27-AL30</f>
        <v>5</v>
      </c>
      <c r="AN27" s="123">
        <f>AF27*3+AG27</f>
        <v>7</v>
      </c>
      <c r="AO27" s="123">
        <f>AN27/AN30*10+BA27</f>
        <v>8.75</v>
      </c>
      <c r="AP27" s="123">
        <f>AO27*10000000+BI27*100+AM27/AM30*10+AI27/AI30*1++IF(AQ27=0,ROW(),AQ27)/2000000</f>
        <v>87500009.209085077</v>
      </c>
      <c r="AQ27" s="126">
        <f>VLOOKUP(AE27,db_fifarank,2,FALSE)</f>
        <v>1503.5</v>
      </c>
      <c r="AR27" s="125">
        <f>AP27/AP30</f>
        <v>0.99999998857142991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/>
      <c r="BN27" s="64"/>
      <c r="BO27" s="27"/>
      <c r="BP27" s="113" t="str">
        <f>IF(BP26="","",BM27*1000+BN27*10+BO27)</f>
        <v/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5 - 5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4</v>
      </c>
      <c r="AL28" s="123">
        <f>AI28-AJ28</f>
        <v>-2</v>
      </c>
      <c r="AM28" s="123">
        <f>AL28-AL30</f>
        <v>0</v>
      </c>
      <c r="AN28" s="123">
        <f>AF28*3+AG28</f>
        <v>2</v>
      </c>
      <c r="AO28" s="123">
        <f>AN28/AN30*10+BA28</f>
        <v>3.4805825242718447</v>
      </c>
      <c r="AP28" s="123">
        <f>AO28*10000000+BI28*100+AM28/AM30*10+AI28/AI30*1++IF(AQ28=0,ROW(),AQ28)/2000000</f>
        <v>34805923.551761203</v>
      </c>
      <c r="AQ28" s="126">
        <f>VLOOKUP(AE28,db_fifarank,2,FALSE)</f>
        <v>1580.67</v>
      </c>
      <c r="AR28" s="125">
        <f>AP28/AP30</f>
        <v>0.39778193703738934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/>
      </c>
      <c r="BT28" s="61"/>
      <c r="BU28" s="63"/>
      <c r="BV28" s="25"/>
      <c r="BW28" s="112" t="str">
        <f>IF(OR(BT28="",BT29="",AND(BU28="",BU29&lt;&gt;""),AND(BU29="",BU28&lt;&gt;""),AND(BV28="",BV29&lt;&gt;""),AND(BV29="",BV28&lt;&gt;"")),"",BT28*1000+BU28*10+BV28)</f>
        <v/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1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5</v>
      </c>
      <c r="AL29" s="123">
        <f>AI29-AJ29</f>
        <v>0</v>
      </c>
      <c r="AM29" s="123">
        <f>AL29-AL30</f>
        <v>2</v>
      </c>
      <c r="AN29" s="123">
        <f>AF29*3+AG29</f>
        <v>4</v>
      </c>
      <c r="AO29" s="123">
        <f>AN29/AN30*10+BA29</f>
        <v>5</v>
      </c>
      <c r="AP29" s="123">
        <f>AO29*10000000+BI29*100+AM29/AM30*10+AI29/AI30*1++IF(AQ29=0,ROW(),AQ29)/2000000</f>
        <v>50000003.959132858</v>
      </c>
      <c r="AQ29" s="126">
        <f>VLOOKUP(AE29,db_fifarank,2,FALSE)</f>
        <v>1599.04</v>
      </c>
      <c r="AR29" s="125">
        <f>AP29/AP30</f>
        <v>0.57142855000423054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/>
      </c>
      <c r="BT29" s="62"/>
      <c r="BU29" s="64"/>
      <c r="BV29" s="27"/>
      <c r="BW29" s="113" t="str">
        <f>IF(BW28="","",BT29*1000+BU29*10+BV29)</f>
        <v/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2 - 4</v>
      </c>
      <c r="P30" s="37">
        <f>L30*3+M30</f>
        <v>2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2</v>
      </c>
      <c r="AI30" s="123">
        <f>MAX(AI26:AI29)+1</f>
        <v>8</v>
      </c>
      <c r="AL30" s="123">
        <f>MIN(AL26:AL29)</f>
        <v>-2</v>
      </c>
      <c r="AM30" s="123">
        <f>MAX(AM26:AM29)+1</f>
        <v>6</v>
      </c>
      <c r="AN30" s="123">
        <f>MAX(AN26:AN29)+1</f>
        <v>8</v>
      </c>
      <c r="AO30" s="123">
        <f>MAX(AO26:AO29)+1</f>
        <v>9.75</v>
      </c>
      <c r="AP30" s="123">
        <f>MAX(AP26:AP29)+1</f>
        <v>87500010.209085077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/>
      <c r="BN30" s="63"/>
      <c r="BO30" s="25"/>
      <c r="BP30" s="116" t="str">
        <f>IF(OR(BM30="",BM31="",AND(BN30="",BN31&lt;&gt;""),AND(BN31="",BN30&lt;&gt;""),AND(BO30="",BO31&lt;&gt;""),AND(BO31="",BO30&lt;&gt;"")),"",BM30*1000+BN30*10+BO30)</f>
        <v/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3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32"/>
      <c r="BL31" s="26" t="str">
        <f>AS63</f>
        <v>Algeria</v>
      </c>
      <c r="BM31" s="62"/>
      <c r="BN31" s="64"/>
      <c r="BO31" s="27"/>
      <c r="BP31" s="112" t="str">
        <f>IF(BP30="","",BM31*1000+BN31*10+BO31)</f>
        <v/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90000010.284956098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/>
      </c>
      <c r="CA32" s="61"/>
      <c r="CB32" s="63"/>
      <c r="CC32" s="25"/>
      <c r="CD32" s="116" t="str">
        <f>IF(OR(CA32="",CA33="",AND(CB32="",CB33&lt;&gt;""),AND(CB33="",CB32&lt;&gt;""),AND(CC32="",CC33&lt;&gt;""),AND(CC33="",CC32&lt;&gt;"")),"",CA32*1000+CB32*10+CC32)</f>
        <v/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1</v>
      </c>
      <c r="AO33" s="123">
        <f>AN33/AN36*10+BA33</f>
        <v>1</v>
      </c>
      <c r="AP33" s="123">
        <f>AO33*10000000+BI33*100+AM33/AM36*10+AI33/AI36*1++IF(AQ33=0,ROW(),AQ33)/2000000</f>
        <v>10000000.000647325</v>
      </c>
      <c r="AQ33" s="126">
        <f>VLOOKUP(AE33,db_fifarank,2,FALSE)</f>
        <v>1294.6500000000001</v>
      </c>
      <c r="AR33" s="125">
        <f>AP33/AP36</f>
        <v>0.11111109718626079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/>
      </c>
      <c r="CA33" s="62"/>
      <c r="CB33" s="64"/>
      <c r="CC33" s="27"/>
      <c r="CD33" s="112" t="str">
        <f>IF(CD32="","",CA33*1000+CB33*10+CC33)</f>
        <v/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2</v>
      </c>
      <c r="AH34" s="123">
        <f>COUNTIF($S$7:$T$78,"=" &amp; AE34 &amp; "_lose")</f>
        <v>1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5</v>
      </c>
      <c r="AL34" s="123">
        <f>AI34-AJ34</f>
        <v>-3</v>
      </c>
      <c r="AM34" s="123">
        <f>AL34-AL36</f>
        <v>4</v>
      </c>
      <c r="AN34" s="123">
        <f>AF34*3+AG34</f>
        <v>2</v>
      </c>
      <c r="AO34" s="123">
        <f>AN34/AN36*10+BA34</f>
        <v>2</v>
      </c>
      <c r="AP34" s="123">
        <f>AO34*10000000+BI34*100+AM34/AM36*10+AI34/AI36*1++IF(AQ34=0,ROW(),AQ34)/2000000</f>
        <v>20000002.682584673</v>
      </c>
      <c r="AQ34" s="126">
        <f>VLOOKUP(AE34,db_fifarank,2,FALSE)</f>
        <v>1532.98</v>
      </c>
      <c r="AR34" s="125">
        <f>AP34/AP36</f>
        <v>0.22222222416462922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Paraguay</v>
      </c>
      <c r="BM34" s="61"/>
      <c r="BN34" s="63"/>
      <c r="BO34" s="25"/>
      <c r="BP34" s="112" t="str">
        <f>IF(OR(BM34="",BM35="",AND(BN34="",BN35&lt;&gt;""),AND(BN35="",BN34&lt;&gt;""),AND(BO34="",BO35&lt;&gt;""),AND(BO35="",BO34&lt;&gt;"")),"",BM34*1000+BN34*10+BO34)</f>
        <v/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2 - 5</v>
      </c>
      <c r="P35" s="34">
        <f>L35*3+M35</f>
        <v>2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9</v>
      </c>
      <c r="AN35" s="123">
        <f>AF35*3+AG35</f>
        <v>4</v>
      </c>
      <c r="AO35" s="123">
        <f>AN35/AN36*10+BA35</f>
        <v>4</v>
      </c>
      <c r="AP35" s="123">
        <f>AO35*10000000+BI35*100+AM35/AM36*10+AI35/AI36*1++IF(AQ35=0,ROW(),AQ35)/2000000</f>
        <v>40000006.080342844</v>
      </c>
      <c r="AQ35" s="126">
        <f>VLOOKUP(AE35,db_fifarank,2,FALSE)</f>
        <v>1594.78</v>
      </c>
      <c r="AR35" s="125">
        <f>AP35/AP36</f>
        <v>0.44444445627562962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/>
      <c r="BN35" s="64"/>
      <c r="BO35" s="27"/>
      <c r="BP35" s="113" t="str">
        <f>IF(BP34="","",BM35*1000+BN35*10+BO35)</f>
        <v/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0 - 7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3</v>
      </c>
      <c r="AI36" s="123">
        <f>MAX(AI32:AI35)+1</f>
        <v>11</v>
      </c>
      <c r="AL36" s="123">
        <f>MIN(AL32:AL35)</f>
        <v>-7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90000011.284956098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/>
      </c>
      <c r="BT36" s="61"/>
      <c r="BU36" s="63"/>
      <c r="BV36" s="25"/>
      <c r="BW36" s="116" t="str">
        <f>IF(OR(BT36="",BT37="",AND(BU36="",BU37&lt;&gt;""),AND(BU37="",BU36&lt;&gt;""),AND(BV36="",BV37&lt;&gt;""),AND(BV37="",BV36&lt;&gt;"")),"",BT36*1000+BU36*10+BV36)</f>
        <v/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1</v>
      </c>
      <c r="V37" s="123">
        <f t="shared" si="3"/>
        <v>1</v>
      </c>
      <c r="W37" s="123">
        <f t="shared" si="4"/>
        <v>1</v>
      </c>
      <c r="X37" s="123">
        <f t="shared" si="9"/>
        <v>1</v>
      </c>
      <c r="Y37" s="123">
        <f t="shared" si="10"/>
        <v>1</v>
      </c>
      <c r="Z37" s="123">
        <f t="shared" si="11"/>
        <v>1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/>
      </c>
      <c r="BT37" s="62"/>
      <c r="BU37" s="64"/>
      <c r="BV37" s="27"/>
      <c r="BW37" s="112" t="str">
        <f>IF(BW36="","",BT37*1000+BU37*10+BV37)</f>
        <v/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/>
      </c>
      <c r="CO37" s="61"/>
      <c r="CP37" s="63"/>
      <c r="CQ37" s="25"/>
      <c r="CR37" s="111" t="str">
        <f>IF(OR(CO37="",CO38="",AND(CP37="",CP38&lt;&gt;""),AND(CP38="",CP37&lt;&gt;""),AND(CQ37="",CQ38&lt;&gt;""),AND(CQ38="",CQ37&lt;&gt;"")),"",CO37*1000+CP37*10+CQ37)</f>
        <v/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4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9</v>
      </c>
      <c r="AJ38" s="123">
        <f>SUMIF($E$7:$E$78,$AE38,$G$7:$G$78) + SUMIF($H$7:$H$78,$AE38,$F$7:$F$78)</f>
        <v>2</v>
      </c>
      <c r="AL38" s="123">
        <f>AI38-AJ38</f>
        <v>7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90000010.067545608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/>
      <c r="BN38" s="63"/>
      <c r="BO38" s="25"/>
      <c r="BP38" s="116" t="str">
        <f>IF(OR(BM38="",BM39="",AND(BN38="",BN39&lt;&gt;""),AND(BN39="",BN38&lt;&gt;""),AND(BO38="",BO39&lt;&gt;""),AND(BO39="",BO38&lt;&gt;"")),"",BM38*1000+BN38*10+BO38)</f>
        <v/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/>
      </c>
      <c r="CO38" s="62"/>
      <c r="CP38" s="64"/>
      <c r="CQ38" s="27"/>
      <c r="CR38" s="111" t="str">
        <f>IF(CR37="","",CO38*1000+CP38*10+CQ38)</f>
        <v/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4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9 - 2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5</v>
      </c>
      <c r="AL39" s="123">
        <f>AI39-AJ39</f>
        <v>-3</v>
      </c>
      <c r="AM39" s="123">
        <f>AL39-AL42</f>
        <v>1</v>
      </c>
      <c r="AN39" s="123">
        <f>AF39*3+AG39</f>
        <v>1</v>
      </c>
      <c r="AO39" s="123">
        <f>AN39/AN42*10+BA39</f>
        <v>1</v>
      </c>
      <c r="AP39" s="123">
        <f>AO39*10000000+BI39*100+AM39/AM42*10+AI39/AI42*1++IF(AQ39=0,ROW(),AQ39)/2000000</f>
        <v>10000001.034163548</v>
      </c>
      <c r="AQ39" s="126">
        <f>VLOOKUP(AE39,db_fifarank,2,FALSE)</f>
        <v>1660.43</v>
      </c>
      <c r="AR39" s="125">
        <f>AP39/AP42</f>
        <v>0.11111110893818091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/>
      <c r="BN39" s="64"/>
      <c r="BO39" s="27"/>
      <c r="BP39" s="112" t="str">
        <f>IF(BP38="","",BM39*1000+BN39*10+BO39)</f>
        <v/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4 - 4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4</v>
      </c>
      <c r="AN40" s="123">
        <f>AF40*3+AG40</f>
        <v>4</v>
      </c>
      <c r="AO40" s="123">
        <f>AN40/AN42*10+BA40</f>
        <v>4</v>
      </c>
      <c r="AP40" s="123">
        <f>AO40*10000000+BI40*100+AM40/AM42*10+AI40/AI42*1++IF(AQ40=0,ROW(),AQ40)/2000000</f>
        <v>40000003.734090716</v>
      </c>
      <c r="AQ40" s="126">
        <f>VLOOKUP(AE40,db_fifarank,2,FALSE)</f>
        <v>1514.77</v>
      </c>
      <c r="AR40" s="125">
        <f>AP40/AP42</f>
        <v>0.44444443127979671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2 - 6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6</v>
      </c>
      <c r="AL41" s="123">
        <f>AI41-AJ41</f>
        <v>-4</v>
      </c>
      <c r="AM41" s="123">
        <f>AL41-AL42</f>
        <v>0</v>
      </c>
      <c r="AN41" s="123">
        <f>AF41*3+AG41</f>
        <v>3</v>
      </c>
      <c r="AO41" s="123">
        <f>AN41/AN42*10+BA41</f>
        <v>3</v>
      </c>
      <c r="AP41" s="123">
        <f>AO41*10000000+BI41*100+AM41/AM42*10+AI41/AI42*1++IF(AQ41=0,ROW(),AQ41)/2000000</f>
        <v>30000000.200741526</v>
      </c>
      <c r="AQ41" s="126">
        <f>VLOOKUP(AE41,db_fifarank,2,FALSE)</f>
        <v>1483.05</v>
      </c>
      <c r="AR41" s="125">
        <f>AP41/AP42</f>
        <v>0.33333329457288985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0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Tunisia_win</v>
      </c>
      <c r="T42" s="127" t="str">
        <f t="shared" si="2"/>
        <v>Japan_lose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10</v>
      </c>
      <c r="AL42" s="123">
        <f>MIN(AL38:AL41)</f>
        <v>-4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90000011.067545608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Morocco</v>
      </c>
      <c r="BM42" s="61"/>
      <c r="BN42" s="63"/>
      <c r="BO42" s="25"/>
      <c r="BP42" s="112" t="str">
        <f>IF(OR(BM42="",BM43="",AND(BN42="",BN43&lt;&gt;""),AND(BN43="",BN42&lt;&gt;""),AND(BO42="",BO43&lt;&gt;""),AND(BO43="",BO42&lt;&gt;"")),"",BM42*1000+BN42*10+BO42)</f>
        <v/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/>
      <c r="BN43" s="64"/>
      <c r="BO43" s="27"/>
      <c r="BP43" s="113" t="str">
        <f>IF(BP42="","",BM43*1000+BN43*10+BO43)</f>
        <v/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2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3</v>
      </c>
      <c r="AL44" s="123">
        <f>AI44-AJ44</f>
        <v>2</v>
      </c>
      <c r="AM44" s="123">
        <f>AL44-AL48</f>
        <v>8</v>
      </c>
      <c r="AN44" s="123">
        <f>AF44*3+AG44</f>
        <v>5</v>
      </c>
      <c r="AO44" s="123">
        <f>AN44/AN48*10+BA44</f>
        <v>9.3186991869918714</v>
      </c>
      <c r="AP44" s="123">
        <f>AO44*10000000+BI44*100+AM44/AM48*10+AI44/AI48*1++IF(AQ44=0,ROW(),AQ44)/2000000</f>
        <v>93187001.593008295</v>
      </c>
      <c r="AQ44" s="126">
        <f>VLOOKUP(AE44,db_fifarank,2,FALSE)</f>
        <v>1734.71</v>
      </c>
      <c r="AR44" s="125">
        <f>AP44/AP48</f>
        <v>0.99999998926888978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2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67.333333333333329</v>
      </c>
      <c r="BA44" s="126">
        <f>AZ44/AZ48</f>
        <v>0.98536585365853657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/>
      </c>
      <c r="BT44" s="61"/>
      <c r="BU44" s="63"/>
      <c r="BV44" s="25"/>
      <c r="BW44" s="112" t="str">
        <f>IF(OR(BT44="",BT45="",AND(BU44="",BU45&lt;&gt;""),AND(BU45="",BU44&lt;&gt;""),AND(BV44="",BV45&lt;&gt;""),AND(BV45="",BV44&lt;&gt;"")),"",BT44*1000+BU44*10+BV44)</f>
        <v/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1</v>
      </c>
      <c r="M45" s="31">
        <f>VLOOKUP(1,AD44:AN47,4,FALSE)</f>
        <v>2</v>
      </c>
      <c r="N45" s="31">
        <f>VLOOKUP(1,AD44:AN47,5,FALSE)</f>
        <v>0</v>
      </c>
      <c r="O45" s="31" t="str">
        <f>VLOOKUP(1,AD44:AN47,6,FALSE) &amp; " - " &amp; VLOOKUP(1,AD44:AN47,7,FALSE)</f>
        <v>5 - 3</v>
      </c>
      <c r="P45" s="32">
        <f>L45*3+M45</f>
        <v>5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1</v>
      </c>
      <c r="V45" s="123">
        <f t="shared" si="3"/>
        <v>1</v>
      </c>
      <c r="W45" s="123">
        <f t="shared" si="4"/>
        <v>1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2</v>
      </c>
      <c r="AH45" s="123">
        <f>COUNTIF($S$7:$T$78,"=" &amp; AE45 &amp; "_lose")</f>
        <v>0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2</v>
      </c>
      <c r="AL45" s="123">
        <f>AI45-AJ45</f>
        <v>2</v>
      </c>
      <c r="AM45" s="123">
        <f>AL45-AL48</f>
        <v>8</v>
      </c>
      <c r="AN45" s="123">
        <f>AF45*3+AG45</f>
        <v>5</v>
      </c>
      <c r="AO45" s="123">
        <f>AN45/AN48*10+BA45</f>
        <v>9.3138211382113827</v>
      </c>
      <c r="AP45" s="123">
        <f>AO45*10000000+BI45*100+AM45/AM48*10+AI45/AI48*1++IF(AQ45=0,ROW(),AQ45)/2000000</f>
        <v>93138318.977666706</v>
      </c>
      <c r="AQ45" s="126">
        <f>VLOOKUP(AE45,db_fifarank,2,FALSE)</f>
        <v>1563.24</v>
      </c>
      <c r="AR45" s="125">
        <f>AP45/AP48</f>
        <v>0.99947757075571775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2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66.999999999999986</v>
      </c>
      <c r="BA45" s="126">
        <f>AZ45/AZ48</f>
        <v>0.98048780487804865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</v>
      </c>
      <c r="BI45" s="126">
        <f>BH45/BH48</f>
        <v>0.98039215686274506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/>
      </c>
      <c r="BT45" s="62"/>
      <c r="BU45" s="64"/>
      <c r="BV45" s="27"/>
      <c r="BW45" s="113" t="str">
        <f>IF(BW44="","",BT45*1000+BU45*10+BV45)</f>
        <v/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4 - 2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2</v>
      </c>
      <c r="AH46" s="123">
        <f>COUNTIF($S$7:$T$78,"=" &amp; AE46 &amp; "_lose")</f>
        <v>0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1</v>
      </c>
      <c r="AL46" s="123">
        <f>AI46-AJ46</f>
        <v>2</v>
      </c>
      <c r="AM46" s="123">
        <f>AL46-AL48</f>
        <v>8</v>
      </c>
      <c r="AN46" s="123">
        <f>AF46*3+AG46</f>
        <v>5</v>
      </c>
      <c r="AO46" s="123">
        <f>AN46/AN48*10+BA46</f>
        <v>9.3138211382113827</v>
      </c>
      <c r="AP46" s="123">
        <f>AO46*10000000+BI46*100+AM46/AM48*10+AI46/AI48*1++IF(AQ46=0,ROW(),AQ46)/2000000</f>
        <v>93138318.811026052</v>
      </c>
      <c r="AQ46" s="126">
        <f>VLOOKUP(AE46,db_fifarank,2,FALSE)</f>
        <v>1615.3</v>
      </c>
      <c r="AR46" s="125">
        <f>AP46/AP48</f>
        <v>0.99947756896747852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2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66.999999999999986</v>
      </c>
      <c r="BA46" s="126">
        <f>AZ46/AZ48</f>
        <v>0.98048780487804865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Ecuador</v>
      </c>
      <c r="BM46" s="61"/>
      <c r="BN46" s="63"/>
      <c r="BO46" s="25"/>
      <c r="BP46" s="116" t="str">
        <f>IF(OR(BM46="",BM47="",AND(BN46="",BN47&lt;&gt;""),AND(BN47="",BN46&lt;&gt;""),AND(BO46="",BO47&lt;&gt;""),AND(BO47="",BO46&lt;&gt;"")),"",BM46*1000+BN46*10+BO46)</f>
        <v/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2</v>
      </c>
      <c r="N47" s="23">
        <f>VLOOKUP(3,AD44:AN47,5,FALSE)</f>
        <v>0</v>
      </c>
      <c r="O47" s="23" t="str">
        <f>VLOOKUP(3,AD44:AN47,6,FALSE) &amp; " - " &amp; VLOOKUP(3,AD44:AN47,7,FALSE)</f>
        <v>3 - 1</v>
      </c>
      <c r="P47" s="34">
        <f>L47*3+M47</f>
        <v>5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8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0.33397411833333329</v>
      </c>
      <c r="AQ47" s="126">
        <f>VLOOKUP(AE47,db_fifarank,2,FALSE)</f>
        <v>1281.57</v>
      </c>
      <c r="AR47" s="125">
        <f>AP47/AP48</f>
        <v>3.5839130891671257E-9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/>
      <c r="BN47" s="64"/>
      <c r="BO47" s="27"/>
      <c r="BP47" s="112" t="str">
        <f>IF(BP46="","",BM47*1000+BN47*10+BO47)</f>
        <v/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2 - 8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2</v>
      </c>
      <c r="AG48" s="123">
        <f t="shared" si="24"/>
        <v>3</v>
      </c>
      <c r="AH48" s="123">
        <f t="shared" si="24"/>
        <v>4</v>
      </c>
      <c r="AI48" s="123">
        <f>MAX(AI44:AI47)+1</f>
        <v>6</v>
      </c>
      <c r="AL48" s="123">
        <f>MIN(AL44:AL47)</f>
        <v>-6</v>
      </c>
      <c r="AM48" s="123">
        <f>MAX(AM44:AM47)+1</f>
        <v>9</v>
      </c>
      <c r="AN48" s="123">
        <f>MAX(AN44:AN47)+1</f>
        <v>6</v>
      </c>
      <c r="AO48" s="123">
        <f>MAX(AO44:AO47)+1</f>
        <v>10.318699186991871</v>
      </c>
      <c r="AP48" s="123">
        <f>MAX(AP44:AP47)+1</f>
        <v>93187002.593008295</v>
      </c>
      <c r="AT48" s="126">
        <f>MAX(AT44:AT47)-MIN(AT44:AT47)+1</f>
        <v>1</v>
      </c>
      <c r="AU48" s="126">
        <f>MAX(AU44:AU47)-MIN(AU44:AU47)+1</f>
        <v>3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68.333333333333329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/>
      </c>
      <c r="CA48" s="61"/>
      <c r="CB48" s="63"/>
      <c r="CC48" s="25"/>
      <c r="CD48" s="112" t="str">
        <f>IF(OR(CA48="",CA49="",AND(CB48="",CB49&lt;&gt;""),AND(CB49="",CB48&lt;&gt;""),AND(CC48="",CC49&lt;&gt;""),AND(CC49="",CC48&lt;&gt;"")),"",CA48*1000+CB48*10+CC48)</f>
        <v/>
      </c>
      <c r="CK48" s="114"/>
      <c r="CL48" s="112"/>
      <c r="CM48" s="131">
        <v>103</v>
      </c>
      <c r="CN48" s="24" t="str">
        <f>IF(CK23&gt;CK24,CG24,IF(CK23&lt;CK24,CG23,""))</f>
        <v/>
      </c>
      <c r="CO48" s="61"/>
      <c r="CP48" s="63"/>
      <c r="CQ48" s="25"/>
      <c r="CR48" s="111" t="str">
        <f>IF(OR(CO48="",CO49="",AND(CP48="",CP49&lt;&gt;""),AND(CP49="",CP48&lt;&gt;""),AND(CQ48="",CQ49&lt;&gt;""),AND(CQ49="",CQ48&lt;&gt;"")),"",CO48*1000+CP48*10+CQ48)</f>
        <v/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4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/>
      </c>
      <c r="CA49" s="62"/>
      <c r="CB49" s="64"/>
      <c r="CC49" s="27"/>
      <c r="CD49" s="113" t="str">
        <f>IF(CD48="","",CA49*1000+CB49*10+CC49)</f>
        <v/>
      </c>
      <c r="CK49" s="114"/>
      <c r="CL49" s="115"/>
      <c r="CM49" s="132"/>
      <c r="CN49" s="26" t="str">
        <f>IF(CK55&gt;CK56,CG56,IF(CK55&lt;CK56,CG55,""))</f>
        <v/>
      </c>
      <c r="CO49" s="62"/>
      <c r="CP49" s="64"/>
      <c r="CQ49" s="27"/>
      <c r="CR49" s="111" t="str">
        <f>IF(CR48="","",CO49*1000+CP49*10+CQ49)</f>
        <v/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90000010.131707445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/>
      <c r="BN50" s="63"/>
      <c r="BO50" s="25"/>
      <c r="BP50" s="112" t="str">
        <f>IF(OR(BM50="",BM51="",AND(BN50="",BN51&lt;&gt;""),AND(BN51="",BN50&lt;&gt;""),AND(BO50="",BO51&lt;&gt;""),AND(BO51="",BO50&lt;&gt;"")),"",BM50*1000+BN50*10+BO50)</f>
        <v/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5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0.22004463510059669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32"/>
      <c r="BL51" s="26" t="str">
        <f>IF(group_round_completed,VLOOKUP('3rd places'!D3,AK80:AS91,9,FALSE),"3rd Group C/E/F/H/I")</f>
        <v>Scotland</v>
      </c>
      <c r="BM51" s="62"/>
      <c r="BN51" s="64"/>
      <c r="BO51" s="27"/>
      <c r="BP51" s="113" t="str">
        <f>IF(BP50="","",BM51*1000+BN51*10+BO51)</f>
        <v/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2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19804021.347015392</v>
      </c>
      <c r="AQ52" s="126">
        <f>VLOOKUP(AE52,db_fifarank,2,FALSE)</f>
        <v>1421.43</v>
      </c>
      <c r="AR52" s="125">
        <f>AP52/AP54</f>
        <v>0.22004465441714083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/>
      </c>
      <c r="BT52" s="61"/>
      <c r="BU52" s="63"/>
      <c r="BV52" s="25"/>
      <c r="BW52" s="116" t="str">
        <f>IF(OR(BT52="",BT53="",AND(BU52="",BU53&lt;&gt;""),AND(BU53="",BU52&lt;&gt;""),AND(BV52="",BV53&lt;&gt;""),AND(BV53="",BV52&lt;&gt;"")),"",BT52*1000+BU52*10+BV52)</f>
        <v/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1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4</v>
      </c>
      <c r="AL53" s="123">
        <f>AI53-AJ53</f>
        <v>1</v>
      </c>
      <c r="AM53" s="123">
        <f>AL53-AL54</f>
        <v>6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60000005.116221152</v>
      </c>
      <c r="AQ53" s="126">
        <f>VLOOKUP(AE53,db_fifarank,2,FALSE)</f>
        <v>1673.07</v>
      </c>
      <c r="AR53" s="125">
        <f>AP53/AP54</f>
        <v>0.66666664105647933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/>
      </c>
      <c r="BT53" s="62"/>
      <c r="BU53" s="64"/>
      <c r="BV53" s="27"/>
      <c r="BW53" s="112" t="str">
        <f>IF(BW52="","",BT53*1000+BU53*10+BV53)</f>
        <v/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0 - 5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10</v>
      </c>
      <c r="AL54" s="123">
        <f>MIN(AL50:AL53)</f>
        <v>-5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90000011.131707445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England</v>
      </c>
      <c r="BM54" s="61"/>
      <c r="BN54" s="63"/>
      <c r="BO54" s="25"/>
      <c r="BP54" s="116" t="str">
        <f>IF(OR(BM54="",BM55="",AND(BN54="",BN55&lt;&gt;""),AND(BN55="",BN54&lt;&gt;""),AND(BO54="",BO55&lt;&gt;""),AND(BO55="",BO54&lt;&gt;"")),"",BM54*1000+BN54*10+BO54)</f>
        <v/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Austria</v>
      </c>
      <c r="BM55" s="62"/>
      <c r="BN55" s="64"/>
      <c r="BO55" s="27"/>
      <c r="BP55" s="112" t="str">
        <f>IF(BP54="","",BM55*1000+BN55*10+BO55)</f>
        <v/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/>
      </c>
      <c r="CH55" s="61"/>
      <c r="CI55" s="63"/>
      <c r="CJ55" s="25"/>
      <c r="CK55" s="116" t="str">
        <f>IF(OR(CH55="",CH56="",AND(CI55="",CI56&lt;&gt;""),AND(CI56="",CI55&lt;&gt;""),AND(CJ55="",CJ56&lt;&gt;""),AND(CJ56="",CJ55&lt;&gt;"")),"",CH55*1000+CI55*10+CJ55)</f>
        <v/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6</v>
      </c>
      <c r="AL56" s="123">
        <f>AI56-AJ56</f>
        <v>3</v>
      </c>
      <c r="AM56" s="123">
        <f>AL56-AL60</f>
        <v>8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87500009.789827555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/>
      </c>
      <c r="CH56" s="62"/>
      <c r="CI56" s="64"/>
      <c r="CJ56" s="27"/>
      <c r="CK56" s="112" t="str">
        <f>IF(CK55="","",CH56*1000+CI56*10+CJ56)</f>
        <v/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9 - 6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2</v>
      </c>
      <c r="AH57" s="123">
        <f>COUNTIF($S$7:$T$78,"=" &amp; AE57 &amp; "_lose")</f>
        <v>0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5</v>
      </c>
      <c r="AL57" s="123">
        <f>AI57-AJ57</f>
        <v>1</v>
      </c>
      <c r="AM57" s="123">
        <f>AL57-AL60</f>
        <v>6</v>
      </c>
      <c r="AN57" s="123">
        <f>AF57*3+AG57</f>
        <v>5</v>
      </c>
      <c r="AO57" s="123">
        <f>AN57/AN60*10+BA57</f>
        <v>6.25</v>
      </c>
      <c r="AP57" s="123">
        <f>AO57*10000000+BI57*100+AM57/AM60*10+AI57/AI60*1++IF(AQ57=0,ROW(),AQ57)/2000000</f>
        <v>62500007.267511159</v>
      </c>
      <c r="AQ57" s="126">
        <f>VLOOKUP(AE57,db_fifarank,2,FALSE)</f>
        <v>1688.99</v>
      </c>
      <c r="AR57" s="125">
        <f>AP57/AP60</f>
        <v>0.71428570926276036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6 - 5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3</v>
      </c>
      <c r="AJ58" s="123">
        <f>SUMIF($E$7:$E$78,$AE58,$G$7:$G$78) + SUMIF($H$7:$H$78,$AE58,$F$7:$F$78)</f>
        <v>8</v>
      </c>
      <c r="AL58" s="123">
        <f>AI58-AJ58</f>
        <v>-5</v>
      </c>
      <c r="AM58" s="123">
        <f>AL58-AL60</f>
        <v>0</v>
      </c>
      <c r="AN58" s="123">
        <f>AF58*3+AG58</f>
        <v>1</v>
      </c>
      <c r="AO58" s="123">
        <f>AN58/AN60*10+BA58</f>
        <v>1.25</v>
      </c>
      <c r="AP58" s="123">
        <f>AO58*10000000+BI58*100+AM58/AM60*10+AI58/AI60*1++IF(AQ58=0,ROW(),AQ58)/2000000</f>
        <v>12500000.300723571</v>
      </c>
      <c r="AQ58" s="126">
        <f>VLOOKUP(AE58,db_fifarank,2,FALSE)</f>
        <v>1447.14</v>
      </c>
      <c r="AR58" s="125">
        <f>AP58/AP60</f>
        <v>0.14285712867794043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/>
      <c r="BN58" s="63"/>
      <c r="BO58" s="25"/>
      <c r="BP58" s="112" t="str">
        <f>IF(OR(BM58="",BM59="",AND(BN58="",BN59&lt;&gt;""),AND(BN59="",BN58&lt;&gt;""),AND(BO58="",BO59&lt;&gt;""),AND(BO59="",BO58&lt;&gt;"")),"",BM58*1000+BN58*10+BO58)</f>
        <v/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7 - 6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6</v>
      </c>
      <c r="AL59" s="123">
        <f>AI59-AJ59</f>
        <v>1</v>
      </c>
      <c r="AM59" s="123">
        <f>AL59-AL60</f>
        <v>6</v>
      </c>
      <c r="AN59" s="123">
        <f>AF59*3+AG59</f>
        <v>3</v>
      </c>
      <c r="AO59" s="123">
        <f>AN59/AN60*10+BA59</f>
        <v>3.75</v>
      </c>
      <c r="AP59" s="123">
        <f>AO59*10000000+BI59*100+AM59/AM60*10+AI59/AI60*1++IF(AQ59=0,ROW(),AQ59)/2000000</f>
        <v>37500007.367442138</v>
      </c>
      <c r="AQ59" s="126">
        <f>VLOOKUP(AE59,db_fifarank,2,FALSE)</f>
        <v>1550.94</v>
      </c>
      <c r="AR59" s="125">
        <f>AP59/AP60</f>
        <v>0.42857145992262846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/>
      <c r="BN59" s="64"/>
      <c r="BO59" s="27"/>
      <c r="BP59" s="113" t="str">
        <f>IF(BP58="","",BM59*1000+BN59*10+BO59)</f>
        <v/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3 - 8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3</v>
      </c>
      <c r="AI60" s="123">
        <f>MAX(AI56:AI59)+1</f>
        <v>10</v>
      </c>
      <c r="AL60" s="123">
        <f>MIN(AL56:AL59)</f>
        <v>-5</v>
      </c>
      <c r="AM60" s="123">
        <f>MAX(AM56:AM59)+1</f>
        <v>9</v>
      </c>
      <c r="AN60" s="123">
        <f>MAX(AN56:AN59)+1</f>
        <v>8</v>
      </c>
      <c r="AO60" s="123">
        <f>MAX(AO56:AO59)+1</f>
        <v>9.75</v>
      </c>
      <c r="AP60" s="123">
        <f>MAX(AP56:AP59)+1</f>
        <v>87500010.789827555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/>
      </c>
      <c r="BT60" s="61"/>
      <c r="BU60" s="63"/>
      <c r="BV60" s="25"/>
      <c r="BW60" s="112" t="str">
        <f>IF(OR(BT60="",BT61="",AND(BU60="",BU61&lt;&gt;""),AND(BU61="",BU60&lt;&gt;""),AND(BV60="",BV61&lt;&gt;""),AND(BV61="",BV60&lt;&gt;"")),"",BT60*1000+BU60*10+BV60)</f>
        <v/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/>
      </c>
      <c r="BT61" s="62"/>
      <c r="BU61" s="64"/>
      <c r="BV61" s="27"/>
      <c r="BW61" s="113" t="str">
        <f>IF(BW60="","",BT61*1000+BU61*10+BV61)</f>
        <v/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12</v>
      </c>
      <c r="AJ62" s="123">
        <f>SUMIF($E$7:$E$78,$AE62,$G$7:$G$78) + SUMIF($H$7:$H$78,$AE62,$F$7:$F$78)</f>
        <v>1</v>
      </c>
      <c r="AL62" s="123">
        <f>AI62-AJ62</f>
        <v>11</v>
      </c>
      <c r="AM62" s="123">
        <f>AL62-AL66</f>
        <v>15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90000010.299014345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/>
      <c r="BN62" s="63"/>
      <c r="BO62" s="25"/>
      <c r="BP62" s="116" t="str">
        <f>IF(OR(BM62="",BM63="",AND(BN62="",BN63&lt;&gt;""),AND(BN63="",BN62&lt;&gt;""),AND(BO62="",BO63&lt;&gt;""),AND(BO63="",BO62&lt;&gt;"")),"",BM62*1000+BN62*10+BO62)</f>
        <v/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12 - 1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6</v>
      </c>
      <c r="AL63" s="123">
        <f>AI63-AJ63</f>
        <v>-4</v>
      </c>
      <c r="AM63" s="123">
        <f>AL63-AL66</f>
        <v>0</v>
      </c>
      <c r="AN63" s="123">
        <f>AF63*3+AG63</f>
        <v>2</v>
      </c>
      <c r="AO63" s="123">
        <f>AN63/AN66*10+BA63</f>
        <v>2.9853658536585366</v>
      </c>
      <c r="AP63" s="123">
        <f>AO63*10000000+BI63*100+AM63/AM66*10+AI63/AI66*1++IF(AQ63=0,ROW(),AQ63)/2000000</f>
        <v>29853658.691213645</v>
      </c>
      <c r="AQ63" s="126">
        <f>VLOOKUP(AE63,db_fifarank,2,FALSE)</f>
        <v>1564.26</v>
      </c>
      <c r="AR63" s="125">
        <f>AP63/AP66</f>
        <v>0.33170727714720405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2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2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67.333333333333329</v>
      </c>
      <c r="BA63" s="126">
        <f>AZ63/AZ66</f>
        <v>0.98536585365853657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/>
      <c r="BN63" s="64"/>
      <c r="BO63" s="27"/>
      <c r="BP63" s="112" t="str">
        <f>IF(BP62="","",BM63*1000+BN63*10+BO63)</f>
        <v/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5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0</v>
      </c>
      <c r="M64" s="23">
        <f>VLOOKUP(2,AD62:AN65,4,FALSE)</f>
        <v>2</v>
      </c>
      <c r="N64" s="23">
        <f>VLOOKUP(2,AD62:AN65,5,FALSE)</f>
        <v>1</v>
      </c>
      <c r="O64" s="23" t="str">
        <f>VLOOKUP(2,AD62:AN65,6,FALSE) &amp; " - " &amp; VLOOKUP(2,AD62:AN65,7,FALSE)</f>
        <v>2 - 6</v>
      </c>
      <c r="P64" s="34">
        <f>L64*3+M64</f>
        <v>2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2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5</v>
      </c>
      <c r="AL64" s="123">
        <f>AI64-AJ64</f>
        <v>-3</v>
      </c>
      <c r="AM64" s="123">
        <f>AL64-AL66</f>
        <v>1</v>
      </c>
      <c r="AN64" s="123">
        <f>AF64*3+AG64</f>
        <v>2</v>
      </c>
      <c r="AO64" s="123">
        <f>AN64/AN66*10+BA64</f>
        <v>2.9804878048780488</v>
      </c>
      <c r="AP64" s="123">
        <f>AO64*10000000+BI64*100+AM64/AM66*10+AI64/AI66*1++IF(AQ64=0,ROW(),AQ64)/2000000</f>
        <v>29804976.86763905</v>
      </c>
      <c r="AQ64" s="126">
        <f>VLOOKUP(AE64,db_fifarank,2,FALSE)</f>
        <v>1593.45</v>
      </c>
      <c r="AR64" s="125">
        <f>AP64/AP66</f>
        <v>0.3311663680642834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2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66.999999999999986</v>
      </c>
      <c r="BA64" s="126">
        <f>AZ64/AZ66</f>
        <v>0.98048780487804865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</v>
      </c>
      <c r="BI64" s="126">
        <f>BH64/BH66</f>
        <v>0.98039215686274506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/>
      </c>
      <c r="CA64" s="61"/>
      <c r="CB64" s="63"/>
      <c r="CC64" s="25"/>
      <c r="CD64" s="116" t="str">
        <f>IF(OR(CA64="",CA65="",AND(CB64="",CB65&lt;&gt;""),AND(CB65="",CB64&lt;&gt;""),AND(CC64="",CC65&lt;&gt;""),AND(CC65="",CC64&lt;&gt;"")),"",CA64*1000+CB64*10+CC64)</f>
        <v/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0</v>
      </c>
      <c r="G65" s="20">
        <v>0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2 - 5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5</v>
      </c>
      <c r="AL65" s="123">
        <f>AI65-AJ65</f>
        <v>-4</v>
      </c>
      <c r="AM65" s="123">
        <f>AL65-AL66</f>
        <v>0</v>
      </c>
      <c r="AN65" s="123">
        <f>AF65*3+AG65</f>
        <v>2</v>
      </c>
      <c r="AO65" s="123">
        <f>AN65/AN66*10+BA65</f>
        <v>2.9804878048780488</v>
      </c>
      <c r="AP65" s="123">
        <f>AO65*10000000+BI65*100+AM65/AM66*10+AI65/AI66*1++IF(AQ65=0,ROW(),AQ65)/2000000</f>
        <v>29804976.165614974</v>
      </c>
      <c r="AQ65" s="126">
        <f>VLOOKUP(AE65,db_fifarank,2,FALSE)</f>
        <v>1391.45</v>
      </c>
      <c r="AR65" s="125">
        <f>AP65/AP66</f>
        <v>0.33116636026401686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2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66.999999999999986</v>
      </c>
      <c r="BA65" s="126">
        <f>AZ65/AZ66</f>
        <v>0.98048780487804865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/>
      </c>
      <c r="CA65" s="62"/>
      <c r="CB65" s="64"/>
      <c r="CC65" s="27"/>
      <c r="CD65" s="112" t="str">
        <f>IF(CD64="","",CA65*1000+CB65*10+CC65)</f>
        <v/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2</v>
      </c>
      <c r="N66" s="36">
        <f>VLOOKUP(4,AD62:AN65,5,FALSE)</f>
        <v>1</v>
      </c>
      <c r="O66" s="36" t="str">
        <f>VLOOKUP(4,AD62:AN65,6,FALSE) &amp; " - " &amp; VLOOKUP(4,AD62:AN65,7,FALSE)</f>
        <v>1 - 5</v>
      </c>
      <c r="P66" s="37">
        <f>L66*3+M66</f>
        <v>2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2</v>
      </c>
      <c r="AI66" s="123">
        <f>MAX(AI62:AI65)+1</f>
        <v>13</v>
      </c>
      <c r="AL66" s="123">
        <f>MIN(AL62:AL65)</f>
        <v>-4</v>
      </c>
      <c r="AM66" s="123">
        <f>MAX(AM62:AM65)+1</f>
        <v>16</v>
      </c>
      <c r="AN66" s="123">
        <f>MAX(AN62:AN65)+1</f>
        <v>10</v>
      </c>
      <c r="AO66" s="123">
        <f>MAX(AO62:AO65)+1</f>
        <v>10</v>
      </c>
      <c r="AP66" s="123">
        <f>MAX(AP62:AP65)+1</f>
        <v>90000011.299014345</v>
      </c>
      <c r="AT66" s="126">
        <f>MAX(AT62:AT65)-MIN(AT62:AT65)+1</f>
        <v>1</v>
      </c>
      <c r="AU66" s="126">
        <f>MAX(AU62:AU65)-MIN(AU62:AU65)+1</f>
        <v>3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68.333333333333329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Canada</v>
      </c>
      <c r="BM66" s="61"/>
      <c r="BN66" s="63"/>
      <c r="BO66" s="25"/>
      <c r="BP66" s="112" t="str">
        <f>IF(OR(BM66="",BM67="",AND(BN66="",BN67&lt;&gt;""),AND(BN67="",BN66&lt;&gt;""),AND(BO66="",BO67&lt;&gt;""),AND(BO67="",BO66&lt;&gt;"")),"",BM66*1000+BN66*10+BO66)</f>
        <v/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/>
      <c r="BN67" s="64"/>
      <c r="BO67" s="27"/>
      <c r="BP67" s="113" t="str">
        <f>IF(BP66="","",BM67*1000+BN67*10+BO67)</f>
        <v/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3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90000010.067548588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/>
      </c>
      <c r="BT68" s="61"/>
      <c r="BU68" s="63"/>
      <c r="BV68" s="25"/>
      <c r="BW68" s="116" t="str">
        <f>IF(OR(BT68="",BT69="",AND(BU68="",BU69&lt;&gt;""),AND(BU69="",BU68&lt;&gt;""),AND(BV68="",BV69&lt;&gt;""),AND(BV69="",BV68&lt;&gt;"")),"",BT68*1000+BU68*10+BV68)</f>
        <v/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/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9 - 3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0</v>
      </c>
      <c r="W69" s="123">
        <f t="shared" si="22"/>
        <v>0</v>
      </c>
      <c r="X69" s="123">
        <f t="shared" si="9"/>
        <v>1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19804019.708582316</v>
      </c>
      <c r="AQ69" s="126">
        <f>VLOOKUP(AE69,db_fifarank,2,FALSE)</f>
        <v>1478.35</v>
      </c>
      <c r="AR69" s="125">
        <f>AP69/AP72</f>
        <v>0.22004463636919569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/>
      </c>
      <c r="BT69" s="62"/>
      <c r="BU69" s="64"/>
      <c r="BV69" s="27"/>
      <c r="BW69" s="112" t="str">
        <f>IF(BW68="","",BT69*1000+BU69*10+BV69)</f>
        <v/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6 - 5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3</v>
      </c>
      <c r="AL70" s="123">
        <f>AI70-AJ70</f>
        <v>-2</v>
      </c>
      <c r="AM70" s="123">
        <f>AL70-AL72</f>
        <v>3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19804022.208575811</v>
      </c>
      <c r="AQ70" s="126">
        <f>VLOOKUP(AE70,db_fifarank,2,FALSE)</f>
        <v>1465.34</v>
      </c>
      <c r="AR70" s="125">
        <f>AP70/AP72</f>
        <v>0.22004466414689777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/>
      <c r="BN70" s="63"/>
      <c r="BO70" s="25"/>
      <c r="BP70" s="116" t="str">
        <f>IF(OR(BM70="",BM71="",AND(BN70="",BN71&lt;&gt;""),AND(BN71="",BN70&lt;&gt;""),AND(BO70="",BO71&lt;&gt;""),AND(BO71="",BO70&lt;&gt;"")),"",BM70*1000+BN70*10+BO70)</f>
        <v/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1 - 3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5</v>
      </c>
      <c r="AL71" s="123">
        <f>AI71-AJ71</f>
        <v>1</v>
      </c>
      <c r="AM71" s="123">
        <f>AL71-AL72</f>
        <v>6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60000005.600846544</v>
      </c>
      <c r="AQ71" s="126">
        <f>VLOOKUP(AE71,db_fifarank,2,FALSE)</f>
        <v>1693.09</v>
      </c>
      <c r="AR71" s="125">
        <f>AP71/AP72</f>
        <v>0.66666664691645594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Norway</v>
      </c>
      <c r="BM71" s="62"/>
      <c r="BN71" s="64"/>
      <c r="BO71" s="27"/>
      <c r="BP71" s="112" t="str">
        <f>IF(BP70="","",BM71*1000+BN71*10+BO71)</f>
        <v/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10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90000011.067548588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1</v>
      </c>
      <c r="AL74" s="123">
        <f>AI74-AJ74</f>
        <v>6</v>
      </c>
      <c r="AM74" s="123">
        <f>AL74-AL78</f>
        <v>12</v>
      </c>
      <c r="AN74" s="123">
        <f>AF74*3+AG74</f>
        <v>7</v>
      </c>
      <c r="AO74" s="123">
        <f>AN74/AN78*10+BA74</f>
        <v>9.735294117647058</v>
      </c>
      <c r="AP74" s="123">
        <f>AO74*10000000+BI74*100+AM74/AM78*10+AI74/AI78*1++IF(AQ74=0,ROW(),AQ74)/2000000</f>
        <v>97353049.812564552</v>
      </c>
      <c r="AQ74" s="126">
        <f>VLOOKUP(AE74,db_fifarank,2,FALSE)</f>
        <v>1825.97</v>
      </c>
      <c r="AR74" s="125">
        <f>AP74/AP78</f>
        <v>0.99999998972810822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100.5</v>
      </c>
      <c r="BA74" s="126">
        <f>AZ74/AZ78</f>
        <v>0.98529411764705888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100.5</v>
      </c>
      <c r="BI74" s="126">
        <f>BH74/BH78</f>
        <v>0.98529411764705888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1</v>
      </c>
      <c r="AL75" s="123">
        <f>AI75-AJ75</f>
        <v>6</v>
      </c>
      <c r="AM75" s="123">
        <f>AL75-AL78</f>
        <v>12</v>
      </c>
      <c r="AN75" s="123">
        <f>AF75*3+AG75</f>
        <v>7</v>
      </c>
      <c r="AO75" s="123">
        <f>AN75/AN78*10+BA75</f>
        <v>9.735294117647058</v>
      </c>
      <c r="AP75" s="123">
        <f>AO75*10000000+BI75*100+AM75/AM78*10+AI75/AI78*1++IF(AQ75=0,ROW(),AQ75)/2000000</f>
        <v>97353049.812510103</v>
      </c>
      <c r="AQ75" s="126">
        <f>VLOOKUP(AE75,db_fifarank,2,FALSE)</f>
        <v>1717.07</v>
      </c>
      <c r="AR75" s="125">
        <f>AP75/AP78</f>
        <v>0.999999989727549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100.5</v>
      </c>
      <c r="BA75" s="126">
        <f>AZ75/AZ78</f>
        <v>0.98529411764705888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100.5</v>
      </c>
      <c r="BI75" s="126">
        <f>BH75/BH78</f>
        <v>0.98529411764705888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7 - 1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8</v>
      </c>
      <c r="AL76" s="123">
        <f>AI76-AJ76</f>
        <v>-6</v>
      </c>
      <c r="AM76" s="123">
        <f>AL76-AL78</f>
        <v>0</v>
      </c>
      <c r="AN76" s="123">
        <f>AF76*3+AG76</f>
        <v>1</v>
      </c>
      <c r="AO76" s="123">
        <f>AN76/AN78*10+BA76</f>
        <v>2.2401960784313726</v>
      </c>
      <c r="AP76" s="123">
        <f>AO76*10000000+BI76*100+AM76/AM78*10+AI76/AI78*1++IF(AQ76=0,ROW(),AQ76)/2000000</f>
        <v>22402060.054594725</v>
      </c>
      <c r="AQ76" s="126">
        <f>VLOOKUP(AE76,db_fifarank,2,FALSE)</f>
        <v>1346.31</v>
      </c>
      <c r="AR76" s="125">
        <f>AP76/AP78</f>
        <v>0.23011153597770434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2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101</v>
      </c>
      <c r="BA76" s="126">
        <f>AZ76/AZ78</f>
        <v>0.99019607843137258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2</v>
      </c>
      <c r="BE76" s="126" cm="1">
        <f t="array" ref="BE76">SUMPRODUCT(($E$7:$E$78=AE76)*($X$7:$X$78)*($G$7:$G$78))+SUMPRODUCT(($H$7:$H$78=AE76)*($X$7:$X$78)*($F$7:$F$78))</f>
        <v>2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101</v>
      </c>
      <c r="BI76" s="126">
        <f>BH76/BH78</f>
        <v>0.99019607843137258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4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2 - 8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8</v>
      </c>
      <c r="AL77" s="123">
        <f>AI77-AJ77</f>
        <v>-6</v>
      </c>
      <c r="AM77" s="123">
        <f>AL77-AL78</f>
        <v>0</v>
      </c>
      <c r="AN77" s="123">
        <f>AF77*3+AG77</f>
        <v>1</v>
      </c>
      <c r="AO77" s="123">
        <f>AN77/AN78*10+BA77</f>
        <v>2.2401960784313726</v>
      </c>
      <c r="AP77" s="123">
        <f>AO77*10000000+BI77*100+AM77/AM78*10+AI77/AI78*1++IF(AQ77=0,ROW(),AQ77)/2000000</f>
        <v>22402060.054691888</v>
      </c>
      <c r="AQ77" s="126">
        <f>VLOOKUP(AE77,db_fifarank,2,FALSE)</f>
        <v>1540.64</v>
      </c>
      <c r="AR77" s="125">
        <f>AP77/AP78</f>
        <v>0.23011153597870238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2</v>
      </c>
      <c r="AW77" s="126" cm="1">
        <f t="array" ref="AW77">SUMPRODUCT(($E$7:$E$78=AE77)*($U$7:$U$78)*($G$7:$G$78))+SUMPRODUCT(($H$7:$H$78=AE77)*($U$7:$U$78)*($F$7:$F$78))</f>
        <v>2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101</v>
      </c>
      <c r="BA77" s="126">
        <f>AZ77/AZ78</f>
        <v>0.99019607843137258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2</v>
      </c>
      <c r="BE77" s="126" cm="1">
        <f t="array" ref="BE77">SUMPRODUCT(($E$7:$E$78=AE77)*($X$7:$X$78)*($G$7:$G$78))+SUMPRODUCT(($H$7:$H$78=AE77)*($X$7:$X$78)*($F$7:$F$78))</f>
        <v>2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101</v>
      </c>
      <c r="BI77" s="126">
        <f>BH77/BH78</f>
        <v>0.99019607843137258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2 - 8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8</v>
      </c>
      <c r="AL78" s="123">
        <f>MIN(AL74:AL77)</f>
        <v>-6</v>
      </c>
      <c r="AM78" s="123">
        <f>MAX(AM74:AM77)+1</f>
        <v>13</v>
      </c>
      <c r="AN78" s="123">
        <f>MAX(AN74:AN77)+1</f>
        <v>8</v>
      </c>
      <c r="AO78" s="123">
        <f>MAX(AO74:AO77)+1</f>
        <v>10.735294117647058</v>
      </c>
      <c r="AP78" s="123">
        <f>MAX(AP74:AP77)+1</f>
        <v>97353050.812564552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102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102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5</v>
      </c>
      <c r="AN80" s="123">
        <f>VLOOKUP($AE80,$AE$8:$AQ$78,10,FALSE)</f>
        <v>2</v>
      </c>
      <c r="AP80" s="123">
        <f>AN80/AN92*10000+AM80/AM92*1000+AI80/AI92*100+IF(AQ80=0,ROW(),AQ80)/2000000</f>
        <v>3913.8896832188889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Ⓖ Iran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3 - 1</v>
      </c>
      <c r="P81" s="98">
        <f>L81*3+M81</f>
        <v>5</v>
      </c>
      <c r="AD81" s="123">
        <f t="shared" ref="AD81:AD91" si="38">COUNTIF($AP$80:$AP$91,CONCATENATE("&gt;=",AP81))</f>
        <v>7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4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3790.2784706977773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Norway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7 - 6</v>
      </c>
      <c r="P82" s="101">
        <f t="shared" ref="P82:P92" si="48">L82*3+M82</f>
        <v>3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5</v>
      </c>
      <c r="AK82" s="123" t="s">
        <v>3182</v>
      </c>
      <c r="AL82" s="123">
        <f t="shared" si="43"/>
        <v>-2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5481.9451936194446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3 - 5</v>
      </c>
      <c r="P83" s="101">
        <f t="shared" si="48"/>
        <v>3</v>
      </c>
      <c r="AD83" s="123">
        <f t="shared" si="38"/>
        <v>5</v>
      </c>
      <c r="AE83" s="124" t="str">
        <f>J29</f>
        <v>United States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5</v>
      </c>
      <c r="AN83" s="123">
        <f t="shared" si="45"/>
        <v>2</v>
      </c>
      <c r="AP83" s="123">
        <f>AN83/AN92*10000+AM83/AM92*1000+AI83/AI92*100+IF(AQ83=0,ROW(),AQ83)/2000000</f>
        <v>3926.3897254538888</v>
      </c>
      <c r="AQ83" s="126">
        <f t="shared" si="37"/>
        <v>1673.13</v>
      </c>
      <c r="AR83" s="125" t="str">
        <f t="shared" si="50"/>
        <v>ABCD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Ⓕ Tunisia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2 - 6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/>
      </c>
      <c r="T84" s="127" t="str" cm="1">
        <f t="array" ref="T84">IF(OR(S84="",S84="draw"),INDEX(T,86,lang),S84)</f>
        <v>Austria</v>
      </c>
      <c r="AD84" s="123">
        <f t="shared" si="38"/>
        <v>9</v>
      </c>
      <c r="AE84" s="124" t="str">
        <f>J35</f>
        <v>Ivory Coast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2</v>
      </c>
      <c r="AJ84" s="123">
        <f t="shared" si="42"/>
        <v>5</v>
      </c>
      <c r="AK84" s="123" t="s">
        <v>3185</v>
      </c>
      <c r="AL84" s="123">
        <f t="shared" si="43"/>
        <v>-3</v>
      </c>
      <c r="AM84" s="123">
        <f t="shared" si="44"/>
        <v>3</v>
      </c>
      <c r="AN84" s="123">
        <f t="shared" si="45"/>
        <v>2</v>
      </c>
      <c r="AP84" s="123">
        <f>AN84/AN92*10000+AM84/AM92*1000+AI84/AI92*100+IF(AQ84=0,ROW(),AQ84)/2000000</f>
        <v>3691.6674331566664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Ⓓ United States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2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2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/>
      </c>
      <c r="T85" s="127" t="str" cm="1">
        <f t="array" ref="T85">IF(OR(S85="",S85="draw"),INDEX(T,87,lang),S85)</f>
        <v>Jordan</v>
      </c>
      <c r="AD85" s="123">
        <f t="shared" si="38"/>
        <v>4</v>
      </c>
      <c r="AE85" s="124" t="str">
        <f>J41</f>
        <v>Tunisia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6</v>
      </c>
      <c r="AK85" s="123" t="s">
        <v>3186</v>
      </c>
      <c r="AL85" s="123">
        <f t="shared" si="43"/>
        <v>-4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5247.2229637472228</v>
      </c>
      <c r="AQ85" s="126">
        <f t="shared" si="37"/>
        <v>1483.05</v>
      </c>
      <c r="AR85" s="125" t="str">
        <f t="shared" si="50"/>
        <v>ABCDF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Ⓐ Korea Republic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/>
      </c>
      <c r="T86" s="127" t="str" cm="1">
        <f t="array" ref="T86">IF(OR(S86="",S86="draw"),INDEX(T,88,lang),S86)</f>
        <v>DR Congo</v>
      </c>
      <c r="AD86" s="123">
        <f t="shared" si="38"/>
        <v>1</v>
      </c>
      <c r="AE86" s="124" t="str">
        <f>J47</f>
        <v>Iran</v>
      </c>
      <c r="AF86" s="123">
        <f t="shared" si="39"/>
        <v>1</v>
      </c>
      <c r="AG86" s="123">
        <f t="shared" si="49"/>
        <v>2</v>
      </c>
      <c r="AH86" s="123">
        <f t="shared" si="40"/>
        <v>0</v>
      </c>
      <c r="AI86" s="123">
        <f t="shared" si="41"/>
        <v>3</v>
      </c>
      <c r="AJ86" s="123">
        <f t="shared" si="42"/>
        <v>1</v>
      </c>
      <c r="AK86" s="123" t="s">
        <v>3187</v>
      </c>
      <c r="AL86" s="123">
        <f t="shared" si="43"/>
        <v>2</v>
      </c>
      <c r="AM86" s="123">
        <f t="shared" si="44"/>
        <v>8</v>
      </c>
      <c r="AN86" s="123">
        <f t="shared" si="45"/>
        <v>5</v>
      </c>
      <c r="AP86" s="123">
        <f>AN86/AN92*10000+AM86/AM92*1000+AI86/AI92*100+IF(AQ86=0,ROW(),AQ86)/2000000</f>
        <v>9259.7230298722225</v>
      </c>
      <c r="AQ86" s="126">
        <f t="shared" si="37"/>
        <v>1615.3</v>
      </c>
      <c r="AR86" s="125" t="str">
        <f t="shared" si="50"/>
        <v>ABCDFG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Bosnia and Herzegovina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1 - 3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/>
      </c>
      <c r="T87" s="127" t="str" cm="1">
        <f t="array" ref="T87">IF(OR(S87="",S87="draw"),INDEX(T,89,lang),S87)</f>
        <v>Uzbekistan</v>
      </c>
      <c r="AD87" s="123">
        <f t="shared" si="38"/>
        <v>11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3</v>
      </c>
      <c r="AN87" s="123">
        <f t="shared" si="45"/>
        <v>1</v>
      </c>
      <c r="AP87" s="123">
        <f>AN87/AN92*10000+AM87/AM92*1000+AI87/AI92*100+IF(AQ87=0,ROW(),AQ87)/2000000</f>
        <v>2025.0007107149997</v>
      </c>
      <c r="AQ87" s="126">
        <f t="shared" si="37"/>
        <v>1421.43</v>
      </c>
      <c r="AR87" s="125" t="str">
        <f t="shared" si="50"/>
        <v>ABCDFG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Ⓙ Austria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2 - 5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/>
      </c>
      <c r="T88" s="127" t="str" cm="1">
        <f t="array" ref="T88">IF(OR(S88="",S88="draw"),INDEX(T,90,lang),S88)</f>
        <v>Colombia</v>
      </c>
      <c r="AD88" s="123">
        <f t="shared" si="38"/>
        <v>2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7</v>
      </c>
      <c r="AJ88" s="123">
        <f t="shared" si="42"/>
        <v>6</v>
      </c>
      <c r="AK88" s="123" t="s">
        <v>3189</v>
      </c>
      <c r="AL88" s="123">
        <f t="shared" si="43"/>
        <v>1</v>
      </c>
      <c r="AM88" s="123">
        <f t="shared" si="44"/>
        <v>7</v>
      </c>
      <c r="AN88" s="123">
        <f t="shared" si="45"/>
        <v>3</v>
      </c>
      <c r="AP88" s="123">
        <f>AN88/AN92*10000+AM88/AM92*1000+AI88/AI92*100+IF(AQ88=0,ROW(),AQ88)/2000000</f>
        <v>5865.2785532477774</v>
      </c>
      <c r="AQ88" s="126">
        <f t="shared" si="37"/>
        <v>1550.94</v>
      </c>
      <c r="AR88" s="125" t="str">
        <f t="shared" si="50"/>
        <v>ABCDFGI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Ivory Coast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2 - 5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/>
      </c>
      <c r="T89" s="127" t="str" cm="1">
        <f t="array" ref="T89">IF(OR(S89="",S89="draw"),INDEX(T,91,lang),S89)</f>
        <v>Panama</v>
      </c>
      <c r="AD89" s="123">
        <f t="shared" si="38"/>
        <v>8</v>
      </c>
      <c r="AE89" s="124" t="str">
        <f>J65</f>
        <v>Austria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3691.6674633916664</v>
      </c>
      <c r="AQ89" s="126">
        <f t="shared" si="37"/>
        <v>1593.45</v>
      </c>
      <c r="AR89" s="125" t="str">
        <f t="shared" si="50"/>
        <v>ABCDFGIJ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Uzbekistan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1 - 3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/>
      </c>
      <c r="T90" s="127" cm="1">
        <f t="array" ref="T90">IF(OR(S90="",S90="draw"),INDEX(T,92,lang),S90)</f>
        <v>0</v>
      </c>
      <c r="AD90" s="123">
        <f t="shared" si="38"/>
        <v>10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3</v>
      </c>
      <c r="AK90" s="123" t="s">
        <v>3191</v>
      </c>
      <c r="AL90" s="123">
        <f t="shared" si="43"/>
        <v>-2</v>
      </c>
      <c r="AM90" s="123">
        <f t="shared" si="44"/>
        <v>4</v>
      </c>
      <c r="AN90" s="123">
        <f t="shared" si="45"/>
        <v>1</v>
      </c>
      <c r="AP90" s="123">
        <f>AN90/AN92*10000+AM90/AM92*1000+AI90/AI92*100+IF(AQ90=0,ROW(),AQ90)/2000000</f>
        <v>2123.611843781111</v>
      </c>
      <c r="AQ90" s="126">
        <f t="shared" si="37"/>
        <v>1465.34</v>
      </c>
      <c r="AR90" s="125" t="str">
        <f t="shared" si="50"/>
        <v>ABCDFGIJ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/>
      </c>
      <c r="T91" s="127" cm="1">
        <f t="array" ref="T91">IF(OR(S91="",S91="draw"),INDEX(T,93,lang),S91)</f>
        <v>0</v>
      </c>
      <c r="AD91" s="123">
        <f t="shared" si="38"/>
        <v>12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8</v>
      </c>
      <c r="AK91" s="123" t="s">
        <v>3192</v>
      </c>
      <c r="AL91" s="123">
        <f>VLOOKUP($AE91,$AE$8:$AQ$78,8,FALSE)</f>
        <v>-6</v>
      </c>
      <c r="AM91" s="123">
        <f t="shared" si="44"/>
        <v>0</v>
      </c>
      <c r="AN91" s="123">
        <f>VLOOKUP($AE91,$AE$8:$AQ$78,10,FALSE)</f>
        <v>1</v>
      </c>
      <c r="AP91" s="123">
        <f>AN91/AN92*10000+AM91/AM92*1000+AI91/AI92*100+IF(AQ91=0,ROW(),AQ91)/2000000</f>
        <v>1691.6674369866664</v>
      </c>
      <c r="AQ91" s="126">
        <f t="shared" si="37"/>
        <v>1540.64</v>
      </c>
      <c r="AR91" s="125" t="str">
        <f t="shared" si="50"/>
        <v>ABCDFGIJ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Ⓛ Panama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2 - 8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8</v>
      </c>
      <c r="AJ92" s="123">
        <f>MAX(AJ80:AJ91)+1</f>
        <v>9</v>
      </c>
      <c r="AL92" s="123">
        <f>MIN(AL80:AL91)</f>
        <v>-6</v>
      </c>
      <c r="AM92" s="123">
        <f>MAX(AM80:AM91)+1</f>
        <v>9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/>
      </c>
      <c r="T95" s="127" cm="1">
        <f t="array" ref="T95">IF(OR(S95="",S95="draw"),INDEX(T,94,lang),S95)</f>
        <v>0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/>
      </c>
      <c r="T96" s="127" cm="1">
        <f t="array" ref="T96">IF(OR(S96="",S96="draw"),INDEX(T,95,lang),S96)</f>
        <v>0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/>
      </c>
      <c r="T97" s="127" cm="1">
        <f t="array" ref="T97">IF(OR(S97="",S97="draw"),INDEX(T,96,lang),S97)</f>
        <v>0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/>
      </c>
      <c r="T98" s="127" cm="1">
        <f t="array" ref="T98">IF(OR(S98="",S98="draw"),INDEX(T,97,lang),S98)</f>
        <v>0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/>
      </c>
      <c r="T102" s="127" cm="1">
        <f t="array" ref="T102">IF(OR(S102="",S102="draw"),INDEX(T,98,lang),S102)</f>
        <v>0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/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cm="1">
        <f t="array" ref="AC102">IF(OR(U102="",U102="draw"),INDEX(T,100,lang),U102)</f>
        <v>0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/>
      </c>
      <c r="T103" s="127" cm="1">
        <f t="array" ref="T103">IF(OR(S103="",S103="draw"),INDEX(T,99,lang),S103)</f>
        <v>0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/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cm="1">
        <f t="array" ref="AC103">IF(OR(U103="",U103="draw"),INDEX(T,101,lang),U103)</f>
        <v>0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/>
      </c>
      <c r="T111" s="127" t="str">
        <f>S111</f>
        <v/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456</v>
      </c>
      <c r="C3" s="121" t="str">
        <f>'2026 World Cup'!AR91</f>
        <v>ABCDFGIJ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Richard Luis Diaz</cp:lastModifiedBy>
  <cp:revision/>
  <dcterms:created xsi:type="dcterms:W3CDTF">2017-12-27T19:32:51Z</dcterms:created>
  <dcterms:modified xsi:type="dcterms:W3CDTF">2026-06-11T09:38:18Z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