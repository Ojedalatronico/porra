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02773\Downloads\"/>
    </mc:Choice>
  </mc:AlternateContent>
  <xr:revisionPtr revIDLastSave="0" documentId="13_ncr:1_{D4CDB154-66A6-48FC-BBAC-22F0870879C3}" xr6:coauthVersionLast="47" xr6:coauthVersionMax="47" xr10:uidLastSave="{00000000-0000-0000-0000-000000000000}"/>
  <bookViews>
    <workbookView xWindow="15890" yWindow="-192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7" i="3"/>
  <c r="S98" i="3"/>
  <c r="S102" i="3"/>
  <c r="U103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7" i="3" a="1"/>
  <c r="T97" i="3" s="1"/>
  <c r="T98" i="3" a="1"/>
  <c r="T98" i="3" s="1"/>
  <c r="T102" i="3" a="1"/>
  <c r="T102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S63" i="3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S47" i="3"/>
  <c r="S67" i="3"/>
  <c r="T23" i="3"/>
  <c r="T48" i="3"/>
  <c r="T43" i="3"/>
  <c r="S72" i="3"/>
  <c r="T46" i="3"/>
  <c r="S70" i="3"/>
  <c r="S42" i="3"/>
  <c r="S64" i="3"/>
  <c r="T18" i="3"/>
  <c r="T63" i="3"/>
  <c r="T41" i="3"/>
  <c r="S40" i="3"/>
  <c r="S62" i="3"/>
  <c r="T16" i="3"/>
  <c r="S38" i="3"/>
  <c r="S65" i="3"/>
  <c r="T37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S96" i="3" s="1"/>
  <c r="T96" i="3" s="1" a="1"/>
  <c r="T96" i="3" s="1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U102" i="3" s="1"/>
  <c r="AC102" i="3" s="1" a="1"/>
  <c r="AC102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S103" i="3" s="1"/>
  <c r="T103" i="3" s="1" a="1"/>
  <c r="T103" i="3" s="1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K68" i="3" s="1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l="1"/>
  <c r="S111" i="3"/>
  <c r="T111" i="3" s="1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D57" i="3"/>
  <c r="AR9" i="3"/>
  <c r="AR10" i="3"/>
  <c r="AR11" i="3"/>
  <c r="AD58" i="3"/>
  <c r="AR33" i="3"/>
  <c r="AR34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1" i="3" l="1"/>
  <c r="M58" i="3"/>
  <c r="AD68" i="3"/>
  <c r="AD9" i="3"/>
  <c r="AD33" i="3"/>
  <c r="L58" i="3"/>
  <c r="AD10" i="3"/>
  <c r="AD8" i="3"/>
  <c r="AD14" i="3"/>
  <c r="AD75" i="3"/>
  <c r="AD70" i="3"/>
  <c r="AD44" i="3"/>
  <c r="AD22" i="3"/>
  <c r="AD27" i="3"/>
  <c r="AD77" i="3"/>
  <c r="M59" i="3"/>
  <c r="AD35" i="3"/>
  <c r="AD34" i="3"/>
  <c r="AD32" i="3"/>
  <c r="O60" i="3"/>
  <c r="AD62" i="3"/>
  <c r="J63" i="3" s="1"/>
  <c r="AS62" i="3" s="1"/>
  <c r="BL58" i="3" s="1"/>
  <c r="BS60" i="3" s="1"/>
  <c r="BZ64" i="3" s="1"/>
  <c r="N58" i="3"/>
  <c r="AD21" i="3"/>
  <c r="AD26" i="3"/>
  <c r="N27" i="3" s="1"/>
  <c r="L59" i="3"/>
  <c r="AD47" i="3"/>
  <c r="AD76" i="3"/>
  <c r="AD28" i="3"/>
  <c r="AD15" i="3"/>
  <c r="AD41" i="3"/>
  <c r="AD74" i="3"/>
  <c r="AD63" i="3"/>
  <c r="AD71" i="3"/>
  <c r="AD20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69" i="3" l="1"/>
  <c r="P59" i="3"/>
  <c r="J75" i="3"/>
  <c r="AS74" i="3" s="1"/>
  <c r="BL54" i="3" s="1"/>
  <c r="K58" i="3"/>
  <c r="P58" i="3"/>
  <c r="O12" i="3"/>
  <c r="J45" i="3"/>
  <c r="AS44" i="3" s="1"/>
  <c r="BL38" i="3" s="1"/>
  <c r="L69" i="3"/>
  <c r="P69" i="3" s="1"/>
  <c r="J39" i="3"/>
  <c r="AS38" i="3" s="1"/>
  <c r="BL22" i="3" s="1"/>
  <c r="J12" i="3"/>
  <c r="J69" i="3"/>
  <c r="AS68" i="3" s="1"/>
  <c r="BL70" i="3" s="1"/>
  <c r="O69" i="3"/>
  <c r="N69" i="3"/>
  <c r="N71" i="3"/>
  <c r="O63" i="3"/>
  <c r="N63" i="3"/>
  <c r="M33" i="3"/>
  <c r="O10" i="3"/>
  <c r="O11" i="3"/>
  <c r="M65" i="3"/>
  <c r="M30" i="3"/>
  <c r="L27" i="3"/>
  <c r="N12" i="3"/>
  <c r="M10" i="3"/>
  <c r="O64" i="3"/>
  <c r="L11" i="3"/>
  <c r="L9" i="3"/>
  <c r="O9" i="3"/>
  <c r="J10" i="3"/>
  <c r="AS9" i="3" s="1"/>
  <c r="BL18" i="3" s="1"/>
  <c r="J9" i="3"/>
  <c r="AS8" i="3" s="1"/>
  <c r="BL50" i="3" s="1"/>
  <c r="M11" i="3"/>
  <c r="M12" i="3"/>
  <c r="N11" i="3"/>
  <c r="N9" i="3"/>
  <c r="J21" i="3"/>
  <c r="AS20" i="3" s="1"/>
  <c r="BL42" i="3" s="1"/>
  <c r="BS44" i="3" s="1"/>
  <c r="L45" i="3"/>
  <c r="L33" i="3"/>
  <c r="L10" i="3"/>
  <c r="L12" i="3"/>
  <c r="N33" i="3"/>
  <c r="J11" i="3"/>
  <c r="AE80" i="3" s="1"/>
  <c r="AQ80" i="3" s="1"/>
  <c r="M9" i="3"/>
  <c r="O18" i="3"/>
  <c r="M45" i="3"/>
  <c r="O45" i="3"/>
  <c r="O33" i="3"/>
  <c r="L35" i="3"/>
  <c r="N45" i="3"/>
  <c r="J36" i="3"/>
  <c r="J33" i="3"/>
  <c r="AS32" i="3" s="1"/>
  <c r="BL10" i="3" s="1"/>
  <c r="N47" i="3"/>
  <c r="N36" i="3"/>
  <c r="O36" i="3"/>
  <c r="M63" i="3"/>
  <c r="L36" i="3"/>
  <c r="M27" i="3"/>
  <c r="N10" i="3"/>
  <c r="L34" i="3"/>
  <c r="J34" i="3"/>
  <c r="AS33" i="3" s="1"/>
  <c r="BL46" i="3" s="1"/>
  <c r="N34" i="3"/>
  <c r="J35" i="3"/>
  <c r="AE84" i="3" s="1"/>
  <c r="AQ84" i="3" s="1"/>
  <c r="J27" i="3"/>
  <c r="AS26" i="3" s="1"/>
  <c r="BL34" i="3" s="1"/>
  <c r="M34" i="3"/>
  <c r="M35" i="3"/>
  <c r="N30" i="3"/>
  <c r="O35" i="3"/>
  <c r="O34" i="3"/>
  <c r="J30" i="3"/>
  <c r="N35" i="3"/>
  <c r="O27" i="3"/>
  <c r="L28" i="3"/>
  <c r="L29" i="3"/>
  <c r="O30" i="3"/>
  <c r="L63" i="3"/>
  <c r="M29" i="3"/>
  <c r="M36" i="3"/>
  <c r="L30" i="3"/>
  <c r="P30" i="3" s="1"/>
  <c r="L23" i="3"/>
  <c r="M75" i="3"/>
  <c r="P57" i="3"/>
  <c r="L16" i="3"/>
  <c r="J18" i="3"/>
  <c r="N28" i="3"/>
  <c r="O54" i="3"/>
  <c r="J41" i="3"/>
  <c r="AE85" i="3" s="1"/>
  <c r="AQ85" i="3" s="1"/>
  <c r="O16" i="3"/>
  <c r="N16" i="3"/>
  <c r="J16" i="3"/>
  <c r="AS15" i="3" s="1"/>
  <c r="BL19" i="3" s="1"/>
  <c r="N17" i="3"/>
  <c r="J28" i="3"/>
  <c r="AS27" i="3" s="1"/>
  <c r="BL62" i="3" s="1"/>
  <c r="BS61" i="3" s="1"/>
  <c r="M16" i="3"/>
  <c r="AJ88" i="3"/>
  <c r="L22" i="3"/>
  <c r="N29" i="3"/>
  <c r="J22" i="3"/>
  <c r="AS21" i="3" s="1"/>
  <c r="BL23" i="3" s="1"/>
  <c r="K59" i="3"/>
  <c r="J78" i="3"/>
  <c r="M64" i="3"/>
  <c r="N77" i="3"/>
  <c r="O76" i="3"/>
  <c r="L78" i="3"/>
  <c r="O29" i="3"/>
  <c r="J29" i="3"/>
  <c r="AE83" i="3" s="1"/>
  <c r="AQ83" i="3" s="1"/>
  <c r="M18" i="3"/>
  <c r="O78" i="3"/>
  <c r="N76" i="3"/>
  <c r="L64" i="3"/>
  <c r="M77" i="3"/>
  <c r="M78" i="3"/>
  <c r="N75" i="3"/>
  <c r="N78" i="3"/>
  <c r="J64" i="3"/>
  <c r="AS63" i="3" s="1"/>
  <c r="BL31" i="3" s="1"/>
  <c r="L76" i="3"/>
  <c r="M66" i="3"/>
  <c r="L18" i="3"/>
  <c r="L77" i="3"/>
  <c r="M76" i="3"/>
  <c r="O65" i="3"/>
  <c r="N18" i="3"/>
  <c r="AT88" i="3"/>
  <c r="J77" i="3"/>
  <c r="AE91" i="3" s="1"/>
  <c r="AQ91" i="3" s="1"/>
  <c r="O75" i="3"/>
  <c r="O77" i="3"/>
  <c r="L75" i="3"/>
  <c r="J40" i="3"/>
  <c r="AS39" i="3" s="1"/>
  <c r="BL43" i="3" s="1"/>
  <c r="J76" i="3"/>
  <c r="AS75" i="3" s="1"/>
  <c r="BL27" i="3" s="1"/>
  <c r="N65" i="3"/>
  <c r="O51" i="3"/>
  <c r="AN88" i="3"/>
  <c r="O23" i="3"/>
  <c r="N24" i="3"/>
  <c r="L65" i="3"/>
  <c r="P65" i="3" s="1"/>
  <c r="O42" i="3"/>
  <c r="N22" i="3"/>
  <c r="M24" i="3"/>
  <c r="J47" i="3"/>
  <c r="AE86" i="3" s="1"/>
  <c r="AQ86" i="3" s="1"/>
  <c r="J65" i="3"/>
  <c r="AE89" i="3" s="1"/>
  <c r="AQ89" i="3" s="1"/>
  <c r="N64" i="3"/>
  <c r="L48" i="3"/>
  <c r="O22" i="3"/>
  <c r="M22" i="3"/>
  <c r="M17" i="3"/>
  <c r="O17" i="3"/>
  <c r="M46" i="3"/>
  <c r="J46" i="3"/>
  <c r="AS45" i="3" s="1"/>
  <c r="BL63" i="3" s="1"/>
  <c r="O21" i="3"/>
  <c r="O47" i="3"/>
  <c r="O48" i="3"/>
  <c r="M48" i="3"/>
  <c r="L47" i="3"/>
  <c r="N21" i="3"/>
  <c r="L21" i="3"/>
  <c r="J24" i="3"/>
  <c r="M21" i="3"/>
  <c r="L24" i="3"/>
  <c r="L17" i="3"/>
  <c r="K57" i="3"/>
  <c r="L66" i="3"/>
  <c r="M47" i="3"/>
  <c r="O24" i="3"/>
  <c r="L15" i="3"/>
  <c r="N66" i="3"/>
  <c r="O72" i="3"/>
  <c r="J42" i="3"/>
  <c r="J51" i="3"/>
  <c r="AS50" i="3" s="1"/>
  <c r="BL30" i="3" s="1"/>
  <c r="L42" i="3"/>
  <c r="M70" i="3"/>
  <c r="N51" i="3"/>
  <c r="L46" i="3"/>
  <c r="M42" i="3"/>
  <c r="L39" i="3"/>
  <c r="M28" i="3"/>
  <c r="AG88" i="3"/>
  <c r="J52" i="3"/>
  <c r="AS51" i="3" s="1"/>
  <c r="BL59" i="3" s="1"/>
  <c r="M40" i="3"/>
  <c r="N53" i="3"/>
  <c r="N70" i="3"/>
  <c r="M41" i="3"/>
  <c r="O40" i="3"/>
  <c r="AF88" i="3"/>
  <c r="J71" i="3"/>
  <c r="AE90" i="3" s="1"/>
  <c r="AQ90" i="3" s="1"/>
  <c r="J72" i="3"/>
  <c r="O70" i="3"/>
  <c r="O46" i="3"/>
  <c r="N72" i="3"/>
  <c r="J48" i="3"/>
  <c r="AI88" i="3"/>
  <c r="M72" i="3"/>
  <c r="L72" i="3"/>
  <c r="J66" i="3"/>
  <c r="L51" i="3"/>
  <c r="N46" i="3"/>
  <c r="O66" i="3"/>
  <c r="N39" i="3"/>
  <c r="M71" i="3"/>
  <c r="L71" i="3"/>
  <c r="N54" i="3"/>
  <c r="L40" i="3"/>
  <c r="L70" i="3"/>
  <c r="N48" i="3"/>
  <c r="N40" i="3"/>
  <c r="O71" i="3"/>
  <c r="L54" i="3"/>
  <c r="M51" i="3"/>
  <c r="O39" i="3"/>
  <c r="O28" i="3"/>
  <c r="J70" i="3"/>
  <c r="AS69" i="3" s="1"/>
  <c r="BL26" i="3" s="1"/>
  <c r="N52" i="3"/>
  <c r="M54" i="3"/>
  <c r="M39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K69" i="3" l="1"/>
  <c r="P77" i="3"/>
  <c r="P33" i="3"/>
  <c r="P70" i="3"/>
  <c r="AJ85" i="3"/>
  <c r="K10" i="3"/>
  <c r="P22" i="3"/>
  <c r="P27" i="3"/>
  <c r="AF84" i="3"/>
  <c r="P11" i="3"/>
  <c r="P10" i="3"/>
  <c r="P12" i="3"/>
  <c r="AI84" i="3"/>
  <c r="K11" i="3"/>
  <c r="P36" i="3"/>
  <c r="P45" i="3"/>
  <c r="AT84" i="3"/>
  <c r="K63" i="3"/>
  <c r="P34" i="3"/>
  <c r="P9" i="3"/>
  <c r="K12" i="3"/>
  <c r="AH84" i="3"/>
  <c r="AG84" i="3"/>
  <c r="P35" i="3"/>
  <c r="AJ81" i="3"/>
  <c r="AJ82" i="3"/>
  <c r="P64" i="3"/>
  <c r="K36" i="3"/>
  <c r="K45" i="3"/>
  <c r="P28" i="3"/>
  <c r="AN80" i="3"/>
  <c r="K77" i="3"/>
  <c r="AL80" i="3"/>
  <c r="P72" i="3"/>
  <c r="K33" i="3"/>
  <c r="K9" i="3"/>
  <c r="AI80" i="3"/>
  <c r="AH80" i="3"/>
  <c r="AG80" i="3"/>
  <c r="K27" i="3"/>
  <c r="AF80" i="3"/>
  <c r="K28" i="3"/>
  <c r="AJ80" i="3"/>
  <c r="AT80" i="3"/>
  <c r="P63" i="3"/>
  <c r="K30" i="3"/>
  <c r="P29" i="3"/>
  <c r="K34" i="3"/>
  <c r="K29" i="3"/>
  <c r="AN84" i="3"/>
  <c r="AI85" i="3"/>
  <c r="AL84" i="3"/>
  <c r="K35" i="3"/>
  <c r="AG85" i="3"/>
  <c r="AJ84" i="3"/>
  <c r="P23" i="3"/>
  <c r="AI82" i="3"/>
  <c r="K76" i="3"/>
  <c r="P78" i="3"/>
  <c r="AH85" i="3"/>
  <c r="P75" i="3"/>
  <c r="P16" i="3"/>
  <c r="K47" i="3"/>
  <c r="AI83" i="3"/>
  <c r="AH83" i="3"/>
  <c r="AF85" i="3"/>
  <c r="P71" i="3"/>
  <c r="P17" i="3"/>
  <c r="AT85" i="3"/>
  <c r="K24" i="3"/>
  <c r="P48" i="3"/>
  <c r="K18" i="3"/>
  <c r="AI81" i="3"/>
  <c r="AN85" i="3"/>
  <c r="K22" i="3"/>
  <c r="AG83" i="3"/>
  <c r="AT82" i="3"/>
  <c r="AL85" i="3"/>
  <c r="K40" i="3"/>
  <c r="K70" i="3"/>
  <c r="P46" i="3"/>
  <c r="AH81" i="3"/>
  <c r="AF81" i="3"/>
  <c r="AG82" i="3"/>
  <c r="K71" i="3"/>
  <c r="P54" i="3"/>
  <c r="K72" i="3"/>
  <c r="P76" i="3"/>
  <c r="K16" i="3"/>
  <c r="AF82" i="3"/>
  <c r="K48" i="3"/>
  <c r="P18" i="3"/>
  <c r="AT81" i="3"/>
  <c r="AN90" i="3"/>
  <c r="P51" i="3"/>
  <c r="P40" i="3"/>
  <c r="P24" i="3"/>
  <c r="K65" i="3"/>
  <c r="K78" i="3"/>
  <c r="AG81" i="3"/>
  <c r="AH82" i="3"/>
  <c r="K64" i="3"/>
  <c r="AL81" i="3"/>
  <c r="K17" i="3"/>
  <c r="K75" i="3"/>
  <c r="AT83" i="3"/>
  <c r="AT86" i="3"/>
  <c r="AN91" i="3"/>
  <c r="AN83" i="3"/>
  <c r="AF86" i="3"/>
  <c r="AL90" i="3"/>
  <c r="AL91" i="3"/>
  <c r="AN81" i="3"/>
  <c r="AL83" i="3"/>
  <c r="P47" i="3"/>
  <c r="AH90" i="3"/>
  <c r="AF83" i="3"/>
  <c r="AJ83" i="3"/>
  <c r="AF89" i="3"/>
  <c r="P42" i="3"/>
  <c r="K21" i="3"/>
  <c r="P66" i="3"/>
  <c r="AJ91" i="3"/>
  <c r="AH91" i="3"/>
  <c r="AI91" i="3"/>
  <c r="AG91" i="3"/>
  <c r="P21" i="3"/>
  <c r="K66" i="3"/>
  <c r="AF91" i="3"/>
  <c r="AH87" i="3"/>
  <c r="AT91" i="3"/>
  <c r="AN86" i="3"/>
  <c r="AN89" i="3"/>
  <c r="AJ90" i="3"/>
  <c r="K53" i="3"/>
  <c r="AN82" i="3"/>
  <c r="AL86" i="3"/>
  <c r="AL89" i="3"/>
  <c r="AI90" i="3"/>
  <c r="P52" i="3"/>
  <c r="P41" i="3"/>
  <c r="AT89" i="3"/>
  <c r="P15" i="3"/>
  <c r="AI86" i="3"/>
  <c r="AI89" i="3"/>
  <c r="AG90" i="3"/>
  <c r="AJ89" i="3"/>
  <c r="AH86" i="3"/>
  <c r="AL87" i="3"/>
  <c r="AH89" i="3"/>
  <c r="AF90" i="3"/>
  <c r="AJ86" i="3"/>
  <c r="AG86" i="3"/>
  <c r="AJ87" i="3"/>
  <c r="AG89" i="3"/>
  <c r="AT90" i="3"/>
  <c r="P39" i="3"/>
  <c r="K41" i="3"/>
  <c r="K42" i="3"/>
  <c r="AF87" i="3"/>
  <c r="P53" i="3"/>
  <c r="AG87" i="3"/>
  <c r="K51" i="3"/>
  <c r="K15" i="3"/>
  <c r="K39" i="3"/>
  <c r="K46" i="3"/>
  <c r="AT87" i="3"/>
  <c r="K54" i="3"/>
  <c r="K23" i="3"/>
  <c r="AN87" i="3"/>
  <c r="AL82" i="3"/>
  <c r="AI87" i="3"/>
  <c r="K52" i="3"/>
  <c r="AN92" i="3" l="1"/>
  <c r="AH92" i="3"/>
  <c r="AG92" i="3"/>
  <c r="AF92" i="3"/>
  <c r="AJ92" i="3"/>
  <c r="AL92" i="3"/>
  <c r="AM88" i="3" s="1"/>
  <c r="AI92" i="3"/>
  <c r="AS92" i="3"/>
  <c r="AM85" i="3" l="1"/>
  <c r="AM86" i="3"/>
  <c r="AM87" i="3"/>
  <c r="AM81" i="3"/>
  <c r="AM80" i="3"/>
  <c r="AM82" i="3"/>
  <c r="AM91" i="3"/>
  <c r="AM84" i="3"/>
  <c r="AM83" i="3"/>
  <c r="AM89" i="3"/>
  <c r="AM9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2" i="3" l="1"/>
  <c r="AP88" i="3"/>
  <c r="AP90" i="3"/>
  <c r="AP89" i="3"/>
  <c r="AP80" i="3"/>
  <c r="AP86" i="3"/>
  <c r="AP85" i="3"/>
  <c r="AP84" i="3"/>
  <c r="AP91" i="3"/>
  <c r="AP81" i="3"/>
  <c r="AP83" i="3"/>
  <c r="AD87" i="3" l="1"/>
  <c r="AS87" i="3" s="1"/>
  <c r="AD84" i="3"/>
  <c r="AS84" i="3" s="1"/>
  <c r="AD85" i="3"/>
  <c r="AS85" i="3" s="1"/>
  <c r="AD89" i="3"/>
  <c r="AS89" i="3" s="1"/>
  <c r="AD88" i="3"/>
  <c r="AS88" i="3" s="1"/>
  <c r="AD83" i="3"/>
  <c r="AS83" i="3" s="1"/>
  <c r="AD90" i="3"/>
  <c r="AS90" i="3" s="1"/>
  <c r="AD82" i="3"/>
  <c r="AS82" i="3" s="1"/>
  <c r="AD91" i="3"/>
  <c r="AS91" i="3" s="1"/>
  <c r="AD81" i="3"/>
  <c r="AS81" i="3" s="1"/>
  <c r="AD80" i="3"/>
  <c r="AD86" i="3"/>
  <c r="AS86" i="3" s="1"/>
  <c r="M81" i="3" l="1"/>
  <c r="L91" i="3"/>
  <c r="L82" i="3"/>
  <c r="N83" i="3"/>
  <c r="O83" i="3"/>
  <c r="L87" i="3"/>
  <c r="O86" i="3"/>
  <c r="L88" i="3"/>
  <c r="O85" i="3"/>
  <c r="M89" i="3"/>
  <c r="M86" i="3"/>
  <c r="L92" i="3"/>
  <c r="L81" i="3"/>
  <c r="M87" i="3"/>
  <c r="L86" i="3"/>
  <c r="N85" i="3"/>
  <c r="M90" i="3"/>
  <c r="O88" i="3"/>
  <c r="M92" i="3"/>
  <c r="M91" i="3"/>
  <c r="N86" i="3"/>
  <c r="O81" i="3"/>
  <c r="M85" i="3"/>
  <c r="L89" i="3"/>
  <c r="M82" i="3"/>
  <c r="O89" i="3"/>
  <c r="N81" i="3"/>
  <c r="AS80" i="3"/>
  <c r="O84" i="3"/>
  <c r="M84" i="3"/>
  <c r="N91" i="3"/>
  <c r="J86" i="3"/>
  <c r="M88" i="3"/>
  <c r="L85" i="3"/>
  <c r="O82" i="3"/>
  <c r="M83" i="3"/>
  <c r="N82" i="3"/>
  <c r="J92" i="3"/>
  <c r="J90" i="3"/>
  <c r="N87" i="3"/>
  <c r="O90" i="3"/>
  <c r="N84" i="3"/>
  <c r="J84" i="3"/>
  <c r="J91" i="3"/>
  <c r="J82" i="3"/>
  <c r="J89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1" i="3"/>
  <c r="J85" i="3"/>
  <c r="L83" i="3"/>
  <c r="N88" i="3"/>
  <c r="J83" i="3"/>
  <c r="N92" i="3"/>
  <c r="J81" i="3"/>
  <c r="O92" i="3"/>
  <c r="N90" i="3"/>
  <c r="L84" i="3"/>
  <c r="N89" i="3"/>
  <c r="L90" i="3"/>
  <c r="J88" i="3"/>
  <c r="J87" i="3"/>
  <c r="O87" i="3"/>
  <c r="K87" i="3" l="1"/>
  <c r="P84" i="3"/>
  <c r="P82" i="3"/>
  <c r="P81" i="3"/>
  <c r="K83" i="3"/>
  <c r="K82" i="3"/>
  <c r="P87" i="3"/>
  <c r="P90" i="3"/>
  <c r="K88" i="3"/>
  <c r="K81" i="3"/>
  <c r="K84" i="3"/>
  <c r="P85" i="3"/>
  <c r="P89" i="3"/>
  <c r="K89" i="3"/>
  <c r="P88" i="3"/>
  <c r="K85" i="3"/>
  <c r="K91" i="3"/>
  <c r="P92" i="3"/>
  <c r="P86" i="3"/>
  <c r="K86" i="3"/>
  <c r="P83" i="3"/>
  <c r="P91" i="3"/>
  <c r="K90" i="3"/>
  <c r="K92" i="3"/>
  <c r="H3" i="4"/>
  <c r="BL39" i="3" s="1"/>
  <c r="K3" i="4"/>
  <c r="E3" i="4"/>
  <c r="D3" i="4"/>
  <c r="BL51" i="3" s="1"/>
  <c r="J3" i="4"/>
  <c r="B3" i="4"/>
  <c r="G3" i="4"/>
  <c r="BL11" i="3" s="1"/>
  <c r="I3" i="4"/>
  <c r="BL15" i="3" s="1"/>
  <c r="BS53" i="3"/>
  <c r="BL55" i="3"/>
  <c r="BS52" i="3"/>
  <c r="BZ49" i="3" s="1"/>
  <c r="CG55" i="3" s="1"/>
  <c r="CN49" i="3" s="1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<sst xmlns="http://schemas.openxmlformats.org/spreadsheetml/2006/main" count="9785" uniqueCount="3699">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</sst>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1482725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1483919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1483454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1483919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1484075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169690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1483610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1483610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1483610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1483610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1483610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223849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1481730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1483655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168221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1483735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168615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1461176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226999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167136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169254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168301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1482962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168683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225425</xdr:colOff>
      <xdr:row>15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168275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225425</xdr:colOff>
      <xdr:row>6</xdr:row>
      <xdr:rowOff>168275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168275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168275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168275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206375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225425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168275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1482725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1482725</xdr:colOff>
      <xdr:row>8</xdr:row>
      <xdr:rowOff>168275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1482725</xdr:colOff>
      <xdr:row>32</xdr:row>
      <xdr:rowOff>168275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225425</xdr:colOff>
      <xdr:row>56</xdr:row>
      <xdr:rowOff>168275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168275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225425</xdr:colOff>
      <xdr:row>31</xdr:row>
      <xdr:rowOff>168275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1482725</xdr:colOff>
      <xdr:row>57</xdr:row>
      <xdr:rowOff>168275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225425</xdr:colOff>
      <xdr:row>9</xdr:row>
      <xdr:rowOff>168275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168275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1482725</xdr:colOff>
      <xdr:row>65</xdr:row>
      <xdr:rowOff>168275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1482725</xdr:colOff>
      <xdr:row>10</xdr:row>
      <xdr:rowOff>168275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225425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168275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1482725</xdr:colOff>
      <xdr:row>35</xdr:row>
      <xdr:rowOff>168275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1482725</xdr:colOff>
      <xdr:row>54</xdr:row>
      <xdr:rowOff>168275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225425</xdr:colOff>
      <xdr:row>11</xdr:row>
      <xdr:rowOff>168275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168275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1482725</xdr:colOff>
      <xdr:row>64</xdr:row>
      <xdr:rowOff>168275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1463675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1482725</xdr:colOff>
      <xdr:row>14</xdr:row>
      <xdr:rowOff>168275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225425</xdr:colOff>
      <xdr:row>14</xdr:row>
      <xdr:rowOff>168275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1482725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1482725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1482725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1482725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1482725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168275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168275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1482725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1482725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225425</xdr:colOff>
      <xdr:row>18</xdr:row>
      <xdr:rowOff>168275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225425</xdr:colOff>
      <xdr:row>19</xdr:row>
      <xdr:rowOff>168275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225425</xdr:colOff>
      <xdr:row>42</xdr:row>
      <xdr:rowOff>168275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1482725</xdr:colOff>
      <xdr:row>70</xdr:row>
      <xdr:rowOff>168275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1482725</xdr:colOff>
      <xdr:row>20</xdr:row>
      <xdr:rowOff>168275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225425</xdr:colOff>
      <xdr:row>44</xdr:row>
      <xdr:rowOff>168275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225425</xdr:colOff>
      <xdr:row>68</xdr:row>
      <xdr:rowOff>168275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1482725</xdr:colOff>
      <xdr:row>23</xdr:row>
      <xdr:rowOff>168275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225425</xdr:colOff>
      <xdr:row>47</xdr:row>
      <xdr:rowOff>168275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225425</xdr:colOff>
      <xdr:row>67</xdr:row>
      <xdr:rowOff>168275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168275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1482725</xdr:colOff>
      <xdr:row>69</xdr:row>
      <xdr:rowOff>168275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225425</xdr:colOff>
      <xdr:row>20</xdr:row>
      <xdr:rowOff>168275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225425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225425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1482725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225425</xdr:colOff>
      <xdr:row>22</xdr:row>
      <xdr:rowOff>168275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225425</xdr:colOff>
      <xdr:row>46</xdr:row>
      <xdr:rowOff>168275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1482725</xdr:colOff>
      <xdr:row>67</xdr:row>
      <xdr:rowOff>168275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1482725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1482725</xdr:colOff>
      <xdr:row>46</xdr:row>
      <xdr:rowOff>168275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225425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168275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168275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168275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168275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225425</xdr:colOff>
      <xdr:row>25</xdr:row>
      <xdr:rowOff>168275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168275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168275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1482725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168275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168275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168275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1482725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225425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225425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A72"/>
  <sheetViews>
    <sheetView showGridLines="0" workbookViewId="0">
      <selection activeCell="B2" sqref="B2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425781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570312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R111"/>
  <sheetViews>
    <sheetView showGridLines="0" tabSelected="1" topLeftCell="A4" zoomScaleNormal="100" workbookViewId="0">
      <selection activeCell="CF46" sqref="CF46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5703125" style="3" bestFit="1" customWidth="1"/>
    <col min="4" max="4" width="9" style="4" customWidth="1"/>
    <col min="5" max="5" width="22.5703125" style="5" customWidth="1"/>
    <col min="6" max="7" width="4.425781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5703125" style="9" customWidth="1"/>
    <col min="16" max="16" width="6.570312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425781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42578125" style="125" hidden="1" customWidth="1"/>
    <col min="46" max="50" width="4.570312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42578125" style="2" customWidth="1"/>
    <col min="64" max="64" width="19.5703125" style="2" customWidth="1"/>
    <col min="65" max="67" width="3" style="2" customWidth="1"/>
    <col min="68" max="69" width="2" style="111" customWidth="1"/>
    <col min="70" max="70" width="3.42578125" style="2" customWidth="1"/>
    <col min="71" max="71" width="19.5703125" style="2" customWidth="1"/>
    <col min="72" max="74" width="3" style="2" customWidth="1"/>
    <col min="75" max="76" width="2" style="111" customWidth="1"/>
    <col min="77" max="77" width="4" style="2" customWidth="1"/>
    <col min="78" max="78" width="19.5703125" style="2" customWidth="1"/>
    <col min="79" max="81" width="3" style="2" customWidth="1"/>
    <col min="82" max="83" width="2" style="111" customWidth="1"/>
    <col min="84" max="84" width="3.85546875" style="2" customWidth="1"/>
    <col min="85" max="85" width="19.5703125" style="2" customWidth="1"/>
    <col min="86" max="88" width="3" style="2" customWidth="1"/>
    <col min="89" max="90" width="2" style="111" customWidth="1"/>
    <col min="91" max="91" width="3.5703125" style="2" customWidth="1"/>
    <col min="92" max="92" width="19.570312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87500009.167507172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12500000.334048199</v>
      </c>
      <c r="AQ9" s="126">
        <f>VLOOKUP(AE9,db_fifarank,2,FALSE)</f>
        <v>1429.73</v>
      </c>
      <c r="AR9" s="125">
        <f>AP9/AP12</f>
        <v>0.14285713007482634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3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37500005.500794329</v>
      </c>
      <c r="AQ10" s="126">
        <f>VLOOKUP(AE10,db_fifarank,2,FALSE)</f>
        <v>1588.66</v>
      </c>
      <c r="AR10" s="125">
        <f>AP10/AP12</f>
        <v>0.42857144163761285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50000007.334084019</v>
      </c>
      <c r="AQ11" s="126">
        <f>VLOOKUP(AE11,db_fifarank,2,FALSE)</f>
        <v>1501.38</v>
      </c>
      <c r="AR11" s="125">
        <f>AP11/AP12</f>
        <v>0.57142858884662562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87500010.167507172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4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7.5</v>
      </c>
      <c r="AP14" s="123">
        <f>AO14*10000000+BI14*100+AM14/AM18*10+AI14/AI18*1++IF(AQ14=0,ROW(),AQ14)/2000000</f>
        <v>75000008.63569887</v>
      </c>
      <c r="AQ14" s="126">
        <f>VLOOKUP(AE14,db_fifarank,2,FALSE)</f>
        <v>1556.48</v>
      </c>
      <c r="AR14" s="125">
        <f>AP14/AP18</f>
        <v>0.85714285196064743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5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50000006.127677046</v>
      </c>
      <c r="AQ15" s="126">
        <f>VLOOKUP(AE15,db_fifarank,2,FALSE)</f>
        <v>1385.84</v>
      </c>
      <c r="AR15" s="125">
        <f>AP15/AP18</f>
        <v>0.57142857220855836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6 - 4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7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0.2864417657142857</v>
      </c>
      <c r="AQ16" s="126">
        <f>VLOOKUP(AE16,db_fifarank,2,FALSE)</f>
        <v>1454.96</v>
      </c>
      <c r="AR16" s="125">
        <f>AP16/AP18</f>
        <v>3.2736197828665572E-9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87500009.603999317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Canada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9</v>
      </c>
      <c r="AN18" s="123">
        <f>MAX(AN14:AN17)+1</f>
        <v>8</v>
      </c>
      <c r="AO18" s="123">
        <f>MAX(AO14:AO17)+1</f>
        <v>9.75</v>
      </c>
      <c r="AP18" s="123">
        <f>MAX(AP14:AP17)+1</f>
        <v>87500010.603999317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1</v>
      </c>
      <c r="AL20" s="123">
        <f>AI20-AJ20</f>
        <v>9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90000010.354415938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60000005.455423385</v>
      </c>
      <c r="AQ21" s="126">
        <f>VLOOKUP(AE21,db_fifarank,2,FALSE)</f>
        <v>1755.87</v>
      </c>
      <c r="AR21" s="125">
        <f>AP21/AP24</f>
        <v>0.66666664317570024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0</v>
      </c>
      <c r="BU21" s="64"/>
      <c r="BV21" s="27"/>
      <c r="BW21" s="112">
        <f>IF(BW20="","",BT21*1000+BU21*10+BV21)</f>
        <v>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7.1761657613203234E-12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30000003.60680978</v>
      </c>
      <c r="AQ23" s="126">
        <f>VLOOKUP(AE23,db_fifarank,2,FALSE)</f>
        <v>1498.35</v>
      </c>
      <c r="AR23" s="125">
        <f>AP23/AP24</f>
        <v>0.33333333135560544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-8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90000011.354415938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90000009.607979417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19805923.587436911</v>
      </c>
      <c r="AQ27" s="126">
        <f>VLOOKUP(AE27,db_fifarank,2,FALSE)</f>
        <v>1503.5</v>
      </c>
      <c r="AR27" s="125">
        <f>AP27/AP30</f>
        <v>0.22006579169981691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1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19805924.980332639</v>
      </c>
      <c r="AQ28" s="126">
        <f>VLOOKUP(AE28,db_fifarank,2,FALSE)</f>
        <v>1580.67</v>
      </c>
      <c r="AR28" s="125">
        <f>AP28/AP30</f>
        <v>0.22006580717643429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60000005.715085238</v>
      </c>
      <c r="AQ29" s="126">
        <f>VLOOKUP(AE29,db_fifarank,2,FALSE)</f>
        <v>1599.04</v>
      </c>
      <c r="AR29" s="125">
        <f>AP29/AP30</f>
        <v>0.66666665158999028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90000010.607979417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2</v>
      </c>
      <c r="AL32" s="123">
        <f>AI32-AJ32</f>
        <v>4</v>
      </c>
      <c r="AM32" s="123">
        <f>AL32-AL36</f>
        <v>12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97305933.389748156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6.6524719592867928E-12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6 - 2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8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37500006.72604122</v>
      </c>
      <c r="AQ34" s="126">
        <f>VLOOKUP(AE34,db_fifarank,2,FALSE)</f>
        <v>1532.98</v>
      </c>
      <c r="AR34" s="125">
        <f>AP34/AP36</f>
        <v>0.38538252534361461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12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97305933.389680356</v>
      </c>
      <c r="AQ35" s="126">
        <f>VLOOKUP(AE35,db_fifarank,2,FALSE)</f>
        <v>1594.78</v>
      </c>
      <c r="AR35" s="125">
        <f>AP35/AP36</f>
        <v>0.99999998972243775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7</v>
      </c>
      <c r="AL36" s="123">
        <f>MIN(AL32:AL35)</f>
        <v>-8</v>
      </c>
      <c r="AM36" s="123">
        <f>MAX(AM32:AM35)+1</f>
        <v>13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97305934.389748156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10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97305933.249901757</v>
      </c>
      <c r="AQ38" s="126">
        <f>VLOOKUP(AE38,db_fifarank,2,FALSE)</f>
        <v>1757.87</v>
      </c>
      <c r="AR38" s="125">
        <f>AP38/AP42</f>
        <v>0.99999998972313453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1</v>
      </c>
      <c r="AL39" s="123">
        <f>AI39-AJ39</f>
        <v>3</v>
      </c>
      <c r="AM39" s="123">
        <f>AL39-AL42</f>
        <v>9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97305932.055047855</v>
      </c>
      <c r="AQ39" s="126">
        <f>VLOOKUP(AE39,db_fifarank,2,FALSE)</f>
        <v>1660.43</v>
      </c>
      <c r="AR39" s="125">
        <f>AP39/AP42</f>
        <v>0.99999997744378166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5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37500004.974783354</v>
      </c>
      <c r="AQ40" s="126">
        <f>VLOOKUP(AE40,db_fifarank,2,FALSE)</f>
        <v>1514.77</v>
      </c>
      <c r="AR40" s="125">
        <f>AP40/AP42</f>
        <v>0.38538250790003814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1.4757441975568702E-9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11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97305934.249901757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2</v>
      </c>
      <c r="AL44" s="123">
        <f>AI44-AJ44</f>
        <v>7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90000010.186581641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7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40000005.400781617</v>
      </c>
      <c r="AQ45" s="126">
        <f>VLOOKUP(AE45,db_fifarank,2,FALSE)</f>
        <v>1563.24</v>
      </c>
      <c r="AR45" s="125">
        <f>AP45/AP48</f>
        <v>0.44444444921074999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4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20000003.157950509</v>
      </c>
      <c r="AQ46" s="126">
        <f>VLOOKUP(AE46,db_fifarank,2,FALSE)</f>
        <v>1615.3</v>
      </c>
      <c r="AR46" s="125">
        <f>AP46/AP48</f>
        <v>0.22222222968937105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3 - 5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10000000.100640785</v>
      </c>
      <c r="AQ47" s="126">
        <f>VLOOKUP(AE47,db_fifarank,2,FALSE)</f>
        <v>1281.57</v>
      </c>
      <c r="AR47" s="125">
        <f>AP47/AP48</f>
        <v>0.11111109841874901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1 - 7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10</v>
      </c>
      <c r="AL48" s="123">
        <f>MIN(AL44:AL47)</f>
        <v>-6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90000011.186581641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12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97305933.389821172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0.14354020785714286</v>
      </c>
      <c r="AQ51" s="126">
        <f>VLOOKUP(AE51,db_fifarank,2,FALSE)</f>
        <v>1366.13</v>
      </c>
      <c r="AR51" s="125">
        <f>AP51/AP54</f>
        <v>1.4751434098777649E-9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37500003.363348082</v>
      </c>
      <c r="AQ52" s="126">
        <f>VLOOKUP(AE52,db_fifarank,2,FALSE)</f>
        <v>1421.43</v>
      </c>
      <c r="AR52" s="125">
        <f>AP52/AP54</f>
        <v>0.38538249078538034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1</v>
      </c>
      <c r="AL53" s="123">
        <f>AI53-AJ53</f>
        <v>5</v>
      </c>
      <c r="AM53" s="123">
        <f>AL53-AL54</f>
        <v>12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97305933.389719501</v>
      </c>
      <c r="AQ53" s="126">
        <f>VLOOKUP(AE53,db_fifarank,2,FALSE)</f>
        <v>1673.07</v>
      </c>
      <c r="AR53" s="125">
        <f>AP53/AP54</f>
        <v>0.9999999897220897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7</v>
      </c>
      <c r="AL54" s="123">
        <f>MIN(AL50:AL53)</f>
        <v>-7</v>
      </c>
      <c r="AM54" s="123">
        <f>MAX(AM50:AM53)+1</f>
        <v>13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97305934.389821172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90000010.27593866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9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49805929.326815359</v>
      </c>
      <c r="AQ57" s="126">
        <f>VLOOKUP(AE57,db_fifarank,2,FALSE)</f>
        <v>1688.99</v>
      </c>
      <c r="AR57" s="125">
        <f>AP57/AP60</f>
        <v>0.55339914540800605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8.039665659391369E-12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4</v>
      </c>
      <c r="AL59" s="123">
        <f>AI59-AJ59</f>
        <v>0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49805928.701746337</v>
      </c>
      <c r="AQ59" s="126">
        <f>VLOOKUP(AE59,db_fifarank,2,FALSE)</f>
        <v>1550.94</v>
      </c>
      <c r="AR59" s="125">
        <f>AP59/AP60</f>
        <v>0.55339913846279554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90000011.27593866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90000010.275937423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30000002.800782129</v>
      </c>
      <c r="AQ63" s="126">
        <f>VLOOKUP(AE63,db_fifarank,2,FALSE)</f>
        <v>1564.26</v>
      </c>
      <c r="AR63" s="125">
        <f>AP63/AP66</f>
        <v>0.33333332269040489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60000006.125796728</v>
      </c>
      <c r="AQ64" s="126">
        <f>VLOOKUP(AE64,db_fifarank,2,FALSE)</f>
        <v>1593.45</v>
      </c>
      <c r="AR64" s="125">
        <f>AP64/AP66</f>
        <v>0.6666666512056143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3 - 6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8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1.1188412487112899E-9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90000011.275937423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10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97402069.770712569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Portugal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2.2352941176470589</v>
      </c>
      <c r="AP69" s="123">
        <f>AO69*10000000+BI69*100+AM69/AM72*10+AI69/AI72*1++IF(AQ69=0,ROW(),AQ69)/2000000</f>
        <v>22353039.956621528</v>
      </c>
      <c r="AQ69" s="126">
        <f>VLOOKUP(AE69,db_fifarank,2,FALSE)</f>
        <v>1478.35</v>
      </c>
      <c r="AR69" s="125">
        <f>AP69/AP72</f>
        <v>0.22949245103054597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100.5</v>
      </c>
      <c r="BA69" s="126">
        <f>AZ69/AZ72</f>
        <v>0.98529411764705888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100.5</v>
      </c>
      <c r="BI69" s="126">
        <f>BH69/BH72</f>
        <v>0.98529411764705888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7 - 4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2.2352941176470589</v>
      </c>
      <c r="AP70" s="123">
        <f>AO70*10000000+BI70*100+AM70/AM72*10+AI70/AI72*1++IF(AQ70=0,ROW(),AQ70)/2000000</f>
        <v>22353041.77479684</v>
      </c>
      <c r="AQ70" s="126">
        <f>VLOOKUP(AE70,db_fifarank,2,FALSE)</f>
        <v>1465.34</v>
      </c>
      <c r="AR70" s="125">
        <f>AP70/AP72</f>
        <v>0.22949246969724676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100.5</v>
      </c>
      <c r="BA70" s="126">
        <f>AZ70/AZ72</f>
        <v>0.98529411764705888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100.5</v>
      </c>
      <c r="BI70" s="126">
        <f>BH70/BH72</f>
        <v>0.98529411764705888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4</v>
      </c>
      <c r="AL71" s="123">
        <f>AI71-AJ71</f>
        <v>3</v>
      </c>
      <c r="AM71" s="123">
        <f>AL71-AL72</f>
        <v>8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97402067.952495381</v>
      </c>
      <c r="AQ71" s="126">
        <f>VLOOKUP(AE71,db_fifarank,2,FALSE)</f>
        <v>1693.09</v>
      </c>
      <c r="AR71" s="125">
        <f>AP71/AP72</f>
        <v>0.99999997106614713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11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97402070.770712569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13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90000010.175516158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8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49805929.460559569</v>
      </c>
      <c r="AQ75" s="126">
        <f>VLOOKUP(AE75,db_fifarank,2,FALSE)</f>
        <v>1717.07</v>
      </c>
      <c r="AR75" s="125">
        <f>AP75/AP78</f>
        <v>0.5533991475115384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7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49805928.746088468</v>
      </c>
      <c r="AQ76" s="126">
        <f>VLOOKUP(AE76,db_fifarank,2,FALSE)</f>
        <v>1346.31</v>
      </c>
      <c r="AR76" s="125">
        <f>AP76/AP78</f>
        <v>0.5533991395729716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8.5591100483058589E-12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-7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90000011.175516158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6810.0007943299997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8830.0006929200008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6310.0007491750002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1</v>
      </c>
      <c r="AP83" s="123">
        <f>AN83/AN92*10000+AM83/AM92*1000+AI83/AI92*100+IF(AQ83=0,ROW(),AQ83)/2000000</f>
        <v>2310.0007903350001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6830.0007664900004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Ⓐ Korea Republic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3 - 3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6560.0007573849998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4310.0008076499998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6040.0007107150004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8830.00077547</v>
      </c>
      <c r="AQ88" s="126">
        <f t="shared" si="37"/>
        <v>1550.94</v>
      </c>
      <c r="AR88" s="125" t="str">
        <f t="shared" si="50"/>
        <v>ABCEFI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6060.0007821299996</v>
      </c>
      <c r="AQ89" s="126">
        <f t="shared" si="37"/>
        <v>1564.26</v>
      </c>
      <c r="AR89" s="125" t="str">
        <f t="shared" si="50"/>
        <v>ABCEFIJ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2040.0007326699999</v>
      </c>
      <c r="AQ90" s="126">
        <f t="shared" si="37"/>
        <v>1465.34</v>
      </c>
      <c r="AR90" s="125" t="str">
        <f t="shared" si="50"/>
        <v>ABCEFIJ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8830.0006731550002</v>
      </c>
      <c r="AQ91" s="126">
        <f t="shared" si="37"/>
        <v>1346.31</v>
      </c>
      <c r="AR91" s="125" t="str">
        <f t="shared" si="50"/>
        <v>ABCEFIJL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Canada</v>
      </c>
      <c r="T96" s="127" t="str" cm="1">
        <f t="array" ref="T96">IF(OR(S96="",S96="draw"),INDEX(T,95,lang),S96)</f>
        <v>Canada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Canada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Canada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関係者外秘&amp;1#_x000D_&amp;L&amp;KFFFFFF.</oddHeader>
    <oddFooter>&amp;Cwww.excely.com (c) 2026&amp;L&amp;KFFFFFF.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sheetPr codeName="Sheet4"/>
  <dimension ref="B1:K500"/>
  <sheetViews>
    <sheetView showGridLines="0" topLeftCell="A269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570312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408</v>
      </c>
      <c r="C3" s="121" t="str">
        <f>'2026 World Cup'!AR91</f>
        <v>ABCEFIJL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Cerisola Guardiola, David [ES]</cp:lastModifiedBy>
  <cp:revision/>
  <dcterms:created xsi:type="dcterms:W3CDTF">2017-12-27T19:32:51Z</dcterms:created>
  <dcterms:modified xsi:type="dcterms:W3CDTF">2026-06-10T14:21:05Z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  <property fmtid="{D5CDD505-2E9C-101B-9397-08002B2CF9AE}" pid="10" name="TitusGUID">
    <vt:lpwstr>cf0c9052-4611-48f4-9f74-b1027acbff3c</vt:lpwstr>
  </property>
  <property fmtid="{D5CDD505-2E9C-101B-9397-08002B2CF9AE}" pid="11" name="TaggedBy">
    <vt:lpwstr>C02773</vt:lpwstr>
  </property>
  <property fmtid="{D5CDD505-2E9C-101B-9397-08002B2CF9AE}" pid="12" name="L">
    <vt:lpwstr>XXPRI</vt:lpwstr>
  </property>
  <property fmtid="{D5CDD505-2E9C-101B-9397-08002B2CF9AE}" pid="13" name="STAMP">
    <vt:lpwstr>NO</vt:lpwstr>
  </property>
</Properties>
</file>