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BEE8CF24-ED8A-BE4B-B3C7-235F82BB38B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AD17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<sst xmlns="http://schemas.openxmlformats.org/spreadsheetml/2006/main" count="9785" uniqueCount="3699">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</sst>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S36" zoomScaleNormal="100" workbookViewId="0">
      <selection activeCell="CO39" sqref="CO39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8</v>
      </c>
      <c r="AJ8" s="123">
        <f>SUMIF($E$7:$E$78,$AE8,$G$7:$G$78) + SUMIF($H$7:$H$78,$AE8,$F$7:$F$78)</f>
        <v>4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90000009.63972941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8 - 4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10000000.222937087</v>
      </c>
      <c r="AQ9" s="126">
        <f>VLOOKUP(AE9,db_fifarank,2,FALSE)</f>
        <v>1429.73</v>
      </c>
      <c r="AR9" s="125">
        <f>AP9/AP12</f>
        <v>0.1111111004527227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2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2</v>
      </c>
      <c r="AN10" s="123">
        <f>AF10*3+AG10</f>
        <v>2</v>
      </c>
      <c r="AO10" s="123">
        <f>AN10/AN12*10+BA10</f>
        <v>2</v>
      </c>
      <c r="AP10" s="123">
        <f>AO10*10000000+BI10*100+AM10/AM12*10+AI10/AI12*1++IF(AQ10=0,ROW(),AQ10)/2000000</f>
        <v>20000002.834127661</v>
      </c>
      <c r="AQ10" s="126">
        <f>VLOOKUP(AE10,db_fifarank,2,FALSE)</f>
        <v>1588.66</v>
      </c>
      <c r="AR10" s="125">
        <f>AP10/AP12</f>
        <v>0.22222222744159212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3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40000004.195195138</v>
      </c>
      <c r="AQ11" s="126">
        <f>VLOOKUP(AE11,db_fifarank,2,FALSE)</f>
        <v>1501.38</v>
      </c>
      <c r="AR11" s="125">
        <f>AP11/AP12</f>
        <v>0.4444444385158508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9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90000010.63972941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4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0</v>
      </c>
      <c r="AH14" s="123">
        <f>COUNTIF($S$7:$T$78,"=" &amp; AE14 &amp; "_lose")</f>
        <v>3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4</v>
      </c>
      <c r="AL14" s="123">
        <f>AI14-AJ14</f>
        <v>-3</v>
      </c>
      <c r="AM14" s="123">
        <f>AL14-AL18</f>
        <v>0</v>
      </c>
      <c r="AN14" s="123">
        <f>AF14*3+AG14</f>
        <v>0</v>
      </c>
      <c r="AO14" s="123">
        <f>AN14/AN18*10+BA14</f>
        <v>0</v>
      </c>
      <c r="AP14" s="123">
        <f>AO14*10000000+BI14*100+AM14/AM18*10+AI14/AI18*1++IF(AQ14=0,ROW(),AQ14)/2000000</f>
        <v>0.14363538285714286</v>
      </c>
      <c r="AQ14" s="126">
        <f>VLOOKUP(AE14,db_fifarank,2,FALSE)</f>
        <v>1556.48</v>
      </c>
      <c r="AR14" s="125">
        <f>AP14/AP18</f>
        <v>1.4761215205555083E-9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6 - 3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1</v>
      </c>
      <c r="AL15" s="123">
        <f>AI15-AJ15</f>
        <v>2</v>
      </c>
      <c r="AM15" s="123">
        <f>AL15-AL18</f>
        <v>5</v>
      </c>
      <c r="AN15" s="123">
        <f>AF15*3+AG15</f>
        <v>7</v>
      </c>
      <c r="AO15" s="123">
        <f>AN15/AN18*10+BA15</f>
        <v>9.7305825242718456</v>
      </c>
      <c r="AP15" s="123">
        <f>AO15*10000000+BI15*100+AM15/AM18*10+AI15/AI18*1++IF(AQ15=0,ROW(),AQ15)/2000000</f>
        <v>97305930.873092383</v>
      </c>
      <c r="AQ15" s="126">
        <f>VLOOKUP(AE15,db_fifarank,2,FALSE)</f>
        <v>1385.84</v>
      </c>
      <c r="AR15" s="125">
        <f>AP15/AP18</f>
        <v>0.99999997063617285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3 - 1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4</v>
      </c>
      <c r="AL16" s="123">
        <f>AI16-AJ16</f>
        <v>-2</v>
      </c>
      <c r="AM16" s="123">
        <f>AL16-AL18</f>
        <v>1</v>
      </c>
      <c r="AN16" s="123">
        <f>AF16*3+AG16</f>
        <v>3</v>
      </c>
      <c r="AO16" s="123">
        <f>AN16/AN18*10+BA16</f>
        <v>3.75</v>
      </c>
      <c r="AP16" s="123">
        <f>AO16*10000000+BI16*100+AM16/AM18*10+AI16/AI18*1++IF(AQ16=0,ROW(),AQ16)/2000000</f>
        <v>37500001.715013191</v>
      </c>
      <c r="AQ16" s="126">
        <f>VLOOKUP(AE16,db_fifarank,2,FALSE)</f>
        <v>1454.96</v>
      </c>
      <c r="AR16" s="125">
        <f>AP16/AP18</f>
        <v>0.38538247645744833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3</v>
      </c>
      <c r="AL17" s="123">
        <f>AI17-AJ17</f>
        <v>3</v>
      </c>
      <c r="AM17" s="123">
        <f>AL17-AL18</f>
        <v>6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97305932.730367005</v>
      </c>
      <c r="AQ17" s="126">
        <f>VLOOKUP(AE17,db_fifarank,2,FALSE)</f>
        <v>1649.4</v>
      </c>
      <c r="AR17" s="125">
        <f>AP17/AP18</f>
        <v>0.99999998972313442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2</v>
      </c>
      <c r="H18" s="80" t="str">
        <f>AE41</f>
        <v>Tunisia</v>
      </c>
      <c r="J18" s="35" t="str">
        <f>VLOOKUP(4,AD14:AN17,2,FALSE)</f>
        <v>Canada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1 - 4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97305933.730367005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90000010.27588059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60000008.100877933</v>
      </c>
      <c r="AQ21" s="126">
        <f>VLOOKUP(AE21,db_fifarank,2,FALSE)</f>
        <v>1755.87</v>
      </c>
      <c r="AR21" s="125">
        <f>AP21/AP24</f>
        <v>0.66666667315137929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7.1761657675823521E-12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9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30000006.125749175</v>
      </c>
      <c r="AQ23" s="126">
        <f>VLOOKUP(AE23,db_fifarank,2,FALSE)</f>
        <v>1498.35</v>
      </c>
      <c r="AR23" s="125">
        <f>AP23/AP24</f>
        <v>0.33333335963468907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90000011.27588059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0</v>
      </c>
      <c r="W26" s="123">
        <f t="shared" si="4"/>
        <v>0</v>
      </c>
      <c r="X26" s="123">
        <f t="shared" si="9"/>
        <v>1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0</v>
      </c>
      <c r="AH26" s="123">
        <f>COUNTIF($S$7:$T$78,"=" &amp; AE26 &amp; "_lose")</f>
        <v>3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6</v>
      </c>
      <c r="AL26" s="123">
        <f>AI26-AJ26</f>
        <v>-4</v>
      </c>
      <c r="AM26" s="123">
        <f>AL26-AL30</f>
        <v>0</v>
      </c>
      <c r="AN26" s="123">
        <f>AF26*3+AG26</f>
        <v>0</v>
      </c>
      <c r="AO26" s="123">
        <f>AN26/AN30*10+BA26</f>
        <v>0</v>
      </c>
      <c r="AP26" s="123">
        <f>AO26*10000000+BI26*100+AM26/AM30*10+AI26/AI30*1++IF(AQ26=0,ROW(),AQ26)/2000000</f>
        <v>0.28655085071428571</v>
      </c>
      <c r="AQ26" s="126">
        <f>VLOOKUP(AE26,db_fifarank,2,FALSE)</f>
        <v>1673.13</v>
      </c>
      <c r="AR26" s="125">
        <f>AP26/AP30</f>
        <v>2.9448256096411783E-9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3</v>
      </c>
      <c r="AL27" s="123">
        <f>AI27-AJ27</f>
        <v>3</v>
      </c>
      <c r="AM27" s="123">
        <f>AL27-AL30</f>
        <v>7</v>
      </c>
      <c r="AN27" s="123">
        <f>AF27*3+AG27</f>
        <v>7</v>
      </c>
      <c r="AO27" s="123">
        <f>AN27/AN30*10+BA27</f>
        <v>9.7306451612903224</v>
      </c>
      <c r="AP27" s="123">
        <f>AO27*10000000+BI27*100+AM27/AM30*10+AI27/AI30*1++IF(AQ27=0,ROW(),AQ27)/2000000</f>
        <v>97306559.285313949</v>
      </c>
      <c r="AQ27" s="126">
        <f>VLOOKUP(AE27,db_fifarank,2,FALSE)</f>
        <v>1503.5</v>
      </c>
      <c r="AR27" s="125">
        <f>AP27/AP30</f>
        <v>0.99999998972320059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50.666666666666664</v>
      </c>
      <c r="BA27" s="126">
        <f>AZ27/AZ30</f>
        <v>0.98064516129032253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50.666666666666664</v>
      </c>
      <c r="BI27" s="126">
        <f>BH27/BH30</f>
        <v>0.98064516129032253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5</v>
      </c>
      <c r="AL28" s="123">
        <f>AI28-AJ28</f>
        <v>-1</v>
      </c>
      <c r="AM28" s="123">
        <f>AL28-AL30</f>
        <v>3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37500004.32221891</v>
      </c>
      <c r="AQ28" s="126">
        <f>VLOOKUP(AE28,db_fifarank,2,FALSE)</f>
        <v>1580.67</v>
      </c>
      <c r="AR28" s="125">
        <f>AP28/AP30</f>
        <v>0.38538002178131275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6</v>
      </c>
      <c r="AN29" s="123">
        <f>AF29*3+AG29</f>
        <v>7</v>
      </c>
      <c r="AO29" s="123">
        <f>AN29/AN30*10+BA29</f>
        <v>9.7306451612903224</v>
      </c>
      <c r="AP29" s="123">
        <f>AO29*10000000+BI29*100+AM29/AM30*10+AI29/AI30*1++IF(AQ29=0,ROW(),AQ29)/2000000</f>
        <v>97306558.035361722</v>
      </c>
      <c r="AQ29" s="126">
        <f>VLOOKUP(AE29,db_fifarank,2,FALSE)</f>
        <v>1599.04</v>
      </c>
      <c r="AR29" s="125">
        <f>AP29/AP30</f>
        <v>0.99999997687769226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50.666666666666664</v>
      </c>
      <c r="BA29" s="126">
        <f>AZ29/AZ30</f>
        <v>0.98064516129032253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50.666666666666664</v>
      </c>
      <c r="BI29" s="126">
        <f>BH29/BH30</f>
        <v>0.98064516129032253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10.730645161290322</v>
      </c>
      <c r="AP30" s="123">
        <f>MAX(AP26:AP29)+1</f>
        <v>97306560.285313949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90000010.131634429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5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10000000.100647325</v>
      </c>
      <c r="AQ33" s="126">
        <f>VLOOKUP(AE33,db_fifarank,2,FALSE)</f>
        <v>1294.6500000000001</v>
      </c>
      <c r="AR33" s="125">
        <f>AP33/AP36</f>
        <v>0.11111109848665772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Paraguay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5 - 6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5</v>
      </c>
      <c r="AL34" s="123">
        <f>AI34-AJ34</f>
        <v>-3</v>
      </c>
      <c r="AM34" s="123">
        <f>AL34-AL36</f>
        <v>1</v>
      </c>
      <c r="AN34" s="123">
        <f>AF34*3+AG34</f>
        <v>2</v>
      </c>
      <c r="AO34" s="123">
        <f>AN34/AN36*10+BA34</f>
        <v>2</v>
      </c>
      <c r="AP34" s="123">
        <f>AO34*10000000+BI34*100+AM34/AM36*10+AI34/AI36*1++IF(AQ34=0,ROW(),AQ34)/2000000</f>
        <v>20000000.969997257</v>
      </c>
      <c r="AQ34" s="126">
        <f>VLOOKUP(AE34,db_fifarank,2,FALSE)</f>
        <v>1532.98</v>
      </c>
      <c r="AR34" s="125">
        <f>AP34/AP36</f>
        <v>0.22222220551445448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Paraguay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2 - 5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6</v>
      </c>
      <c r="AL35" s="123">
        <f>AI35-AJ35</f>
        <v>-1</v>
      </c>
      <c r="AM35" s="123">
        <f>AL35-AL36</f>
        <v>3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40000002.808489695</v>
      </c>
      <c r="AQ35" s="126">
        <f>VLOOKUP(AE35,db_fifarank,2,FALSE)</f>
        <v>1594.78</v>
      </c>
      <c r="AR35" s="125">
        <f>AP35/AP36</f>
        <v>0.4444444206788542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10</v>
      </c>
      <c r="AL36" s="123">
        <f>MIN(AL32:AL35)</f>
        <v>-4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90000011.131634429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2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Korea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2</v>
      </c>
      <c r="W38" s="123">
        <f t="shared" si="4"/>
        <v>2</v>
      </c>
      <c r="X38" s="123">
        <f t="shared" si="9"/>
        <v>1</v>
      </c>
      <c r="Y38" s="123">
        <f t="shared" si="10"/>
        <v>2</v>
      </c>
      <c r="Z38" s="123">
        <f t="shared" si="11"/>
        <v>2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2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5</v>
      </c>
      <c r="AL38" s="123">
        <f>AI38-AJ38</f>
        <v>1</v>
      </c>
      <c r="AM38" s="123">
        <f>AL38-AL42</f>
        <v>3</v>
      </c>
      <c r="AN38" s="123">
        <f>AF38*3+AG38</f>
        <v>5</v>
      </c>
      <c r="AO38" s="123">
        <f>AN38/AN42*10+BA38</f>
        <v>9.3139784946236563</v>
      </c>
      <c r="AP38" s="123">
        <f>AO38*10000000+BI38*100+AM38/AM42*10+AI38/AI42*1++IF(AQ38=0,ROW(),AQ38)/2000000</f>
        <v>93139891.368774474</v>
      </c>
      <c r="AQ38" s="126">
        <f>VLOOKUP(AE38,db_fifarank,2,FALSE)</f>
        <v>1757.87</v>
      </c>
      <c r="AR38" s="125">
        <f>AP38/AP42</f>
        <v>0.9999999892634619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Belgium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1</v>
      </c>
      <c r="M39" s="31">
        <f>VLOOKUP(1,AD38:AN41,4,FALSE)</f>
        <v>2</v>
      </c>
      <c r="N39" s="31">
        <f>VLOOKUP(1,AD38:AN41,5,FALSE)</f>
        <v>0</v>
      </c>
      <c r="O39" s="31" t="str">
        <f>VLOOKUP(1,AD38:AN41,6,FALSE) &amp; " - " &amp; VLOOKUP(1,AD38:AN41,7,FALSE)</f>
        <v>6 - 5</v>
      </c>
      <c r="P39" s="32">
        <f>L39*3+M39</f>
        <v>5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6</v>
      </c>
      <c r="AL39" s="123">
        <f>AI39-AJ39</f>
        <v>-2</v>
      </c>
      <c r="AM39" s="123">
        <f>AL39-AL42</f>
        <v>0</v>
      </c>
      <c r="AN39" s="123">
        <f>AF39*3+AG39</f>
        <v>1</v>
      </c>
      <c r="AO39" s="123">
        <f>AN39/AN42*10+BA39</f>
        <v>1.6666666666666665</v>
      </c>
      <c r="AP39" s="123">
        <f>AO39*10000000+BI39*100+AM39/AM42*10+AI39/AI42*1++IF(AQ39=0,ROW(),AQ39)/2000000</f>
        <v>16666667.238925451</v>
      </c>
      <c r="AQ39" s="126">
        <f>VLOOKUP(AE39,db_fifarank,2,FALSE)</f>
        <v>1660.43</v>
      </c>
      <c r="AR39" s="125">
        <f>AP39/AP42</f>
        <v>0.17894230726546362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1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6 - 5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5</v>
      </c>
      <c r="AL40" s="123">
        <f>AI40-AJ40</f>
        <v>0</v>
      </c>
      <c r="AM40" s="123">
        <f>AL40-AL42</f>
        <v>2</v>
      </c>
      <c r="AN40" s="123">
        <f>AF40*3+AG40</f>
        <v>4</v>
      </c>
      <c r="AO40" s="123">
        <f>AN40/AN42*10+BA40</f>
        <v>6.6666666666666661</v>
      </c>
      <c r="AP40" s="123">
        <f>AO40*10000000+BI40*100+AM40/AM42*10+AI40/AI42*1++IF(AQ40=0,ROW(),AQ40)/2000000</f>
        <v>66666672.381709762</v>
      </c>
      <c r="AQ40" s="126">
        <f>VLOOKUP(AE40,db_fifarank,2,FALSE)</f>
        <v>1514.77</v>
      </c>
      <c r="AR40" s="125">
        <f>AP40/AP42</f>
        <v>0.7157692658453193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5 - 5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2</v>
      </c>
      <c r="AH41" s="123">
        <f>COUNTIF($S$7:$T$78,"=" &amp; AE41 &amp; "_lose")</f>
        <v>0</v>
      </c>
      <c r="AI41" s="123">
        <f>SUMIF($E$7:$E$78,$AE41,$F$7:$F$78) + SUMIF($H$7:$H$78,$AE41,$G$7:$G$78)</f>
        <v>6</v>
      </c>
      <c r="AJ41" s="123">
        <f>SUMIF($E$7:$E$78,$AE41,$G$7:$G$78) + SUMIF($H$7:$H$78,$AE41,$F$7:$F$78)</f>
        <v>5</v>
      </c>
      <c r="AL41" s="123">
        <f>AI41-AJ41</f>
        <v>1</v>
      </c>
      <c r="AM41" s="123">
        <f>AL41-AL42</f>
        <v>3</v>
      </c>
      <c r="AN41" s="123">
        <f>AF41*3+AG41</f>
        <v>5</v>
      </c>
      <c r="AO41" s="123">
        <f>AN41/AN42*10+BA41</f>
        <v>9.3139784946236563</v>
      </c>
      <c r="AP41" s="123">
        <f>AO41*10000000+BI41*100+AM41/AM42*10+AI41/AI42*1++IF(AQ41=0,ROW(),AQ41)/2000000</f>
        <v>93139891.36863707</v>
      </c>
      <c r="AQ41" s="126">
        <f>VLOOKUP(AE41,db_fifarank,2,FALSE)</f>
        <v>1483.05</v>
      </c>
      <c r="AR41" s="125">
        <f>AP41/AP42</f>
        <v>0.99999998926198674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2</v>
      </c>
      <c r="AW41" s="126" cm="1">
        <f t="array" ref="AW41">SUMPRODUCT(($E$7:$E$78=AE41)*($U$7:$U$78)*($G$7:$G$78))+SUMPRODUCT(($H$7:$H$78=AE41)*($U$7:$U$78)*($F$7:$F$78))</f>
        <v>2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50.666666666666664</v>
      </c>
      <c r="BA41" s="126">
        <f>AZ41/AZ42</f>
        <v>0.98064516129032253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2</v>
      </c>
      <c r="BE41" s="126" cm="1">
        <f t="array" ref="BE41">SUMPRODUCT(($E$7:$E$78=AE41)*($X$7:$X$78)*($G$7:$G$78))+SUMPRODUCT(($H$7:$H$78=AE41)*($X$7:$X$78)*($F$7:$F$78))</f>
        <v>2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50.666666666666664</v>
      </c>
      <c r="BI41" s="126">
        <f>BH41/BH42</f>
        <v>0.98064516129032253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2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4 - 6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Tunisia_win</v>
      </c>
      <c r="T42" s="127" t="str">
        <f t="shared" si="2"/>
        <v>Japan_lose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1</v>
      </c>
      <c r="AF42" s="123">
        <f t="shared" ref="AF42:AH42" si="18">MAX(AF38:AF41)-MIN(AF38:AF41)+1</f>
        <v>2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4</v>
      </c>
      <c r="AN42" s="123">
        <f>MAX(AN38:AN41)+1</f>
        <v>6</v>
      </c>
      <c r="AO42" s="123">
        <f>MAX(AO38:AO41)+1</f>
        <v>10.313978494623656</v>
      </c>
      <c r="AP42" s="123">
        <f>MAX(AP38:AP41)+1</f>
        <v>93139892.368774474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Tunisia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3</v>
      </c>
      <c r="AL44" s="123">
        <f>AI44-AJ44</f>
        <v>4</v>
      </c>
      <c r="AM44" s="123">
        <f>AL44-AL48</f>
        <v>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90000009.447295919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7 - 3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2</v>
      </c>
      <c r="AL45" s="123">
        <f>AI45-AJ45</f>
        <v>-1</v>
      </c>
      <c r="AM45" s="123">
        <f>AL45-AL48</f>
        <v>1</v>
      </c>
      <c r="AN45" s="123">
        <f>AF45*3+AG45</f>
        <v>2</v>
      </c>
      <c r="AO45" s="123">
        <f>AN45/AN48*10+BA45</f>
        <v>2.9852216748768474</v>
      </c>
      <c r="AP45" s="123">
        <f>AO45*10000000+BI45*100+AM45/AM48*10+AI45/AI48*1++IF(AQ45=0,ROW(),AQ45)/2000000</f>
        <v>29852316.825289015</v>
      </c>
      <c r="AQ45" s="126">
        <f>VLOOKUP(AE45,db_fifarank,2,FALSE)</f>
        <v>1563.24</v>
      </c>
      <c r="AR45" s="125">
        <f>AP45/AP48</f>
        <v>0.33169237066667406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66.666666666666657</v>
      </c>
      <c r="BA45" s="126">
        <f>AZ45/AZ48</f>
        <v>0.98522167487684731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2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66.666666666666657</v>
      </c>
      <c r="BI45" s="126">
        <f>BH45/BH48</f>
        <v>0.98522167487684731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2 - 3</v>
      </c>
      <c r="P46" s="34">
        <f>L46*3+M46</f>
        <v>2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0</v>
      </c>
      <c r="W46" s="123">
        <f t="shared" si="4"/>
        <v>0</v>
      </c>
      <c r="X46" s="123">
        <f t="shared" si="9"/>
        <v>1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2</v>
      </c>
      <c r="AL46" s="123">
        <f>AI46-AJ46</f>
        <v>-2</v>
      </c>
      <c r="AM46" s="123">
        <f>AL46-AL48</f>
        <v>0</v>
      </c>
      <c r="AN46" s="123">
        <f>AF46*3+AG46</f>
        <v>2</v>
      </c>
      <c r="AO46" s="123">
        <f>AN46/AN48*10+BA46</f>
        <v>2.9852216748768474</v>
      </c>
      <c r="AP46" s="123">
        <f>AO46*10000000+BI46*100+AM46/AM48*10+AI46/AI48*1++IF(AQ46=0,ROW(),AQ46)/2000000</f>
        <v>29852315.271743614</v>
      </c>
      <c r="AQ46" s="126">
        <f>VLOOKUP(AE46,db_fifarank,2,FALSE)</f>
        <v>1615.3</v>
      </c>
      <c r="AR46" s="125">
        <f>AP46/AP48</f>
        <v>0.33169235340506048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66.666666666666657</v>
      </c>
      <c r="BA46" s="126">
        <f>AZ46/AZ48</f>
        <v>0.98522167487684731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2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66.666666666666657</v>
      </c>
      <c r="BI46" s="126">
        <f>BH46/BH48</f>
        <v>0.98522167487684731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1 - 2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3</v>
      </c>
      <c r="AL47" s="123">
        <f>AI47-AJ47</f>
        <v>-1</v>
      </c>
      <c r="AM47" s="123">
        <f>AL47-AL48</f>
        <v>1</v>
      </c>
      <c r="AN47" s="123">
        <f>AF47*3+AG47</f>
        <v>2</v>
      </c>
      <c r="AO47" s="123">
        <f>AN47/AN48*10+BA47</f>
        <v>2.9852216748768474</v>
      </c>
      <c r="AP47" s="123">
        <f>AO47*10000000+BI47*100+AM47/AM48*10+AI47/AI48*1++IF(AQ47=0,ROW(),AQ47)/2000000</f>
        <v>29852316.950148176</v>
      </c>
      <c r="AQ47" s="126">
        <f>VLOOKUP(AE47,db_fifarank,2,FALSE)</f>
        <v>1281.57</v>
      </c>
      <c r="AR47" s="125">
        <f>AP47/AP48</f>
        <v>0.33169237205399793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66.666666666666657</v>
      </c>
      <c r="BA47" s="126">
        <f>AZ47/AZ48</f>
        <v>0.98522167487684731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2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66.666666666666657</v>
      </c>
      <c r="BI47" s="126">
        <f>BH47/BH48</f>
        <v>0.98522167487684731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0 - 2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8</v>
      </c>
      <c r="AL48" s="123">
        <f>MIN(AL44:AL47)</f>
        <v>-2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90000010.447295919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67.666666666666657</v>
      </c>
      <c r="BB48" s="126">
        <f>MAX(BB44:BB47)-MIN(BB44:BB47)+1</f>
        <v>1</v>
      </c>
      <c r="BC48" s="126">
        <f>MAX(BC44:BC47)-MIN(BC44:BC47)+1</f>
        <v>3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67.666666666666657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Germany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90000010.042604879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4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5</v>
      </c>
      <c r="AL51" s="123">
        <f>AI51-AJ51</f>
        <v>-3</v>
      </c>
      <c r="AM51" s="123">
        <f>AL51-AL54</f>
        <v>2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19805925.218320608</v>
      </c>
      <c r="AQ51" s="126">
        <f>VLOOKUP(AE51,db_fifarank,2,FALSE)</f>
        <v>1366.13</v>
      </c>
      <c r="AR51" s="125">
        <f>AP51/AP54</f>
        <v>0.22006580875800927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19805923.426681589</v>
      </c>
      <c r="AQ52" s="126">
        <f>VLOOKUP(AE52,db_fifarank,2,FALSE)</f>
        <v>1421.43</v>
      </c>
      <c r="AR52" s="125">
        <f>AP52/AP54</f>
        <v>0.22006578885091152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60000006.459169872</v>
      </c>
      <c r="AQ53" s="126">
        <f>VLOOKUP(AE53,db_fifarank,2,FALSE)</f>
        <v>1673.07</v>
      </c>
      <c r="AR53" s="125">
        <f>AP53/AP54</f>
        <v>0.66666665663814884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2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8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90000011.042604879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90000009.889827549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2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1</v>
      </c>
      <c r="AN57" s="123">
        <f>AF57*3+AG57</f>
        <v>2</v>
      </c>
      <c r="AO57" s="123">
        <f>AN57/AN60*10+BA57</f>
        <v>2</v>
      </c>
      <c r="AP57" s="123">
        <f>AO57*10000000+BI57*100+AM57/AM60*10+AI57/AI60*1++IF(AQ57=0,ROW(),AQ57)/2000000</f>
        <v>20000001.445288938</v>
      </c>
      <c r="AQ57" s="126">
        <f>VLOOKUP(AE57,db_fifarank,2,FALSE)</f>
        <v>1688.99</v>
      </c>
      <c r="AR57" s="125">
        <f>AP57/AP60</f>
        <v>0.22222221139252643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5 - 6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5</v>
      </c>
      <c r="AL58" s="123">
        <f>AI58-AJ58</f>
        <v>-3</v>
      </c>
      <c r="AM58" s="123">
        <f>AL58-AL60</f>
        <v>0</v>
      </c>
      <c r="AN58" s="123">
        <f>AF58*3+AG58</f>
        <v>1</v>
      </c>
      <c r="AO58" s="123">
        <f>AN58/AN60*10+BA58</f>
        <v>1</v>
      </c>
      <c r="AP58" s="123">
        <f>AO58*10000000+BI58*100+AM58/AM60*10+AI58/AI60*1++IF(AQ58=0,ROW(),AQ58)/2000000</f>
        <v>10000000.222945793</v>
      </c>
      <c r="AQ58" s="126">
        <f>VLOOKUP(AE58,db_fifarank,2,FALSE)</f>
        <v>1447.14</v>
      </c>
      <c r="AR58" s="125">
        <f>AP58/AP60</f>
        <v>0.11111110014405637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4 - 6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6</v>
      </c>
      <c r="AL59" s="123">
        <f>AI59-AJ59</f>
        <v>-1</v>
      </c>
      <c r="AM59" s="123">
        <f>AL59-AL60</f>
        <v>2</v>
      </c>
      <c r="AN59" s="123">
        <f>AF59*3+AG59</f>
        <v>4</v>
      </c>
      <c r="AO59" s="123">
        <f>AN59/AN60*10+BA59</f>
        <v>4</v>
      </c>
      <c r="AP59" s="123">
        <f>AO59*10000000+BI59*100+AM59/AM60*10+AI59/AI60*1++IF(AQ59=0,ROW(),AQ59)/2000000</f>
        <v>40000002.556331024</v>
      </c>
      <c r="AQ59" s="126">
        <f>VLOOKUP(AE59,db_fifarank,2,FALSE)</f>
        <v>1550.94</v>
      </c>
      <c r="AR59" s="125">
        <f>AP59/AP60</f>
        <v>0.44444441907119936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2 - 5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3</v>
      </c>
      <c r="AH60" s="123">
        <f t="shared" si="27"/>
        <v>3</v>
      </c>
      <c r="AI60" s="123">
        <f>MAX(AI56:AI59)+1</f>
        <v>9</v>
      </c>
      <c r="AL60" s="123">
        <f>MIN(AL56:AL59)</f>
        <v>-3</v>
      </c>
      <c r="AM60" s="123">
        <f>MAX(AM56:AM59)+1</f>
        <v>10</v>
      </c>
      <c r="AN60" s="123">
        <f>MAX(AN56:AN59)+1</f>
        <v>10</v>
      </c>
      <c r="AO60" s="123">
        <f>MAX(AO56:AO59)+1</f>
        <v>10</v>
      </c>
      <c r="AP60" s="123">
        <f>MAX(AP56:AP59)+1</f>
        <v>90000010.889827549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90000009.980735406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0</v>
      </c>
      <c r="AN63" s="123">
        <f>AF63*3+AG63</f>
        <v>2</v>
      </c>
      <c r="AO63" s="123">
        <f>AN63/AN66*10+BA63</f>
        <v>2.9853658536585366</v>
      </c>
      <c r="AP63" s="123">
        <f>AO63*10000000+BI63*100+AM63/AM66*10+AI63/AI66*1++IF(AQ63=0,ROW(),AQ63)/2000000</f>
        <v>29853658.759589717</v>
      </c>
      <c r="AQ63" s="126">
        <f>VLOOKUP(AE63,db_fifarank,2,FALSE)</f>
        <v>1564.26</v>
      </c>
      <c r="AR63" s="125">
        <f>AP63/AP66</f>
        <v>0.33170727907999836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2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67.333333333333329</v>
      </c>
      <c r="BA63" s="126">
        <f>AZ63/AZ66</f>
        <v>0.98536585365853657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New Zealand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2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0</v>
      </c>
      <c r="M64" s="23">
        <f>VLOOKUP(2,AD62:AN65,4,FALSE)</f>
        <v>2</v>
      </c>
      <c r="N64" s="23">
        <f>VLOOKUP(2,AD62:AN65,5,FALSE)</f>
        <v>1</v>
      </c>
      <c r="O64" s="23" t="str">
        <f>VLOOKUP(2,AD62:AN65,6,FALSE) &amp; " - " &amp; VLOOKUP(2,AD62:AN65,7,FALSE)</f>
        <v>2 - 5</v>
      </c>
      <c r="P64" s="34">
        <f>L64*3+M64</f>
        <v>2</v>
      </c>
      <c r="R64" s="123">
        <f>DATE(2026,6,25)+TIME(12,0,0)+gmt_delta</f>
        <v>46199.041666666664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1</v>
      </c>
      <c r="V64" s="123">
        <f t="shared" si="21"/>
        <v>2</v>
      </c>
      <c r="W64" s="123">
        <f t="shared" si="22"/>
        <v>2</v>
      </c>
      <c r="X64" s="123">
        <f t="shared" si="9"/>
        <v>1</v>
      </c>
      <c r="Y64" s="123">
        <f t="shared" si="10"/>
        <v>2</v>
      </c>
      <c r="Z64" s="123">
        <f t="shared" si="11"/>
        <v>2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4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1</v>
      </c>
      <c r="AJ64" s="123">
        <f>SUMIF($E$7:$E$78,$AE64,$G$7:$G$78) + SUMIF($H$7:$H$78,$AE64,$F$7:$F$78)</f>
        <v>3</v>
      </c>
      <c r="AL64" s="123">
        <f>AI64-AJ64</f>
        <v>-2</v>
      </c>
      <c r="AM64" s="123">
        <f>AL64-AL66</f>
        <v>1</v>
      </c>
      <c r="AN64" s="123">
        <f>AF64*3+AG64</f>
        <v>2</v>
      </c>
      <c r="AO64" s="123">
        <f>AN64/AN66*10+BA64</f>
        <v>2.9804878048780488</v>
      </c>
      <c r="AP64" s="123">
        <f>AO64*10000000+BI64*100+AM64/AM66*10+AI64/AI66*1++IF(AQ64=0,ROW(),AQ64)/2000000</f>
        <v>29804977.10899492</v>
      </c>
      <c r="AQ64" s="126">
        <f>VLOOKUP(AE64,db_fifarank,2,FALSE)</f>
        <v>1593.45</v>
      </c>
      <c r="AR64" s="125">
        <f>AP64/AP66</f>
        <v>0.33116637191716236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2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66.999999999999986</v>
      </c>
      <c r="BA64" s="126">
        <f>AZ64/AZ66</f>
        <v>0.98048780487804865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4</v>
      </c>
      <c r="AL65" s="123">
        <f>AI65-AJ65</f>
        <v>-2</v>
      </c>
      <c r="AM65" s="123">
        <f>AL65-AL66</f>
        <v>1</v>
      </c>
      <c r="AN65" s="123">
        <f>AF65*3+AG65</f>
        <v>2</v>
      </c>
      <c r="AO65" s="123">
        <f>AN65/AN66*10+BA65</f>
        <v>2.9804878048780488</v>
      </c>
      <c r="AP65" s="123">
        <f>AO65*10000000+BI65*100+AM65/AM66*10+AI65/AI66*1++IF(AQ65=0,ROW(),AQ65)/2000000</f>
        <v>29804977.220005032</v>
      </c>
      <c r="AQ65" s="126">
        <f>VLOOKUP(AE65,db_fifarank,2,FALSE)</f>
        <v>1391.45</v>
      </c>
      <c r="AR65" s="125">
        <f>AP65/AP66</f>
        <v>0.33116637315060793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2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66.999999999999986</v>
      </c>
      <c r="BA65" s="126">
        <f>AZ65/AZ66</f>
        <v>0.98048780487804865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Austria</v>
      </c>
      <c r="K66" s="36">
        <f>L66+M66+N66</f>
        <v>3</v>
      </c>
      <c r="L66" s="36">
        <f>VLOOKUP(4,AD62:AN65,3,FALSE)</f>
        <v>0</v>
      </c>
      <c r="M66" s="36">
        <f>VLOOKUP(4,AD62:AN65,4,FALSE)</f>
        <v>2</v>
      </c>
      <c r="N66" s="36">
        <f>VLOOKUP(4,AD62:AN65,5,FALSE)</f>
        <v>1</v>
      </c>
      <c r="O66" s="36" t="str">
        <f>VLOOKUP(4,AD62:AN65,6,FALSE) &amp; " - " &amp; VLOOKUP(4,AD62:AN65,7,FALSE)</f>
        <v>1 - 3</v>
      </c>
      <c r="P66" s="37">
        <f>L66*3+M66</f>
        <v>2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2</v>
      </c>
      <c r="AI66" s="123">
        <f>MAX(AI62:AI65)+1</f>
        <v>9</v>
      </c>
      <c r="AL66" s="123">
        <f>MIN(AL62:AL65)</f>
        <v>-3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90000010.980735406</v>
      </c>
      <c r="AT66" s="126">
        <f>MAX(AT62:AT65)-MIN(AT62:AT65)+1</f>
        <v>1</v>
      </c>
      <c r="AU66" s="126">
        <f>MAX(AU62:AU65)-MIN(AU62:AU65)+1</f>
        <v>3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68.333333333333329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9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90000009.858024761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1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5</v>
      </c>
      <c r="AL69" s="123">
        <f>AI69-AJ69</f>
        <v>-2</v>
      </c>
      <c r="AM69" s="123">
        <f>AL69-AL72</f>
        <v>2</v>
      </c>
      <c r="AN69" s="123">
        <f>AF69*3+AG69</f>
        <v>2</v>
      </c>
      <c r="AO69" s="123">
        <f>AN69/AN72*10+BA69</f>
        <v>2</v>
      </c>
      <c r="AP69" s="123">
        <f>AO69*10000000+BI69*100+AM69/AM72*10+AI69/AI72*1++IF(AQ69=0,ROW(),AQ69)/2000000</f>
        <v>20000002.429310605</v>
      </c>
      <c r="AQ69" s="126">
        <f>VLOOKUP(AE69,db_fifarank,2,FALSE)</f>
        <v>1478.35</v>
      </c>
      <c r="AR69" s="125">
        <f>AP69/AP72</f>
        <v>0.22222222240462458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2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10000000.143589813</v>
      </c>
      <c r="AQ70" s="126">
        <f>VLOOKUP(AE70,db_fifarank,2,FALSE)</f>
        <v>1465.34</v>
      </c>
      <c r="AR70" s="125">
        <f>AP70/AP72</f>
        <v>0.11111109930158607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3 - 5</v>
      </c>
      <c r="P71" s="34">
        <f>L71*3+M71</f>
        <v>2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5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40000005.715132259</v>
      </c>
      <c r="AQ71" s="126">
        <f>VLOOKUP(AE71,db_fifarank,2,FALSE)</f>
        <v>1693.09</v>
      </c>
      <c r="AR71" s="125">
        <f>AP71/AP72</f>
        <v>0.44444445432603741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3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10</v>
      </c>
      <c r="AN72" s="123">
        <f>MAX(AN68:AN71)+1</f>
        <v>10</v>
      </c>
      <c r="AO72" s="123">
        <f>MAX(AO68:AO71)+1</f>
        <v>10</v>
      </c>
      <c r="AP72" s="123">
        <f>MAX(AP68:AP71)+1</f>
        <v>90000010.858024761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4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97402069.582612336</v>
      </c>
      <c r="AQ74" s="126">
        <f>VLOOKUP(AE74,db_fifarank,2,FALSE)</f>
        <v>1825.97</v>
      </c>
      <c r="AR74" s="125">
        <f>AP74/AP78</f>
        <v>0.99999998973327775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8 - 4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4</v>
      </c>
      <c r="AL75" s="123">
        <f>AI75-AJ75</f>
        <v>3</v>
      </c>
      <c r="AM75" s="123">
        <f>AL75-AL78</f>
        <v>7</v>
      </c>
      <c r="AN75" s="123">
        <f>AF75*3+AG75</f>
        <v>7</v>
      </c>
      <c r="AO75" s="123">
        <f>AN75/AN78*10+BA75</f>
        <v>9.7401960784313726</v>
      </c>
      <c r="AP75" s="123">
        <f>AO75*10000000+BI75*100+AM75/AM78*10+AI75/AI78*1++IF(AQ75=0,ROW(),AQ75)/2000000</f>
        <v>97402068.360335648</v>
      </c>
      <c r="AQ75" s="126">
        <f>VLOOKUP(AE75,db_fifarank,2,FALSE)</f>
        <v>1717.07</v>
      </c>
      <c r="AR75" s="125">
        <f>AP75/AP78</f>
        <v>0.99999997718450262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101</v>
      </c>
      <c r="BA75" s="126">
        <f>AZ75/AZ78</f>
        <v>0.99019607843137258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101</v>
      </c>
      <c r="BI75" s="126">
        <f>BH75/BH78</f>
        <v>0.99019607843137258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7 - 4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7</v>
      </c>
      <c r="AL76" s="123">
        <f>AI76-AJ76</f>
        <v>-4</v>
      </c>
      <c r="AM76" s="123">
        <f>AL76-AL78</f>
        <v>0</v>
      </c>
      <c r="AN76" s="123">
        <f>AF76*3+AG76</f>
        <v>1</v>
      </c>
      <c r="AO76" s="123">
        <f>AN76/AN78*10+BA76</f>
        <v>2.2352941176470589</v>
      </c>
      <c r="AP76" s="123">
        <f>AO76*10000000+BI76*100+AM76/AM78*10+AI76/AI78*1++IF(AQ76=0,ROW(),AQ76)/2000000</f>
        <v>22353040.03988884</v>
      </c>
      <c r="AQ76" s="126">
        <f>VLOOKUP(AE76,db_fifarank,2,FALSE)</f>
        <v>1346.31</v>
      </c>
      <c r="AR76" s="125">
        <f>AP76/AP78</f>
        <v>0.22949245232861792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100.5</v>
      </c>
      <c r="BA76" s="126">
        <f>AZ76/AZ78</f>
        <v>0.98529411764705888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100.5</v>
      </c>
      <c r="BI76" s="126">
        <f>BH76/BH78</f>
        <v>0.98529411764705888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3 - 6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6</v>
      </c>
      <c r="AL77" s="123">
        <f>AI77-AJ77</f>
        <v>-3</v>
      </c>
      <c r="AM77" s="123">
        <f>AL77-AL78</f>
        <v>1</v>
      </c>
      <c r="AN77" s="123">
        <f>AF77*3+AG77</f>
        <v>1</v>
      </c>
      <c r="AO77" s="123">
        <f>AN77/AN78*10+BA77</f>
        <v>2.2352941176470589</v>
      </c>
      <c r="AP77" s="123">
        <f>AO77*10000000+BI77*100+AM77/AM78*10+AI77/AI78*1++IF(AQ77=0,ROW(),AQ77)/2000000</f>
        <v>22353041.151097115</v>
      </c>
      <c r="AQ77" s="126">
        <f>VLOOKUP(AE77,db_fifarank,2,FALSE)</f>
        <v>1540.64</v>
      </c>
      <c r="AR77" s="125">
        <f>AP77/AP78</f>
        <v>0.2294924637370846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100.5</v>
      </c>
      <c r="BA77" s="126">
        <f>AZ77/AZ78</f>
        <v>0.98529411764705888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100.5</v>
      </c>
      <c r="BI77" s="126">
        <f>BH77/BH78</f>
        <v>0.98529411764705888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3 - 7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9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97402070.582612336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102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2</v>
      </c>
      <c r="AP80" s="123">
        <f>AN80/AN92*10000+AM80/AM92*1000+AI80/AI92*100+IF(AQ80=0,ROW(),AQ80)/2000000</f>
        <v>4550.0007943299997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6283.3340608133331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5 - 5</v>
      </c>
      <c r="P82" s="101">
        <f t="shared" ref="P82:P92" si="48">L82*3+M82</f>
        <v>3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6833.3340825083333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Australia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3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6566.6674570016667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Qatar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10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0</v>
      </c>
      <c r="AN84" s="123">
        <f t="shared" si="45"/>
        <v>2</v>
      </c>
      <c r="AP84" s="123">
        <f>AN84/AN92*10000+AM84/AM92*1000+AI84/AI92*100+IF(AQ84=0,ROW(),AQ84)/2000000</f>
        <v>4033.3340998233334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Ⓐ Korea Republic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5</v>
      </c>
      <c r="AJ85" s="123">
        <f t="shared" si="42"/>
        <v>5</v>
      </c>
      <c r="AK85" s="123" t="s">
        <v>3186</v>
      </c>
      <c r="AL85" s="123">
        <f t="shared" si="43"/>
        <v>0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8833.3340907183338</v>
      </c>
      <c r="AQ85" s="126">
        <f t="shared" si="37"/>
        <v>1514.77</v>
      </c>
      <c r="AR85" s="125" t="str">
        <f t="shared" si="50"/>
        <v>ABCDF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Egypt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1 - 2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6</v>
      </c>
      <c r="AE86" s="124" t="str">
        <f>J47</f>
        <v>Egypt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2</v>
      </c>
      <c r="AP86" s="123">
        <f>AN86/AN92*10000+AM86/AM92*1000+AI86/AI92*100+IF(AQ86=0,ROW(),AQ86)/2000000</f>
        <v>4516.6674482866674</v>
      </c>
      <c r="AQ86" s="126">
        <f t="shared" si="37"/>
        <v>1563.24</v>
      </c>
      <c r="AR86" s="125" t="str">
        <f t="shared" si="50"/>
        <v>ABCDFG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4 - 6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2033.3340163983332</v>
      </c>
      <c r="AQ87" s="126">
        <f t="shared" si="37"/>
        <v>1366.13</v>
      </c>
      <c r="AR87" s="125" t="str">
        <f t="shared" si="50"/>
        <v>ABCDFG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7</v>
      </c>
      <c r="AE88" s="124" t="str">
        <f>J59</f>
        <v>Senegal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1</v>
      </c>
      <c r="AN88" s="123">
        <f t="shared" si="45"/>
        <v>2</v>
      </c>
      <c r="AP88" s="123">
        <f>AN88/AN92*10000+AM88/AM92*1000+AI88/AI92*100+IF(AQ88=0,ROW(),AQ88)/2000000</f>
        <v>4316.6675111616669</v>
      </c>
      <c r="AQ88" s="126">
        <f t="shared" si="37"/>
        <v>1688.99</v>
      </c>
      <c r="AR88" s="125" t="str">
        <f t="shared" si="50"/>
        <v>ABCDFGI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Jordan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9</v>
      </c>
      <c r="AE89" s="124" t="str">
        <f>J65</f>
        <v>Jordan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4283.3340290583328</v>
      </c>
      <c r="AQ89" s="126">
        <f t="shared" si="37"/>
        <v>1391.45</v>
      </c>
      <c r="AR89" s="125" t="str">
        <f t="shared" si="50"/>
        <v>ABCDFGI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8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3</v>
      </c>
      <c r="AJ90" s="123">
        <f t="shared" si="42"/>
        <v>5</v>
      </c>
      <c r="AK90" s="123" t="s">
        <v>3191</v>
      </c>
      <c r="AL90" s="123">
        <f t="shared" si="43"/>
        <v>-2</v>
      </c>
      <c r="AM90" s="123">
        <f t="shared" si="44"/>
        <v>1</v>
      </c>
      <c r="AN90" s="123">
        <f t="shared" si="45"/>
        <v>2</v>
      </c>
      <c r="AP90" s="123">
        <f>AN90/AN92*10000+AM90/AM92*1000+AI90/AI92*100+IF(AQ90=0,ROW(),AQ90)/2000000</f>
        <v>4300.0007391749996</v>
      </c>
      <c r="AQ90" s="126">
        <f t="shared" si="37"/>
        <v>1478.35</v>
      </c>
      <c r="AR90" s="125" t="str">
        <f t="shared" si="50"/>
        <v>ABCDFGIK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6</v>
      </c>
      <c r="AK91" s="123" t="s">
        <v>3192</v>
      </c>
      <c r="AL91" s="123">
        <f>VLOOKUP($AE91,$AE$8:$AQ$78,8,FALSE)</f>
        <v>-3</v>
      </c>
      <c r="AM91" s="123">
        <f t="shared" si="44"/>
        <v>0</v>
      </c>
      <c r="AN91" s="123">
        <f>VLOOKUP($AE91,$AE$8:$AQ$78,10,FALSE)</f>
        <v>1</v>
      </c>
      <c r="AP91" s="123">
        <f>AN91/AN92*10000+AM91/AM92*1000+AI91/AI92*100+IF(AQ91=0,ROW(),AQ91)/2000000</f>
        <v>2050.0007703199999</v>
      </c>
      <c r="AQ91" s="126">
        <f t="shared" si="37"/>
        <v>1540.64</v>
      </c>
      <c r="AR91" s="125" t="str">
        <f t="shared" si="50"/>
        <v>ABCDFGIK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Paraguay</v>
      </c>
      <c r="T98" s="127" t="str" cm="1">
        <f t="array" ref="T98">IF(OR(S98="",S98="draw"),INDEX(T,97,lang),S98)</f>
        <v>Paraguay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Paraguay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Paraguay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455</v>
      </c>
      <c r="C3" s="121" t="str">
        <f>'2026 World Cup'!AR91</f>
        <v>ABCDFGIK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