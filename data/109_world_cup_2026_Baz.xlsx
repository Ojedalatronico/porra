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ortes\Downloads\"/>
    </mc:Choice>
  </mc:AlternateContent>
  <xr:revisionPtr revIDLastSave="0" documentId="13_ncr:1_{08B6D714-E9F8-4150-950D-C9FC9C5DB16B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28" i="3"/>
  <c r="T51" i="3"/>
  <c r="S54" i="3"/>
  <c r="S77" i="3"/>
  <c r="S50" i="3"/>
  <c r="S76" i="3"/>
  <c r="S47" i="3"/>
  <c r="S67" i="3"/>
  <c r="T23" i="3"/>
  <c r="T48" i="3"/>
  <c r="T43" i="3"/>
  <c r="S72" i="3"/>
  <c r="T19" i="3"/>
  <c r="T46" i="3"/>
  <c r="S70" i="3"/>
  <c r="S42" i="3"/>
  <c r="S64" i="3"/>
  <c r="T41" i="3"/>
  <c r="S40" i="3"/>
  <c r="S62" i="3"/>
  <c r="T16" i="3"/>
  <c r="S38" i="3"/>
  <c r="S65" i="3"/>
  <c r="T37" i="3"/>
  <c r="S55" i="3"/>
  <c r="T56" i="3"/>
  <c r="S57" i="3"/>
  <c r="T8" i="3"/>
  <c r="T3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11" i="3" l="1"/>
  <c r="AR9" i="3"/>
  <c r="AR10" i="3"/>
  <c r="AR21" i="3"/>
  <c r="AR28" i="3"/>
  <c r="AR33" i="3"/>
  <c r="AR34" i="3"/>
  <c r="AR35" i="3"/>
  <c r="AD58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9" i="3"/>
  <c r="AD11" i="3"/>
  <c r="AD10" i="3"/>
  <c r="AD8" i="3"/>
  <c r="AD21" i="3"/>
  <c r="AD34" i="3"/>
  <c r="AD33" i="3"/>
  <c r="AD62" i="3"/>
  <c r="L63" i="3" s="1"/>
  <c r="AD35" i="3"/>
  <c r="AD22" i="3"/>
  <c r="AD32" i="3"/>
  <c r="AD41" i="3"/>
  <c r="AD28" i="3"/>
  <c r="AD70" i="3"/>
  <c r="AD44" i="3"/>
  <c r="AD27" i="3"/>
  <c r="O60" i="3"/>
  <c r="L59" i="3"/>
  <c r="M59" i="3"/>
  <c r="AD76" i="3"/>
  <c r="L58" i="3"/>
  <c r="N58" i="3"/>
  <c r="AD15" i="3"/>
  <c r="AD71" i="3"/>
  <c r="AD63" i="3"/>
  <c r="AD29" i="3"/>
  <c r="AD47" i="3"/>
  <c r="AD68" i="3"/>
  <c r="M69" i="3" s="1"/>
  <c r="AD20" i="3"/>
  <c r="AD75" i="3"/>
  <c r="AD53" i="3"/>
  <c r="AD77" i="3"/>
  <c r="AD26" i="3"/>
  <c r="AD14" i="3"/>
  <c r="AD74" i="3"/>
  <c r="M75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O39" i="3" l="1"/>
  <c r="J22" i="3"/>
  <c r="AS21" i="3" s="1"/>
  <c r="BL23" i="3" s="1"/>
  <c r="P58" i="3"/>
  <c r="O45" i="3"/>
  <c r="M51" i="3"/>
  <c r="J12" i="3"/>
  <c r="N11" i="3"/>
  <c r="O10" i="3"/>
  <c r="L11" i="3"/>
  <c r="N12" i="3"/>
  <c r="J9" i="3"/>
  <c r="AS8" i="3" s="1"/>
  <c r="BL50" i="3" s="1"/>
  <c r="L9" i="3"/>
  <c r="N10" i="3"/>
  <c r="L12" i="3"/>
  <c r="M9" i="3"/>
  <c r="O12" i="3"/>
  <c r="M12" i="3"/>
  <c r="J10" i="3"/>
  <c r="AS9" i="3" s="1"/>
  <c r="BL18" i="3" s="1"/>
  <c r="N9" i="3"/>
  <c r="M11" i="3"/>
  <c r="O9" i="3"/>
  <c r="O11" i="3"/>
  <c r="L10" i="3"/>
  <c r="J11" i="3"/>
  <c r="AE80" i="3" s="1"/>
  <c r="AQ80" i="3" s="1"/>
  <c r="M10" i="3"/>
  <c r="O63" i="3"/>
  <c r="N63" i="3"/>
  <c r="M63" i="3"/>
  <c r="O35" i="3"/>
  <c r="J63" i="3"/>
  <c r="AS62" i="3" s="1"/>
  <c r="BL58" i="3" s="1"/>
  <c r="BS60" i="3" s="1"/>
  <c r="BZ64" i="3" s="1"/>
  <c r="M16" i="3"/>
  <c r="O34" i="3"/>
  <c r="O66" i="3"/>
  <c r="N45" i="3"/>
  <c r="J45" i="3"/>
  <c r="AS44" i="3" s="1"/>
  <c r="BL38" i="3" s="1"/>
  <c r="J46" i="3"/>
  <c r="AS45" i="3" s="1"/>
  <c r="BL63" i="3" s="1"/>
  <c r="M45" i="3"/>
  <c r="L69" i="3"/>
  <c r="P69" i="3" s="1"/>
  <c r="J69" i="3"/>
  <c r="AS68" i="3" s="1"/>
  <c r="BL70" i="3" s="1"/>
  <c r="O29" i="3"/>
  <c r="L36" i="3"/>
  <c r="N36" i="3"/>
  <c r="O33" i="3"/>
  <c r="N33" i="3"/>
  <c r="L35" i="3"/>
  <c r="O36" i="3"/>
  <c r="L34" i="3"/>
  <c r="J36" i="3"/>
  <c r="M35" i="3"/>
  <c r="N34" i="3"/>
  <c r="M33" i="3"/>
  <c r="M34" i="3"/>
  <c r="L33" i="3"/>
  <c r="N35" i="3"/>
  <c r="M36" i="3"/>
  <c r="J33" i="3"/>
  <c r="AS32" i="3" s="1"/>
  <c r="BL10" i="3" s="1"/>
  <c r="J34" i="3"/>
  <c r="AS33" i="3" s="1"/>
  <c r="BL46" i="3" s="1"/>
  <c r="BS45" i="3" s="1"/>
  <c r="BZ48" i="3" s="1"/>
  <c r="O47" i="3"/>
  <c r="J35" i="3"/>
  <c r="AE84" i="3" s="1"/>
  <c r="AQ84" i="3" s="1"/>
  <c r="M46" i="3"/>
  <c r="L22" i="3"/>
  <c r="O71" i="3"/>
  <c r="P59" i="3"/>
  <c r="L45" i="3"/>
  <c r="N71" i="3"/>
  <c r="L29" i="3"/>
  <c r="J24" i="3"/>
  <c r="K58" i="3"/>
  <c r="M71" i="3"/>
  <c r="L30" i="3"/>
  <c r="M39" i="3"/>
  <c r="O21" i="3"/>
  <c r="N24" i="3"/>
  <c r="M24" i="3"/>
  <c r="L40" i="3"/>
  <c r="L64" i="3"/>
  <c r="N66" i="3"/>
  <c r="L71" i="3"/>
  <c r="O70" i="3"/>
  <c r="L39" i="3"/>
  <c r="L77" i="3"/>
  <c r="J75" i="3"/>
  <c r="AS74" i="3" s="1"/>
  <c r="BL54" i="3" s="1"/>
  <c r="M70" i="3"/>
  <c r="N65" i="3"/>
  <c r="O51" i="3"/>
  <c r="N39" i="3"/>
  <c r="N30" i="3"/>
  <c r="L18" i="3"/>
  <c r="M54" i="3"/>
  <c r="N53" i="3"/>
  <c r="M41" i="3"/>
  <c r="O65" i="3"/>
  <c r="M65" i="3"/>
  <c r="O17" i="3"/>
  <c r="J70" i="3"/>
  <c r="AS69" i="3" s="1"/>
  <c r="BL26" i="3" s="1"/>
  <c r="L65" i="3"/>
  <c r="J40" i="3"/>
  <c r="AS39" i="3" s="1"/>
  <c r="BL43" i="3" s="1"/>
  <c r="N29" i="3"/>
  <c r="J71" i="3"/>
  <c r="AE90" i="3" s="1"/>
  <c r="AQ90" i="3" s="1"/>
  <c r="J51" i="3"/>
  <c r="AS50" i="3" s="1"/>
  <c r="BL30" i="3" s="1"/>
  <c r="J72" i="3"/>
  <c r="J64" i="3"/>
  <c r="AS63" i="3" s="1"/>
  <c r="BL31" i="3" s="1"/>
  <c r="N64" i="3"/>
  <c r="N51" i="3"/>
  <c r="J48" i="3"/>
  <c r="O22" i="3"/>
  <c r="AJ88" i="3"/>
  <c r="M66" i="3"/>
  <c r="M40" i="3"/>
  <c r="L66" i="3"/>
  <c r="L17" i="3"/>
  <c r="N70" i="3"/>
  <c r="L54" i="3"/>
  <c r="O40" i="3"/>
  <c r="L70" i="3"/>
  <c r="N54" i="3"/>
  <c r="J39" i="3"/>
  <c r="AS38" i="3" s="1"/>
  <c r="BL22" i="3" s="1"/>
  <c r="J52" i="3"/>
  <c r="AS51" i="3" s="1"/>
  <c r="BL59" i="3" s="1"/>
  <c r="AT88" i="3"/>
  <c r="O64" i="3"/>
  <c r="J47" i="3"/>
  <c r="AE86" i="3" s="1"/>
  <c r="AQ86" i="3" s="1"/>
  <c r="M27" i="3"/>
  <c r="AN88" i="3"/>
  <c r="K57" i="3"/>
  <c r="L72" i="3"/>
  <c r="J65" i="3"/>
  <c r="AE89" i="3" s="1"/>
  <c r="AQ89" i="3" s="1"/>
  <c r="M64" i="3"/>
  <c r="L51" i="3"/>
  <c r="N40" i="3"/>
  <c r="N21" i="3"/>
  <c r="J66" i="3"/>
  <c r="O24" i="3"/>
  <c r="K59" i="3"/>
  <c r="O76" i="3"/>
  <c r="O78" i="3"/>
  <c r="O30" i="3"/>
  <c r="L16" i="3"/>
  <c r="N78" i="3"/>
  <c r="L46" i="3"/>
  <c r="J28" i="3"/>
  <c r="AS27" i="3" s="1"/>
  <c r="BL62" i="3" s="1"/>
  <c r="BS61" i="3" s="1"/>
  <c r="M42" i="3"/>
  <c r="L75" i="3"/>
  <c r="P75" i="3" s="1"/>
  <c r="J41" i="3"/>
  <c r="AE85" i="3" s="1"/>
  <c r="AQ85" i="3" s="1"/>
  <c r="N28" i="3"/>
  <c r="L78" i="3"/>
  <c r="O27" i="3"/>
  <c r="M78" i="3"/>
  <c r="AI88" i="3"/>
  <c r="N46" i="3"/>
  <c r="M30" i="3"/>
  <c r="L24" i="3"/>
  <c r="AF88" i="3"/>
  <c r="N17" i="3"/>
  <c r="N77" i="3"/>
  <c r="O72" i="3"/>
  <c r="O69" i="3"/>
  <c r="L47" i="3"/>
  <c r="O28" i="3"/>
  <c r="M22" i="3"/>
  <c r="M77" i="3"/>
  <c r="J78" i="3"/>
  <c r="N72" i="3"/>
  <c r="N69" i="3"/>
  <c r="N52" i="3"/>
  <c r="N47" i="3"/>
  <c r="L42" i="3"/>
  <c r="L28" i="3"/>
  <c r="O23" i="3"/>
  <c r="L21" i="3"/>
  <c r="M18" i="3"/>
  <c r="O75" i="3"/>
  <c r="N18" i="3"/>
  <c r="L15" i="3"/>
  <c r="O46" i="3"/>
  <c r="J42" i="3"/>
  <c r="N27" i="3"/>
  <c r="M17" i="3"/>
  <c r="O42" i="3"/>
  <c r="M28" i="3"/>
  <c r="L76" i="3"/>
  <c r="M48" i="3"/>
  <c r="J29" i="3"/>
  <c r="AE83" i="3" s="1"/>
  <c r="AQ83" i="3" s="1"/>
  <c r="O16" i="3"/>
  <c r="M76" i="3"/>
  <c r="M47" i="3"/>
  <c r="J30" i="3"/>
  <c r="N16" i="3"/>
  <c r="J77" i="3"/>
  <c r="AE91" i="3" s="1"/>
  <c r="AQ91" i="3" s="1"/>
  <c r="N76" i="3"/>
  <c r="M72" i="3"/>
  <c r="L27" i="3"/>
  <c r="N22" i="3"/>
  <c r="J21" i="3"/>
  <c r="AS20" i="3" s="1"/>
  <c r="BL42" i="3" s="1"/>
  <c r="BS44" i="3" s="1"/>
  <c r="J16" i="3"/>
  <c r="AS15" i="3" s="1"/>
  <c r="BL19" i="3" s="1"/>
  <c r="O54" i="3"/>
  <c r="L23" i="3"/>
  <c r="J76" i="3"/>
  <c r="AS75" i="3" s="1"/>
  <c r="BL27" i="3" s="1"/>
  <c r="N75" i="3"/>
  <c r="O48" i="3"/>
  <c r="M29" i="3"/>
  <c r="O18" i="3"/>
  <c r="J27" i="3"/>
  <c r="AS26" i="3" s="1"/>
  <c r="BL34" i="3" s="1"/>
  <c r="L48" i="3"/>
  <c r="J18" i="3"/>
  <c r="AG88" i="3"/>
  <c r="O77" i="3"/>
  <c r="N48" i="3"/>
  <c r="M21" i="3"/>
  <c r="P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P12" i="3"/>
  <c r="K51" i="3"/>
  <c r="K12" i="3"/>
  <c r="P71" i="3"/>
  <c r="K11" i="3"/>
  <c r="P11" i="3"/>
  <c r="K10" i="3"/>
  <c r="AJ80" i="3"/>
  <c r="K9" i="3"/>
  <c r="AL80" i="3"/>
  <c r="AG80" i="3"/>
  <c r="AH80" i="3"/>
  <c r="AF80" i="3"/>
  <c r="P10" i="3"/>
  <c r="P9" i="3"/>
  <c r="AI80" i="3"/>
  <c r="AT80" i="3"/>
  <c r="AN80" i="3"/>
  <c r="P65" i="3"/>
  <c r="K69" i="3"/>
  <c r="P16" i="3"/>
  <c r="K63" i="3"/>
  <c r="P63" i="3"/>
  <c r="K64" i="3"/>
  <c r="K36" i="3"/>
  <c r="K33" i="3"/>
  <c r="K45" i="3"/>
  <c r="P22" i="3"/>
  <c r="AN91" i="3"/>
  <c r="P33" i="3"/>
  <c r="P45" i="3"/>
  <c r="K54" i="3"/>
  <c r="P51" i="3"/>
  <c r="P39" i="3"/>
  <c r="AN84" i="3"/>
  <c r="P46" i="3"/>
  <c r="K71" i="3"/>
  <c r="P34" i="3"/>
  <c r="AT82" i="3"/>
  <c r="AJ84" i="3"/>
  <c r="AL84" i="3"/>
  <c r="P29" i="3"/>
  <c r="P66" i="3"/>
  <c r="K39" i="3"/>
  <c r="AT84" i="3"/>
  <c r="AF84" i="3"/>
  <c r="P35" i="3"/>
  <c r="P36" i="3"/>
  <c r="AL87" i="3"/>
  <c r="K34" i="3"/>
  <c r="AJ89" i="3"/>
  <c r="K29" i="3"/>
  <c r="K24" i="3"/>
  <c r="K47" i="3"/>
  <c r="AH87" i="3"/>
  <c r="AI89" i="3"/>
  <c r="K35" i="3"/>
  <c r="AH89" i="3"/>
  <c r="AG89" i="3"/>
  <c r="P30" i="3"/>
  <c r="AH84" i="3"/>
  <c r="P54" i="3"/>
  <c r="K41" i="3"/>
  <c r="AN89" i="3"/>
  <c r="AL89" i="3"/>
  <c r="AJ87" i="3"/>
  <c r="AG87" i="3"/>
  <c r="AF87" i="3"/>
  <c r="P70" i="3"/>
  <c r="AI84" i="3"/>
  <c r="AL85" i="3"/>
  <c r="P72" i="3"/>
  <c r="AG84" i="3"/>
  <c r="K46" i="3"/>
  <c r="AT89" i="3"/>
  <c r="K65" i="3"/>
  <c r="AL91" i="3"/>
  <c r="K16" i="3"/>
  <c r="AN82" i="3"/>
  <c r="AJ91" i="3"/>
  <c r="AT85" i="3"/>
  <c r="K53" i="3"/>
  <c r="P23" i="3"/>
  <c r="P77" i="3"/>
  <c r="K70" i="3"/>
  <c r="P18" i="3"/>
  <c r="P64" i="3"/>
  <c r="AN85" i="3"/>
  <c r="P15" i="3"/>
  <c r="K30" i="3"/>
  <c r="AL83" i="3"/>
  <c r="AJ90" i="3"/>
  <c r="AI90" i="3"/>
  <c r="K40" i="3"/>
  <c r="AJ83" i="3"/>
  <c r="AT86" i="3"/>
  <c r="AI83" i="3"/>
  <c r="AJ86" i="3"/>
  <c r="P24" i="3"/>
  <c r="AN86" i="3"/>
  <c r="K42" i="3"/>
  <c r="AL86" i="3"/>
  <c r="AI91" i="3"/>
  <c r="AH91" i="3"/>
  <c r="AF81" i="3"/>
  <c r="AF89" i="3"/>
  <c r="K18" i="3"/>
  <c r="AH90" i="3"/>
  <c r="K15" i="3"/>
  <c r="AT81" i="3"/>
  <c r="K66" i="3"/>
  <c r="K23" i="3"/>
  <c r="K77" i="3"/>
  <c r="AJ81" i="3"/>
  <c r="AH83" i="3"/>
  <c r="AL81" i="3"/>
  <c r="K22" i="3"/>
  <c r="AF86" i="3"/>
  <c r="K17" i="3"/>
  <c r="AG83" i="3"/>
  <c r="AI86" i="3"/>
  <c r="AF90" i="3"/>
  <c r="P76" i="3"/>
  <c r="AH86" i="3"/>
  <c r="K27" i="3"/>
  <c r="K28" i="3"/>
  <c r="AG86" i="3"/>
  <c r="P27" i="3"/>
  <c r="P42" i="3"/>
  <c r="P47" i="3"/>
  <c r="AI81" i="3"/>
  <c r="AT90" i="3"/>
  <c r="AH81" i="3"/>
  <c r="AT83" i="3"/>
  <c r="P40" i="3"/>
  <c r="AN90" i="3"/>
  <c r="AG91" i="3"/>
  <c r="AG90" i="3"/>
  <c r="P21" i="3"/>
  <c r="P78" i="3"/>
  <c r="AF83" i="3"/>
  <c r="P48" i="3"/>
  <c r="AN81" i="3"/>
  <c r="AG81" i="3"/>
  <c r="AN83" i="3"/>
  <c r="AL90" i="3"/>
  <c r="P52" i="3"/>
  <c r="K75" i="3"/>
  <c r="AG82" i="3"/>
  <c r="AF85" i="3"/>
  <c r="K78" i="3"/>
  <c r="AJ85" i="3"/>
  <c r="K72" i="3"/>
  <c r="K48" i="3"/>
  <c r="P17" i="3"/>
  <c r="K21" i="3"/>
  <c r="P41" i="3"/>
  <c r="P53" i="3"/>
  <c r="AI82" i="3"/>
  <c r="P28" i="3"/>
  <c r="AH85" i="3"/>
  <c r="AF82" i="3"/>
  <c r="AT87" i="3"/>
  <c r="AJ82" i="3"/>
  <c r="AI85" i="3"/>
  <c r="K76" i="3"/>
  <c r="AH82" i="3"/>
  <c r="AG85" i="3"/>
  <c r="AF91" i="3"/>
  <c r="AN87" i="3"/>
  <c r="AT91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L92" i="3"/>
  <c r="AM88" i="3" s="1"/>
  <c r="AF92" i="3"/>
  <c r="AS92" i="3"/>
  <c r="AJ92" i="3"/>
  <c r="AN92" i="3"/>
  <c r="AG92" i="3"/>
  <c r="AH92" i="3"/>
  <c r="AI92" i="3"/>
  <c r="S103" i="3" l="1"/>
  <c r="T103" i="3" s="1" a="1"/>
  <c r="T103" i="3" s="1"/>
  <c r="CG24" i="3"/>
  <c r="S111" i="3" s="1"/>
  <c r="T111" i="3" s="1"/>
  <c r="AM87" i="3"/>
  <c r="AM81" i="3"/>
  <c r="AM80" i="3"/>
  <c r="AM89" i="3"/>
  <c r="AM90" i="3"/>
  <c r="AM91" i="3"/>
  <c r="AM83" i="3"/>
  <c r="AM84" i="3"/>
  <c r="AM82" i="3"/>
  <c r="AM85" i="3"/>
  <c r="AM86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3" i="3"/>
  <c r="AP82" i="3"/>
  <c r="AP89" i="3"/>
  <c r="AP84" i="3"/>
  <c r="AP85" i="3"/>
  <c r="AP91" i="3"/>
  <c r="AP88" i="3"/>
  <c r="AP90" i="3"/>
  <c r="AP86" i="3"/>
  <c r="AP81" i="3"/>
  <c r="CN37" i="3" l="1"/>
  <c r="CK68" i="3" s="1"/>
  <c r="CN48" i="3"/>
  <c r="AD84" i="3"/>
  <c r="AS84" i="3" s="1"/>
  <c r="AD80" i="3"/>
  <c r="AR80" i="3" s="1"/>
  <c r="AD83" i="3"/>
  <c r="AS83" i="3" s="1"/>
  <c r="AD88" i="3"/>
  <c r="AS88" i="3" s="1"/>
  <c r="AD91" i="3"/>
  <c r="AS91" i="3" s="1"/>
  <c r="AD90" i="3"/>
  <c r="AS90" i="3" s="1"/>
  <c r="AD89" i="3"/>
  <c r="AS89" i="3" s="1"/>
  <c r="AD86" i="3"/>
  <c r="AS86" i="3" s="1"/>
  <c r="AD81" i="3"/>
  <c r="AS81" i="3" s="1"/>
  <c r="AD87" i="3"/>
  <c r="AS87" i="3" s="1"/>
  <c r="AD82" i="3"/>
  <c r="AS82" i="3" s="1"/>
  <c r="AD85" i="3"/>
  <c r="AS85" i="3" s="1"/>
  <c r="AS80" i="3" l="1"/>
  <c r="N84" i="3"/>
  <c r="M81" i="3"/>
  <c r="J92" i="3"/>
  <c r="M89" i="3"/>
  <c r="M92" i="3"/>
  <c r="N87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2" i="3"/>
  <c r="L85" i="3"/>
  <c r="N92" i="3"/>
  <c r="L92" i="3"/>
  <c r="J90" i="3"/>
  <c r="N89" i="3"/>
  <c r="M83" i="3"/>
  <c r="L81" i="3"/>
  <c r="J88" i="3"/>
  <c r="J91" i="3"/>
  <c r="L90" i="3"/>
  <c r="N90" i="3"/>
  <c r="J87" i="3"/>
  <c r="O90" i="3"/>
  <c r="M84" i="3"/>
  <c r="O82" i="3"/>
  <c r="N83" i="3"/>
  <c r="M90" i="3"/>
  <c r="M87" i="3"/>
  <c r="N81" i="3"/>
  <c r="L83" i="3"/>
  <c r="J83" i="3"/>
  <c r="L86" i="3"/>
  <c r="J86" i="3"/>
  <c r="L82" i="3"/>
  <c r="N82" i="3"/>
  <c r="L87" i="3"/>
  <c r="O81" i="3"/>
  <c r="O87" i="3"/>
  <c r="N86" i="3"/>
  <c r="J89" i="3"/>
  <c r="J85" i="3"/>
  <c r="N88" i="3"/>
  <c r="M86" i="3"/>
  <c r="J81" i="3"/>
  <c r="O86" i="3"/>
  <c r="L84" i="3"/>
  <c r="O83" i="3"/>
  <c r="L91" i="3"/>
  <c r="J84" i="3"/>
  <c r="M91" i="3"/>
  <c r="M88" i="3"/>
  <c r="O85" i="3"/>
  <c r="M82" i="3"/>
  <c r="O88" i="3"/>
  <c r="N85" i="3"/>
  <c r="L89" i="3"/>
  <c r="J82" i="3"/>
  <c r="O89" i="3"/>
  <c r="O91" i="3"/>
  <c r="L88" i="3"/>
  <c r="O84" i="3"/>
  <c r="N91" i="3"/>
  <c r="M85" i="3"/>
  <c r="P81" i="3" l="1"/>
  <c r="P85" i="3"/>
  <c r="P92" i="3"/>
  <c r="K81" i="3"/>
  <c r="K92" i="3"/>
  <c r="P84" i="3"/>
  <c r="P88" i="3"/>
  <c r="J3" i="4"/>
  <c r="BL71" i="3" s="1"/>
  <c r="E3" i="4"/>
  <c r="BL67" i="3" s="1"/>
  <c r="BS68" i="3" s="1"/>
  <c r="D3" i="4"/>
  <c r="BL51" i="3" s="1"/>
  <c r="P90" i="3"/>
  <c r="B3" i="4"/>
  <c r="K89" i="3"/>
  <c r="K91" i="3"/>
  <c r="P83" i="3"/>
  <c r="K3" i="4"/>
  <c r="BL55" i="3" s="1"/>
  <c r="P82" i="3"/>
  <c r="G3" i="4"/>
  <c r="BL11" i="3" s="1"/>
  <c r="K87" i="3"/>
  <c r="P91" i="3"/>
  <c r="P89" i="3"/>
  <c r="K88" i="3"/>
  <c r="K90" i="3"/>
  <c r="I3" i="4"/>
  <c r="BL15" i="3" s="1"/>
  <c r="H3" i="4"/>
  <c r="BL39" i="3" s="1"/>
  <c r="K84" i="3"/>
  <c r="K82" i="3"/>
  <c r="P87" i="3"/>
  <c r="K85" i="3"/>
  <c r="K86" i="3"/>
  <c r="K83" i="3"/>
  <c r="P86" i="3"/>
  <c r="BS53" i="3"/>
  <c r="BS52" i="3"/>
  <c r="BZ49" i="3" s="1"/>
  <c r="CG55" i="3" s="1"/>
  <c r="CN38" i="3" s="1"/>
  <c r="BS69" i="3"/>
  <c r="BZ65" i="3" s="1"/>
  <c r="CG56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<sst xmlns="http://schemas.openxmlformats.org/spreadsheetml/2006/main" count="9785" uniqueCount="3699">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</sst>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N51" sqref="CN51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1</v>
      </c>
      <c r="AL8" s="123">
        <f>AI8-AJ8</f>
        <v>6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90000009.875840515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10000000.125714865</v>
      </c>
      <c r="AQ9" s="126">
        <f>VLOOKUP(AE9,db_fifarank,2,FALSE)</f>
        <v>1429.73</v>
      </c>
      <c r="AR9" s="125">
        <f>AP9/AP12</f>
        <v>0.1111110990809808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2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40000002.250794329</v>
      </c>
      <c r="AQ10" s="126">
        <f>VLOOKUP(AE10,db_fifarank,2,FALSE)</f>
        <v>1588.66</v>
      </c>
      <c r="AR10" s="125">
        <f>AP10/AP12</f>
        <v>0.44444441574541937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1 - 3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3</v>
      </c>
      <c r="AL11" s="123">
        <f>AI11-AJ11</f>
        <v>-2</v>
      </c>
      <c r="AM11" s="123">
        <f>AL11-AL12</f>
        <v>1</v>
      </c>
      <c r="AN11" s="123">
        <f>AF11*3+AG11</f>
        <v>2</v>
      </c>
      <c r="AO11" s="123">
        <f>AN11/AN12*10+BA11</f>
        <v>2</v>
      </c>
      <c r="AP11" s="123">
        <f>AO11*10000000+BI11*100+AM11/AM12*10+AI11/AI12*1++IF(AQ11=0,ROW(),AQ11)/2000000</f>
        <v>20000001.125750691</v>
      </c>
      <c r="AQ11" s="126">
        <f>VLOOKUP(AE11,db_fifarank,2,FALSE)</f>
        <v>1501.38</v>
      </c>
      <c r="AR11" s="125">
        <f>AP11/AP12</f>
        <v>0.22222220787663777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8</v>
      </c>
      <c r="AL12" s="123">
        <f>MIN(AL8:AL11)</f>
        <v>-3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90000010.875840515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1</v>
      </c>
      <c r="AL14" s="123">
        <f>AI14-AJ14</f>
        <v>4</v>
      </c>
      <c r="AM14" s="123">
        <f>AL14-AL18</f>
        <v>8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90000009.723000467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2</v>
      </c>
      <c r="AN15" s="123">
        <f>AF15*3+AG15</f>
        <v>1</v>
      </c>
      <c r="AO15" s="123">
        <f>AN15/AN18*10+BA15</f>
        <v>1.9805825242718447</v>
      </c>
      <c r="AP15" s="123">
        <f>AO15*10000000+BI15*100+AM15/AM18*10+AI15/AI18*1++IF(AQ15=0,ROW(),AQ15)/2000000</f>
        <v>19805925.690552685</v>
      </c>
      <c r="AQ15" s="126">
        <f>VLOOKUP(AE15,db_fifarank,2,FALSE)</f>
        <v>1385.84</v>
      </c>
      <c r="AR15" s="125">
        <f>AP15/AP18</f>
        <v>0.22006581478652057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19805923.468365021</v>
      </c>
      <c r="AQ16" s="126">
        <f>VLOOKUP(AE16,db_fifarank,2,FALSE)</f>
        <v>1454.96</v>
      </c>
      <c r="AR16" s="125">
        <f>AP16/AP18</f>
        <v>0.22006579009554947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0</v>
      </c>
      <c r="AH17" s="123">
        <f>COUNTIF($S$7:$T$78,"=" &amp; AE17 &amp; "_lose")</f>
        <v>1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6</v>
      </c>
      <c r="AN17" s="123">
        <f>AF17*3+AG17</f>
        <v>6</v>
      </c>
      <c r="AO17" s="123">
        <f>AN17/AN18*10+BA17</f>
        <v>6</v>
      </c>
      <c r="AP17" s="123">
        <f>AO17*10000000+BI17*100+AM17/AM18*10+AI17/AI18*1++IF(AQ17=0,ROW(),AQ17)/2000000</f>
        <v>60000007.334158026</v>
      </c>
      <c r="AQ17" s="126">
        <f>VLOOKUP(AE17,db_fifarank,2,FALSE)</f>
        <v>1649.4</v>
      </c>
      <c r="AR17" s="125">
        <f>AP17/AP18</f>
        <v>0.6666666687276781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6</v>
      </c>
      <c r="AL18" s="123">
        <f>MIN(AL14:AL17)</f>
        <v>-4</v>
      </c>
      <c r="AM18" s="123">
        <f>MAX(AM14:AM17)+1</f>
        <v>9</v>
      </c>
      <c r="AN18" s="123">
        <f>MAX(AN14:AN17)+1</f>
        <v>10</v>
      </c>
      <c r="AO18" s="123">
        <f>MAX(AO14:AO17)+1</f>
        <v>10</v>
      </c>
      <c r="AP18" s="123">
        <f>MAX(AP14:AP17)+1</f>
        <v>90000010.723000467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>
        <v>0</v>
      </c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1</v>
      </c>
      <c r="AL20" s="123">
        <f>AI20-AJ20</f>
        <v>5</v>
      </c>
      <c r="AM20" s="123">
        <f>AL20-AL24</f>
        <v>13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87500010.143737718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2</v>
      </c>
      <c r="AH21" s="123">
        <f>COUNTIF($S$7:$T$78,"=" &amp; AE21 &amp; "_lose")</f>
        <v>0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2</v>
      </c>
      <c r="AL21" s="123">
        <f>AI21-AJ21</f>
        <v>2</v>
      </c>
      <c r="AM21" s="123">
        <f>AL21-AL24</f>
        <v>10</v>
      </c>
      <c r="AN21" s="123">
        <f>AF21*3+AG21</f>
        <v>5</v>
      </c>
      <c r="AO21" s="123">
        <f>AN21/AN24*10+BA21</f>
        <v>6.25</v>
      </c>
      <c r="AP21" s="123">
        <f>AO21*10000000+BI21*100+AM21/AM24*10+AI21/AI24*1++IF(AQ21=0,ROW(),AQ21)/2000000</f>
        <v>62500007.715163648</v>
      </c>
      <c r="AQ21" s="126">
        <f>VLOOKUP(AE21,db_fifarank,2,FALSE)</f>
        <v>1755.87</v>
      </c>
      <c r="AR21" s="125">
        <f>AP21/AP24</f>
        <v>0.71428571148972597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4 - 2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7.3811990599526132E-12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3</v>
      </c>
      <c r="AL23" s="123">
        <f>AI23-AJ23</f>
        <v>1</v>
      </c>
      <c r="AM23" s="123">
        <f>AL23-AL24</f>
        <v>9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50000007.000749178</v>
      </c>
      <c r="AQ23" s="126">
        <f>VLOOKUP(AE23,db_fifarank,2,FALSE)</f>
        <v>1498.35</v>
      </c>
      <c r="AR23" s="125">
        <f>AP23/AP24</f>
        <v>0.57142857866170249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7</v>
      </c>
      <c r="AL24" s="123">
        <f>MIN(AL20:AL23)</f>
        <v>-8</v>
      </c>
      <c r="AM24" s="123">
        <f>MAX(AM20:AM23)+1</f>
        <v>14</v>
      </c>
      <c r="AN24" s="123">
        <f>MAX(AN20:AN23)+1</f>
        <v>8</v>
      </c>
      <c r="AO24" s="123">
        <f>MAX(AO20:AO23)+1</f>
        <v>9.75</v>
      </c>
      <c r="AP24" s="123">
        <f>MAX(AP20:AP23)+1</f>
        <v>87500011.143737718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5</v>
      </c>
      <c r="AN26" s="123">
        <f>AF26*3+AG26</f>
        <v>7</v>
      </c>
      <c r="AO26" s="123">
        <f>AN26/AN30*10+BA26</f>
        <v>9.7306451612903224</v>
      </c>
      <c r="AP26" s="123">
        <f>AO26*10000000+BI26*100+AM26/AM30*10+AI26/AI30*1++IF(AQ26=0,ROW(),AQ26)/2000000</f>
        <v>97306558.583017811</v>
      </c>
      <c r="AQ26" s="126">
        <f>VLOOKUP(AE26,db_fifarank,2,FALSE)</f>
        <v>1673.13</v>
      </c>
      <c r="AR26" s="125">
        <f>AP26/AP30</f>
        <v>0.99999998678735291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50.666666666666664</v>
      </c>
      <c r="BA26" s="126">
        <f>AZ26/AZ30</f>
        <v>0.98064516129032253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2</v>
      </c>
      <c r="BE26" s="126" cm="1">
        <f t="array" ref="BE26">SUMPRODUCT(($E$7:$E$78=AE26)*($X$7:$X$78)*($G$7:$G$78))+SUMPRODUCT(($H$7:$H$78=AE26)*($X$7:$X$78)*($F$7:$F$78))</f>
        <v>2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50.666666666666664</v>
      </c>
      <c r="BI26" s="126">
        <f>BH26/BH30</f>
        <v>0.98064516129032253</v>
      </c>
      <c r="BK26" s="13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6 - 4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0</v>
      </c>
      <c r="W27" s="123">
        <f t="shared" si="4"/>
        <v>0</v>
      </c>
      <c r="X27" s="123">
        <f t="shared" si="9"/>
        <v>1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0.14360889285714284</v>
      </c>
      <c r="AQ27" s="126">
        <f>VLOOKUP(AE27,db_fifarank,2,FALSE)</f>
        <v>1503.5</v>
      </c>
      <c r="AR27" s="125">
        <f>AP27/AP30</f>
        <v>1.4758397897421089E-9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3</v>
      </c>
      <c r="AL28" s="123">
        <f>AI28-AJ28</f>
        <v>-1</v>
      </c>
      <c r="AM28" s="123">
        <f>AL28-AL30</f>
        <v>2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37500003.619837955</v>
      </c>
      <c r="AQ28" s="126">
        <f>VLOOKUP(AE28,db_fifarank,2,FALSE)</f>
        <v>1580.67</v>
      </c>
      <c r="AR28" s="125">
        <f>AP28/AP30</f>
        <v>0.38538001621309248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2 - 3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4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9.7306451612903224</v>
      </c>
      <c r="AP29" s="123">
        <f>AO29*10000000+BI29*100+AM29/AM30*10+AI29/AI30*1++IF(AQ29=0,ROW(),AQ29)/2000000</f>
        <v>97306558.86869505</v>
      </c>
      <c r="AQ29" s="126">
        <f>VLOOKUP(AE29,db_fifarank,2,FALSE)</f>
        <v>1599.04</v>
      </c>
      <c r="AR29" s="125">
        <f>AP29/AP30</f>
        <v>0.99999998972320059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50.666666666666664</v>
      </c>
      <c r="BA29" s="126">
        <f>AZ29/AZ30</f>
        <v>0.98064516129032253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50.666666666666664</v>
      </c>
      <c r="BI29" s="126">
        <f>BH29/BH30</f>
        <v>0.98064516129032253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-3</v>
      </c>
      <c r="AM30" s="123">
        <f>MAX(AM26:AM29)+1</f>
        <v>6</v>
      </c>
      <c r="AN30" s="123">
        <f>MAX(AN26:AN29)+1</f>
        <v>8</v>
      </c>
      <c r="AO30" s="123">
        <f>MAX(AO26:AO29)+1</f>
        <v>10.730645161290322</v>
      </c>
      <c r="AP30" s="123">
        <f>MAX(AP26:AP29)+1</f>
        <v>97306559.86869505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51.666666666666664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31">
        <v>84</v>
      </c>
      <c r="BL30" s="24" t="str">
        <f>AS50</f>
        <v>Spain</v>
      </c>
      <c r="BM30" s="61">
        <v>4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4000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0</v>
      </c>
      <c r="AL32" s="123">
        <f>AI32-AJ32</f>
        <v>6</v>
      </c>
      <c r="AM32" s="123">
        <f>AL32-AL36</f>
        <v>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90000009.858008042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6 - 0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3</v>
      </c>
      <c r="AL33" s="123">
        <f>AI33-AJ33</f>
        <v>-3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10000000.000647325</v>
      </c>
      <c r="AQ33" s="126">
        <f>VLOOKUP(AE33,db_fifarank,2,FALSE)</f>
        <v>1294.6500000000001</v>
      </c>
      <c r="AR33" s="125">
        <f>AP33/AP36</f>
        <v>0.11111109771335703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1 - 2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2</v>
      </c>
      <c r="AL34" s="123">
        <f>AI34-AJ34</f>
        <v>-2</v>
      </c>
      <c r="AM34" s="123">
        <f>AL34-AL36</f>
        <v>1</v>
      </c>
      <c r="AN34" s="123">
        <f>AF34*3+AG34</f>
        <v>2</v>
      </c>
      <c r="AO34" s="123">
        <f>AN34/AN36*10+BA34</f>
        <v>2</v>
      </c>
      <c r="AP34" s="123">
        <f>AO34*10000000+BI34*100+AM34/AM36*10+AI34/AI36*1++IF(AQ34=0,ROW(),AQ34)/2000000</f>
        <v>20000001.00076649</v>
      </c>
      <c r="AQ34" s="126">
        <f>VLOOKUP(AE34,db_fifarank,2,FALSE)</f>
        <v>1532.98</v>
      </c>
      <c r="AR34" s="125">
        <f>AP34/AP36</f>
        <v>0.22222220653195537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0 - 2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1</v>
      </c>
      <c r="AJ35" s="123">
        <f>SUMIF($E$7:$E$78,$AE35,$G$7:$G$78) + SUMIF($H$7:$H$78,$AE35,$F$7:$F$78)</f>
        <v>2</v>
      </c>
      <c r="AL35" s="123">
        <f>AI35-AJ35</f>
        <v>-1</v>
      </c>
      <c r="AM35" s="123">
        <f>AL35-AL36</f>
        <v>2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40000002.143654533</v>
      </c>
      <c r="AQ35" s="126">
        <f>VLOOKUP(AE35,db_fifarank,2,FALSE)</f>
        <v>1594.78</v>
      </c>
      <c r="AR35" s="125">
        <f>AP35/AP36</f>
        <v>0.44444441464303891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Austria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0 - 3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7</v>
      </c>
      <c r="AL36" s="123">
        <f>MIN(AL32:AL35)</f>
        <v>-3</v>
      </c>
      <c r="AM36" s="123">
        <f>MAX(AM32:AM35)+1</f>
        <v>10</v>
      </c>
      <c r="AN36" s="123">
        <f>MAX(AN32:AN35)+1</f>
        <v>10</v>
      </c>
      <c r="AO36" s="123">
        <f>MAX(AO32:AO35)+1</f>
        <v>10</v>
      </c>
      <c r="AP36" s="123">
        <f>MAX(AP32:AP35)+1</f>
        <v>90000010.858008042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2</v>
      </c>
      <c r="AL38" s="123">
        <f>AI38-AJ38</f>
        <v>2</v>
      </c>
      <c r="AM38" s="123">
        <f>AL38-AL42</f>
        <v>4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87500008.800878927</v>
      </c>
      <c r="AQ38" s="126">
        <f>VLOOKUP(AE38,db_fifarank,2,FALSE)</f>
        <v>1757.87</v>
      </c>
      <c r="AR38" s="125">
        <f>AP38/AP42</f>
        <v>0.9999999885714298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1</v>
      </c>
      <c r="AN39" s="123">
        <f>AF39*3+AG39</f>
        <v>2</v>
      </c>
      <c r="AO39" s="123">
        <f>AN39/AN42*10+BA39</f>
        <v>2.5</v>
      </c>
      <c r="AP39" s="123">
        <f>AO39*10000000+BI39*100+AM39/AM42*10+AI39/AI42*1++IF(AQ39=0,ROW(),AQ39)/2000000</f>
        <v>25000002.600830216</v>
      </c>
      <c r="AQ39" s="126">
        <f>VLOOKUP(AE39,db_fifarank,2,FALSE)</f>
        <v>1660.43</v>
      </c>
      <c r="AR39" s="125">
        <f>AP39/AP42</f>
        <v>0.2857142834351899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4 - 3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3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62500006.800757378</v>
      </c>
      <c r="AQ40" s="126">
        <f>VLOOKUP(AE40,db_fifarank,2,FALSE)</f>
        <v>1514.77</v>
      </c>
      <c r="AR40" s="125">
        <f>AP40/AP42</f>
        <v>0.71428571200148105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12500000.400741525</v>
      </c>
      <c r="AQ41" s="126">
        <f>VLOOKUP(AE41,db_fifarank,2,FALSE)</f>
        <v>1483.05</v>
      </c>
      <c r="AR41" s="125">
        <f>AP41/AP42</f>
        <v>0.14285713143561229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2 - 4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5</v>
      </c>
      <c r="AL42" s="123">
        <f>MIN(AL38:AL41)</f>
        <v>-2</v>
      </c>
      <c r="AM42" s="123">
        <f>MAX(AM38:AM41)+1</f>
        <v>5</v>
      </c>
      <c r="AN42" s="123">
        <f>MAX(AN38:AN41)+1</f>
        <v>8</v>
      </c>
      <c r="AO42" s="123">
        <f>MAX(AO38:AO41)+1</f>
        <v>9.75</v>
      </c>
      <c r="AP42" s="123">
        <f>MAX(AP38:AP41)+1</f>
        <v>87500009.800878927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90000009.746899098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3</v>
      </c>
      <c r="AL45" s="123">
        <f>AI45-AJ45</f>
        <v>-2</v>
      </c>
      <c r="AM45" s="123">
        <f>AL45-AL48</f>
        <v>1</v>
      </c>
      <c r="AN45" s="123">
        <f>AF45*3+AG45</f>
        <v>3</v>
      </c>
      <c r="AO45" s="123">
        <f>AN45/AN48*10+BA45</f>
        <v>3</v>
      </c>
      <c r="AP45" s="123">
        <f>AO45*10000000+BI45*100+AM45/AM48*10+AI45/AI48*1++IF(AQ45=0,ROW(),AQ45)/2000000</f>
        <v>30000001.254749876</v>
      </c>
      <c r="AQ45" s="126">
        <f>VLOOKUP(AE45,db_fifarank,2,FALSE)</f>
        <v>1563.24</v>
      </c>
      <c r="AR45" s="125">
        <f>AP45/AP48</f>
        <v>0.33333330747167172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0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2 - 2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Zealand_win</v>
      </c>
      <c r="T46" s="127" t="str">
        <f t="shared" si="2"/>
        <v>Egypt_lose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0.14366479285714284</v>
      </c>
      <c r="AQ46" s="126">
        <f>VLOOKUP(AE46,db_fifarank,2,FALSE)</f>
        <v>1615.3</v>
      </c>
      <c r="AR46" s="125">
        <f>AP46/AP48</f>
        <v>1.5962752855792601E-9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>
        <v>1</v>
      </c>
      <c r="BO46" s="25">
        <v>6</v>
      </c>
      <c r="BP46" s="116">
        <f>IF(OR(BM46="",BM47="",AND(BN46="",BN47&lt;&gt;""),AND(BN47="",BN46&lt;&gt;""),AND(BO46="",BO47&lt;&gt;""),AND(BO47="",BO46&lt;&gt;"")),"",BM46*1000+BN46*10+BO46)</f>
        <v>1016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1 - 3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2</v>
      </c>
      <c r="AG47" s="123">
        <f>COUNTIF($S$7:$T$78,"=" &amp; AE47 &amp; "_draw")</f>
        <v>0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2</v>
      </c>
      <c r="AL47" s="123">
        <f>AI47-AJ47</f>
        <v>0</v>
      </c>
      <c r="AM47" s="123">
        <f>AL47-AL48</f>
        <v>3</v>
      </c>
      <c r="AN47" s="123">
        <f>AF47*3+AG47</f>
        <v>6</v>
      </c>
      <c r="AO47" s="123">
        <f>AN47/AN48*10+BA47</f>
        <v>6</v>
      </c>
      <c r="AP47" s="123">
        <f>AO47*10000000+BI47*100+AM47/AM48*10+AI47/AI48*1++IF(AQ47=0,ROW(),AQ47)/2000000</f>
        <v>60000003.619688407</v>
      </c>
      <c r="AQ47" s="126">
        <f>VLOOKUP(AE47,db_fifarank,2,FALSE)</f>
        <v>1281.57</v>
      </c>
      <c r="AR47" s="125">
        <f>AP47/AP48</f>
        <v>0.66666662727877146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>
        <v>1</v>
      </c>
      <c r="BO47" s="27">
        <v>5</v>
      </c>
      <c r="BP47" s="112">
        <f>IF(BP46="","",BM47*1000+BN47*10+BO47)</f>
        <v>1015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1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1 - 4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7</v>
      </c>
      <c r="AL48" s="123">
        <f>MIN(AL44:AL47)</f>
        <v>-3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90000010.746899098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>
        <v>4</v>
      </c>
      <c r="CC48" s="25">
        <v>3</v>
      </c>
      <c r="CD48" s="112">
        <f>IF(OR(CA48="",CA49="",AND(CB48="",CB49&lt;&gt;""),AND(CB49="",CB48&lt;&gt;""),AND(CC48="",CC49&lt;&gt;""),AND(CC49="",CC48&lt;&gt;"")),"",CA48*1000+CB48*10+CC48)</f>
        <v>2043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>
        <v>4</v>
      </c>
      <c r="CC49" s="27">
        <v>4</v>
      </c>
      <c r="CD49" s="113">
        <f>IF(CD48="","",CA49*1000+CB49*10+CC49)</f>
        <v>2044</v>
      </c>
      <c r="CK49" s="114"/>
      <c r="CL49" s="115"/>
      <c r="CM49" s="132"/>
      <c r="CN49" s="26" t="str">
        <f>IF(CK55&gt;CK56,CG56,IF(CK55&lt;CK56,CG55,""))</f>
        <v>Portugal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0</v>
      </c>
      <c r="AL50" s="123">
        <f>AI50-AJ50</f>
        <v>9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90000010.275938213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0.2200446347479611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1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19804020.233553853</v>
      </c>
      <c r="AQ52" s="126">
        <f>VLOOKUP(AE52,db_fifarank,2,FALSE)</f>
        <v>1421.43</v>
      </c>
      <c r="AR52" s="125">
        <f>AP52/AP54</f>
        <v>0.22004464169271187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1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60000005.400836535</v>
      </c>
      <c r="AQ53" s="126">
        <f>VLOOKUP(AE53,db_fifarank,2,FALSE)</f>
        <v>1673.07</v>
      </c>
      <c r="AR53" s="125">
        <f>AP53/AP54</f>
        <v>0.66666664315049617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-6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90000011.275938213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>
        <v>2</v>
      </c>
      <c r="CJ55" s="25">
        <v>3</v>
      </c>
      <c r="CK55" s="116">
        <f>IF(OR(CH55="",CH56="",AND(CI55="",CI56&lt;&gt;""),AND(CI56="",CI55&lt;&gt;""),AND(CJ55="",CJ56&lt;&gt;""),AND(CJ56="",CJ55&lt;&gt;"")),"",CH55*1000+CI55*10+CJ55)</f>
        <v>1023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1</v>
      </c>
      <c r="AL56" s="123">
        <f>AI56-AJ56</f>
        <v>4</v>
      </c>
      <c r="AM56" s="123">
        <f>AL56-AL60</f>
        <v>6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90000009.405700549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>
        <v>2</v>
      </c>
      <c r="CJ56" s="27">
        <v>2</v>
      </c>
      <c r="CK56" s="112">
        <f>IF(CK55="","",CH56*1000+CI56*10+CJ56)</f>
        <v>1022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5 - 1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2</v>
      </c>
      <c r="AH57" s="123">
        <f>COUNTIF($S$7:$T$78,"=" &amp; AE57 &amp; "_lose")</f>
        <v>1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3</v>
      </c>
      <c r="AL57" s="123">
        <f>AI57-AJ57</f>
        <v>-1</v>
      </c>
      <c r="AM57" s="123">
        <f>AL57-AL60</f>
        <v>1</v>
      </c>
      <c r="AN57" s="123">
        <f>AF57*3+AG57</f>
        <v>2</v>
      </c>
      <c r="AO57" s="123">
        <f>AN57/AN60*10+BA57</f>
        <v>2</v>
      </c>
      <c r="AP57" s="123">
        <f>AO57*10000000+BI57*100+AM57/AM60*10+AI57/AI60*1++IF(AQ57=0,ROW(),AQ57)/2000000</f>
        <v>20000001.762749255</v>
      </c>
      <c r="AQ57" s="126">
        <f>VLOOKUP(AE57,db_fifarank,2,FALSE)</f>
        <v>1688.99</v>
      </c>
      <c r="AR57" s="125">
        <f>AP57/AP60</f>
        <v>0.22222221611523799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2 - 3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2</v>
      </c>
      <c r="AL58" s="123">
        <f>AI58-AJ58</f>
        <v>-2</v>
      </c>
      <c r="AM58" s="123">
        <f>AL58-AL60</f>
        <v>0</v>
      </c>
      <c r="AN58" s="123">
        <f>AF58*3+AG58</f>
        <v>1</v>
      </c>
      <c r="AO58" s="123">
        <f>AN58/AN60*10+BA58</f>
        <v>1</v>
      </c>
      <c r="AP58" s="123">
        <f>AO58*10000000+BI58*100+AM58/AM60*10+AI58/AI60*1++IF(AQ58=0,ROW(),AQ58)/2000000</f>
        <v>10000000.000723571</v>
      </c>
      <c r="AQ58" s="126">
        <f>VLOOKUP(AE58,db_fifarank,2,FALSE)</f>
        <v>1447.14</v>
      </c>
      <c r="AR58" s="125">
        <f>AP58/AP60</f>
        <v>0.11111109827260839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2</v>
      </c>
      <c r="N59" s="23">
        <f>VLOOKUP(3,AD56:AN59,5,FALSE)</f>
        <v>1</v>
      </c>
      <c r="O59" s="23" t="str">
        <f>VLOOKUP(3,AD56:AN59,6,FALSE) &amp; " - " &amp; VLOOKUP(3,AD56:AN59,7,FALSE)</f>
        <v>2 - 3</v>
      </c>
      <c r="P59" s="34">
        <f>L59*3+M59</f>
        <v>2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3</v>
      </c>
      <c r="AL59" s="123">
        <f>AI59-AJ59</f>
        <v>-1</v>
      </c>
      <c r="AM59" s="123">
        <f>AL59-AL60</f>
        <v>1</v>
      </c>
      <c r="AN59" s="123">
        <f>AF59*3+AG59</f>
        <v>4</v>
      </c>
      <c r="AO59" s="123">
        <f>AN59/AN60*10+BA59</f>
        <v>4</v>
      </c>
      <c r="AP59" s="123">
        <f>AO59*10000000+BI59*100+AM59/AM60*10+AI59/AI60*1++IF(AQ59=0,ROW(),AQ59)/2000000</f>
        <v>40000001.762680233</v>
      </c>
      <c r="AQ59" s="126">
        <f>VLOOKUP(AE59,db_fifarank,2,FALSE)</f>
        <v>1550.94</v>
      </c>
      <c r="AR59" s="125">
        <f>AP59/AP60</f>
        <v>0.44444441264360851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0 - 2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3</v>
      </c>
      <c r="AH60" s="123">
        <f t="shared" si="27"/>
        <v>3</v>
      </c>
      <c r="AI60" s="123">
        <f>MAX(AI56:AI59)+1</f>
        <v>6</v>
      </c>
      <c r="AL60" s="123">
        <f>MIN(AL56:AL59)</f>
        <v>-2</v>
      </c>
      <c r="AM60" s="123">
        <f>MAX(AM56:AM59)+1</f>
        <v>7</v>
      </c>
      <c r="AN60" s="123">
        <f>MAX(AN56:AN59)+1</f>
        <v>10</v>
      </c>
      <c r="AO60" s="123">
        <f>MAX(AO56:AO59)+1</f>
        <v>10</v>
      </c>
      <c r="AP60" s="123">
        <f>MAX(AP56:AP59)+1</f>
        <v>90000010.405700549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0</v>
      </c>
      <c r="AL62" s="123">
        <f>AI62-AJ62</f>
        <v>5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90000009.834270746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>
        <v>2</v>
      </c>
      <c r="BO62" s="25"/>
      <c r="BP62" s="116">
        <f>IF(OR(BM62="",BM63="",AND(BN62="",BN63&lt;&gt;""),AND(BN63="",BN62&lt;&gt;""),AND(BO62="",BO63&lt;&gt;""),AND(BO63="",BO62&lt;&gt;"")),"",BM62*1000+BN62*10+BO62)</f>
        <v>1020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4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49805927.635086335</v>
      </c>
      <c r="AQ63" s="126">
        <f>VLOOKUP(AE63,db_fifarank,2,FALSE)</f>
        <v>1564.26</v>
      </c>
      <c r="AR63" s="125">
        <f>AP63/AP66</f>
        <v>0.55339912932678148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New Zealand</v>
      </c>
      <c r="BM63" s="62">
        <v>1</v>
      </c>
      <c r="BN63" s="64">
        <v>1</v>
      </c>
      <c r="BO63" s="27"/>
      <c r="BP63" s="112">
        <f>IF(BP62="","",BM63*1000+BN63*10+BO63)</f>
        <v>1010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3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49805926.635100931</v>
      </c>
      <c r="AQ64" s="126">
        <f>VLOOKUP(AE64,db_fifarank,2,FALSE)</f>
        <v>1593.45</v>
      </c>
      <c r="AR64" s="125">
        <f>AP64/AP66</f>
        <v>0.55339911821583398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2</v>
      </c>
      <c r="W65" s="123">
        <f t="shared" si="22"/>
        <v>2</v>
      </c>
      <c r="X65" s="123">
        <f t="shared" si="9"/>
        <v>1</v>
      </c>
      <c r="Y65" s="123">
        <f t="shared" si="10"/>
        <v>2</v>
      </c>
      <c r="Z65" s="123">
        <f t="shared" si="11"/>
        <v>2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7.7302768472009745E-12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0 - 4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6</v>
      </c>
      <c r="AL66" s="123">
        <f>MIN(AL62:AL65)</f>
        <v>-4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90000010.834270746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Canada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0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10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90000009.948933855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Egypt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0.22004463554809062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3</v>
      </c>
      <c r="AL70" s="123">
        <f>AI70-AJ70</f>
        <v>-3</v>
      </c>
      <c r="AM70" s="123">
        <f>AL70-AL72</f>
        <v>2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19804021.426757626</v>
      </c>
      <c r="AQ70" s="126">
        <f>VLOOKUP(AE70,db_fifarank,2,FALSE)</f>
        <v>1465.34</v>
      </c>
      <c r="AR70" s="125">
        <f>AP70/AP72</f>
        <v>0.22004465575003607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0 - 3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60000007.987859532</v>
      </c>
      <c r="AQ71" s="126">
        <f>VLOOKUP(AE71,db_fifarank,2,FALSE)</f>
        <v>1693.09</v>
      </c>
      <c r="AR71" s="125">
        <f>AP71/AP72</f>
        <v>0.66666667431744675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-5</v>
      </c>
      <c r="AM72" s="123">
        <f>MAX(AM68:AM71)+1</f>
        <v>11</v>
      </c>
      <c r="AN72" s="123">
        <f>MAX(AN68:AN71)+1</f>
        <v>10</v>
      </c>
      <c r="AO72" s="123">
        <f>MAX(AO68:AO71)+1</f>
        <v>10</v>
      </c>
      <c r="AP72" s="123">
        <f>MAX(AP68:AP71)+1</f>
        <v>90000010.948933855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90000009.85805583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60000006.572287112</v>
      </c>
      <c r="AQ75" s="126">
        <f>VLOOKUP(AE75,db_fifarank,2,FALSE)</f>
        <v>1717.07</v>
      </c>
      <c r="AR75" s="125">
        <f>AP75/AP78</f>
        <v>0.66666665926203672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4</v>
      </c>
      <c r="AL76" s="123">
        <f>AI76-AJ76</f>
        <v>-4</v>
      </c>
      <c r="AM76" s="123">
        <f>AL76-AL78</f>
        <v>0</v>
      </c>
      <c r="AN76" s="123">
        <f>AF76*3+AG76</f>
        <v>1</v>
      </c>
      <c r="AO76" s="123">
        <f>AN76/AN78*10+BA76</f>
        <v>1.9803921568627452</v>
      </c>
      <c r="AP76" s="123">
        <f>AO76*10000000+BI76*100+AM76/AM78*10+AI76/AI78*1++IF(AQ76=0,ROW(),AQ76)/2000000</f>
        <v>19804019.608516295</v>
      </c>
      <c r="AQ76" s="126">
        <f>VLOOKUP(AE76,db_fifarank,2,FALSE)</f>
        <v>1346.31</v>
      </c>
      <c r="AR76" s="125">
        <f>AP76/AP78</f>
        <v>0.22004463576954839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</v>
      </c>
      <c r="BA76" s="126">
        <f>AZ76/AZ78</f>
        <v>0.98039215686274506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</v>
      </c>
      <c r="BI76" s="126">
        <f>BH76/BH78</f>
        <v>0.98039215686274506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0 - 3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3</v>
      </c>
      <c r="AL77" s="123">
        <f>AI77-AJ77</f>
        <v>-3</v>
      </c>
      <c r="AM77" s="123">
        <f>AL77-AL78</f>
        <v>1</v>
      </c>
      <c r="AN77" s="123">
        <f>AF77*3+AG77</f>
        <v>1</v>
      </c>
      <c r="AO77" s="123">
        <f>AN77/AN78*10+BA77</f>
        <v>1.9803921568627452</v>
      </c>
      <c r="AP77" s="123">
        <f>AO77*10000000+BI77*100+AM77/AM78*10+AI77/AI78*1++IF(AQ77=0,ROW(),AQ77)/2000000</f>
        <v>19804020.608613458</v>
      </c>
      <c r="AQ77" s="126">
        <f>VLOOKUP(AE77,db_fifarank,2,FALSE)</f>
        <v>1540.64</v>
      </c>
      <c r="AR77" s="125">
        <f>AP77/AP78</f>
        <v>0.22004464688173775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</v>
      </c>
      <c r="BA77" s="126">
        <f>AZ77/AZ78</f>
        <v>0.98039215686274506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</v>
      </c>
      <c r="BI77" s="126">
        <f>BH77/BH78</f>
        <v>0.98039215686274506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0 - 4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7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90000010.85805583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51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51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1</v>
      </c>
      <c r="AJ80" s="123">
        <f>VLOOKUP($AE80,$AE$8:$AQ$78,6,FALSE)</f>
        <v>3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4448.5721792614286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9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2448.5721214914283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Austria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2 - 3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3</v>
      </c>
      <c r="AK82" s="123" t="s">
        <v>3182</v>
      </c>
      <c r="AL82" s="123">
        <f t="shared" si="43"/>
        <v>1</v>
      </c>
      <c r="AM82" s="123">
        <f t="shared" si="44"/>
        <v>6</v>
      </c>
      <c r="AN82" s="123">
        <f t="shared" si="45"/>
        <v>4</v>
      </c>
      <c r="AP82" s="123">
        <f>AN82/AN92*10000+AM82/AM92*1000+AI82/AI92*100+IF(AQ82=0,ROW(),AQ82)/2000000</f>
        <v>8937.1436063178571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Australia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2 - 3</v>
      </c>
      <c r="P83" s="101">
        <f t="shared" si="48"/>
        <v>3</v>
      </c>
      <c r="AD83" s="123">
        <f t="shared" si="38"/>
        <v>3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6611.4293617635713</v>
      </c>
      <c r="AQ83" s="126">
        <f t="shared" si="37"/>
        <v>1580.67</v>
      </c>
      <c r="AR83" s="125" t="str">
        <f t="shared" si="50"/>
        <v>ACD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Ⓖ Egypt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1 - 3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0</v>
      </c>
      <c r="AJ84" s="123">
        <f t="shared" si="42"/>
        <v>2</v>
      </c>
      <c r="AK84" s="123" t="s">
        <v>3185</v>
      </c>
      <c r="AL84" s="123">
        <f t="shared" si="43"/>
        <v>-2</v>
      </c>
      <c r="AM84" s="123">
        <f t="shared" si="44"/>
        <v>3</v>
      </c>
      <c r="AN84" s="123">
        <f t="shared" si="45"/>
        <v>2</v>
      </c>
      <c r="AP84" s="123">
        <f>AN84/AN92*10000+AM84/AM92*1000+AI84/AI92*100+IF(AQ84=0,ROW(),AQ84)/2000000</f>
        <v>4428.5721950614288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Japan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4631.4294016435715</v>
      </c>
      <c r="AQ85" s="126">
        <f t="shared" si="37"/>
        <v>1660.43</v>
      </c>
      <c r="AR85" s="125" t="str">
        <f t="shared" si="50"/>
        <v>ACDEF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4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6448.5722101914289</v>
      </c>
      <c r="AQ86" s="126">
        <f t="shared" si="37"/>
        <v>1563.24</v>
      </c>
      <c r="AR86" s="125" t="str">
        <f t="shared" si="50"/>
        <v>ACDEFG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Czech Republic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1 - 3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5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2000.000710715</v>
      </c>
      <c r="AQ87" s="126">
        <f t="shared" si="37"/>
        <v>1421.43</v>
      </c>
      <c r="AR87" s="125" t="str">
        <f t="shared" si="50"/>
        <v>ACDEFG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Ivory Coast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0 - 2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6</v>
      </c>
      <c r="AE88" s="124" t="str">
        <f>J59</f>
        <v>Senegal</v>
      </c>
      <c r="AF88" s="123">
        <f t="shared" si="39"/>
        <v>0</v>
      </c>
      <c r="AG88" s="123">
        <f t="shared" si="49"/>
        <v>2</v>
      </c>
      <c r="AH88" s="123">
        <f t="shared" si="40"/>
        <v>1</v>
      </c>
      <c r="AI88" s="123">
        <f t="shared" si="41"/>
        <v>2</v>
      </c>
      <c r="AJ88" s="123">
        <f t="shared" si="42"/>
        <v>3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2</v>
      </c>
      <c r="AP88" s="123">
        <f>AN88/AN92*10000+AM88/AM92*1000+AI88/AI92*100+IF(AQ88=0,ROW(),AQ88)/2000000</f>
        <v>4611.4294159235715</v>
      </c>
      <c r="AQ88" s="126">
        <f t="shared" si="37"/>
        <v>1688.99</v>
      </c>
      <c r="AR88" s="125" t="str">
        <f t="shared" si="50"/>
        <v>ACDEFGI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Bosnia and Herzegovina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2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8611.429368153571</v>
      </c>
      <c r="AQ89" s="126">
        <f t="shared" si="37"/>
        <v>1593.45</v>
      </c>
      <c r="AR89" s="125" t="str">
        <f t="shared" si="50"/>
        <v>ACDEFGIJ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Panama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0 - 3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3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1</v>
      </c>
      <c r="AP90" s="123">
        <f>AN90/AN92*10000+AM90/AM92*1000+AI90/AI92*100+IF(AQ90=0,ROW(),AQ90)/2000000</f>
        <v>2285.7150183842859</v>
      </c>
      <c r="AQ90" s="126">
        <f t="shared" si="37"/>
        <v>1465.34</v>
      </c>
      <c r="AR90" s="125" t="str">
        <f t="shared" si="50"/>
        <v>ACDEFGIJ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0 - 3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0</v>
      </c>
      <c r="AJ91" s="123">
        <f>VLOOKUP($AE91,$AE$8:$AQ$78,6,FALSE)</f>
        <v>3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2285.7150560342857</v>
      </c>
      <c r="AQ91" s="126">
        <f t="shared" si="37"/>
        <v>1540.64</v>
      </c>
      <c r="AR91" s="125" t="str">
        <f t="shared" si="50"/>
        <v>ACDEFGIJ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881" yWindow="666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281</v>
      </c>
      <c r="C3" s="121" t="str">
        <f>'2026 World Cup'!AR91</f>
        <v>ACDEFGIJ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Adrián Baz</cp:lastModifiedBy>
  <cp:revision/>
  <dcterms:created xsi:type="dcterms:W3CDTF">2017-12-27T19:32:51Z</dcterms:created>
  <dcterms:modified xsi:type="dcterms:W3CDTF">2026-06-11T18:50:52Z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