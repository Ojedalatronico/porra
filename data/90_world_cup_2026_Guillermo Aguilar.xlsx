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FBEBC79A-30B8-4143-AE7E-106C6F33DB1D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8" i="3"/>
  <c r="AR35" i="3"/>
  <c r="AR34" i="3"/>
  <c r="AR33" i="3"/>
  <c r="AR75" i="3" l="1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D53" i="3" s="1"/>
  <c r="AR46" i="3"/>
  <c r="AR15" i="3"/>
  <c r="AR45" i="3"/>
  <c r="AR63" i="3"/>
  <c r="AR47" i="3"/>
  <c r="AD44" i="3" s="1"/>
  <c r="AR64" i="3"/>
  <c r="AD62" i="3" s="1"/>
  <c r="AR39" i="3"/>
  <c r="AD56" i="3"/>
  <c r="AR16" i="3"/>
  <c r="AR17" i="3"/>
  <c r="AD14" i="3" s="1"/>
  <c r="AD59" i="3"/>
  <c r="M59" i="3" s="1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M58" i="3" l="1"/>
  <c r="AD63" i="3"/>
  <c r="AD71" i="3"/>
  <c r="AD29" i="3"/>
  <c r="AD76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4" i="3" s="1"/>
  <c r="N59" i="3"/>
  <c r="K59" i="3" s="1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17" i="3" l="1"/>
  <c r="N53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53" i="3" l="1"/>
  <c r="K23" i="3"/>
  <c r="AL82" i="3"/>
  <c r="AL92" i="3" s="1"/>
  <c r="AM88" i="3" s="1"/>
  <c r="AI87" i="3"/>
  <c r="AI92" i="3" s="1"/>
  <c r="K52" i="3"/>
  <c r="AJ92" i="3"/>
  <c r="AG92" i="3"/>
  <c r="AF92" i="3"/>
  <c r="AH92" i="3"/>
  <c r="AS92" i="3"/>
  <c r="AN92" i="3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<sst xmlns="http://schemas.openxmlformats.org/spreadsheetml/2006/main" count="9785" uniqueCount="3699">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</sst>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36" zoomScaleNormal="100" workbookViewId="0">
      <selection activeCell="CN55" sqref="CN55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3167</v>
      </c>
      <c r="K5" s="148"/>
      <c r="L5" s="148"/>
      <c r="M5" s="148"/>
      <c r="N5" s="148"/>
      <c r="O5" s="148"/>
      <c r="P5" s="149"/>
    </row>
    <row r="6" spans="1:95" ht="15" customHeight="1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33" t="s">
        <v>3180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3</v>
      </c>
      <c r="AL8" s="123">
        <f>AI8-AJ8</f>
        <v>2</v>
      </c>
      <c r="AM8" s="123">
        <f>AL8-AL12</f>
        <v>5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97305932.468478054</v>
      </c>
      <c r="AQ8" s="126">
        <f>VLOOKUP(AE8,db_fifarank,2,FALSE)</f>
        <v>1681.03</v>
      </c>
      <c r="AR8" s="125">
        <f>AP8/AP12</f>
        <v>0.99999998972313442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0.50071486499999995</v>
      </c>
      <c r="AQ9" s="126">
        <f>VLOOKUP(AE9,db_fifarank,2,FALSE)</f>
        <v>1429.73</v>
      </c>
      <c r="AR9" s="125">
        <f>AP9/AP12</f>
        <v>5.1457793697874029E-9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5 - 3</v>
      </c>
      <c r="P10" s="34">
        <f>L10*3+M10</f>
        <v>7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5</v>
      </c>
      <c r="AL10" s="123">
        <f>AI10-AJ10</f>
        <v>-1</v>
      </c>
      <c r="AM10" s="123">
        <f>AL10-AL12</f>
        <v>2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37500004.000794329</v>
      </c>
      <c r="AQ10" s="126">
        <f>VLOOKUP(AE10,db_fifarank,2,FALSE)</f>
        <v>1588.66</v>
      </c>
      <c r="AR10" s="125">
        <f>AP10/AP12</f>
        <v>0.38538250098533133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1</v>
      </c>
      <c r="AH11" s="123">
        <f>COUNTIF($S$7:$T$78,"=" &amp; AE11 &amp; "_lose")</f>
        <v>0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3</v>
      </c>
      <c r="AL11" s="123">
        <f>AI11-AJ11</f>
        <v>2</v>
      </c>
      <c r="AM11" s="123">
        <f>AL11-AL12</f>
        <v>5</v>
      </c>
      <c r="AN11" s="123">
        <f>AF11*3+AG11</f>
        <v>7</v>
      </c>
      <c r="AO11" s="123">
        <f>AN11/AN12*10+BA11</f>
        <v>9.7305825242718456</v>
      </c>
      <c r="AP11" s="123">
        <f>AO11*10000000+BI11*100+AM11/AM12*10+AI11/AI12*1++IF(AQ11=0,ROW(),AQ11)/2000000</f>
        <v>97305932.46838823</v>
      </c>
      <c r="AQ11" s="126">
        <f>VLOOKUP(AE11,db_fifarank,2,FALSE)</f>
        <v>1501.38</v>
      </c>
      <c r="AR11" s="125">
        <f>AP11/AP12</f>
        <v>0.99999998972221127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3 - 6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97305933.468478054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4</v>
      </c>
      <c r="AL14" s="123">
        <f>AI14-AJ14</f>
        <v>0</v>
      </c>
      <c r="AM14" s="123">
        <f>AL14-AL18</f>
        <v>5</v>
      </c>
      <c r="AN14" s="123">
        <f>AF14*3+AG14</f>
        <v>4</v>
      </c>
      <c r="AO14" s="123">
        <f>AN14/AN18*10+BA14</f>
        <v>4.9805825242718447</v>
      </c>
      <c r="AP14" s="123">
        <f>AO14*10000000+BI14*100+AM14/AM18*10+AI14/AI18*1++IF(AQ14=0,ROW(),AQ14)/2000000</f>
        <v>49805928.873177685</v>
      </c>
      <c r="AQ14" s="126">
        <f>VLOOKUP(AE14,db_fifarank,2,FALSE)</f>
        <v>1556.48</v>
      </c>
      <c r="AR14" s="125">
        <f>AP14/AP18</f>
        <v>0.55339914293764159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6</v>
      </c>
      <c r="AN15" s="123">
        <f>AF15*3+AG15</f>
        <v>4</v>
      </c>
      <c r="AO15" s="123">
        <f>AN15/AN18*10+BA15</f>
        <v>4.9805825242718447</v>
      </c>
      <c r="AP15" s="123">
        <f>AO15*10000000+BI15*100+AM15/AM18*10+AI15/AI18*1++IF(AQ15=0,ROW(),AQ15)/2000000</f>
        <v>49805929.873092361</v>
      </c>
      <c r="AQ15" s="126">
        <f>VLOOKUP(AE15,db_fifarank,2,FALSE)</f>
        <v>1385.84</v>
      </c>
      <c r="AR15" s="125">
        <f>AP15/AP18</f>
        <v>0.55339915404780338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1.595384505938996E-9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90000009.857967556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90000010.857967556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2</v>
      </c>
      <c r="AL20" s="123">
        <f>AI20-AJ20</f>
        <v>7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90000010.312645301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Bosnia and Herzegovina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5</v>
      </c>
      <c r="AL21" s="123">
        <f>AI21-AJ21</f>
        <v>2</v>
      </c>
      <c r="AM21" s="123">
        <f>AL21-AL24</f>
        <v>11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60000007.171466172</v>
      </c>
      <c r="AQ21" s="126">
        <f>VLOOKUP(AE21,db_fifarank,2,FALSE)</f>
        <v>1755.87</v>
      </c>
      <c r="AR21" s="125">
        <f>AP21/AP24</f>
        <v>0.66666666255225204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7.176165764650912E-12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9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30000005.794866823</v>
      </c>
      <c r="AQ23" s="126">
        <f>VLOOKUP(AE23,db_fifarank,2,FALSE)</f>
        <v>1498.35</v>
      </c>
      <c r="AR23" s="125">
        <f>AP23/AP24</f>
        <v>0.33333335582205337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90000011.312645301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3</v>
      </c>
      <c r="AN26" s="123">
        <f>AF26*3+AG26</f>
        <v>4</v>
      </c>
      <c r="AO26" s="123">
        <f>AN26/AN30*10+BA26</f>
        <v>4</v>
      </c>
      <c r="AP26" s="123">
        <f>AO26*10000000+BI26*100+AM26/AM30*10+AI26/AI30*1++IF(AQ26=0,ROW(),AQ26)/2000000</f>
        <v>40000003.77861435</v>
      </c>
      <c r="AQ26" s="126">
        <f>VLOOKUP(AE26,db_fifarank,2,FALSE)</f>
        <v>1673.13</v>
      </c>
      <c r="AR26" s="125">
        <f>AP26/AP30</f>
        <v>0.44444443320150739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8 - 3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5</v>
      </c>
      <c r="AL27" s="123">
        <f>AI27-AJ27</f>
        <v>-2</v>
      </c>
      <c r="AM27" s="123">
        <f>AL27-AL30</f>
        <v>1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30000001.445196193</v>
      </c>
      <c r="AQ27" s="126">
        <f>VLOOKUP(AE27,db_fifarank,2,FALSE)</f>
        <v>1503.5</v>
      </c>
      <c r="AR27" s="125">
        <f>AP27/AP30</f>
        <v>0.33333330947041495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10000000.334123669</v>
      </c>
      <c r="AQ28" s="126">
        <f>VLOOKUP(AE28,db_fifarank,2,FALSE)</f>
        <v>1580.67</v>
      </c>
      <c r="AR28" s="125">
        <f>AP28/AP30</f>
        <v>0.1111111015167119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3</v>
      </c>
      <c r="AL29" s="123">
        <f>AI29-AJ29</f>
        <v>5</v>
      </c>
      <c r="AM29" s="123">
        <f>AL29-AL30</f>
        <v>8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90000009.778577313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3 - 6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9</v>
      </c>
      <c r="AL30" s="123">
        <f>MIN(AL26:AL29)</f>
        <v>-3</v>
      </c>
      <c r="AM30" s="123">
        <f>MAX(AM26:AM29)+1</f>
        <v>9</v>
      </c>
      <c r="AN30" s="123">
        <f>MAX(AN26:AN29)+1</f>
        <v>10</v>
      </c>
      <c r="AO30" s="123">
        <f>MAX(AO26:AO29)+1</f>
        <v>10</v>
      </c>
      <c r="AP30" s="123">
        <f>MAX(AP26:AP29)+1</f>
        <v>90000010.778577313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9</v>
      </c>
      <c r="AJ32" s="123">
        <f>SUMIF($E$7:$E$78,$AE32,$G$7:$G$78) + SUMIF($H$7:$H$78,$AE32,$F$7:$F$78)</f>
        <v>3</v>
      </c>
      <c r="AL32" s="123">
        <f>AI32-AJ32</f>
        <v>6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90000010.275865197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9 - 3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7.1924990988705525E-12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5</v>
      </c>
      <c r="AL34" s="123">
        <f>AI34-AJ34</f>
        <v>0</v>
      </c>
      <c r="AM34" s="123">
        <f>AL34-AL36</f>
        <v>9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30000006.12576649</v>
      </c>
      <c r="AQ34" s="126">
        <f>VLOOKUP(AE34,db_fifarank,2,FALSE)</f>
        <v>1532.98</v>
      </c>
      <c r="AR34" s="125">
        <f>AP34/AP36</f>
        <v>0.33333335963493843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3</v>
      </c>
      <c r="AL35" s="123">
        <f>AI35-AJ35</f>
        <v>3</v>
      </c>
      <c r="AM35" s="123">
        <f>AL35-AL36</f>
        <v>12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60000008.100797392</v>
      </c>
      <c r="AQ35" s="126">
        <f>VLOOKUP(AE35,db_fifarank,2,FALSE)</f>
        <v>1594.78</v>
      </c>
      <c r="AR35" s="125">
        <f>AP35/AP36</f>
        <v>0.66666667315059835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2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10</v>
      </c>
      <c r="AL36" s="123">
        <f>MIN(AL32:AL35)</f>
        <v>-9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90000011.275865197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3</v>
      </c>
      <c r="BU37" s="64"/>
      <c r="BV37" s="27"/>
      <c r="BW37" s="112">
        <f>IF(BW36="","",BT37*1000+BU37*10+BV37)</f>
        <v>3000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4</v>
      </c>
      <c r="AL38" s="123">
        <f>AI38-AJ38</f>
        <v>4</v>
      </c>
      <c r="AM38" s="123">
        <f>AL38-AL42</f>
        <v>8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87500009.778656721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2</v>
      </c>
      <c r="CP38" s="64"/>
      <c r="CQ38" s="27"/>
      <c r="CR38" s="111">
        <f>IF(CR37="","",CO38*1000+CP38*10+CQ38)</f>
        <v>2000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2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8 - 4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5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62500006.111941323</v>
      </c>
      <c r="AQ39" s="126">
        <f>VLOOKUP(AE39,db_fifarank,2,FALSE)</f>
        <v>1660.43</v>
      </c>
      <c r="AR39" s="125">
        <f>AP39/AP42</f>
        <v>0.71428569614744009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5 - 4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3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50000003.667424053</v>
      </c>
      <c r="AQ40" s="126">
        <f>VLOOKUP(AE40,db_fifarank,2,FALSE)</f>
        <v>1514.77</v>
      </c>
      <c r="AR40" s="125">
        <f>AP40/AP42</f>
        <v>0.57142854295076517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0.2229637472222222</v>
      </c>
      <c r="AQ41" s="126">
        <f>VLOOKUP(AE41,db_fifarank,2,FALSE)</f>
        <v>1483.05</v>
      </c>
      <c r="AR41" s="125">
        <f>AP41/AP42</f>
        <v>2.5481567972173121E-9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2 - 6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4</v>
      </c>
      <c r="AI42" s="123">
        <f>MAX(AI38:AI41)+1</f>
        <v>9</v>
      </c>
      <c r="AL42" s="123">
        <f>MIN(AL38:AL41)</f>
        <v>-4</v>
      </c>
      <c r="AM42" s="123">
        <f>MAX(AM38:AM41)+1</f>
        <v>9</v>
      </c>
      <c r="AN42" s="123">
        <f>MAX(AN38:AN41)+1</f>
        <v>8</v>
      </c>
      <c r="AO42" s="123">
        <f>MAX(AO38:AO41)+1</f>
        <v>9.75</v>
      </c>
      <c r="AP42" s="123">
        <f>MAX(AP38:AP41)+1</f>
        <v>87500010.778656721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4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8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90000009.746899098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4</v>
      </c>
      <c r="AL45" s="123">
        <f>AI45-AJ45</f>
        <v>1</v>
      </c>
      <c r="AM45" s="123">
        <f>AL45-AL48</f>
        <v>5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49805929.571593754</v>
      </c>
      <c r="AQ45" s="126">
        <f>VLOOKUP(AE45,db_fifarank,2,FALSE)</f>
        <v>1563.24</v>
      </c>
      <c r="AR45" s="125">
        <f>AP45/AP48</f>
        <v>0.55339915138076567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5 - 4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3</v>
      </c>
      <c r="AL46" s="123">
        <f>AI46-AJ46</f>
        <v>-1</v>
      </c>
      <c r="AM46" s="123">
        <f>AL46-AL48</f>
        <v>3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49805926.920826137</v>
      </c>
      <c r="AQ46" s="126">
        <f>VLOOKUP(AE46,db_fifarank,2,FALSE)</f>
        <v>1615.3</v>
      </c>
      <c r="AR46" s="125">
        <f>AP46/AP48</f>
        <v>0.55339912192779572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2 - 3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6</v>
      </c>
      <c r="AL47" s="123">
        <f>AI47-AJ47</f>
        <v>-4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0.28635507071428568</v>
      </c>
      <c r="AQ47" s="126">
        <f>VLOOKUP(AE47,db_fifarank,2,FALSE)</f>
        <v>1281.57</v>
      </c>
      <c r="AR47" s="125">
        <f>AP47/AP48</f>
        <v>3.1817226280070402E-9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2 - 6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-4</v>
      </c>
      <c r="AM48" s="123">
        <f>MAX(AM44:AM47)+1</f>
        <v>9</v>
      </c>
      <c r="AN48" s="123">
        <f>MAX(AN44:AN47)+1</f>
        <v>10</v>
      </c>
      <c r="AO48" s="123">
        <f>MAX(AO44:AO47)+1</f>
        <v>10</v>
      </c>
      <c r="AP48" s="123">
        <f>MAX(AP44:AP47)+1</f>
        <v>90000010.746899098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3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0.100683065</v>
      </c>
      <c r="AQ51" s="126">
        <f>VLOOKUP(AE51,db_fifarank,2,FALSE)</f>
        <v>1366.13</v>
      </c>
      <c r="AR51" s="125">
        <f>AP51/AP54</f>
        <v>1.1187005831720592E-9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7</v>
      </c>
      <c r="AL52" s="123">
        <f>AI52-AJ52</f>
        <v>-4</v>
      </c>
      <c r="AM52" s="123">
        <f>AL52-AL54</f>
        <v>2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30000001.729282144</v>
      </c>
      <c r="AQ52" s="126">
        <f>VLOOKUP(AE52,db_fifarank,2,FALSE)</f>
        <v>1421.43</v>
      </c>
      <c r="AR52" s="125">
        <f>AP52/AP54</f>
        <v>0.33333331111553588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3 - 7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60000006.929407962</v>
      </c>
      <c r="AQ53" s="126">
        <f>VLOOKUP(AE53,db_fifarank,2,FALSE)</f>
        <v>1673.07</v>
      </c>
      <c r="AR53" s="125">
        <f>AP53/AP54</f>
        <v>0.66666666079599668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2</v>
      </c>
      <c r="BN55" s="64"/>
      <c r="BO55" s="27"/>
      <c r="BP55" s="112">
        <f>IF(BP54="","",BM55*1000+BN55*10+BO55)</f>
        <v>2000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90000010.067605332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3</v>
      </c>
      <c r="CI56" s="64"/>
      <c r="CJ56" s="27"/>
      <c r="CK56" s="112">
        <f>IF(CK55="","",CH56*1000+CI56*10+CJ56)</f>
        <v>3000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6</v>
      </c>
      <c r="AL57" s="123">
        <f>AI57-AJ57</f>
        <v>-1</v>
      </c>
      <c r="AM57" s="123">
        <f>AL57-AL60</f>
        <v>5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30000004.667511161</v>
      </c>
      <c r="AQ57" s="126">
        <f>VLOOKUP(AE57,db_fifarank,2,FALSE)</f>
        <v>1688.99</v>
      </c>
      <c r="AR57" s="125">
        <f>AP57/AP60</f>
        <v>0.33333334420343624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8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0.20072357000000002</v>
      </c>
      <c r="AQ58" s="126">
        <f>VLOOKUP(AE58,db_fifarank,2,FALSE)</f>
        <v>1447.14</v>
      </c>
      <c r="AR58" s="125">
        <f>AP58/AP60</f>
        <v>2.2302616146260519E-9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5 - 6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8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60000007.267442137</v>
      </c>
      <c r="AQ59" s="126">
        <f>VLOOKUP(AE59,db_fifarank,2,FALSE)</f>
        <v>1550.94</v>
      </c>
      <c r="AR59" s="125">
        <f>AP59/AP60</f>
        <v>0.66666666543376218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-6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90000011.067605332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90000010.175540596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1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19805924.23826094</v>
      </c>
      <c r="AQ63" s="126">
        <f>VLOOKUP(AE63,db_fifarank,2,FALSE)</f>
        <v>1564.26</v>
      </c>
      <c r="AR63" s="125">
        <f>AP63/AP66</f>
        <v>0.2200657975434076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60000004.730955459</v>
      </c>
      <c r="AQ64" s="126">
        <f>VLOOKUP(AE64,db_fifarank,2,FALSE)</f>
        <v>1593.45</v>
      </c>
      <c r="AR64" s="125">
        <f>AP64/AP66</f>
        <v>0.66666663645105995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3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2 - 6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19805923.412777711</v>
      </c>
      <c r="AQ65" s="126">
        <f>VLOOKUP(AE65,db_fifarank,2,FALSE)</f>
        <v>1391.45</v>
      </c>
      <c r="AR65" s="125">
        <f>AP65/AP66</f>
        <v>0.22006578837137289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1 - 6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9</v>
      </c>
      <c r="AL66" s="123">
        <f>MIN(AL62:AL65)</f>
        <v>-5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90000011.175540596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3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2</v>
      </c>
      <c r="AL68" s="123">
        <f>AI68-AJ68</f>
        <v>6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90000010.056437477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Portugal</v>
      </c>
      <c r="CL68" s="153"/>
      <c r="CM68" s="153"/>
      <c r="CN68" s="153"/>
      <c r="CO68" s="153"/>
      <c r="CP68" s="153"/>
      <c r="CQ68" s="153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19805923.412821162</v>
      </c>
      <c r="AQ69" s="126">
        <f>VLOOKUP(AE69,db_fifarank,2,FALSE)</f>
        <v>1478.35</v>
      </c>
      <c r="AR69" s="125">
        <f>AP69/AP72</f>
        <v>0.22006578866308366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6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19805925.301703546</v>
      </c>
      <c r="AQ70" s="126">
        <f>VLOOKUP(AE70,db_fifarank,2,FALSE)</f>
        <v>1465.34</v>
      </c>
      <c r="AR70" s="125">
        <f>AP70/AP72</f>
        <v>0.22006580965066311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3 - 6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60000006.38973543</v>
      </c>
      <c r="AQ71" s="126">
        <f>VLOOKUP(AE71,db_fifarank,2,FALSE)</f>
        <v>1693.09</v>
      </c>
      <c r="AR71" s="125">
        <f>AP71/AP72</f>
        <v>0.66666665576419148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Ivory Coast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-5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90000011.056437477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90000009.875912979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4</v>
      </c>
      <c r="AL75" s="123">
        <f>AI75-AJ75</f>
        <v>1</v>
      </c>
      <c r="AM75" s="123">
        <f>AL75-AL78</f>
        <v>5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60000005.625858538</v>
      </c>
      <c r="AQ75" s="126">
        <f>VLOOKUP(AE75,db_fifarank,2,FALSE)</f>
        <v>1717.07</v>
      </c>
      <c r="AR75" s="125">
        <f>AP75/AP78</f>
        <v>0.6666666486138898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5</v>
      </c>
      <c r="AL76" s="123">
        <f>AI76-AJ76</f>
        <v>-2</v>
      </c>
      <c r="AM76" s="123">
        <f>AL76-AL78</f>
        <v>2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19805925.676644031</v>
      </c>
      <c r="AQ76" s="126">
        <f>VLOOKUP(AE76,db_fifarank,2,FALSE)</f>
        <v>1346.31</v>
      </c>
      <c r="AR76" s="125">
        <f>AP76/AP78</f>
        <v>0.22006581425808205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3 - 5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19805923.551741194</v>
      </c>
      <c r="AQ77" s="126">
        <f>VLOOKUP(AE77,db_fifarank,2,FALSE)</f>
        <v>1540.64</v>
      </c>
      <c r="AR77" s="125">
        <f>AP77/AP78</f>
        <v>0.2200657906480534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2 - 6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8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90000010.875912979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5</v>
      </c>
      <c r="AK80" s="123" t="s">
        <v>3181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6666.6674609966667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Canada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3182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8866.6674449066668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3183</v>
      </c>
      <c r="AL82" s="123">
        <f t="shared" si="43"/>
        <v>0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6883.3340825083333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54" t="s">
        <v>3184</v>
      </c>
      <c r="D83" s="155"/>
      <c r="E83" s="155"/>
      <c r="F83" s="155"/>
      <c r="G83" s="156"/>
      <c r="H83" s="75"/>
      <c r="I83" s="69"/>
      <c r="J83" s="99" t="str">
        <f>VLOOKUP(3,$AD$80:$AT$91,17,FALSE)</f>
        <v>Ⓖ Iran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4</v>
      </c>
      <c r="AD83" s="123">
        <f t="shared" si="38"/>
        <v>8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5</v>
      </c>
      <c r="AK83" s="123" t="s">
        <v>3185</v>
      </c>
      <c r="AL83" s="123">
        <f t="shared" si="43"/>
        <v>-2</v>
      </c>
      <c r="AM83" s="123">
        <f t="shared" si="44"/>
        <v>2</v>
      </c>
      <c r="AN83" s="123">
        <f t="shared" si="45"/>
        <v>3</v>
      </c>
      <c r="AP83" s="123">
        <f>AN83/AN92*10000+AM83/AM92*1000+AI83/AI92*100+IF(AQ83=0,ROW(),AQ83)/2000000</f>
        <v>6450.0007517499998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5</v>
      </c>
      <c r="AK84" s="123" t="s">
        <v>3186</v>
      </c>
      <c r="AL84" s="123">
        <f t="shared" si="43"/>
        <v>0</v>
      </c>
      <c r="AM84" s="123">
        <f t="shared" si="44"/>
        <v>4</v>
      </c>
      <c r="AN84" s="123">
        <f t="shared" si="45"/>
        <v>3</v>
      </c>
      <c r="AP84" s="123">
        <f>AN84/AN92*10000+AM84/AM92*1000+AI84/AI92*100+IF(AQ84=0,ROW(),AQ84)/2000000</f>
        <v>6883.3340998233334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5 - 5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3187</v>
      </c>
      <c r="AL85" s="123">
        <f t="shared" si="43"/>
        <v>-1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8650.0007573849998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3</v>
      </c>
      <c r="AE86" s="124" t="str">
        <f>J47</f>
        <v>Iran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2</v>
      </c>
      <c r="AJ86" s="123">
        <f t="shared" si="42"/>
        <v>3</v>
      </c>
      <c r="AK86" s="123" t="s">
        <v>3188</v>
      </c>
      <c r="AL86" s="123">
        <f t="shared" si="43"/>
        <v>-1</v>
      </c>
      <c r="AM86" s="123">
        <f t="shared" si="44"/>
        <v>3</v>
      </c>
      <c r="AN86" s="123">
        <f t="shared" si="45"/>
        <v>4</v>
      </c>
      <c r="AP86" s="123">
        <f>AN86/AN92*10000+AM86/AM92*1000+AI86/AI92*100+IF(AQ86=0,ROW(),AQ86)/2000000</f>
        <v>8633.3341409833338</v>
      </c>
      <c r="AQ86" s="126">
        <f t="shared" si="37"/>
        <v>1615.3</v>
      </c>
      <c r="AR86" s="125" t="str">
        <f t="shared" si="50"/>
        <v>ABCDEFG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Korea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7</v>
      </c>
      <c r="AK87" s="123" t="s">
        <v>3189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6050.0007107150004</v>
      </c>
      <c r="AQ87" s="126">
        <f t="shared" si="37"/>
        <v>1421.43</v>
      </c>
      <c r="AR87" s="125" t="str">
        <f t="shared" si="50"/>
        <v>ABCDEFG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Paraguay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Bosnia and Herzegovina</v>
      </c>
      <c r="T88" s="127" t="str" cm="1">
        <f t="array" ref="T88">IF(OR(S88="",S88="draw"),INDEX(T,90,lang),S88)</f>
        <v>Bosnia and Herzegovina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6</v>
      </c>
      <c r="AK88" s="123" t="s">
        <v>3190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6683.3341778283329</v>
      </c>
      <c r="AQ88" s="126">
        <f t="shared" si="37"/>
        <v>1688.99</v>
      </c>
      <c r="AR88" s="125" t="str">
        <f t="shared" si="50"/>
        <v>ABCDEFGI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3 - 7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2</v>
      </c>
      <c r="AJ89" s="123">
        <f t="shared" si="42"/>
        <v>6</v>
      </c>
      <c r="AK89" s="123" t="s">
        <v>3191</v>
      </c>
      <c r="AL89" s="123">
        <f t="shared" si="43"/>
        <v>-4</v>
      </c>
      <c r="AM89" s="123">
        <f t="shared" si="44"/>
        <v>0</v>
      </c>
      <c r="AN89" s="123">
        <f t="shared" si="45"/>
        <v>1</v>
      </c>
      <c r="AP89" s="123">
        <f>AN89/AN92*10000+AM89/AM92*1000+AI89/AI92*100+IF(AQ89=0,ROW(),AQ89)/2000000</f>
        <v>2033.3341154633333</v>
      </c>
      <c r="AQ89" s="126">
        <f t="shared" si="37"/>
        <v>1564.26</v>
      </c>
      <c r="AR89" s="125" t="str">
        <f t="shared" si="50"/>
        <v>ABCDEFGI</v>
      </c>
      <c r="AS89" s="129" t="str">
        <f t="shared" si="46"/>
        <v/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3</v>
      </c>
      <c r="AJ90" s="123">
        <f t="shared" si="42"/>
        <v>6</v>
      </c>
      <c r="AK90" s="123" t="s">
        <v>3192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2250.0007326700002</v>
      </c>
      <c r="AQ90" s="126">
        <f t="shared" si="37"/>
        <v>1465.34</v>
      </c>
      <c r="AR90" s="125" t="str">
        <f t="shared" si="50"/>
        <v>ABCDEFGI</v>
      </c>
      <c r="AS90" s="129" t="str">
        <f t="shared" si="46"/>
        <v/>
      </c>
      <c r="AT90" s="130" t="str">
        <f>"Ⓚ "&amp;AE90</f>
        <v>Ⓚ Uzbekistan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5</v>
      </c>
      <c r="AK91" s="123" t="s">
        <v>3193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2450.0006731550002</v>
      </c>
      <c r="AQ91" s="126">
        <f t="shared" si="37"/>
        <v>1346.31</v>
      </c>
      <c r="AR91" s="125" t="str">
        <f t="shared" si="50"/>
        <v>ABCDEFGI</v>
      </c>
      <c r="AS91" s="129" t="str">
        <f t="shared" si="46"/>
        <v/>
      </c>
      <c r="AT91" s="130" t="str">
        <f>"Ⓛ "&amp;AE91</f>
        <v>Ⓛ Ghana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3194</v>
      </c>
    </row>
    <row r="3" spans="2:11">
      <c r="B3" s="109">
        <f>MATCH(C3,C6:C500,0)</f>
        <v>494</v>
      </c>
      <c r="C3" s="121" t="str">
        <f>'2026 World Cup'!AR91</f>
        <v>ABCDEFGI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2026-06-11T16:35:20Z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