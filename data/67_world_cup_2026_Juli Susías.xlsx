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corteingles-my.sharepoint.com/personal/julian_susiasespinosa_viajeseci_es/Documents/Escritorio/"/>
    </mc:Choice>
  </mc:AlternateContent>
  <xr:revisionPtr revIDLastSave="178" documentId="8_{9B920B26-331B-4209-B79B-0BE14894EF42}" xr6:coauthVersionLast="47" xr6:coauthVersionMax="47" xr10:uidLastSave="{16FE7237-C977-4468-8F3A-DE3052783DFA}"/>
  <bookViews>
    <workbookView xWindow="-110" yWindow="-110" windowWidth="19420" windowHeight="103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E56" i="3"/>
  <c r="H13" i="3"/>
  <c r="H56" i="3"/>
  <c r="E11" i="3"/>
  <c r="E55" i="3"/>
  <c r="AA55" i="3" s="1"/>
  <c r="H11" i="3"/>
  <c r="H65" i="3"/>
  <c r="E37" i="3"/>
  <c r="AA37" i="3" s="1"/>
  <c r="E10" i="3"/>
  <c r="E66" i="3"/>
  <c r="H38" i="3"/>
  <c r="H10" i="3"/>
  <c r="H66" i="3"/>
  <c r="H37" i="3"/>
  <c r="E65" i="3"/>
  <c r="E38" i="3"/>
  <c r="H62" i="3"/>
  <c r="E39" i="3"/>
  <c r="E16" i="3"/>
  <c r="AA16" i="3" s="1"/>
  <c r="E61" i="3"/>
  <c r="H40" i="3"/>
  <c r="H16" i="3"/>
  <c r="H61" i="3"/>
  <c r="H39" i="3"/>
  <c r="E15" i="3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H50" i="3"/>
  <c r="H25" i="3"/>
  <c r="H75" i="3"/>
  <c r="H49" i="3"/>
  <c r="E26" i="3"/>
  <c r="E76" i="3"/>
  <c r="E50" i="3"/>
  <c r="AA50" i="3" s="1"/>
  <c r="H26" i="3"/>
  <c r="E78" i="3"/>
  <c r="AA78" i="3" s="1"/>
  <c r="H54" i="3"/>
  <c r="H29" i="3"/>
  <c r="H78" i="3"/>
  <c r="H53" i="3"/>
  <c r="E30" i="3"/>
  <c r="E77" i="3"/>
  <c r="E54" i="3"/>
  <c r="H30" i="3"/>
  <c r="H73" i="3"/>
  <c r="E51" i="3"/>
  <c r="E28" i="3"/>
  <c r="AA28" i="3" s="1"/>
  <c r="E74" i="3"/>
  <c r="H52" i="3"/>
  <c r="H28" i="3"/>
  <c r="H74" i="3"/>
  <c r="H51" i="3"/>
  <c r="E27" i="3"/>
  <c r="E73" i="3"/>
  <c r="E52" i="3"/>
  <c r="H27" i="3"/>
  <c r="E71" i="3"/>
  <c r="AA71" i="3" s="1"/>
  <c r="H43" i="3"/>
  <c r="H20" i="3"/>
  <c r="E59" i="3"/>
  <c r="E31" i="3"/>
  <c r="AA31" i="3" s="1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AA45" i="3" l="1"/>
  <c r="AA65" i="3"/>
  <c r="AA52" i="3"/>
  <c r="AA23" i="3"/>
  <c r="AA33" i="3"/>
  <c r="AA48" i="3"/>
  <c r="AA12" i="3"/>
  <c r="AA76" i="3"/>
  <c r="AA15" i="3"/>
  <c r="AA30" i="3"/>
  <c r="AA13" i="3"/>
  <c r="AA69" i="3"/>
  <c r="AA46" i="3"/>
  <c r="AA75" i="3"/>
  <c r="AA70" i="3"/>
  <c r="AA66" i="3"/>
  <c r="AA54" i="3"/>
  <c r="AA27" i="3"/>
  <c r="AA9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S72" i="3"/>
  <c r="T46" i="3"/>
  <c r="S70" i="3"/>
  <c r="S42" i="3"/>
  <c r="S64" i="3"/>
  <c r="T41" i="3"/>
  <c r="S40" i="3"/>
  <c r="S62" i="3"/>
  <c r="T61" i="3"/>
  <c r="T16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D58" i="3"/>
  <c r="AR28" i="3"/>
  <c r="AR21" i="3"/>
  <c r="AR22" i="3"/>
  <c r="AR9" i="3"/>
  <c r="AR10" i="3"/>
  <c r="AR33" i="3"/>
  <c r="AR34" i="3"/>
  <c r="AR35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8" i="3" l="1"/>
  <c r="AD22" i="3"/>
  <c r="M58" i="3"/>
  <c r="AD75" i="3"/>
  <c r="AD28" i="3"/>
  <c r="M59" i="3"/>
  <c r="AD77" i="3"/>
  <c r="AD32" i="3"/>
  <c r="AD33" i="3"/>
  <c r="AD10" i="3"/>
  <c r="L58" i="3"/>
  <c r="O60" i="3"/>
  <c r="N58" i="3"/>
  <c r="L59" i="3"/>
  <c r="AD9" i="3"/>
  <c r="AD35" i="3"/>
  <c r="AD76" i="3"/>
  <c r="AD11" i="3"/>
  <c r="AD26" i="3"/>
  <c r="AD27" i="3"/>
  <c r="AD34" i="3"/>
  <c r="AD15" i="3"/>
  <c r="AD41" i="3"/>
  <c r="AD70" i="3"/>
  <c r="AD44" i="3"/>
  <c r="AD71" i="3"/>
  <c r="AD62" i="3"/>
  <c r="AD63" i="3"/>
  <c r="AD29" i="3"/>
  <c r="AD47" i="3"/>
  <c r="AD68" i="3"/>
  <c r="N69" i="3" s="1"/>
  <c r="AD53" i="3"/>
  <c r="AD20" i="3"/>
  <c r="AD21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12" i="3" l="1"/>
  <c r="J9" i="3"/>
  <c r="AS8" i="3" s="1"/>
  <c r="BL50" i="3" s="1"/>
  <c r="M9" i="3"/>
  <c r="N9" i="3"/>
  <c r="O9" i="3"/>
  <c r="L9" i="3"/>
  <c r="M63" i="3"/>
  <c r="P58" i="3"/>
  <c r="O51" i="3"/>
  <c r="M33" i="3"/>
  <c r="O36" i="3"/>
  <c r="L27" i="3"/>
  <c r="P59" i="3"/>
  <c r="M76" i="3"/>
  <c r="N16" i="3"/>
  <c r="N36" i="3"/>
  <c r="M36" i="3"/>
  <c r="M77" i="3"/>
  <c r="K58" i="3"/>
  <c r="N64" i="3"/>
  <c r="M65" i="3"/>
  <c r="N11" i="3"/>
  <c r="L36" i="3"/>
  <c r="O10" i="3"/>
  <c r="O11" i="3"/>
  <c r="M35" i="3"/>
  <c r="L63" i="3"/>
  <c r="L10" i="3"/>
  <c r="N10" i="3"/>
  <c r="M10" i="3"/>
  <c r="J63" i="3"/>
  <c r="AS62" i="3" s="1"/>
  <c r="BL58" i="3" s="1"/>
  <c r="BS60" i="3" s="1"/>
  <c r="BZ64" i="3" s="1"/>
  <c r="N12" i="3"/>
  <c r="M24" i="3"/>
  <c r="J12" i="3"/>
  <c r="J36" i="3"/>
  <c r="L11" i="3"/>
  <c r="O33" i="3"/>
  <c r="L33" i="3"/>
  <c r="M64" i="3"/>
  <c r="N33" i="3"/>
  <c r="M12" i="3"/>
  <c r="O63" i="3"/>
  <c r="J33" i="3"/>
  <c r="AS32" i="3" s="1"/>
  <c r="BL10" i="3" s="1"/>
  <c r="N63" i="3"/>
  <c r="O12" i="3"/>
  <c r="J10" i="3"/>
  <c r="AS9" i="3" s="1"/>
  <c r="BL18" i="3" s="1"/>
  <c r="N29" i="3"/>
  <c r="M28" i="3"/>
  <c r="J75" i="3"/>
  <c r="AS74" i="3" s="1"/>
  <c r="BL54" i="3" s="1"/>
  <c r="M34" i="3"/>
  <c r="M30" i="3"/>
  <c r="N75" i="3"/>
  <c r="N35" i="3"/>
  <c r="J64" i="3"/>
  <c r="AS63" i="3" s="1"/>
  <c r="BL31" i="3" s="1"/>
  <c r="M69" i="3"/>
  <c r="J11" i="3"/>
  <c r="AE80" i="3" s="1"/>
  <c r="AQ80" i="3" s="1"/>
  <c r="O29" i="3"/>
  <c r="J28" i="3"/>
  <c r="AS27" i="3" s="1"/>
  <c r="BL62" i="3" s="1"/>
  <c r="L64" i="3"/>
  <c r="K59" i="3"/>
  <c r="J47" i="3"/>
  <c r="AE86" i="3" s="1"/>
  <c r="AQ86" i="3" s="1"/>
  <c r="J29" i="3"/>
  <c r="AE83" i="3" s="1"/>
  <c r="AQ83" i="3" s="1"/>
  <c r="J30" i="3"/>
  <c r="M11" i="3"/>
  <c r="M40" i="3"/>
  <c r="O69" i="3"/>
  <c r="N34" i="3"/>
  <c r="O30" i="3"/>
  <c r="O75" i="3"/>
  <c r="L45" i="3"/>
  <c r="N48" i="3"/>
  <c r="J76" i="3"/>
  <c r="AS75" i="3" s="1"/>
  <c r="BL27" i="3" s="1"/>
  <c r="O47" i="3"/>
  <c r="J34" i="3"/>
  <c r="AS33" i="3" s="1"/>
  <c r="BL46" i="3" s="1"/>
  <c r="L29" i="3"/>
  <c r="M18" i="3"/>
  <c r="J35" i="3"/>
  <c r="AE84" i="3" s="1"/>
  <c r="AQ84" i="3" s="1"/>
  <c r="J16" i="3"/>
  <c r="AS15" i="3" s="1"/>
  <c r="BL19" i="3" s="1"/>
  <c r="N78" i="3"/>
  <c r="M45" i="3"/>
  <c r="L34" i="3"/>
  <c r="M27" i="3"/>
  <c r="M16" i="3"/>
  <c r="AN88" i="3"/>
  <c r="J77" i="3"/>
  <c r="AE91" i="3" s="1"/>
  <c r="AQ91" i="3" s="1"/>
  <c r="O77" i="3"/>
  <c r="L18" i="3"/>
  <c r="L77" i="3"/>
  <c r="N47" i="3"/>
  <c r="L17" i="3"/>
  <c r="O28" i="3"/>
  <c r="J18" i="3"/>
  <c r="M22" i="3"/>
  <c r="L35" i="3"/>
  <c r="N45" i="3"/>
  <c r="J78" i="3"/>
  <c r="N30" i="3"/>
  <c r="N52" i="3"/>
  <c r="O76" i="3"/>
  <c r="M70" i="3"/>
  <c r="L30" i="3"/>
  <c r="AJ88" i="3"/>
  <c r="J48" i="3"/>
  <c r="N76" i="3"/>
  <c r="L42" i="3"/>
  <c r="N28" i="3"/>
  <c r="J27" i="3"/>
  <c r="AS26" i="3" s="1"/>
  <c r="BL34" i="3" s="1"/>
  <c r="O64" i="3"/>
  <c r="L76" i="3"/>
  <c r="O35" i="3"/>
  <c r="M29" i="3"/>
  <c r="O34" i="3"/>
  <c r="N27" i="3"/>
  <c r="M75" i="3"/>
  <c r="L39" i="3"/>
  <c r="O27" i="3"/>
  <c r="L69" i="3"/>
  <c r="M46" i="3"/>
  <c r="J22" i="3"/>
  <c r="AS21" i="3" s="1"/>
  <c r="BL23" i="3" s="1"/>
  <c r="AF88" i="3"/>
  <c r="J24" i="3"/>
  <c r="J69" i="3"/>
  <c r="AS68" i="3" s="1"/>
  <c r="BL70" i="3" s="1"/>
  <c r="J65" i="3"/>
  <c r="AE89" i="3" s="1"/>
  <c r="AQ89" i="3" s="1"/>
  <c r="L46" i="3"/>
  <c r="L28" i="3"/>
  <c r="O23" i="3"/>
  <c r="L66" i="3"/>
  <c r="J71" i="3"/>
  <c r="AE90" i="3" s="1"/>
  <c r="AQ90" i="3" s="1"/>
  <c r="O65" i="3"/>
  <c r="N46" i="3"/>
  <c r="N22" i="3"/>
  <c r="O54" i="3"/>
  <c r="L23" i="3"/>
  <c r="L21" i="3"/>
  <c r="AI88" i="3"/>
  <c r="O22" i="3"/>
  <c r="N72" i="3"/>
  <c r="N65" i="3"/>
  <c r="O72" i="3"/>
  <c r="J45" i="3"/>
  <c r="AS44" i="3" s="1"/>
  <c r="BL38" i="3" s="1"/>
  <c r="L72" i="3"/>
  <c r="L65" i="3"/>
  <c r="M48" i="3"/>
  <c r="J46" i="3"/>
  <c r="AS45" i="3" s="1"/>
  <c r="BL63" i="3" s="1"/>
  <c r="N21" i="3"/>
  <c r="L24" i="3"/>
  <c r="J21" i="3"/>
  <c r="AS20" i="3" s="1"/>
  <c r="BL42" i="3" s="1"/>
  <c r="BS44" i="3" s="1"/>
  <c r="BZ48" i="3" s="1"/>
  <c r="AG88" i="3"/>
  <c r="M21" i="3"/>
  <c r="M72" i="3"/>
  <c r="L48" i="3"/>
  <c r="O45" i="3"/>
  <c r="O24" i="3"/>
  <c r="AT88" i="3"/>
  <c r="L47" i="3"/>
  <c r="L22" i="3"/>
  <c r="N54" i="3"/>
  <c r="N39" i="3"/>
  <c r="O17" i="3"/>
  <c r="N53" i="3"/>
  <c r="L15" i="3"/>
  <c r="O40" i="3"/>
  <c r="P57" i="3"/>
  <c r="J52" i="3"/>
  <c r="AS51" i="3" s="1"/>
  <c r="BL59" i="3" s="1"/>
  <c r="J51" i="3"/>
  <c r="AS50" i="3" s="1"/>
  <c r="BL30" i="3" s="1"/>
  <c r="J39" i="3"/>
  <c r="AS38" i="3" s="1"/>
  <c r="BL22" i="3" s="1"/>
  <c r="M41" i="3"/>
  <c r="M42" i="3"/>
  <c r="N18" i="3"/>
  <c r="O78" i="3"/>
  <c r="L75" i="3"/>
  <c r="J66" i="3"/>
  <c r="L51" i="3"/>
  <c r="O48" i="3"/>
  <c r="J41" i="3"/>
  <c r="AE85" i="3" s="1"/>
  <c r="AQ85" i="3" s="1"/>
  <c r="L78" i="3"/>
  <c r="O70" i="3"/>
  <c r="O66" i="3"/>
  <c r="M51" i="3"/>
  <c r="O46" i="3"/>
  <c r="O39" i="3"/>
  <c r="J42" i="3"/>
  <c r="O21" i="3"/>
  <c r="M17" i="3"/>
  <c r="O71" i="3"/>
  <c r="N71" i="3"/>
  <c r="M71" i="3"/>
  <c r="N51" i="3"/>
  <c r="J40" i="3"/>
  <c r="AS39" i="3" s="1"/>
  <c r="BL43" i="3" s="1"/>
  <c r="L71" i="3"/>
  <c r="N40" i="3"/>
  <c r="O18" i="3"/>
  <c r="M78" i="3"/>
  <c r="J70" i="3"/>
  <c r="AS69" i="3" s="1"/>
  <c r="BL26" i="3" s="1"/>
  <c r="N70" i="3"/>
  <c r="N66" i="3"/>
  <c r="M54" i="3"/>
  <c r="M39" i="3"/>
  <c r="N24" i="3"/>
  <c r="L16" i="3"/>
  <c r="K57" i="3"/>
  <c r="M66" i="3"/>
  <c r="O42" i="3"/>
  <c r="L40" i="3"/>
  <c r="J72" i="3"/>
  <c r="L70" i="3"/>
  <c r="O16" i="3"/>
  <c r="N17" i="3"/>
  <c r="N77" i="3"/>
  <c r="L54" i="3"/>
  <c r="M4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S61" i="3" l="1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12" i="3"/>
  <c r="P41" i="3"/>
  <c r="K9" i="3"/>
  <c r="P9" i="3"/>
  <c r="P63" i="3"/>
  <c r="P27" i="3"/>
  <c r="P76" i="3"/>
  <c r="P65" i="3"/>
  <c r="P77" i="3"/>
  <c r="P36" i="3"/>
  <c r="AJ81" i="3"/>
  <c r="K36" i="3"/>
  <c r="AN91" i="3"/>
  <c r="P54" i="3"/>
  <c r="P18" i="3"/>
  <c r="AH81" i="3"/>
  <c r="AN84" i="3"/>
  <c r="AI81" i="3"/>
  <c r="K12" i="3"/>
  <c r="K33" i="3"/>
  <c r="P33" i="3"/>
  <c r="K18" i="3"/>
  <c r="P35" i="3"/>
  <c r="AT91" i="3"/>
  <c r="P69" i="3"/>
  <c r="AL84" i="3"/>
  <c r="K10" i="3"/>
  <c r="P75" i="3"/>
  <c r="P24" i="3"/>
  <c r="P11" i="3"/>
  <c r="AL91" i="3"/>
  <c r="AT83" i="3"/>
  <c r="AI91" i="3"/>
  <c r="K64" i="3"/>
  <c r="AL83" i="3"/>
  <c r="AL86" i="3"/>
  <c r="AH91" i="3"/>
  <c r="AJ83" i="3"/>
  <c r="AI86" i="3"/>
  <c r="AF91" i="3"/>
  <c r="P72" i="3"/>
  <c r="P34" i="3"/>
  <c r="K11" i="3"/>
  <c r="AG83" i="3"/>
  <c r="AH86" i="3"/>
  <c r="K78" i="3"/>
  <c r="K76" i="3"/>
  <c r="K63" i="3"/>
  <c r="AF83" i="3"/>
  <c r="AG86" i="3"/>
  <c r="P52" i="3"/>
  <c r="K24" i="3"/>
  <c r="P23" i="3"/>
  <c r="P10" i="3"/>
  <c r="AF86" i="3"/>
  <c r="AT86" i="3"/>
  <c r="AN86" i="3"/>
  <c r="P30" i="3"/>
  <c r="K46" i="3"/>
  <c r="K35" i="3"/>
  <c r="AT80" i="3"/>
  <c r="AN80" i="3"/>
  <c r="AL80" i="3"/>
  <c r="K30" i="3"/>
  <c r="AT84" i="3"/>
  <c r="AJ86" i="3"/>
  <c r="AJ91" i="3"/>
  <c r="P64" i="3"/>
  <c r="AH80" i="3"/>
  <c r="K28" i="3"/>
  <c r="K27" i="3"/>
  <c r="AG80" i="3"/>
  <c r="AN83" i="3"/>
  <c r="AJ84" i="3"/>
  <c r="P46" i="3"/>
  <c r="K77" i="3"/>
  <c r="P16" i="3"/>
  <c r="AJ80" i="3"/>
  <c r="K65" i="3"/>
  <c r="AF80" i="3"/>
  <c r="K47" i="3"/>
  <c r="P48" i="3"/>
  <c r="K45" i="3"/>
  <c r="K34" i="3"/>
  <c r="P71" i="3"/>
  <c r="P66" i="3"/>
  <c r="AI80" i="3"/>
  <c r="AI83" i="3"/>
  <c r="AL81" i="3"/>
  <c r="AH83" i="3"/>
  <c r="K23" i="3"/>
  <c r="P40" i="3"/>
  <c r="K53" i="3"/>
  <c r="K21" i="3"/>
  <c r="P29" i="3"/>
  <c r="AL89" i="3"/>
  <c r="AJ89" i="3"/>
  <c r="AI89" i="3"/>
  <c r="AH89" i="3"/>
  <c r="K72" i="3"/>
  <c r="P22" i="3"/>
  <c r="K39" i="3"/>
  <c r="K15" i="3"/>
  <c r="AJ85" i="3"/>
  <c r="K70" i="3"/>
  <c r="K22" i="3"/>
  <c r="K29" i="3"/>
  <c r="AF84" i="3"/>
  <c r="K54" i="3"/>
  <c r="AF89" i="3"/>
  <c r="AI84" i="3"/>
  <c r="AG87" i="3"/>
  <c r="P17" i="3"/>
  <c r="P21" i="3"/>
  <c r="AG84" i="3"/>
  <c r="K69" i="3"/>
  <c r="K42" i="3"/>
  <c r="P45" i="3"/>
  <c r="AH84" i="3"/>
  <c r="AF87" i="3"/>
  <c r="K75" i="3"/>
  <c r="AG89" i="3"/>
  <c r="P70" i="3"/>
  <c r="AG91" i="3"/>
  <c r="AT90" i="3"/>
  <c r="AH85" i="3"/>
  <c r="AG85" i="3"/>
  <c r="AL90" i="3"/>
  <c r="AJ90" i="3"/>
  <c r="K17" i="3"/>
  <c r="P28" i="3"/>
  <c r="P39" i="3"/>
  <c r="AI90" i="3"/>
  <c r="K40" i="3"/>
  <c r="AH90" i="3"/>
  <c r="AF81" i="3"/>
  <c r="P15" i="3"/>
  <c r="K48" i="3"/>
  <c r="AF90" i="3"/>
  <c r="P51" i="3"/>
  <c r="AN90" i="3"/>
  <c r="AG81" i="3"/>
  <c r="AG90" i="3"/>
  <c r="AT81" i="3"/>
  <c r="AN82" i="3"/>
  <c r="AT89" i="3"/>
  <c r="K71" i="3"/>
  <c r="K66" i="3"/>
  <c r="P78" i="3"/>
  <c r="AI85" i="3"/>
  <c r="AF85" i="3"/>
  <c r="AN81" i="3"/>
  <c r="AN89" i="3"/>
  <c r="AI82" i="3"/>
  <c r="K41" i="3"/>
  <c r="K51" i="3"/>
  <c r="P53" i="3"/>
  <c r="K16" i="3"/>
  <c r="AT87" i="3"/>
  <c r="AG82" i="3"/>
  <c r="AF82" i="3"/>
  <c r="AN87" i="3"/>
  <c r="AT85" i="3"/>
  <c r="P42" i="3"/>
  <c r="P47" i="3"/>
  <c r="AL87" i="3"/>
  <c r="AJ82" i="3"/>
  <c r="AH82" i="3"/>
  <c r="AN85" i="3"/>
  <c r="AJ87" i="3"/>
  <c r="AT82" i="3"/>
  <c r="AL85" i="3"/>
  <c r="AH87" i="3"/>
  <c r="AL82" i="3"/>
  <c r="AI87" i="3"/>
  <c r="K52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N92" i="3"/>
  <c r="AJ92" i="3"/>
  <c r="AI92" i="3"/>
  <c r="AS92" i="3"/>
  <c r="AH92" i="3"/>
  <c r="AL92" i="3"/>
  <c r="AM88" i="3" s="1"/>
  <c r="AF92" i="3"/>
  <c r="S103" i="3" l="1"/>
  <c r="T103" i="3" s="1" a="1"/>
  <c r="T103" i="3" s="1"/>
  <c r="CG24" i="3"/>
  <c r="CN48" i="3" s="1"/>
  <c r="AM84" i="3"/>
  <c r="AM85" i="3"/>
  <c r="AM81" i="3"/>
  <c r="AM80" i="3"/>
  <c r="AM89" i="3"/>
  <c r="AM90" i="3"/>
  <c r="AM82" i="3"/>
  <c r="AM91" i="3"/>
  <c r="AM83" i="3"/>
  <c r="AM86" i="3"/>
  <c r="AM87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3" i="3"/>
  <c r="AP86" i="3"/>
  <c r="AP85" i="3"/>
  <c r="AP91" i="3"/>
  <c r="AP82" i="3"/>
  <c r="AP88" i="3"/>
  <c r="AP90" i="3"/>
  <c r="AP89" i="3"/>
  <c r="AP84" i="3"/>
  <c r="AP81" i="3"/>
  <c r="AP80" i="3"/>
  <c r="CN37" i="3" l="1"/>
  <c r="CK68" i="3" s="1"/>
  <c r="S111" i="3"/>
  <c r="T111" i="3" s="1"/>
  <c r="AD85" i="3"/>
  <c r="AS85" i="3" s="1"/>
  <c r="AD81" i="3"/>
  <c r="AS81" i="3" s="1"/>
  <c r="AD89" i="3"/>
  <c r="AS89" i="3" s="1"/>
  <c r="AD84" i="3"/>
  <c r="AS84" i="3" s="1"/>
  <c r="AD86" i="3"/>
  <c r="AS86" i="3" s="1"/>
  <c r="AD83" i="3"/>
  <c r="AS83" i="3" s="1"/>
  <c r="AD80" i="3"/>
  <c r="AS80" i="3" s="1"/>
  <c r="AD88" i="3"/>
  <c r="AS88" i="3" s="1"/>
  <c r="AD91" i="3"/>
  <c r="AS91" i="3" s="1"/>
  <c r="AD87" i="3"/>
  <c r="AS87" i="3" s="1"/>
  <c r="AD90" i="3"/>
  <c r="AS90" i="3" s="1"/>
  <c r="AD82" i="3"/>
  <c r="AS82" i="3" s="1"/>
  <c r="M88" i="3" l="1"/>
  <c r="J88" i="3"/>
  <c r="M81" i="3"/>
  <c r="O81" i="3"/>
  <c r="J91" i="3"/>
  <c r="J89" i="3"/>
  <c r="L84" i="3"/>
  <c r="J81" i="3"/>
  <c r="O88" i="3"/>
  <c r="O91" i="3"/>
  <c r="J92" i="3"/>
  <c r="J83" i="3"/>
  <c r="M92" i="3"/>
  <c r="L92" i="3"/>
  <c r="N81" i="3"/>
  <c r="N91" i="3"/>
  <c r="J86" i="3"/>
  <c r="N86" i="3"/>
  <c r="N82" i="3"/>
  <c r="M86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91" i="3"/>
  <c r="M82" i="3"/>
  <c r="O92" i="3"/>
  <c r="J85" i="3"/>
  <c r="O82" i="3"/>
  <c r="L82" i="3"/>
  <c r="O87" i="3"/>
  <c r="M87" i="3"/>
  <c r="L87" i="3"/>
  <c r="N87" i="3"/>
  <c r="J84" i="3"/>
  <c r="N83" i="3"/>
  <c r="L90" i="3"/>
  <c r="N85" i="3"/>
  <c r="N88" i="3"/>
  <c r="L86" i="3"/>
  <c r="M91" i="3"/>
  <c r="L83" i="3"/>
  <c r="O85" i="3"/>
  <c r="M90" i="3"/>
  <c r="O86" i="3"/>
  <c r="O83" i="3"/>
  <c r="M89" i="3"/>
  <c r="J90" i="3"/>
  <c r="N89" i="3"/>
  <c r="O90" i="3"/>
  <c r="J87" i="3"/>
  <c r="L88" i="3"/>
  <c r="P88" i="3" s="1"/>
  <c r="L89" i="3"/>
  <c r="O89" i="3"/>
  <c r="N92" i="3"/>
  <c r="N90" i="3"/>
  <c r="M85" i="3"/>
  <c r="J82" i="3"/>
  <c r="O84" i="3"/>
  <c r="L85" i="3"/>
  <c r="M84" i="3"/>
  <c r="M83" i="3"/>
  <c r="L81" i="3"/>
  <c r="N84" i="3"/>
  <c r="S90" i="3" l="1"/>
  <c r="T90" i="3" s="1" a="1"/>
  <c r="T90" i="3" s="1"/>
  <c r="BS36" i="3"/>
  <c r="P82" i="3"/>
  <c r="P81" i="3"/>
  <c r="P83" i="3"/>
  <c r="P85" i="3"/>
  <c r="P90" i="3"/>
  <c r="P84" i="3"/>
  <c r="P86" i="3"/>
  <c r="K87" i="3"/>
  <c r="P87" i="3"/>
  <c r="P89" i="3"/>
  <c r="P92" i="3"/>
  <c r="K82" i="3"/>
  <c r="K91" i="3"/>
  <c r="K86" i="3"/>
  <c r="K81" i="3"/>
  <c r="K92" i="3"/>
  <c r="G3" i="4"/>
  <c r="BL11" i="3" s="1"/>
  <c r="E3" i="4"/>
  <c r="BL67" i="3" s="1"/>
  <c r="K90" i="3"/>
  <c r="H3" i="4"/>
  <c r="BL39" i="3" s="1"/>
  <c r="K85" i="3"/>
  <c r="P91" i="3"/>
  <c r="I3" i="4"/>
  <c r="BL15" i="3" s="1"/>
  <c r="K84" i="3"/>
  <c r="K3" i="4"/>
  <c r="BL55" i="3" s="1"/>
  <c r="K89" i="3"/>
  <c r="D3" i="4"/>
  <c r="BL51" i="3" s="1"/>
  <c r="K88" i="3"/>
  <c r="B3" i="4"/>
  <c r="J3" i="4"/>
  <c r="BL71" i="3" s="1"/>
  <c r="K83" i="3"/>
  <c r="BS53" i="3"/>
  <c r="BS52" i="3"/>
  <c r="BZ49" i="3" s="1"/>
  <c r="CG55" i="3" s="1"/>
  <c r="CN49" i="3" s="1"/>
  <c r="BS69" i="3"/>
  <c r="BZ65" i="3" s="1"/>
  <c r="CG56" i="3" s="1"/>
  <c r="CN38" i="3" s="1"/>
  <c r="BS68" i="3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<sst xmlns="http://schemas.openxmlformats.org/spreadsheetml/2006/main" count="9785" uniqueCount="3699">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</sst>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12" zoomScaleNormal="100" workbookViewId="0">
      <selection activeCell="CN50" sqref="CN50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0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5</v>
      </c>
      <c r="AJ8" s="123">
        <f>SUMIF($E$7:$E$78,$AE8,$G$7:$G$78) + SUMIF($H$7:$H$78,$AE8,$F$7:$F$78)</f>
        <v>4</v>
      </c>
      <c r="AL8" s="123">
        <f>AI8-AJ8</f>
        <v>1</v>
      </c>
      <c r="AM8" s="123">
        <f>AL8-AL12</f>
        <v>5</v>
      </c>
      <c r="AN8" s="123">
        <f>AF8*3+AG8</f>
        <v>6</v>
      </c>
      <c r="AO8" s="123">
        <f>AN8/AN12*10+BA8</f>
        <v>6</v>
      </c>
      <c r="AP8" s="123">
        <f>AO8*10000000+BI8*100+AM8/AM12*10+AI8/AI12*1++IF(AQ8=0,ROW(),AQ8)/2000000</f>
        <v>60000006.389729403</v>
      </c>
      <c r="AQ8" s="126">
        <f>VLOOKUP(AE8,db_fifarank,2,FALSE)</f>
        <v>1681.03</v>
      </c>
      <c r="AR8" s="125">
        <f>AP8/AP12</f>
        <v>0.66666665823423199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3</v>
      </c>
      <c r="AJ9" s="123">
        <f>SUMIF($E$7:$E$78,$AE9,$G$7:$G$78) + SUMIF($H$7:$H$78,$AE9,$F$7:$F$78)</f>
        <v>7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0.50071486499999995</v>
      </c>
      <c r="AQ9" s="126">
        <f>VLOOKUP(AE9,db_fifarank,2,FALSE)</f>
        <v>1429.73</v>
      </c>
      <c r="AR9" s="125">
        <f>AP9/AP12</f>
        <v>5.5634978371418147E-9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6</v>
      </c>
      <c r="AL10" s="123">
        <f>AI10-AJ10</f>
        <v>-1</v>
      </c>
      <c r="AM10" s="123">
        <f>AL10-AL12</f>
        <v>3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30000004.167460993</v>
      </c>
      <c r="AQ10" s="126">
        <f>VLOOKUP(AE10,db_fifarank,2,FALSE)</f>
        <v>1588.66</v>
      </c>
      <c r="AR10" s="125">
        <f>AP10/AP12</f>
        <v>0.3333333399237402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5 - 6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3</v>
      </c>
      <c r="AG11" s="123">
        <f>COUNTIF($S$7:$T$78,"=" &amp; AE11 &amp; "_draw")</f>
        <v>0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1</v>
      </c>
      <c r="AL11" s="123">
        <f>AI11-AJ11</f>
        <v>4</v>
      </c>
      <c r="AM11" s="123">
        <f>AL11-AL12</f>
        <v>8</v>
      </c>
      <c r="AN11" s="123">
        <f>AF11*3+AG11</f>
        <v>9</v>
      </c>
      <c r="AO11" s="123">
        <f>AN11/AN12*10+BA11</f>
        <v>9</v>
      </c>
      <c r="AP11" s="123">
        <f>AO11*10000000+BI11*100+AM11/AM12*10+AI11/AI12*1++IF(AQ11=0,ROW(),AQ11)/2000000</f>
        <v>90000009.722972915</v>
      </c>
      <c r="AQ11" s="126">
        <f>VLOOKUP(AE11,db_fifarank,2,FALSE)</f>
        <v>1501.38</v>
      </c>
      <c r="AR11" s="125">
        <f>AP11/AP12</f>
        <v>0.99999998888889019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3 - 7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6</v>
      </c>
      <c r="AL12" s="123">
        <f>MIN(AL8:AL11)</f>
        <v>-4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90000010.722972915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3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5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62500006.917444907</v>
      </c>
      <c r="AQ14" s="126">
        <f>VLOOKUP(AE14,db_fifarank,2,FALSE)</f>
        <v>1556.48</v>
      </c>
      <c r="AR14" s="125">
        <f>AP14/AP18</f>
        <v>0.71428570694093829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5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0.16735958666666667</v>
      </c>
      <c r="AQ15" s="126">
        <f>VLOOKUP(AE15,db_fifarank,2,FALSE)</f>
        <v>1385.84</v>
      </c>
      <c r="AR15" s="125">
        <f>AP15/AP18</f>
        <v>1.9126807591148714E-9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3</v>
      </c>
      <c r="AL16" s="123">
        <f>AI16-AJ16</f>
        <v>0</v>
      </c>
      <c r="AM16" s="123">
        <f>AL16-AL18</f>
        <v>4</v>
      </c>
      <c r="AN16" s="123">
        <f>AF16*3+AG16</f>
        <v>4</v>
      </c>
      <c r="AO16" s="123">
        <f>AN16/AN18*10+BA16</f>
        <v>5</v>
      </c>
      <c r="AP16" s="123">
        <f>AO16*10000000+BI16*100+AM16/AM18*10+AI16/AI18*1++IF(AQ16=0,ROW(),AQ16)/2000000</f>
        <v>50000005.500727482</v>
      </c>
      <c r="AQ16" s="126">
        <f>VLOOKUP(AE16,db_fifarank,2,FALSE)</f>
        <v>1454.96</v>
      </c>
      <c r="AR16" s="125">
        <f>AP16/AP18</f>
        <v>0.57142856517299712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7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87500009.584158033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87500010.584158033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4</v>
      </c>
      <c r="AL20" s="123">
        <f>AI20-AJ20</f>
        <v>3</v>
      </c>
      <c r="AM20" s="123">
        <f>AL20-AL24</f>
        <v>10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60000009.111991689</v>
      </c>
      <c r="AQ20" s="126">
        <f>VLOOKUP(AE20,db_fifarank,2,FALSE)</f>
        <v>1761.16</v>
      </c>
      <c r="AR20" s="125">
        <f>AP20/AP24</f>
        <v>0.66666668601150902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8 - 4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4</v>
      </c>
      <c r="AL21" s="123">
        <f>AI21-AJ21</f>
        <v>4</v>
      </c>
      <c r="AM21" s="123">
        <f>AL21-AL24</f>
        <v>11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90000010.056433499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0.11175696611111111</v>
      </c>
      <c r="AQ22" s="126">
        <f>VLOOKUP(AE22,db_fifarank,2,FALSE)</f>
        <v>1291.71</v>
      </c>
      <c r="AR22" s="125">
        <f>AP22/AP24</f>
        <v>1.241743915353912E-9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6 - 6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6</v>
      </c>
      <c r="AL23" s="123">
        <f>AI23-AJ23</f>
        <v>0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30000006.500749175</v>
      </c>
      <c r="AQ23" s="126">
        <f>VLOOKUP(AE23,db_fifarank,2,FALSE)</f>
        <v>1498.35</v>
      </c>
      <c r="AR23" s="125">
        <f>AP23/AP24</f>
        <v>0.33333336461412216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-7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90000011.056433499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4</v>
      </c>
      <c r="AN26" s="123">
        <f>AF26*3+AG26</f>
        <v>4</v>
      </c>
      <c r="AO26" s="123">
        <f>AN26/AN30*10+BA26</f>
        <v>4</v>
      </c>
      <c r="AP26" s="123">
        <f>AO26*10000000+BI26*100+AM26/AM30*10+AI26/AI30*1++IF(AQ26=0,ROW(),AQ26)/2000000</f>
        <v>40000004.081644647</v>
      </c>
      <c r="AQ26" s="126">
        <f>VLOOKUP(AE26,db_fifarank,2,FALSE)</f>
        <v>1673.13</v>
      </c>
      <c r="AR26" s="125">
        <f>AP26/AP30</f>
        <v>0.44444443557087981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5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</v>
      </c>
      <c r="AP27" s="123">
        <f>AO27*10000000+BI27*100+AM27/AM30*10+AI27/AI30*1++IF(AQ27=0,ROW(),AQ27)/2000000</f>
        <v>10000000.111862862</v>
      </c>
      <c r="AQ27" s="126">
        <f>VLOOKUP(AE27,db_fifarank,2,FALSE)</f>
        <v>1503.5</v>
      </c>
      <c r="AR27" s="125">
        <f>AP27/AP30</f>
        <v>0.11111109879774009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2</v>
      </c>
      <c r="AN28" s="123">
        <f>AF28*3+AG28</f>
        <v>2</v>
      </c>
      <c r="AO28" s="123">
        <f>AN28/AN30*10+BA28</f>
        <v>2</v>
      </c>
      <c r="AP28" s="123">
        <f>AO28*10000000+BI28*100+AM28/AM30*10+AI28/AI30*1++IF(AQ28=0,ROW(),AQ28)/2000000</f>
        <v>20000002.152305484</v>
      </c>
      <c r="AQ28" s="126">
        <f>VLOOKUP(AE28,db_fifarank,2,FALSE)</f>
        <v>1580.67</v>
      </c>
      <c r="AR28" s="125">
        <f>AP28/AP30</f>
        <v>0.22222221902414155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3 - 5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2</v>
      </c>
      <c r="AL29" s="123">
        <f>AI29-AJ29</f>
        <v>6</v>
      </c>
      <c r="AM29" s="123">
        <f>AL29-AL30</f>
        <v>10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90000009.980597511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9</v>
      </c>
      <c r="AL30" s="123">
        <f>MIN(AL26:AL29)</f>
        <v>-4</v>
      </c>
      <c r="AM30" s="123">
        <f>MAX(AM26:AM29)+1</f>
        <v>11</v>
      </c>
      <c r="AN30" s="123">
        <f>MAX(AN26:AN29)+1</f>
        <v>10</v>
      </c>
      <c r="AO30" s="123">
        <f>MAX(AO26:AO29)+1</f>
        <v>10</v>
      </c>
      <c r="AP30" s="123">
        <f>MAX(AP26:AP29)+1</f>
        <v>90000010.980597511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90000010.17546837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7.1924991068939306E-12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6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49805927.92078498</v>
      </c>
      <c r="AQ34" s="126">
        <f>VLOOKUP(AE34,db_fifarank,2,FALSE)</f>
        <v>1532.98</v>
      </c>
      <c r="AR34" s="125">
        <f>AP34/AP36</f>
        <v>0.55339913040322775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4</v>
      </c>
      <c r="AL35" s="123">
        <f>AI35-AJ35</f>
        <v>-1</v>
      </c>
      <c r="AM35" s="123">
        <f>AL35-AL36</f>
        <v>5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49805927.206530169</v>
      </c>
      <c r="AQ35" s="126">
        <f>VLOOKUP(AE35,db_fifarank,2,FALSE)</f>
        <v>1594.78</v>
      </c>
      <c r="AR35" s="125">
        <f>AP35/AP36</f>
        <v>0.55339912246706424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-6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90000011.17546837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5</v>
      </c>
      <c r="AL38" s="123">
        <f>AI38-AJ38</f>
        <v>2</v>
      </c>
      <c r="AM38" s="123">
        <f>AL38-AL42</f>
        <v>3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87500008.37587893</v>
      </c>
      <c r="AQ38" s="126">
        <f>VLOOKUP(AE38,db_fifarank,2,FALSE)</f>
        <v>1757.87</v>
      </c>
      <c r="AR38" s="125">
        <f>AP38/AP42</f>
        <v>0.9999999885714298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7 - 5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0</v>
      </c>
      <c r="AN39" s="123">
        <f>AF39*3+AG39</f>
        <v>3</v>
      </c>
      <c r="AO39" s="123">
        <f>AN39/AN42*10+BA39</f>
        <v>3.75</v>
      </c>
      <c r="AP39" s="123">
        <f>AO39*10000000+BI39*100+AM39/AM42*10+AI39/AI42*1++IF(AQ39=0,ROW(),AQ39)/2000000</f>
        <v>37500000.500830218</v>
      </c>
      <c r="AQ39" s="126">
        <f>VLOOKUP(AE39,db_fifarank,2,FALSE)</f>
        <v>1660.43</v>
      </c>
      <c r="AR39" s="125">
        <f>AP39/AP42</f>
        <v>0.4285713883725345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5 - 5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5</v>
      </c>
      <c r="AL40" s="123">
        <f>AI40-AJ40</f>
        <v>0</v>
      </c>
      <c r="AM40" s="123">
        <f>AL40-AL42</f>
        <v>1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50000003.125757381</v>
      </c>
      <c r="AQ40" s="126">
        <f>VLOOKUP(AE40,db_fifarank,2,FALSE)</f>
        <v>1514.77</v>
      </c>
      <c r="AR40" s="125">
        <f>AP40/AP42</f>
        <v>0.57142854592128589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2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5</v>
      </c>
      <c r="AL41" s="123">
        <f>AI41-AJ41</f>
        <v>-1</v>
      </c>
      <c r="AM41" s="123">
        <f>AL41-AL42</f>
        <v>0</v>
      </c>
      <c r="AN41" s="123">
        <f>AF41*3+AG41</f>
        <v>2</v>
      </c>
      <c r="AO41" s="123">
        <f>AN41/AN42*10+BA41</f>
        <v>2.5</v>
      </c>
      <c r="AP41" s="123">
        <f>AO41*10000000+BI41*100+AM41/AM42*10+AI41/AI42*1++IF(AQ41=0,ROW(),AQ41)/2000000</f>
        <v>25000000.500741526</v>
      </c>
      <c r="AQ41" s="126">
        <f>VLOOKUP(AE41,db_fifarank,2,FALSE)</f>
        <v>1483.05</v>
      </c>
      <c r="AR41" s="125">
        <f>AP41/AP42</f>
        <v>0.2857142608219338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4 - 5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8</v>
      </c>
      <c r="AL42" s="123">
        <f>MIN(AL38:AL41)</f>
        <v>-1</v>
      </c>
      <c r="AM42" s="123">
        <f>MAX(AM38:AM41)+1</f>
        <v>4</v>
      </c>
      <c r="AN42" s="123">
        <f>MAX(AN38:AN41)+1</f>
        <v>8</v>
      </c>
      <c r="AO42" s="123">
        <f>MAX(AO38:AO41)+1</f>
        <v>9.75</v>
      </c>
      <c r="AP42" s="123">
        <f>MAX(AP38:AP41)+1</f>
        <v>87500009.37587893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90000009.778645143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7</v>
      </c>
      <c r="AL45" s="123">
        <f>AI45-AJ45</f>
        <v>-2</v>
      </c>
      <c r="AM45" s="123">
        <f>AL45-AL48</f>
        <v>0</v>
      </c>
      <c r="AN45" s="123">
        <f>AF45*3+AG45</f>
        <v>2</v>
      </c>
      <c r="AO45" s="123">
        <f>AN45/AN48*10+BA45</f>
        <v>2.98539435248296</v>
      </c>
      <c r="AP45" s="123">
        <f>AO45*10000000+BI45*100+AM45/AM48*10+AI45/AI48*1++IF(AQ45=0,ROW(),AQ45)/2000000</f>
        <v>29853944.081166778</v>
      </c>
      <c r="AQ45" s="126">
        <f>VLOOKUP(AE45,db_fifarank,2,FALSE)</f>
        <v>1563.24</v>
      </c>
      <c r="AR45" s="125">
        <f>AP45/AP48</f>
        <v>0.33171045006419497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4</v>
      </c>
      <c r="AW45" s="126" cm="1">
        <f t="array" ref="AW45">SUMPRODUCT(($E$7:$E$78=AE45)*($U$7:$U$78)*($G$7:$G$78))+SUMPRODUCT(($H$7:$H$78=AE45)*($U$7:$U$78)*($F$7:$F$78))</f>
        <v>4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67.466666666666654</v>
      </c>
      <c r="BA45" s="126">
        <f>AZ45/AZ48</f>
        <v>0.98539435248296003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2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5 - 7</v>
      </c>
      <c r="P46" s="34">
        <f>L46*3+M46</f>
        <v>2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2</v>
      </c>
      <c r="W46" s="123">
        <f t="shared" si="4"/>
        <v>2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6</v>
      </c>
      <c r="AL46" s="123">
        <f>AI46-AJ46</f>
        <v>-2</v>
      </c>
      <c r="AM46" s="123">
        <f>AL46-AL48</f>
        <v>0</v>
      </c>
      <c r="AN46" s="123">
        <f>AF46*3+AG46</f>
        <v>2</v>
      </c>
      <c r="AO46" s="123">
        <f>AN46/AN48*10+BA46</f>
        <v>2.9824732229795519</v>
      </c>
      <c r="AP46" s="123">
        <f>AO46*10000000+BI46*100+AM46/AM48*10+AI46/AI48*1++IF(AQ46=0,ROW(),AQ46)/2000000</f>
        <v>29824830.733300041</v>
      </c>
      <c r="AQ46" s="126">
        <f>VLOOKUP(AE46,db_fifarank,2,FALSE)</f>
        <v>1615.3</v>
      </c>
      <c r="AR46" s="125">
        <f>AP46/AP48</f>
        <v>0.33138696845997229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3</v>
      </c>
      <c r="AW46" s="126" cm="1">
        <f t="array" ref="AW46">SUMPRODUCT(($E$7:$E$78=AE46)*($U$7:$U$78)*($G$7:$G$78))+SUMPRODUCT(($H$7:$H$78=AE46)*($U$7:$U$78)*($F$7:$F$78))</f>
        <v>3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67.266666666666652</v>
      </c>
      <c r="BA46" s="126">
        <f>AZ46/AZ48</f>
        <v>0.98247322297955209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4 - 6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5</v>
      </c>
      <c r="AL47" s="123">
        <f>AI47-AJ47</f>
        <v>-2</v>
      </c>
      <c r="AM47" s="123">
        <f>AL47-AL48</f>
        <v>0</v>
      </c>
      <c r="AN47" s="123">
        <f>AF47*3+AG47</f>
        <v>2</v>
      </c>
      <c r="AO47" s="123">
        <f>AN47/AN48*10+BA47</f>
        <v>2.9824732229795519</v>
      </c>
      <c r="AP47" s="123">
        <f>AO47*10000000+BI47*100+AM47/AM48*10+AI47/AI48*1++IF(AQ47=0,ROW(),AQ47)/2000000</f>
        <v>29824830.622022063</v>
      </c>
      <c r="AQ47" s="126">
        <f>VLOOKUP(AE47,db_fifarank,2,FALSE)</f>
        <v>1281.57</v>
      </c>
      <c r="AR47" s="125">
        <f>AP47/AP48</f>
        <v>0.33138696722355043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3</v>
      </c>
      <c r="AW47" s="126" cm="1">
        <f t="array" ref="AW47">SUMPRODUCT(($E$7:$E$78=AE47)*($U$7:$U$78)*($G$7:$G$78))+SUMPRODUCT(($H$7:$H$78=AE47)*($U$7:$U$78)*($F$7:$F$78))</f>
        <v>3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67.266666666666652</v>
      </c>
      <c r="BA47" s="126">
        <f>AZ47/AZ48</f>
        <v>0.98247322297955209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3 - 5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9</v>
      </c>
      <c r="AL48" s="123">
        <f>MIN(AL44:AL47)</f>
        <v>-2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90000010.778645143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5</v>
      </c>
      <c r="AW48" s="126">
        <f>MAX(AW44:AW47)-MIN(AW44:AW47)+1</f>
        <v>5</v>
      </c>
      <c r="AY48" s="126">
        <f>MAX(AY44:AY47)-MIN(AY44:AY47)+1</f>
        <v>1</v>
      </c>
      <c r="AZ48" s="126">
        <f>MAX(AZ44:AZ47)+1</f>
        <v>68.466666666666654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Morocco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Morocco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90000010.275938213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9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0.20068306500000002</v>
      </c>
      <c r="AQ51" s="126">
        <f>VLOOKUP(AE51,db_fifarank,2,FALSE)</f>
        <v>1366.13</v>
      </c>
      <c r="AR51" s="125">
        <f>AP51/AP54</f>
        <v>2.2298115539642522E-9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4</v>
      </c>
      <c r="AL52" s="123">
        <f>AI52-AJ52</f>
        <v>-1</v>
      </c>
      <c r="AM52" s="123">
        <f>AL52-AL54</f>
        <v>6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30000004.050710715</v>
      </c>
      <c r="AQ52" s="126">
        <f>VLOOKUP(AE52,db_fifarank,2,FALSE)</f>
        <v>1421.43</v>
      </c>
      <c r="AR52" s="125">
        <f>AP52/AP54</f>
        <v>0.33333333657849562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Czech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4</v>
      </c>
      <c r="AL53" s="123">
        <f>AI53-AJ53</f>
        <v>0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60000004.775836535</v>
      </c>
      <c r="AQ53" s="126">
        <f>VLOOKUP(AE53,db_fifarank,2,FALSE)</f>
        <v>1673.07</v>
      </c>
      <c r="AR53" s="125">
        <f>AP53/AP54</f>
        <v>0.6666666362060526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90000011.275938213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Morocco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1</v>
      </c>
      <c r="AL56" s="123">
        <f>AI56-AJ56</f>
        <v>8</v>
      </c>
      <c r="AM56" s="123">
        <f>AL56-AL60</f>
        <v>17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90000010.345383108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9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49805928.601815358</v>
      </c>
      <c r="AQ57" s="126">
        <f>VLOOKUP(AE57,db_fifarank,2,FALSE)</f>
        <v>1688.99</v>
      </c>
      <c r="AR57" s="125">
        <f>AP57/AP60</f>
        <v>0.55339913692544596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8.0396656531879247E-12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0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10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49805929.257301889</v>
      </c>
      <c r="AQ59" s="126">
        <f>VLOOKUP(AE59,db_fifarank,2,FALSE)</f>
        <v>1550.94</v>
      </c>
      <c r="AR59" s="125">
        <f>AP59/AP60</f>
        <v>0.55339914420862879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-9</v>
      </c>
      <c r="AM60" s="123">
        <f>MAX(AM56:AM59)+1</f>
        <v>18</v>
      </c>
      <c r="AN60" s="123">
        <f>MAX(AN56:AN59)+1</f>
        <v>10</v>
      </c>
      <c r="AO60" s="123">
        <f>MAX(AO56:AO59)+1</f>
        <v>10</v>
      </c>
      <c r="AP60" s="123">
        <f>MAX(AP56:AP59)+1</f>
        <v>90000011.345383108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2</v>
      </c>
      <c r="AL62" s="123">
        <f>AI62-AJ62</f>
        <v>3</v>
      </c>
      <c r="AM62" s="123">
        <f>AL62-AL66</f>
        <v>8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87500009.723159641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5 - 2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4</v>
      </c>
      <c r="AL63" s="123">
        <f>AI63-AJ63</f>
        <v>1</v>
      </c>
      <c r="AM63" s="123">
        <f>AL63-AL66</f>
        <v>6</v>
      </c>
      <c r="AN63" s="123">
        <f>AF63*3+AG63</f>
        <v>6</v>
      </c>
      <c r="AO63" s="123">
        <f>AN63/AN66*10+BA63</f>
        <v>7.5</v>
      </c>
      <c r="AP63" s="123">
        <f>AO63*10000000+BI63*100+AM63/AM66*10+AI63/AI66*1++IF(AQ63=0,ROW(),AQ63)/2000000</f>
        <v>75000007.500782132</v>
      </c>
      <c r="AQ63" s="126">
        <f>VLOOKUP(AE63,db_fifarank,2,FALSE)</f>
        <v>1564.26</v>
      </c>
      <c r="AR63" s="125">
        <f>AP63/AP66</f>
        <v>0.85714283782288736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2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5</v>
      </c>
      <c r="AP64" s="123">
        <f>AO64*10000000+BI64*100+AM64/AM66*10+AI64/AI66*1++IF(AQ64=0,ROW(),AQ64)/2000000</f>
        <v>50000007.334130056</v>
      </c>
      <c r="AQ64" s="126">
        <f>VLOOKUP(AE64,db_fifarank,2,FALSE)</f>
        <v>1593.45</v>
      </c>
      <c r="AR64" s="125">
        <f>AP64/AP66</f>
        <v>0.57142858521840134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0.16736239166666667</v>
      </c>
      <c r="AQ65" s="126">
        <f>VLOOKUP(AE65,db_fifarank,2,FALSE)</f>
        <v>1391.45</v>
      </c>
      <c r="AR65" s="125">
        <f>AP65/AP66</f>
        <v>1.912712813215335E-9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6</v>
      </c>
      <c r="AL66" s="123">
        <f>MIN(AL62:AL65)</f>
        <v>-5</v>
      </c>
      <c r="AM66" s="123">
        <f>MAX(AM62:AM65)+1</f>
        <v>9</v>
      </c>
      <c r="AN66" s="123">
        <f>MAX(AN62:AN65)+1</f>
        <v>8</v>
      </c>
      <c r="AO66" s="123">
        <f>MAX(AO62:AO65)+1</f>
        <v>9.75</v>
      </c>
      <c r="AP66" s="123">
        <f>MAX(AP62:AP65)+1</f>
        <v>87500010.723159641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90000010.131651148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2</v>
      </c>
      <c r="W69" s="123">
        <f t="shared" si="22"/>
        <v>2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0.20073917500000002</v>
      </c>
      <c r="AQ69" s="126">
        <f>VLOOKUP(AE69,db_fifarank,2,FALSE)</f>
        <v>1478.35</v>
      </c>
      <c r="AR69" s="125">
        <f>AP69/AP72</f>
        <v>2.2304350019063962E-9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4</v>
      </c>
      <c r="AJ70" s="123">
        <f>SUMIF($E$7:$E$78,$AE70,$G$7:$G$78) + SUMIF($H$7:$H$78,$AE70,$F$7:$F$78)</f>
        <v>7</v>
      </c>
      <c r="AL70" s="123">
        <f>AI70-AJ70</f>
        <v>-3</v>
      </c>
      <c r="AM70" s="123">
        <f>AL70-AL72</f>
        <v>2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30000001.93919421</v>
      </c>
      <c r="AQ70" s="126">
        <f>VLOOKUP(AE70,db_fifarank,2,FALSE)</f>
        <v>1465.34</v>
      </c>
      <c r="AR70" s="125">
        <f>AP70/AP72</f>
        <v>0.33333331365160052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3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4 - 7</v>
      </c>
      <c r="P71" s="34">
        <f>L71*3+M71</f>
        <v>3</v>
      </c>
      <c r="R71" s="123">
        <f>DATE(2026,6,26)+TIME(13,0,0)+gmt_delta</f>
        <v>46200.083333333328</v>
      </c>
      <c r="S71" s="127" t="str">
        <f>IF(OR(F71="",G71=""),"",IF(F71&gt;G71,E71&amp;"_win",IF(F71&lt;G71,E71&amp;"_lose",E71&amp;"_draw")))</f>
        <v>Cape Verde_lose</v>
      </c>
      <c r="T71" s="127" t="str">
        <f>IF(S71="","",IF(F71&lt;G71,H71&amp;"_win",IF(F71&gt;G71,H71&amp;"_lose",H71&amp;"_draw")))</f>
        <v>Saudi Arabia_win</v>
      </c>
      <c r="U71" s="123">
        <f t="shared" si="8"/>
        <v>0</v>
      </c>
      <c r="V71" s="123">
        <f t="shared" si="21"/>
        <v>0</v>
      </c>
      <c r="W71" s="123">
        <f>U71*G71</f>
        <v>0</v>
      </c>
      <c r="X71" s="123">
        <f t="shared" si="9"/>
        <v>0</v>
      </c>
      <c r="Y71" s="123">
        <f t="shared" si="10"/>
        <v>0</v>
      </c>
      <c r="Z71" s="123">
        <f>X71*G71</f>
        <v>0</v>
      </c>
      <c r="AA71" s="123">
        <f t="shared" ref="AA71:AA78" si="29">IF(OR(E71=my_team,H71=my_team),1,IF(INT(MATCH(E71,$AE$8:$AE$78,0)/6)=$AA$6,1,0))</f>
        <v>0</v>
      </c>
      <c r="AB71" s="123">
        <f>IF(OR(F71="",G71=""),"",IF(F71&gt;G71,1,IF(F71&lt;G71,-1,0)))</f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60000005.116231158</v>
      </c>
      <c r="AQ71" s="126">
        <f>VLOOKUP(AE71,db_fifarank,2,FALSE)</f>
        <v>1693.09</v>
      </c>
      <c r="AR71" s="125">
        <f>AP71/AP72</f>
        <v>0.66666664105700757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Ecuador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2 - 7</v>
      </c>
      <c r="P72" s="37">
        <f>L72*3+M72</f>
        <v>0</v>
      </c>
      <c r="R72" s="123">
        <f>DATE(2026,6,26)+TIME(13,0,0)+gmt_delta</f>
        <v>46200.083333333328</v>
      </c>
      <c r="S72" s="127" t="str">
        <f>IF(OR(F72="",G72=""),"",IF(F72&gt;G72,E72&amp;"_win",IF(F72&lt;G72,E72&amp;"_lose",E72&amp;"_draw")))</f>
        <v>Uruguay_lose</v>
      </c>
      <c r="T72" s="127" t="str">
        <f>IF(S72="","",IF(F72&lt;G72,H72&amp;"_win",IF(F72&gt;G72,H72&amp;"_lose",H72&amp;"_draw")))</f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>U72*G72</f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>X72*G72</f>
        <v>0</v>
      </c>
      <c r="AA72" s="123">
        <f t="shared" si="29"/>
        <v>0</v>
      </c>
      <c r="AB72" s="123">
        <f>IF(OR(F72="",G72=""),"",IF(F72&gt;G72,1,IF(F72&lt;G72,-1,0)))</f>
        <v>-1</v>
      </c>
      <c r="AF72" s="123">
        <f t="shared" ref="AF72:AH72" si="34">MAX(AF68:AF71)-MIN(AF68:AF71)+1</f>
        <v>4</v>
      </c>
      <c r="AG72" s="123">
        <f t="shared" si="34"/>
        <v>1</v>
      </c>
      <c r="AH72" s="123">
        <f t="shared" si="34"/>
        <v>4</v>
      </c>
      <c r="AI72" s="123">
        <f>MAX(AI68:AI71)+1</f>
        <v>10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90000011.131651148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>IF(OR(F73="",G73=""),"",IF(F73&gt;G73,E73&amp;"_win",IF(F73&lt;G73,E73&amp;"_lose",E73&amp;"_draw")))</f>
        <v>Panama_lose</v>
      </c>
      <c r="T73" s="127" t="str">
        <f>IF(S73="","",IF(F73&lt;G73,H73&amp;"_win",IF(F73&gt;G73,H73&amp;"_lose",H73&amp;"_draw")))</f>
        <v>England_win</v>
      </c>
      <c r="U73" s="123">
        <f t="shared" si="31"/>
        <v>0</v>
      </c>
      <c r="V73" s="123">
        <f t="shared" si="21"/>
        <v>0</v>
      </c>
      <c r="W73" s="123">
        <f>U73*G73</f>
        <v>0</v>
      </c>
      <c r="X73" s="123">
        <f t="shared" si="32"/>
        <v>0</v>
      </c>
      <c r="Y73" s="123">
        <f t="shared" si="33"/>
        <v>0</v>
      </c>
      <c r="Z73" s="123">
        <f>X73*G73</f>
        <v>0</v>
      </c>
      <c r="AA73" s="123">
        <f t="shared" si="29"/>
        <v>0</v>
      </c>
      <c r="AB73" s="123">
        <f>IF(OR(F73="",G73=""),"",IF(F73&gt;G73,1,IF(F73&lt;G73,-1,0)))</f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ref="Z74:Z78" si="35">X74*G74</f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90000009.85805583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2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5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5</v>
      </c>
      <c r="AN75" s="123">
        <f>AF75*3+AG75</f>
        <v>4</v>
      </c>
      <c r="AO75" s="123">
        <f>AN75/AN78*10+BA75</f>
        <v>4</v>
      </c>
      <c r="AP75" s="123">
        <f>AO75*10000000+BI75*100+AM75/AM78*10+AI75/AI78*1++IF(AQ75=0,ROW(),AQ75)/2000000</f>
        <v>40000005.572287112</v>
      </c>
      <c r="AQ75" s="126">
        <f>VLOOKUP(AE75,db_fifarank,2,FALSE)</f>
        <v>1717.07</v>
      </c>
      <c r="AR75" s="125">
        <f>AP75/AP78</f>
        <v>0.44444445273871591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5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2</v>
      </c>
      <c r="AN76" s="123">
        <f>AF76*3+AG76</f>
        <v>2</v>
      </c>
      <c r="AO76" s="123">
        <f>AN76/AN78*10+BA76</f>
        <v>2</v>
      </c>
      <c r="AP76" s="123">
        <f>AO76*10000000+BI76*100+AM76/AM78*10+AI76/AI78*1++IF(AQ76=0,ROW(),AQ76)/2000000</f>
        <v>20000002.429244585</v>
      </c>
      <c r="AQ76" s="126">
        <f>VLOOKUP(AE76,db_fifarank,2,FALSE)</f>
        <v>1346.31</v>
      </c>
      <c r="AR76" s="125">
        <f>AP76/AP78</f>
        <v>0.22222222240381431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3 - 5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5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10000000.286484605</v>
      </c>
      <c r="AQ77" s="126">
        <f>VLOOKUP(AE77,db_fifarank,2,FALSE)</f>
        <v>1540.64</v>
      </c>
      <c r="AR77" s="125">
        <f>AP77/AP78</f>
        <v>0.11111110088926743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5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7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90000010.85805583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6471.4293657585713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Austria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8642.8578703371422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6</v>
      </c>
      <c r="AJ82" s="123">
        <f t="shared" si="42"/>
        <v>6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6685.7150348892856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Qatar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1</v>
      </c>
      <c r="AN83" s="123">
        <f t="shared" si="45"/>
        <v>2</v>
      </c>
      <c r="AP83" s="123">
        <f>AN83/AN92*10000+AM83/AM92*1000+AI83/AI92*100+IF(AQ83=0,ROW(),AQ83)/2000000</f>
        <v>4242.8579331921428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2</v>
      </c>
      <c r="AN84" s="123">
        <f t="shared" si="45"/>
        <v>4</v>
      </c>
      <c r="AP84" s="123">
        <f>AN84/AN92*10000+AM84/AM92*1000+AI84/AI92*100+IF(AQ84=0,ROW(),AQ84)/2000000</f>
        <v>8442.8579402471423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6 - 6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6457.1436873578568</v>
      </c>
      <c r="AQ85" s="126">
        <f t="shared" si="37"/>
        <v>1660.43</v>
      </c>
      <c r="AR85" s="125" t="str">
        <f t="shared" si="50"/>
        <v>ABCEF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Ⓐ Korea Republic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4</v>
      </c>
      <c r="AJ86" s="123">
        <f t="shared" si="42"/>
        <v>6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4257.1436647928567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Ⓕ Japan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4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6442.8578535721435</v>
      </c>
      <c r="AQ87" s="126">
        <f t="shared" si="37"/>
        <v>1421.43</v>
      </c>
      <c r="AR87" s="125" t="str">
        <f t="shared" si="50"/>
        <v>ABCEFH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8642.857987352143</v>
      </c>
      <c r="AQ88" s="126">
        <f t="shared" si="37"/>
        <v>1688.99</v>
      </c>
      <c r="AR88" s="125" t="str">
        <f t="shared" si="50"/>
        <v>ABCEFHI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Uzbekistan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4 - 7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3</v>
      </c>
      <c r="AK89" s="123" t="s">
        <v>3190</v>
      </c>
      <c r="AL89" s="123">
        <f t="shared" si="43"/>
        <v>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8857.1436538678572</v>
      </c>
      <c r="AQ89" s="126">
        <f t="shared" si="37"/>
        <v>1593.45</v>
      </c>
      <c r="AR89" s="125" t="str">
        <f t="shared" si="50"/>
        <v>ABCEFHIJ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4 - 6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9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7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6057.1435898128566</v>
      </c>
      <c r="AQ90" s="126">
        <f t="shared" si="37"/>
        <v>1465.34</v>
      </c>
      <c r="AR90" s="125" t="str">
        <f t="shared" si="50"/>
        <v>ABCEFHIJ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2</v>
      </c>
      <c r="AP91" s="123">
        <f>AN91/AN92*10000+AM91/AM92*1000+AI91/AI92*100+IF(AQ91=0,ROW(),AQ91)/2000000</f>
        <v>4242.8578160121433</v>
      </c>
      <c r="AQ91" s="126">
        <f t="shared" si="37"/>
        <v>1346.31</v>
      </c>
      <c r="AR91" s="125" t="str">
        <f t="shared" si="50"/>
        <v>ABCEFHIJ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Ghana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3 - 5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6">
      <formula>IF(AND(AA7=0,AB7=-1),1,0)</formula>
    </cfRule>
    <cfRule type="expression" dxfId="226" priority="347">
      <formula>IF(AND(AA7=1,AB7=-1),1,0)</formula>
    </cfRule>
    <cfRule type="expression" dxfId="225" priority="348">
      <formula>IF(AND(AA7=0,AB7=1),1,0)</formula>
    </cfRule>
    <cfRule type="expression" dxfId="224" priority="349">
      <formula>IF(AND(AA7=1,AB7=1),1,0)</formula>
    </cfRule>
    <cfRule type="expression" dxfId="223" priority="350">
      <formula>IF(AND(AA7=0,AB7=0),1,0)</formula>
    </cfRule>
    <cfRule type="expression" dxfId="222" priority="351">
      <formula>IF(AND(AA7=1,AB7=0),1,0)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40">
      <formula>IF(AND(AA7=0,AB7=-1),1,0)</formula>
    </cfRule>
    <cfRule type="expression" dxfId="218" priority="341">
      <formula>IF(AND(AA7=1,AB7=-1),1,0)</formula>
    </cfRule>
    <cfRule type="expression" dxfId="217" priority="342">
      <formula>IF(AND(AA7=0,AB7=1),1,0)</formula>
    </cfRule>
    <cfRule type="expression" dxfId="216" priority="343">
      <formula>IF(AND(AA7=1,AB7=1),1,0)</formula>
    </cfRule>
    <cfRule type="expression" dxfId="215" priority="344">
      <formula>IF(AND(AA7=0,AB7=0),1,0)</formula>
    </cfRule>
    <cfRule type="expression" dxfId="214" priority="345">
      <formula>IF(AND(AA7=1,AB7=0),1,0)</formula>
    </cfRule>
    <cfRule type="expression" dxfId="213" priority="352">
      <formula>IF(AND(AA7=1,AB7=""),1,0)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18">
      <formula>IF(BP10&lt;BP11,1,0)</formula>
    </cfRule>
    <cfRule type="expression" dxfId="191" priority="220">
      <formula>IF(BP10&gt;BP11,1,0)</formula>
    </cfRule>
  </conditionalFormatting>
  <conditionalFormatting sqref="BL11">
    <cfRule type="expression" dxfId="190" priority="217">
      <formula>IF(BP10&lt;BP11,1,0)</formula>
    </cfRule>
    <cfRule type="expression" dxfId="189" priority="219">
      <formula>IF(BP10&gt;BP11,1,0)</formula>
    </cfRule>
  </conditionalFormatting>
  <conditionalFormatting sqref="BL14">
    <cfRule type="expression" dxfId="188" priority="182">
      <formula>IF(BP14&lt;BP15,1,0)</formula>
    </cfRule>
    <cfRule type="expression" dxfId="187" priority="184">
      <formula>IF(BP14&gt;BP15,1,0)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5">
      <formula>IF(BP18&lt;BP19,1,0)</formula>
    </cfRule>
    <cfRule type="expression" dxfId="181" priority="177">
      <formula>IF(BP18&gt;BP19,1,0)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6">
      <formula>IF(BP38&lt;BP39,1,0)</formula>
    </cfRule>
    <cfRule type="expression" dxfId="163" priority="148">
      <formula>IF(BP38&gt;BP39,1,0)</formula>
    </cfRule>
  </conditionalFormatting>
  <conditionalFormatting sqref="BL39">
    <cfRule type="expression" dxfId="162" priority="145">
      <formula>IF(BP38&lt;BP39,1,0)</formula>
    </cfRule>
    <cfRule type="expression" dxfId="161" priority="147">
      <formula>IF(BP38&gt;BP39,1,0)</formula>
    </cfRule>
  </conditionalFormatting>
  <conditionalFormatting sqref="BL42">
    <cfRule type="expression" dxfId="160" priority="140">
      <formula>IF(BP42&lt;BP43,1,0)</formula>
    </cfRule>
    <cfRule type="expression" dxfId="159" priority="142">
      <formula>IF(BP42&gt;BP43,1,0)</formula>
    </cfRule>
  </conditionalFormatting>
  <conditionalFormatting sqref="BL43">
    <cfRule type="expression" dxfId="158" priority="139">
      <formula>IF(BP42&lt;BP43,1,0)</formula>
    </cfRule>
    <cfRule type="expression" dxfId="157" priority="141">
      <formula>IF(BP42&gt;BP43,1,0)</formula>
    </cfRule>
  </conditionalFormatting>
  <conditionalFormatting sqref="BL46">
    <cfRule type="expression" dxfId="156" priority="134">
      <formula>IF(BP46&lt;BP47,1,0)</formula>
    </cfRule>
    <cfRule type="expression" dxfId="155" priority="136">
      <formula>IF(BP46&gt;BP47,1,0)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6">
      <formula>IF(BP58&lt;BP59,1,0)</formula>
    </cfRule>
    <cfRule type="expression" dxfId="143" priority="118">
      <formula>IF(BP58&gt;BP59,1,0)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4">
      <formula>IF(BP66&lt;BP67,1,0)</formula>
    </cfRule>
    <cfRule type="expression" dxfId="135" priority="106">
      <formula>IF(BP66&gt;BP67,1,0)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68">
      <formula>IF(BW36&lt;BW37,1,0)</formula>
    </cfRule>
    <cfRule type="expression" dxfId="83" priority="70">
      <formula>IF(BW36&gt;BW37,1,0)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4">
      <formula>IF(CD16&lt;CD17,1,0)</formula>
    </cfRule>
    <cfRule type="expression" dxfId="47" priority="46">
      <formula>IF(CD16&gt;CD17,1,0)</formula>
    </cfRule>
  </conditionalFormatting>
  <conditionalFormatting sqref="BZ17">
    <cfRule type="expression" dxfId="46" priority="43">
      <formula>IF(CD16&lt;CD17,1,0)</formula>
    </cfRule>
    <cfRule type="expression" dxfId="45" priority="45">
      <formula>IF(CD16&gt;CD17,1,0)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2">
      <formula>IF(CD48&lt;CD49,1,0)</formula>
    </cfRule>
    <cfRule type="expression" dxfId="39" priority="34">
      <formula>IF(CD48&gt;CD49,1,0)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4">
      <formula>IF(CK23&lt;CK24,1,0)</formula>
    </cfRule>
    <cfRule type="expression" dxfId="23" priority="16">
      <formula>IF(CK23&gt;CK24,1,0)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19">
      <formula>IF(CK55&lt;CK56,1,0)</formula>
    </cfRule>
    <cfRule type="expression" dxfId="17" priority="21">
      <formula>IF(CK55&gt;CK56,1,0)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8">
      <formula>IF(CR37&lt;CR38,1,0)</formula>
    </cfRule>
    <cfRule type="expression" dxfId="11" priority="10">
      <formula>IF(CR37&gt;CR38,1,0)</formula>
    </cfRule>
  </conditionalFormatting>
  <conditionalFormatting sqref="CN38">
    <cfRule type="expression" dxfId="10" priority="7">
      <formula>IF(CR37&lt;CR38,1,0)</formula>
    </cfRule>
    <cfRule type="expression" dxfId="9" priority="9">
      <formula>IF(CR37&gt;CR38,1,0)</formula>
    </cfRule>
  </conditionalFormatting>
  <conditionalFormatting sqref="CN48">
    <cfRule type="expression" dxfId="8" priority="2">
      <formula>IF(CR48&lt;CR49,1,0)</formula>
    </cfRule>
    <cfRule type="expression" dxfId="7" priority="4">
      <formula>IF(CR48&gt;CR49,1,0)</formula>
    </cfRule>
  </conditionalFormatting>
  <conditionalFormatting sqref="CN49">
    <cfRule type="expression" dxfId="6" priority="1">
      <formula>IF(CR48&lt;CR49,1,0)</formula>
    </cfRule>
    <cfRule type="expression" dxfId="5" priority="3">
      <formula>IF(CR48&gt;CR49,1,0)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415</v>
      </c>
      <c r="C3" s="121" t="str">
        <f>'2026 World Cup'!AR91</f>
        <v>ABCEFHIJ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da060e56-5e46-475d-8b74-5fb187bd2177}" enabled="0" method="" siteId="{da060e56-5e46-475d-8b74-5fb187bd217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JULIAN SUSIAS ESPINOSA</cp:lastModifiedBy>
  <cp:revision/>
  <dcterms:created xsi:type="dcterms:W3CDTF">2017-12-27T19:32:51Z</dcterms:created>
  <dcterms:modified xsi:type="dcterms:W3CDTF">2026-06-10T17:31:32Z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