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60524C0D-39B7-CC44-844F-6BDFDFA8897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<sst xmlns="http://schemas.openxmlformats.org/spreadsheetml/2006/main" count="9785" uniqueCount="3699">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</sst>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X30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90000009.607983366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3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2</v>
      </c>
      <c r="AN9" s="123">
        <f>AF9*3+AG9</f>
        <v>4</v>
      </c>
      <c r="AO9" s="123">
        <f>AN9/AN12*10+BA9</f>
        <v>4.9805825242718447</v>
      </c>
      <c r="AP9" s="123">
        <f>AO9*10000000+BI9*100+AM9/AM12*10+AI9/AI12*1++IF(AQ9=0,ROW(),AQ9)/2000000</f>
        <v>49805926.087400019</v>
      </c>
      <c r="AQ9" s="126">
        <f>VLOOKUP(AE9,db_fifarank,2,FALSE)</f>
        <v>1429.73</v>
      </c>
      <c r="AR9" s="125">
        <f>AP9/AP12</f>
        <v>0.55339911352168258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5</v>
      </c>
      <c r="AL10" s="123">
        <f>AI10-AJ10</f>
        <v>-3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0.28650861571428571</v>
      </c>
      <c r="AQ10" s="126">
        <f>VLOOKUP(AE10,db_fifarank,2,FALSE)</f>
        <v>1588.66</v>
      </c>
      <c r="AR10" s="125">
        <f>AP10/AP12</f>
        <v>3.1834286882725237E-9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49805927.623150133</v>
      </c>
      <c r="AQ11" s="126">
        <f>VLOOKUP(AE11,db_fifarank,2,FALSE)</f>
        <v>1501.38</v>
      </c>
      <c r="AR11" s="125">
        <f>AP11/AP12</f>
        <v>0.55339913058557066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90000010.607983366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1</v>
      </c>
      <c r="AN14" s="123">
        <f>AF14*3+AG14</f>
        <v>4</v>
      </c>
      <c r="AO14" s="123">
        <f>AN14/AN18*10+BA14</f>
        <v>6.6948682385575582</v>
      </c>
      <c r="AP14" s="123">
        <f>AO14*10000000+BI14*100+AM14/AM18*10+AI14/AI18*1++IF(AQ14=0,ROW(),AQ14)/2000000</f>
        <v>66948782.873177677</v>
      </c>
      <c r="AQ14" s="126">
        <f>VLOOKUP(AE14,db_fifarank,2,FALSE)</f>
        <v>1556.48</v>
      </c>
      <c r="AR14" s="125">
        <f>AP14/AP18</f>
        <v>0.78106904369115204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0</v>
      </c>
      <c r="N15" s="31">
        <f>VLOOKUP(1,AD14:AN17,5,FALSE)</f>
        <v>1</v>
      </c>
      <c r="O15" s="31" t="str">
        <f>VLOOKUP(1,AD14:AN17,6,FALSE) &amp; " - " &amp; VLOOKUP(1,AD14:AN17,7,FALSE)</f>
        <v>6 - 4</v>
      </c>
      <c r="P15" s="32">
        <f>L15*3+M15</f>
        <v>6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4</v>
      </c>
      <c r="AL15" s="123">
        <f>AI15-AJ15</f>
        <v>2</v>
      </c>
      <c r="AM15" s="123">
        <f>AL15-AL18</f>
        <v>4</v>
      </c>
      <c r="AN15" s="123">
        <f>AF15*3+AG15</f>
        <v>6</v>
      </c>
      <c r="AO15" s="123">
        <f>AN15/AN18*10+BA15</f>
        <v>8.5714285714285712</v>
      </c>
      <c r="AP15" s="123">
        <f>AO15*10000000+BI15*100+AM15/AM18*10+AI15/AI18*1++IF(AQ15=0,ROW(),AQ15)/2000000</f>
        <v>85714294.572121486</v>
      </c>
      <c r="AQ15" s="126">
        <f>VLOOKUP(AE15,db_fifarank,2,FALSE)</f>
        <v>1385.84</v>
      </c>
      <c r="AR15" s="125">
        <f>AP15/AP18</f>
        <v>0.9999999883333347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Australia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0</v>
      </c>
      <c r="AN16" s="123">
        <f>AF16*3+AG16</f>
        <v>3</v>
      </c>
      <c r="AO16" s="123">
        <f>AN16/AN18*10+BA16</f>
        <v>4.2857142857142856</v>
      </c>
      <c r="AP16" s="123">
        <f>AO16*10000000+BI16*100+AM16/AM18*10+AI16/AI18*1++IF(AQ16=0,ROW(),AQ16)/2000000</f>
        <v>42857143.143584624</v>
      </c>
      <c r="AQ16" s="126">
        <f>VLOOKUP(AE16,db_fifarank,2,FALSE)</f>
        <v>1454.96</v>
      </c>
      <c r="AR16" s="125">
        <f>AP16/AP18</f>
        <v>0.49999994583778484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3</v>
      </c>
      <c r="AN17" s="123">
        <f>AF17*3+AG17</f>
        <v>4</v>
      </c>
      <c r="AO17" s="123">
        <f>AN17/AN18*10+BA17</f>
        <v>6.6948682385575582</v>
      </c>
      <c r="AP17" s="123">
        <f>AO17*10000000+BI17*100+AM17/AM18*10+AI17/AI18*1++IF(AQ17=0,ROW(),AQ17)/2000000</f>
        <v>66948787.016081281</v>
      </c>
      <c r="AQ17" s="126">
        <f>VLOOKUP(AE17,db_fifarank,2,FALSE)</f>
        <v>1649.4</v>
      </c>
      <c r="AR17" s="125">
        <f>AP17/AP18</f>
        <v>0.78106909202502184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1</v>
      </c>
      <c r="M18" s="36">
        <f>VLOOKUP(4,AD14:AN17,4,FALSE)</f>
        <v>0</v>
      </c>
      <c r="N18" s="36">
        <f>VLOOKUP(4,AD14:AN17,5,FALSE)</f>
        <v>2</v>
      </c>
      <c r="O18" s="36" t="str">
        <f>VLOOKUP(4,AD14:AN17,6,FALSE) &amp; " - " &amp; VLOOKUP(4,AD14:AN17,7,FALSE)</f>
        <v>2 - 4</v>
      </c>
      <c r="P18" s="37">
        <f>L18*3+M18</f>
        <v>3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2</v>
      </c>
      <c r="AH18" s="123">
        <f t="shared" si="13"/>
        <v>2</v>
      </c>
      <c r="AI18" s="123">
        <f>MAX(AI14:AI17)+1</f>
        <v>7</v>
      </c>
      <c r="AL18" s="123">
        <f>MIN(AL14:AL17)</f>
        <v>-2</v>
      </c>
      <c r="AM18" s="123">
        <f>MAX(AM14:AM17)+1</f>
        <v>5</v>
      </c>
      <c r="AN18" s="123">
        <f>MAX(AN14:AN17)+1</f>
        <v>7</v>
      </c>
      <c r="AO18" s="123">
        <f>MAX(AO14:AO17)+1</f>
        <v>9.5714285714285712</v>
      </c>
      <c r="AP18" s="123">
        <f>MAX(AP14:AP17)+1</f>
        <v>85714295.572121486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90000010.120538712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60000007.479510404</v>
      </c>
      <c r="AQ21" s="126">
        <f>VLOOKUP(AE21,db_fifarank,2,FALSE)</f>
        <v>1755.87</v>
      </c>
      <c r="AR21" s="125">
        <f>AP21/AP24</f>
        <v>0.66666666739797686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7.1761657799685626E-12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3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30000002.530663706</v>
      </c>
      <c r="AQ23" s="126">
        <f>VLOOKUP(AE23,db_fifarank,2,FALSE)</f>
        <v>1498.35</v>
      </c>
      <c r="AR23" s="125">
        <f>AP23/AP24</f>
        <v>0.33333332026464019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90000011.120538712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87500008.800836563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2</v>
      </c>
      <c r="AL27" s="123">
        <f>AI27-AJ27</f>
        <v>2</v>
      </c>
      <c r="AM27" s="123">
        <f>AL27-AL30</f>
        <v>4</v>
      </c>
      <c r="AN27" s="123">
        <f>AF27*3+AG27</f>
        <v>6</v>
      </c>
      <c r="AO27" s="123">
        <f>AN27/AN30*10+BA27</f>
        <v>7.5</v>
      </c>
      <c r="AP27" s="123">
        <f>AO27*10000000+BI27*100+AM27/AM30*10+AI27/AI30*1++IF(AQ27=0,ROW(),AQ27)/2000000</f>
        <v>75000008.800751746</v>
      </c>
      <c r="AQ27" s="126">
        <f>VLOOKUP(AE27,db_fifarank,2,FALSE)</f>
        <v>1503.5</v>
      </c>
      <c r="AR27" s="125">
        <f>AP27/AP30</f>
        <v>0.85714286171468168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25000000.600790337</v>
      </c>
      <c r="AQ28" s="126">
        <f>VLOOKUP(AE28,db_fifarank,2,FALSE)</f>
        <v>1580.67</v>
      </c>
      <c r="AR28" s="125">
        <f>AP28/AP30</f>
        <v>0.28571426057773219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3 - 5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1</v>
      </c>
      <c r="AH29" s="123">
        <f>COUNTIF($S$7:$T$78,"=" &amp; AE29 &amp; "_lose")</f>
        <v>2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4</v>
      </c>
      <c r="AL29" s="123">
        <f>AI29-AJ29</f>
        <v>-2</v>
      </c>
      <c r="AM29" s="123">
        <f>AL29-AL30</f>
        <v>0</v>
      </c>
      <c r="AN29" s="123">
        <f>AF29*3+AG29</f>
        <v>1</v>
      </c>
      <c r="AO29" s="123">
        <f>AN29/AN30*10+BA29</f>
        <v>1.25</v>
      </c>
      <c r="AP29" s="123">
        <f>AO29*10000000+BI29*100+AM29/AM30*10+AI29/AI30*1++IF(AQ29=0,ROW(),AQ29)/2000000</f>
        <v>12500000.40079952</v>
      </c>
      <c r="AQ29" s="126">
        <f>VLOOKUP(AE29,db_fifarank,2,FALSE)</f>
        <v>1599.04</v>
      </c>
      <c r="AR29" s="125">
        <f>AP29/AP30</f>
        <v>0.14285713143634426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87500009.800836563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Switzerland_lose</v>
      </c>
      <c r="T32" s="127" t="str">
        <f t="shared" si="2"/>
        <v>Bosnia and Herzegovina_win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-1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90000009.875865191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7.1924991308372122E-12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2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30000002.25076649</v>
      </c>
      <c r="AQ34" s="126">
        <f>VLOOKUP(AE34,db_fifarank,2,FALSE)</f>
        <v>1532.98</v>
      </c>
      <c r="AR34" s="125">
        <f>AP34/AP36</f>
        <v>0.33333331806086952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5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60000005.625797391</v>
      </c>
      <c r="AQ35" s="126">
        <f>VLOOKUP(AE35,db_fifarank,2,FALSE)</f>
        <v>1594.78</v>
      </c>
      <c r="AR35" s="125">
        <f>AP35/AP36</f>
        <v>0.66666664861356439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-4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90000010.875865191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0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90000010.056434497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7</v>
      </c>
      <c r="AL39" s="123">
        <f>AI39-AJ39</f>
        <v>-5</v>
      </c>
      <c r="AM39" s="123">
        <f>AL39-AL42</f>
        <v>0</v>
      </c>
      <c r="AN39" s="123">
        <f>AF39*3+AG39</f>
        <v>1</v>
      </c>
      <c r="AO39" s="123">
        <f>AN39/AN42*10+BA39</f>
        <v>1.9805825242718447</v>
      </c>
      <c r="AP39" s="123">
        <f>AO39*10000000+BI39*100+AM39/AM42*10+AI39/AI42*1++IF(AQ39=0,ROW(),AQ39)/2000000</f>
        <v>19805923.524023313</v>
      </c>
      <c r="AQ39" s="126">
        <f>VLOOKUP(AE39,db_fifarank,2,FALSE)</f>
        <v>1660.43</v>
      </c>
      <c r="AR39" s="125">
        <f>AP39/AP42</f>
        <v>0.22006578989867023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4</v>
      </c>
      <c r="AL40" s="123">
        <f>AI40-AJ40</f>
        <v>2</v>
      </c>
      <c r="AM40" s="123">
        <f>AL40-AL42</f>
        <v>7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60000006.500757381</v>
      </c>
      <c r="AQ40" s="126">
        <f>VLOOKUP(AE40,db_fifarank,2,FALSE)</f>
        <v>1514.77</v>
      </c>
      <c r="AR40" s="125">
        <f>AP40/AP42</f>
        <v>0.6666666569977906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2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19805925.190601293</v>
      </c>
      <c r="AQ41" s="126">
        <f>VLOOKUP(AE41,db_fifarank,2,FALSE)</f>
        <v>1483.05</v>
      </c>
      <c r="AR41" s="125">
        <f>AP41/AP42</f>
        <v>0.22006580841620108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2 - 7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9</v>
      </c>
      <c r="AL42" s="123">
        <f>MIN(AL38:AL41)</f>
        <v>-5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90000011.056434497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90000009.625867352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0</v>
      </c>
      <c r="AN45" s="123">
        <f>AF45*3+AG45</f>
        <v>2</v>
      </c>
      <c r="AO45" s="123">
        <f>AN45/AN48*10+BA45</f>
        <v>2.9853658536585366</v>
      </c>
      <c r="AP45" s="123">
        <f>AO45*10000000+BI45*100+AM45/AM48*10+AI45/AI48*1++IF(AQ45=0,ROW(),AQ45)/2000000</f>
        <v>29853658.787366986</v>
      </c>
      <c r="AQ45" s="126">
        <f>VLOOKUP(AE45,db_fifarank,2,FALSE)</f>
        <v>1563.24</v>
      </c>
      <c r="AR45" s="125">
        <f>AP45/AP48</f>
        <v>0.33170728069654914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67.333333333333329</v>
      </c>
      <c r="BA45" s="126">
        <f>AZ45/AZ48</f>
        <v>0.98536585365853657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2 - 4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1</v>
      </c>
      <c r="W46" s="123">
        <f t="shared" si="4"/>
        <v>1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1</v>
      </c>
      <c r="AN46" s="123">
        <f>AF46*3+AG46</f>
        <v>2</v>
      </c>
      <c r="AO46" s="123">
        <f>AN46/AN48*10+BA46</f>
        <v>2.9804878048780488</v>
      </c>
      <c r="AP46" s="123">
        <f>AO46*10000000+BI46*100+AM46/AM48*10+AI46/AI48*1++IF(AQ46=0,ROW(),AQ46)/2000000</f>
        <v>29804977.588803824</v>
      </c>
      <c r="AQ46" s="126">
        <f>VLOOKUP(AE46,db_fifarank,2,FALSE)</f>
        <v>1615.3</v>
      </c>
      <c r="AR46" s="125">
        <f>AP46/AP48</f>
        <v>0.33116637855415348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66.999999999999986</v>
      </c>
      <c r="BA46" s="126">
        <f>AZ46/AZ48</f>
        <v>0.98048780487804865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0</v>
      </c>
      <c r="AN47" s="123">
        <f>AF47*3+AG47</f>
        <v>2</v>
      </c>
      <c r="AO47" s="123">
        <f>AN47/AN48*10+BA47</f>
        <v>2.9804878048780488</v>
      </c>
      <c r="AP47" s="123">
        <f>AO47*10000000+BI47*100+AM47/AM48*10+AI47/AI48*1++IF(AQ47=0,ROW(),AQ47)/2000000</f>
        <v>29804976.338636957</v>
      </c>
      <c r="AQ47" s="126">
        <f>VLOOKUP(AE47,db_fifarank,2,FALSE)</f>
        <v>1281.57</v>
      </c>
      <c r="AR47" s="125">
        <f>AP47/AP48</f>
        <v>0.33116636466341215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66.999999999999986</v>
      </c>
      <c r="BA47" s="126">
        <f>AZ47/AZ48</f>
        <v>0.98048780487804865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2 - 4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8</v>
      </c>
      <c r="AL48" s="123">
        <f>MIN(AL44:AL47)</f>
        <v>-2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90000010.625867352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68.333333333333329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3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90000010.140798345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19804019.699435294</v>
      </c>
      <c r="AQ51" s="126">
        <f>VLOOKUP(AE51,db_fifarank,2,FALSE)</f>
        <v>1366.13</v>
      </c>
      <c r="AR51" s="125">
        <f>AP51/AP54</f>
        <v>0.22004463608847086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1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19804020.468693711</v>
      </c>
      <c r="AQ52" s="126">
        <f>VLOOKUP(AE52,db_fifarank,2,FALSE)</f>
        <v>1421.43</v>
      </c>
      <c r="AR52" s="125">
        <f>AP52/AP54</f>
        <v>0.22004464463578555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60000005.930906467</v>
      </c>
      <c r="AQ53" s="126">
        <f>VLOOKUP(AE53,db_fifarank,2,FALSE)</f>
        <v>1673.07</v>
      </c>
      <c r="AR53" s="125">
        <f>AP53/AP54</f>
        <v>0.6666666500411973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90000011.140798345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Austria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4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49806553.199631371</v>
      </c>
      <c r="AQ57" s="126">
        <f>VLOOKUP(AE57,db_fifarank,2,FALSE)</f>
        <v>1688.99</v>
      </c>
      <c r="AR57" s="125">
        <f>AP57/AP60</f>
        <v>0.55340607828250576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1.2426074143619456E-9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4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49806553.199562348</v>
      </c>
      <c r="AQ59" s="126">
        <f>VLOOKUP(AE59,db_fifarank,2,FALSE)</f>
        <v>1550.94</v>
      </c>
      <c r="AR59" s="125">
        <f>AP59/AP60</f>
        <v>0.55340607828173882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-5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90000009.875937417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3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0</v>
      </c>
      <c r="AN63" s="123">
        <f>AF63*3+AG63</f>
        <v>2</v>
      </c>
      <c r="AO63" s="123">
        <f>AN63/AN66*10+BA63</f>
        <v>2.9853658536585366</v>
      </c>
      <c r="AP63" s="123">
        <f>AO63*10000000+BI63*100+AM63/AM66*10+AI63/AI66*1++IF(AQ63=0,ROW(),AQ63)/2000000</f>
        <v>29853658.787367493</v>
      </c>
      <c r="AQ63" s="126">
        <f>VLOOKUP(AE63,db_fifarank,2,FALSE)</f>
        <v>1564.26</v>
      </c>
      <c r="AR63" s="125">
        <f>AP63/AP66</f>
        <v>0.33170727977488751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67.333333333333329</v>
      </c>
      <c r="BA63" s="126">
        <f>AZ63/AZ66</f>
        <v>0.98536585365853657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2 - 5</v>
      </c>
      <c r="P64" s="34">
        <f>L64*3+M64</f>
        <v>2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2</v>
      </c>
      <c r="AN64" s="123">
        <f>AF64*3+AG64</f>
        <v>2</v>
      </c>
      <c r="AO64" s="123">
        <f>AN64/AN66*10+BA64</f>
        <v>2.9804878048780488</v>
      </c>
      <c r="AP64" s="123">
        <f>AO64*10000000+BI64*100+AM64/AM66*10+AI64/AI66*1++IF(AQ64=0,ROW(),AQ64)/2000000</f>
        <v>29804978.338792898</v>
      </c>
      <c r="AQ64" s="126">
        <f>VLOOKUP(AE64,db_fifarank,2,FALSE)</f>
        <v>1593.45</v>
      </c>
      <c r="AR64" s="125">
        <f>AP64/AP66</f>
        <v>0.33116638596720011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66.999999999999986</v>
      </c>
      <c r="BA64" s="126">
        <f>AZ64/AZ66</f>
        <v>0.98048780487804865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3</v>
      </c>
      <c r="AL65" s="123">
        <f>AI65-AJ65</f>
        <v>-2</v>
      </c>
      <c r="AM65" s="123">
        <f>AL65-AL66</f>
        <v>1</v>
      </c>
      <c r="AN65" s="123">
        <f>AF65*3+AG65</f>
        <v>2</v>
      </c>
      <c r="AO65" s="123">
        <f>AN65/AN66*10+BA65</f>
        <v>2.9804878048780488</v>
      </c>
      <c r="AP65" s="123">
        <f>AO65*10000000+BI65*100+AM65/AM66*10+AI65/AI66*1++IF(AQ65=0,ROW(),AQ65)/2000000</f>
        <v>29804977.213691898</v>
      </c>
      <c r="AQ65" s="126">
        <f>VLOOKUP(AE65,db_fifarank,2,FALSE)</f>
        <v>1391.45</v>
      </c>
      <c r="AR65" s="125">
        <f>AP65/AP66</f>
        <v>0.33116637346607941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66.999999999999986</v>
      </c>
      <c r="BA65" s="126">
        <f>AZ65/AZ66</f>
        <v>0.98048780487804865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1 - 3</v>
      </c>
      <c r="P66" s="37">
        <f>L66*3+M66</f>
        <v>2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8</v>
      </c>
      <c r="AL66" s="123">
        <f>MIN(AL62:AL65)</f>
        <v>-3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90000010.875937417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68.333333333333329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97401748.107569396</v>
      </c>
      <c r="AQ68" s="126">
        <f>VLOOKUP(AE68,db_fifarank,2,FALSE)</f>
        <v>1763.83</v>
      </c>
      <c r="AR68" s="125">
        <f>AP68/AP72</f>
        <v>0.99999998973324389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1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22336165.189133659</v>
      </c>
      <c r="AQ69" s="126">
        <f>VLOOKUP(AE69,db_fifarank,2,FALSE)</f>
        <v>1478.35</v>
      </c>
      <c r="AR69" s="125">
        <f>AP69/AP72</f>
        <v>0.22931995979318451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22336163.935158901</v>
      </c>
      <c r="AQ70" s="126">
        <f>VLOOKUP(AE70,db_fifarank,2,FALSE)</f>
        <v>1465.34</v>
      </c>
      <c r="AR70" s="125">
        <f>AP70/AP72</f>
        <v>0.22931994691893154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7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97401746.996422917</v>
      </c>
      <c r="AQ71" s="126">
        <f>VLOOKUP(AE71,db_fifarank,2,FALSE)</f>
        <v>1693.09</v>
      </c>
      <c r="AR71" s="125">
        <f>AP71/AP72</f>
        <v>0.99999997832537402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Norway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97401749.107569396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6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97402069.20959644</v>
      </c>
      <c r="AQ74" s="126">
        <f>VLOOKUP(AE74,db_fifarank,2,FALSE)</f>
        <v>1825.97</v>
      </c>
      <c r="AR74" s="125">
        <f>AP74/AP78</f>
        <v>0.99999998973327775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6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97402069.042875335</v>
      </c>
      <c r="AQ75" s="126">
        <f>VLOOKUP(AE75,db_fifarank,2,FALSE)</f>
        <v>1717.07</v>
      </c>
      <c r="AR75" s="125">
        <f>AP75/AP78</f>
        <v>0.99999998802159851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4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2.2401960784313726</v>
      </c>
      <c r="AP76" s="123">
        <f>AO76*10000000+BI76*100+AM76/AM78*10+AI76/AI78*1++IF(AQ76=0,ROW(),AQ76)/2000000</f>
        <v>22402059.971261393</v>
      </c>
      <c r="AQ76" s="126">
        <f>VLOOKUP(AE76,db_fifarank,2,FALSE)</f>
        <v>1346.31</v>
      </c>
      <c r="AR76" s="125">
        <f>AP76/AP78</f>
        <v>0.22999572722689679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101</v>
      </c>
      <c r="BA76" s="126">
        <f>AZ76/AZ78</f>
        <v>0.99019607843137258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101</v>
      </c>
      <c r="BI76" s="126">
        <f>BH76/BH78</f>
        <v>0.99019607843137258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2.2401960784313726</v>
      </c>
      <c r="AP77" s="123">
        <f>AO77*10000000+BI77*100+AM77/AM78*10+AI77/AI78*1++IF(AQ77=0,ROW(),AQ77)/2000000</f>
        <v>22402060.13802522</v>
      </c>
      <c r="AQ77" s="126">
        <f>VLOOKUP(AE77,db_fifarank,2,FALSE)</f>
        <v>1540.64</v>
      </c>
      <c r="AR77" s="125">
        <f>AP77/AP78</f>
        <v>0.22999572893901468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101</v>
      </c>
      <c r="BA77" s="126">
        <f>AZ77/AZ78</f>
        <v>0.99019607843137258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101</v>
      </c>
      <c r="BI77" s="126">
        <f>BH77/BH78</f>
        <v>0.99019607843137258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6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97402070.20959644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102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8790.0007148650002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4 - 5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8810.0007782400007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6290.0007491750002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South Africa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8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4560.0007903349997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6540.0007664900004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1</v>
      </c>
      <c r="AP85" s="123">
        <f>AN85/AN92*10000+AM85/AM92*1000+AI85/AI92*100+IF(AQ85=0,ROW(),AQ85)/2000000</f>
        <v>2290.0007415250002</v>
      </c>
      <c r="AQ85" s="126">
        <f t="shared" si="37"/>
        <v>1483.05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6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4790.0008076499998</v>
      </c>
      <c r="AQ86" s="126">
        <f t="shared" si="37"/>
        <v>1615.3</v>
      </c>
      <c r="AR86" s="125" t="str">
        <f t="shared" si="50"/>
        <v>ABCDEG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Austria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ABCDEG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Australia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8830.00077547</v>
      </c>
      <c r="AQ88" s="126">
        <f t="shared" si="37"/>
        <v>1550.94</v>
      </c>
      <c r="AR88" s="125" t="str">
        <f t="shared" si="50"/>
        <v>ABCDEGI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7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4790.0007967250003</v>
      </c>
      <c r="AQ89" s="126">
        <f t="shared" si="37"/>
        <v>1593.45</v>
      </c>
      <c r="AR89" s="125" t="str">
        <f t="shared" si="50"/>
        <v>ABCDEGIJ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Tunisia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2270.000739175</v>
      </c>
      <c r="AQ90" s="126">
        <f t="shared" si="37"/>
        <v>1478.35</v>
      </c>
      <c r="AR90" s="125" t="str">
        <f t="shared" si="50"/>
        <v>ABCDEGIJ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2290.0007703199999</v>
      </c>
      <c r="AQ91" s="126">
        <f t="shared" si="37"/>
        <v>1540.64</v>
      </c>
      <c r="AR91" s="125" t="str">
        <f t="shared" si="50"/>
        <v>ABCDEGIJ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476</v>
      </c>
      <c r="C3" s="121" t="str">
        <f>'2026 World Cup'!AR91</f>
        <v>ABCDEGIJ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