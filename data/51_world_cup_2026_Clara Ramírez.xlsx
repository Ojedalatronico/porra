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arting\Downloads\"/>
    </mc:Choice>
  </mc:AlternateContent>
  <xr:revisionPtr revIDLastSave="0" documentId="13_ncr:1_{9A11E584-36EC-49A5-907E-81BC48246605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5" i="3"/>
  <c r="S47" i="3"/>
  <c r="S67" i="3"/>
  <c r="S72" i="3"/>
  <c r="S70" i="3"/>
  <c r="S42" i="3"/>
  <c r="S64" i="3"/>
  <c r="S40" i="3"/>
  <c r="S62" i="3"/>
  <c r="T61" i="3"/>
  <c r="S38" i="3"/>
  <c r="S65" i="3"/>
  <c r="S55" i="3"/>
  <c r="S57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33" i="3"/>
  <c r="AR34" i="3"/>
  <c r="AR35" i="3"/>
  <c r="AR28" i="3"/>
  <c r="AR21" i="3"/>
  <c r="AR10" i="3"/>
  <c r="AR9" i="3"/>
  <c r="AR1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D15" i="3" s="1"/>
  <c r="AR45" i="3"/>
  <c r="AR63" i="3"/>
  <c r="AR47" i="3"/>
  <c r="AR64" i="3"/>
  <c r="AR39" i="3"/>
  <c r="AD56" i="3"/>
  <c r="AR16" i="3"/>
  <c r="AR17" i="3"/>
  <c r="AD59" i="3"/>
  <c r="AD21" i="3" l="1"/>
  <c r="AD9" i="3"/>
  <c r="AD20" i="3"/>
  <c r="AD33" i="3"/>
  <c r="AD34" i="3"/>
  <c r="AD32" i="3"/>
  <c r="O33" i="3" s="1"/>
  <c r="AD35" i="3"/>
  <c r="M58" i="3"/>
  <c r="AD11" i="3"/>
  <c r="AD47" i="3"/>
  <c r="AD41" i="3"/>
  <c r="AD62" i="3"/>
  <c r="AD70" i="3"/>
  <c r="AD75" i="3"/>
  <c r="AD22" i="3"/>
  <c r="AD76" i="3"/>
  <c r="AD8" i="3"/>
  <c r="N58" i="3"/>
  <c r="AD28" i="3"/>
  <c r="M59" i="3"/>
  <c r="AD10" i="3"/>
  <c r="AD14" i="3"/>
  <c r="M16" i="3" s="1"/>
  <c r="AD44" i="3"/>
  <c r="AD26" i="3"/>
  <c r="AD29" i="3"/>
  <c r="O60" i="3"/>
  <c r="AD63" i="3"/>
  <c r="AD27" i="3"/>
  <c r="AD71" i="3"/>
  <c r="L58" i="3"/>
  <c r="L59" i="3"/>
  <c r="AD77" i="3"/>
  <c r="AD53" i="3"/>
  <c r="AD74" i="3"/>
  <c r="AD68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L69" i="3" l="1"/>
  <c r="N63" i="3"/>
  <c r="N24" i="3"/>
  <c r="M22" i="3"/>
  <c r="J22" i="3"/>
  <c r="AS21" i="3" s="1"/>
  <c r="BL23" i="3" s="1"/>
  <c r="L23" i="3"/>
  <c r="N22" i="3"/>
  <c r="L22" i="3"/>
  <c r="J33" i="3"/>
  <c r="AS32" i="3" s="1"/>
  <c r="BL10" i="3" s="1"/>
  <c r="M33" i="3"/>
  <c r="N33" i="3"/>
  <c r="L12" i="3"/>
  <c r="L33" i="3"/>
  <c r="O22" i="3"/>
  <c r="M35" i="3"/>
  <c r="N35" i="3"/>
  <c r="J35" i="3"/>
  <c r="AE84" i="3" s="1"/>
  <c r="AQ84" i="3" s="1"/>
  <c r="M34" i="3"/>
  <c r="J34" i="3"/>
  <c r="AS33" i="3" s="1"/>
  <c r="BL46" i="3" s="1"/>
  <c r="BS45" i="3" s="1"/>
  <c r="J36" i="3"/>
  <c r="O34" i="3"/>
  <c r="N34" i="3"/>
  <c r="M36" i="3"/>
  <c r="L35" i="3"/>
  <c r="O36" i="3"/>
  <c r="L34" i="3"/>
  <c r="O35" i="3"/>
  <c r="L36" i="3"/>
  <c r="N36" i="3"/>
  <c r="M45" i="3"/>
  <c r="J63" i="3"/>
  <c r="AS62" i="3" s="1"/>
  <c r="BL58" i="3" s="1"/>
  <c r="BS60" i="3" s="1"/>
  <c r="BZ64" i="3" s="1"/>
  <c r="O63" i="3"/>
  <c r="L63" i="3"/>
  <c r="J51" i="3"/>
  <c r="AS50" i="3" s="1"/>
  <c r="BL30" i="3" s="1"/>
  <c r="M63" i="3"/>
  <c r="N40" i="3"/>
  <c r="N9" i="3"/>
  <c r="J12" i="3"/>
  <c r="O76" i="3"/>
  <c r="M21" i="3"/>
  <c r="O21" i="3"/>
  <c r="J21" i="3"/>
  <c r="AS20" i="3" s="1"/>
  <c r="BL42" i="3" s="1"/>
  <c r="BS44" i="3" s="1"/>
  <c r="N21" i="3"/>
  <c r="L21" i="3"/>
  <c r="O24" i="3"/>
  <c r="L24" i="3"/>
  <c r="M24" i="3"/>
  <c r="L51" i="3"/>
  <c r="M51" i="3"/>
  <c r="L40" i="3"/>
  <c r="O12" i="3"/>
  <c r="M10" i="3"/>
  <c r="O45" i="3"/>
  <c r="L45" i="3"/>
  <c r="J45" i="3"/>
  <c r="AS44" i="3" s="1"/>
  <c r="BL38" i="3" s="1"/>
  <c r="O47" i="3"/>
  <c r="N45" i="3"/>
  <c r="M28" i="3"/>
  <c r="J29" i="3"/>
  <c r="AE83" i="3" s="1"/>
  <c r="AQ83" i="3" s="1"/>
  <c r="N12" i="3"/>
  <c r="N30" i="3"/>
  <c r="O30" i="3"/>
  <c r="N27" i="3"/>
  <c r="J27" i="3"/>
  <c r="AS26" i="3" s="1"/>
  <c r="BL34" i="3" s="1"/>
  <c r="L9" i="3"/>
  <c r="N78" i="3"/>
  <c r="J9" i="3"/>
  <c r="AS8" i="3" s="1"/>
  <c r="BL50" i="3" s="1"/>
  <c r="J78" i="3"/>
  <c r="M12" i="3"/>
  <c r="L64" i="3"/>
  <c r="L30" i="3"/>
  <c r="M78" i="3"/>
  <c r="O69" i="3"/>
  <c r="M9" i="3"/>
  <c r="N28" i="3"/>
  <c r="O75" i="3"/>
  <c r="O27" i="3"/>
  <c r="J65" i="3"/>
  <c r="AE89" i="3" s="1"/>
  <c r="AQ89" i="3" s="1"/>
  <c r="J30" i="3"/>
  <c r="O18" i="3"/>
  <c r="N53" i="3"/>
  <c r="J11" i="3"/>
  <c r="AE80" i="3" s="1"/>
  <c r="AQ80" i="3" s="1"/>
  <c r="K58" i="3"/>
  <c r="L54" i="3"/>
  <c r="M72" i="3"/>
  <c r="N51" i="3"/>
  <c r="L16" i="3"/>
  <c r="P16" i="3" s="1"/>
  <c r="O11" i="3"/>
  <c r="J10" i="3"/>
  <c r="AS9" i="3" s="1"/>
  <c r="BL18" i="3" s="1"/>
  <c r="N17" i="3"/>
  <c r="M75" i="3"/>
  <c r="J24" i="3"/>
  <c r="N11" i="3"/>
  <c r="J28" i="3"/>
  <c r="AS27" i="3" s="1"/>
  <c r="BL62" i="3" s="1"/>
  <c r="N76" i="3"/>
  <c r="M11" i="3"/>
  <c r="N54" i="3"/>
  <c r="J75" i="3"/>
  <c r="AS74" i="3" s="1"/>
  <c r="BL54" i="3" s="1"/>
  <c r="L18" i="3"/>
  <c r="O10" i="3"/>
  <c r="O9" i="3"/>
  <c r="M29" i="3"/>
  <c r="N75" i="3"/>
  <c r="N18" i="3"/>
  <c r="L10" i="3"/>
  <c r="M54" i="3"/>
  <c r="J18" i="3"/>
  <c r="N10" i="3"/>
  <c r="O78" i="3"/>
  <c r="O16" i="3"/>
  <c r="L78" i="3"/>
  <c r="J64" i="3"/>
  <c r="AS63" i="3" s="1"/>
  <c r="BL31" i="3" s="1"/>
  <c r="N16" i="3"/>
  <c r="L11" i="3"/>
  <c r="M18" i="3"/>
  <c r="P59" i="3"/>
  <c r="L48" i="3"/>
  <c r="J16" i="3"/>
  <c r="AS15" i="3" s="1"/>
  <c r="BL19" i="3" s="1"/>
  <c r="L76" i="3"/>
  <c r="L17" i="3"/>
  <c r="L70" i="3"/>
  <c r="M76" i="3"/>
  <c r="N46" i="3"/>
  <c r="O28" i="3"/>
  <c r="M65" i="3"/>
  <c r="L66" i="3"/>
  <c r="L46" i="3"/>
  <c r="O65" i="3"/>
  <c r="N65" i="3"/>
  <c r="J46" i="3"/>
  <c r="AS45" i="3" s="1"/>
  <c r="BL63" i="3" s="1"/>
  <c r="O64" i="3"/>
  <c r="O29" i="3"/>
  <c r="AF88" i="3"/>
  <c r="M66" i="3"/>
  <c r="L47" i="3"/>
  <c r="AN88" i="3"/>
  <c r="N64" i="3"/>
  <c r="L29" i="3"/>
  <c r="M70" i="3"/>
  <c r="J52" i="3"/>
  <c r="AS51" i="3" s="1"/>
  <c r="BL59" i="3" s="1"/>
  <c r="L65" i="3"/>
  <c r="L27" i="3"/>
  <c r="N29" i="3"/>
  <c r="P57" i="3"/>
  <c r="L28" i="3"/>
  <c r="M64" i="3"/>
  <c r="J70" i="3"/>
  <c r="AS69" i="3" s="1"/>
  <c r="BL26" i="3" s="1"/>
  <c r="M27" i="3"/>
  <c r="O54" i="3"/>
  <c r="M46" i="3"/>
  <c r="J42" i="3"/>
  <c r="L77" i="3"/>
  <c r="J71" i="3"/>
  <c r="AE90" i="3" s="1"/>
  <c r="AQ90" i="3" s="1"/>
  <c r="O39" i="3"/>
  <c r="J72" i="3"/>
  <c r="N69" i="3"/>
  <c r="O48" i="3"/>
  <c r="M39" i="3"/>
  <c r="K59" i="3"/>
  <c r="O72" i="3"/>
  <c r="M69" i="3"/>
  <c r="O46" i="3"/>
  <c r="O42" i="3"/>
  <c r="M17" i="3"/>
  <c r="M40" i="3"/>
  <c r="O71" i="3"/>
  <c r="N72" i="3"/>
  <c r="L72" i="3"/>
  <c r="J66" i="3"/>
  <c r="M48" i="3"/>
  <c r="O40" i="3"/>
  <c r="P58" i="3"/>
  <c r="M41" i="3"/>
  <c r="N77" i="3"/>
  <c r="L39" i="3"/>
  <c r="M77" i="3"/>
  <c r="N71" i="3"/>
  <c r="N47" i="3"/>
  <c r="J77" i="3"/>
  <c r="AE91" i="3" s="1"/>
  <c r="AQ91" i="3" s="1"/>
  <c r="M71" i="3"/>
  <c r="O66" i="3"/>
  <c r="M47" i="3"/>
  <c r="N39" i="3"/>
  <c r="AT88" i="3"/>
  <c r="K57" i="3"/>
  <c r="O77" i="3"/>
  <c r="N66" i="3"/>
  <c r="J39" i="3"/>
  <c r="AS38" i="3" s="1"/>
  <c r="BL22" i="3" s="1"/>
  <c r="O70" i="3"/>
  <c r="J47" i="3"/>
  <c r="AE86" i="3" s="1"/>
  <c r="AQ86" i="3" s="1"/>
  <c r="J40" i="3"/>
  <c r="AS39" i="3" s="1"/>
  <c r="BL43" i="3" s="1"/>
  <c r="AJ88" i="3"/>
  <c r="J76" i="3"/>
  <c r="AS75" i="3" s="1"/>
  <c r="BL27" i="3" s="1"/>
  <c r="L75" i="3"/>
  <c r="N70" i="3"/>
  <c r="N52" i="3"/>
  <c r="N48" i="3"/>
  <c r="J48" i="3"/>
  <c r="J41" i="3"/>
  <c r="AE85" i="3" s="1"/>
  <c r="AQ85" i="3" s="1"/>
  <c r="M30" i="3"/>
  <c r="O23" i="3"/>
  <c r="AI88" i="3"/>
  <c r="L42" i="3"/>
  <c r="L71" i="3"/>
  <c r="O17" i="3"/>
  <c r="J69" i="3"/>
  <c r="AS68" i="3" s="1"/>
  <c r="BL70" i="3" s="1"/>
  <c r="O51" i="3"/>
  <c r="M42" i="3"/>
  <c r="L15" i="3"/>
  <c r="AG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S61" i="3" l="1"/>
  <c r="BZ48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69" i="3"/>
  <c r="P23" i="3"/>
  <c r="K22" i="3"/>
  <c r="P22" i="3"/>
  <c r="P33" i="3"/>
  <c r="P12" i="3"/>
  <c r="K33" i="3"/>
  <c r="P45" i="3"/>
  <c r="K35" i="3"/>
  <c r="P35" i="3"/>
  <c r="AN84" i="3"/>
  <c r="AL84" i="3"/>
  <c r="AH84" i="3"/>
  <c r="AT84" i="3"/>
  <c r="AJ84" i="3"/>
  <c r="P63" i="3"/>
  <c r="AI84" i="3"/>
  <c r="AG84" i="3"/>
  <c r="AF84" i="3"/>
  <c r="K36" i="3"/>
  <c r="K63" i="3"/>
  <c r="P34" i="3"/>
  <c r="K34" i="3"/>
  <c r="P36" i="3"/>
  <c r="K24" i="3"/>
  <c r="P21" i="3"/>
  <c r="K21" i="3"/>
  <c r="P51" i="3"/>
  <c r="P24" i="3"/>
  <c r="K40" i="3"/>
  <c r="AT83" i="3"/>
  <c r="P54" i="3"/>
  <c r="AF91" i="3"/>
  <c r="K51" i="3"/>
  <c r="K45" i="3"/>
  <c r="AL90" i="3"/>
  <c r="AN83" i="3"/>
  <c r="AJ83" i="3"/>
  <c r="AL83" i="3"/>
  <c r="AG83" i="3"/>
  <c r="K28" i="3"/>
  <c r="AI83" i="3"/>
  <c r="AH83" i="3"/>
  <c r="AT80" i="3"/>
  <c r="AJ90" i="3"/>
  <c r="K12" i="3"/>
  <c r="K9" i="3"/>
  <c r="P76" i="3"/>
  <c r="K10" i="3"/>
  <c r="P64" i="3"/>
  <c r="AF83" i="3"/>
  <c r="K48" i="3"/>
  <c r="P66" i="3"/>
  <c r="AN89" i="3"/>
  <c r="P9" i="3"/>
  <c r="AL89" i="3"/>
  <c r="P28" i="3"/>
  <c r="K76" i="3"/>
  <c r="P70" i="3"/>
  <c r="AJ89" i="3"/>
  <c r="P10" i="3"/>
  <c r="AF89" i="3"/>
  <c r="AI86" i="3"/>
  <c r="P41" i="3"/>
  <c r="P72" i="3"/>
  <c r="K54" i="3"/>
  <c r="K78" i="3"/>
  <c r="P78" i="3"/>
  <c r="P75" i="3"/>
  <c r="AN82" i="3"/>
  <c r="AJ82" i="3"/>
  <c r="AI89" i="3"/>
  <c r="AN85" i="3"/>
  <c r="AT85" i="3"/>
  <c r="AH89" i="3"/>
  <c r="P30" i="3"/>
  <c r="P39" i="3"/>
  <c r="AL85" i="3"/>
  <c r="K75" i="3"/>
  <c r="K27" i="3"/>
  <c r="K11" i="3"/>
  <c r="AT82" i="3"/>
  <c r="AJ85" i="3"/>
  <c r="AT89" i="3"/>
  <c r="P65" i="3"/>
  <c r="K16" i="3"/>
  <c r="P18" i="3"/>
  <c r="K39" i="3"/>
  <c r="P17" i="3"/>
  <c r="AG82" i="3"/>
  <c r="AJ80" i="3"/>
  <c r="AF82" i="3"/>
  <c r="AG89" i="3"/>
  <c r="AI82" i="3"/>
  <c r="AH82" i="3"/>
  <c r="AL80" i="3"/>
  <c r="AI80" i="3"/>
  <c r="K30" i="3"/>
  <c r="AG87" i="3"/>
  <c r="K70" i="3"/>
  <c r="AH80" i="3"/>
  <c r="AG80" i="3"/>
  <c r="AF87" i="3"/>
  <c r="P29" i="3"/>
  <c r="AN80" i="3"/>
  <c r="AF80" i="3"/>
  <c r="AT90" i="3"/>
  <c r="K72" i="3"/>
  <c r="P48" i="3"/>
  <c r="P46" i="3"/>
  <c r="K66" i="3"/>
  <c r="AN90" i="3"/>
  <c r="K47" i="3"/>
  <c r="K77" i="3"/>
  <c r="P27" i="3"/>
  <c r="K29" i="3"/>
  <c r="P15" i="3"/>
  <c r="P71" i="3"/>
  <c r="P11" i="3"/>
  <c r="AT87" i="3"/>
  <c r="AN87" i="3"/>
  <c r="P53" i="3"/>
  <c r="AI90" i="3"/>
  <c r="AL87" i="3"/>
  <c r="AH90" i="3"/>
  <c r="AJ87" i="3"/>
  <c r="AG90" i="3"/>
  <c r="K18" i="3"/>
  <c r="AH87" i="3"/>
  <c r="AF90" i="3"/>
  <c r="K65" i="3"/>
  <c r="AH86" i="3"/>
  <c r="K42" i="3"/>
  <c r="K46" i="3"/>
  <c r="AL81" i="3"/>
  <c r="AJ81" i="3"/>
  <c r="AI81" i="3"/>
  <c r="AI85" i="3"/>
  <c r="AH81" i="3"/>
  <c r="AG81" i="3"/>
  <c r="AG85" i="3"/>
  <c r="K64" i="3"/>
  <c r="AF85" i="3"/>
  <c r="P47" i="3"/>
  <c r="AN81" i="3"/>
  <c r="K41" i="3"/>
  <c r="P52" i="3"/>
  <c r="AT81" i="3"/>
  <c r="AG86" i="3"/>
  <c r="K71" i="3"/>
  <c r="K15" i="3"/>
  <c r="AF86" i="3"/>
  <c r="P42" i="3"/>
  <c r="P77" i="3"/>
  <c r="K53" i="3"/>
  <c r="AT91" i="3"/>
  <c r="K23" i="3"/>
  <c r="P40" i="3"/>
  <c r="AN91" i="3"/>
  <c r="AL91" i="3"/>
  <c r="AT86" i="3"/>
  <c r="AJ91" i="3"/>
  <c r="AN86" i="3"/>
  <c r="AI91" i="3"/>
  <c r="AF81" i="3"/>
  <c r="K17" i="3"/>
  <c r="AL86" i="3"/>
  <c r="K69" i="3"/>
  <c r="AH91" i="3"/>
  <c r="AH85" i="3"/>
  <c r="AJ86" i="3"/>
  <c r="AG91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S96" i="3"/>
  <c r="T96" i="3" s="1" a="1"/>
  <c r="T96" i="3" s="1"/>
  <c r="AS92" i="3"/>
  <c r="AH92" i="3"/>
  <c r="AN92" i="3"/>
  <c r="AJ92" i="3"/>
  <c r="AF92" i="3"/>
  <c r="AG92" i="3"/>
  <c r="AI92" i="3"/>
  <c r="AL92" i="3"/>
  <c r="AM88" i="3" s="1"/>
  <c r="S103" i="3" l="1"/>
  <c r="T103" i="3" s="1" a="1"/>
  <c r="T103" i="3" s="1"/>
  <c r="CG24" i="3"/>
  <c r="CN48" i="3" s="1"/>
  <c r="S102" i="3"/>
  <c r="T102" i="3" s="1" a="1"/>
  <c r="T102" i="3" s="1"/>
  <c r="CG23" i="3"/>
  <c r="AM90" i="3"/>
  <c r="AM80" i="3"/>
  <c r="AM89" i="3"/>
  <c r="AM91" i="3"/>
  <c r="AM82" i="3"/>
  <c r="AM83" i="3"/>
  <c r="AM81" i="3"/>
  <c r="AM84" i="3"/>
  <c r="AM85" i="3"/>
  <c r="AM86" i="3"/>
  <c r="AM87" i="3"/>
  <c r="S85" i="3"/>
  <c r="T85" i="3" s="1" a="1"/>
  <c r="T85" i="3" s="1"/>
  <c r="BS13" i="3"/>
  <c r="S84" i="3"/>
  <c r="T84" i="3" s="1" a="1"/>
  <c r="T84" i="3" s="1"/>
  <c r="BS12" i="3"/>
  <c r="CN37" i="3" l="1"/>
  <c r="CK68" i="3" s="1"/>
  <c r="S111" i="3"/>
  <c r="T111" i="3" s="1"/>
  <c r="AM92" i="3"/>
  <c r="AP87" i="3" s="1"/>
  <c r="BZ16" i="3"/>
  <c r="U102" i="3" s="1"/>
  <c r="AC102" i="3" s="1" a="1"/>
  <c r="AC102" i="3" s="1"/>
  <c r="S95" i="3"/>
  <c r="T95" i="3" s="1" a="1"/>
  <c r="T95" i="3" s="1"/>
  <c r="AP86" i="3" l="1"/>
  <c r="AP80" i="3"/>
  <c r="AP85" i="3"/>
  <c r="AP91" i="3"/>
  <c r="AP83" i="3"/>
  <c r="AP82" i="3"/>
  <c r="AP88" i="3"/>
  <c r="AP90" i="3"/>
  <c r="AP89" i="3"/>
  <c r="AP84" i="3"/>
  <c r="AP81" i="3"/>
  <c r="AD82" i="3" l="1"/>
  <c r="AS82" i="3" s="1"/>
  <c r="AD81" i="3"/>
  <c r="AS81" i="3" s="1"/>
  <c r="AD83" i="3"/>
  <c r="AS83" i="3" s="1"/>
  <c r="AD88" i="3"/>
  <c r="AS88" i="3" s="1"/>
  <c r="AD91" i="3"/>
  <c r="AS91" i="3" s="1"/>
  <c r="AD85" i="3"/>
  <c r="AS85" i="3" s="1"/>
  <c r="AD90" i="3"/>
  <c r="AS90" i="3" s="1"/>
  <c r="AD87" i="3"/>
  <c r="AS87" i="3" s="1"/>
  <c r="AD89" i="3"/>
  <c r="AS89" i="3" s="1"/>
  <c r="AD80" i="3"/>
  <c r="AD84" i="3"/>
  <c r="AS84" i="3" s="1"/>
  <c r="AD86" i="3"/>
  <c r="AS86" i="3" s="1"/>
  <c r="O87" i="3" l="1"/>
  <c r="AS80" i="3"/>
  <c r="O89" i="3"/>
  <c r="O83" i="3"/>
  <c r="M88" i="3"/>
  <c r="L83" i="3"/>
  <c r="O84" i="3"/>
  <c r="J89" i="3"/>
  <c r="L92" i="3"/>
  <c r="J81" i="3"/>
  <c r="N89" i="3"/>
  <c r="J92" i="3"/>
  <c r="N91" i="3"/>
  <c r="M81" i="3"/>
  <c r="O90" i="3"/>
  <c r="M92" i="3"/>
  <c r="O91" i="3"/>
  <c r="L87" i="3"/>
  <c r="N90" i="3"/>
  <c r="N86" i="3"/>
  <c r="L81" i="3"/>
  <c r="M86" i="3"/>
  <c r="J88" i="3"/>
  <c r="M82" i="3"/>
  <c r="N81" i="3"/>
  <c r="L85" i="3"/>
  <c r="M83" i="3"/>
  <c r="M90" i="3"/>
  <c r="J87" i="3"/>
  <c r="N92" i="3"/>
  <c r="L88" i="3"/>
  <c r="N87" i="3"/>
  <c r="J84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8" i="3"/>
  <c r="M84" i="3"/>
  <c r="L82" i="3"/>
  <c r="M85" i="3"/>
  <c r="J86" i="3"/>
  <c r="N82" i="3"/>
  <c r="J90" i="3"/>
  <c r="L91" i="3"/>
  <c r="J82" i="3"/>
  <c r="J85" i="3"/>
  <c r="O92" i="3"/>
  <c r="O85" i="3"/>
  <c r="M89" i="3"/>
  <c r="O82" i="3"/>
  <c r="L90" i="3"/>
  <c r="M87" i="3"/>
  <c r="L89" i="3"/>
  <c r="N83" i="3"/>
  <c r="O88" i="3"/>
  <c r="N84" i="3"/>
  <c r="L86" i="3"/>
  <c r="L84" i="3"/>
  <c r="J91" i="3"/>
  <c r="M91" i="3"/>
  <c r="N85" i="3"/>
  <c r="J83" i="3"/>
  <c r="O81" i="3"/>
  <c r="O86" i="3"/>
  <c r="P83" i="3" l="1"/>
  <c r="P81" i="3"/>
  <c r="P88" i="3"/>
  <c r="P92" i="3"/>
  <c r="K90" i="3"/>
  <c r="K85" i="3"/>
  <c r="P89" i="3"/>
  <c r="K83" i="3"/>
  <c r="K92" i="3"/>
  <c r="K87" i="3"/>
  <c r="P90" i="3"/>
  <c r="K88" i="3"/>
  <c r="K81" i="3"/>
  <c r="P85" i="3"/>
  <c r="P84" i="3"/>
  <c r="K86" i="3"/>
  <c r="P82" i="3"/>
  <c r="K89" i="3"/>
  <c r="K91" i="3"/>
  <c r="K82" i="3"/>
  <c r="K84" i="3"/>
  <c r="K3" i="4"/>
  <c r="BL55" i="3" s="1"/>
  <c r="D3" i="4"/>
  <c r="BL51" i="3" s="1"/>
  <c r="G3" i="4"/>
  <c r="BL11" i="3" s="1"/>
  <c r="I3" i="4"/>
  <c r="BL15" i="3" s="1"/>
  <c r="P86" i="3"/>
  <c r="B3" i="4"/>
  <c r="J3" i="4"/>
  <c r="BL71" i="3" s="1"/>
  <c r="P87" i="3"/>
  <c r="H3" i="4"/>
  <c r="BL39" i="3" s="1"/>
  <c r="P91" i="3"/>
  <c r="E3" i="4"/>
  <c r="BL67" i="3" s="1"/>
  <c r="BS53" i="3"/>
  <c r="BS52" i="3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<sst xmlns="http://schemas.openxmlformats.org/spreadsheetml/2006/main" count="9785" uniqueCount="3699">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</sst>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1" zoomScaleNormal="100" workbookViewId="0">
      <selection activeCell="CO39" sqref="CO39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4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90000008.834173843</v>
      </c>
      <c r="AQ8" s="126">
        <f>VLOOKUP(AE8,db_fifarank,2,FALSE)</f>
        <v>1681.03</v>
      </c>
      <c r="AR8" s="125">
        <f>AP8/AP12</f>
        <v>0.99999998888889008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0</v>
      </c>
      <c r="AJ9" s="123">
        <f>SUMIF($E$7:$E$78,$AE9,$G$7:$G$78) + SUMIF($H$7:$H$78,$AE9,$F$7:$F$78)</f>
        <v>1</v>
      </c>
      <c r="AL9" s="123">
        <f>AI9-AJ9</f>
        <v>-1</v>
      </c>
      <c r="AM9" s="123">
        <f>AL9-AL12</f>
        <v>0</v>
      </c>
      <c r="AN9" s="123">
        <f>AF9*3+AG9</f>
        <v>2</v>
      </c>
      <c r="AO9" s="123">
        <f>AN9/AN12*10+BA9</f>
        <v>2.9779951100244499</v>
      </c>
      <c r="AP9" s="123">
        <f>AO9*10000000+BI9*100+AM9/AM12*10+AI9/AI12*1++IF(AQ9=0,ROW(),AQ9)/2000000</f>
        <v>29779951.100959364</v>
      </c>
      <c r="AQ9" s="126">
        <f>VLOOKUP(AE9,db_fifarank,2,FALSE)</f>
        <v>1429.73</v>
      </c>
      <c r="AR9" s="125">
        <f>AP9/AP12</f>
        <v>0.33088830941051339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2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66.666666666666657</v>
      </c>
      <c r="BA9" s="126">
        <f>AZ9/AZ12</f>
        <v>0.97799511002444983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0</v>
      </c>
      <c r="M10" s="23">
        <f>VLOOKUP(2,AD8:AN11,4,FALSE)</f>
        <v>2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2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0</v>
      </c>
      <c r="AN10" s="123">
        <f>AF10*3+AG10</f>
        <v>2</v>
      </c>
      <c r="AO10" s="123">
        <f>AN10/AN12*10+BA10</f>
        <v>2.9853300733496333</v>
      </c>
      <c r="AP10" s="123">
        <f>AO10*10000000+BI10*100+AM10/AM12*10+AI10/AI12*1++IF(AQ10=0,ROW(),AQ10)/2000000</f>
        <v>29853399.125876423</v>
      </c>
      <c r="AQ10" s="126">
        <f>VLOOKUP(AE10,db_fifarank,2,FALSE)</f>
        <v>1588.66</v>
      </c>
      <c r="AR10" s="125">
        <f>AP10/AP12</f>
        <v>0.33170439848708561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67.166666666666657</v>
      </c>
      <c r="BA10" s="126">
        <f>AZ10/AZ12</f>
        <v>0.9853300733496333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0</v>
      </c>
      <c r="AN11" s="123">
        <f>AF11*3+AG11</f>
        <v>2</v>
      </c>
      <c r="AO11" s="123">
        <f>AN11/AN12*10+BA11</f>
        <v>2.9853300733496333</v>
      </c>
      <c r="AP11" s="123">
        <f>AO11*10000000+BI11*100+AM11/AM12*10+AI11/AI12*1++IF(AQ11=0,ROW(),AQ11)/2000000</f>
        <v>29853399.125832785</v>
      </c>
      <c r="AQ11" s="126">
        <f>VLOOKUP(AE11,db_fifarank,2,FALSE)</f>
        <v>1501.38</v>
      </c>
      <c r="AR11" s="125">
        <f>AP11/AP12</f>
        <v>0.33170439848660072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67.166666666666657</v>
      </c>
      <c r="BA11" s="126">
        <f>AZ11/AZ12</f>
        <v>0.9853300733496333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0 - 1</v>
      </c>
      <c r="P12" s="37">
        <f>L12*3+M12</f>
        <v>2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2</v>
      </c>
      <c r="AI12" s="123">
        <f>MAX(AI8:AI11)+1</f>
        <v>6</v>
      </c>
      <c r="AL12" s="123">
        <f>MIN(AL8:AL11)</f>
        <v>-1</v>
      </c>
      <c r="AM12" s="123">
        <f>MAX(AM8:AM11)+1</f>
        <v>5</v>
      </c>
      <c r="AN12" s="123">
        <f>MAX(AN8:AN11)+1</f>
        <v>10</v>
      </c>
      <c r="AO12" s="123">
        <f>MAX(AO8:AO11)+1</f>
        <v>10</v>
      </c>
      <c r="AP12" s="123">
        <f>MAX(AP8:AP11)+1</f>
        <v>90000009.834173843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68.166666666666657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3</v>
      </c>
      <c r="AH14" s="123">
        <f>COUNTIF($S$7:$T$78,"=" &amp; AE14 &amp; "_lose")</f>
        <v>0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2</v>
      </c>
      <c r="AL14" s="123">
        <f>AI14-AJ14</f>
        <v>0</v>
      </c>
      <c r="AM14" s="123">
        <f>AL14-AL18</f>
        <v>3</v>
      </c>
      <c r="AN14" s="123">
        <f>AF14*3+AG14</f>
        <v>3</v>
      </c>
      <c r="AO14" s="123">
        <f>AN14/AN18*10+BA14</f>
        <v>5</v>
      </c>
      <c r="AP14" s="123">
        <f>AO14*10000000+BI14*100+AM14/AM18*10+AI14/AI18*1++IF(AQ14=0,ROW(),AQ14)/2000000</f>
        <v>50000005.400778241</v>
      </c>
      <c r="AQ14" s="126">
        <f>VLOOKUP(AE14,db_fifarank,2,FALSE)</f>
        <v>1556.48</v>
      </c>
      <c r="AR14" s="125">
        <f>AP14/AP18</f>
        <v>0.53683056712347543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4 - 2</v>
      </c>
      <c r="P15" s="32">
        <f>L15*3+M15</f>
        <v>5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1</v>
      </c>
      <c r="AL15" s="123">
        <f>AI15-AJ15</f>
        <v>1</v>
      </c>
      <c r="AM15" s="123">
        <f>AL15-AL18</f>
        <v>4</v>
      </c>
      <c r="AN15" s="123">
        <f>AF15*3+AG15</f>
        <v>5</v>
      </c>
      <c r="AO15" s="123">
        <f>AN15/AN18*10+BA15</f>
        <v>9.3139158576051777</v>
      </c>
      <c r="AP15" s="123">
        <f>AO15*10000000+BI15*100+AM15/AM18*10+AI15/AI18*1++IF(AQ15=0,ROW(),AQ15)/2000000</f>
        <v>93139263.701663792</v>
      </c>
      <c r="AQ15" s="126">
        <f>VLOOKUP(AE15,db_fifarank,2,FALSE)</f>
        <v>1385.84</v>
      </c>
      <c r="AR15" s="125">
        <f>AP15/AP18</f>
        <v>0.99999996707298067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2 - 1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1.6666666666666665</v>
      </c>
      <c r="AP16" s="123">
        <f>AO16*10000000+BI16*100+AM16/AM18*10+AI16/AI18*1++IF(AQ16=0,ROW(),AQ16)/2000000</f>
        <v>16666666.867394146</v>
      </c>
      <c r="AQ16" s="126">
        <f>VLOOKUP(AE16,db_fifarank,2,FALSE)</f>
        <v>1454.96</v>
      </c>
      <c r="AR16" s="125">
        <f>AP16/AP18</f>
        <v>0.17894350520094093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3</v>
      </c>
      <c r="N17" s="23">
        <f>VLOOKUP(3,AD14:AN17,5,FALSE)</f>
        <v>0</v>
      </c>
      <c r="O17" s="23" t="str">
        <f>VLOOKUP(3,AD14:AN17,6,FALSE) &amp; " - " &amp; VLOOKUP(3,AD14:AN17,7,FALSE)</f>
        <v>2 - 2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5</v>
      </c>
      <c r="AN17" s="123">
        <f>AF17*3+AG17</f>
        <v>5</v>
      </c>
      <c r="AO17" s="123">
        <f>AN17/AN18*10+BA17</f>
        <v>9.3139158576051777</v>
      </c>
      <c r="AP17" s="123">
        <f>AO17*10000000+BI17*100+AM17/AM18*10+AI17/AI18*1++IF(AQ17=0,ROW(),AQ17)/2000000</f>
        <v>93139265.768462226</v>
      </c>
      <c r="AQ17" s="126">
        <f>VLOOKUP(AE17,db_fifarank,2,FALSE)</f>
        <v>1649.4</v>
      </c>
      <c r="AR17" s="125">
        <f>AP17/AP18</f>
        <v>0.99999998926338984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2</v>
      </c>
      <c r="AG18" s="123">
        <f t="shared" si="13"/>
        <v>3</v>
      </c>
      <c r="AH18" s="123">
        <f t="shared" si="13"/>
        <v>3</v>
      </c>
      <c r="AI18" s="123">
        <f>MAX(AI14:AI17)+1</f>
        <v>5</v>
      </c>
      <c r="AL18" s="123">
        <f>MIN(AL14:AL17)</f>
        <v>-3</v>
      </c>
      <c r="AM18" s="123">
        <f>MAX(AM14:AM17)+1</f>
        <v>6</v>
      </c>
      <c r="AN18" s="123">
        <f>MAX(AN14:AN17)+1</f>
        <v>6</v>
      </c>
      <c r="AO18" s="123">
        <f>MAX(AO14:AO17)+1</f>
        <v>10.313915857605178</v>
      </c>
      <c r="AP18" s="123">
        <f>MAX(AP14:AP17)+1</f>
        <v>93139266.768462226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2</v>
      </c>
      <c r="AL20" s="123">
        <f>AI20-AJ20</f>
        <v>9</v>
      </c>
      <c r="AM20" s="123">
        <f>AL20-AL24</f>
        <v>19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90000010.417547256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3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11 - 2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13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60000007.000877932</v>
      </c>
      <c r="AQ21" s="126">
        <f>VLOOKUP(AE21,db_fifarank,2,FALSE)</f>
        <v>1755.87</v>
      </c>
      <c r="AR21" s="125">
        <f>AP21/AP24</f>
        <v>0.66666665987977602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7.1761657562865368E-12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6</v>
      </c>
      <c r="AL23" s="123">
        <f>AI23-AJ23</f>
        <v>-2</v>
      </c>
      <c r="AM23" s="123">
        <f>AL23-AL24</f>
        <v>8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30000004.334082507</v>
      </c>
      <c r="AQ23" s="126">
        <f>VLOOKUP(AE23,db_fifarank,2,FALSE)</f>
        <v>1498.35</v>
      </c>
      <c r="AR23" s="125">
        <f>AP23/AP24</f>
        <v>0.33333333920259284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12</v>
      </c>
      <c r="AL24" s="123">
        <f>MIN(AL20:AL23)</f>
        <v>-10</v>
      </c>
      <c r="AM24" s="123">
        <f>MAX(AM20:AM23)+1</f>
        <v>20</v>
      </c>
      <c r="AN24" s="123">
        <f>MAX(AN20:AN23)+1</f>
        <v>10</v>
      </c>
      <c r="AO24" s="123">
        <f>MAX(AO20:AO23)+1</f>
        <v>10</v>
      </c>
      <c r="AP24" s="123">
        <f>MAX(AP20:AP23)+1</f>
        <v>90000011.417547256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4</v>
      </c>
      <c r="AL26" s="123">
        <f>AI26-AJ26</f>
        <v>-1</v>
      </c>
      <c r="AM26" s="123">
        <f>AL26-AL30</f>
        <v>1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50000001.857979417</v>
      </c>
      <c r="AQ26" s="126">
        <f>VLOOKUP(AE26,db_fifarank,2,FALSE)</f>
        <v>1673.13</v>
      </c>
      <c r="AR26" s="125">
        <f>AP26/AP30</f>
        <v>0.57142852455244997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1</v>
      </c>
      <c r="AN27" s="123">
        <f>AF27*3+AG27</f>
        <v>2</v>
      </c>
      <c r="AO27" s="123">
        <f>AN27/AN30*10+BA27</f>
        <v>3.4803921568627452</v>
      </c>
      <c r="AP27" s="123">
        <f>AO27*10000000+BI27*100+AM27/AM30*10+AI27/AI30*1++IF(AQ27=0,ROW(),AQ27)/2000000</f>
        <v>34804021.465737738</v>
      </c>
      <c r="AQ27" s="126">
        <f>VLOOKUP(AE27,db_fifarank,2,FALSE)</f>
        <v>1503.5</v>
      </c>
      <c r="AR27" s="125">
        <f>AP27/AP30</f>
        <v>0.39776019791256101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</v>
      </c>
      <c r="BA27" s="126">
        <f>AZ27/AZ30</f>
        <v>0.98039215686274506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</v>
      </c>
      <c r="BI27" s="126">
        <f>BH27/BH30</f>
        <v>0.98039215686274506</v>
      </c>
      <c r="BK27" s="132"/>
      <c r="BL27" s="26" t="str">
        <f>AS75</f>
        <v>England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3</v>
      </c>
      <c r="AL28" s="123">
        <f>AI28-AJ28</f>
        <v>-2</v>
      </c>
      <c r="AM28" s="123">
        <f>AL28-AL30</f>
        <v>0</v>
      </c>
      <c r="AN28" s="123">
        <f>AF28*3+AG28</f>
        <v>2</v>
      </c>
      <c r="AO28" s="123">
        <f>AN28/AN30*10+BA28</f>
        <v>3.4803921568627452</v>
      </c>
      <c r="AP28" s="123">
        <f>AO28*10000000+BI28*100+AM28/AM30*10+AI28/AI30*1++IF(AQ28=0,ROW(),AQ28)/2000000</f>
        <v>34804019.751490615</v>
      </c>
      <c r="AQ28" s="126">
        <f>VLOOKUP(AE28,db_fifarank,2,FALSE)</f>
        <v>1580.67</v>
      </c>
      <c r="AR28" s="125">
        <f>AP28/AP30</f>
        <v>0.39776017832116767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</v>
      </c>
      <c r="BA28" s="126">
        <f>AZ28/AZ30</f>
        <v>0.98039215686274506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</v>
      </c>
      <c r="BI28" s="126">
        <f>BH28/BH30</f>
        <v>0.98039215686274506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6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87500009.42937094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1 - 3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2</v>
      </c>
      <c r="AI30" s="123">
        <f>MAX(AI26:AI29)+1</f>
        <v>7</v>
      </c>
      <c r="AL30" s="123">
        <f>MIN(AL26:AL29)</f>
        <v>-2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87500010.42937094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1</v>
      </c>
      <c r="W32" s="123">
        <f t="shared" si="4"/>
        <v>1</v>
      </c>
      <c r="X32" s="123">
        <f t="shared" si="9"/>
        <v>1</v>
      </c>
      <c r="Y32" s="123">
        <f t="shared" si="10"/>
        <v>1</v>
      </c>
      <c r="Z32" s="123">
        <f t="shared" si="11"/>
        <v>1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1</v>
      </c>
      <c r="AL32" s="123">
        <f>AI32-AJ32</f>
        <v>9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90000010.354400545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7.1924990925942711E-12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7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49805927.463353522</v>
      </c>
      <c r="AQ34" s="126">
        <f>VLOOKUP(AE34,db_fifarank,2,FALSE)</f>
        <v>1532.98</v>
      </c>
      <c r="AR34" s="125">
        <f>AP34/AP36</f>
        <v>0.55339912422042448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8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49805928.109849073</v>
      </c>
      <c r="AQ35" s="126">
        <f>VLOOKUP(AE35,db_fifarank,2,FALSE)</f>
        <v>1594.78</v>
      </c>
      <c r="AR35" s="125">
        <f>AP35/AP36</f>
        <v>0.55339913140370744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-8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90000011.354400545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Netherlands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6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90000009.429450348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2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40000003.429401651</v>
      </c>
      <c r="AQ39" s="126">
        <f>VLOOKUP(AE39,db_fifarank,2,FALSE)</f>
        <v>1660.43</v>
      </c>
      <c r="AR39" s="125">
        <f>AP39/AP42</f>
        <v>0.44444443104545028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Ivory Coast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0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30000000.286471672</v>
      </c>
      <c r="AQ40" s="126">
        <f>VLOOKUP(AE40,db_fifarank,2,FALSE)</f>
        <v>1514.77</v>
      </c>
      <c r="AR40" s="125">
        <f>AP40/AP42</f>
        <v>0.33333329788876215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10000000.28645581</v>
      </c>
      <c r="AQ41" s="126">
        <f>VLOOKUP(AE41,db_fifarank,2,FALSE)</f>
        <v>1483.05</v>
      </c>
      <c r="AR41" s="125">
        <f>AP41/AP42</f>
        <v>0.11111110141808994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2 - 4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-2</v>
      </c>
      <c r="AM42" s="123">
        <f>MAX(AM38:AM41)+1</f>
        <v>7</v>
      </c>
      <c r="AN42" s="123">
        <f>MAX(AN38:AN41)+1</f>
        <v>10</v>
      </c>
      <c r="AO42" s="123">
        <f>MAX(AO38:AO41)+1</f>
        <v>10</v>
      </c>
      <c r="AP42" s="123">
        <f>MAX(AP38:AP41)+1</f>
        <v>90000010.429450348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1</v>
      </c>
      <c r="AL44" s="123">
        <f>AI44-AJ44</f>
        <v>8</v>
      </c>
      <c r="AM44" s="123">
        <f>AL44-AL48</f>
        <v>14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90000010.234200686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4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60000004.967448279</v>
      </c>
      <c r="AQ45" s="126">
        <f>VLOOKUP(AE45,db_fifarank,2,FALSE)</f>
        <v>1563.24</v>
      </c>
      <c r="AR45" s="125">
        <f>AP45/AP48</f>
        <v>0.66666663864423858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6</v>
      </c>
      <c r="AL46" s="123">
        <f>AI46-AJ46</f>
        <v>-3</v>
      </c>
      <c r="AM46" s="123">
        <f>AL46-AL48</f>
        <v>3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30000002.300807651</v>
      </c>
      <c r="AQ46" s="126">
        <f>VLOOKUP(AE46,db_fifarank,2,FALSE)</f>
        <v>1615.3</v>
      </c>
      <c r="AR46" s="125">
        <f>AP46/AP48</f>
        <v>0.3333333172897141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3 - 6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7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0.10064078500000001</v>
      </c>
      <c r="AQ47" s="126">
        <f>VLOOKUP(AE47,db_fifarank,2,FALSE)</f>
        <v>1281.57</v>
      </c>
      <c r="AR47" s="125">
        <f>AP47/AP48</f>
        <v>1.118230804861897E-9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10</v>
      </c>
      <c r="AL48" s="123">
        <f>MIN(AL44:AL47)</f>
        <v>-6</v>
      </c>
      <c r="AM48" s="123">
        <f>MAX(AM44:AM47)+1</f>
        <v>15</v>
      </c>
      <c r="AN48" s="123">
        <f>MAX(AN44:AN47)+1</f>
        <v>10</v>
      </c>
      <c r="AO48" s="123">
        <f>MAX(AO44:AO47)+1</f>
        <v>10</v>
      </c>
      <c r="AP48" s="123">
        <f>MAX(AP44:AP47)+1</f>
        <v>90000011.234200686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Croatia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90000010.042604879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19805923.42665394</v>
      </c>
      <c r="AQ51" s="126">
        <f>VLOOKUP(AE51,db_fifarank,2,FALSE)</f>
        <v>1366.13</v>
      </c>
      <c r="AR51" s="125">
        <f>AP51/AP54</f>
        <v>0.22006578885060429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19805923.426681589</v>
      </c>
      <c r="AQ52" s="126">
        <f>VLOOKUP(AE52,db_fifarank,2,FALSE)</f>
        <v>1421.43</v>
      </c>
      <c r="AR52" s="125">
        <f>AP52/AP54</f>
        <v>0.22006578885091152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60000008.250836536</v>
      </c>
      <c r="AQ53" s="126">
        <f>VLOOKUP(AE53,db_fifarank,2,FALSE)</f>
        <v>1673.07</v>
      </c>
      <c r="AR53" s="125">
        <f>AP53/AP54</f>
        <v>0.66666667654555378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8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90000011.042604879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11</v>
      </c>
      <c r="AJ56" s="123">
        <f>SUMIF($E$7:$E$78,$AE56,$G$7:$G$78) + SUMIF($H$7:$H$78,$AE56,$F$7:$F$78)</f>
        <v>1</v>
      </c>
      <c r="AL56" s="123">
        <f>AI56-AJ56</f>
        <v>10</v>
      </c>
      <c r="AM56" s="123">
        <f>AL56-AL60</f>
        <v>19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90000010.417605326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11 - 1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4</v>
      </c>
      <c r="AL57" s="123">
        <f>AI57-AJ57</f>
        <v>-1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49805927.551815361</v>
      </c>
      <c r="AQ57" s="126">
        <f>VLOOKUP(AE57,db_fifarank,2,FALSE)</f>
        <v>1688.99</v>
      </c>
      <c r="AR57" s="125">
        <f>AP57/AP60</f>
        <v>0.55339912481469522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4 - 4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9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8.0396656467363425E-12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4</v>
      </c>
      <c r="AL59" s="123">
        <f>AI59-AJ59</f>
        <v>0</v>
      </c>
      <c r="AM59" s="123">
        <f>AL59-AL60</f>
        <v>9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49805928.135079674</v>
      </c>
      <c r="AQ59" s="126">
        <f>VLOOKUP(AE59,db_fifarank,2,FALSE)</f>
        <v>1550.94</v>
      </c>
      <c r="AR59" s="125">
        <f>AP59/AP60</f>
        <v>0.55339913129540896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1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12</v>
      </c>
      <c r="AL60" s="123">
        <f>MIN(AL56:AL59)</f>
        <v>-9</v>
      </c>
      <c r="AM60" s="123">
        <f>MAX(AM56:AM59)+1</f>
        <v>20</v>
      </c>
      <c r="AN60" s="123">
        <f>MAX(AN56:AN59)+1</f>
        <v>10</v>
      </c>
      <c r="AO60" s="123">
        <f>MAX(AO56:AO59)+1</f>
        <v>10</v>
      </c>
      <c r="AP60" s="123">
        <f>MAX(AP56:AP59)+1</f>
        <v>90000011.417605326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7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87500009.584270746</v>
      </c>
      <c r="AQ62" s="126">
        <f>VLOOKUP(AE62,db_fifarank,2,FALSE)</f>
        <v>1874.82</v>
      </c>
      <c r="AR62" s="125">
        <f>AP62/AP66</f>
        <v>0.99999998857142991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5 - 1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0</v>
      </c>
      <c r="AN63" s="123">
        <f>AF63*3+AG63</f>
        <v>1</v>
      </c>
      <c r="AO63" s="123">
        <f>AN63/AN66*10+BA63</f>
        <v>1.25</v>
      </c>
      <c r="AP63" s="123">
        <f>AO63*10000000+BI63*100+AM63/AM66*10+AI63/AI66*1++IF(AQ63=0,ROW(),AQ63)/2000000</f>
        <v>12500000.167448796</v>
      </c>
      <c r="AQ63" s="126">
        <f>VLOOKUP(AE63,db_fifarank,2,FALSE)</f>
        <v>1564.26</v>
      </c>
      <c r="AR63" s="125">
        <f>AP63/AP66</f>
        <v>0.14285712749040322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2 - 1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1</v>
      </c>
      <c r="AL64" s="123">
        <f>AI64-AJ64</f>
        <v>1</v>
      </c>
      <c r="AM64" s="123">
        <f>AL64-AL66</f>
        <v>4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62500005.334130064</v>
      </c>
      <c r="AQ64" s="126">
        <f>VLOOKUP(AE64,db_fifarank,2,FALSE)</f>
        <v>1593.45</v>
      </c>
      <c r="AR64" s="125">
        <f>AP64/AP66</f>
        <v>0.71428568884499366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0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3</v>
      </c>
      <c r="AL65" s="123">
        <f>AI65-AJ65</f>
        <v>-2</v>
      </c>
      <c r="AM65" s="123">
        <f>AL65-AL66</f>
        <v>1</v>
      </c>
      <c r="AN65" s="123">
        <f>AF65*3+AG65</f>
        <v>2</v>
      </c>
      <c r="AO65" s="123">
        <f>AN65/AN66*10+BA65</f>
        <v>2.5</v>
      </c>
      <c r="AP65" s="123">
        <f>AO65*10000000+BI65*100+AM65/AM66*10+AI65/AI66*1++IF(AQ65=0,ROW(),AQ65)/2000000</f>
        <v>25000001.417362392</v>
      </c>
      <c r="AQ65" s="126">
        <f>VLOOKUP(AE65,db_fifarank,2,FALSE)</f>
        <v>1391.45</v>
      </c>
      <c r="AR65" s="125">
        <f>AP65/AP66</f>
        <v>0.2857142673518312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0</v>
      </c>
      <c r="W66" s="123">
        <f t="shared" si="22"/>
        <v>0</v>
      </c>
      <c r="X66" s="123">
        <f t="shared" si="9"/>
        <v>1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3</v>
      </c>
      <c r="AI66" s="123">
        <f>MAX(AI62:AI65)+1</f>
        <v>6</v>
      </c>
      <c r="AL66" s="123">
        <f>MIN(AL62:AL65)</f>
        <v>-3</v>
      </c>
      <c r="AM66" s="123">
        <f>MAX(AM62:AM65)+1</f>
        <v>8</v>
      </c>
      <c r="AN66" s="123">
        <f>MAX(AN62:AN65)+1</f>
        <v>8</v>
      </c>
      <c r="AO66" s="123">
        <f>MAX(AO62:AO65)+1</f>
        <v>9.75</v>
      </c>
      <c r="AP66" s="123">
        <f>MAX(AP62:AP65)+1</f>
        <v>87500010.584270746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10</v>
      </c>
      <c r="AN68" s="123">
        <f>AF68*3+AG68</f>
        <v>7</v>
      </c>
      <c r="AO68" s="123">
        <f>AN68/AN72*10+BA68</f>
        <v>9.7401639344262296</v>
      </c>
      <c r="AP68" s="123">
        <f>AO68*10000000+BI68*100+AM68/AM72*10+AI68/AI72*1++IF(AQ68=0,ROW(),AQ68)/2000000</f>
        <v>97401748.327446744</v>
      </c>
      <c r="AQ68" s="126">
        <f>VLOOKUP(AE68,db_fifarank,2,FALSE)</f>
        <v>1763.83</v>
      </c>
      <c r="AR68" s="125">
        <f>AP68/AP72</f>
        <v>0.99999998973324389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100.66666666666667</v>
      </c>
      <c r="BA68" s="126">
        <f>AZ68/AZ72</f>
        <v>0.99016393442622952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100.66666666666667</v>
      </c>
      <c r="BI68" s="126">
        <f>BH68/BH72</f>
        <v>0.99016393442622952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Netherlands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4</v>
      </c>
      <c r="AL69" s="123">
        <f>AI69-AJ69</f>
        <v>-4</v>
      </c>
      <c r="AM69" s="123">
        <f>AL69-AL72</f>
        <v>1</v>
      </c>
      <c r="AN69" s="123">
        <f>AF69*3+AG69</f>
        <v>1</v>
      </c>
      <c r="AO69" s="123">
        <f>AN69/AN72*10+BA69</f>
        <v>2.2336065573770494</v>
      </c>
      <c r="AP69" s="123">
        <f>AO69*10000000+BI69*100+AM69/AM72*10+AI69/AI72*1++IF(AQ69=0,ROW(),AQ69)/2000000</f>
        <v>22336164.844256315</v>
      </c>
      <c r="AQ69" s="126">
        <f>VLOOKUP(AE69,db_fifarank,2,FALSE)</f>
        <v>1478.35</v>
      </c>
      <c r="AR69" s="125">
        <f>AP69/AP72</f>
        <v>0.22931995573473987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0.98360655737704916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0.98360655737704916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5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2.2336065573770494</v>
      </c>
      <c r="AP70" s="123">
        <f>AO70*10000000+BI70*100+AM70/AM72*10+AI70/AI72*1++IF(AQ70=0,ROW(),AQ70)/2000000</f>
        <v>22336163.935158901</v>
      </c>
      <c r="AQ70" s="126">
        <f>VLOOKUP(AE70,db_fifarank,2,FALSE)</f>
        <v>1465.34</v>
      </c>
      <c r="AR70" s="125">
        <f>AP70/AP72</f>
        <v>0.22931994640125847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0.98360655737704916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0.98360655737704916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9</v>
      </c>
      <c r="AN71" s="123">
        <f>AF71*3+AG71</f>
        <v>7</v>
      </c>
      <c r="AO71" s="123">
        <f>AN71/AN72*10+BA71</f>
        <v>9.7401639344262296</v>
      </c>
      <c r="AP71" s="123">
        <f>AO71*10000000+BI71*100+AM71/AM72*10+AI71/AI72*1++IF(AQ71=0,ROW(),AQ71)/2000000</f>
        <v>97401747.293320477</v>
      </c>
      <c r="AQ71" s="126">
        <f>VLOOKUP(AE71,db_fifarank,2,FALSE)</f>
        <v>1693.09</v>
      </c>
      <c r="AR71" s="125">
        <f>AP71/AP72</f>
        <v>0.99999997911612182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100.66666666666667</v>
      </c>
      <c r="BA71" s="126">
        <f>AZ71/AZ72</f>
        <v>0.99016393442622952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100.66666666666667</v>
      </c>
      <c r="BI71" s="126">
        <f>BH71/BH72</f>
        <v>0.99016393442622952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11</v>
      </c>
      <c r="AN72" s="123">
        <f>MAX(AN68:AN71)+1</f>
        <v>8</v>
      </c>
      <c r="AO72" s="123">
        <f>MAX(AO68:AO71)+1</f>
        <v>10.74016393442623</v>
      </c>
      <c r="AP72" s="123">
        <f>MAX(AP68:AP71)+1</f>
        <v>97401749.327446744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101.66666666666667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101.66666666666667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12</v>
      </c>
      <c r="AN74" s="123">
        <f>AF74*3+AG74</f>
        <v>6</v>
      </c>
      <c r="AO74" s="123">
        <f>AN74/AN78*10+BA74</f>
        <v>6</v>
      </c>
      <c r="AP74" s="123">
        <f>AO74*10000000+BI74*100+AM74/AM78*10+AI74/AI78*1++IF(AQ74=0,ROW(),AQ74)/2000000</f>
        <v>60000009.447341561</v>
      </c>
      <c r="AQ74" s="126">
        <f>VLOOKUP(AE74,db_fifarank,2,FALSE)</f>
        <v>1825.97</v>
      </c>
      <c r="AR74" s="125">
        <f>AP74/AP78</f>
        <v>0.66666668895880854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3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1</v>
      </c>
      <c r="AL75" s="123">
        <f>AI75-AJ75</f>
        <v>6</v>
      </c>
      <c r="AM75" s="123">
        <f>AL75-AL78</f>
        <v>13</v>
      </c>
      <c r="AN75" s="123">
        <f>AF75*3+AG75</f>
        <v>9</v>
      </c>
      <c r="AO75" s="123">
        <f>AN75/AN78*10+BA75</f>
        <v>9</v>
      </c>
      <c r="AP75" s="123">
        <f>AO75*10000000+BI75*100+AM75/AM78*10+AI75/AI78*1++IF(AQ75=0,ROW(),AQ75)/2000000</f>
        <v>90000010.161572814</v>
      </c>
      <c r="AQ75" s="126">
        <f>VLOOKUP(AE75,db_fifarank,2,FALSE)</f>
        <v>1717.07</v>
      </c>
      <c r="AR75" s="125">
        <f>AP75/AP78</f>
        <v>0.9999999888888903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5</v>
      </c>
      <c r="AL76" s="123">
        <f>AI76-AJ76</f>
        <v>-4</v>
      </c>
      <c r="AM76" s="123">
        <f>AL76-AL78</f>
        <v>3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30000002.268530298</v>
      </c>
      <c r="AQ76" s="126">
        <f>VLOOKUP(AE76,db_fifarank,2,FALSE)</f>
        <v>1346.31</v>
      </c>
      <c r="AR76" s="125">
        <f>AP76/AP78</f>
        <v>0.33333331720006898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8.5591100496318892E-12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-7</v>
      </c>
      <c r="AM78" s="123">
        <f>MAX(AM74:AM77)+1</f>
        <v>14</v>
      </c>
      <c r="AN78" s="123">
        <f>MAX(AN74:AN77)+1</f>
        <v>10</v>
      </c>
      <c r="AO78" s="123">
        <f>MAX(AO74:AO77)+1</f>
        <v>10</v>
      </c>
      <c r="AP78" s="123">
        <f>MAX(AP74:AP77)+1</f>
        <v>90000011.161572814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2</v>
      </c>
      <c r="AP80" s="123">
        <f>AN80/AN92*10000+AM80/AM92*1000+AI80/AI92*100+IF(AQ80=0,ROW(),AQ80)/2000000</f>
        <v>4706.6674173566671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3 - 4</v>
      </c>
      <c r="P81" s="98">
        <f>L81*3+M81</f>
        <v>4</v>
      </c>
      <c r="AD81" s="123">
        <f t="shared" ref="AD81:AD91" si="38">COUNTIF($AP$80:$AP$91,CONCATENATE("&gt;=",AP81))</f>
        <v>3</v>
      </c>
      <c r="AE81" s="124" t="str">
        <f>J17</f>
        <v>Canada</v>
      </c>
      <c r="AF81" s="123">
        <f t="shared" ref="AF81:AF91" si="39">VLOOKUP($AE81,$AE$8:$AQ$78,2,FALSE)</f>
        <v>0</v>
      </c>
      <c r="AG81" s="123">
        <f>VLOOKUP($AE81,$AE$8:$AQ$78,3,FALSE)</f>
        <v>3</v>
      </c>
      <c r="AH81" s="123">
        <f t="shared" ref="AH81:AH90" si="40">VLOOKUP($AE81,$AE$8:$AQ$78,4,FALSE)</f>
        <v>0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5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6873.3341115733328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Ivory Coast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6</v>
      </c>
      <c r="AK82" s="123" t="s">
        <v>3182</v>
      </c>
      <c r="AL82" s="123">
        <f t="shared" si="43"/>
        <v>-2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6580.0007491750002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Ⓑ Canada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2 - 2</v>
      </c>
      <c r="P83" s="101">
        <f t="shared" si="48"/>
        <v>3</v>
      </c>
      <c r="AD83" s="123">
        <f t="shared" si="38"/>
        <v>8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2</v>
      </c>
      <c r="AP83" s="123">
        <f>AN83/AN92*10000+AM83/AM92*1000+AI83/AI92*100+IF(AQ83=0,ROW(),AQ83)/2000000</f>
        <v>4726.6674184166668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4 - 6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8726.6674331566664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6540.0007573849998</v>
      </c>
      <c r="AQ85" s="126">
        <f t="shared" si="37"/>
        <v>1514.77</v>
      </c>
      <c r="AR85" s="125" t="str">
        <f t="shared" si="50"/>
        <v>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6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6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6393.3341409833329</v>
      </c>
      <c r="AQ86" s="126">
        <f t="shared" si="37"/>
        <v>1615.3</v>
      </c>
      <c r="AR86" s="125" t="str">
        <f t="shared" si="50"/>
        <v>BCDEFG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6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2020.000710715</v>
      </c>
      <c r="AQ87" s="126">
        <f t="shared" si="37"/>
        <v>1421.43</v>
      </c>
      <c r="AR87" s="125" t="str">
        <f t="shared" si="50"/>
        <v>BCDEFG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Paraguay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3 - 4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4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8726.667511161666</v>
      </c>
      <c r="AQ88" s="126">
        <f t="shared" si="37"/>
        <v>1688.99</v>
      </c>
      <c r="AR88" s="125" t="str">
        <f t="shared" si="50"/>
        <v>BCDEFGI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Czech Republic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2 - 3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Jordan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4520.0006957249998</v>
      </c>
      <c r="AQ89" s="126">
        <f t="shared" si="37"/>
        <v>1391.45</v>
      </c>
      <c r="AR89" s="125" t="str">
        <f t="shared" si="50"/>
        <v>BCDEFGI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Jordan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4</v>
      </c>
      <c r="AK90" s="123" t="s">
        <v>3191</v>
      </c>
      <c r="AL90" s="123">
        <f t="shared" si="43"/>
        <v>-4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2166.6674058416666</v>
      </c>
      <c r="AQ90" s="126">
        <f t="shared" si="37"/>
        <v>1478.35</v>
      </c>
      <c r="AR90" s="125" t="str">
        <f t="shared" si="50"/>
        <v>BCDEFGI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5</v>
      </c>
      <c r="AK91" s="123" t="s">
        <v>3192</v>
      </c>
      <c r="AL91" s="123">
        <f>VLOOKUP($AE91,$AE$8:$AQ$78,8,FALSE)</f>
        <v>-4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6186.6673398216672</v>
      </c>
      <c r="AQ91" s="126">
        <f t="shared" si="37"/>
        <v>1346.31</v>
      </c>
      <c r="AR91" s="125" t="str">
        <f t="shared" si="50"/>
        <v>BCDEFGIL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Netherlands</v>
      </c>
      <c r="T111" s="127" t="str">
        <f>S111</f>
        <v>Netherlands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159</v>
      </c>
      <c r="C3" s="121" t="str">
        <f>'2026 World Cup'!AR91</f>
        <v>BCDEFGIL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3E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Pablo Martin Gutierrez</cp:lastModifiedBy>
  <cp:revision/>
  <dcterms:created xsi:type="dcterms:W3CDTF">2017-12-27T19:32:51Z</dcterms:created>
  <dcterms:modified xsi:type="dcterms:W3CDTF">2026-06-09T08:00:55Z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