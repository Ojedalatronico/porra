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C2E3A29F-EC25-452F-A525-B8F10C372FD4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S47" i="3"/>
  <c r="S67" i="3"/>
  <c r="T23" i="3"/>
  <c r="T48" i="3"/>
  <c r="T43" i="3"/>
  <c r="S72" i="3"/>
  <c r="T46" i="3"/>
  <c r="S70" i="3"/>
  <c r="T21" i="3"/>
  <c r="S42" i="3"/>
  <c r="S64" i="3"/>
  <c r="T63" i="3"/>
  <c r="T41" i="3"/>
  <c r="S40" i="3"/>
  <c r="S62" i="3"/>
  <c r="T61" i="3"/>
  <c r="S38" i="3"/>
  <c r="S65" i="3"/>
  <c r="T37" i="3"/>
  <c r="S55" i="3"/>
  <c r="S57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 l="1"/>
  <c r="BH57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4" i="3"/>
  <c r="AR33" i="3"/>
  <c r="AR35" i="3" l="1"/>
  <c r="AR10" i="3"/>
  <c r="AR9" i="3"/>
  <c r="AR11" i="3"/>
  <c r="AR21" i="3"/>
  <c r="AR28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/>
  <c r="AD33" i="3"/>
  <c r="AD32" i="3"/>
  <c r="AD34" i="3"/>
  <c r="AD35" i="3"/>
  <c r="AD10" i="3" l="1"/>
  <c r="AD8" i="3"/>
  <c r="AD11" i="3"/>
  <c r="AD9" i="3"/>
  <c r="N11" i="3" s="1"/>
  <c r="AD21" i="3"/>
  <c r="AD76" i="3"/>
  <c r="AD20" i="3"/>
  <c r="J21" i="3" s="1"/>
  <c r="AS20" i="3" s="1"/>
  <c r="BL42" i="3" s="1"/>
  <c r="BS44" i="3" s="1"/>
  <c r="AD62" i="3"/>
  <c r="AD44" i="3"/>
  <c r="J45" i="3" s="1"/>
  <c r="AS44" i="3" s="1"/>
  <c r="BL38" i="3" s="1"/>
  <c r="AD41" i="3"/>
  <c r="M58" i="3"/>
  <c r="AD28" i="3"/>
  <c r="AD63" i="3"/>
  <c r="AD74" i="3"/>
  <c r="N76" i="3" s="1"/>
  <c r="AD15" i="3"/>
  <c r="AD70" i="3"/>
  <c r="AD27" i="3"/>
  <c r="L58" i="3"/>
  <c r="O60" i="3"/>
  <c r="AD71" i="3"/>
  <c r="AD29" i="3"/>
  <c r="AD47" i="3"/>
  <c r="AD68" i="3"/>
  <c r="L59" i="3"/>
  <c r="M59" i="3"/>
  <c r="N58" i="3"/>
  <c r="AD26" i="3"/>
  <c r="M29" i="3" s="1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O39" i="3" s="1"/>
  <c r="AD50" i="3"/>
  <c r="N59" i="3"/>
  <c r="AD17" i="3"/>
  <c r="J12" i="3"/>
  <c r="N12" i="3"/>
  <c r="O9" i="3"/>
  <c r="N9" i="3"/>
  <c r="O12" i="3"/>
  <c r="M9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J10" i="3"/>
  <c r="AS9" i="3" s="1"/>
  <c r="BL18" i="3" s="1"/>
  <c r="L21" i="3"/>
  <c r="L24" i="3"/>
  <c r="M24" i="3"/>
  <c r="N24" i="3"/>
  <c r="O21" i="3"/>
  <c r="O24" i="3"/>
  <c r="N21" i="3"/>
  <c r="O22" i="3"/>
  <c r="M21" i="3"/>
  <c r="N22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L63" i="3"/>
  <c r="M63" i="3"/>
  <c r="N63" i="3"/>
  <c r="O63" i="3"/>
  <c r="J63" i="3"/>
  <c r="AS62" i="3" s="1"/>
  <c r="BL58" i="3" s="1"/>
  <c r="BS60" i="3" s="1"/>
  <c r="BZ64" i="3" s="1"/>
  <c r="N64" i="3" l="1"/>
  <c r="J24" i="3"/>
  <c r="BZ48" i="3"/>
  <c r="M22" i="3"/>
  <c r="L22" i="3"/>
  <c r="L23" i="3"/>
  <c r="J22" i="3"/>
  <c r="AS21" i="3" s="1"/>
  <c r="BL23" i="3" s="1"/>
  <c r="M11" i="3"/>
  <c r="L12" i="3"/>
  <c r="M64" i="3"/>
  <c r="J46" i="3"/>
  <c r="AS45" i="3" s="1"/>
  <c r="BL63" i="3" s="1"/>
  <c r="O76" i="3"/>
  <c r="L77" i="3"/>
  <c r="O75" i="3"/>
  <c r="L75" i="3"/>
  <c r="O77" i="3"/>
  <c r="M78" i="3"/>
  <c r="J76" i="3"/>
  <c r="AS75" i="3" s="1"/>
  <c r="BL27" i="3" s="1"/>
  <c r="S86" i="3" s="1"/>
  <c r="T86" i="3" s="1" a="1"/>
  <c r="T86" i="3" s="1"/>
  <c r="J75" i="3"/>
  <c r="AS74" i="3" s="1"/>
  <c r="BL54" i="3" s="1"/>
  <c r="N75" i="3"/>
  <c r="N78" i="3"/>
  <c r="M76" i="3"/>
  <c r="M77" i="3"/>
  <c r="J78" i="3"/>
  <c r="M75" i="3"/>
  <c r="O78" i="3"/>
  <c r="L78" i="3"/>
  <c r="L76" i="3"/>
  <c r="N77" i="3"/>
  <c r="J77" i="3"/>
  <c r="AE91" i="3" s="1"/>
  <c r="AQ91" i="3" s="1"/>
  <c r="O45" i="3"/>
  <c r="L45" i="3"/>
  <c r="N45" i="3"/>
  <c r="M45" i="3"/>
  <c r="L64" i="3"/>
  <c r="K64" i="3" s="1"/>
  <c r="J64" i="3"/>
  <c r="AS63" i="3" s="1"/>
  <c r="BL31" i="3" s="1"/>
  <c r="J66" i="3"/>
  <c r="O66" i="3"/>
  <c r="N66" i="3"/>
  <c r="M66" i="3"/>
  <c r="J47" i="3"/>
  <c r="AE86" i="3" s="1"/>
  <c r="AQ86" i="3" s="1"/>
  <c r="J18" i="3"/>
  <c r="J48" i="3"/>
  <c r="O64" i="3"/>
  <c r="O47" i="3"/>
  <c r="L66" i="3"/>
  <c r="O29" i="3"/>
  <c r="L29" i="3"/>
  <c r="N29" i="3"/>
  <c r="J29" i="3"/>
  <c r="AE83" i="3" s="1"/>
  <c r="AQ83" i="3" s="1"/>
  <c r="M16" i="3"/>
  <c r="M71" i="3"/>
  <c r="L30" i="3"/>
  <c r="J16" i="3"/>
  <c r="AS15" i="3" s="1"/>
  <c r="BL19" i="3" s="1"/>
  <c r="BS20" i="3" s="1"/>
  <c r="P58" i="3"/>
  <c r="L71" i="3"/>
  <c r="M28" i="3"/>
  <c r="J28" i="3"/>
  <c r="AS27" i="3" s="1"/>
  <c r="BL62" i="3" s="1"/>
  <c r="J30" i="3"/>
  <c r="M30" i="3"/>
  <c r="N30" i="3"/>
  <c r="N28" i="3"/>
  <c r="O30" i="3"/>
  <c r="N18" i="3"/>
  <c r="N27" i="3"/>
  <c r="O28" i="3"/>
  <c r="O18" i="3"/>
  <c r="L28" i="3"/>
  <c r="N16" i="3"/>
  <c r="M65" i="3"/>
  <c r="M39" i="3"/>
  <c r="L39" i="3"/>
  <c r="N39" i="3"/>
  <c r="J39" i="3"/>
  <c r="AS38" i="3" s="1"/>
  <c r="BL22" i="3" s="1"/>
  <c r="L18" i="3"/>
  <c r="L16" i="3"/>
  <c r="S91" i="3"/>
  <c r="T91" i="3" s="1" a="1"/>
  <c r="T91" i="3" s="1"/>
  <c r="BS37" i="3"/>
  <c r="L17" i="3"/>
  <c r="M18" i="3"/>
  <c r="L65" i="3"/>
  <c r="O16" i="3"/>
  <c r="O65" i="3"/>
  <c r="L15" i="3"/>
  <c r="J65" i="3"/>
  <c r="AE89" i="3" s="1"/>
  <c r="AQ89" i="3" s="1"/>
  <c r="L27" i="3"/>
  <c r="O17" i="3"/>
  <c r="M27" i="3"/>
  <c r="M17" i="3"/>
  <c r="N65" i="3"/>
  <c r="J27" i="3"/>
  <c r="AS26" i="3" s="1"/>
  <c r="BL34" i="3" s="1"/>
  <c r="N71" i="3"/>
  <c r="O27" i="3"/>
  <c r="J69" i="3"/>
  <c r="AS68" i="3" s="1"/>
  <c r="BL70" i="3" s="1"/>
  <c r="O70" i="3"/>
  <c r="AJ88" i="3"/>
  <c r="J70" i="3"/>
  <c r="AS69" i="3" s="1"/>
  <c r="BL26" i="3" s="1"/>
  <c r="AF88" i="3"/>
  <c r="N70" i="3"/>
  <c r="J71" i="3"/>
  <c r="AE90" i="3" s="1"/>
  <c r="AQ90" i="3" s="1"/>
  <c r="M70" i="3"/>
  <c r="J72" i="3"/>
  <c r="L70" i="3"/>
  <c r="AT88" i="3"/>
  <c r="AN88" i="3"/>
  <c r="O54" i="3"/>
  <c r="S89" i="3"/>
  <c r="T89" i="3" s="1" a="1"/>
  <c r="T89" i="3" s="1"/>
  <c r="BS21" i="3"/>
  <c r="O72" i="3"/>
  <c r="O69" i="3"/>
  <c r="N72" i="3"/>
  <c r="N69" i="3"/>
  <c r="P57" i="3"/>
  <c r="L72" i="3"/>
  <c r="L69" i="3"/>
  <c r="M72" i="3"/>
  <c r="O71" i="3"/>
  <c r="K58" i="3"/>
  <c r="M69" i="3"/>
  <c r="P59" i="3"/>
  <c r="M46" i="3"/>
  <c r="O46" i="3"/>
  <c r="AI88" i="3"/>
  <c r="O48" i="3"/>
  <c r="L48" i="3"/>
  <c r="L46" i="3"/>
  <c r="M48" i="3"/>
  <c r="N46" i="3"/>
  <c r="M47" i="3"/>
  <c r="L47" i="3"/>
  <c r="K59" i="3"/>
  <c r="N47" i="3"/>
  <c r="J42" i="3"/>
  <c r="M40" i="3"/>
  <c r="N48" i="3"/>
  <c r="M51" i="3"/>
  <c r="M54" i="3"/>
  <c r="L40" i="3"/>
  <c r="N52" i="3"/>
  <c r="L42" i="3"/>
  <c r="O23" i="3"/>
  <c r="O40" i="3"/>
  <c r="O51" i="3"/>
  <c r="N53" i="3"/>
  <c r="N54" i="3"/>
  <c r="J52" i="3"/>
  <c r="AS51" i="3" s="1"/>
  <c r="BL59" i="3" s="1"/>
  <c r="J51" i="3"/>
  <c r="AS50" i="3" s="1"/>
  <c r="BL30" i="3" s="1"/>
  <c r="M41" i="3"/>
  <c r="N51" i="3"/>
  <c r="M42" i="3"/>
  <c r="J40" i="3"/>
  <c r="AS39" i="3" s="1"/>
  <c r="BL43" i="3" s="1"/>
  <c r="L51" i="3"/>
  <c r="N40" i="3"/>
  <c r="J41" i="3"/>
  <c r="AE85" i="3" s="1"/>
  <c r="AQ85" i="3" s="1"/>
  <c r="O42" i="3"/>
  <c r="AG88" i="3"/>
  <c r="K57" i="3"/>
  <c r="N17" i="3"/>
  <c r="L54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L91" i="3"/>
  <c r="P76" i="3"/>
  <c r="AL89" i="3"/>
  <c r="P63" i="3"/>
  <c r="K63" i="3"/>
  <c r="K45" i="3"/>
  <c r="P4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AT83" i="3"/>
  <c r="P22" i="3"/>
  <c r="K22" i="3"/>
  <c r="K24" i="3"/>
  <c r="P24" i="3"/>
  <c r="P21" i="3"/>
  <c r="K21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64" i="3" l="1"/>
  <c r="P77" i="3"/>
  <c r="AJ89" i="3"/>
  <c r="K30" i="3"/>
  <c r="K29" i="3"/>
  <c r="BS61" i="3"/>
  <c r="AH81" i="3"/>
  <c r="AH89" i="3"/>
  <c r="AG89" i="3"/>
  <c r="AF89" i="3"/>
  <c r="K77" i="3"/>
  <c r="AI89" i="3"/>
  <c r="AT89" i="3"/>
  <c r="AN89" i="3"/>
  <c r="AN83" i="3"/>
  <c r="AJ83" i="3"/>
  <c r="AL83" i="3"/>
  <c r="AG83" i="3"/>
  <c r="AI83" i="3"/>
  <c r="AH83" i="3"/>
  <c r="AF83" i="3"/>
  <c r="P29" i="3"/>
  <c r="P30" i="3"/>
  <c r="AF91" i="3"/>
  <c r="P78" i="3"/>
  <c r="K75" i="3"/>
  <c r="P75" i="3"/>
  <c r="P47" i="3"/>
  <c r="P69" i="3"/>
  <c r="AH87" i="3"/>
  <c r="AT91" i="3"/>
  <c r="BS28" i="3"/>
  <c r="AN91" i="3"/>
  <c r="AJ91" i="3"/>
  <c r="AI91" i="3"/>
  <c r="AH91" i="3"/>
  <c r="K78" i="3"/>
  <c r="AG91" i="3"/>
  <c r="P65" i="3"/>
  <c r="K76" i="3"/>
  <c r="S88" i="3"/>
  <c r="T88" i="3" s="1" a="1"/>
  <c r="T88" i="3" s="1"/>
  <c r="P66" i="3"/>
  <c r="AH86" i="3"/>
  <c r="AG86" i="3"/>
  <c r="AT86" i="3"/>
  <c r="AF86" i="3"/>
  <c r="AN86" i="3"/>
  <c r="K48" i="3"/>
  <c r="AJ86" i="3"/>
  <c r="AL86" i="3"/>
  <c r="AI86" i="3"/>
  <c r="K66" i="3"/>
  <c r="P28" i="3"/>
  <c r="P42" i="3"/>
  <c r="P39" i="3"/>
  <c r="K71" i="3"/>
  <c r="P18" i="3"/>
  <c r="P71" i="3"/>
  <c r="P51" i="3"/>
  <c r="BZ17" i="3"/>
  <c r="U102" i="3" s="1"/>
  <c r="AC102" i="3" s="1" a="1"/>
  <c r="AC102" i="3" s="1"/>
  <c r="S96" i="3"/>
  <c r="T96" i="3" s="1" a="1"/>
  <c r="T96" i="3" s="1"/>
  <c r="K28" i="3"/>
  <c r="P41" i="3"/>
  <c r="K39" i="3"/>
  <c r="AT82" i="3"/>
  <c r="P70" i="3"/>
  <c r="P17" i="3"/>
  <c r="AN82" i="3"/>
  <c r="K69" i="3"/>
  <c r="K16" i="3"/>
  <c r="K18" i="3"/>
  <c r="AT87" i="3"/>
  <c r="AF81" i="3"/>
  <c r="AT81" i="3"/>
  <c r="AN81" i="3"/>
  <c r="AJ81" i="3"/>
  <c r="AI81" i="3"/>
  <c r="AL90" i="3"/>
  <c r="AI90" i="3"/>
  <c r="AH90" i="3"/>
  <c r="AF90" i="3"/>
  <c r="AJ90" i="3"/>
  <c r="P16" i="3"/>
  <c r="AG90" i="3"/>
  <c r="AL81" i="3"/>
  <c r="AT90" i="3"/>
  <c r="P48" i="3"/>
  <c r="AN90" i="3"/>
  <c r="K17" i="3"/>
  <c r="P72" i="3"/>
  <c r="K65" i="3"/>
  <c r="K70" i="3"/>
  <c r="K15" i="3"/>
  <c r="P27" i="3"/>
  <c r="AG81" i="3"/>
  <c r="P15" i="3"/>
  <c r="P46" i="3"/>
  <c r="K72" i="3"/>
  <c r="AJ82" i="3"/>
  <c r="AI82" i="3"/>
  <c r="K27" i="3"/>
  <c r="AG82" i="3"/>
  <c r="AN87" i="3"/>
  <c r="K51" i="3"/>
  <c r="AF82" i="3"/>
  <c r="AJ87" i="3"/>
  <c r="AH82" i="3"/>
  <c r="K46" i="3"/>
  <c r="K41" i="3"/>
  <c r="P40" i="3"/>
  <c r="K54" i="3"/>
  <c r="AF87" i="3"/>
  <c r="S90" i="3"/>
  <c r="T90" i="3" s="1" a="1"/>
  <c r="T90" i="3" s="1"/>
  <c r="BS36" i="3"/>
  <c r="AL87" i="3"/>
  <c r="K40" i="3"/>
  <c r="K42" i="3"/>
  <c r="K47" i="3"/>
  <c r="P54" i="3"/>
  <c r="S87" i="3"/>
  <c r="T87" i="3" s="1" a="1"/>
  <c r="T87" i="3" s="1"/>
  <c r="BS29" i="3"/>
  <c r="P53" i="3"/>
  <c r="AG87" i="3"/>
  <c r="AT85" i="3"/>
  <c r="AN85" i="3"/>
  <c r="AL85" i="3"/>
  <c r="AJ85" i="3"/>
  <c r="AI85" i="3"/>
  <c r="AH85" i="3"/>
  <c r="AG85" i="3"/>
  <c r="AF85" i="3"/>
  <c r="P52" i="3"/>
  <c r="K23" i="3"/>
  <c r="K5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F92" i="3"/>
  <c r="AH92" i="3"/>
  <c r="AN92" i="3"/>
  <c r="AJ92" i="3"/>
  <c r="AS92" i="3"/>
  <c r="AG92" i="3"/>
  <c r="AL92" i="3"/>
  <c r="AM88" i="3" s="1"/>
  <c r="AI92" i="3"/>
  <c r="S103" i="3" l="1"/>
  <c r="T103" i="3" s="1" a="1"/>
  <c r="T103" i="3" s="1"/>
  <c r="CG24" i="3"/>
  <c r="S111" i="3" s="1"/>
  <c r="T111" i="3" s="1"/>
  <c r="AM89" i="3"/>
  <c r="AM90" i="3"/>
  <c r="AM82" i="3"/>
  <c r="AM91" i="3"/>
  <c r="AM80" i="3"/>
  <c r="AM81" i="3"/>
  <c r="AM83" i="3"/>
  <c r="AM86" i="3"/>
  <c r="AM87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3" i="3" l="1"/>
  <c r="AP82" i="3"/>
  <c r="AP88" i="3"/>
  <c r="AP90" i="3"/>
  <c r="AP89" i="3"/>
  <c r="AP86" i="3"/>
  <c r="AP84" i="3"/>
  <c r="AP81" i="3"/>
  <c r="AP91" i="3"/>
  <c r="AP85" i="3"/>
  <c r="AP80" i="3"/>
  <c r="AD80" i="3" s="1"/>
  <c r="S102" i="3"/>
  <c r="T102" i="3" s="1" a="1"/>
  <c r="T102" i="3" s="1"/>
  <c r="CG23" i="3"/>
  <c r="AD83" i="3" l="1"/>
  <c r="AS83" i="3" s="1"/>
  <c r="AD88" i="3"/>
  <c r="AS88" i="3" s="1"/>
  <c r="AD87" i="3"/>
  <c r="AS87" i="3" s="1"/>
  <c r="AD90" i="3"/>
  <c r="AS90" i="3" s="1"/>
  <c r="AD82" i="3"/>
  <c r="AS82" i="3" s="1"/>
  <c r="AD89" i="3"/>
  <c r="AS89" i="3" s="1"/>
  <c r="AD85" i="3"/>
  <c r="AS85" i="3" s="1"/>
  <c r="AD86" i="3"/>
  <c r="AS86" i="3" s="1"/>
  <c r="CN37" i="3"/>
  <c r="CK68" i="3" s="1"/>
  <c r="CN48" i="3"/>
  <c r="AD91" i="3"/>
  <c r="AS91" i="3" s="1"/>
  <c r="AD84" i="3"/>
  <c r="AS84" i="3" s="1"/>
  <c r="AD81" i="3"/>
  <c r="AS81" i="3" s="1"/>
  <c r="AS80" i="3"/>
  <c r="N82" i="3"/>
  <c r="L82" i="3"/>
  <c r="AR80" i="3"/>
  <c r="O82" i="3"/>
  <c r="J82" i="3"/>
  <c r="M82" i="3"/>
  <c r="M90" i="3" l="1"/>
  <c r="M91" i="3"/>
  <c r="O86" i="3"/>
  <c r="J92" i="3"/>
  <c r="L90" i="3"/>
  <c r="P90" i="3" s="1"/>
  <c r="N86" i="3"/>
  <c r="J90" i="3"/>
  <c r="L89" i="3"/>
  <c r="L88" i="3"/>
  <c r="P88" i="3" s="1"/>
  <c r="J85" i="3"/>
  <c r="N88" i="3"/>
  <c r="O85" i="3"/>
  <c r="L92" i="3"/>
  <c r="O89" i="3"/>
  <c r="O91" i="3"/>
  <c r="N92" i="3"/>
  <c r="M92" i="3"/>
  <c r="O81" i="3"/>
  <c r="J89" i="3"/>
  <c r="L84" i="3"/>
  <c r="M89" i="3"/>
  <c r="K89" i="3" s="1"/>
  <c r="O84" i="3"/>
  <c r="N91" i="3"/>
  <c r="K91" i="3" s="1"/>
  <c r="N90" i="3"/>
  <c r="K90" i="3" s="1"/>
  <c r="M85" i="3"/>
  <c r="L85" i="3"/>
  <c r="M84" i="3"/>
  <c r="M83" i="3"/>
  <c r="L81" i="3"/>
  <c r="M87" i="3"/>
  <c r="L87" i="3"/>
  <c r="J84" i="3"/>
  <c r="M86" i="3"/>
  <c r="K86" i="3" s="1"/>
  <c r="N85" i="3"/>
  <c r="N87" i="3"/>
  <c r="J88" i="3"/>
  <c r="N84" i="3"/>
  <c r="L91" i="3"/>
  <c r="N89" i="3"/>
  <c r="O87" i="3"/>
  <c r="M88" i="3"/>
  <c r="J81" i="3"/>
  <c r="O88" i="3"/>
  <c r="O90" i="3"/>
  <c r="J87" i="3"/>
  <c r="M81" i="3"/>
  <c r="K81" i="3" s="1"/>
  <c r="J91" i="3"/>
  <c r="N83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L83" i="3"/>
  <c r="J83" i="3"/>
  <c r="L86" i="3"/>
  <c r="O92" i="3"/>
  <c r="J86" i="3"/>
  <c r="O83" i="3"/>
  <c r="K82" i="3"/>
  <c r="P84" i="3"/>
  <c r="P82" i="3"/>
  <c r="P91" i="3"/>
  <c r="P81" i="3" l="1"/>
  <c r="P83" i="3"/>
  <c r="P85" i="3"/>
  <c r="K88" i="3"/>
  <c r="K84" i="3"/>
  <c r="K87" i="3"/>
  <c r="P89" i="3"/>
  <c r="P87" i="3"/>
  <c r="K85" i="3"/>
  <c r="P92" i="3"/>
  <c r="H3" i="4"/>
  <c r="BL39" i="3" s="1"/>
  <c r="G3" i="4"/>
  <c r="BL11" i="3" s="1"/>
  <c r="P86" i="3"/>
  <c r="J3" i="4"/>
  <c r="BL71" i="3" s="1"/>
  <c r="E3" i="4"/>
  <c r="BL67" i="3" s="1"/>
  <c r="K92" i="3"/>
  <c r="K3" i="4"/>
  <c r="BL55" i="3" s="1"/>
  <c r="K83" i="3"/>
  <c r="I3" i="4"/>
  <c r="BL15" i="3" s="1"/>
  <c r="D3" i="4"/>
  <c r="BL51" i="3" s="1"/>
  <c r="B3" i="4"/>
  <c r="BS53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<sst xmlns="http://schemas.openxmlformats.org/spreadsheetml/2006/main" count="9785" uniqueCount="3699">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</sst>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28" workbookViewId="0">
      <selection activeCell="B45" sqref="B45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O30" zoomScaleNormal="100" workbookViewId="0">
      <selection activeCell="CS48" sqref="CS48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4</v>
      </c>
      <c r="AL8" s="123">
        <f>AI8-AJ8</f>
        <v>1</v>
      </c>
      <c r="AM8" s="123">
        <f>AL8-AL12</f>
        <v>3</v>
      </c>
      <c r="AN8" s="123">
        <f>AF8*3+AG8</f>
        <v>5</v>
      </c>
      <c r="AO8" s="123">
        <f>AN8/AN12*10+BA8</f>
        <v>9.3139784946236563</v>
      </c>
      <c r="AP8" s="123">
        <f>AO8*10000000+BI8*100+AM8/AM12*10+AI8/AI12*1++IF(AQ8=0,ROW(),AQ8)/2000000</f>
        <v>93139891.344926536</v>
      </c>
      <c r="AQ8" s="126">
        <f>VLOOKUP(AE8,db_fifarank,2,FALSE)</f>
        <v>1681.03</v>
      </c>
      <c r="AR8" s="125">
        <f>AP8/AP12</f>
        <v>0.9999999892634619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50.666666666666664</v>
      </c>
      <c r="BA8" s="126">
        <f>AZ8/AZ12</f>
        <v>0.98064516129032253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50.666666666666664</v>
      </c>
      <c r="BI8" s="126">
        <f>BH8/BH12</f>
        <v>0.98064516129032253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5 - 4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1.6666666666666665</v>
      </c>
      <c r="AP9" s="123">
        <f>AO9*10000000+BI9*100+AM9/AM12*10+AI9/AI12*1++IF(AQ9=0,ROW(),AQ9)/2000000</f>
        <v>16666667.000714865</v>
      </c>
      <c r="AQ9" s="126">
        <f>VLOOKUP(AE9,db_fifarank,2,FALSE)</f>
        <v>1429.73</v>
      </c>
      <c r="AR9" s="125">
        <f>AP9/AP12</f>
        <v>0.17894230475372375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0</v>
      </c>
      <c r="W10" s="123">
        <f t="shared" si="4"/>
        <v>0</v>
      </c>
      <c r="X10" s="123">
        <f t="shared" si="9"/>
        <v>1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2</v>
      </c>
      <c r="AN10" s="123">
        <f>AF10*3+AG10</f>
        <v>3</v>
      </c>
      <c r="AO10" s="123">
        <f>AN10/AN12*10+BA10</f>
        <v>5</v>
      </c>
      <c r="AP10" s="123">
        <f>AO10*10000000+BI10*100+AM10/AM12*10+AI10/AI12*1++IF(AQ10=0,ROW(),AQ10)/2000000</f>
        <v>50000005.500794329</v>
      </c>
      <c r="AQ10" s="126">
        <f>VLOOKUP(AE10,db_fifarank,2,FALSE)</f>
        <v>1588.66</v>
      </c>
      <c r="AR10" s="125">
        <f>AP10/AP12</f>
        <v>0.5368269625610953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3</v>
      </c>
      <c r="AN11" s="123">
        <f>AF11*3+AG11</f>
        <v>5</v>
      </c>
      <c r="AO11" s="123">
        <f>AN11/AN12*10+BA11</f>
        <v>9.3139784946236563</v>
      </c>
      <c r="AP11" s="123">
        <f>AO11*10000000+BI11*100+AM11/AM12*10+AI11/AI12*1++IF(AQ11=0,ROW(),AQ11)/2000000</f>
        <v>93139891.178170055</v>
      </c>
      <c r="AQ11" s="126">
        <f>VLOOKUP(AE11,db_fifarank,2,FALSE)</f>
        <v>1501.38</v>
      </c>
      <c r="AR11" s="125">
        <f>AP11/AP12</f>
        <v>0.99999998747307461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50.666666666666664</v>
      </c>
      <c r="BA11" s="126">
        <f>AZ11/AZ12</f>
        <v>0.98064516129032253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50.666666666666664</v>
      </c>
      <c r="BI11" s="126">
        <f>BH11/BH12</f>
        <v>0.98064516129032253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4</v>
      </c>
      <c r="AN12" s="123">
        <f>MAX(AN8:AN11)+1</f>
        <v>6</v>
      </c>
      <c r="AO12" s="123">
        <f>MAX(AO8:AO11)+1</f>
        <v>10.313978494623656</v>
      </c>
      <c r="AP12" s="123">
        <f>MAX(AP8:AP11)+1</f>
        <v>93139892.344926536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1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40000001.679349668</v>
      </c>
      <c r="AQ14" s="126">
        <f>VLOOKUP(AE14,db_fifarank,2,FALSE)</f>
        <v>1556.48</v>
      </c>
      <c r="AR14" s="125">
        <f>AP14/AP18</f>
        <v>0.4444444107188642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</v>
      </c>
      <c r="AP15" s="123">
        <f>AO15*10000000+BI15*100+AM15/AM18*10+AI15/AI18*1++IF(AQ15=0,ROW(),AQ15)/2000000</f>
        <v>10000000.286407206</v>
      </c>
      <c r="AQ15" s="126">
        <f>VLOOKUP(AE15,db_fifarank,2,FALSE)</f>
        <v>1385.84</v>
      </c>
      <c r="AR15" s="125">
        <f>AP15/AP18</f>
        <v>0.11111110119715834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3 - 4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0</v>
      </c>
      <c r="AN16" s="123">
        <f>AF16*3+AG16</f>
        <v>2</v>
      </c>
      <c r="AO16" s="123">
        <f>AN16/AN18*10+BA16</f>
        <v>2</v>
      </c>
      <c r="AP16" s="123">
        <f>AO16*10000000+BI16*100+AM16/AM18*10+AI16/AI18*1++IF(AQ16=0,ROW(),AQ16)/2000000</f>
        <v>20000000.429298908</v>
      </c>
      <c r="AQ16" s="126">
        <f>VLOOKUP(AE16,db_fifarank,2,FALSE)</f>
        <v>1454.96</v>
      </c>
      <c r="AR16" s="125">
        <f>AP16/AP18</f>
        <v>0.22222220079970012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3 - 5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90000009.607967556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-2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90000010.243304819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60000007.212999143</v>
      </c>
      <c r="AQ21" s="126">
        <f>VLOOKUP(AE21,db_fifarank,2,FALSE)</f>
        <v>1755.87</v>
      </c>
      <c r="AR21" s="125">
        <f>AP21/AP24</f>
        <v>0.66666666352736259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7.1761657701797864E-12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30000002.849234026</v>
      </c>
      <c r="AQ23" s="126">
        <f>VLOOKUP(AE23,db_fifarank,2,FALSE)</f>
        <v>1498.35</v>
      </c>
      <c r="AR23" s="125">
        <f>AP23/AP24</f>
        <v>0.33333332334962074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-7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90000011.243304819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1</v>
      </c>
      <c r="AJ26" s="123">
        <f>SUMIF($E$7:$E$78,$AE26,$G$7:$G$78) + SUMIF($H$7:$H$78,$AE26,$F$7:$F$78)</f>
        <v>4</v>
      </c>
      <c r="AL26" s="123">
        <f>AI26-AJ26</f>
        <v>-3</v>
      </c>
      <c r="AM26" s="123">
        <f>AL26-AL30</f>
        <v>0</v>
      </c>
      <c r="AN26" s="123">
        <f>AF26*3+AG26</f>
        <v>1</v>
      </c>
      <c r="AO26" s="123">
        <f>AN26/AN30*10+BA26</f>
        <v>1.9803921568627452</v>
      </c>
      <c r="AP26" s="123">
        <f>AO26*10000000+BI26*100+AM26/AM30*10+AI26/AI30*1++IF(AQ26=0,ROW(),AQ26)/2000000</f>
        <v>19804019.719790816</v>
      </c>
      <c r="AQ26" s="126">
        <f>VLOOKUP(AE26,db_fifarank,2,FALSE)</f>
        <v>1673.13</v>
      </c>
      <c r="AR26" s="125">
        <f>AP26/AP30</f>
        <v>0.22004463692859202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</v>
      </c>
      <c r="BA26" s="126">
        <f>AZ26/AZ30</f>
        <v>0.98039215686274506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1.9803921568627452</v>
      </c>
      <c r="AP27" s="123">
        <f>AO27*10000000+BI27*100+AM27/AM30*10+AI27/AI30*1++IF(AQ27=0,ROW(),AQ27)/2000000</f>
        <v>19804019.719705999</v>
      </c>
      <c r="AQ27" s="126">
        <f>VLOOKUP(AE27,db_fifarank,2,FALSE)</f>
        <v>1503.5</v>
      </c>
      <c r="AR27" s="125">
        <f>AP27/AP30</f>
        <v>0.22004463692764961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0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4</v>
      </c>
      <c r="AL28" s="123">
        <f>AI28-AJ28</f>
        <v>0</v>
      </c>
      <c r="AM28" s="123">
        <f>AL28-AL30</f>
        <v>3</v>
      </c>
      <c r="AN28" s="123">
        <f>AF28*3+AG28</f>
        <v>6</v>
      </c>
      <c r="AO28" s="123">
        <f>AN28/AN30*10+BA28</f>
        <v>6</v>
      </c>
      <c r="AP28" s="123">
        <f>AO28*10000000+BI28*100+AM28/AM30*10+AI28/AI30*1++IF(AQ28=0,ROW(),AQ28)/2000000</f>
        <v>60000003.445234783</v>
      </c>
      <c r="AQ28" s="126">
        <f>VLOOKUP(AE28,db_fifarank,2,FALSE)</f>
        <v>1580.67</v>
      </c>
      <c r="AR28" s="125">
        <f>AP28/AP30</f>
        <v>0.66666662428269963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1 - 4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2</v>
      </c>
      <c r="AL29" s="123">
        <f>AI29-AJ29</f>
        <v>6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90000009.889688417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9</v>
      </c>
      <c r="AL30" s="123">
        <f>MIN(AL26:AL29)</f>
        <v>-3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90000010.889688417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0</v>
      </c>
      <c r="AL32" s="123">
        <f>AI32-AJ32</f>
        <v>10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90000010.354400545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19805923.39252729</v>
      </c>
      <c r="AQ33" s="126">
        <f>VLOOKUP(AE33,db_fifarank,2,FALSE)</f>
        <v>1294.6500000000001</v>
      </c>
      <c r="AR33" s="125">
        <f>AP33/AP36</f>
        <v>0.22006578770902432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5</v>
      </c>
      <c r="AL34" s="123">
        <f>AI34-AJ34</f>
        <v>-4</v>
      </c>
      <c r="AM34" s="123">
        <f>AL34-AL36</f>
        <v>3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19805925.059313122</v>
      </c>
      <c r="AQ34" s="126">
        <f>VLOOKUP(AE34,db_fifarank,2,FALSE)</f>
        <v>1532.98</v>
      </c>
      <c r="AR34" s="125">
        <f>AP34/AP36</f>
        <v>0.22006580622886457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1 - 5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8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60000004.717969112</v>
      </c>
      <c r="AQ35" s="126">
        <f>VLOOKUP(AE35,db_fifarank,2,FALSE)</f>
        <v>1594.78</v>
      </c>
      <c r="AR35" s="125">
        <f>AP35/AP36</f>
        <v>0.66666663498187895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11</v>
      </c>
      <c r="AL36" s="123">
        <f>MIN(AL32:AL35)</f>
        <v>-7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90000011.354400545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90000009.584212258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2</v>
      </c>
      <c r="AL39" s="123">
        <f>AI39-AJ39</f>
        <v>-1</v>
      </c>
      <c r="AM39" s="123">
        <f>AL39-AL42</f>
        <v>2</v>
      </c>
      <c r="AN39" s="123">
        <f>AF39*3+AG39</f>
        <v>4</v>
      </c>
      <c r="AO39" s="123">
        <f>AN39/AN42*10+BA39</f>
        <v>4.9803921568627452</v>
      </c>
      <c r="AP39" s="123">
        <f>AO39*10000000+BI39*100+AM39/AM42*10+AI39/AI42*1++IF(AQ39=0,ROW(),AQ39)/2000000</f>
        <v>49804022.275340021</v>
      </c>
      <c r="AQ39" s="126">
        <f>VLOOKUP(AE39,db_fifarank,2,FALSE)</f>
        <v>1660.43</v>
      </c>
      <c r="AR39" s="125">
        <f>AP39/AP42</f>
        <v>0.55337796020300256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</v>
      </c>
      <c r="BA39" s="126">
        <f>AZ39/AZ42</f>
        <v>0.98039215686274506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</v>
      </c>
      <c r="BI39" s="126">
        <f>BH39/BH42</f>
        <v>0.98039215686274506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2 - 2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2</v>
      </c>
      <c r="AL40" s="123">
        <f>AI40-AJ40</f>
        <v>0</v>
      </c>
      <c r="AM40" s="123">
        <f>AL40-AL42</f>
        <v>3</v>
      </c>
      <c r="AN40" s="123">
        <f>AF40*3+AG40</f>
        <v>4</v>
      </c>
      <c r="AO40" s="123">
        <f>AN40/AN42*10+BA40</f>
        <v>4.9803921568627452</v>
      </c>
      <c r="AP40" s="123">
        <f>AO40*10000000+BI40*100+AM40/AM42*10+AI40/AI42*1++IF(AQ40=0,ROW(),AQ40)/2000000</f>
        <v>49804023.691933855</v>
      </c>
      <c r="AQ40" s="126">
        <f>VLOOKUP(AE40,db_fifarank,2,FALSE)</f>
        <v>1514.77</v>
      </c>
      <c r="AR40" s="125">
        <f>AP40/AP42</f>
        <v>0.55337797594293225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3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8.2391656977213487E-12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0 - 3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90000010.584212258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90000009.746899098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40000003.762686379</v>
      </c>
      <c r="AQ45" s="126">
        <f>VLOOKUP(AE45,db_fifarank,2,FALSE)</f>
        <v>1563.24</v>
      </c>
      <c r="AR45" s="125">
        <f>AP45/AP48</f>
        <v>0.44444443318096555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3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10000000.00080765</v>
      </c>
      <c r="AQ46" s="126">
        <f>VLOOKUP(AE46,db_fifarank,2,FALSE)</f>
        <v>1615.3</v>
      </c>
      <c r="AR46" s="125">
        <f>AP46/AP48</f>
        <v>0.11111109785230992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1 - 3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1</v>
      </c>
      <c r="AN47" s="123">
        <f>AF47*3+AG47</f>
        <v>2</v>
      </c>
      <c r="AO47" s="123">
        <f>AN47/AN48*10+BA47</f>
        <v>2</v>
      </c>
      <c r="AP47" s="123">
        <f>AO47*10000000+BI47*100+AM47/AM48*10+AI47/AI48*1++IF(AQ47=0,ROW(),AQ47)/2000000</f>
        <v>20000001.254609037</v>
      </c>
      <c r="AQ47" s="126">
        <f>VLOOKUP(AE47,db_fifarank,2,FALSE)</f>
        <v>1281.57</v>
      </c>
      <c r="AR47" s="125">
        <f>AP47/AP48</f>
        <v>0.22222220962677081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0 - 3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90000010.746899098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4</v>
      </c>
      <c r="AL50" s="123">
        <f>AI50-AJ50</f>
        <v>5</v>
      </c>
      <c r="AM50" s="123">
        <f>AL50-AL54</f>
        <v>12</v>
      </c>
      <c r="AN50" s="123">
        <f>AF50*3+AG50</f>
        <v>7</v>
      </c>
      <c r="AO50" s="123">
        <f>AN50/AN54*10+BA50</f>
        <v>9.7306763285024154</v>
      </c>
      <c r="AP50" s="123">
        <f>AO50*10000000+BI50*100+AM50/AM54*10+AI50/AI54*1++IF(AQ50=0,ROW(),AQ50)/2000000</f>
        <v>97306871.48436445</v>
      </c>
      <c r="AQ50" s="126">
        <f>VLOOKUP(AE50,db_fifarank,2,FALSE)</f>
        <v>1876.4</v>
      </c>
      <c r="AR50" s="125">
        <f>AP50/AP54</f>
        <v>0.99999998972323356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3</v>
      </c>
      <c r="AW50" s="126" cm="1">
        <f t="array" ref="AW50">SUMPRODUCT(($E$7:$E$78=AE50)*($U$7:$U$78)*($G$7:$G$78))+SUMPRODUCT(($H$7:$H$78=AE50)*($U$7:$U$78)*($F$7:$F$78))</f>
        <v>3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50.75</v>
      </c>
      <c r="BA50" s="126">
        <f>AZ50/AZ54</f>
        <v>0.98067632850241548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3</v>
      </c>
      <c r="BE50" s="126" cm="1">
        <f t="array" ref="BE50">SUMPRODUCT(($E$7:$E$78=AE50)*($X$7:$X$78)*($G$7:$G$78))+SUMPRODUCT(($H$7:$H$78=AE50)*($X$7:$X$78)*($F$7:$F$78))</f>
        <v>3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50.75</v>
      </c>
      <c r="BI50" s="126">
        <f>BH50/BH54</f>
        <v>0.98067632850241548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9 - 4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7.0196994576077543E-12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8 - 3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37500003.377633795</v>
      </c>
      <c r="AQ52" s="126">
        <f>VLOOKUP(AE52,db_fifarank,2,FALSE)</f>
        <v>1421.43</v>
      </c>
      <c r="AR52" s="125">
        <f>AP52/AP54</f>
        <v>0.38537877562203432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3</v>
      </c>
      <c r="AL53" s="123">
        <f>AI53-AJ53</f>
        <v>5</v>
      </c>
      <c r="AM53" s="123">
        <f>AL53-AL54</f>
        <v>12</v>
      </c>
      <c r="AN53" s="123">
        <f>AF53*3+AG53</f>
        <v>7</v>
      </c>
      <c r="AO53" s="123">
        <f>AN53/AN54*10+BA53</f>
        <v>9.7306763285024154</v>
      </c>
      <c r="AP53" s="123">
        <f>AO53*10000000+BI53*100+AM53/AM54*10+AI53/AI54*1++IF(AQ53=0,ROW(),AQ53)/2000000</f>
        <v>97306871.38426277</v>
      </c>
      <c r="AQ53" s="126">
        <f>VLOOKUP(AE53,db_fifarank,2,FALSE)</f>
        <v>1673.07</v>
      </c>
      <c r="AR53" s="125">
        <f>AP53/AP54</f>
        <v>0.99999998869451201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3</v>
      </c>
      <c r="AW53" s="126" cm="1">
        <f t="array" ref="AW53">SUMPRODUCT(($E$7:$E$78=AE53)*($U$7:$U$78)*($G$7:$G$78))+SUMPRODUCT(($H$7:$H$78=AE53)*($U$7:$U$78)*($F$7:$F$78))</f>
        <v>3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50.75</v>
      </c>
      <c r="BA53" s="126">
        <f>AZ53/AZ54</f>
        <v>0.98067632850241548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3</v>
      </c>
      <c r="BE53" s="126" cm="1">
        <f t="array" ref="BE53">SUMPRODUCT(($E$7:$E$78=AE53)*($X$7:$X$78)*($G$7:$G$78))+SUMPRODUCT(($H$7:$H$78=AE53)*($X$7:$X$78)*($F$7:$F$78))</f>
        <v>3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50.75</v>
      </c>
      <c r="BI53" s="126">
        <f>BH53/BH54</f>
        <v>0.98067632850241548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10</v>
      </c>
      <c r="AL54" s="123">
        <f>MIN(AL50:AL53)</f>
        <v>-7</v>
      </c>
      <c r="AM54" s="123">
        <f>MAX(AM50:AM53)+1</f>
        <v>13</v>
      </c>
      <c r="AN54" s="123">
        <f>MAX(AN50:AN53)+1</f>
        <v>8</v>
      </c>
      <c r="AO54" s="123">
        <f>MAX(AO50:AO53)+1</f>
        <v>10.730676328502415</v>
      </c>
      <c r="AP54" s="123">
        <f>MAX(AP50:AP53)+1</f>
        <v>97306872.48436445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4</v>
      </c>
      <c r="AW54" s="126">
        <f>MAX(AW50:AW53)-MIN(AW50:AW53)+1</f>
        <v>4</v>
      </c>
      <c r="AY54" s="126">
        <f>MAX(AY50:AY53)-MIN(AY50:AY53)+1</f>
        <v>1</v>
      </c>
      <c r="AZ54" s="126">
        <f>MAX(AZ50:AZ53)+1</f>
        <v>51.75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4</v>
      </c>
      <c r="BE54" s="126">
        <f>MAX(BE50:BE53)-MIN(BE50:BE53)+1</f>
        <v>4</v>
      </c>
      <c r="BG54" s="126">
        <f>MAX(BG50:BG53)-MIN(BG50:BG53)+1</f>
        <v>1</v>
      </c>
      <c r="BH54" s="126">
        <f>MAX(BH50:BH53)+1</f>
        <v>51.75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Jordan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12</v>
      </c>
      <c r="AN56" s="123">
        <f>AF56*3+AG56</f>
        <v>7</v>
      </c>
      <c r="AO56" s="123">
        <f>AN56/AN60*10+BA56</f>
        <v>9.7401639344262296</v>
      </c>
      <c r="AP56" s="123">
        <f>AO56*10000000+BI56*100+AM56/AM60*10+AI56/AI60*1++IF(AQ56=0,ROW(),AQ56)/2000000</f>
        <v>97401748.492363632</v>
      </c>
      <c r="AQ56" s="126">
        <f>VLOOKUP(AE56,db_fifarank,2,FALSE)</f>
        <v>1877.32</v>
      </c>
      <c r="AR56" s="125">
        <f>AP56/AP60</f>
        <v>0.999999989733244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100.66666666666667</v>
      </c>
      <c r="BA56" s="126">
        <f>AZ56/AZ60</f>
        <v>0.99016393442622952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100.66666666666667</v>
      </c>
      <c r="BI56" s="126">
        <f>BH56/BH60</f>
        <v>0.99016393442622952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4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0</v>
      </c>
      <c r="AJ57" s="123">
        <f>SUMIF($E$7:$E$78,$AE57,$G$7:$G$78) + SUMIF($H$7:$H$78,$AE57,$F$7:$F$78)</f>
        <v>6</v>
      </c>
      <c r="AL57" s="123">
        <f>AI57-AJ57</f>
        <v>-6</v>
      </c>
      <c r="AM57" s="123">
        <f>AL57-AL60</f>
        <v>0</v>
      </c>
      <c r="AN57" s="123">
        <f>AF57*3+AG57</f>
        <v>1</v>
      </c>
      <c r="AO57" s="123">
        <f>AN57/AN60*10+BA57</f>
        <v>2.2336065573770494</v>
      </c>
      <c r="AP57" s="123">
        <f>AO57*10000000+BI57*100+AM57/AM60*10+AI57/AI60*1++IF(AQ57=0,ROW(),AQ57)/2000000</f>
        <v>22336163.935270723</v>
      </c>
      <c r="AQ57" s="126">
        <f>VLOOKUP(AE57,db_fifarank,2,FALSE)</f>
        <v>1688.99</v>
      </c>
      <c r="AR57" s="125">
        <f>AP57/AP60</f>
        <v>0.22931994601413083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100</v>
      </c>
      <c r="BA57" s="126">
        <f>AZ57/AZ60</f>
        <v>0.98360655737704916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100</v>
      </c>
      <c r="BI57" s="126">
        <f>BH57/BH60</f>
        <v>0.98360655737704916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6 - 3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5</v>
      </c>
      <c r="AL58" s="123">
        <f>AI58-AJ58</f>
        <v>-3</v>
      </c>
      <c r="AM58" s="123">
        <f>AL58-AL60</f>
        <v>3</v>
      </c>
      <c r="AN58" s="123">
        <f>AF58*3+AG58</f>
        <v>1</v>
      </c>
      <c r="AO58" s="123">
        <f>AN58/AN60*10+BA58</f>
        <v>2.2336065573770494</v>
      </c>
      <c r="AP58" s="123">
        <f>AO58*10000000+BI58*100+AM58/AM60*10+AI58/AI60*1++IF(AQ58=0,ROW(),AQ58)/2000000</f>
        <v>22336166.442842107</v>
      </c>
      <c r="AQ58" s="126">
        <f>VLOOKUP(AE58,db_fifarank,2,FALSE)</f>
        <v>1447.14</v>
      </c>
      <c r="AR58" s="125">
        <f>AP58/AP60</f>
        <v>0.22931997175875449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100</v>
      </c>
      <c r="BA58" s="126">
        <f>AZ58/AZ60</f>
        <v>0.98360655737704916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100</v>
      </c>
      <c r="BI58" s="126">
        <f>BH58/BH60</f>
        <v>0.98360655737704916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1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2</v>
      </c>
      <c r="W59" s="123">
        <f t="shared" si="22"/>
        <v>2</v>
      </c>
      <c r="X59" s="123">
        <f t="shared" si="9"/>
        <v>1</v>
      </c>
      <c r="Y59" s="123">
        <f t="shared" si="10"/>
        <v>2</v>
      </c>
      <c r="Z59" s="123">
        <f t="shared" si="11"/>
        <v>2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9</v>
      </c>
      <c r="AN59" s="123">
        <f>AF59*3+AG59</f>
        <v>7</v>
      </c>
      <c r="AO59" s="123">
        <f>AN59/AN60*10+BA59</f>
        <v>9.7401639344262296</v>
      </c>
      <c r="AP59" s="123">
        <f>AO59*10000000+BI59*100+AM59/AM60*10+AI59/AI60*1++IF(AQ59=0,ROW(),AQ59)/2000000</f>
        <v>97401745.884508133</v>
      </c>
      <c r="AQ59" s="126">
        <f>VLOOKUP(AE59,db_fifarank,2,FALSE)</f>
        <v>1550.94</v>
      </c>
      <c r="AR59" s="125">
        <f>AP59/AP60</f>
        <v>0.99999996295902771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100.66666666666667</v>
      </c>
      <c r="BA59" s="126">
        <f>AZ59/AZ60</f>
        <v>0.99016393442622952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100.66666666666667</v>
      </c>
      <c r="BI59" s="126">
        <f>BH59/BH60</f>
        <v>0.99016393442622952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Senegal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0 - 6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10</v>
      </c>
      <c r="AL60" s="123">
        <f>MIN(AL56:AL59)</f>
        <v>-6</v>
      </c>
      <c r="AM60" s="123">
        <f>MAX(AM56:AM59)+1</f>
        <v>13</v>
      </c>
      <c r="AN60" s="123">
        <f>MAX(AN56:AN59)+1</f>
        <v>8</v>
      </c>
      <c r="AO60" s="123">
        <f>MAX(AO56:AO59)+1</f>
        <v>10.74016393442623</v>
      </c>
      <c r="AP60" s="123">
        <f>MAX(AP56:AP59)+1</f>
        <v>97401749.492363632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101.66666666666667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101.66666666666667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90000010.175540596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0</v>
      </c>
      <c r="W63" s="123">
        <f t="shared" si="22"/>
        <v>0</v>
      </c>
      <c r="X63" s="123">
        <f t="shared" si="9"/>
        <v>1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8</v>
      </c>
      <c r="AL63" s="123">
        <f>AI63-AJ63</f>
        <v>-6</v>
      </c>
      <c r="AM63" s="123">
        <f>AL63-AL66</f>
        <v>0</v>
      </c>
      <c r="AN63" s="123">
        <f>AF63*3+AG63</f>
        <v>1</v>
      </c>
      <c r="AO63" s="123">
        <f>AN63/AN66*10+BA63</f>
        <v>1</v>
      </c>
      <c r="AP63" s="123">
        <f>AO63*10000000+BI63*100+AM63/AM66*10+AI63/AI66*1++IF(AQ63=0,ROW(),AQ63)/2000000</f>
        <v>10000000.223004352</v>
      </c>
      <c r="AQ63" s="126">
        <f>VLOOKUP(AE63,db_fifarank,2,FALSE)</f>
        <v>1564.26</v>
      </c>
      <c r="AR63" s="125">
        <f>AP63/AP66</f>
        <v>0.11111109979197495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40000005.55635228</v>
      </c>
      <c r="AQ64" s="126">
        <f>VLOOKUP(AE64,db_fifarank,2,FALSE)</f>
        <v>1593.45</v>
      </c>
      <c r="AR64" s="125">
        <f>AP64/AP66</f>
        <v>0.44444445099383639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4</v>
      </c>
      <c r="AL65" s="123">
        <f>AI65-AJ65</f>
        <v>-2</v>
      </c>
      <c r="AM65" s="123">
        <f>AL65-AL66</f>
        <v>4</v>
      </c>
      <c r="AN65" s="123">
        <f>AF65*3+AG65</f>
        <v>2</v>
      </c>
      <c r="AO65" s="123">
        <f>AN65/AN66*10+BA65</f>
        <v>2</v>
      </c>
      <c r="AP65" s="123">
        <f>AO65*10000000+BI65*100+AM65/AM66*10+AI65/AI66*1++IF(AQ65=0,ROW(),AQ65)/2000000</f>
        <v>20000003.080060806</v>
      </c>
      <c r="AQ65" s="126">
        <f>VLOOKUP(AE65,db_fifarank,2,FALSE)</f>
        <v>1391.45</v>
      </c>
      <c r="AR65" s="125">
        <f>AP65/AP66</f>
        <v>0.22222222885119183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2 - 8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-6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90000011.175540596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0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0</v>
      </c>
      <c r="W68" s="123">
        <f t="shared" si="22"/>
        <v>0</v>
      </c>
      <c r="X68" s="123">
        <f t="shared" si="9"/>
        <v>1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97402069.979406655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22402060.63005757</v>
      </c>
      <c r="AQ69" s="126">
        <f>VLOOKUP(AE69,db_fifarank,2,FALSE)</f>
        <v>1478.35</v>
      </c>
      <c r="AR69" s="125">
        <f>AP69/AP72</f>
        <v>0.22999573217281952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22402059.915765353</v>
      </c>
      <c r="AQ70" s="126">
        <f>VLOOKUP(AE70,db_fifarank,2,FALSE)</f>
        <v>1465.34</v>
      </c>
      <c r="AR70" s="125">
        <f>AP70/AP72</f>
        <v>0.2299957248393798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97402067.503180817</v>
      </c>
      <c r="AQ71" s="126">
        <f>VLOOKUP(AE71,db_fifarank,2,FALSE)</f>
        <v>1693.09</v>
      </c>
      <c r="AR71" s="125">
        <f>AP71/AP72</f>
        <v>0.99999996431055516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32"/>
      <c r="BL71" s="26" t="str">
        <f>IF(group_round_completed,VLOOKUP('3rd places'!J3,AK80:AS91,9,FALSE),"3rd Group D/E/I/J/L")</f>
        <v>Iraq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3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3</v>
      </c>
      <c r="W72" s="123">
        <f t="shared" si="22"/>
        <v>3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3</v>
      </c>
      <c r="Z72" s="123">
        <f t="shared" ref="Z72:Z78" si="34">X72*G72</f>
        <v>3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97402070.979406655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11</v>
      </c>
      <c r="AN74" s="123">
        <f>AF74*3+AG74</f>
        <v>7</v>
      </c>
      <c r="AO74" s="123">
        <f>AN74/AN78*10+BA74</f>
        <v>9.7401639344262296</v>
      </c>
      <c r="AP74" s="123">
        <f>AO74*10000000+BI74*100+AM74/AM78*10+AI74/AI78*1++IF(AQ74=0,ROW(),AQ74)/2000000</f>
        <v>97401748.403235391</v>
      </c>
      <c r="AQ74" s="126">
        <f>VLOOKUP(AE74,db_fifarank,2,FALSE)</f>
        <v>1825.97</v>
      </c>
      <c r="AR74" s="125">
        <f>AP74/AP78</f>
        <v>0.999999989733244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100.66666666666667</v>
      </c>
      <c r="BA74" s="126">
        <f>AZ74/AZ78</f>
        <v>0.99016393442622952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100.66666666666667</v>
      </c>
      <c r="BI74" s="126">
        <f>BH74/BH78</f>
        <v>0.99016393442622952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3</v>
      </c>
      <c r="AL75" s="123">
        <f>AI75-AJ75</f>
        <v>4</v>
      </c>
      <c r="AM75" s="123">
        <f>AL75-AL78</f>
        <v>10</v>
      </c>
      <c r="AN75" s="123">
        <f>AF75*3+AG75</f>
        <v>7</v>
      </c>
      <c r="AO75" s="123">
        <f>AN75/AN78*10+BA75</f>
        <v>9.7401639344262296</v>
      </c>
      <c r="AP75" s="123">
        <f>AO75*10000000+BI75*100+AM75/AM78*10+AI75/AI78*1++IF(AQ75=0,ROW(),AQ75)/2000000</f>
        <v>97401747.569847599</v>
      </c>
      <c r="AQ75" s="126">
        <f>VLOOKUP(AE75,db_fifarank,2,FALSE)</f>
        <v>1717.07</v>
      </c>
      <c r="AR75" s="125">
        <f>AP75/AP78</f>
        <v>0.9999999811770548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100.66666666666667</v>
      </c>
      <c r="BA75" s="126">
        <f>AZ75/AZ78</f>
        <v>0.99016393442622952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100.66666666666667</v>
      </c>
      <c r="BI75" s="126">
        <f>BH75/BH78</f>
        <v>0.99016393442622952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7 - 3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6</v>
      </c>
      <c r="AL76" s="123">
        <f>AI76-AJ76</f>
        <v>-6</v>
      </c>
      <c r="AM76" s="123">
        <f>AL76-AL78</f>
        <v>0</v>
      </c>
      <c r="AN76" s="123">
        <f>AF76*3+AG76</f>
        <v>1</v>
      </c>
      <c r="AO76" s="123">
        <f>AN76/AN78*10+BA76</f>
        <v>2.2336065573770494</v>
      </c>
      <c r="AP76" s="123">
        <f>AO76*10000000+BI76*100+AM76/AM78*10+AI76/AI78*1++IF(AQ76=0,ROW(),AQ76)/2000000</f>
        <v>22336163.935099386</v>
      </c>
      <c r="AQ76" s="126">
        <f>VLOOKUP(AE76,db_fifarank,2,FALSE)</f>
        <v>1346.31</v>
      </c>
      <c r="AR76" s="125">
        <f>AP76/AP78</f>
        <v>0.22931994622221277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</v>
      </c>
      <c r="BA76" s="126">
        <f>AZ76/AZ78</f>
        <v>0.98360655737704916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</v>
      </c>
      <c r="BI76" s="126">
        <f>BH76/BH78</f>
        <v>0.98360655737704916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1 - 4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3</v>
      </c>
      <c r="AN77" s="123">
        <f>AF77*3+AG77</f>
        <v>1</v>
      </c>
      <c r="AO77" s="123">
        <f>AN77/AN78*10+BA77</f>
        <v>2.2336065573770494</v>
      </c>
      <c r="AP77" s="123">
        <f>AO77*10000000+BI77*100+AM77/AM78*10+AI77/AI78*1++IF(AQ77=0,ROW(),AQ77)/2000000</f>
        <v>22336166.560196549</v>
      </c>
      <c r="AQ77" s="126">
        <f>VLOOKUP(AE77,db_fifarank,2,FALSE)</f>
        <v>1540.64</v>
      </c>
      <c r="AR77" s="125">
        <f>AP77/AP78</f>
        <v>0.22931997317344496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</v>
      </c>
      <c r="BA77" s="126">
        <f>AZ77/AZ78</f>
        <v>0.98360655737704916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</v>
      </c>
      <c r="BI77" s="126">
        <f>BH77/BH78</f>
        <v>0.98360655737704916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8</v>
      </c>
      <c r="AL78" s="123">
        <f>MIN(AL74:AL77)</f>
        <v>-6</v>
      </c>
      <c r="AM78" s="123">
        <f>MAX(AM74:AM77)+1</f>
        <v>12</v>
      </c>
      <c r="AN78" s="123">
        <f>MAX(AN74:AN77)+1</f>
        <v>8</v>
      </c>
      <c r="AO78" s="123">
        <f>MAX(AO74:AO77)+1</f>
        <v>10.74016393442623</v>
      </c>
      <c r="AP78" s="123">
        <f>MAX(AP74:AP77)+1</f>
        <v>97401749.403235391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101.66666666666667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101.66666666666667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6908.3341276633328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1 - 2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4575.00072748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0</v>
      </c>
      <c r="M82" s="100">
        <f>VLOOKUP(2,$AD$80:$AN$91,4,FALSE)</f>
        <v>3</v>
      </c>
      <c r="N82" s="100">
        <f>VLOOKUP(2,$AD$80:$AN$91,5,FALSE)</f>
        <v>0</v>
      </c>
      <c r="O82" s="100" t="str">
        <f>VLOOKUP(2,$AD$80:$AN$91,6,FALSE) &amp; " - " &amp; VLOOKUP(2,$AD$80:$AN$91,7,FALSE)</f>
        <v>3 - 3</v>
      </c>
      <c r="P82" s="101">
        <f t="shared" ref="P82:P92" si="48">L82*3+M82</f>
        <v>3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6383.3340825083333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Saudi Arabia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3 - 6</v>
      </c>
      <c r="P83" s="101">
        <f t="shared" si="48"/>
        <v>3</v>
      </c>
      <c r="AD83" s="123">
        <f t="shared" si="38"/>
        <v>9</v>
      </c>
      <c r="AE83" s="124" t="str">
        <f>J29</f>
        <v>United States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4</v>
      </c>
      <c r="AK83" s="123" t="s">
        <v>3184</v>
      </c>
      <c r="AL83" s="123">
        <f t="shared" si="43"/>
        <v>-3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2358.3341698983336</v>
      </c>
      <c r="AQ83" s="126">
        <f t="shared" si="37"/>
        <v>1673.13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1</v>
      </c>
      <c r="AJ84" s="123">
        <f t="shared" si="42"/>
        <v>5</v>
      </c>
      <c r="AK84" s="123" t="s">
        <v>3185</v>
      </c>
      <c r="AL84" s="123">
        <f t="shared" si="43"/>
        <v>-4</v>
      </c>
      <c r="AM84" s="123">
        <f t="shared" si="44"/>
        <v>1</v>
      </c>
      <c r="AN84" s="123">
        <f t="shared" si="45"/>
        <v>1</v>
      </c>
      <c r="AP84" s="123">
        <f>AN84/AN92*10000+AM84/AM92*1000+AI84/AI92*100+IF(AQ84=0,ROW(),AQ84)/2000000</f>
        <v>2191.6674331566664</v>
      </c>
      <c r="AQ84" s="126">
        <f t="shared" si="37"/>
        <v>1532.98</v>
      </c>
      <c r="AR84" s="125" t="str">
        <f t="shared" si="50"/>
        <v>ABC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Qatar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3 - 5</v>
      </c>
      <c r="P85" s="101">
        <f t="shared" si="48"/>
        <v>2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8691.667496881666</v>
      </c>
      <c r="AQ85" s="126">
        <f t="shared" si="37"/>
        <v>1660.43</v>
      </c>
      <c r="AR85" s="125" t="str">
        <f t="shared" si="50"/>
        <v>ABCF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Jordan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7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4525.0006407849996</v>
      </c>
      <c r="AQ86" s="126">
        <f t="shared" si="37"/>
        <v>1281.57</v>
      </c>
      <c r="AR86" s="125" t="str">
        <f t="shared" si="50"/>
        <v>ABCFG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New Zealand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6408.3340440483335</v>
      </c>
      <c r="AQ87" s="126">
        <f t="shared" si="37"/>
        <v>1421.43</v>
      </c>
      <c r="AR87" s="125" t="str">
        <f t="shared" si="50"/>
        <v>ABCFGH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Ⓘ Iraq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1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8</v>
      </c>
      <c r="AE88" s="124" t="str">
        <f>J59</f>
        <v>Iraq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1</v>
      </c>
      <c r="AP88" s="123">
        <f>AN88/AN92*10000+AM88/AM92*1000+AI88/AI92*100+IF(AQ88=0,ROW(),AQ88)/2000000</f>
        <v>2383.3340569033335</v>
      </c>
      <c r="AQ88" s="126">
        <f t="shared" si="37"/>
        <v>1447.14</v>
      </c>
      <c r="AR88" s="125" t="str">
        <f t="shared" si="50"/>
        <v>ABCFGHI</v>
      </c>
      <c r="AS88" s="129" t="str">
        <f t="shared" si="46"/>
        <v>Iraq</v>
      </c>
      <c r="AT88" s="130" t="str">
        <f>"Ⓘ "&amp;AE88</f>
        <v>Ⓘ Iraq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United States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4550.0006957249998</v>
      </c>
      <c r="AQ89" s="126">
        <f t="shared" si="37"/>
        <v>1391.45</v>
      </c>
      <c r="AR89" s="125" t="str">
        <f t="shared" si="50"/>
        <v>ABCFGHIJ</v>
      </c>
      <c r="AS89" s="129" t="str">
        <f t="shared" si="46"/>
        <v>Jordan</v>
      </c>
      <c r="AT89" s="130" t="str">
        <f>"Ⓙ "&amp;AE89</f>
        <v>Ⓙ Jordan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2025.000739175</v>
      </c>
      <c r="AQ90" s="126">
        <f t="shared" si="37"/>
        <v>1478.35</v>
      </c>
      <c r="AR90" s="125" t="str">
        <f t="shared" si="50"/>
        <v>ABCFGHIJ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4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2358.3341036533334</v>
      </c>
      <c r="AQ91" s="126">
        <f t="shared" si="37"/>
        <v>1540.64</v>
      </c>
      <c r="AR91" s="125" t="str">
        <f t="shared" si="50"/>
        <v>ABCFGHIJ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4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390</v>
      </c>
      <c r="C3" s="121" t="str">
        <f>'2026 World Cup'!AR91</f>
        <v>ABCFGHIJ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2026-06-10T19:06:57Z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