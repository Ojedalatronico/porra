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fdac504fe3496/Desktop/"/>
    </mc:Choice>
  </mc:AlternateContent>
  <xr:revisionPtr revIDLastSave="9" documentId="8_{54236798-1465-4947-AD1A-6E83203BC6F0}" xr6:coauthVersionLast="47" xr6:coauthVersionMax="47" xr10:uidLastSave="{711F1FB0-D56B-49CE-B956-37AD978AC155}"/>
  <bookViews>
    <workbookView xWindow="195" yWindow="0" windowWidth="36990" windowHeight="21705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25" i="3"/>
  <c r="S47" i="3"/>
  <c r="S67" i="3"/>
  <c r="T23" i="3"/>
  <c r="T48" i="3"/>
  <c r="T43" i="3"/>
  <c r="S72" i="3"/>
  <c r="T19" i="3"/>
  <c r="T46" i="3"/>
  <c r="S70" i="3"/>
  <c r="S42" i="3"/>
  <c r="S64" i="3"/>
  <c r="S40" i="3"/>
  <c r="S62" i="3"/>
  <c r="S38" i="3"/>
  <c r="S65" i="3"/>
  <c r="T37" i="3"/>
  <c r="S55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21" i="3" l="1"/>
  <c r="AR22" i="3"/>
  <c r="AR28" i="3"/>
  <c r="AD57" i="3"/>
  <c r="AD58" i="3"/>
  <c r="AR33" i="3"/>
  <c r="AR34" i="3"/>
  <c r="AR35" i="3"/>
  <c r="AR9" i="3"/>
  <c r="AR10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22" i="3"/>
  <c r="AD28" i="3"/>
  <c r="AD53" i="3"/>
  <c r="AD33" i="3"/>
  <c r="AD35" i="3"/>
  <c r="AD34" i="3"/>
  <c r="AD32" i="3"/>
  <c r="M33" i="3" s="1"/>
  <c r="AD8" i="3"/>
  <c r="AD11" i="3"/>
  <c r="AD10" i="3"/>
  <c r="AD9" i="3"/>
  <c r="AD41" i="3"/>
  <c r="AD44" i="3"/>
  <c r="AD62" i="3"/>
  <c r="AD20" i="3"/>
  <c r="L21" i="3" s="1"/>
  <c r="AD15" i="3"/>
  <c r="L59" i="3"/>
  <c r="AD68" i="3"/>
  <c r="L69" i="3" s="1"/>
  <c r="L58" i="3"/>
  <c r="O60" i="3"/>
  <c r="N58" i="3"/>
  <c r="AD77" i="3"/>
  <c r="AD21" i="3"/>
  <c r="AD26" i="3"/>
  <c r="AD27" i="3"/>
  <c r="M59" i="3"/>
  <c r="AD76" i="3"/>
  <c r="AD70" i="3"/>
  <c r="AD75" i="3"/>
  <c r="AD63" i="3"/>
  <c r="AD47" i="3"/>
  <c r="AD71" i="3"/>
  <c r="AD29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O51" i="3" s="1"/>
  <c r="N59" i="3"/>
  <c r="AD17" i="3"/>
  <c r="L9" i="3" l="1"/>
  <c r="N33" i="3"/>
  <c r="J33" i="3"/>
  <c r="AS32" i="3" s="1"/>
  <c r="BL10" i="3" s="1"/>
  <c r="P58" i="3"/>
  <c r="M45" i="3"/>
  <c r="L33" i="3"/>
  <c r="P33" i="3" s="1"/>
  <c r="K58" i="3"/>
  <c r="J35" i="3"/>
  <c r="AE84" i="3" s="1"/>
  <c r="AQ84" i="3" s="1"/>
  <c r="J36" i="3"/>
  <c r="N36" i="3"/>
  <c r="M36" i="3"/>
  <c r="L35" i="3"/>
  <c r="O36" i="3"/>
  <c r="L34" i="3"/>
  <c r="O35" i="3"/>
  <c r="L36" i="3"/>
  <c r="M35" i="3"/>
  <c r="O34" i="3"/>
  <c r="O33" i="3"/>
  <c r="J34" i="3"/>
  <c r="AS33" i="3" s="1"/>
  <c r="BL46" i="3" s="1"/>
  <c r="BS45" i="3" s="1"/>
  <c r="BZ48" i="3" s="1"/>
  <c r="N34" i="3"/>
  <c r="M34" i="3"/>
  <c r="N35" i="3"/>
  <c r="N10" i="3"/>
  <c r="J12" i="3"/>
  <c r="J9" i="3"/>
  <c r="AS8" i="3" s="1"/>
  <c r="BL50" i="3" s="1"/>
  <c r="M12" i="3"/>
  <c r="L12" i="3"/>
  <c r="M9" i="3"/>
  <c r="P9" i="3" s="1"/>
  <c r="O12" i="3"/>
  <c r="N9" i="3"/>
  <c r="O9" i="3"/>
  <c r="N12" i="3"/>
  <c r="J10" i="3"/>
  <c r="AS9" i="3" s="1"/>
  <c r="BL18" i="3" s="1"/>
  <c r="O45" i="3"/>
  <c r="M11" i="3"/>
  <c r="N11" i="3"/>
  <c r="L10" i="3"/>
  <c r="O10" i="3"/>
  <c r="L11" i="3"/>
  <c r="J11" i="3"/>
  <c r="AE80" i="3" s="1"/>
  <c r="AQ80" i="3" s="1"/>
  <c r="O11" i="3"/>
  <c r="M69" i="3"/>
  <c r="P69" i="3" s="1"/>
  <c r="O47" i="3"/>
  <c r="M10" i="3"/>
  <c r="J69" i="3"/>
  <c r="AS68" i="3" s="1"/>
  <c r="BL70" i="3" s="1"/>
  <c r="O69" i="3"/>
  <c r="O65" i="3"/>
  <c r="L45" i="3"/>
  <c r="J45" i="3"/>
  <c r="AS44" i="3" s="1"/>
  <c r="BL38" i="3" s="1"/>
  <c r="N45" i="3"/>
  <c r="N75" i="3"/>
  <c r="L63" i="3"/>
  <c r="J63" i="3"/>
  <c r="AS62" i="3" s="1"/>
  <c r="BL58" i="3" s="1"/>
  <c r="BS60" i="3" s="1"/>
  <c r="BZ64" i="3" s="1"/>
  <c r="N63" i="3"/>
  <c r="O63" i="3"/>
  <c r="M63" i="3"/>
  <c r="N30" i="3"/>
  <c r="L70" i="3"/>
  <c r="N28" i="3"/>
  <c r="O29" i="3"/>
  <c r="J27" i="3"/>
  <c r="AS26" i="3" s="1"/>
  <c r="BL34" i="3" s="1"/>
  <c r="J30" i="3"/>
  <c r="M21" i="3"/>
  <c r="P21" i="3" s="1"/>
  <c r="N21" i="3"/>
  <c r="N22" i="3"/>
  <c r="L22" i="3"/>
  <c r="O22" i="3"/>
  <c r="O21" i="3"/>
  <c r="N69" i="3"/>
  <c r="O24" i="3"/>
  <c r="J24" i="3"/>
  <c r="M24" i="3"/>
  <c r="J21" i="3"/>
  <c r="AS20" i="3" s="1"/>
  <c r="BL42" i="3" s="1"/>
  <c r="BS44" i="3" s="1"/>
  <c r="N24" i="3"/>
  <c r="J29" i="3"/>
  <c r="AE83" i="3" s="1"/>
  <c r="AQ83" i="3" s="1"/>
  <c r="L24" i="3"/>
  <c r="N64" i="3"/>
  <c r="P59" i="3"/>
  <c r="N65" i="3"/>
  <c r="J42" i="3"/>
  <c r="L47" i="3"/>
  <c r="M76" i="3"/>
  <c r="O75" i="3"/>
  <c r="O42" i="3"/>
  <c r="M22" i="3"/>
  <c r="J76" i="3"/>
  <c r="AS75" i="3" s="1"/>
  <c r="BL27" i="3" s="1"/>
  <c r="L78" i="3"/>
  <c r="N78" i="3"/>
  <c r="L40" i="3"/>
  <c r="L30" i="3"/>
  <c r="M65" i="3"/>
  <c r="L15" i="3"/>
  <c r="O76" i="3"/>
  <c r="O78" i="3"/>
  <c r="M78" i="3"/>
  <c r="L76" i="3"/>
  <c r="M39" i="3"/>
  <c r="M40" i="3"/>
  <c r="O27" i="3"/>
  <c r="J22" i="3"/>
  <c r="AS21" i="3" s="1"/>
  <c r="BL23" i="3" s="1"/>
  <c r="O30" i="3"/>
  <c r="M46" i="3"/>
  <c r="M28" i="3"/>
  <c r="M30" i="3"/>
  <c r="AN88" i="3"/>
  <c r="J65" i="3"/>
  <c r="AE89" i="3" s="1"/>
  <c r="AQ89" i="3" s="1"/>
  <c r="O28" i="3"/>
  <c r="L27" i="3"/>
  <c r="K59" i="3"/>
  <c r="N17" i="3"/>
  <c r="AJ88" i="3"/>
  <c r="L51" i="3"/>
  <c r="L42" i="3"/>
  <c r="O72" i="3"/>
  <c r="J51" i="3"/>
  <c r="AS50" i="3" s="1"/>
  <c r="BL30" i="3" s="1"/>
  <c r="L28" i="3"/>
  <c r="N51" i="3"/>
  <c r="N71" i="3"/>
  <c r="M71" i="3"/>
  <c r="M51" i="3"/>
  <c r="L29" i="3"/>
  <c r="L71" i="3"/>
  <c r="M47" i="3"/>
  <c r="N29" i="3"/>
  <c r="L18" i="3"/>
  <c r="N77" i="3"/>
  <c r="O70" i="3"/>
  <c r="M27" i="3"/>
  <c r="O16" i="3"/>
  <c r="L23" i="3"/>
  <c r="M77" i="3"/>
  <c r="N70" i="3"/>
  <c r="M29" i="3"/>
  <c r="M16" i="3"/>
  <c r="P57" i="3"/>
  <c r="J77" i="3"/>
  <c r="AE91" i="3" s="1"/>
  <c r="AQ91" i="3" s="1"/>
  <c r="N27" i="3"/>
  <c r="AI88" i="3"/>
  <c r="L65" i="3"/>
  <c r="O71" i="3"/>
  <c r="O77" i="3"/>
  <c r="M72" i="3"/>
  <c r="L72" i="3"/>
  <c r="L77" i="3"/>
  <c r="AT88" i="3"/>
  <c r="AG88" i="3"/>
  <c r="N46" i="3"/>
  <c r="L75" i="3"/>
  <c r="L17" i="3"/>
  <c r="J46" i="3"/>
  <c r="AS45" i="3" s="1"/>
  <c r="BL63" i="3" s="1"/>
  <c r="N18" i="3"/>
  <c r="J70" i="3"/>
  <c r="AS69" i="3" s="1"/>
  <c r="BL26" i="3" s="1"/>
  <c r="O18" i="3"/>
  <c r="J71" i="3"/>
  <c r="AE90" i="3" s="1"/>
  <c r="AQ90" i="3" s="1"/>
  <c r="J48" i="3"/>
  <c r="L16" i="3"/>
  <c r="J64" i="3"/>
  <c r="AS63" i="3" s="1"/>
  <c r="BL31" i="3" s="1"/>
  <c r="N47" i="3"/>
  <c r="J47" i="3"/>
  <c r="AE86" i="3" s="1"/>
  <c r="AQ86" i="3" s="1"/>
  <c r="J72" i="3"/>
  <c r="O64" i="3"/>
  <c r="M42" i="3"/>
  <c r="J28" i="3"/>
  <c r="AS27" i="3" s="1"/>
  <c r="BL62" i="3" s="1"/>
  <c r="BS61" i="3" s="1"/>
  <c r="J18" i="3"/>
  <c r="N40" i="3"/>
  <c r="M54" i="3"/>
  <c r="N72" i="3"/>
  <c r="O39" i="3"/>
  <c r="O17" i="3"/>
  <c r="L66" i="3"/>
  <c r="J52" i="3"/>
  <c r="AS51" i="3" s="1"/>
  <c r="BL59" i="3" s="1"/>
  <c r="J66" i="3"/>
  <c r="O66" i="3"/>
  <c r="N66" i="3"/>
  <c r="M66" i="3"/>
  <c r="AF88" i="3"/>
  <c r="N48" i="3"/>
  <c r="M64" i="3"/>
  <c r="L39" i="3"/>
  <c r="M17" i="3"/>
  <c r="M41" i="3"/>
  <c r="M70" i="3"/>
  <c r="N39" i="3"/>
  <c r="J78" i="3"/>
  <c r="O48" i="3"/>
  <c r="J39" i="3"/>
  <c r="AS38" i="3" s="1"/>
  <c r="BL22" i="3" s="1"/>
  <c r="N76" i="3"/>
  <c r="N54" i="3"/>
  <c r="N53" i="3"/>
  <c r="L64" i="3"/>
  <c r="L48" i="3"/>
  <c r="M48" i="3"/>
  <c r="O54" i="3"/>
  <c r="O40" i="3"/>
  <c r="O23" i="3"/>
  <c r="O46" i="3"/>
  <c r="J40" i="3"/>
  <c r="AS39" i="3" s="1"/>
  <c r="BL43" i="3" s="1"/>
  <c r="N16" i="3"/>
  <c r="M75" i="3"/>
  <c r="J41" i="3"/>
  <c r="AE85" i="3" s="1"/>
  <c r="AQ85" i="3" s="1"/>
  <c r="M18" i="3"/>
  <c r="J75" i="3"/>
  <c r="AS74" i="3" s="1"/>
  <c r="BL54" i="3" s="1"/>
  <c r="L54" i="3"/>
  <c r="L46" i="3"/>
  <c r="J16" i="3"/>
  <c r="AS15" i="3" s="1"/>
  <c r="BL19" i="3" s="1"/>
  <c r="K57" i="3"/>
  <c r="N52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0" i="3" l="1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K33" i="3"/>
  <c r="AI84" i="3"/>
  <c r="AH84" i="3"/>
  <c r="AT84" i="3"/>
  <c r="AN84" i="3"/>
  <c r="AL84" i="3"/>
  <c r="AF84" i="3"/>
  <c r="AJ84" i="3"/>
  <c r="AG84" i="3"/>
  <c r="P35" i="3"/>
  <c r="K36" i="3"/>
  <c r="P34" i="3"/>
  <c r="P36" i="3"/>
  <c r="K34" i="3"/>
  <c r="K35" i="3"/>
  <c r="P11" i="3"/>
  <c r="P12" i="3"/>
  <c r="P10" i="3"/>
  <c r="K10" i="3"/>
  <c r="K12" i="3"/>
  <c r="K9" i="3"/>
  <c r="AT80" i="3"/>
  <c r="AN80" i="3"/>
  <c r="P63" i="3"/>
  <c r="K11" i="3"/>
  <c r="K45" i="3"/>
  <c r="P45" i="3"/>
  <c r="AL80" i="3"/>
  <c r="AH80" i="3"/>
  <c r="AG80" i="3"/>
  <c r="K63" i="3"/>
  <c r="AJ80" i="3"/>
  <c r="AI80" i="3"/>
  <c r="AF80" i="3"/>
  <c r="K21" i="3"/>
  <c r="K69" i="3"/>
  <c r="P70" i="3"/>
  <c r="P24" i="3"/>
  <c r="AI83" i="3"/>
  <c r="AG83" i="3"/>
  <c r="K72" i="3"/>
  <c r="AF83" i="3"/>
  <c r="K24" i="3"/>
  <c r="AT83" i="3"/>
  <c r="AN83" i="3"/>
  <c r="K28" i="3"/>
  <c r="P40" i="3"/>
  <c r="P52" i="3"/>
  <c r="P27" i="3"/>
  <c r="K30" i="3"/>
  <c r="K22" i="3"/>
  <c r="K27" i="3"/>
  <c r="AN89" i="3"/>
  <c r="AH85" i="3"/>
  <c r="AG85" i="3"/>
  <c r="AL89" i="3"/>
  <c r="AH81" i="3"/>
  <c r="AI89" i="3"/>
  <c r="AG81" i="3"/>
  <c r="AH89" i="3"/>
  <c r="AG89" i="3"/>
  <c r="P76" i="3"/>
  <c r="P30" i="3"/>
  <c r="AI81" i="3"/>
  <c r="AJ89" i="3"/>
  <c r="AL83" i="3"/>
  <c r="P42" i="3"/>
  <c r="AJ83" i="3"/>
  <c r="P65" i="3"/>
  <c r="K78" i="3"/>
  <c r="AF85" i="3"/>
  <c r="P28" i="3"/>
  <c r="AH83" i="3"/>
  <c r="AF82" i="3"/>
  <c r="P23" i="3"/>
  <c r="AH91" i="3"/>
  <c r="AG91" i="3"/>
  <c r="K41" i="3"/>
  <c r="P47" i="3"/>
  <c r="P54" i="3"/>
  <c r="P16" i="3"/>
  <c r="K51" i="3"/>
  <c r="P22" i="3"/>
  <c r="AF91" i="3"/>
  <c r="P77" i="3"/>
  <c r="K71" i="3"/>
  <c r="K76" i="3"/>
  <c r="K40" i="3"/>
  <c r="P72" i="3"/>
  <c r="AF89" i="3"/>
  <c r="AI85" i="3"/>
  <c r="P15" i="3"/>
  <c r="P39" i="3"/>
  <c r="P71" i="3"/>
  <c r="AF81" i="3"/>
  <c r="K29" i="3"/>
  <c r="AT86" i="3"/>
  <c r="P78" i="3"/>
  <c r="K77" i="3"/>
  <c r="AT91" i="3"/>
  <c r="K39" i="3"/>
  <c r="P46" i="3"/>
  <c r="P51" i="3"/>
  <c r="AN91" i="3"/>
  <c r="AL91" i="3"/>
  <c r="K65" i="3"/>
  <c r="AJ91" i="3"/>
  <c r="P66" i="3"/>
  <c r="P75" i="3"/>
  <c r="AT89" i="3"/>
  <c r="AI91" i="3"/>
  <c r="AJ90" i="3"/>
  <c r="K66" i="3"/>
  <c r="AF90" i="3"/>
  <c r="AT81" i="3"/>
  <c r="K75" i="3"/>
  <c r="P17" i="3"/>
  <c r="K47" i="3"/>
  <c r="AN81" i="3"/>
  <c r="K18" i="3"/>
  <c r="AT90" i="3"/>
  <c r="AN90" i="3"/>
  <c r="AH90" i="3"/>
  <c r="AL90" i="3"/>
  <c r="AI90" i="3"/>
  <c r="AG90" i="3"/>
  <c r="AL81" i="3"/>
  <c r="P29" i="3"/>
  <c r="AJ81" i="3"/>
  <c r="K42" i="3"/>
  <c r="K54" i="3"/>
  <c r="AN86" i="3"/>
  <c r="AF86" i="3"/>
  <c r="AN82" i="3"/>
  <c r="AJ82" i="3"/>
  <c r="AT85" i="3"/>
  <c r="K46" i="3"/>
  <c r="AL86" i="3"/>
  <c r="AJ86" i="3"/>
  <c r="AI86" i="3"/>
  <c r="AH86" i="3"/>
  <c r="K16" i="3"/>
  <c r="K15" i="3"/>
  <c r="AG86" i="3"/>
  <c r="AI82" i="3"/>
  <c r="AN85" i="3"/>
  <c r="AH82" i="3"/>
  <c r="AL85" i="3"/>
  <c r="P48" i="3"/>
  <c r="AG82" i="3"/>
  <c r="AJ85" i="3"/>
  <c r="K23" i="3"/>
  <c r="K64" i="3"/>
  <c r="P64" i="3"/>
  <c r="P41" i="3"/>
  <c r="K48" i="3"/>
  <c r="AT87" i="3"/>
  <c r="AN87" i="3"/>
  <c r="K17" i="3"/>
  <c r="AG87" i="3"/>
  <c r="P53" i="3"/>
  <c r="AF87" i="3"/>
  <c r="K70" i="3"/>
  <c r="AL87" i="3"/>
  <c r="AJ87" i="3"/>
  <c r="P18" i="3"/>
  <c r="K53" i="3"/>
  <c r="AH87" i="3"/>
  <c r="AT8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S96" i="3"/>
  <c r="T96" i="3" s="1" a="1"/>
  <c r="T96" i="3" s="1"/>
  <c r="AF92" i="3"/>
  <c r="AJ92" i="3"/>
  <c r="AG92" i="3"/>
  <c r="AI92" i="3"/>
  <c r="AH92" i="3"/>
  <c r="AL92" i="3"/>
  <c r="AM88" i="3" s="1"/>
  <c r="AS92" i="3"/>
  <c r="AN92" i="3"/>
  <c r="S103" i="3" l="1"/>
  <c r="T103" i="3" s="1" a="1"/>
  <c r="T103" i="3" s="1"/>
  <c r="CG24" i="3"/>
  <c r="AM83" i="3"/>
  <c r="AM85" i="3"/>
  <c r="AM86" i="3"/>
  <c r="AM87" i="3"/>
  <c r="AM81" i="3"/>
  <c r="AM80" i="3"/>
  <c r="AM89" i="3"/>
  <c r="AM90" i="3"/>
  <c r="AM82" i="3"/>
  <c r="AM91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U102" i="3" s="1"/>
  <c r="AC102" i="3" s="1" a="1"/>
  <c r="AC102" i="3" s="1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CN48" i="3"/>
  <c r="AD90" i="3"/>
  <c r="AS90" i="3" s="1"/>
  <c r="AD88" i="3"/>
  <c r="AS88" i="3" s="1"/>
  <c r="AD80" i="3"/>
  <c r="AS80" i="3" s="1"/>
  <c r="AD87" i="3"/>
  <c r="AS87" i="3" s="1"/>
  <c r="AD81" i="3"/>
  <c r="AS81" i="3" s="1"/>
  <c r="AD82" i="3"/>
  <c r="AS82" i="3" s="1"/>
  <c r="AD91" i="3"/>
  <c r="AS91" i="3" s="1"/>
  <c r="AD83" i="3"/>
  <c r="AS83" i="3" s="1"/>
  <c r="AD84" i="3"/>
  <c r="AS84" i="3" s="1"/>
  <c r="AD86" i="3"/>
  <c r="AS86" i="3" s="1"/>
  <c r="AD89" i="3"/>
  <c r="AS89" i="3" s="1"/>
  <c r="AD85" i="3"/>
  <c r="AS85" i="3" s="1"/>
  <c r="N86" i="3" l="1"/>
  <c r="M86" i="3"/>
  <c r="L86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6" i="3"/>
  <c r="J86" i="3"/>
  <c r="L91" i="3"/>
  <c r="M84" i="3"/>
  <c r="L84" i="3"/>
  <c r="N85" i="3"/>
  <c r="J87" i="3"/>
  <c r="L88" i="3"/>
  <c r="M85" i="3"/>
  <c r="N89" i="3"/>
  <c r="M89" i="3"/>
  <c r="J91" i="3"/>
  <c r="M88" i="3"/>
  <c r="L82" i="3"/>
  <c r="L87" i="3"/>
  <c r="M91" i="3"/>
  <c r="O88" i="3"/>
  <c r="N92" i="3"/>
  <c r="J85" i="3"/>
  <c r="N83" i="3"/>
  <c r="O81" i="3"/>
  <c r="J81" i="3"/>
  <c r="L92" i="3"/>
  <c r="N88" i="3"/>
  <c r="M87" i="3"/>
  <c r="O89" i="3"/>
  <c r="N84" i="3"/>
  <c r="L89" i="3"/>
  <c r="N91" i="3"/>
  <c r="L83" i="3"/>
  <c r="O84" i="3"/>
  <c r="M83" i="3"/>
  <c r="O83" i="3"/>
  <c r="L85" i="3"/>
  <c r="N87" i="3"/>
  <c r="M81" i="3"/>
  <c r="O87" i="3"/>
  <c r="O92" i="3"/>
  <c r="J83" i="3"/>
  <c r="J92" i="3"/>
  <c r="M92" i="3"/>
  <c r="L90" i="3"/>
  <c r="M82" i="3"/>
  <c r="O90" i="3"/>
  <c r="J90" i="3"/>
  <c r="J88" i="3"/>
  <c r="J82" i="3"/>
  <c r="O91" i="3"/>
  <c r="O82" i="3"/>
  <c r="N90" i="3"/>
  <c r="L81" i="3"/>
  <c r="J84" i="3"/>
  <c r="M90" i="3"/>
  <c r="N81" i="3"/>
  <c r="O85" i="3"/>
  <c r="J89" i="3"/>
  <c r="N82" i="3"/>
  <c r="P83" i="3" l="1"/>
  <c r="P88" i="3"/>
  <c r="P81" i="3"/>
  <c r="K81" i="3"/>
  <c r="K85" i="3"/>
  <c r="P89" i="3"/>
  <c r="K84" i="3"/>
  <c r="K91" i="3"/>
  <c r="P87" i="3"/>
  <c r="P84" i="3"/>
  <c r="K92" i="3"/>
  <c r="P86" i="3"/>
  <c r="K89" i="3"/>
  <c r="K86" i="3"/>
  <c r="K82" i="3"/>
  <c r="K90" i="3"/>
  <c r="K83" i="3"/>
  <c r="K3" i="4"/>
  <c r="BL55" i="3" s="1"/>
  <c r="K87" i="3"/>
  <c r="D3" i="4"/>
  <c r="BL51" i="3" s="1"/>
  <c r="BS52" i="3" s="1"/>
  <c r="BZ49" i="3" s="1"/>
  <c r="CG55" i="3" s="1"/>
  <c r="CN49" i="3" s="1"/>
  <c r="B3" i="4"/>
  <c r="J3" i="4"/>
  <c r="BL71" i="3" s="1"/>
  <c r="G3" i="4"/>
  <c r="BL11" i="3" s="1"/>
  <c r="I3" i="4"/>
  <c r="BL15" i="3" s="1"/>
  <c r="H3" i="4"/>
  <c r="BL39" i="3" s="1"/>
  <c r="E3" i="4"/>
  <c r="BL67" i="3" s="1"/>
  <c r="P82" i="3"/>
  <c r="K88" i="3"/>
  <c r="P91" i="3"/>
  <c r="P92" i="3"/>
  <c r="P90" i="3"/>
  <c r="P85" i="3"/>
  <c r="BS53" i="3"/>
  <c r="BS69" i="3"/>
  <c r="BZ65" i="3" s="1"/>
  <c r="CG56" i="3" s="1"/>
  <c r="BS68" i="3"/>
  <c r="CN38" i="3" l="1"/>
  <c r="CK68" i="3" s="1"/>
  <c r="S91" i="3"/>
  <c r="T91" i="3" s="1" a="1"/>
  <c r="T91" i="3" s="1"/>
  <c r="BS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<sst xmlns="http://schemas.openxmlformats.org/spreadsheetml/2006/main" count="9785" uniqueCount="3699">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</sst>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5" zoomScaleNormal="100" workbookViewId="0">
      <selection activeCell="CH57" sqref="CH57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87500009.40560241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1</v>
      </c>
      <c r="AN9" s="123">
        <f>AF9*3+AG9</f>
        <v>2</v>
      </c>
      <c r="AO9" s="123">
        <f>AN9/AN12*10+BA9</f>
        <v>2.5</v>
      </c>
      <c r="AP9" s="123">
        <f>AO9*10000000+BI9*100+AM9/AM12*10+AI9/AI12*1++IF(AQ9=0,ROW(),AQ9)/2000000</f>
        <v>25000001.762619626</v>
      </c>
      <c r="AQ9" s="126">
        <f>VLOOKUP(AE9,db_fifarank,2,FALSE)</f>
        <v>1429.73</v>
      </c>
      <c r="AR9" s="125">
        <f>AP9/AP12</f>
        <v>0.28571427188103438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5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75000007.976984814</v>
      </c>
      <c r="AQ10" s="126">
        <f>VLOOKUP(AE10,db_fifarank,2,FALSE)</f>
        <v>1588.66</v>
      </c>
      <c r="AR10" s="125">
        <f>AP10/AP12</f>
        <v>0.85714284637596738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5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1.25</v>
      </c>
      <c r="AP11" s="123">
        <f>AO11*10000000+BI11*100+AM11/AM12*10+AI11/AI12*1++IF(AQ11=0,ROW(),AQ11)/2000000</f>
        <v>12500000.334084025</v>
      </c>
      <c r="AQ11" s="126">
        <f>VLOOKUP(AE11,db_fifarank,2,FALSE)</f>
        <v>1501.38</v>
      </c>
      <c r="AR11" s="125">
        <f>AP11/AP12</f>
        <v>0.14285712968650893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87500010.40560241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9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62500009.834111579</v>
      </c>
      <c r="AQ14" s="126">
        <f>VLOOKUP(AE14,db_fifarank,2,FALSE)</f>
        <v>1556.48</v>
      </c>
      <c r="AR14" s="125">
        <f>AP14/AP18</f>
        <v>0.71428573823345154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6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50000006.667359583</v>
      </c>
      <c r="AQ15" s="126">
        <f>VLOOKUP(AE15,db_fifarank,2,FALSE)</f>
        <v>1385.84</v>
      </c>
      <c r="AR15" s="125">
        <f>AP15/AP18</f>
        <v>0.57142857687328086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0.16739414666666666</v>
      </c>
      <c r="AQ16" s="126">
        <f>VLOOKUP(AE16,db_fifarank,2,FALSE)</f>
        <v>1454.96</v>
      </c>
      <c r="AR16" s="125">
        <f>AP16/AP18</f>
        <v>1.9130757250297364E-9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87500009.834158033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2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1</v>
      </c>
      <c r="AL20" s="123">
        <f>AI20-AJ20</f>
        <v>5</v>
      </c>
      <c r="AM20" s="123">
        <f>AL20-AL24</f>
        <v>12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87500010.088792667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9</v>
      </c>
      <c r="AN21" s="123">
        <f>AF21*3+AG21</f>
        <v>6</v>
      </c>
      <c r="AO21" s="123">
        <f>AN21/AN24*10+BA21</f>
        <v>7.5</v>
      </c>
      <c r="AP21" s="123">
        <f>AO21*10000000+BI21*100+AM21/AM24*10+AI21/AI24*1++IF(AQ21=0,ROW(),AQ21)/2000000</f>
        <v>75000007.78109771</v>
      </c>
      <c r="AQ21" s="126">
        <f>VLOOKUP(AE21,db_fifarank,2,FALSE)</f>
        <v>1755.87</v>
      </c>
      <c r="AR21" s="125">
        <f>AP21/AP24</f>
        <v>0.85714283744478281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0.14350299785714285</v>
      </c>
      <c r="AQ22" s="126">
        <f>VLOOKUP(AE22,db_fifarank,2,FALSE)</f>
        <v>1291.71</v>
      </c>
      <c r="AR22" s="125">
        <f>AP22/AP24</f>
        <v>1.6400340533845172E-9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2 - 2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2</v>
      </c>
      <c r="AL23" s="123">
        <f>AI23-AJ23</f>
        <v>0</v>
      </c>
      <c r="AM23" s="123">
        <f>AL23-AL24</f>
        <v>7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50000005.671078846</v>
      </c>
      <c r="AQ23" s="126">
        <f>VLOOKUP(AE23,db_fifarank,2,FALSE)</f>
        <v>1498.35</v>
      </c>
      <c r="AR23" s="125">
        <f>AP23/AP24</f>
        <v>0.57142856382429685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Netherlands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7</v>
      </c>
      <c r="AL24" s="123">
        <f>MIN(AL20:AL23)</f>
        <v>-7</v>
      </c>
      <c r="AM24" s="123">
        <f>MAX(AM20:AM23)+1</f>
        <v>13</v>
      </c>
      <c r="AN24" s="123">
        <f>MAX(AN20:AN23)+1</f>
        <v>8</v>
      </c>
      <c r="AO24" s="123">
        <f>MAX(AO20:AO23)+1</f>
        <v>9.75</v>
      </c>
      <c r="AP24" s="123">
        <f>MAX(AP20:AP23)+1</f>
        <v>87500011.088792667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4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75000005.016709581</v>
      </c>
      <c r="AQ26" s="126">
        <f>VLOOKUP(AE26,db_fifarank,2,FALSE)</f>
        <v>1673.13</v>
      </c>
      <c r="AR26" s="125">
        <f>AP26/AP30</f>
        <v>0.85714280920160502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50000004.873767622</v>
      </c>
      <c r="AQ27" s="126">
        <f>VLOOKUP(AE27,db_fifarank,2,FALSE)</f>
        <v>1503.5</v>
      </c>
      <c r="AR27" s="125">
        <f>AP27/AP30</f>
        <v>0.57142855694538675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0.28650462071428567</v>
      </c>
      <c r="AQ28" s="126">
        <f>VLOOKUP(AE28,db_fifarank,2,FALSE)</f>
        <v>1580.67</v>
      </c>
      <c r="AR28" s="125">
        <f>AP28/AP30</f>
        <v>3.27433812029173E-9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87500009.746831268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0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Uzbekistan_draw</v>
      </c>
      <c r="T30" s="127" t="str">
        <f t="shared" si="2"/>
        <v>Colombia_draw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0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87500010.746831268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1</v>
      </c>
      <c r="AL32" s="123">
        <f>AI32-AJ32</f>
        <v>4</v>
      </c>
      <c r="AM32" s="123">
        <f>AL32-AL36</f>
        <v>9</v>
      </c>
      <c r="AN32" s="123">
        <f>AF32*3+AG32</f>
        <v>6</v>
      </c>
      <c r="AO32" s="123">
        <f>AN32/AN36*10+BA32</f>
        <v>9.569466504718303</v>
      </c>
      <c r="AP32" s="123">
        <f>AO32*10000000+BI32*100+AM32/AM36*10+AI32/AI36*1++IF(AQ32=0,ROW(),AQ32)/2000000</f>
        <v>95694674.881381556</v>
      </c>
      <c r="AQ32" s="126">
        <f>VLOOKUP(AE32,db_fifarank,2,FALSE)</f>
        <v>1730.37</v>
      </c>
      <c r="AR32" s="125">
        <f>AP32/AP36</f>
        <v>0.99999998955009783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1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2</v>
      </c>
      <c r="AY32" s="126">
        <f>AX32-MIN(AX32:AX35)</f>
        <v>4</v>
      </c>
      <c r="AZ32" s="126">
        <f>AT32/AT36*1000+AU32/AU36*100+AY32/AY36*10+AV32/AV36</f>
        <v>508.66666666666669</v>
      </c>
      <c r="BA32" s="126">
        <f>AZ32/AZ36</f>
        <v>0.99803793328973189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5 - 1</v>
      </c>
      <c r="P33" s="32">
        <f>L33*3+M33</f>
        <v>6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7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1.436419695412501</v>
      </c>
      <c r="AP33" s="123">
        <f>AO33*10000000+BI33*100+AM33/AM36*10+AI33/AI36*1++IF(AQ33=0,ROW(),AQ33)/2000000</f>
        <v>14364197.288105669</v>
      </c>
      <c r="AQ33" s="126">
        <f>VLOOKUP(AE33,db_fifarank,2,FALSE)</f>
        <v>1294.6500000000001</v>
      </c>
      <c r="AR33" s="125">
        <f>AP33/AP36</f>
        <v>0.15010445623861901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2</v>
      </c>
      <c r="AZ33" s="126">
        <f>AT33/AT36*1000+AU33/AU36*100+AY33/AY36*10+AV33/AV36</f>
        <v>4</v>
      </c>
      <c r="BA33" s="126">
        <f>AZ33/AZ36</f>
        <v>7.8482668410725966E-3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6</v>
      </c>
      <c r="AN34" s="123">
        <f>AF34*3+AG34</f>
        <v>6</v>
      </c>
      <c r="AO34" s="123">
        <f>AN34/AN36*10+BA34</f>
        <v>8.5714285714285712</v>
      </c>
      <c r="AP34" s="123">
        <f>AO34*10000000+BI34*100+AM34/AM36*10+AI34/AI36*1++IF(AQ34=0,ROW(),AQ34)/2000000</f>
        <v>85714292.381718874</v>
      </c>
      <c r="AQ34" s="126">
        <f>VLOOKUP(AE34,db_fifarank,2,FALSE)</f>
        <v>1532.98</v>
      </c>
      <c r="AR34" s="125">
        <f>AP34/AP36</f>
        <v>0.89570596892941168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-2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2 - 2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5</v>
      </c>
      <c r="AN35" s="123">
        <f>AF35*3+AG35</f>
        <v>4</v>
      </c>
      <c r="AO35" s="123">
        <f>AN35/AN36*10+BA35</f>
        <v>5.7221339811267864</v>
      </c>
      <c r="AP35" s="123">
        <f>AO35*10000000+BI35*100+AM35/AM36*10+AI35/AI36*1++IF(AQ35=0,ROW(),AQ35)/2000000</f>
        <v>57221345.145398587</v>
      </c>
      <c r="AQ35" s="126">
        <f>VLOOKUP(AE35,db_fifarank,2,FALSE)</f>
        <v>1594.78</v>
      </c>
      <c r="AR35" s="125">
        <f>AP35/AP36</f>
        <v>0.59795745811739176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2</v>
      </c>
      <c r="AZ35" s="126">
        <f>AT35/AT36*1000+AU35/AU36*100+AY35/AY36*10+AV35/AV36</f>
        <v>4</v>
      </c>
      <c r="BA35" s="126">
        <f>AZ35/AZ36</f>
        <v>7.8482668410725966E-3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2 - 7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2</v>
      </c>
      <c r="AI36" s="123">
        <f>MAX(AI32:AI35)+1</f>
        <v>6</v>
      </c>
      <c r="AL36" s="123">
        <f>MIN(AL32:AL35)</f>
        <v>-5</v>
      </c>
      <c r="AM36" s="123">
        <f>MAX(AM32:AM35)+1</f>
        <v>10</v>
      </c>
      <c r="AN36" s="123">
        <f>MAX(AN32:AN35)+1</f>
        <v>7</v>
      </c>
      <c r="AO36" s="123">
        <f>MAX(AO32:AO35)+1</f>
        <v>10.569466504718303</v>
      </c>
      <c r="AP36" s="123">
        <f>MAX(AP32:AP35)+1</f>
        <v>95694675.881381556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5</v>
      </c>
      <c r="AZ36" s="126">
        <f>MAX(AZ32:AZ35)+1</f>
        <v>509.66666666666669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Norway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Netherlands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5</v>
      </c>
      <c r="AL38" s="123">
        <f>AI38-AJ38</f>
        <v>2</v>
      </c>
      <c r="AM38" s="123">
        <f>AL38-AL42</f>
        <v>3</v>
      </c>
      <c r="AN38" s="123">
        <f>AF38*3+AG38</f>
        <v>5</v>
      </c>
      <c r="AO38" s="123">
        <f>AN38/AN42*10+BA38</f>
        <v>8.3411816001744068</v>
      </c>
      <c r="AP38" s="123">
        <f>AO38*10000000+BI38*100+AM38/AM42*10+AI38/AI42*1++IF(AQ38=0,ROW(),AQ38)/2000000</f>
        <v>83411824.377622992</v>
      </c>
      <c r="AQ38" s="126">
        <f>VLOOKUP(AE38,db_fifarank,2,FALSE)</f>
        <v>1757.87</v>
      </c>
      <c r="AR38" s="125">
        <f>AP38/AP42</f>
        <v>0.9999999880112922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2</v>
      </c>
      <c r="AZ38" s="126">
        <f>AT38/AT42*1000+AU38/AU42*100+AY38/AY42*10+AV38/AV42</f>
        <v>4</v>
      </c>
      <c r="BA38" s="126">
        <f>AZ38/AZ42</f>
        <v>7.8482668410725966E-3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1</v>
      </c>
      <c r="M39" s="31">
        <f>VLOOKUP(1,AD38:AN41,4,FALSE)</f>
        <v>2</v>
      </c>
      <c r="N39" s="31">
        <f>VLOOKUP(1,AD38:AN41,5,FALSE)</f>
        <v>0</v>
      </c>
      <c r="O39" s="31" t="str">
        <f>VLOOKUP(1,AD38:AN41,6,FALSE) &amp; " - " &amp; VLOOKUP(1,AD38:AN41,7,FALSE)</f>
        <v>7 - 5</v>
      </c>
      <c r="P39" s="32">
        <f>L39*3+M39</f>
        <v>5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1</v>
      </c>
      <c r="V39" s="123">
        <f t="shared" si="3"/>
        <v>2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0</v>
      </c>
      <c r="AN39" s="123">
        <f>AF39*3+AG39</f>
        <v>4</v>
      </c>
      <c r="AO39" s="123">
        <f>AN39/AN42*10+BA39</f>
        <v>6.6666666666666661</v>
      </c>
      <c r="AP39" s="123">
        <f>AO39*10000000+BI39*100+AM39/AM42*10+AI39/AI42*1++IF(AQ39=0,ROW(),AQ39)/2000000</f>
        <v>66666667.042496882</v>
      </c>
      <c r="AQ39" s="126">
        <f>VLOOKUP(AE39,db_fifarank,2,FALSE)</f>
        <v>1660.43</v>
      </c>
      <c r="AR39" s="125">
        <f>AP39/AP42</f>
        <v>0.79924718995996991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-2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Norway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1</v>
      </c>
      <c r="AN40" s="123">
        <f>AF40*3+AG40</f>
        <v>4</v>
      </c>
      <c r="AO40" s="123">
        <f>AN40/AN42*10+BA40</f>
        <v>7.6647045999563979</v>
      </c>
      <c r="AP40" s="123">
        <f>AO40*10000000+BI40*100+AM40/AM42*10+AI40/AI42*1++IF(AQ40=0,ROW(),AQ40)/2000000</f>
        <v>76647049.000321358</v>
      </c>
      <c r="AQ40" s="126">
        <f>VLOOKUP(AE40,db_fifarank,2,FALSE)</f>
        <v>1514.77</v>
      </c>
      <c r="AR40" s="125">
        <f>AP40/AP42</f>
        <v>0.91889907280321392</v>
      </c>
      <c r="AT40" s="126" cm="1">
        <f t="array" ref="AT40">SUMPRODUCT(($S$7:$S$78=AE40&amp;"_win")*($U$7:$U$78))+SUMPRODUCT(($T$7:$T$78=AE40&amp;"_win")*($U$7:$U$78))</f>
        <v>1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2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2</v>
      </c>
      <c r="AY40" s="126">
        <f>AX40-MIN(AX38:AX41)</f>
        <v>4</v>
      </c>
      <c r="AZ40" s="126">
        <f>AT40/AT42*1000+AU40/AU42*100+AY40/AY42*10+AV40/AV42</f>
        <v>508.66666666666669</v>
      </c>
      <c r="BA40" s="126">
        <f>AZ40/AZ42</f>
        <v>0.99803793328973189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4</v>
      </c>
      <c r="AL41" s="123">
        <f>AI41-AJ41</f>
        <v>-1</v>
      </c>
      <c r="AM41" s="123">
        <f>AL41-AL42</f>
        <v>0</v>
      </c>
      <c r="AN41" s="123">
        <f>AF41*3+AG41</f>
        <v>2</v>
      </c>
      <c r="AO41" s="123">
        <f>AN41/AN42*10+BA41</f>
        <v>3.3411816001744055</v>
      </c>
      <c r="AP41" s="123">
        <f>AO41*10000000+BI41*100+AM41/AM42*10+AI41/AI42*1++IF(AQ41=0,ROW(),AQ41)/2000000</f>
        <v>33411816.377485581</v>
      </c>
      <c r="AQ41" s="126">
        <f>VLOOKUP(AE41,db_fifarank,2,FALSE)</f>
        <v>1483.05</v>
      </c>
      <c r="AR41" s="125">
        <f>AP41/AP42</f>
        <v>0.40056450300929414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2</v>
      </c>
      <c r="AZ41" s="126">
        <f>AT41/AT42*1000+AU41/AU42*100+AY41/AY42*10+AV41/AV42</f>
        <v>4</v>
      </c>
      <c r="BA41" s="126">
        <f>AZ41/AZ42</f>
        <v>7.8482668410725966E-3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3 - 4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2</v>
      </c>
      <c r="AI42" s="123">
        <f>MAX(AI38:AI41)+1</f>
        <v>8</v>
      </c>
      <c r="AL42" s="123">
        <f>MIN(AL38:AL41)</f>
        <v>-1</v>
      </c>
      <c r="AM42" s="123">
        <f>MAX(AM38:AM41)+1</f>
        <v>4</v>
      </c>
      <c r="AN42" s="123">
        <f>MAX(AN38:AN41)+1</f>
        <v>6</v>
      </c>
      <c r="AO42" s="123">
        <f>MAX(AO38:AO41)+1</f>
        <v>9.3411816001744068</v>
      </c>
      <c r="AP42" s="123">
        <f>MAX(AP38:AP41)+1</f>
        <v>83411825.377622992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5</v>
      </c>
      <c r="AZ42" s="126">
        <f>MAX(AZ38:AZ41)+1</f>
        <v>509.66666666666669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0</v>
      </c>
      <c r="AL44" s="123">
        <f>AI44-AJ44</f>
        <v>5</v>
      </c>
      <c r="AM44" s="123">
        <f>AL44-AL48</f>
        <v>10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87500009.925109774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5 - 0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2</v>
      </c>
      <c r="AL45" s="123">
        <f>AI45-AJ45</f>
        <v>0</v>
      </c>
      <c r="AM45" s="123">
        <f>AL45-AL48</f>
        <v>5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50000004.879569501</v>
      </c>
      <c r="AQ45" s="126">
        <f>VLOOKUP(AE45,db_fifarank,2,FALSE)</f>
        <v>1563.24</v>
      </c>
      <c r="AR45" s="125">
        <f>AP45/AP48</f>
        <v>0.57142855584742624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Ivory Coast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3</v>
      </c>
      <c r="AH46" s="123">
        <f>COUNTIF($S$7:$T$78,"=" &amp; AE46 &amp; "_lose")</f>
        <v>0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0</v>
      </c>
      <c r="AL46" s="123">
        <f>AI46-AJ46</f>
        <v>0</v>
      </c>
      <c r="AM46" s="123">
        <f>AL46-AL48</f>
        <v>5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37500004.546262197</v>
      </c>
      <c r="AQ46" s="126">
        <f>VLOOKUP(AE46,db_fifarank,2,FALSE)</f>
        <v>1615.3</v>
      </c>
      <c r="AR46" s="125">
        <f>AP46/AP48</f>
        <v>0.42857142701796924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0 - 0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12500000.000640785</v>
      </c>
      <c r="AQ47" s="126">
        <f>VLOOKUP(AE47,db_fifarank,2,FALSE)</f>
        <v>1281.57</v>
      </c>
      <c r="AR47" s="125">
        <f>AP47/AP48</f>
        <v>0.14285712502755443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6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9.75</v>
      </c>
      <c r="AP48" s="123">
        <f>MAX(AP44:AP47)+1</f>
        <v>87500010.925109774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2</v>
      </c>
      <c r="AL50" s="123">
        <f>AI50-AJ50</f>
        <v>4</v>
      </c>
      <c r="AM50" s="123">
        <f>AL50-AL54</f>
        <v>9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87500009.858081058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6 - 2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1.25</v>
      </c>
      <c r="AP51" s="123">
        <f>AO51*10000000+BI51*100+AM51/AM54*10+AI51/AI54*1++IF(AQ51=0,ROW(),AQ51)/2000000</f>
        <v>12500000.143540209</v>
      </c>
      <c r="AQ51" s="126">
        <f>VLOOKUP(AE51,db_fifarank,2,FALSE)</f>
        <v>1366.13</v>
      </c>
      <c r="AR51" s="125">
        <f>AP51/AP54</f>
        <v>0.1428571267701251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5 - 3</v>
      </c>
      <c r="P52" s="34">
        <f>L52*3+M52</f>
        <v>5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4</v>
      </c>
      <c r="AN52" s="123">
        <f>AF52*3+AG52</f>
        <v>2</v>
      </c>
      <c r="AO52" s="123">
        <f>AN52/AN54*10+BA52</f>
        <v>2.5</v>
      </c>
      <c r="AP52" s="123">
        <f>AO52*10000000+BI52*100+AM52/AM54*10+AI52/AI54*1++IF(AQ52=0,ROW(),AQ52)/2000000</f>
        <v>25000004.572139286</v>
      </c>
      <c r="AQ52" s="126">
        <f>VLOOKUP(AE52,db_fifarank,2,FALSE)</f>
        <v>1421.43</v>
      </c>
      <c r="AR52" s="125">
        <f>AP52/AP54</f>
        <v>0.28571430251234547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Scotland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0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4 - 5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Portugal_draw</v>
      </c>
      <c r="T53" s="127" t="str">
        <f t="shared" si="20"/>
        <v>Uzbekistan_draw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0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2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7</v>
      </c>
      <c r="AN53" s="123">
        <f>AF53*3+AG53</f>
        <v>5</v>
      </c>
      <c r="AO53" s="123">
        <f>AN53/AN54*10+BA53</f>
        <v>6.25</v>
      </c>
      <c r="AP53" s="123">
        <f>AO53*10000000+BI53*100+AM53/AM54*10+AI53/AI54*1++IF(AQ53=0,ROW(),AQ53)/2000000</f>
        <v>62500007.715122253</v>
      </c>
      <c r="AQ53" s="126">
        <f>VLOOKUP(AE53,db_fifarank,2,FALSE)</f>
        <v>1673.07</v>
      </c>
      <c r="AR53" s="125">
        <f>AP53/AP54</f>
        <v>0.7142857138211437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3</v>
      </c>
      <c r="AI54" s="123">
        <f>MAX(AI50:AI53)+1</f>
        <v>7</v>
      </c>
      <c r="AL54" s="123">
        <f>MIN(AL50:AL53)</f>
        <v>-5</v>
      </c>
      <c r="AM54" s="123">
        <f>MAX(AM50:AM53)+1</f>
        <v>10</v>
      </c>
      <c r="AN54" s="123">
        <f>MAX(AN50:AN53)+1</f>
        <v>8</v>
      </c>
      <c r="AO54" s="123">
        <f>MAX(AO50:AO53)+1</f>
        <v>9.75</v>
      </c>
      <c r="AP54" s="123">
        <f>MAX(AP50:AP53)+1</f>
        <v>87500010.858081058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0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4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2</v>
      </c>
      <c r="AL56" s="123">
        <f>AI56-AJ56</f>
        <v>3</v>
      </c>
      <c r="AM56" s="123">
        <f>AL56-AL60</f>
        <v>9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87500009.834271982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7</v>
      </c>
      <c r="AN57" s="123">
        <f>AF57*3+AG57</f>
        <v>6</v>
      </c>
      <c r="AO57" s="123">
        <f>AN57/AN60*10+BA57</f>
        <v>7.5</v>
      </c>
      <c r="AP57" s="123">
        <f>AO57*10000000+BI57*100+AM57/AM60*10+AI57/AI60*1++IF(AQ57=0,ROW(),AQ57)/2000000</f>
        <v>75000007.834177822</v>
      </c>
      <c r="AQ57" s="126">
        <f>VLOOKUP(AE57,db_fifarank,2,FALSE)</f>
        <v>1688.99</v>
      </c>
      <c r="AR57" s="125">
        <f>AP57/AP60</f>
        <v>0.85714284054467615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1.9130310393184921E-9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8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50000008.834108807</v>
      </c>
      <c r="AQ59" s="126">
        <f>VLOOKUP(AE59,db_fifarank,2,FALSE)</f>
        <v>1550.94</v>
      </c>
      <c r="AR59" s="125">
        <f>AP59/AP60</f>
        <v>0.57142860163538189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6</v>
      </c>
      <c r="AL60" s="123">
        <f>MIN(AL56:AL59)</f>
        <v>-6</v>
      </c>
      <c r="AM60" s="123">
        <f>MAX(AM56:AM59)+1</f>
        <v>10</v>
      </c>
      <c r="AN60" s="123">
        <f>MAX(AN56:AN59)+1</f>
        <v>8</v>
      </c>
      <c r="AO60" s="123">
        <f>MAX(AO56:AO59)+1</f>
        <v>9.75</v>
      </c>
      <c r="AP60" s="123">
        <f>MAX(AP56:AP59)+1</f>
        <v>87500010.834271982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2</v>
      </c>
      <c r="AL62" s="123">
        <f>AI62-AJ62</f>
        <v>4</v>
      </c>
      <c r="AM62" s="123">
        <f>AL62-AL66</f>
        <v>7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87500009.608080268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6 - 2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1</v>
      </c>
      <c r="V63" s="123">
        <f t="shared" si="21"/>
        <v>0</v>
      </c>
      <c r="W63" s="123">
        <f t="shared" si="22"/>
        <v>2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2</v>
      </c>
      <c r="AH63" s="123">
        <f>COUNTIF($S$7:$T$78,"=" &amp; AE63 &amp; "_lose")</f>
        <v>0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3</v>
      </c>
      <c r="AL63" s="123">
        <f>AI63-AJ63</f>
        <v>1</v>
      </c>
      <c r="AM63" s="123">
        <f>AL63-AL66</f>
        <v>4</v>
      </c>
      <c r="AN63" s="123">
        <f>AF63*3+AG63</f>
        <v>5</v>
      </c>
      <c r="AO63" s="123">
        <f>AN63/AN66*10+BA63</f>
        <v>6.25</v>
      </c>
      <c r="AP63" s="123">
        <f>AO63*10000000+BI63*100+AM63/AM66*10+AI63/AI66*1++IF(AQ63=0,ROW(),AQ63)/2000000</f>
        <v>62500005.572210707</v>
      </c>
      <c r="AQ63" s="126">
        <f>VLOOKUP(AE63,db_fifarank,2,FALSE)</f>
        <v>1564.26</v>
      </c>
      <c r="AR63" s="125">
        <f>AP63/AP66</f>
        <v>0.71428569137155151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2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4 - 3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5</v>
      </c>
      <c r="AL64" s="123">
        <f>AI64-AJ64</f>
        <v>-2</v>
      </c>
      <c r="AM64" s="123">
        <f>AL64-AL66</f>
        <v>1</v>
      </c>
      <c r="AN64" s="123">
        <f>AF64*3+AG64</f>
        <v>3</v>
      </c>
      <c r="AO64" s="123">
        <f>AN64/AN66*10+BA64</f>
        <v>3.75</v>
      </c>
      <c r="AP64" s="123">
        <f>AO64*10000000+BI64*100+AM64/AM66*10+AI64/AI66*1++IF(AQ64=0,ROW(),AQ64)/2000000</f>
        <v>37500001.679368153</v>
      </c>
      <c r="AQ64" s="126">
        <f>VLOOKUP(AE64,db_fifarank,2,FALSE)</f>
        <v>1593.45</v>
      </c>
      <c r="AR64" s="125">
        <f>AP64/AP66</f>
        <v>0.42857139580626724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6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12500000.429267155</v>
      </c>
      <c r="AQ65" s="126">
        <f>VLOOKUP(AE65,db_fifarank,2,FALSE)</f>
        <v>1391.45</v>
      </c>
      <c r="AR65" s="125">
        <f>AP65/AP66</f>
        <v>0.14285713044373999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-3</v>
      </c>
      <c r="AM66" s="123">
        <f>MAX(AM62:AM65)+1</f>
        <v>8</v>
      </c>
      <c r="AN66" s="123">
        <f>MAX(AN62:AN65)+1</f>
        <v>8</v>
      </c>
      <c r="AO66" s="123">
        <f>MAX(AO62:AO65)+1</f>
        <v>9.75</v>
      </c>
      <c r="AP66" s="123">
        <f>MAX(AP62:AP65)+1</f>
        <v>87500010.608080268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Ecuador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1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87500009.723104134</v>
      </c>
      <c r="AQ68" s="126">
        <f>VLOOKUP(AE68,db_fifarank,2,FALSE)</f>
        <v>1763.83</v>
      </c>
      <c r="AR68" s="125">
        <f>AP68/AP72</f>
        <v>0.99999998857143002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Netherlands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5 - 1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1.25</v>
      </c>
      <c r="AP69" s="123">
        <f>AO69*10000000+BI69*100+AM69/AM72*10+AI69/AI72*1++IF(AQ69=0,ROW(),AQ69)/2000000</f>
        <v>12500000.33407251</v>
      </c>
      <c r="AQ69" s="126">
        <f>VLOOKUP(AE69,db_fifarank,2,FALSE)</f>
        <v>1478.35</v>
      </c>
      <c r="AR69" s="125">
        <f>AP69/AP72</f>
        <v>0.14285712916800727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4 - 4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3</v>
      </c>
      <c r="AH70" s="123">
        <f>COUNTIF($S$7:$T$78,"=" &amp; AE70 &amp; "_lose")</f>
        <v>0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1</v>
      </c>
      <c r="AL70" s="123">
        <f>AI70-AJ70</f>
        <v>0</v>
      </c>
      <c r="AM70" s="123">
        <f>AL70-AL72</f>
        <v>4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37500004.61184378</v>
      </c>
      <c r="AQ70" s="126">
        <f>VLOOKUP(AE70,db_fifarank,2,FALSE)</f>
        <v>1465.34</v>
      </c>
      <c r="AR70" s="125">
        <f>AP70/AP72</f>
        <v>0.42857142875688825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3</v>
      </c>
      <c r="N71" s="23">
        <f>VLOOKUP(3,AD68:AN71,5,FALSE)</f>
        <v>0</v>
      </c>
      <c r="O71" s="23" t="str">
        <f>VLOOKUP(3,AD68:AN71,6,FALSE) &amp; " - " &amp; VLOOKUP(3,AD68:AN71,7,FALSE)</f>
        <v>1 - 1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5</v>
      </c>
      <c r="AP71" s="123">
        <f>AO71*10000000+BI71*100+AM71/AM72*10+AI71/AI72*1++IF(AQ71=0,ROW(),AQ71)/2000000</f>
        <v>50000005.111957654</v>
      </c>
      <c r="AQ71" s="126">
        <f>VLOOKUP(AE71,db_fifarank,2,FALSE)</f>
        <v>1693.09</v>
      </c>
      <c r="AR71" s="125">
        <f>AP71/AP72</f>
        <v>0.57142855982251084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3</v>
      </c>
      <c r="AH72" s="123">
        <f t="shared" si="35"/>
        <v>3</v>
      </c>
      <c r="AI72" s="123">
        <f>MAX(AI68:AI71)+1</f>
        <v>6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9.75</v>
      </c>
      <c r="AP72" s="123">
        <f>MAX(AP68:AP71)+1</f>
        <v>87500010.723104134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0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0</v>
      </c>
      <c r="W74" s="123">
        <f t="shared" si="22"/>
        <v>0</v>
      </c>
      <c r="X74" s="123">
        <f t="shared" si="32"/>
        <v>1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90000009.948964924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1</v>
      </c>
      <c r="AL75" s="123">
        <f>AI75-AJ75</f>
        <v>1</v>
      </c>
      <c r="AM75" s="123">
        <f>AL75-AL78</f>
        <v>6</v>
      </c>
      <c r="AN75" s="123">
        <f>AF75*3+AG75</f>
        <v>4</v>
      </c>
      <c r="AO75" s="123">
        <f>AN75/AN78*10+BA75</f>
        <v>4.9803921568627452</v>
      </c>
      <c r="AP75" s="123">
        <f>AO75*10000000+BI75*100+AM75/AM78*10+AI75/AI78*1++IF(AQ75=0,ROW(),AQ75)/2000000</f>
        <v>49804025.348961413</v>
      </c>
      <c r="AQ75" s="126">
        <f>VLOOKUP(AE75,db_fifarank,2,FALSE)</f>
        <v>1717.07</v>
      </c>
      <c r="AR75" s="125">
        <f>AP75/AP78</f>
        <v>0.5533779921116132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</v>
      </c>
      <c r="BA75" s="126">
        <f>AZ75/AZ78</f>
        <v>0.98039215686274506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</v>
      </c>
      <c r="BI75" s="126">
        <f>BH75/BH78</f>
        <v>0.98039215686274506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2 - 1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4</v>
      </c>
      <c r="AN76" s="123">
        <f>AF76*3+AG76</f>
        <v>4</v>
      </c>
      <c r="AO76" s="123">
        <f>AN76/AN78*10+BA76</f>
        <v>4.9803921568627452</v>
      </c>
      <c r="AP76" s="123">
        <f>AO76*10000000+BI76*100+AM76/AM78*10+AI76/AI78*1++IF(AQ76=0,ROW(),AQ76)/2000000</f>
        <v>49804023.673451349</v>
      </c>
      <c r="AQ76" s="126">
        <f>VLOOKUP(AE76,db_fifarank,2,FALSE)</f>
        <v>1346.31</v>
      </c>
      <c r="AR76" s="125">
        <f>AP76/AP78</f>
        <v>0.55337797349483697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</v>
      </c>
      <c r="BA76" s="126">
        <f>AZ76/AZ78</f>
        <v>0.98039215686274506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</v>
      </c>
      <c r="BI76" s="126">
        <f>BH76/BH78</f>
        <v>0.98039215686274506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1.5958605042680239E-9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-5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90000010.948964924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51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51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0</v>
      </c>
      <c r="AN80" s="123">
        <f>VLOOKUP($AE80,$AE$8:$AQ$78,10,FALSE)</f>
        <v>2</v>
      </c>
      <c r="AP80" s="123">
        <f>AN80/AN92*10000+AM80/AM92*1000+AI80/AI92*100+IF(AQ80=0,ROW(),AQ80)/2000000</f>
        <v>4033.3340481983337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8466.6673595866669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2</v>
      </c>
      <c r="AJ82" s="123">
        <f t="shared" si="42"/>
        <v>2</v>
      </c>
      <c r="AK82" s="123" t="s">
        <v>3182</v>
      </c>
      <c r="AL82" s="123">
        <f t="shared" si="43"/>
        <v>0</v>
      </c>
      <c r="AM82" s="123">
        <f t="shared" si="44"/>
        <v>2</v>
      </c>
      <c r="AN82" s="123">
        <f t="shared" si="45"/>
        <v>4</v>
      </c>
      <c r="AP82" s="123">
        <f>AN82/AN92*10000+AM82/AM92*1000+AI82/AI92*100+IF(AQ82=0,ROW(),AQ82)/2000000</f>
        <v>8433.3340825083342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Paraguay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3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2</v>
      </c>
      <c r="AN83" s="123">
        <f t="shared" si="45"/>
        <v>4</v>
      </c>
      <c r="AP83" s="123">
        <f>AN83/AN92*10000+AM83/AM92*1000+AI83/AI92*100+IF(AQ83=0,ROW(),AQ83)/2000000</f>
        <v>8450.0007517499998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2</v>
      </c>
      <c r="AK84" s="123" t="s">
        <v>3185</v>
      </c>
      <c r="AL84" s="123">
        <f t="shared" si="43"/>
        <v>0</v>
      </c>
      <c r="AM84" s="123">
        <f t="shared" si="44"/>
        <v>2</v>
      </c>
      <c r="AN84" s="123">
        <f t="shared" si="45"/>
        <v>4</v>
      </c>
      <c r="AP84" s="123">
        <f>AN84/AN92*10000+AM84/AM92*1000+AI84/AI92*100+IF(AQ84=0,ROW(),AQ84)/2000000</f>
        <v>8433.3341307233331</v>
      </c>
      <c r="AQ84" s="126">
        <f t="shared" si="37"/>
        <v>1594.78</v>
      </c>
      <c r="AR84" s="125" t="str">
        <f t="shared" si="50"/>
        <v>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2 - 2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1</v>
      </c>
      <c r="AN85" s="123">
        <f t="shared" si="45"/>
        <v>4</v>
      </c>
      <c r="AP85" s="123">
        <f>AN85/AN92*10000+AM85/AM92*1000+AI85/AI92*100+IF(AQ85=0,ROW(),AQ85)/2000000</f>
        <v>8250.000830215</v>
      </c>
      <c r="AQ85" s="126">
        <f t="shared" si="37"/>
        <v>1660.43</v>
      </c>
      <c r="AR85" s="125" t="str">
        <f t="shared" si="50"/>
        <v>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Ⓕ Japan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0</v>
      </c>
      <c r="AJ86" s="123">
        <f t="shared" si="42"/>
        <v>0</v>
      </c>
      <c r="AK86" s="123" t="s">
        <v>3187</v>
      </c>
      <c r="AL86" s="123">
        <f t="shared" si="43"/>
        <v>0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6400.0008076499998</v>
      </c>
      <c r="AQ86" s="126">
        <f t="shared" si="37"/>
        <v>1615.3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3 - 4</v>
      </c>
      <c r="P87" s="101">
        <f t="shared" si="48"/>
        <v>4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1</v>
      </c>
      <c r="AN87" s="123">
        <f t="shared" si="45"/>
        <v>2</v>
      </c>
      <c r="AP87" s="123">
        <f>AN87/AN92*10000+AM87/AM92*1000+AI87/AI92*100+IF(AQ87=0,ROW(),AQ87)/2000000</f>
        <v>4266.6673773816674</v>
      </c>
      <c r="AQ87" s="126">
        <f t="shared" si="37"/>
        <v>1421.43</v>
      </c>
      <c r="AR87" s="125" t="str">
        <f t="shared" si="50"/>
        <v>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Ⓚ Uzbekistan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3</v>
      </c>
      <c r="N88" s="100">
        <f>VLOOKUP(8,$AD$80:$AN$91,5,FALSE)</f>
        <v>0</v>
      </c>
      <c r="O88" s="100" t="str">
        <f>VLOOKUP(8,$AD$80:$AN$91,6,FALSE) &amp; " - " &amp; VLOOKUP(8,$AD$80:$AN$91,7,FALSE)</f>
        <v>1 - 1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3</v>
      </c>
      <c r="AK88" s="123" t="s">
        <v>3189</v>
      </c>
      <c r="AL88" s="123">
        <f t="shared" si="43"/>
        <v>2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8883.3341088033339</v>
      </c>
      <c r="AQ88" s="126">
        <f t="shared" si="37"/>
        <v>1550.94</v>
      </c>
      <c r="AR88" s="125" t="str">
        <f t="shared" si="50"/>
        <v>BCDEFI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3</v>
      </c>
      <c r="N89" s="103">
        <f>VLOOKUP(9,$AD$80:$AN$91,5,FALSE)</f>
        <v>0</v>
      </c>
      <c r="O89" s="103" t="str">
        <f>VLOOKUP(9,$AD$80:$AN$91,6,FALSE) &amp; " - " &amp; VLOOKUP(9,$AD$80:$AN$91,7,FALSE)</f>
        <v>0 - 0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6050.0007967250003</v>
      </c>
      <c r="AQ89" s="126">
        <f t="shared" si="37"/>
        <v>1593.45</v>
      </c>
      <c r="AR89" s="125" t="str">
        <f t="shared" si="50"/>
        <v>BCDEFI</v>
      </c>
      <c r="AS89" s="129" t="str">
        <f t="shared" si="46"/>
        <v/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Austria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Uzbekistan</v>
      </c>
      <c r="AF90" s="123">
        <f t="shared" si="39"/>
        <v>0</v>
      </c>
      <c r="AG90" s="123">
        <f t="shared" si="49"/>
        <v>3</v>
      </c>
      <c r="AH90" s="123">
        <f t="shared" si="40"/>
        <v>0</v>
      </c>
      <c r="AI90" s="123">
        <f t="shared" si="41"/>
        <v>1</v>
      </c>
      <c r="AJ90" s="123">
        <f t="shared" si="42"/>
        <v>1</v>
      </c>
      <c r="AK90" s="123" t="s">
        <v>3191</v>
      </c>
      <c r="AL90" s="123">
        <f t="shared" si="43"/>
        <v>0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6416.6673993366667</v>
      </c>
      <c r="AQ90" s="126">
        <f t="shared" si="37"/>
        <v>1465.34</v>
      </c>
      <c r="AR90" s="125" t="str">
        <f t="shared" si="50"/>
        <v>BCDEFIK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4 - 5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Norway</v>
      </c>
      <c r="T91" s="127" t="str" cm="1">
        <f t="array" ref="T91">IF(OR(S91="",S91="draw"),INDEX(T,93,lang),S91)</f>
        <v>Norway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1</v>
      </c>
      <c r="AN91" s="123">
        <f>VLOOKUP($AE91,$AE$8:$AQ$78,10,FALSE)</f>
        <v>4</v>
      </c>
      <c r="AP91" s="123">
        <f>AN91/AN92*10000+AM91/AM92*1000+AI91/AI92*100+IF(AQ91=0,ROW(),AQ91)/2000000</f>
        <v>8250.0006731550002</v>
      </c>
      <c r="AQ91" s="126">
        <f t="shared" si="37"/>
        <v>1346.31</v>
      </c>
      <c r="AR91" s="125" t="str">
        <f t="shared" si="50"/>
        <v>BCDEFIKL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South Africa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2 - 4</v>
      </c>
      <c r="P92" s="107">
        <f t="shared" si="48"/>
        <v>2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-2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Netherlands</v>
      </c>
      <c r="T111" s="127" t="str">
        <f>S111</f>
        <v>Netherlands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147</v>
      </c>
      <c r="C3" s="121" t="str">
        <f>'2026 World Cup'!AR91</f>
        <v>BCDEFIKL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Alexander Nucera</cp:lastModifiedBy>
  <cp:revision/>
  <dcterms:created xsi:type="dcterms:W3CDTF">2017-12-27T19:32:51Z</dcterms:created>
  <dcterms:modified xsi:type="dcterms:W3CDTF">2026-06-11T18:23:17Z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