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ga\Downloads\"/>
    </mc:Choice>
  </mc:AlternateContent>
  <xr:revisionPtr revIDLastSave="0" documentId="8_{FF3F5703-DDA5-4A8F-AEE9-4D8662B67AE2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5" i="3"/>
  <c r="S47" i="3"/>
  <c r="S67" i="3"/>
  <c r="T23" i="3"/>
  <c r="T48" i="3"/>
  <c r="T43" i="3"/>
  <c r="S72" i="3"/>
  <c r="S70" i="3"/>
  <c r="S42" i="3"/>
  <c r="S64" i="3"/>
  <c r="T18" i="3"/>
  <c r="T41" i="3"/>
  <c r="S40" i="3"/>
  <c r="S62" i="3"/>
  <c r="S38" i="3"/>
  <c r="S65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4" i="3" l="1"/>
  <c r="AR10" i="3"/>
  <c r="AR35" i="3"/>
  <c r="AD35" i="3" s="1"/>
  <c r="AR11" i="3"/>
  <c r="AR33" i="3"/>
  <c r="AR21" i="3"/>
  <c r="AR22" i="3"/>
  <c r="AR9" i="3"/>
  <c r="AD58" i="3"/>
  <c r="AR28" i="3"/>
  <c r="AD57" i="3"/>
  <c r="AR75" i="3"/>
  <c r="AR76" i="3"/>
  <c r="AR77" i="3"/>
  <c r="AR65" i="3"/>
  <c r="AR40" i="3"/>
  <c r="AR41" i="3"/>
  <c r="AR29" i="3"/>
  <c r="AR69" i="3"/>
  <c r="AR70" i="3"/>
  <c r="AR71" i="3"/>
  <c r="AR27" i="3"/>
  <c r="AD28" i="3" s="1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1" i="3" l="1"/>
  <c r="AD34" i="3"/>
  <c r="AD33" i="3"/>
  <c r="AD22" i="3"/>
  <c r="AD32" i="3"/>
  <c r="J33" i="3" s="1"/>
  <c r="AS32" i="3" s="1"/>
  <c r="BL10" i="3" s="1"/>
  <c r="AD10" i="3"/>
  <c r="AD8" i="3"/>
  <c r="AD9" i="3"/>
  <c r="O9" i="3" s="1"/>
  <c r="AD68" i="3"/>
  <c r="L69" i="3" s="1"/>
  <c r="AD75" i="3"/>
  <c r="AD44" i="3"/>
  <c r="M58" i="3"/>
  <c r="AD15" i="3"/>
  <c r="AD77" i="3"/>
  <c r="AD71" i="3"/>
  <c r="AD53" i="3"/>
  <c r="L58" i="3"/>
  <c r="O60" i="3"/>
  <c r="AD41" i="3"/>
  <c r="AD26" i="3"/>
  <c r="L59" i="3"/>
  <c r="AD27" i="3"/>
  <c r="AD76" i="3"/>
  <c r="N58" i="3"/>
  <c r="AD74" i="3"/>
  <c r="AD20" i="3"/>
  <c r="AD63" i="3"/>
  <c r="AD29" i="3"/>
  <c r="AD21" i="3"/>
  <c r="AD47" i="3"/>
  <c r="M59" i="3"/>
  <c r="AD70" i="3"/>
  <c r="AD14" i="3"/>
  <c r="AD62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N9" i="3" l="1"/>
  <c r="M63" i="3"/>
  <c r="O36" i="3"/>
  <c r="O33" i="3"/>
  <c r="L33" i="3"/>
  <c r="M36" i="3"/>
  <c r="N36" i="3"/>
  <c r="O35" i="3"/>
  <c r="J34" i="3"/>
  <c r="AS33" i="3" s="1"/>
  <c r="BL46" i="3" s="1"/>
  <c r="M34" i="3"/>
  <c r="O34" i="3"/>
  <c r="N34" i="3"/>
  <c r="L35" i="3"/>
  <c r="L36" i="3"/>
  <c r="P36" i="3" s="1"/>
  <c r="J35" i="3"/>
  <c r="AE84" i="3" s="1"/>
  <c r="AQ84" i="3" s="1"/>
  <c r="N35" i="3"/>
  <c r="L34" i="3"/>
  <c r="M35" i="3"/>
  <c r="N33" i="3"/>
  <c r="J36" i="3"/>
  <c r="M33" i="3"/>
  <c r="P33" i="3" s="1"/>
  <c r="M9" i="3"/>
  <c r="L9" i="3"/>
  <c r="J9" i="3"/>
  <c r="AS8" i="3" s="1"/>
  <c r="BL50" i="3" s="1"/>
  <c r="J12" i="3"/>
  <c r="N63" i="3"/>
  <c r="M11" i="3"/>
  <c r="N11" i="3"/>
  <c r="J11" i="3"/>
  <c r="AE80" i="3" s="1"/>
  <c r="AQ80" i="3" s="1"/>
  <c r="M10" i="3"/>
  <c r="J10" i="3"/>
  <c r="AS9" i="3" s="1"/>
  <c r="BL18" i="3" s="1"/>
  <c r="O11" i="3"/>
  <c r="M12" i="3"/>
  <c r="L10" i="3"/>
  <c r="L11" i="3"/>
  <c r="P11" i="3" s="1"/>
  <c r="L12" i="3"/>
  <c r="N12" i="3"/>
  <c r="O10" i="3"/>
  <c r="N10" i="3"/>
  <c r="O12" i="3"/>
  <c r="O69" i="3"/>
  <c r="N69" i="3"/>
  <c r="M69" i="3"/>
  <c r="P69" i="3" s="1"/>
  <c r="N75" i="3"/>
  <c r="J75" i="3"/>
  <c r="AS74" i="3" s="1"/>
  <c r="BL54" i="3" s="1"/>
  <c r="L46" i="3"/>
  <c r="M45" i="3"/>
  <c r="J45" i="3"/>
  <c r="AS44" i="3" s="1"/>
  <c r="BL38" i="3" s="1"/>
  <c r="N51" i="3"/>
  <c r="L45" i="3"/>
  <c r="O45" i="3"/>
  <c r="N45" i="3"/>
  <c r="M76" i="3"/>
  <c r="J76" i="3"/>
  <c r="AS75" i="3" s="1"/>
  <c r="BL27" i="3" s="1"/>
  <c r="L63" i="3"/>
  <c r="N39" i="3"/>
  <c r="AJ88" i="3"/>
  <c r="L18" i="3"/>
  <c r="P58" i="3"/>
  <c r="M18" i="3"/>
  <c r="O76" i="3"/>
  <c r="N76" i="3"/>
  <c r="O75" i="3"/>
  <c r="M21" i="3"/>
  <c r="K58" i="3"/>
  <c r="O78" i="3"/>
  <c r="M75" i="3"/>
  <c r="L75" i="3"/>
  <c r="L71" i="3"/>
  <c r="P59" i="3"/>
  <c r="L76" i="3"/>
  <c r="J69" i="3"/>
  <c r="AS68" i="3" s="1"/>
  <c r="BL70" i="3" s="1"/>
  <c r="L77" i="3"/>
  <c r="N77" i="3"/>
  <c r="O70" i="3"/>
  <c r="J27" i="3"/>
  <c r="AS26" i="3" s="1"/>
  <c r="BL34" i="3" s="1"/>
  <c r="N66" i="3"/>
  <c r="O21" i="3"/>
  <c r="L21" i="3"/>
  <c r="J21" i="3"/>
  <c r="AS20" i="3" s="1"/>
  <c r="BL42" i="3" s="1"/>
  <c r="BS44" i="3" s="1"/>
  <c r="BZ48" i="3" s="1"/>
  <c r="L29" i="3"/>
  <c r="M16" i="3"/>
  <c r="L16" i="3"/>
  <c r="J40" i="3"/>
  <c r="AS39" i="3" s="1"/>
  <c r="BL43" i="3" s="1"/>
  <c r="L64" i="3"/>
  <c r="L70" i="3"/>
  <c r="O39" i="3"/>
  <c r="O77" i="3"/>
  <c r="M39" i="3"/>
  <c r="J72" i="3"/>
  <c r="L30" i="3"/>
  <c r="L72" i="3"/>
  <c r="N48" i="3"/>
  <c r="M27" i="3"/>
  <c r="L78" i="3"/>
  <c r="L65" i="3"/>
  <c r="L51" i="3"/>
  <c r="N27" i="3"/>
  <c r="N46" i="3"/>
  <c r="N28" i="3"/>
  <c r="O71" i="3"/>
  <c r="L39" i="3"/>
  <c r="O30" i="3"/>
  <c r="O48" i="3"/>
  <c r="J46" i="3"/>
  <c r="AS45" i="3" s="1"/>
  <c r="BL63" i="3" s="1"/>
  <c r="J39" i="3"/>
  <c r="AS38" i="3" s="1"/>
  <c r="BL22" i="3" s="1"/>
  <c r="L27" i="3"/>
  <c r="J29" i="3"/>
  <c r="AE83" i="3" s="1"/>
  <c r="AQ83" i="3" s="1"/>
  <c r="O65" i="3"/>
  <c r="O63" i="3"/>
  <c r="N54" i="3"/>
  <c r="O27" i="3"/>
  <c r="O29" i="3"/>
  <c r="M29" i="3"/>
  <c r="J30" i="3"/>
  <c r="N24" i="3"/>
  <c r="AI88" i="3"/>
  <c r="AT88" i="3"/>
  <c r="AG88" i="3"/>
  <c r="O23" i="3"/>
  <c r="J28" i="3"/>
  <c r="AS27" i="3" s="1"/>
  <c r="BL62" i="3" s="1"/>
  <c r="BS61" i="3" s="1"/>
  <c r="J63" i="3"/>
  <c r="AS62" i="3" s="1"/>
  <c r="BL58" i="3" s="1"/>
  <c r="BS60" i="3" s="1"/>
  <c r="BZ64" i="3" s="1"/>
  <c r="O64" i="3"/>
  <c r="M48" i="3"/>
  <c r="L42" i="3"/>
  <c r="N30" i="3"/>
  <c r="M30" i="3"/>
  <c r="N29" i="3"/>
  <c r="N21" i="3"/>
  <c r="AN88" i="3"/>
  <c r="AF88" i="3"/>
  <c r="M70" i="3"/>
  <c r="M64" i="3"/>
  <c r="P64" i="3" s="1"/>
  <c r="N78" i="3"/>
  <c r="O72" i="3"/>
  <c r="L54" i="3"/>
  <c r="J52" i="3"/>
  <c r="AS51" i="3" s="1"/>
  <c r="BL59" i="3" s="1"/>
  <c r="M47" i="3"/>
  <c r="O47" i="3"/>
  <c r="L47" i="3"/>
  <c r="J47" i="3"/>
  <c r="AE86" i="3" s="1"/>
  <c r="AQ86" i="3" s="1"/>
  <c r="O28" i="3"/>
  <c r="M78" i="3"/>
  <c r="J78" i="3"/>
  <c r="J70" i="3"/>
  <c r="AS69" i="3" s="1"/>
  <c r="BL26" i="3" s="1"/>
  <c r="N72" i="3"/>
  <c r="N71" i="3"/>
  <c r="N70" i="3"/>
  <c r="J64" i="3"/>
  <c r="AS63" i="3" s="1"/>
  <c r="BL31" i="3" s="1"/>
  <c r="N65" i="3"/>
  <c r="N64" i="3"/>
  <c r="N52" i="3"/>
  <c r="J51" i="3"/>
  <c r="AS50" i="3" s="1"/>
  <c r="BL30" i="3" s="1"/>
  <c r="M54" i="3"/>
  <c r="M46" i="3"/>
  <c r="N47" i="3"/>
  <c r="J48" i="3"/>
  <c r="L40" i="3"/>
  <c r="O40" i="3"/>
  <c r="L28" i="3"/>
  <c r="N53" i="3"/>
  <c r="M51" i="3"/>
  <c r="O46" i="3"/>
  <c r="M77" i="3"/>
  <c r="J77" i="3"/>
  <c r="AE91" i="3" s="1"/>
  <c r="AQ91" i="3" s="1"/>
  <c r="J71" i="3"/>
  <c r="AE90" i="3" s="1"/>
  <c r="AQ90" i="3" s="1"/>
  <c r="M72" i="3"/>
  <c r="M71" i="3"/>
  <c r="J65" i="3"/>
  <c r="AE89" i="3" s="1"/>
  <c r="AQ89" i="3" s="1"/>
  <c r="M65" i="3"/>
  <c r="O51" i="3"/>
  <c r="L48" i="3"/>
  <c r="P48" i="3" s="1"/>
  <c r="N40" i="3"/>
  <c r="M40" i="3"/>
  <c r="M28" i="3"/>
  <c r="K59" i="3"/>
  <c r="M41" i="3"/>
  <c r="O66" i="3"/>
  <c r="O17" i="3"/>
  <c r="J24" i="3"/>
  <c r="M66" i="3"/>
  <c r="M42" i="3"/>
  <c r="O42" i="3"/>
  <c r="N22" i="3"/>
  <c r="O24" i="3"/>
  <c r="M24" i="3"/>
  <c r="N18" i="3"/>
  <c r="J18" i="3"/>
  <c r="J16" i="3"/>
  <c r="AS15" i="3" s="1"/>
  <c r="BL19" i="3" s="1"/>
  <c r="L15" i="3"/>
  <c r="O54" i="3"/>
  <c r="K57" i="3"/>
  <c r="L23" i="3"/>
  <c r="J66" i="3"/>
  <c r="L66" i="3"/>
  <c r="J41" i="3"/>
  <c r="AE85" i="3" s="1"/>
  <c r="AQ85" i="3" s="1"/>
  <c r="L22" i="3"/>
  <c r="L24" i="3"/>
  <c r="J22" i="3"/>
  <c r="AS21" i="3" s="1"/>
  <c r="BL23" i="3" s="1"/>
  <c r="O18" i="3"/>
  <c r="O16" i="3"/>
  <c r="L17" i="3"/>
  <c r="P57" i="3"/>
  <c r="N17" i="3"/>
  <c r="J42" i="3"/>
  <c r="O22" i="3"/>
  <c r="M22" i="3"/>
  <c r="M17" i="3"/>
  <c r="N16" i="3"/>
  <c r="J54" i="3"/>
  <c r="O52" i="3"/>
  <c r="O41" i="3"/>
  <c r="L41" i="3"/>
  <c r="P41" i="3" s="1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G84" i="3" l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S86" i="3"/>
  <c r="T86" i="3" s="1" a="1"/>
  <c r="T86" i="3" s="1"/>
  <c r="BS28" i="3"/>
  <c r="P63" i="3"/>
  <c r="K34" i="3"/>
  <c r="P34" i="3"/>
  <c r="K36" i="3"/>
  <c r="AL84" i="3"/>
  <c r="P35" i="3"/>
  <c r="K35" i="3"/>
  <c r="P9" i="3"/>
  <c r="K33" i="3"/>
  <c r="AF84" i="3"/>
  <c r="K9" i="3"/>
  <c r="AJ84" i="3"/>
  <c r="AT84" i="3"/>
  <c r="AI84" i="3"/>
  <c r="AN84" i="3"/>
  <c r="AH84" i="3"/>
  <c r="K11" i="3"/>
  <c r="P12" i="3"/>
  <c r="AI80" i="3"/>
  <c r="AN80" i="3"/>
  <c r="AF80" i="3"/>
  <c r="AT80" i="3"/>
  <c r="AH80" i="3"/>
  <c r="AJ80" i="3"/>
  <c r="K12" i="3"/>
  <c r="AL80" i="3"/>
  <c r="AG80" i="3"/>
  <c r="K69" i="3"/>
  <c r="K10" i="3"/>
  <c r="P10" i="3"/>
  <c r="P46" i="3"/>
  <c r="K45" i="3"/>
  <c r="P45" i="3"/>
  <c r="K63" i="3"/>
  <c r="P24" i="3"/>
  <c r="P71" i="3"/>
  <c r="P77" i="3"/>
  <c r="P76" i="3"/>
  <c r="P21" i="3"/>
  <c r="P18" i="3"/>
  <c r="K76" i="3"/>
  <c r="K18" i="3"/>
  <c r="K75" i="3"/>
  <c r="P75" i="3"/>
  <c r="K21" i="3"/>
  <c r="AJ89" i="3"/>
  <c r="AG81" i="3"/>
  <c r="AT86" i="3"/>
  <c r="AJ86" i="3"/>
  <c r="AH91" i="3"/>
  <c r="AG86" i="3"/>
  <c r="P29" i="3"/>
  <c r="P39" i="3"/>
  <c r="K27" i="3"/>
  <c r="AJ82" i="3"/>
  <c r="AF82" i="3"/>
  <c r="K39" i="3"/>
  <c r="AJ90" i="3"/>
  <c r="AN91" i="3"/>
  <c r="P70" i="3"/>
  <c r="P15" i="3"/>
  <c r="K30" i="3"/>
  <c r="P27" i="3"/>
  <c r="P16" i="3"/>
  <c r="P66" i="3"/>
  <c r="AL83" i="3"/>
  <c r="K46" i="3"/>
  <c r="K16" i="3"/>
  <c r="K40" i="3"/>
  <c r="AH83" i="3"/>
  <c r="AG83" i="3"/>
  <c r="AL81" i="3"/>
  <c r="AN83" i="3"/>
  <c r="K77" i="3"/>
  <c r="AL87" i="3"/>
  <c r="P54" i="3"/>
  <c r="K24" i="3"/>
  <c r="P72" i="3"/>
  <c r="AJ83" i="3"/>
  <c r="AF83" i="3"/>
  <c r="K70" i="3"/>
  <c r="K22" i="3"/>
  <c r="K64" i="3"/>
  <c r="AT83" i="3"/>
  <c r="AI83" i="3"/>
  <c r="AF89" i="3"/>
  <c r="K65" i="3"/>
  <c r="P78" i="3"/>
  <c r="AF81" i="3"/>
  <c r="AI86" i="3"/>
  <c r="AH87" i="3"/>
  <c r="AI89" i="3"/>
  <c r="AT91" i="3"/>
  <c r="P42" i="3"/>
  <c r="K51" i="3"/>
  <c r="AJ81" i="3"/>
  <c r="AL86" i="3"/>
  <c r="AF86" i="3"/>
  <c r="AT89" i="3"/>
  <c r="K78" i="3"/>
  <c r="AI91" i="3"/>
  <c r="K48" i="3"/>
  <c r="P28" i="3"/>
  <c r="P30" i="3"/>
  <c r="AT87" i="3"/>
  <c r="AG87" i="3"/>
  <c r="AT81" i="3"/>
  <c r="AI81" i="3"/>
  <c r="AN81" i="3"/>
  <c r="AH81" i="3"/>
  <c r="AN87" i="3"/>
  <c r="AF87" i="3"/>
  <c r="AF90" i="3"/>
  <c r="P22" i="3"/>
  <c r="K66" i="3"/>
  <c r="K29" i="3"/>
  <c r="AN85" i="3"/>
  <c r="K28" i="3"/>
  <c r="AH85" i="3"/>
  <c r="K71" i="3"/>
  <c r="K53" i="3"/>
  <c r="P17" i="3"/>
  <c r="P40" i="3"/>
  <c r="K54" i="3"/>
  <c r="K72" i="3"/>
  <c r="K47" i="3"/>
  <c r="P23" i="3"/>
  <c r="AI82" i="3"/>
  <c r="P47" i="3"/>
  <c r="P51" i="3"/>
  <c r="AT90" i="3"/>
  <c r="AI90" i="3"/>
  <c r="P52" i="3"/>
  <c r="AT82" i="3"/>
  <c r="AH82" i="3"/>
  <c r="K42" i="3"/>
  <c r="AN86" i="3"/>
  <c r="AH86" i="3"/>
  <c r="AJ87" i="3"/>
  <c r="P65" i="3"/>
  <c r="AN89" i="3"/>
  <c r="AH89" i="3"/>
  <c r="AN90" i="3"/>
  <c r="AH90" i="3"/>
  <c r="AL91" i="3"/>
  <c r="AG91" i="3"/>
  <c r="K41" i="3"/>
  <c r="P53" i="3"/>
  <c r="K17" i="3"/>
  <c r="AN82" i="3"/>
  <c r="AG82" i="3"/>
  <c r="AL89" i="3"/>
  <c r="AG89" i="3"/>
  <c r="AL90" i="3"/>
  <c r="AG90" i="3"/>
  <c r="AJ91" i="3"/>
  <c r="AF91" i="3"/>
  <c r="K15" i="3"/>
  <c r="AL85" i="3"/>
  <c r="AG85" i="3"/>
  <c r="AJ85" i="3"/>
  <c r="AF85" i="3"/>
  <c r="K23" i="3"/>
  <c r="AT85" i="3"/>
  <c r="AI85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AF92" i="3"/>
  <c r="AH92" i="3"/>
  <c r="AG92" i="3"/>
  <c r="AJ92" i="3"/>
  <c r="AN92" i="3"/>
  <c r="AS92" i="3"/>
  <c r="AL92" i="3"/>
  <c r="AM88" i="3" s="1"/>
  <c r="AI92" i="3"/>
  <c r="S103" i="3" l="1"/>
  <c r="T103" i="3" s="1" a="1"/>
  <c r="T103" i="3" s="1"/>
  <c r="CG24" i="3"/>
  <c r="CN48" i="3" s="1"/>
  <c r="AM87" i="3"/>
  <c r="AM90" i="3"/>
  <c r="AM84" i="3"/>
  <c r="AM81" i="3"/>
  <c r="AM82" i="3"/>
  <c r="AM85" i="3"/>
  <c r="AM80" i="3"/>
  <c r="AM91" i="3"/>
  <c r="AM86" i="3"/>
  <c r="AM89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5" i="3"/>
  <c r="AP89" i="3"/>
  <c r="AP91" i="3"/>
  <c r="AP84" i="3"/>
  <c r="AP83" i="3"/>
  <c r="AP80" i="3"/>
  <c r="AP82" i="3"/>
  <c r="AP88" i="3"/>
  <c r="AP90" i="3"/>
  <c r="AP81" i="3"/>
  <c r="AP86" i="3"/>
  <c r="CN37" i="3" l="1"/>
  <c r="CK68" i="3" s="1"/>
  <c r="S111" i="3"/>
  <c r="T111" i="3" s="1"/>
  <c r="AD83" i="3"/>
  <c r="AS83" i="3" s="1"/>
  <c r="AD88" i="3"/>
  <c r="AS88" i="3" s="1"/>
  <c r="AD86" i="3"/>
  <c r="AS86" i="3" s="1"/>
  <c r="AD81" i="3"/>
  <c r="AS81" i="3" s="1"/>
  <c r="AD90" i="3"/>
  <c r="AS90" i="3" s="1"/>
  <c r="AD84" i="3"/>
  <c r="AS84" i="3" s="1"/>
  <c r="AD80" i="3"/>
  <c r="AS80" i="3" s="1"/>
  <c r="AD82" i="3"/>
  <c r="AS82" i="3" s="1"/>
  <c r="AD89" i="3"/>
  <c r="AS89" i="3" s="1"/>
  <c r="AD87" i="3"/>
  <c r="AS87" i="3" s="1"/>
  <c r="AD91" i="3"/>
  <c r="AS91" i="3" s="1"/>
  <c r="AD85" i="3"/>
  <c r="AS85" i="3" s="1"/>
  <c r="J90" i="3" l="1"/>
  <c r="N87" i="3"/>
  <c r="O82" i="3"/>
  <c r="L90" i="3"/>
  <c r="M81" i="3"/>
  <c r="O81" i="3"/>
  <c r="O90" i="3"/>
  <c r="M89" i="3"/>
  <c r="L87" i="3"/>
  <c r="N89" i="3"/>
  <c r="J84" i="3"/>
  <c r="L89" i="3"/>
  <c r="J91" i="3"/>
  <c r="N86" i="3"/>
  <c r="J82" i="3"/>
  <c r="N83" i="3"/>
  <c r="J89" i="3"/>
  <c r="O89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91" i="3"/>
  <c r="O91" i="3"/>
  <c r="N81" i="3"/>
  <c r="J85" i="3"/>
  <c r="L88" i="3"/>
  <c r="L83" i="3"/>
  <c r="M88" i="3"/>
  <c r="N88" i="3"/>
  <c r="J83" i="3"/>
  <c r="M86" i="3"/>
  <c r="N92" i="3"/>
  <c r="L86" i="3"/>
  <c r="J81" i="3"/>
  <c r="N91" i="3"/>
  <c r="O92" i="3"/>
  <c r="O86" i="3"/>
  <c r="N90" i="3"/>
  <c r="J86" i="3"/>
  <c r="L84" i="3"/>
  <c r="M85" i="3"/>
  <c r="O83" i="3"/>
  <c r="J92" i="3"/>
  <c r="J88" i="3"/>
  <c r="L91" i="3"/>
  <c r="J87" i="3"/>
  <c r="N84" i="3"/>
  <c r="O87" i="3"/>
  <c r="O84" i="3"/>
  <c r="O85" i="3"/>
  <c r="L85" i="3"/>
  <c r="M92" i="3"/>
  <c r="M82" i="3"/>
  <c r="M84" i="3"/>
  <c r="M90" i="3"/>
  <c r="L92" i="3"/>
  <c r="K92" i="3" s="1"/>
  <c r="M83" i="3"/>
  <c r="L82" i="3"/>
  <c r="O88" i="3"/>
  <c r="L81" i="3"/>
  <c r="N82" i="3"/>
  <c r="N85" i="3"/>
  <c r="M87" i="3"/>
  <c r="P92" i="3" l="1"/>
  <c r="P89" i="3"/>
  <c r="P84" i="3"/>
  <c r="P87" i="3"/>
  <c r="K86" i="3"/>
  <c r="J3" i="4"/>
  <c r="BL71" i="3" s="1"/>
  <c r="P88" i="3"/>
  <c r="H3" i="4"/>
  <c r="BL39" i="3" s="1"/>
  <c r="P82" i="3"/>
  <c r="K89" i="3"/>
  <c r="K90" i="3"/>
  <c r="K85" i="3"/>
  <c r="K84" i="3"/>
  <c r="K81" i="3"/>
  <c r="P83" i="3"/>
  <c r="K87" i="3"/>
  <c r="G3" i="4"/>
  <c r="BL11" i="3" s="1"/>
  <c r="E3" i="4"/>
  <c r="BL67" i="3" s="1"/>
  <c r="BS68" i="3" s="1"/>
  <c r="B3" i="4"/>
  <c r="I3" i="4"/>
  <c r="BL15" i="3" s="1"/>
  <c r="P81" i="3"/>
  <c r="K83" i="3"/>
  <c r="K91" i="3"/>
  <c r="P86" i="3"/>
  <c r="K3" i="4"/>
  <c r="BL55" i="3" s="1"/>
  <c r="P91" i="3"/>
  <c r="P85" i="3"/>
  <c r="K88" i="3"/>
  <c r="K82" i="3"/>
  <c r="D3" i="4"/>
  <c r="BL51" i="3" s="1"/>
  <c r="P90" i="3"/>
  <c r="BS53" i="3"/>
  <c r="BS52" i="3"/>
  <c r="BS69" i="3"/>
  <c r="BZ65" i="3" s="1"/>
  <c r="CG56" i="3" s="1"/>
  <c r="CN38" i="3" s="1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<sst xmlns="http://schemas.openxmlformats.org/spreadsheetml/2006/main" count="9785" uniqueCount="3699">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</sst>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K28" zoomScaleNormal="100" workbookViewId="0">
      <selection activeCell="CN53" sqref="CN53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5</v>
      </c>
      <c r="AN8" s="123">
        <f>AF8*3+AG8</f>
        <v>5</v>
      </c>
      <c r="AO8" s="123">
        <f>AN8/AN12*10+BA8</f>
        <v>7.1428571428571432</v>
      </c>
      <c r="AP8" s="123">
        <f>AO8*10000000+BI8*100+AM8/AM12*10+AI8/AI12*1++IF(AQ8=0,ROW(),AQ8)/2000000</f>
        <v>71428579.143697664</v>
      </c>
      <c r="AQ8" s="126">
        <f>VLOOKUP(AE8,db_fifarank,2,FALSE)</f>
        <v>1681.03</v>
      </c>
      <c r="AR8" s="125">
        <f>AP8/AP12</f>
        <v>0.83333332194730192</v>
      </c>
      <c r="AS8" s="125" t="str">
        <f>IF(SUM(AF8:AH11)=12,J9,"1A")</f>
        <v>South Africa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South Africa</v>
      </c>
      <c r="K9" s="31">
        <f>L9+M9+N9</f>
        <v>3</v>
      </c>
      <c r="L9" s="31">
        <f>VLOOKUP(1,AD8:AN11,3,FALSE)</f>
        <v>2</v>
      </c>
      <c r="M9" s="31">
        <f>VLOOKUP(1,AD8:AN11,4,FALSE)</f>
        <v>0</v>
      </c>
      <c r="N9" s="31">
        <f>VLOOKUP(1,AD8:AN11,5,FALSE)</f>
        <v>1</v>
      </c>
      <c r="O9" s="31" t="str">
        <f>VLOOKUP(1,AD8:AN11,6,FALSE) &amp; " - " &amp; VLOOKUP(1,AD8:AN11,7,FALSE)</f>
        <v>6 - 4</v>
      </c>
      <c r="P9" s="32">
        <f>L9*3+M9</f>
        <v>6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1</v>
      </c>
      <c r="V9" s="123">
        <f t="shared" si="3"/>
        <v>1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1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6</v>
      </c>
      <c r="AJ9" s="123">
        <f>SUMIF($E$7:$E$78,$AE9,$G$7:$G$78) + SUMIF($H$7:$H$78,$AE9,$F$7:$F$78)</f>
        <v>4</v>
      </c>
      <c r="AL9" s="123">
        <f>AI9-AJ9</f>
        <v>2</v>
      </c>
      <c r="AM9" s="123">
        <f>AL9-AL12</f>
        <v>6</v>
      </c>
      <c r="AN9" s="123">
        <f>AF9*3+AG9</f>
        <v>6</v>
      </c>
      <c r="AO9" s="123">
        <f>AN9/AN12*10+BA9</f>
        <v>8.5714285714285712</v>
      </c>
      <c r="AP9" s="123">
        <f>AO9*10000000+BI9*100+AM9/AM12*10+AI9/AI12*1++IF(AQ9=0,ROW(),AQ9)/2000000</f>
        <v>85714295.143572003</v>
      </c>
      <c r="AQ9" s="126">
        <f>VLOOKUP(AE9,db_fifarank,2,FALSE)</f>
        <v>1429.73</v>
      </c>
      <c r="AR9" s="125">
        <f>AP9/AP12</f>
        <v>0.9999999883333347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7</v>
      </c>
      <c r="AL10" s="123">
        <f>AI10-AJ10</f>
        <v>-4</v>
      </c>
      <c r="AM10" s="123">
        <f>AL10-AL12</f>
        <v>0</v>
      </c>
      <c r="AN10" s="123">
        <f>AF10*3+AG10</f>
        <v>1</v>
      </c>
      <c r="AO10" s="123">
        <f>AN10/AN12*10+BA10</f>
        <v>1.4285714285714284</v>
      </c>
      <c r="AP10" s="123">
        <f>AO10*10000000+BI10*100+AM10/AM12*10+AI10/AI12*1++IF(AQ10=0,ROW(),AQ10)/2000000</f>
        <v>14285714.715080043</v>
      </c>
      <c r="AQ10" s="126">
        <f>VLOOKUP(AE10,db_fifarank,2,FALSE)</f>
        <v>1588.66</v>
      </c>
      <c r="AR10" s="125">
        <f>AP10/AP12</f>
        <v>0.16666665139676792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3 - 2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5</v>
      </c>
      <c r="AN11" s="123">
        <f>AF11*3+AG11</f>
        <v>4</v>
      </c>
      <c r="AO11" s="123">
        <f>AN11/AN12*10+BA11</f>
        <v>5.7142857142857135</v>
      </c>
      <c r="AP11" s="123">
        <f>AO11*10000000+BI11*100+AM11/AM12*10+AI11/AI12*1++IF(AQ11=0,ROW(),AQ11)/2000000</f>
        <v>57142864.715036392</v>
      </c>
      <c r="AQ11" s="126">
        <f>VLOOKUP(AE11,db_fifarank,2,FALSE)</f>
        <v>1501.38</v>
      </c>
      <c r="AR11" s="125">
        <f>AP11/AP12</f>
        <v>0.66666667389208589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3 - 7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7</v>
      </c>
      <c r="AN12" s="123">
        <f>MAX(AN8:AN11)+1</f>
        <v>7</v>
      </c>
      <c r="AO12" s="123">
        <f>MAX(AO8:AO11)+1</f>
        <v>9.5714285714285712</v>
      </c>
      <c r="AP12" s="123">
        <f>MAX(AP8:AP11)+1</f>
        <v>85714296.143572003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3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7.6646988083524645</v>
      </c>
      <c r="AP14" s="123">
        <f>AO14*10000000+BI14*100+AM14/AM18*10+AI14/AI18*1++IF(AQ14=0,ROW(),AQ14)/2000000</f>
        <v>76646993.584302887</v>
      </c>
      <c r="AQ14" s="126">
        <f>VLOOKUP(AE14,db_fifarank,2,FALSE)</f>
        <v>1556.48</v>
      </c>
      <c r="AR14" s="125">
        <f>AP14/AP18</f>
        <v>0.91904039436715435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1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1</v>
      </c>
      <c r="AY14" s="126">
        <f>AX14-MIN(AX14:AX17)</f>
        <v>2</v>
      </c>
      <c r="AZ14" s="126">
        <f>AT14/AT18*1000+AU14/AU18*100+AY14/AY18*10+AV14/AV18</f>
        <v>507.16666666666669</v>
      </c>
      <c r="BA14" s="126">
        <f>AZ14/AZ18</f>
        <v>0.99803214168579857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3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5 - 3</v>
      </c>
      <c r="P15" s="32">
        <f>L15*3+M15</f>
        <v>5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4</v>
      </c>
      <c r="AN15" s="123">
        <f>AF15*3+AG15</f>
        <v>4</v>
      </c>
      <c r="AO15" s="123">
        <f>AN15/AN18*10+BA15</f>
        <v>6.6666666666666661</v>
      </c>
      <c r="AP15" s="123">
        <f>AO15*10000000+BI15*100+AM15/AM18*10+AI15/AI18*1++IF(AQ15=0,ROW(),AQ15)/2000000</f>
        <v>66666673.834026247</v>
      </c>
      <c r="AQ15" s="126">
        <f>VLOOKUP(AE15,db_fifarank,2,FALSE)</f>
        <v>1385.84</v>
      </c>
      <c r="AR15" s="125">
        <f>AP15/AP18</f>
        <v>0.79937076911151983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-1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6</v>
      </c>
      <c r="AL16" s="123">
        <f>AI16-AJ16</f>
        <v>-3</v>
      </c>
      <c r="AM16" s="123">
        <f>AL16-AL18</f>
        <v>0</v>
      </c>
      <c r="AN16" s="123">
        <f>AF16*3+AG16</f>
        <v>3</v>
      </c>
      <c r="AO16" s="123">
        <f>AN16/AN18*10+BA16</f>
        <v>5.0065595277140043</v>
      </c>
      <c r="AP16" s="123">
        <f>AO16*10000000+BI16*100+AM16/AM18*10+AI16/AI18*1++IF(AQ16=0,ROW(),AQ16)/2000000</f>
        <v>50065595.777867526</v>
      </c>
      <c r="AQ16" s="126">
        <f>VLOOKUP(AE16,db_fifarank,2,FALSE)</f>
        <v>1454.96</v>
      </c>
      <c r="AR16" s="125">
        <f>AP16/AP18</f>
        <v>0.60031454250465355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1</v>
      </c>
      <c r="AZ16" s="126">
        <f>AT16/AT18*1000+AU16/AU18*100+AY16/AY18*10+AV16/AV18</f>
        <v>3.333333333333333</v>
      </c>
      <c r="BA16" s="126">
        <f>AZ16/AZ18</f>
        <v>6.5595277140045906E-3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3</v>
      </c>
      <c r="AL17" s="123">
        <f>AI17-AJ17</f>
        <v>2</v>
      </c>
      <c r="AM17" s="123">
        <f>AL17-AL18</f>
        <v>5</v>
      </c>
      <c r="AN17" s="123">
        <f>AF17*3+AG17</f>
        <v>5</v>
      </c>
      <c r="AO17" s="123">
        <f>AN17/AN18*10+BA17</f>
        <v>8.3398928610473391</v>
      </c>
      <c r="AP17" s="123">
        <f>AO17*10000000+BI17*100+AM17/AM18*10+AI17/AI18*1++IF(AQ17=0,ROW(),AQ17)/2000000</f>
        <v>83398937.777964756</v>
      </c>
      <c r="AQ17" s="126">
        <f>VLOOKUP(AE17,db_fifarank,2,FALSE)</f>
        <v>1649.4</v>
      </c>
      <c r="AR17" s="125">
        <f>AP17/AP18</f>
        <v>0.99999998800943979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1</v>
      </c>
      <c r="AZ17" s="126">
        <f>AT17/AT18*1000+AU17/AU18*100+AY17/AY18*10+AV17/AV18</f>
        <v>3.333333333333333</v>
      </c>
      <c r="BA17" s="126">
        <f>AZ17/AZ18</f>
        <v>6.5595277140045906E-3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1</v>
      </c>
      <c r="M18" s="36">
        <f>VLOOKUP(4,AD14:AN17,4,FALSE)</f>
        <v>0</v>
      </c>
      <c r="N18" s="36">
        <f>VLOOKUP(4,AD14:AN17,5,FALSE)</f>
        <v>2</v>
      </c>
      <c r="O18" s="36" t="str">
        <f>VLOOKUP(4,AD14:AN17,6,FALSE) &amp; " - " &amp; VLOOKUP(4,AD14:AN17,7,FALSE)</f>
        <v>3 - 6</v>
      </c>
      <c r="P18" s="37">
        <f>L18*3+M18</f>
        <v>3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1</v>
      </c>
      <c r="AG18" s="123">
        <f t="shared" si="13"/>
        <v>3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6</v>
      </c>
      <c r="AN18" s="123">
        <f>MAX(AN14:AN17)+1</f>
        <v>6</v>
      </c>
      <c r="AO18" s="123">
        <f>MAX(AO14:AO17)+1</f>
        <v>9.3398928610473391</v>
      </c>
      <c r="AP18" s="123">
        <f>MAX(AP14:AP17)+1</f>
        <v>83398938.777964756</v>
      </c>
      <c r="AT18" s="126">
        <f>MAX(AT14:AT17)-MIN(AT14:AT17)+1</f>
        <v>2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3</v>
      </c>
      <c r="AZ18" s="126">
        <f>MAX(AZ14:AZ17)+1</f>
        <v>508.16666666666669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4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18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97306560.051984146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2</v>
      </c>
      <c r="AL21" s="123">
        <f>AI21-AJ21</f>
        <v>6</v>
      </c>
      <c r="AM21" s="123">
        <f>AL21-AL24</f>
        <v>17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97306559.425665706</v>
      </c>
      <c r="AQ21" s="126">
        <f>VLOOKUP(AE21,db_fifarank,2,FALSE)</f>
        <v>1755.87</v>
      </c>
      <c r="AR21" s="125">
        <f>AP21/AP24</f>
        <v>0.99999998328665174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8 - 2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6.6373222218280268E-12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5</v>
      </c>
      <c r="AL23" s="123">
        <f>AI23-AJ23</f>
        <v>-2</v>
      </c>
      <c r="AM23" s="123">
        <f>AL23-AL24</f>
        <v>9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37500005.037591279</v>
      </c>
      <c r="AQ23" s="126">
        <f>VLOOKUP(AE23,db_fifarank,2,FALSE)</f>
        <v>1498.35</v>
      </c>
      <c r="AR23" s="125">
        <f>AP23/AP24</f>
        <v>0.38538002609667427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-11</v>
      </c>
      <c r="AM24" s="123">
        <f>MAX(AM20:AM23)+1</f>
        <v>19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97306561.051984146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2</v>
      </c>
      <c r="AH26" s="123">
        <f>COUNTIF($S$7:$T$78,"=" &amp; AE26 &amp; "_lose")</f>
        <v>1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5</v>
      </c>
      <c r="AL26" s="123">
        <f>AI26-AJ26</f>
        <v>-2</v>
      </c>
      <c r="AM26" s="123">
        <f>AL26-AL30</f>
        <v>2</v>
      </c>
      <c r="AN26" s="123">
        <f>AF26*3+AG26</f>
        <v>2</v>
      </c>
      <c r="AO26" s="123">
        <f>AN26/AN30*10+BA26</f>
        <v>2</v>
      </c>
      <c r="AP26" s="123">
        <f>AO26*10000000+BI26*100+AM26/AM30*10+AI26/AI30*1++IF(AQ26=0,ROW(),AQ26)/2000000</f>
        <v>20000002.375836566</v>
      </c>
      <c r="AQ26" s="126">
        <f>VLOOKUP(AE26,db_fifarank,2,FALSE)</f>
        <v>1673.13</v>
      </c>
      <c r="AR26" s="125">
        <f>AP26/AP30</f>
        <v>0.22222222176658035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5</v>
      </c>
      <c r="AL27" s="123">
        <f>AI27-AJ27</f>
        <v>1</v>
      </c>
      <c r="AM27" s="123">
        <f>AL27-AL30</f>
        <v>5</v>
      </c>
      <c r="AN27" s="123">
        <f>AF27*3+AG27</f>
        <v>4</v>
      </c>
      <c r="AO27" s="123">
        <f>AN27/AN30*10+BA27</f>
        <v>4</v>
      </c>
      <c r="AP27" s="123">
        <f>AO27*10000000+BI27*100+AM27/AM30*10+AI27/AI30*1++IF(AQ27=0,ROW(),AQ27)/2000000</f>
        <v>40000005.750751749</v>
      </c>
      <c r="AQ27" s="126">
        <f>VLOOKUP(AE27,db_fifarank,2,FALSE)</f>
        <v>1503.5</v>
      </c>
      <c r="AR27" s="125">
        <f>AP27/AP30</f>
        <v>0.44444445463403293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6 - 5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10000000.125790335</v>
      </c>
      <c r="AQ28" s="126">
        <f>VLOOKUP(AE28,db_fifarank,2,FALSE)</f>
        <v>1580.67</v>
      </c>
      <c r="AR28" s="125">
        <f>AP28/AP30</f>
        <v>0.11111109908186996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3 - 5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2</v>
      </c>
      <c r="AL29" s="123">
        <f>AI29-AJ29</f>
        <v>5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90000009.875799522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3</v>
      </c>
      <c r="AI30" s="123">
        <f>MAX(AI26:AI29)+1</f>
        <v>8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90000010.875799522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90000010.161579475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7.1924991080038842E-12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7 - 3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7</v>
      </c>
      <c r="AJ34" s="123">
        <f>SUMIF($E$7:$E$78,$AE34,$G$7:$G$78) + SUMIF($H$7:$H$78,$AE34,$F$7:$F$78)</f>
        <v>3</v>
      </c>
      <c r="AL34" s="123">
        <f>AI34-AJ34</f>
        <v>4</v>
      </c>
      <c r="AM34" s="123">
        <f>AL34-AL36</f>
        <v>11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60000008.732909352</v>
      </c>
      <c r="AQ34" s="126">
        <f>VLOOKUP(AE34,db_fifarank,2,FALSE)</f>
        <v>1532.98</v>
      </c>
      <c r="AR34" s="125">
        <f>AP34/AP36</f>
        <v>0.66666668102062454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5</v>
      </c>
      <c r="AL35" s="123">
        <f>AI35-AJ35</f>
        <v>-3</v>
      </c>
      <c r="AM35" s="123">
        <f>AL35-AL36</f>
        <v>4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30000003.107940249</v>
      </c>
      <c r="AQ35" s="126">
        <f>VLOOKUP(AE35,db_fifarank,2,FALSE)</f>
        <v>1594.78</v>
      </c>
      <c r="AR35" s="125">
        <f>AP35/AP36</f>
        <v>0.33333332652682035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-7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90000011.161579475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9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87500009.87587893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6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50000006.500830218</v>
      </c>
      <c r="AQ39" s="126">
        <f>VLOOKUP(AE39,db_fifarank,2,FALSE)</f>
        <v>1660.43</v>
      </c>
      <c r="AR39" s="125">
        <f>AP39/AP42</f>
        <v>0.57142857469762542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5</v>
      </c>
      <c r="AN40" s="123">
        <f>AF40*3+AG40</f>
        <v>6</v>
      </c>
      <c r="AO40" s="123">
        <f>AN40/AN42*10+BA40</f>
        <v>7.5</v>
      </c>
      <c r="AP40" s="123">
        <f>AO40*10000000+BI40*100+AM40/AM42*10+AI40/AI42*1++IF(AQ40=0,ROW(),AQ40)/2000000</f>
        <v>75000005.375757381</v>
      </c>
      <c r="AQ40" s="126">
        <f>VLOOKUP(AE40,db_fifarank,2,FALSE)</f>
        <v>1514.77</v>
      </c>
      <c r="AR40" s="125">
        <f>AP40/AP42</f>
        <v>0.85714281204086784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8.4745703752182692E-12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-5</v>
      </c>
      <c r="AM42" s="123">
        <f>MAX(AM38:AM41)+1</f>
        <v>10</v>
      </c>
      <c r="AN42" s="123">
        <f>MAX(AN38:AN41)+1</f>
        <v>8</v>
      </c>
      <c r="AO42" s="123">
        <f>MAX(AO38:AO41)+1</f>
        <v>9.75</v>
      </c>
      <c r="AP42" s="123">
        <f>MAX(AP38:AP41)+1</f>
        <v>87500010.87587893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6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40000006.572210193</v>
      </c>
      <c r="AQ45" s="126">
        <f>VLOOKUP(AE45,db_fifarank,2,FALSE)</f>
        <v>1563.24</v>
      </c>
      <c r="AR45" s="125">
        <f>AP45/AP48</f>
        <v>0.44444446384919634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1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20000001.143664792</v>
      </c>
      <c r="AQ46" s="126">
        <f>VLOOKUP(AE46,db_fifarank,2,FALSE)</f>
        <v>1615.3</v>
      </c>
      <c r="AR46" s="125">
        <f>AP46/AP48</f>
        <v>0.22222220811970878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3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10000000.143497929</v>
      </c>
      <c r="AQ47" s="126">
        <f>VLOOKUP(AE47,db_fifarank,2,FALSE)</f>
        <v>1281.57</v>
      </c>
      <c r="AR47" s="125">
        <f>AP47/AP48</f>
        <v>0.1111110993005831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90000009.945382655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South Africa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7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0.22290528722222222</v>
      </c>
      <c r="AQ51" s="126">
        <f>VLOOKUP(AE51,db_fifarank,2,FALSE)</f>
        <v>1366.13</v>
      </c>
      <c r="AR51" s="125">
        <f>AP51/AP54</f>
        <v>2.4767251123724238E-9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8 - 5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7</v>
      </c>
      <c r="AL52" s="123">
        <f>AI52-AJ52</f>
        <v>-4</v>
      </c>
      <c r="AM52" s="123">
        <f>AL52-AL54</f>
        <v>1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30000001.167377379</v>
      </c>
      <c r="AQ52" s="126">
        <f>VLOOKUP(AE52,db_fifarank,2,FALSE)</f>
        <v>1421.43</v>
      </c>
      <c r="AR52" s="125">
        <f>AP52/AP54</f>
        <v>0.33333330576574216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South Africa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5</v>
      </c>
      <c r="AL53" s="123">
        <f>AI53-AJ53</f>
        <v>3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60000007.556392089</v>
      </c>
      <c r="AQ53" s="126">
        <f>VLOOKUP(AE53,db_fifarank,2,FALSE)</f>
        <v>1673.07</v>
      </c>
      <c r="AR53" s="125">
        <f>AP53/AP54</f>
        <v>0.66666666954966991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1</v>
      </c>
      <c r="V54" s="123">
        <f t="shared" si="21"/>
        <v>1</v>
      </c>
      <c r="W54" s="123">
        <f t="shared" si="22"/>
        <v>1</v>
      </c>
      <c r="X54" s="123">
        <f t="shared" si="9"/>
        <v>1</v>
      </c>
      <c r="Y54" s="123">
        <f t="shared" si="10"/>
        <v>1</v>
      </c>
      <c r="Z54" s="123">
        <f t="shared" si="11"/>
        <v>1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90000010.945382655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90000010.120596781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30000003.522212014</v>
      </c>
      <c r="AQ57" s="126">
        <f>VLOOKUP(AE57,db_fifarank,2,FALSE)</f>
        <v>1688.99</v>
      </c>
      <c r="AR57" s="125">
        <f>AP57/AP60</f>
        <v>0.33333333128162712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1.2426074143619456E-9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8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60000006.821288288</v>
      </c>
      <c r="AQ59" s="126">
        <f>VLOOKUP(AE59,db_fifarank,2,FALSE)</f>
        <v>1550.94</v>
      </c>
      <c r="AR59" s="125">
        <f>AP59/AP60</f>
        <v>0.66666666008396858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3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90000011.120596781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15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87500010.275937423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4</v>
      </c>
      <c r="AN63" s="123">
        <f>AF63*3+AG63</f>
        <v>2</v>
      </c>
      <c r="AO63" s="123">
        <f>AN63/AN66*10+BA63</f>
        <v>2.5</v>
      </c>
      <c r="AP63" s="123">
        <f>AO63*10000000+BI63*100+AM63/AM66*10+AI63/AI66*1++IF(AQ63=0,ROW(),AQ63)/2000000</f>
        <v>25000002.60078213</v>
      </c>
      <c r="AQ63" s="126">
        <f>VLOOKUP(AE63,db_fifarank,2,FALSE)</f>
        <v>1564.26</v>
      </c>
      <c r="AR63" s="125">
        <f>AP63/AP66</f>
        <v>0.28571427861812349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4 - 2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9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62500006.025796726</v>
      </c>
      <c r="AQ64" s="126">
        <f>VLOOKUP(AE64,db_fifarank,2,FALSE)</f>
        <v>1593.45</v>
      </c>
      <c r="AR64" s="125">
        <f>AP64/AP66</f>
        <v>0.71428569110349682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12500000.000695726</v>
      </c>
      <c r="AQ65" s="126">
        <f>VLOOKUP(AE65,db_fifarank,2,FALSE)</f>
        <v>1391.45</v>
      </c>
      <c r="AR65" s="125">
        <f>AP65/AP66</f>
        <v>0.14285712445540263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0 - 7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3</v>
      </c>
      <c r="AI66" s="123">
        <f>MAX(AI62:AI65)+1</f>
        <v>10</v>
      </c>
      <c r="AL66" s="123">
        <f>MIN(AL62:AL65)</f>
        <v>-7</v>
      </c>
      <c r="AM66" s="123">
        <f>MAX(AM62:AM65)+1</f>
        <v>16</v>
      </c>
      <c r="AN66" s="123">
        <f>MAX(AN62:AN65)+1</f>
        <v>8</v>
      </c>
      <c r="AO66" s="123">
        <f>MAX(AO62:AO65)+1</f>
        <v>9.75</v>
      </c>
      <c r="AP66" s="123">
        <f>MAX(AP62:AP65)+1</f>
        <v>87500011.275937423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Senegal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90000010.1865962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Senegal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6</v>
      </c>
      <c r="AL69" s="123">
        <f>AI69-AJ69</f>
        <v>-3</v>
      </c>
      <c r="AM69" s="123">
        <f>AL69-AL72</f>
        <v>2</v>
      </c>
      <c r="AN69" s="123">
        <f>AF69*3+AG69</f>
        <v>4</v>
      </c>
      <c r="AO69" s="123">
        <f>AN69/AN72*10+BA69</f>
        <v>4.9805825242718447</v>
      </c>
      <c r="AP69" s="123">
        <f>AO69*10000000+BI69*100+AM69/AM72*10+AI69/AI72*1++IF(AQ69=0,ROW(),AQ69)/2000000</f>
        <v>49805925.030281462</v>
      </c>
      <c r="AQ69" s="126">
        <f>VLOOKUP(AE69,db_fifarank,2,FALSE)</f>
        <v>1478.35</v>
      </c>
      <c r="AR69" s="125">
        <f>AP69/AP72</f>
        <v>0.5533990982181024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3 - 3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0.10073267000000001</v>
      </c>
      <c r="AQ70" s="126">
        <f>VLOOKUP(AE70,db_fifarank,2,FALSE)</f>
        <v>1465.34</v>
      </c>
      <c r="AR70" s="125">
        <f>AP70/AP72</f>
        <v>1.1192517497709183E-9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3 - 6</v>
      </c>
      <c r="P71" s="34">
        <f>L71*3+M71</f>
        <v>4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3</v>
      </c>
      <c r="AL71" s="123">
        <f>AI71-AJ71</f>
        <v>0</v>
      </c>
      <c r="AM71" s="123">
        <f>AL71-AL72</f>
        <v>5</v>
      </c>
      <c r="AN71" s="123">
        <f>AF71*3+AG71</f>
        <v>4</v>
      </c>
      <c r="AO71" s="123">
        <f>AN71/AN72*10+BA71</f>
        <v>4.9805825242718447</v>
      </c>
      <c r="AP71" s="123">
        <f>AO71*10000000+BI71*100+AM71/AM72*10+AI71/AI72*1++IF(AQ71=0,ROW(),AQ71)/2000000</f>
        <v>49805927.173245981</v>
      </c>
      <c r="AQ71" s="126">
        <f>VLOOKUP(AE71,db_fifarank,2,FALSE)</f>
        <v>1693.09</v>
      </c>
      <c r="AR71" s="125">
        <f>AP71/AP72</f>
        <v>0.55339912202881625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4</v>
      </c>
      <c r="AI72" s="123">
        <f>MAX(AI68:AI71)+1</f>
        <v>10</v>
      </c>
      <c r="AL72" s="123">
        <f>MIN(AL68:AL71)</f>
        <v>-5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90000011.1865962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9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97305933.13521719</v>
      </c>
      <c r="AQ74" s="126">
        <f>VLOOKUP(AE74,db_fifarank,2,FALSE)</f>
        <v>1825.97</v>
      </c>
      <c r="AR74" s="125">
        <f>AP74/AP78</f>
        <v>0.99999998972313442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1</v>
      </c>
      <c r="AL75" s="123">
        <f>AI75-AJ75</f>
        <v>2</v>
      </c>
      <c r="AM75" s="123">
        <f>AL75-AL78</f>
        <v>7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97305930.801829413</v>
      </c>
      <c r="AQ75" s="126">
        <f>VLOOKUP(AE75,db_fifarank,2,FALSE)</f>
        <v>1717.07</v>
      </c>
      <c r="AR75" s="125">
        <f>AP75/AP78</f>
        <v>0.99999996574322203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3 - 1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2</v>
      </c>
      <c r="AL76" s="123">
        <f>AI76-AJ76</f>
        <v>-1</v>
      </c>
      <c r="AM76" s="123">
        <f>AL76-AL78</f>
        <v>4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37500004.167339817</v>
      </c>
      <c r="AQ76" s="126">
        <f>VLOOKUP(AE76,db_fifarank,2,FALSE)</f>
        <v>1346.31</v>
      </c>
      <c r="AR76" s="125">
        <f>AP76/AP78</f>
        <v>0.38538250005626046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1 - 2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7.9164750520719172E-12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-5</v>
      </c>
      <c r="AM78" s="123">
        <f>MAX(AM74:AM77)+1</f>
        <v>10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97305934.13521719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2</v>
      </c>
      <c r="AK80" s="123" t="s">
        <v>3180</v>
      </c>
      <c r="AL80" s="123">
        <f>VLOOKUP($AE80,$AE$8:$AQ$78,8,FALSE)</f>
        <v>1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8893.3340840233341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Japan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8893.3340262533347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3 - 2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5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6393.3340825083333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Bosnia and Herzegovina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3 - 2</v>
      </c>
      <c r="P83" s="101">
        <f t="shared" si="48"/>
        <v>4</v>
      </c>
      <c r="AD83" s="123">
        <f t="shared" si="38"/>
        <v>10</v>
      </c>
      <c r="AE83" s="124" t="str">
        <f>J29</f>
        <v>United States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4393.3341698983331</v>
      </c>
      <c r="AQ83" s="126">
        <f t="shared" si="37"/>
        <v>1673.13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United States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Ⓚ DR Congo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3 - 6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6206.6674640566671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1 - 2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3</v>
      </c>
      <c r="AK85" s="123" t="s">
        <v>3186</v>
      </c>
      <c r="AL85" s="123">
        <f t="shared" si="43"/>
        <v>1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8913.3341635483339</v>
      </c>
      <c r="AQ85" s="126">
        <f t="shared" si="37"/>
        <v>1660.43</v>
      </c>
      <c r="AR85" s="125" t="str">
        <f t="shared" si="50"/>
        <v>ABCEF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4186.6674743166668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7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6060.0007107150004</v>
      </c>
      <c r="AQ87" s="126">
        <f t="shared" si="37"/>
        <v>1421.43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Ecuador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6413.3341778283329</v>
      </c>
      <c r="AQ88" s="126">
        <f t="shared" si="37"/>
        <v>1688.99</v>
      </c>
      <c r="AR88" s="125" t="str">
        <f t="shared" si="50"/>
        <v>ABCEFI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3 - 7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4186.6674487966666</v>
      </c>
      <c r="AQ89" s="126">
        <f t="shared" si="37"/>
        <v>1564.26</v>
      </c>
      <c r="AR89" s="125" t="str">
        <f t="shared" si="50"/>
        <v>ABCEFI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United States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4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4</v>
      </c>
      <c r="AP90" s="123">
        <f>AN90/AN92*10000+AM90/AM92*1000+AI90/AI92*100+IF(AQ90=0,ROW(),AQ90)/2000000</f>
        <v>8226.6674058416684</v>
      </c>
      <c r="AQ90" s="126">
        <f t="shared" si="37"/>
        <v>1478.35</v>
      </c>
      <c r="AR90" s="125" t="str">
        <f t="shared" si="50"/>
        <v>ABCEFIK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2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6520.0006731550002</v>
      </c>
      <c r="AQ91" s="126">
        <f t="shared" si="37"/>
        <v>1346.31</v>
      </c>
      <c r="AR91" s="125" t="str">
        <f t="shared" si="50"/>
        <v>ABCEFIKL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1 - 4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407</v>
      </c>
      <c r="C3" s="121" t="str">
        <f>'2026 World Cup'!AR91</f>
        <v>ABCEFIKL</v>
      </c>
      <c r="D3" s="121" t="str">
        <f>VLOOKUP($C3,$C$6:$K$500,2,FALSE)</f>
        <v>3E</v>
      </c>
      <c r="E3" s="121" t="str">
        <f>VLOOKUP($C3,$C$6:$K$500,3,FALSE)</f>
        <v>3I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Isaac Firgaira Gómez</cp:lastModifiedBy>
  <cp:revision/>
  <dcterms:created xsi:type="dcterms:W3CDTF">2017-12-27T19:32:51Z</dcterms:created>
  <dcterms:modified xsi:type="dcterms:W3CDTF">2026-06-07T16:01:28Z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