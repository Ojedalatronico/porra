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021118\Desktop\"/>
    </mc:Choice>
  </mc:AlternateContent>
  <xr:revisionPtr revIDLastSave="0" documentId="13_ncr:1_{1D69E624-AE9B-4D7C-95B2-B40384395CF4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S30" i="3"/>
  <c r="T30" i="3" s="1"/>
  <c r="S78" i="3"/>
  <c r="T78" i="3" s="1"/>
  <c r="S26" i="3"/>
  <c r="S75" i="3"/>
  <c r="T75" i="3" s="1"/>
  <c r="S25" i="3"/>
  <c r="S49" i="3"/>
  <c r="T49" i="3" s="1"/>
  <c r="S68" i="3"/>
  <c r="T68" i="3" s="1"/>
  <c r="S23" i="3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T51" i="3"/>
  <c r="S54" i="3"/>
  <c r="S77" i="3"/>
  <c r="S50" i="3"/>
  <c r="S76" i="3"/>
  <c r="T26" i="3"/>
  <c r="T25" i="3"/>
  <c r="S47" i="3"/>
  <c r="S67" i="3"/>
  <c r="T23" i="3"/>
  <c r="S72" i="3"/>
  <c r="S70" i="3"/>
  <c r="S42" i="3"/>
  <c r="S64" i="3"/>
  <c r="T18" i="3"/>
  <c r="T63" i="3"/>
  <c r="T41" i="3"/>
  <c r="S40" i="3"/>
  <c r="S62" i="3"/>
  <c r="T61" i="3"/>
  <c r="T16" i="3"/>
  <c r="S38" i="3"/>
  <c r="S65" i="3"/>
  <c r="S55" i="3"/>
  <c r="S57" i="3"/>
  <c r="T8" i="3"/>
  <c r="T3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R9" i="3"/>
  <c r="AR11" i="3"/>
  <c r="AR10" i="3"/>
  <c r="AD58" i="3"/>
  <c r="AR28" i="3"/>
  <c r="AR34" i="3"/>
  <c r="AR33" i="3"/>
  <c r="AR35" i="3"/>
  <c r="AR21" i="3"/>
  <c r="AR22" i="3"/>
  <c r="AR75" i="3"/>
  <c r="AR76" i="3"/>
  <c r="AR77" i="3"/>
  <c r="AD77" i="3" s="1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9" i="3" l="1"/>
  <c r="AD10" i="3"/>
  <c r="AD11" i="3"/>
  <c r="AD8" i="3"/>
  <c r="N9" i="3" s="1"/>
  <c r="M58" i="3"/>
  <c r="AD35" i="3"/>
  <c r="M59" i="3"/>
  <c r="AD75" i="3"/>
  <c r="N58" i="3"/>
  <c r="AD34" i="3"/>
  <c r="AD14" i="3"/>
  <c r="AD41" i="3"/>
  <c r="AD62" i="3"/>
  <c r="N63" i="3" s="1"/>
  <c r="AD44" i="3"/>
  <c r="L45" i="3" s="1"/>
  <c r="AD70" i="3"/>
  <c r="AD33" i="3"/>
  <c r="AD32" i="3"/>
  <c r="AD68" i="3"/>
  <c r="AD28" i="3"/>
  <c r="L59" i="3"/>
  <c r="AD47" i="3"/>
  <c r="AD22" i="3"/>
  <c r="AD15" i="3"/>
  <c r="AD71" i="3"/>
  <c r="AD20" i="3"/>
  <c r="AD29" i="3"/>
  <c r="AD21" i="3"/>
  <c r="AD26" i="3"/>
  <c r="AD27" i="3"/>
  <c r="AD63" i="3"/>
  <c r="AD76" i="3"/>
  <c r="AD74" i="3"/>
  <c r="L58" i="3"/>
  <c r="O60" i="3"/>
  <c r="AD53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N39" i="3" s="1"/>
  <c r="AD50" i="3"/>
  <c r="O51" i="3" s="1"/>
  <c r="N59" i="3"/>
  <c r="AD17" i="3"/>
  <c r="M54" i="3" l="1"/>
  <c r="N12" i="3"/>
  <c r="O9" i="3"/>
  <c r="L11" i="3"/>
  <c r="J12" i="3"/>
  <c r="M10" i="3"/>
  <c r="L9" i="3"/>
  <c r="J9" i="3"/>
  <c r="AS8" i="3" s="1"/>
  <c r="BL50" i="3" s="1"/>
  <c r="N11" i="3"/>
  <c r="L10" i="3"/>
  <c r="P10" i="3" s="1"/>
  <c r="J11" i="3"/>
  <c r="AE80" i="3" s="1"/>
  <c r="AQ80" i="3" s="1"/>
  <c r="N10" i="3"/>
  <c r="M12" i="3"/>
  <c r="L12" i="3"/>
  <c r="O12" i="3"/>
  <c r="M11" i="3"/>
  <c r="O10" i="3"/>
  <c r="O11" i="3"/>
  <c r="M9" i="3"/>
  <c r="J10" i="3"/>
  <c r="AS9" i="3" s="1"/>
  <c r="BL18" i="3" s="1"/>
  <c r="O21" i="3"/>
  <c r="L76" i="3"/>
  <c r="J27" i="3"/>
  <c r="AS26" i="3" s="1"/>
  <c r="BL34" i="3" s="1"/>
  <c r="J16" i="3"/>
  <c r="AS15" i="3" s="1"/>
  <c r="BL19" i="3" s="1"/>
  <c r="N16" i="3"/>
  <c r="K58" i="3"/>
  <c r="J28" i="3"/>
  <c r="AS27" i="3" s="1"/>
  <c r="BL62" i="3" s="1"/>
  <c r="BS61" i="3" s="1"/>
  <c r="M16" i="3"/>
  <c r="P59" i="3"/>
  <c r="O16" i="3"/>
  <c r="J39" i="3"/>
  <c r="AS38" i="3" s="1"/>
  <c r="BL22" i="3" s="1"/>
  <c r="M18" i="3"/>
  <c r="M63" i="3"/>
  <c r="L63" i="3"/>
  <c r="L34" i="3"/>
  <c r="N45" i="3"/>
  <c r="M45" i="3"/>
  <c r="P45" i="3" s="1"/>
  <c r="J45" i="3"/>
  <c r="AS44" i="3" s="1"/>
  <c r="BL38" i="3" s="1"/>
  <c r="O39" i="3"/>
  <c r="M39" i="3"/>
  <c r="J72" i="3"/>
  <c r="L33" i="3"/>
  <c r="N33" i="3"/>
  <c r="J33" i="3"/>
  <c r="AS32" i="3" s="1"/>
  <c r="BL10" i="3" s="1"/>
  <c r="N27" i="3"/>
  <c r="J63" i="3"/>
  <c r="AS62" i="3" s="1"/>
  <c r="BL58" i="3" s="1"/>
  <c r="BS60" i="3" s="1"/>
  <c r="BZ64" i="3" s="1"/>
  <c r="O63" i="3"/>
  <c r="L16" i="3"/>
  <c r="L47" i="3"/>
  <c r="L17" i="3"/>
  <c r="M69" i="3"/>
  <c r="L69" i="3"/>
  <c r="M35" i="3"/>
  <c r="O17" i="3"/>
  <c r="O35" i="3"/>
  <c r="L36" i="3"/>
  <c r="M33" i="3"/>
  <c r="L40" i="3"/>
  <c r="M34" i="3"/>
  <c r="O34" i="3"/>
  <c r="O33" i="3"/>
  <c r="J35" i="3"/>
  <c r="AE84" i="3" s="1"/>
  <c r="AQ84" i="3" s="1"/>
  <c r="J76" i="3"/>
  <c r="AS75" i="3" s="1"/>
  <c r="BL27" i="3" s="1"/>
  <c r="O69" i="3"/>
  <c r="N34" i="3"/>
  <c r="O24" i="3"/>
  <c r="J34" i="3"/>
  <c r="AS33" i="3" s="1"/>
  <c r="BL46" i="3" s="1"/>
  <c r="O76" i="3"/>
  <c r="N69" i="3"/>
  <c r="N36" i="3"/>
  <c r="L22" i="3"/>
  <c r="J48" i="3"/>
  <c r="N18" i="3"/>
  <c r="O22" i="3"/>
  <c r="J47" i="3"/>
  <c r="AE86" i="3" s="1"/>
  <c r="AQ86" i="3" s="1"/>
  <c r="L18" i="3"/>
  <c r="M17" i="3"/>
  <c r="AJ88" i="3"/>
  <c r="L48" i="3"/>
  <c r="J18" i="3"/>
  <c r="AI88" i="3"/>
  <c r="J69" i="3"/>
  <c r="AS68" i="3" s="1"/>
  <c r="BL70" i="3" s="1"/>
  <c r="L15" i="3"/>
  <c r="L35" i="3"/>
  <c r="K59" i="3"/>
  <c r="J21" i="3"/>
  <c r="AS20" i="3" s="1"/>
  <c r="BL42" i="3" s="1"/>
  <c r="BS44" i="3" s="1"/>
  <c r="BZ48" i="3" s="1"/>
  <c r="O18" i="3"/>
  <c r="N52" i="3"/>
  <c r="AN88" i="3"/>
  <c r="N35" i="3"/>
  <c r="M47" i="3"/>
  <c r="O45" i="3"/>
  <c r="L54" i="3"/>
  <c r="J29" i="3"/>
  <c r="AE83" i="3" s="1"/>
  <c r="AQ83" i="3" s="1"/>
  <c r="N24" i="3"/>
  <c r="M22" i="3"/>
  <c r="M70" i="3"/>
  <c r="AT88" i="3"/>
  <c r="J36" i="3"/>
  <c r="M48" i="3"/>
  <c r="M36" i="3"/>
  <c r="J70" i="3"/>
  <c r="AS69" i="3" s="1"/>
  <c r="BL26" i="3" s="1"/>
  <c r="O64" i="3"/>
  <c r="J71" i="3"/>
  <c r="AE90" i="3" s="1"/>
  <c r="AQ90" i="3" s="1"/>
  <c r="O36" i="3"/>
  <c r="N21" i="3"/>
  <c r="O46" i="3"/>
  <c r="L77" i="3"/>
  <c r="O28" i="3"/>
  <c r="M75" i="3"/>
  <c r="N64" i="3"/>
  <c r="O47" i="3"/>
  <c r="N22" i="3"/>
  <c r="J40" i="3"/>
  <c r="AS39" i="3" s="1"/>
  <c r="BL43" i="3" s="1"/>
  <c r="M76" i="3"/>
  <c r="J75" i="3"/>
  <c r="AS74" i="3" s="1"/>
  <c r="BL54" i="3" s="1"/>
  <c r="M64" i="3"/>
  <c r="M46" i="3"/>
  <c r="L21" i="3"/>
  <c r="N76" i="3"/>
  <c r="N75" i="3"/>
  <c r="L30" i="3"/>
  <c r="O75" i="3"/>
  <c r="O48" i="3"/>
  <c r="N30" i="3"/>
  <c r="J22" i="3"/>
  <c r="AS21" i="3" s="1"/>
  <c r="BL23" i="3" s="1"/>
  <c r="N17" i="3"/>
  <c r="L78" i="3"/>
  <c r="N66" i="3"/>
  <c r="L75" i="3"/>
  <c r="L28" i="3"/>
  <c r="J24" i="3"/>
  <c r="O78" i="3"/>
  <c r="O66" i="3"/>
  <c r="L64" i="3"/>
  <c r="N47" i="3"/>
  <c r="L27" i="3"/>
  <c r="O29" i="3"/>
  <c r="J46" i="3"/>
  <c r="AS45" i="3" s="1"/>
  <c r="BL63" i="3" s="1"/>
  <c r="L29" i="3"/>
  <c r="P58" i="3"/>
  <c r="K57" i="3"/>
  <c r="J41" i="3"/>
  <c r="AE85" i="3" s="1"/>
  <c r="AQ85" i="3" s="1"/>
  <c r="J42" i="3"/>
  <c r="M78" i="3"/>
  <c r="N72" i="3"/>
  <c r="J64" i="3"/>
  <c r="AS63" i="3" s="1"/>
  <c r="BL31" i="3" s="1"/>
  <c r="N29" i="3"/>
  <c r="N78" i="3"/>
  <c r="M72" i="3"/>
  <c r="J65" i="3"/>
  <c r="AE89" i="3" s="1"/>
  <c r="AQ89" i="3" s="1"/>
  <c r="M42" i="3"/>
  <c r="M27" i="3"/>
  <c r="M24" i="3"/>
  <c r="AG88" i="3"/>
  <c r="L23" i="3"/>
  <c r="L72" i="3"/>
  <c r="J66" i="3"/>
  <c r="N48" i="3"/>
  <c r="N40" i="3"/>
  <c r="M29" i="3"/>
  <c r="L24" i="3"/>
  <c r="AF88" i="3"/>
  <c r="P57" i="3"/>
  <c r="O71" i="3"/>
  <c r="M66" i="3"/>
  <c r="O54" i="3"/>
  <c r="M77" i="3"/>
  <c r="N70" i="3"/>
  <c r="J51" i="3"/>
  <c r="AS50" i="3" s="1"/>
  <c r="BL30" i="3" s="1"/>
  <c r="L42" i="3"/>
  <c r="M65" i="3"/>
  <c r="L46" i="3"/>
  <c r="L39" i="3"/>
  <c r="M28" i="3"/>
  <c r="O77" i="3"/>
  <c r="L70" i="3"/>
  <c r="P70" i="3" s="1"/>
  <c r="L65" i="3"/>
  <c r="L51" i="3"/>
  <c r="N46" i="3"/>
  <c r="O40" i="3"/>
  <c r="M30" i="3"/>
  <c r="M21" i="3"/>
  <c r="O72" i="3"/>
  <c r="J78" i="3"/>
  <c r="N71" i="3"/>
  <c r="M71" i="3"/>
  <c r="O42" i="3"/>
  <c r="L71" i="3"/>
  <c r="L66" i="3"/>
  <c r="N54" i="3"/>
  <c r="N28" i="3"/>
  <c r="N77" i="3"/>
  <c r="O70" i="3"/>
  <c r="O65" i="3"/>
  <c r="J52" i="3"/>
  <c r="AS51" i="3" s="1"/>
  <c r="BL59" i="3" s="1"/>
  <c r="M40" i="3"/>
  <c r="O27" i="3"/>
  <c r="J30" i="3"/>
  <c r="N53" i="3"/>
  <c r="N65" i="3"/>
  <c r="O30" i="3"/>
  <c r="O23" i="3"/>
  <c r="M41" i="3"/>
  <c r="J77" i="3"/>
  <c r="AE91" i="3" s="1"/>
  <c r="AQ91" i="3" s="1"/>
  <c r="N51" i="3"/>
  <c r="M5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6" i="3" l="1"/>
  <c r="P16" i="3"/>
  <c r="P11" i="3"/>
  <c r="AL80" i="3"/>
  <c r="AF90" i="3"/>
  <c r="AI80" i="3"/>
  <c r="AJ80" i="3"/>
  <c r="AH80" i="3"/>
  <c r="P54" i="3"/>
  <c r="K10" i="3"/>
  <c r="P9" i="3"/>
  <c r="K12" i="3"/>
  <c r="AG80" i="3"/>
  <c r="AF80" i="3"/>
  <c r="P69" i="3"/>
  <c r="S90" i="3"/>
  <c r="T90" i="3" s="1" a="1"/>
  <c r="T90" i="3" s="1"/>
  <c r="BS36" i="3"/>
  <c r="K9" i="3"/>
  <c r="AT80" i="3"/>
  <c r="AN80" i="3"/>
  <c r="P12" i="3"/>
  <c r="K11" i="3"/>
  <c r="S86" i="3"/>
  <c r="T86" i="3" s="1" a="1"/>
  <c r="T86" i="3" s="1"/>
  <c r="BS28" i="3"/>
  <c r="S87" i="3"/>
  <c r="T87" i="3" s="1" a="1"/>
  <c r="T87" i="3" s="1"/>
  <c r="BS29" i="3"/>
  <c r="S89" i="3"/>
  <c r="T89" i="3" s="1" a="1"/>
  <c r="T89" i="3" s="1"/>
  <c r="BS21" i="3"/>
  <c r="S88" i="3"/>
  <c r="T88" i="3" s="1" a="1"/>
  <c r="T88" i="3" s="1"/>
  <c r="BS20" i="3"/>
  <c r="K63" i="3"/>
  <c r="P33" i="3"/>
  <c r="P15" i="3"/>
  <c r="P63" i="3"/>
  <c r="P34" i="3"/>
  <c r="K45" i="3"/>
  <c r="P39" i="3"/>
  <c r="AF86" i="3"/>
  <c r="K39" i="3"/>
  <c r="P18" i="3"/>
  <c r="K69" i="3"/>
  <c r="K54" i="3"/>
  <c r="AJ83" i="3"/>
  <c r="AI83" i="3"/>
  <c r="AI85" i="3"/>
  <c r="P75" i="3"/>
  <c r="P17" i="3"/>
  <c r="AL83" i="3"/>
  <c r="AF85" i="3"/>
  <c r="AT84" i="3"/>
  <c r="AN84" i="3"/>
  <c r="K64" i="3"/>
  <c r="P22" i="3"/>
  <c r="AL84" i="3"/>
  <c r="AG84" i="3"/>
  <c r="P66" i="3"/>
  <c r="AH84" i="3"/>
  <c r="K33" i="3"/>
  <c r="AJ84" i="3"/>
  <c r="AI84" i="3"/>
  <c r="AF84" i="3"/>
  <c r="AJ85" i="3"/>
  <c r="P51" i="3"/>
  <c r="K28" i="3"/>
  <c r="K16" i="3"/>
  <c r="K17" i="3"/>
  <c r="AN82" i="3"/>
  <c r="AH82" i="3"/>
  <c r="AG82" i="3"/>
  <c r="AT85" i="3"/>
  <c r="AI90" i="3"/>
  <c r="P52" i="3"/>
  <c r="P47" i="3"/>
  <c r="AF82" i="3"/>
  <c r="AN85" i="3"/>
  <c r="AH90" i="3"/>
  <c r="AL85" i="3"/>
  <c r="AG90" i="3"/>
  <c r="K70" i="3"/>
  <c r="K27" i="3"/>
  <c r="K34" i="3"/>
  <c r="AT86" i="3"/>
  <c r="AT90" i="3"/>
  <c r="P48" i="3"/>
  <c r="AN86" i="3"/>
  <c r="P78" i="3"/>
  <c r="AH86" i="3"/>
  <c r="AL90" i="3"/>
  <c r="AN90" i="3"/>
  <c r="AG86" i="3"/>
  <c r="AJ90" i="3"/>
  <c r="K29" i="3"/>
  <c r="K77" i="3"/>
  <c r="P36" i="3"/>
  <c r="K48" i="3"/>
  <c r="P35" i="3"/>
  <c r="K40" i="3"/>
  <c r="K78" i="3"/>
  <c r="P28" i="3"/>
  <c r="AT83" i="3"/>
  <c r="AH85" i="3"/>
  <c r="AN83" i="3"/>
  <c r="AG85" i="3"/>
  <c r="K22" i="3"/>
  <c r="P21" i="3"/>
  <c r="AH83" i="3"/>
  <c r="K36" i="3"/>
  <c r="P40" i="3"/>
  <c r="P65" i="3"/>
  <c r="K18" i="3"/>
  <c r="P77" i="3"/>
  <c r="P72" i="3"/>
  <c r="P23" i="3"/>
  <c r="AF83" i="3"/>
  <c r="K42" i="3"/>
  <c r="P29" i="3"/>
  <c r="AL86" i="3"/>
  <c r="AG89" i="3"/>
  <c r="K35" i="3"/>
  <c r="AJ86" i="3"/>
  <c r="AJ91" i="3"/>
  <c r="P27" i="3"/>
  <c r="K75" i="3"/>
  <c r="P46" i="3"/>
  <c r="AG83" i="3"/>
  <c r="K41" i="3"/>
  <c r="AT82" i="3"/>
  <c r="AI86" i="3"/>
  <c r="K47" i="3"/>
  <c r="K76" i="3"/>
  <c r="AL81" i="3"/>
  <c r="K21" i="3"/>
  <c r="P64" i="3"/>
  <c r="AJ81" i="3"/>
  <c r="AT89" i="3"/>
  <c r="K51" i="3"/>
  <c r="AI81" i="3"/>
  <c r="AN89" i="3"/>
  <c r="K24" i="3"/>
  <c r="AJ89" i="3"/>
  <c r="AH81" i="3"/>
  <c r="AI89" i="3"/>
  <c r="AH87" i="3"/>
  <c r="P30" i="3"/>
  <c r="AL89" i="3"/>
  <c r="AG81" i="3"/>
  <c r="AH89" i="3"/>
  <c r="K71" i="3"/>
  <c r="AF89" i="3"/>
  <c r="K53" i="3"/>
  <c r="AG87" i="3"/>
  <c r="P41" i="3"/>
  <c r="AG91" i="3"/>
  <c r="P53" i="3"/>
  <c r="K46" i="3"/>
  <c r="AF91" i="3"/>
  <c r="AF81" i="3"/>
  <c r="P24" i="3"/>
  <c r="P42" i="3"/>
  <c r="AH91" i="3"/>
  <c r="K30" i="3"/>
  <c r="P71" i="3"/>
  <c r="K15" i="3"/>
  <c r="AT87" i="3"/>
  <c r="K66" i="3"/>
  <c r="K72" i="3"/>
  <c r="AN87" i="3"/>
  <c r="AT91" i="3"/>
  <c r="AT81" i="3"/>
  <c r="AJ82" i="3"/>
  <c r="AL87" i="3"/>
  <c r="AN91" i="3"/>
  <c r="AI91" i="3"/>
  <c r="AF87" i="3"/>
  <c r="K23" i="3"/>
  <c r="K65" i="3"/>
  <c r="AN81" i="3"/>
  <c r="AI82" i="3"/>
  <c r="AJ87" i="3"/>
  <c r="AL91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G92" i="3"/>
  <c r="AN92" i="3"/>
  <c r="AH92" i="3"/>
  <c r="AJ92" i="3"/>
  <c r="AF92" i="3"/>
  <c r="AL92" i="3"/>
  <c r="AM88" i="3" s="1"/>
  <c r="AS92" i="3"/>
  <c r="AI92" i="3"/>
  <c r="S103" i="3" l="1"/>
  <c r="T103" i="3" s="1" a="1"/>
  <c r="T103" i="3" s="1"/>
  <c r="CG24" i="3"/>
  <c r="S111" i="3" s="1"/>
  <c r="T111" i="3" s="1"/>
  <c r="AM83" i="3"/>
  <c r="AM87" i="3"/>
  <c r="AM81" i="3"/>
  <c r="AM82" i="3"/>
  <c r="AM80" i="3"/>
  <c r="AM89" i="3"/>
  <c r="AM90" i="3"/>
  <c r="AM91" i="3"/>
  <c r="AM85" i="3"/>
  <c r="AM86" i="3"/>
  <c r="AM84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85" i="3"/>
  <c r="AP91" i="3"/>
  <c r="AP83" i="3"/>
  <c r="AP82" i="3"/>
  <c r="AP88" i="3"/>
  <c r="AP90" i="3"/>
  <c r="AP89" i="3"/>
  <c r="AP86" i="3"/>
  <c r="AP84" i="3"/>
  <c r="AP81" i="3"/>
  <c r="AD82" i="3"/>
  <c r="AS82" i="3" s="1"/>
  <c r="CN37" i="3" l="1"/>
  <c r="CK68" i="3" s="1"/>
  <c r="CN48" i="3"/>
  <c r="AD91" i="3"/>
  <c r="AS91" i="3" s="1"/>
  <c r="AD81" i="3"/>
  <c r="AS81" i="3" s="1"/>
  <c r="AD88" i="3"/>
  <c r="AS88" i="3" s="1"/>
  <c r="AD87" i="3"/>
  <c r="AS87" i="3" s="1"/>
  <c r="AD90" i="3"/>
  <c r="AS90" i="3" s="1"/>
  <c r="AD85" i="3"/>
  <c r="AS85" i="3" s="1"/>
  <c r="AD84" i="3"/>
  <c r="AS84" i="3" s="1"/>
  <c r="AD89" i="3"/>
  <c r="AS89" i="3" s="1"/>
  <c r="AD80" i="3"/>
  <c r="AD83" i="3"/>
  <c r="AS83" i="3" s="1"/>
  <c r="AD86" i="3"/>
  <c r="AS86" i="3" s="1"/>
  <c r="J90" i="3" l="1"/>
  <c r="J88" i="3"/>
  <c r="J92" i="3"/>
  <c r="N90" i="3"/>
  <c r="N81" i="3"/>
  <c r="L88" i="3"/>
  <c r="M88" i="3"/>
  <c r="M81" i="3"/>
  <c r="L81" i="3"/>
  <c r="AS80" i="3"/>
  <c r="M92" i="3"/>
  <c r="J81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81" i="3"/>
  <c r="O88" i="3"/>
  <c r="M90" i="3"/>
  <c r="L90" i="3"/>
  <c r="O90" i="3"/>
  <c r="L84" i="3"/>
  <c r="L92" i="3"/>
  <c r="O82" i="3"/>
  <c r="J87" i="3"/>
  <c r="N83" i="3"/>
  <c r="L86" i="3"/>
  <c r="J91" i="3"/>
  <c r="O91" i="3"/>
  <c r="O83" i="3"/>
  <c r="N89" i="3"/>
  <c r="O87" i="3"/>
  <c r="N86" i="3"/>
  <c r="M86" i="3"/>
  <c r="N91" i="3"/>
  <c r="J86" i="3"/>
  <c r="M82" i="3"/>
  <c r="N82" i="3"/>
  <c r="N87" i="3"/>
  <c r="L91" i="3"/>
  <c r="O85" i="3"/>
  <c r="M84" i="3"/>
  <c r="L82" i="3"/>
  <c r="N85" i="3"/>
  <c r="M89" i="3"/>
  <c r="L89" i="3"/>
  <c r="M91" i="3"/>
  <c r="O84" i="3"/>
  <c r="O86" i="3"/>
  <c r="M85" i="3"/>
  <c r="L85" i="3"/>
  <c r="M87" i="3"/>
  <c r="N84" i="3"/>
  <c r="J89" i="3"/>
  <c r="L83" i="3"/>
  <c r="J83" i="3"/>
  <c r="L87" i="3"/>
  <c r="O89" i="3"/>
  <c r="M83" i="3"/>
  <c r="J84" i="3"/>
  <c r="J82" i="3"/>
  <c r="J85" i="3"/>
  <c r="N88" i="3"/>
  <c r="N92" i="3"/>
  <c r="O92" i="3"/>
  <c r="P88" i="3"/>
  <c r="P81" i="3"/>
  <c r="K88" i="3" l="1"/>
  <c r="K81" i="3"/>
  <c r="K82" i="3"/>
  <c r="P84" i="3"/>
  <c r="K90" i="3"/>
  <c r="P89" i="3"/>
  <c r="P91" i="3"/>
  <c r="P90" i="3"/>
  <c r="P92" i="3"/>
  <c r="P82" i="3"/>
  <c r="P86" i="3"/>
  <c r="K92" i="3"/>
  <c r="K85" i="3"/>
  <c r="K84" i="3"/>
  <c r="K87" i="3"/>
  <c r="P85" i="3"/>
  <c r="D3" i="4"/>
  <c r="BL51" i="3" s="1"/>
  <c r="BS52" i="3" s="1"/>
  <c r="BZ49" i="3" s="1"/>
  <c r="CG55" i="3" s="1"/>
  <c r="CN49" i="3" s="1"/>
  <c r="K89" i="3"/>
  <c r="K3" i="4"/>
  <c r="BL55" i="3" s="1"/>
  <c r="K86" i="3"/>
  <c r="K91" i="3"/>
  <c r="K83" i="3"/>
  <c r="P83" i="3"/>
  <c r="H3" i="4"/>
  <c r="BL39" i="3" s="1"/>
  <c r="B3" i="4"/>
  <c r="P87" i="3"/>
  <c r="J3" i="4"/>
  <c r="BL71" i="3" s="1"/>
  <c r="G3" i="4"/>
  <c r="BL11" i="3" s="1"/>
  <c r="I3" i="4"/>
  <c r="BL15" i="3" s="1"/>
  <c r="E3" i="4"/>
  <c r="BL67" i="3" s="1"/>
  <c r="BS53" i="3"/>
  <c r="BS69" i="3"/>
  <c r="BZ65" i="3" s="1"/>
  <c r="CG56" i="3" s="1"/>
  <c r="CN38" i="3" s="1"/>
  <c r="BS68" i="3"/>
  <c r="S91" i="3" l="1"/>
  <c r="T91" i="3" s="1" a="1"/>
  <c r="T91" i="3" s="1"/>
  <c r="BS3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<sst xmlns="http://schemas.openxmlformats.org/spreadsheetml/2006/main" count="9785" uniqueCount="3699">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</sst>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1473200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1473929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1477569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1477104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1477569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1477725</xdr:colOff>
      <xdr:row>22</xdr:row>
      <xdr:rowOff>179215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163340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236300</xdr:colOff>
      <xdr:row>35</xdr:row>
      <xdr:rowOff>179326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179326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1477260</xdr:colOff>
      <xdr:row>15</xdr:row>
      <xdr:rowOff>163560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160385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1477260</xdr:colOff>
      <xdr:row>19</xdr:row>
      <xdr:rowOff>163669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1477260</xdr:colOff>
      <xdr:row>21</xdr:row>
      <xdr:rowOff>163778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163888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1477260</xdr:colOff>
      <xdr:row>42</xdr:row>
      <xdr:rowOff>163998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235835</xdr:colOff>
      <xdr:row>76</xdr:row>
      <xdr:rowOff>164107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1477260</xdr:colOff>
      <xdr:row>12</xdr:row>
      <xdr:rowOff>164216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220674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163556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1478555</xdr:colOff>
      <xdr:row>36</xdr:row>
      <xdr:rowOff>178930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1474130</xdr:colOff>
      <xdr:row>48</xdr:row>
      <xdr:rowOff>179366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1475166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1479223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165046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1475166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1474210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221041</xdr:colOff>
      <xdr:row>41</xdr:row>
      <xdr:rowOff>159090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1474701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1459291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1458001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1476048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1459291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1479477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220649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236524</xdr:colOff>
      <xdr:row>72</xdr:row>
      <xdr:rowOff>163961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159729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235677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161951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236142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1473437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236142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1492977</xdr:colOff>
      <xdr:row>62</xdr:row>
      <xdr:rowOff>159158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215900</xdr:colOff>
      <xdr:row>15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158750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158750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215900</xdr:colOff>
      <xdr:row>6</xdr:row>
      <xdr:rowOff>158750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158750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158750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158750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196850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215900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158750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1473200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1473200</xdr:colOff>
      <xdr:row>8</xdr:row>
      <xdr:rowOff>158750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1473200</xdr:colOff>
      <xdr:row>32</xdr:row>
      <xdr:rowOff>158750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215900</xdr:colOff>
      <xdr:row>56</xdr:row>
      <xdr:rowOff>158750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158750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215900</xdr:colOff>
      <xdr:row>31</xdr:row>
      <xdr:rowOff>158750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1473200</xdr:colOff>
      <xdr:row>57</xdr:row>
      <xdr:rowOff>158750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215900</xdr:colOff>
      <xdr:row>9</xdr:row>
      <xdr:rowOff>158750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158750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1473200</xdr:colOff>
      <xdr:row>65</xdr:row>
      <xdr:rowOff>158750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1473200</xdr:colOff>
      <xdr:row>10</xdr:row>
      <xdr:rowOff>158750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215900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158750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1473200</xdr:colOff>
      <xdr:row>35</xdr:row>
      <xdr:rowOff>158750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1473200</xdr:colOff>
      <xdr:row>54</xdr:row>
      <xdr:rowOff>158750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215900</xdr:colOff>
      <xdr:row>11</xdr:row>
      <xdr:rowOff>158750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158750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1473200</xdr:colOff>
      <xdr:row>64</xdr:row>
      <xdr:rowOff>158750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1454150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1473200</xdr:colOff>
      <xdr:row>14</xdr:row>
      <xdr:rowOff>158750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215900</xdr:colOff>
      <xdr:row>14</xdr:row>
      <xdr:rowOff>158750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1473200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1473200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1473200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1473200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1473200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158750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158750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1473200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1473200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215900</xdr:colOff>
      <xdr:row>18</xdr:row>
      <xdr:rowOff>158750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215900</xdr:colOff>
      <xdr:row>19</xdr:row>
      <xdr:rowOff>158750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215900</xdr:colOff>
      <xdr:row>42</xdr:row>
      <xdr:rowOff>158750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1473200</xdr:colOff>
      <xdr:row>70</xdr:row>
      <xdr:rowOff>158750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1473200</xdr:colOff>
      <xdr:row>20</xdr:row>
      <xdr:rowOff>158750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215900</xdr:colOff>
      <xdr:row>44</xdr:row>
      <xdr:rowOff>158750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215900</xdr:colOff>
      <xdr:row>68</xdr:row>
      <xdr:rowOff>158750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1473200</xdr:colOff>
      <xdr:row>23</xdr:row>
      <xdr:rowOff>158750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215900</xdr:colOff>
      <xdr:row>47</xdr:row>
      <xdr:rowOff>158750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215900</xdr:colOff>
      <xdr:row>67</xdr:row>
      <xdr:rowOff>158750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158750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1473200</xdr:colOff>
      <xdr:row>69</xdr:row>
      <xdr:rowOff>158750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215900</xdr:colOff>
      <xdr:row>20</xdr:row>
      <xdr:rowOff>158750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215900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215900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1473200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215900</xdr:colOff>
      <xdr:row>22</xdr:row>
      <xdr:rowOff>158750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215900</xdr:colOff>
      <xdr:row>46</xdr:row>
      <xdr:rowOff>158750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1473200</xdr:colOff>
      <xdr:row>67</xdr:row>
      <xdr:rowOff>158750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1473200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1473200</xdr:colOff>
      <xdr:row>46</xdr:row>
      <xdr:rowOff>158750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215900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158750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158750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158750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158750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215900</xdr:colOff>
      <xdr:row>25</xdr:row>
      <xdr:rowOff>158750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158750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158750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1473200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158750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158750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158750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1473200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215900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215900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tabSelected="1" workbookViewId="0">
      <selection activeCell="B2" sqref="B2"/>
    </sheetView>
  </sheetViews>
  <sheetFormatPr baseColWidth="10"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opLeftCell="BL42" zoomScaleNormal="100" workbookViewId="0">
      <selection activeCell="CO52" sqref="CO52"/>
    </sheetView>
  </sheetViews>
  <sheetFormatPr baseColWidth="10"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3</v>
      </c>
      <c r="AL8" s="123">
        <f>AI8-AJ8</f>
        <v>2</v>
      </c>
      <c r="AM8" s="123">
        <f>AL8-AL12</f>
        <v>5</v>
      </c>
      <c r="AN8" s="123">
        <f>AF8*3+AG8</f>
        <v>7</v>
      </c>
      <c r="AO8" s="123">
        <f>AN8/AN12*10+BA8</f>
        <v>9.7305825242718456</v>
      </c>
      <c r="AP8" s="123">
        <f>AO8*10000000+BI8*100+AM8/AM12*10+AI8/AI12*1++IF(AQ8=0,ROW(),AQ8)/2000000</f>
        <v>97305932.468478054</v>
      </c>
      <c r="AQ8" s="126">
        <f>VLOOKUP(AE8,db_fifarank,2,FALSE)</f>
        <v>1681.03</v>
      </c>
      <c r="AR8" s="125">
        <f>AP8/AP12</f>
        <v>0.99999998972313442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50.5</v>
      </c>
      <c r="BA8" s="126">
        <f>AZ8/AZ12</f>
        <v>0.98058252427184467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1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50.5</v>
      </c>
      <c r="BI8" s="126">
        <f>BH8/BH12</f>
        <v>0.98058252427184467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0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5 - 3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0.33404819833333332</v>
      </c>
      <c r="AQ9" s="126">
        <f>VLOOKUP(AE9,db_fifarank,2,FALSE)</f>
        <v>1429.73</v>
      </c>
      <c r="AR9" s="125">
        <f>AP9/AP12</f>
        <v>3.4329684370331555E-9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0</v>
      </c>
      <c r="G10" s="20">
        <v>2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1</v>
      </c>
      <c r="N10" s="23">
        <f>VLOOKUP(2,AD8:AN11,5,FALSE)</f>
        <v>0</v>
      </c>
      <c r="O10" s="23" t="str">
        <f>VLOOKUP(2,AD8:AN11,6,FALSE) &amp; " - " &amp; VLOOKUP(2,AD8:AN11,7,FALSE)</f>
        <v>4 - 2</v>
      </c>
      <c r="P10" s="34">
        <f>L10*3+M10</f>
        <v>7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1</v>
      </c>
      <c r="V10" s="123">
        <f t="shared" si="3"/>
        <v>0</v>
      </c>
      <c r="W10" s="123">
        <f t="shared" si="4"/>
        <v>2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2</v>
      </c>
      <c r="AL10" s="123">
        <f>AI10-AJ10</f>
        <v>2</v>
      </c>
      <c r="AM10" s="123">
        <f>AL10-AL12</f>
        <v>5</v>
      </c>
      <c r="AN10" s="123">
        <f>AF10*3+AG10</f>
        <v>7</v>
      </c>
      <c r="AO10" s="123">
        <f>AN10/AN12*10+BA10</f>
        <v>9.7305825242718456</v>
      </c>
      <c r="AP10" s="123">
        <f>AO10*10000000+BI10*100+AM10/AM12*10+AI10/AI12*1++IF(AQ10=0,ROW(),AQ10)/2000000</f>
        <v>97305932.301765218</v>
      </c>
      <c r="AQ10" s="126">
        <f>VLOOKUP(AE10,db_fifarank,2,FALSE)</f>
        <v>1588.66</v>
      </c>
      <c r="AR10" s="125">
        <f>AP10/AP12</f>
        <v>0.99999998800984902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3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1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2 - 3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2</v>
      </c>
      <c r="AN11" s="123">
        <f>AF11*3+AG11</f>
        <v>3</v>
      </c>
      <c r="AO11" s="123">
        <f>AN11/AN12*10+BA11</f>
        <v>3.75</v>
      </c>
      <c r="AP11" s="123">
        <f>AO11*10000000+BI11*100+AM11/AM12*10+AI11/AI12*1++IF(AQ11=0,ROW(),AQ11)/2000000</f>
        <v>37500003.667417362</v>
      </c>
      <c r="AQ11" s="126">
        <f>VLOOKUP(AE11,db_fifarank,2,FALSE)</f>
        <v>1501.38</v>
      </c>
      <c r="AR11" s="125">
        <f>AP11/AP12</f>
        <v>0.38538249755926107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United States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2 - 5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6</v>
      </c>
      <c r="AL12" s="123">
        <f>MIN(AL8:AL11)</f>
        <v>-3</v>
      </c>
      <c r="AM12" s="123">
        <f>MAX(AM8:AM11)+1</f>
        <v>6</v>
      </c>
      <c r="AN12" s="123">
        <f>MAX(AN8:AN11)+1</f>
        <v>8</v>
      </c>
      <c r="AO12" s="123">
        <f>MAX(AO8:AO11)+1</f>
        <v>10.730582524271846</v>
      </c>
      <c r="AP12" s="123">
        <f>MAX(AP8:AP11)+1</f>
        <v>97305933.468478054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2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2000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4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2</v>
      </c>
      <c r="AL14" s="123">
        <f>AI14-AJ14</f>
        <v>1</v>
      </c>
      <c r="AM14" s="123">
        <f>AL14-AL18</f>
        <v>7</v>
      </c>
      <c r="AN14" s="123">
        <f>AF14*3+AG14</f>
        <v>4</v>
      </c>
      <c r="AO14" s="123">
        <f>AN14/AN18*10+BA14</f>
        <v>5</v>
      </c>
      <c r="AP14" s="123">
        <f>AO14*10000000+BI14*100+AM14/AM18*10+AI14/AI18*1++IF(AQ14=0,ROW(),AQ14)/2000000</f>
        <v>50000007.500778243</v>
      </c>
      <c r="AQ14" s="126">
        <f>VLOOKUP(AE14,db_fifarank,2,FALSE)</f>
        <v>1556.48</v>
      </c>
      <c r="AR14" s="125">
        <f>AP14/AP18</f>
        <v>0.57142858639806438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4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4000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2</v>
      </c>
      <c r="AL15" s="123">
        <f>AI15-AJ15</f>
        <v>2</v>
      </c>
      <c r="AM15" s="123">
        <f>AL15-AL18</f>
        <v>8</v>
      </c>
      <c r="AN15" s="123">
        <f>AF15*3+AG15</f>
        <v>6</v>
      </c>
      <c r="AO15" s="123">
        <f>AN15/AN18*10+BA15</f>
        <v>7.5</v>
      </c>
      <c r="AP15" s="123">
        <f>AO15*10000000+BI15*100+AM15/AM18*10+AI15/AI18*1++IF(AQ15=0,ROW(),AQ15)/2000000</f>
        <v>75000008.667359591</v>
      </c>
      <c r="AQ15" s="126">
        <f>VLOOKUP(AE15,db_fifarank,2,FALSE)</f>
        <v>1385.84</v>
      </c>
      <c r="AR15" s="125">
        <f>AP15/AP18</f>
        <v>0.8571428500678685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4 - 2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6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8.3140561134194533E-12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3 - 2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9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87500009.834158033</v>
      </c>
      <c r="AQ17" s="126">
        <f>VLOOKUP(AE17,db_fifarank,2,FALSE)</f>
        <v>1649.4</v>
      </c>
      <c r="AR17" s="125">
        <f>AP17/AP18</f>
        <v>0.99999998857143002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2</v>
      </c>
      <c r="CB17" s="64"/>
      <c r="CC17" s="27"/>
      <c r="CD17" s="113">
        <f>IF(CD16="","",CA17*1000+CB17*10+CC17)</f>
        <v>2000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6</v>
      </c>
      <c r="AL18" s="123">
        <f>MIN(AL14:AL17)</f>
        <v>-6</v>
      </c>
      <c r="AM18" s="123">
        <f>MAX(AM14:AM17)+1</f>
        <v>10</v>
      </c>
      <c r="AN18" s="123">
        <f>MAX(AN14:AN17)+1</f>
        <v>8</v>
      </c>
      <c r="AO18" s="123">
        <f>MAX(AO14:AO17)+1</f>
        <v>9.75</v>
      </c>
      <c r="AP18" s="123">
        <f>MAX(AP14:AP17)+1</f>
        <v>87500010.834158033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2</v>
      </c>
      <c r="BN18" s="63">
        <v>1</v>
      </c>
      <c r="BO18" s="25"/>
      <c r="BP18" s="112">
        <f>IF(OR(BM18="",BM19="",AND(BN18="",BN19&lt;&gt;""),AND(BN19="",BN18&lt;&gt;""),AND(BO18="",BO19&lt;&gt;""),AND(BO19="",BO18&lt;&gt;"")),"",BM18*1000+BN18*10+BO18)</f>
        <v>2010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2</v>
      </c>
      <c r="BN19" s="64">
        <v>2</v>
      </c>
      <c r="BO19" s="27"/>
      <c r="BP19" s="113">
        <f>IF(BP18="","",BM19*1000+BN19*10+BO19)</f>
        <v>2020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11</v>
      </c>
      <c r="AJ20" s="123">
        <f>SUMIF($E$7:$E$78,$AE20,$G$7:$G$78) + SUMIF($H$7:$H$78,$AE20,$F$7:$F$78)</f>
        <v>2</v>
      </c>
      <c r="AL20" s="123">
        <f>AI20-AJ20</f>
        <v>9</v>
      </c>
      <c r="AM20" s="123">
        <f>AL20-AL24</f>
        <v>18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90000010.391231462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Bosnia and Herzegovina</v>
      </c>
      <c r="BT20" s="61">
        <v>2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2000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11 - 2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5</v>
      </c>
      <c r="AL21" s="123">
        <f>AI21-AJ21</f>
        <v>2</v>
      </c>
      <c r="AM21" s="123">
        <f>AL21-AL24</f>
        <v>11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60000006.37368495</v>
      </c>
      <c r="AQ21" s="126">
        <f>VLOOKUP(AE21,db_fifarank,2,FALSE)</f>
        <v>1755.87</v>
      </c>
      <c r="AR21" s="125">
        <f>AP21/AP24</f>
        <v>0.66666665310589779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5</v>
      </c>
      <c r="BU21" s="64"/>
      <c r="BV21" s="27"/>
      <c r="BW21" s="112">
        <f>IF(BW20="","",BT21*1000+BU21*10+BV21)</f>
        <v>5000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7 - 5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10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8.3979188333333329E-2</v>
      </c>
      <c r="AQ22" s="126">
        <f>VLOOKUP(AE22,db_fifarank,2,FALSE)</f>
        <v>1291.71</v>
      </c>
      <c r="AR22" s="125">
        <f>AP22/AP24</f>
        <v>9.3310197449058622E-10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4 - 6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6</v>
      </c>
      <c r="AL23" s="123">
        <f>AI23-AJ23</f>
        <v>-2</v>
      </c>
      <c r="AM23" s="123">
        <f>AL23-AL24</f>
        <v>7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30000004.018293034</v>
      </c>
      <c r="AQ23" s="126">
        <f>VLOOKUP(AE23,db_fifarank,2,FALSE)</f>
        <v>1498.35</v>
      </c>
      <c r="AR23" s="125">
        <f>AP23/AP24</f>
        <v>0.33333333579128727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3</v>
      </c>
      <c r="BN23" s="64"/>
      <c r="BO23" s="27"/>
      <c r="BP23" s="112">
        <f>IF(BP22="","",BM23*1000+BN23*10+BO23)</f>
        <v>3000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1 - 10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12</v>
      </c>
      <c r="AL24" s="123">
        <f>MIN(AL20:AL23)</f>
        <v>-9</v>
      </c>
      <c r="AM24" s="123">
        <f>MAX(AM20:AM23)+1</f>
        <v>19</v>
      </c>
      <c r="AN24" s="123">
        <f>MAX(AN20:AN23)+1</f>
        <v>10</v>
      </c>
      <c r="AO24" s="123">
        <f>MAX(AO20:AO23)+1</f>
        <v>10</v>
      </c>
      <c r="AP24" s="123">
        <f>MAX(AP20:AP23)+1</f>
        <v>90000011.391231462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3</v>
      </c>
      <c r="CI24" s="64"/>
      <c r="CJ24" s="27"/>
      <c r="CK24" s="113">
        <f>IF(CK23="","",CH24*1000+CI24*10+CJ24)</f>
        <v>3000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4</v>
      </c>
      <c r="AL26" s="123">
        <f>AI26-AJ26</f>
        <v>0</v>
      </c>
      <c r="AM26" s="123">
        <f>AL26-AL30</f>
        <v>4</v>
      </c>
      <c r="AN26" s="123">
        <f>AF26*3+AG26</f>
        <v>6</v>
      </c>
      <c r="AO26" s="123">
        <f>AN26/AN30*10+BA26</f>
        <v>9.5558573535954281</v>
      </c>
      <c r="AP26" s="123">
        <f>AO26*10000000+BI26*100+AM26/AM30*10+AI26/AI30*1++IF(AQ26=0,ROW(),AQ26)/2000000</f>
        <v>95558579.822505131</v>
      </c>
      <c r="AQ26" s="126">
        <f>VLOOKUP(AE26,db_fifarank,2,FALSE)</f>
        <v>1673.13</v>
      </c>
      <c r="AR26" s="125">
        <f>AP26/AP30</f>
        <v>0.99857832008977587</v>
      </c>
      <c r="AS26" s="125" t="str">
        <f>IF(SUM(AF26:AH29)=12,J27,"1D")</f>
        <v>Paraguay</v>
      </c>
      <c r="AT26" s="126" cm="1">
        <f t="array" ref="AT26">SUMPRODUCT(($S$7:$S$78=AE26&amp;"_win")*($U$7:$U$78))+SUMPRODUCT(($T$7:$T$78=AE26&amp;"_win")*($U$7:$U$78))</f>
        <v>1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2</v>
      </c>
      <c r="AW26" s="126" cm="1">
        <f t="array" ref="AW26">SUMPRODUCT(($E$7:$E$78=AE26)*($U$7:$U$78)*($G$7:$G$78))+SUMPRODUCT(($H$7:$H$78=AE26)*($U$7:$U$78)*($F$7:$F$78))</f>
        <v>3</v>
      </c>
      <c r="AX26" s="126">
        <f>AV26-AW26</f>
        <v>-1</v>
      </c>
      <c r="AY26" s="126">
        <f>AX26-MIN(AX26:AX29)</f>
        <v>0</v>
      </c>
      <c r="AZ26" s="126">
        <f>AT26/AT30*1000+AU26/AU30*100+AY26/AY30*10+AV26/AV30</f>
        <v>500.5</v>
      </c>
      <c r="BA26" s="126">
        <f>AZ26/AZ30</f>
        <v>0.98442878216685781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Paraguay</v>
      </c>
      <c r="K27" s="31">
        <f>L27+M27+N27</f>
        <v>3</v>
      </c>
      <c r="L27" s="31">
        <f>VLOOKUP(1,AD26:AN29,3,FALSE)</f>
        <v>2</v>
      </c>
      <c r="M27" s="31">
        <f>VLOOKUP(1,AD26:AN29,4,FALSE)</f>
        <v>0</v>
      </c>
      <c r="N27" s="31">
        <f>VLOOKUP(1,AD26:AN29,5,FALSE)</f>
        <v>1</v>
      </c>
      <c r="O27" s="31" t="str">
        <f>VLOOKUP(1,AD26:AN29,6,FALSE) &amp; " - " &amp; VLOOKUP(1,AD26:AN29,7,FALSE)</f>
        <v>4 - 2</v>
      </c>
      <c r="P27" s="32">
        <f>L27*3+M27</f>
        <v>6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1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0</v>
      </c>
      <c r="AH27" s="123">
        <f>COUNTIF($S$7:$T$78,"=" &amp; AE27 &amp; "_lose")</f>
        <v>1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2</v>
      </c>
      <c r="AL27" s="123">
        <f>AI27-AJ27</f>
        <v>2</v>
      </c>
      <c r="AM27" s="123">
        <f>AL27-AL30</f>
        <v>6</v>
      </c>
      <c r="AN27" s="123">
        <f>AF27*3+AG27</f>
        <v>6</v>
      </c>
      <c r="AO27" s="123">
        <f>AN27/AN30*10+BA27</f>
        <v>9.5694616807549107</v>
      </c>
      <c r="AP27" s="123">
        <f>AO27*10000000+BI27*100+AM27/AM30*10+AI27/AI30*1++IF(AQ27=0,ROW(),AQ27)/2000000</f>
        <v>95694625.951157987</v>
      </c>
      <c r="AQ27" s="126">
        <f>VLOOKUP(AE27,db_fifarank,2,FALSE)</f>
        <v>1503.5</v>
      </c>
      <c r="AR27" s="125">
        <f>AP27/AP30</f>
        <v>0.99999998955009251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1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3</v>
      </c>
      <c r="AW27" s="126" cm="1">
        <f t="array" ref="AW27">SUMPRODUCT(($E$7:$E$78=AE27)*($U$7:$U$78)*($G$7:$G$78))+SUMPRODUCT(($H$7:$H$78=AE27)*($U$7:$U$78)*($F$7:$F$78))</f>
        <v>2</v>
      </c>
      <c r="AX27" s="126">
        <f>AV27-AW27</f>
        <v>1</v>
      </c>
      <c r="AY27" s="126">
        <f>AX27-MIN(AX26:AX29)</f>
        <v>2</v>
      </c>
      <c r="AZ27" s="126">
        <f>AT27/AT30*1000+AU27/AU30*100+AY27/AY30*10+AV27/AV30</f>
        <v>507.41666666666669</v>
      </c>
      <c r="BA27" s="126">
        <f>AZ27/AZ30</f>
        <v>0.99803310932633993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0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6 - 4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6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6.556302245533518E-3</v>
      </c>
      <c r="AP28" s="123">
        <f>AO28*10000000+BI28*100+AM28/AM30*10+AI28/AI30*1++IF(AQ28=0,ROW(),AQ28)/2000000</f>
        <v>65563.308959955888</v>
      </c>
      <c r="AQ28" s="126">
        <f>VLOOKUP(AE28,db_fifarank,2,FALSE)</f>
        <v>1580.67</v>
      </c>
      <c r="AR28" s="125">
        <f>AP28/AP30</f>
        <v>6.8513051410314856E-4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1</v>
      </c>
      <c r="AZ28" s="126">
        <f>AT28/AT30*1000+AU28/AU30*100+AY28/AY30*10+AV28/AV30</f>
        <v>3.333333333333333</v>
      </c>
      <c r="BA28" s="126">
        <f>AZ28/AZ30</f>
        <v>6.556302245533518E-3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2</v>
      </c>
      <c r="M29" s="23">
        <f>VLOOKUP(3,AD26:AN29,4,FALSE)</f>
        <v>0</v>
      </c>
      <c r="N29" s="23">
        <f>VLOOKUP(3,AD26:AN29,5,FALSE)</f>
        <v>1</v>
      </c>
      <c r="O29" s="23" t="str">
        <f>VLOOKUP(3,AD26:AN29,6,FALSE) &amp; " - " &amp; VLOOKUP(3,AD26:AN29,7,FALSE)</f>
        <v>4 - 4</v>
      </c>
      <c r="P29" s="34">
        <f>L29*3+M29</f>
        <v>6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4</v>
      </c>
      <c r="AL29" s="123">
        <f>AI29-AJ29</f>
        <v>2</v>
      </c>
      <c r="AM29" s="123">
        <f>AL29-AL30</f>
        <v>6</v>
      </c>
      <c r="AN29" s="123">
        <f>AF29*3+AG29</f>
        <v>6</v>
      </c>
      <c r="AO29" s="123">
        <f>AN29/AN30*10+BA29</f>
        <v>9.5629053785093774</v>
      </c>
      <c r="AP29" s="123">
        <f>AO29*10000000+BI29*100+AM29/AM30*10+AI29/AI30*1++IF(AQ29=0,ROW(),AQ29)/2000000</f>
        <v>95629063.214464709</v>
      </c>
      <c r="AQ29" s="126">
        <f>VLOOKUP(AE29,db_fifarank,2,FALSE)</f>
        <v>1599.04</v>
      </c>
      <c r="AR29" s="125">
        <f>AP29/AP30</f>
        <v>0.99931486501612321</v>
      </c>
      <c r="AT29" s="126" cm="1">
        <f t="array" ref="AT29">SUMPRODUCT(($S$7:$S$78=AE29&amp;"_win")*($U$7:$U$78))+SUMPRODUCT(($T$7:$T$78=AE29&amp;"_win")*($U$7:$U$78))</f>
        <v>1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3</v>
      </c>
      <c r="AW29" s="126" cm="1">
        <f t="array" ref="AW29">SUMPRODUCT(($E$7:$E$78=AE29)*($U$7:$U$78)*($G$7:$G$78))+SUMPRODUCT(($H$7:$H$78=AE29)*($U$7:$U$78)*($F$7:$F$78))</f>
        <v>3</v>
      </c>
      <c r="AX29" s="126">
        <f>AV29-AW29</f>
        <v>0</v>
      </c>
      <c r="AY29" s="126">
        <f>AX29-MIN(AX26:AX29)</f>
        <v>1</v>
      </c>
      <c r="AZ29" s="126">
        <f>AT29/AT30*1000+AU29/AU30*100+AY29/AY30*10+AV29/AV30</f>
        <v>504.08333333333331</v>
      </c>
      <c r="BA29" s="126">
        <f>AZ29/AZ30</f>
        <v>0.99147680708080632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1</v>
      </c>
      <c r="AH30" s="123">
        <f t="shared" si="15"/>
        <v>3</v>
      </c>
      <c r="AI30" s="123">
        <f>MAX(AI26:AI29)+1</f>
        <v>7</v>
      </c>
      <c r="AL30" s="123">
        <f>MIN(AL26:AL29)</f>
        <v>-4</v>
      </c>
      <c r="AM30" s="123">
        <f>MAX(AM26:AM29)+1</f>
        <v>7</v>
      </c>
      <c r="AN30" s="123">
        <f>MAX(AN26:AN29)+1</f>
        <v>7</v>
      </c>
      <c r="AO30" s="123">
        <f>MAX(AO26:AO29)+1</f>
        <v>10.569461680754911</v>
      </c>
      <c r="AP30" s="123">
        <f>MAX(AP26:AP29)+1</f>
        <v>95694626.951157987</v>
      </c>
      <c r="AT30" s="126">
        <f>MAX(AT26:AT29)-MIN(AT26:AT29)+1</f>
        <v>2</v>
      </c>
      <c r="AU30" s="126">
        <f>MAX(AU26:AU29)-MIN(AU26:AU29)+1</f>
        <v>1</v>
      </c>
      <c r="AV30" s="126">
        <f>MAX(AV26:AV29)-MIN(AV26:AV29)+1</f>
        <v>4</v>
      </c>
      <c r="AW30" s="126">
        <f>MAX(AW26:AW29)-MIN(AW26:AW29)+1</f>
        <v>4</v>
      </c>
      <c r="AY30" s="126">
        <f>MAX(AY26:AY29)-MIN(AY26:AY29)+1</f>
        <v>3</v>
      </c>
      <c r="AZ30" s="126">
        <f>MAX(AZ26:AZ29)+1</f>
        <v>508.41666666666669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2</v>
      </c>
      <c r="AL32" s="123">
        <f>AI32-AJ32</f>
        <v>7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90000010.275865197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4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4000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7.1924990988705525E-12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Paraguay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1</v>
      </c>
      <c r="V34" s="123">
        <f t="shared" si="3"/>
        <v>1</v>
      </c>
      <c r="W34" s="123">
        <f t="shared" si="4"/>
        <v>1</v>
      </c>
      <c r="X34" s="123">
        <f t="shared" si="9"/>
        <v>1</v>
      </c>
      <c r="Y34" s="123">
        <f t="shared" si="10"/>
        <v>1</v>
      </c>
      <c r="Z34" s="123">
        <f t="shared" si="11"/>
        <v>1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4</v>
      </c>
      <c r="AL34" s="123">
        <f>AI34-AJ34</f>
        <v>0</v>
      </c>
      <c r="AM34" s="123">
        <f>AL34-AL36</f>
        <v>8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49805928.701737359</v>
      </c>
      <c r="AQ34" s="126">
        <f>VLOOKUP(AE34,db_fifarank,2,FALSE)</f>
        <v>1532.98</v>
      </c>
      <c r="AR34" s="125">
        <f>AP34/AP36</f>
        <v>0.55339913846314748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Paraguay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4 - 4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3</v>
      </c>
      <c r="AL35" s="123">
        <f>AI35-AJ35</f>
        <v>1</v>
      </c>
      <c r="AM35" s="123">
        <f>AL35-AL36</f>
        <v>9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49805929.326768257</v>
      </c>
      <c r="AQ35" s="126">
        <f>VLOOKUP(AE35,db_fifarank,2,FALSE)</f>
        <v>1594.78</v>
      </c>
      <c r="AR35" s="125">
        <f>AP35/AP36</f>
        <v>0.55339914540793433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Canada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10</v>
      </c>
      <c r="AL36" s="123">
        <f>MIN(AL32:AL35)</f>
        <v>-8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90000011.275865197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Paraguay</v>
      </c>
      <c r="BT36" s="61">
        <v>2</v>
      </c>
      <c r="BU36" s="63">
        <v>1</v>
      </c>
      <c r="BV36" s="25"/>
      <c r="BW36" s="116">
        <f>IF(OR(BT36="",BT37="",AND(BU36="",BU37&lt;&gt;""),AND(BU37="",BU36&lt;&gt;""),AND(BV36="",BV37&lt;&gt;""),AND(BV37="",BV36&lt;&gt;"")),"",BT36*1000+BU36*10+BV36)</f>
        <v>2010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>
        <v>0</v>
      </c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2</v>
      </c>
      <c r="CP37" s="63">
        <v>1</v>
      </c>
      <c r="CQ37" s="25"/>
      <c r="CR37" s="111">
        <f>IF(OR(CO37="",CO38="",AND(CP37="",CP38&lt;&gt;""),AND(CP38="",CP37&lt;&gt;""),AND(CQ37="",CQ38&lt;&gt;""),AND(CQ38="",CQ37&lt;&gt;"")),"",CO37*1000+CP37*10+CQ37)</f>
        <v>2010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1</v>
      </c>
      <c r="V38" s="123">
        <f t="shared" si="3"/>
        <v>2</v>
      </c>
      <c r="W38" s="123">
        <f t="shared" si="4"/>
        <v>1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9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90000009.858021781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>
        <v>2</v>
      </c>
      <c r="BO38" s="25"/>
      <c r="BP38" s="116">
        <f>IF(OR(BM38="",BM39="",AND(BN38="",BN39&lt;&gt;""),AND(BN39="",BN38&lt;&gt;""),AND(BO38="",BO39&lt;&gt;""),AND(BO39="",BO38&lt;&gt;"")),"",BM38*1000+BN38*10+BO38)</f>
        <v>1020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2</v>
      </c>
      <c r="CP38" s="64">
        <v>0</v>
      </c>
      <c r="CQ38" s="27"/>
      <c r="CR38" s="111">
        <f>IF(CR37="","",CO38*1000+CP38*10+CQ38)</f>
        <v>2000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3</v>
      </c>
      <c r="AL39" s="123">
        <f>AI39-AJ39</f>
        <v>0</v>
      </c>
      <c r="AM39" s="123">
        <f>AL39-AL42</f>
        <v>5</v>
      </c>
      <c r="AN39" s="123">
        <f>AF39*3+AG39</f>
        <v>4</v>
      </c>
      <c r="AO39" s="123">
        <f>AN39/AN42*10+BA39</f>
        <v>4.9805825242718447</v>
      </c>
      <c r="AP39" s="123">
        <f>AO39*10000000+BI39*100+AM39/AM42*10+AI39/AI42*1++IF(AQ39=0,ROW(),AQ39)/2000000</f>
        <v>49805928.730372511</v>
      </c>
      <c r="AQ39" s="126">
        <f>VLOOKUP(AE39,db_fifarank,2,FALSE)</f>
        <v>1660.43</v>
      </c>
      <c r="AR39" s="125">
        <f>AP39/AP42</f>
        <v>0.55339914135058421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Czech Republic</v>
      </c>
      <c r="BM39" s="62">
        <v>1</v>
      </c>
      <c r="BN39" s="64">
        <v>1</v>
      </c>
      <c r="BO39" s="27"/>
      <c r="BP39" s="112">
        <f>IF(BP38="","",BM39*1000+BN39*10+BO39)</f>
        <v>1010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3</v>
      </c>
      <c r="AL40" s="123">
        <f>AI40-AJ40</f>
        <v>1</v>
      </c>
      <c r="AM40" s="123">
        <f>AL40-AL42</f>
        <v>6</v>
      </c>
      <c r="AN40" s="123">
        <f>AF40*3+AG40</f>
        <v>4</v>
      </c>
      <c r="AO40" s="123">
        <f>AN40/AN42*10+BA40</f>
        <v>4.9805825242718447</v>
      </c>
      <c r="AP40" s="123">
        <f>AO40*10000000+BI40*100+AM40/AM42*10+AI40/AI42*1++IF(AQ40=0,ROW(),AQ40)/2000000</f>
        <v>49805929.873156823</v>
      </c>
      <c r="AQ40" s="126">
        <f>VLOOKUP(AE40,db_fifarank,2,FALSE)</f>
        <v>1514.77</v>
      </c>
      <c r="AR40" s="125">
        <f>AP40/AP42</f>
        <v>0.55339915404818618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3 - 3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5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8.2391656726551072E-12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4</v>
      </c>
      <c r="AI42" s="123">
        <f>MAX(AI38:AI41)+1</f>
        <v>7</v>
      </c>
      <c r="AL42" s="123">
        <f>MIN(AL38:AL41)</f>
        <v>-5</v>
      </c>
      <c r="AM42" s="123">
        <f>MAX(AM38:AM41)+1</f>
        <v>10</v>
      </c>
      <c r="AN42" s="123">
        <f>MAX(AN38:AN41)+1</f>
        <v>10</v>
      </c>
      <c r="AO42" s="123">
        <f>MAX(AO38:AO41)+1</f>
        <v>10</v>
      </c>
      <c r="AP42" s="123">
        <f>MAX(AP38:AP41)+1</f>
        <v>90000010.858021781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4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4000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2</v>
      </c>
      <c r="BN43" s="64"/>
      <c r="BO43" s="27"/>
      <c r="BP43" s="113">
        <f>IF(BP42="","",BM43*1000+BN43*10+BO43)</f>
        <v>2000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1</v>
      </c>
      <c r="AL44" s="123">
        <f>AI44-AJ44</f>
        <v>6</v>
      </c>
      <c r="AM44" s="123">
        <f>AL44-AL48</f>
        <v>12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90000010.106636584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5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5000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2</v>
      </c>
      <c r="AL45" s="123">
        <f>AI45-AJ45</f>
        <v>2</v>
      </c>
      <c r="AM45" s="123">
        <f>AL45-AL48</f>
        <v>8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60000006.65462777</v>
      </c>
      <c r="AQ45" s="126">
        <f>VLOOKUP(AE45,db_fifarank,2,FALSE)</f>
        <v>1563.24</v>
      </c>
      <c r="AR45" s="125">
        <f>AP45/AP48</f>
        <v>0.66666665833559413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4 - 2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3</v>
      </c>
      <c r="AL46" s="123">
        <f>AI46-AJ46</f>
        <v>-2</v>
      </c>
      <c r="AM46" s="123">
        <f>AL46-AL48</f>
        <v>4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30000003.202730726</v>
      </c>
      <c r="AQ46" s="126">
        <f>VLOOKUP(AE46,db_fifarank,2,FALSE)</f>
        <v>1615.3</v>
      </c>
      <c r="AR46" s="125">
        <f>AP46/AP48</f>
        <v>0.33333332778353991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1 - 3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6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7.119832454695648E-12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0 - 6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8</v>
      </c>
      <c r="AL48" s="123">
        <f>MIN(AL44:AL47)</f>
        <v>-6</v>
      </c>
      <c r="AM48" s="123">
        <f>MAX(AM44:AM47)+1</f>
        <v>13</v>
      </c>
      <c r="AN48" s="123">
        <f>MAX(AN44:AN47)+1</f>
        <v>10</v>
      </c>
      <c r="AO48" s="123">
        <f>MAX(AO44:AO47)+1</f>
        <v>10</v>
      </c>
      <c r="AP48" s="123">
        <f>MAX(AP44:AP47)+1</f>
        <v>90000011.106636584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3</v>
      </c>
      <c r="CB49" s="64"/>
      <c r="CC49" s="27"/>
      <c r="CD49" s="113">
        <f>IF(CD48="","",CA49*1000+CB49*10+CC49)</f>
        <v>3000</v>
      </c>
      <c r="CK49" s="114"/>
      <c r="CL49" s="115"/>
      <c r="CM49" s="132"/>
      <c r="CN49" s="26" t="str">
        <f>IF(CK55&gt;CK56,CG56,IF(CK55&lt;CK56,CG55,""))</f>
        <v>England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1</v>
      </c>
      <c r="AL50" s="123">
        <f>AI50-AJ50</f>
        <v>8</v>
      </c>
      <c r="AM50" s="123">
        <f>AL50-AL54</f>
        <v>14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90000010.234271541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7</v>
      </c>
      <c r="AL51" s="123">
        <f>AI51-AJ51</f>
        <v>-6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19805923.401653942</v>
      </c>
      <c r="AQ51" s="126">
        <f>VLOOKUP(AE51,db_fifarank,2,FALSE)</f>
        <v>1366.13</v>
      </c>
      <c r="AR51" s="125">
        <f>AP51/AP54</f>
        <v>0.22006578810416802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Scotland</v>
      </c>
      <c r="BM51" s="62">
        <v>2</v>
      </c>
      <c r="BN51" s="64"/>
      <c r="BO51" s="27"/>
      <c r="BP51" s="113">
        <f>IF(BP50="","",BM51*1000+BN51*10+BO51)</f>
        <v>2000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7</v>
      </c>
      <c r="AL52" s="123">
        <f>AI52-AJ52</f>
        <v>-6</v>
      </c>
      <c r="AM52" s="123">
        <f>AL52-AL54</f>
        <v>0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19805923.401681591</v>
      </c>
      <c r="AQ52" s="126">
        <f>VLOOKUP(AE52,db_fifarank,2,FALSE)</f>
        <v>1421.43</v>
      </c>
      <c r="AR52" s="125">
        <f>AP52/AP54</f>
        <v>0.22006578810447522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Scotland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1 - 7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2</v>
      </c>
      <c r="AL53" s="123">
        <f>AI53-AJ53</f>
        <v>4</v>
      </c>
      <c r="AM53" s="123">
        <f>AL53-AL54</f>
        <v>10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60000007.267503202</v>
      </c>
      <c r="AQ53" s="126">
        <f>VLOOKUP(AE53,db_fifarank,2,FALSE)</f>
        <v>1673.07</v>
      </c>
      <c r="AR53" s="125">
        <f>AP53/AP54</f>
        <v>0.6666666641998763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1 - 7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10</v>
      </c>
      <c r="AL54" s="123">
        <f>MIN(AL50:AL53)</f>
        <v>-6</v>
      </c>
      <c r="AM54" s="123">
        <f>MAX(AM50:AM53)+1</f>
        <v>15</v>
      </c>
      <c r="AN54" s="123">
        <f>MAX(AN50:AN53)+1</f>
        <v>10</v>
      </c>
      <c r="AO54" s="123">
        <f>MAX(AO50:AO53)+1</f>
        <v>10</v>
      </c>
      <c r="AP54" s="123">
        <f>MAX(AP50:AP53)+1</f>
        <v>90000011.234271541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2</v>
      </c>
      <c r="AL56" s="123">
        <f>AI56-AJ56</f>
        <v>6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90000010.175541833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3</v>
      </c>
      <c r="CI56" s="64"/>
      <c r="CJ56" s="27"/>
      <c r="CK56" s="112">
        <f>IF(CK55="","",CH56*1000+CI56*10+CJ56)</f>
        <v>3000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7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49805928.746259809</v>
      </c>
      <c r="AQ57" s="126">
        <f>VLOOKUP(AE57,db_fifarank,2,FALSE)</f>
        <v>1688.99</v>
      </c>
      <c r="AR57" s="125">
        <f>AP57/AP60</f>
        <v>0.55339913957471754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8.0396656683597791E-12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4 - 4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3</v>
      </c>
      <c r="AL59" s="123">
        <f>AI59-AJ59</f>
        <v>1</v>
      </c>
      <c r="AM59" s="123">
        <f>AL59-AL60</f>
        <v>8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49805929.460476503</v>
      </c>
      <c r="AQ59" s="126">
        <f>VLOOKUP(AE59,db_fifarank,2,FALSE)</f>
        <v>1550.94</v>
      </c>
      <c r="AR59" s="125">
        <f>AP59/AP60</f>
        <v>0.5533991475104576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9</v>
      </c>
      <c r="AL60" s="123">
        <f>MIN(AL56:AL59)</f>
        <v>-7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90000011.175541833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2</v>
      </c>
      <c r="BU61" s="64"/>
      <c r="BV61" s="27"/>
      <c r="BW61" s="113">
        <f>IF(BW60="","",BT61*1000+BU61*10+BV61)</f>
        <v>2000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0</v>
      </c>
      <c r="AL62" s="123">
        <f>AI62-AJ62</f>
        <v>9</v>
      </c>
      <c r="AM62" s="123">
        <f>AL62-AL66</f>
        <v>17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90000010.345381871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1</v>
      </c>
      <c r="W63" s="123">
        <f t="shared" si="22"/>
        <v>1</v>
      </c>
      <c r="X63" s="123">
        <f t="shared" si="9"/>
        <v>1</v>
      </c>
      <c r="Y63" s="123">
        <f t="shared" si="10"/>
        <v>1</v>
      </c>
      <c r="Z63" s="123">
        <f t="shared" si="11"/>
        <v>1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4</v>
      </c>
      <c r="AL63" s="123">
        <f>AI63-AJ63</f>
        <v>-1</v>
      </c>
      <c r="AM63" s="123">
        <f>AL63-AL66</f>
        <v>7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49805927.490641885</v>
      </c>
      <c r="AQ63" s="126">
        <f>VLOOKUP(AE63,db_fifarank,2,FALSE)</f>
        <v>1564.26</v>
      </c>
      <c r="AR63" s="125">
        <f>AP63/AP66</f>
        <v>0.55339912457908325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8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49805928.04621204</v>
      </c>
      <c r="AQ64" s="126">
        <f>VLOOKUP(AE64,db_fifarank,2,FALSE)</f>
        <v>1593.45</v>
      </c>
      <c r="AR64" s="125">
        <f>AP64/AP66</f>
        <v>0.55339913075208413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3 - 4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1</v>
      </c>
      <c r="V65" s="123">
        <f t="shared" si="21"/>
        <v>1</v>
      </c>
      <c r="W65" s="123">
        <f t="shared" si="22"/>
        <v>2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8</v>
      </c>
      <c r="AL65" s="123">
        <f>AI65-AJ65</f>
        <v>-8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7.7302768033006415E-12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4</v>
      </c>
      <c r="CB65" s="64"/>
      <c r="CC65" s="27"/>
      <c r="CD65" s="112">
        <f>IF(CD64="","",CA65*1000+CB65*10+CC65)</f>
        <v>4000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0 - 8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10</v>
      </c>
      <c r="AL66" s="123">
        <f>MIN(AL62:AL65)</f>
        <v>-8</v>
      </c>
      <c r="AM66" s="123">
        <f>MAX(AM62:AM65)+1</f>
        <v>18</v>
      </c>
      <c r="AN66" s="123">
        <f>MAX(AN62:AN65)+1</f>
        <v>10</v>
      </c>
      <c r="AO66" s="123">
        <f>MAX(AO62:AO65)+1</f>
        <v>10</v>
      </c>
      <c r="AP66" s="123">
        <f>MAX(AP62:AP65)+1</f>
        <v>90000011.345381871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0</v>
      </c>
      <c r="BN66" s="63">
        <v>2</v>
      </c>
      <c r="BO66" s="25"/>
      <c r="BP66" s="112">
        <f>IF(OR(BM66="",BM67="",AND(BN66="",BN67&lt;&gt;""),AND(BN67="",BN66&lt;&gt;""),AND(BO66="",BO67&lt;&gt;""),AND(BO67="",BO66&lt;&gt;"")),"",BM66*1000+BN66*10+BO66)</f>
        <v>20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>
        <v>1</v>
      </c>
      <c r="BO67" s="27"/>
      <c r="BP67" s="113">
        <f>IF(BP66="","",BM67*1000+BN67*10+BO67)</f>
        <v>10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2</v>
      </c>
      <c r="AL68" s="123">
        <f>AI68-AJ68</f>
        <v>5</v>
      </c>
      <c r="AM68" s="123">
        <f>AL68-AL72</f>
        <v>10</v>
      </c>
      <c r="AN68" s="123">
        <f>AF68*3+AG68</f>
        <v>7</v>
      </c>
      <c r="AO68" s="123">
        <f>AN68/AN72*10+BA68</f>
        <v>9.7401960784313726</v>
      </c>
      <c r="AP68" s="123">
        <f>AO68*10000000+BI68*100+AM68/AM72*10+AI68/AI72*1++IF(AQ68=0,ROW(),AQ68)/2000000</f>
        <v>97402069.770712569</v>
      </c>
      <c r="AQ68" s="126">
        <f>VLOOKUP(AE68,db_fifarank,2,FALSE)</f>
        <v>1763.83</v>
      </c>
      <c r="AR68" s="125">
        <f>AP68/AP72</f>
        <v>0.99999998973327786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101</v>
      </c>
      <c r="BA68" s="126">
        <f>AZ68/AZ72</f>
        <v>0.99019607843137258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101</v>
      </c>
      <c r="BI68" s="126">
        <f>BH68/BH72</f>
        <v>0.99019607843137258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7 - 2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2.2352941176470589</v>
      </c>
      <c r="AP69" s="123">
        <f>AO69*10000000+BI69*100+AM69/AM72*10+AI69/AI72*1++IF(AQ69=0,ROW(),AQ69)/2000000</f>
        <v>22353039.831621528</v>
      </c>
      <c r="AQ69" s="126">
        <f>VLOOKUP(AE69,db_fifarank,2,FALSE)</f>
        <v>1478.35</v>
      </c>
      <c r="AR69" s="125">
        <f>AP69/AP72</f>
        <v>0.2294924497472057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100.5</v>
      </c>
      <c r="BA69" s="126">
        <f>AZ69/AZ72</f>
        <v>0.98529411764705888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100.5</v>
      </c>
      <c r="BI69" s="126">
        <f>BH69/BH72</f>
        <v>0.98529411764705888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6 - 2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1</v>
      </c>
      <c r="AN70" s="123">
        <f>AF70*3+AG70</f>
        <v>1</v>
      </c>
      <c r="AO70" s="123">
        <f>AN70/AN72*10+BA70</f>
        <v>2.2352941176470589</v>
      </c>
      <c r="AP70" s="123">
        <f>AO70*10000000+BI70*100+AM70/AM72*10+AI70/AI72*1++IF(AQ70=0,ROW(),AQ70)/2000000</f>
        <v>22353040.740705933</v>
      </c>
      <c r="AQ70" s="126">
        <f>VLOOKUP(AE70,db_fifarank,2,FALSE)</f>
        <v>1465.34</v>
      </c>
      <c r="AR70" s="125">
        <f>AP70/AP72</f>
        <v>0.22949245908052274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100.5</v>
      </c>
      <c r="BA70" s="126">
        <f>AZ70/AZ72</f>
        <v>0.98529411764705888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100.5</v>
      </c>
      <c r="BI70" s="126">
        <f>BH70/BH72</f>
        <v>0.98529411764705888</v>
      </c>
      <c r="BK70" s="131">
        <v>87</v>
      </c>
      <c r="BL70" s="24" t="str">
        <f>AS68</f>
        <v>Portugal</v>
      </c>
      <c r="BM70" s="61">
        <v>4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4000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1 - 5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2</v>
      </c>
      <c r="AL71" s="123">
        <f>AI71-AJ71</f>
        <v>4</v>
      </c>
      <c r="AM71" s="123">
        <f>AL71-AL72</f>
        <v>9</v>
      </c>
      <c r="AN71" s="123">
        <f>AF71*3+AG71</f>
        <v>7</v>
      </c>
      <c r="AO71" s="123">
        <f>AN71/AN72*10+BA71</f>
        <v>9.7401960784313726</v>
      </c>
      <c r="AP71" s="123">
        <f>AO71*10000000+BI71*100+AM71/AM72*10+AI71/AI72*1++IF(AQ71=0,ROW(),AQ71)/2000000</f>
        <v>97402068.736586303</v>
      </c>
      <c r="AQ71" s="126">
        <f>VLOOKUP(AE71,db_fifarank,2,FALSE)</f>
        <v>1693.09</v>
      </c>
      <c r="AR71" s="125">
        <f>AP71/AP72</f>
        <v>0.99999997911619076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101</v>
      </c>
      <c r="BA71" s="126">
        <f>AZ71/AZ72</f>
        <v>0.99019607843137258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101</v>
      </c>
      <c r="BI71" s="126">
        <f>BH71/BH72</f>
        <v>0.99019607843137258</v>
      </c>
      <c r="BK71" s="132"/>
      <c r="BL71" s="26" t="str">
        <f>IF(group_round_completed,VLOOKUP('3rd places'!J3,AK80:AS91,9,FALSE),"3rd Group D/E/I/J/L")</f>
        <v>Ivory Coast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8</v>
      </c>
      <c r="AL72" s="123">
        <f>MIN(AL68:AL71)</f>
        <v>-5</v>
      </c>
      <c r="AM72" s="123">
        <f>MAX(AM68:AM71)+1</f>
        <v>11</v>
      </c>
      <c r="AN72" s="123">
        <f>MAX(AN68:AN71)+1</f>
        <v>8</v>
      </c>
      <c r="AO72" s="123">
        <f>MAX(AO68:AO71)+1</f>
        <v>10.740196078431373</v>
      </c>
      <c r="AP72" s="123">
        <f>MAX(AP68:AP71)+1</f>
        <v>97402070.770712569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102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102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0</v>
      </c>
      <c r="AL74" s="123">
        <f>AI74-AJ74</f>
        <v>6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90000010.024722502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6 - 0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2</v>
      </c>
      <c r="AL75" s="123">
        <f>AI75-AJ75</f>
        <v>2</v>
      </c>
      <c r="AM75" s="123">
        <f>AL75-AL78</f>
        <v>7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60000006.405620448</v>
      </c>
      <c r="AQ75" s="126">
        <f>VLOOKUP(AE75,db_fifarank,2,FALSE)</f>
        <v>1717.07</v>
      </c>
      <c r="AR75" s="125">
        <f>AP75/AP78</f>
        <v>0.66666665617561738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4 - 2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5</v>
      </c>
      <c r="AL76" s="123">
        <f>AI76-AJ76</f>
        <v>-3</v>
      </c>
      <c r="AM76" s="123">
        <f>AL76-AL78</f>
        <v>2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19805925.254024986</v>
      </c>
      <c r="AQ76" s="126">
        <f>VLOOKUP(AE76,db_fifarank,2,FALSE)</f>
        <v>1346.31</v>
      </c>
      <c r="AR76" s="125">
        <f>AP76/AP78</f>
        <v>0.22006580919845009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2 - 5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6</v>
      </c>
      <c r="AL77" s="123">
        <f>AI77-AJ77</f>
        <v>-5</v>
      </c>
      <c r="AM77" s="123">
        <f>AL77-AL78</f>
        <v>0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19805923.444598336</v>
      </c>
      <c r="AQ77" s="126">
        <f>VLOOKUP(AE77,db_fifarank,2,FALSE)</f>
        <v>1540.64</v>
      </c>
      <c r="AR77" s="125">
        <f>AP77/AP78</f>
        <v>0.22006578909371199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1 - 6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7</v>
      </c>
      <c r="AL78" s="123">
        <f>MIN(AL74:AL77)</f>
        <v>-5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90000011.024722502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7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5</v>
      </c>
      <c r="AN80" s="123">
        <f>VLOOKUP($AE80,$AE$8:$AQ$78,10,FALSE)</f>
        <v>3</v>
      </c>
      <c r="AP80" s="123">
        <f>AN80/AN92*10000+AM80/AM92*1000+AI80/AI92*100+IF(AQ80=0,ROW(),AQ80)/2000000</f>
        <v>4950.7150364042855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United States</v>
      </c>
      <c r="K81" s="97">
        <f>L81+M81+N81</f>
        <v>3</v>
      </c>
      <c r="L81" s="97">
        <f>VLOOKUP(1,$AD$80:$AN$91,3,FALSE)</f>
        <v>2</v>
      </c>
      <c r="M81" s="97">
        <f>VLOOKUP(1,$AD$80:$AN$91,4,FALSE)</f>
        <v>0</v>
      </c>
      <c r="N81" s="97">
        <f>VLOOKUP(1,$AD$80:$AN$91,5,FALSE)</f>
        <v>1</v>
      </c>
      <c r="O81" s="97" t="str">
        <f>VLOOKUP(1,$AD$80:$AN$91,6,FALSE) &amp; " - " &amp; VLOOKUP(1,$AD$80:$AN$91,7,FALSE)</f>
        <v>4 - 4</v>
      </c>
      <c r="P81" s="98">
        <f>L81*3+M81</f>
        <v>6</v>
      </c>
      <c r="AD81" s="123">
        <f t="shared" ref="AD81:AD91" si="38">COUNTIF($AP$80:$AP$91,CONCATENATE("&gt;=",AP81))</f>
        <v>2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1</v>
      </c>
      <c r="AM81" s="123">
        <f t="shared" ref="AM81:AM91" si="44">AL81-$AL$92</f>
        <v>7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6649.2864925257136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Canada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3 - 2</v>
      </c>
      <c r="P82" s="101">
        <f t="shared" ref="P82:P92" si="48">L82*3+M82</f>
        <v>4</v>
      </c>
      <c r="AD82" s="123">
        <f t="shared" si="38"/>
        <v>8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6</v>
      </c>
      <c r="AK82" s="123" t="s">
        <v>3182</v>
      </c>
      <c r="AL82" s="123">
        <f t="shared" si="43"/>
        <v>-2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4865.7150348892856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Ⓘ Senegal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4 - 4</v>
      </c>
      <c r="P83" s="101">
        <f t="shared" si="48"/>
        <v>4</v>
      </c>
      <c r="AD83" s="123">
        <f t="shared" si="38"/>
        <v>1</v>
      </c>
      <c r="AE83" s="124" t="str">
        <f>J29</f>
        <v>United States</v>
      </c>
      <c r="AF83" s="123">
        <f t="shared" si="39"/>
        <v>2</v>
      </c>
      <c r="AG83" s="123">
        <f t="shared" si="49"/>
        <v>0</v>
      </c>
      <c r="AH83" s="123">
        <f t="shared" si="40"/>
        <v>1</v>
      </c>
      <c r="AI83" s="123">
        <f t="shared" si="41"/>
        <v>4</v>
      </c>
      <c r="AJ83" s="123">
        <f t="shared" si="42"/>
        <v>4</v>
      </c>
      <c r="AK83" s="123" t="s">
        <v>3184</v>
      </c>
      <c r="AL83" s="123">
        <f t="shared" si="43"/>
        <v>0</v>
      </c>
      <c r="AM83" s="123">
        <f t="shared" si="44"/>
        <v>6</v>
      </c>
      <c r="AN83" s="123">
        <f t="shared" si="45"/>
        <v>6</v>
      </c>
      <c r="AP83" s="123">
        <f>AN83/AN92*10000+AM83/AM92*1000+AI83/AI92*100+IF(AQ83=0,ROW(),AQ83)/2000000</f>
        <v>9401.4294079935698</v>
      </c>
      <c r="AQ83" s="126">
        <f t="shared" si="37"/>
        <v>1673.13</v>
      </c>
      <c r="AR83" s="125" t="str">
        <f t="shared" si="50"/>
        <v>ABCD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Ⓔ Ivory Coast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4 - 4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4</v>
      </c>
      <c r="AJ84" s="123">
        <f t="shared" si="42"/>
        <v>4</v>
      </c>
      <c r="AK84" s="123" t="s">
        <v>3185</v>
      </c>
      <c r="AL84" s="123">
        <f t="shared" si="43"/>
        <v>0</v>
      </c>
      <c r="AM84" s="123">
        <f t="shared" si="44"/>
        <v>6</v>
      </c>
      <c r="AN84" s="123">
        <f t="shared" si="45"/>
        <v>4</v>
      </c>
      <c r="AP84" s="123">
        <f>AN84/AN92*10000+AM84/AM92*1000+AI84/AI92*100+IF(AQ84=0,ROW(),AQ84)/2000000</f>
        <v>6544.2864807757142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Ⓕ Japan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3 - 3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5</v>
      </c>
      <c r="AE85" s="124" t="str">
        <f>J41</f>
        <v>Japan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3</v>
      </c>
      <c r="AJ85" s="123">
        <f t="shared" si="42"/>
        <v>3</v>
      </c>
      <c r="AK85" s="123" t="s">
        <v>3186</v>
      </c>
      <c r="AL85" s="123">
        <f t="shared" si="43"/>
        <v>0</v>
      </c>
      <c r="AM85" s="123">
        <f t="shared" si="44"/>
        <v>6</v>
      </c>
      <c r="AN85" s="123">
        <f t="shared" si="45"/>
        <v>4</v>
      </c>
      <c r="AP85" s="123">
        <f>AN85/AN92*10000+AM85/AM92*1000+AI85/AI92*100+IF(AQ85=0,ROW(),AQ85)/2000000</f>
        <v>6524.2865445007137</v>
      </c>
      <c r="AQ85" s="126">
        <f t="shared" si="37"/>
        <v>1660.43</v>
      </c>
      <c r="AR85" s="125" t="str">
        <f t="shared" si="50"/>
        <v>ABCDEF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Ⓙ Algeria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3 - 4</v>
      </c>
      <c r="P86" s="101">
        <f t="shared" si="48"/>
        <v>4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9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1</v>
      </c>
      <c r="AJ86" s="123">
        <f t="shared" si="42"/>
        <v>3</v>
      </c>
      <c r="AK86" s="123" t="s">
        <v>3187</v>
      </c>
      <c r="AL86" s="123">
        <f t="shared" si="43"/>
        <v>-2</v>
      </c>
      <c r="AM86" s="123">
        <f t="shared" si="44"/>
        <v>4</v>
      </c>
      <c r="AN86" s="123">
        <f t="shared" si="45"/>
        <v>3</v>
      </c>
      <c r="AP86" s="123">
        <f>AN86/AN92*10000+AM86/AM92*1000+AI86/AI92*100+IF(AQ86=0,ROW(),AQ86)/2000000</f>
        <v>4805.7150933642852</v>
      </c>
      <c r="AQ86" s="126">
        <f t="shared" si="37"/>
        <v>1615.3</v>
      </c>
      <c r="AR86" s="125" t="str">
        <f t="shared" si="50"/>
        <v>ABCDEF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Ⓐ Czech Republic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2 - 3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7</v>
      </c>
      <c r="AK87" s="123" t="s">
        <v>3188</v>
      </c>
      <c r="AL87" s="123">
        <f t="shared" si="43"/>
        <v>-6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1448.5721392864284</v>
      </c>
      <c r="AQ87" s="126">
        <f t="shared" si="37"/>
        <v>1421.43</v>
      </c>
      <c r="AR87" s="125" t="str">
        <f t="shared" si="50"/>
        <v>ABCDEF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Ⓒ Scotland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4 - 6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Bosnia and Herzegovina</v>
      </c>
      <c r="T88" s="127" t="str" cm="1">
        <f t="array" ref="T88">IF(OR(S88="",S88="draw"),INDEX(T,90,lang),S88)</f>
        <v>Bosnia and Herzegovina</v>
      </c>
      <c r="AD88" s="123">
        <f t="shared" si="38"/>
        <v>3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6</v>
      </c>
      <c r="AN88" s="123">
        <f t="shared" si="45"/>
        <v>4</v>
      </c>
      <c r="AP88" s="123">
        <f>AN88/AN92*10000+AM88/AM92*1000+AI88/AI92*100+IF(AQ88=0,ROW(),AQ88)/2000000</f>
        <v>6544.2865587807137</v>
      </c>
      <c r="AQ88" s="126">
        <f t="shared" si="37"/>
        <v>1688.99</v>
      </c>
      <c r="AR88" s="125" t="str">
        <f t="shared" si="50"/>
        <v>ABCDEFI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1 - 3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6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4</v>
      </c>
      <c r="AK89" s="123" t="s">
        <v>3190</v>
      </c>
      <c r="AL89" s="123">
        <f t="shared" si="43"/>
        <v>-1</v>
      </c>
      <c r="AM89" s="123">
        <f t="shared" si="44"/>
        <v>5</v>
      </c>
      <c r="AN89" s="123">
        <f t="shared" si="45"/>
        <v>4</v>
      </c>
      <c r="AP89" s="123">
        <f>AN89/AN92*10000+AM89/AM92*1000+AI89/AI92*100+IF(AQ89=0,ROW(),AQ89)/2000000</f>
        <v>6399.2864964157134</v>
      </c>
      <c r="AQ89" s="126">
        <f t="shared" si="37"/>
        <v>1564.26</v>
      </c>
      <c r="AR89" s="125" t="str">
        <f t="shared" si="50"/>
        <v>ABCDEFIJ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Ghana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2 - 5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Paraguay</v>
      </c>
      <c r="T90" s="127" t="str" cm="1">
        <f t="array" ref="T90">IF(OR(S90="",S90="draw"),INDEX(T,92,lang),S90)</f>
        <v>Paraguay</v>
      </c>
      <c r="AD90" s="123">
        <f t="shared" si="38"/>
        <v>11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5</v>
      </c>
      <c r="AK90" s="123" t="s">
        <v>3191</v>
      </c>
      <c r="AL90" s="123">
        <f t="shared" si="43"/>
        <v>-4</v>
      </c>
      <c r="AM90" s="123">
        <f t="shared" si="44"/>
        <v>2</v>
      </c>
      <c r="AN90" s="123">
        <f t="shared" si="45"/>
        <v>1</v>
      </c>
      <c r="AP90" s="123">
        <f>AN90/AN92*10000+AM90/AM92*1000+AI90/AI92*100+IF(AQ90=0,ROW(),AQ90)/2000000</f>
        <v>1698.5721612414284</v>
      </c>
      <c r="AQ90" s="126">
        <f t="shared" si="37"/>
        <v>1465.34</v>
      </c>
      <c r="AR90" s="125" t="str">
        <f t="shared" si="50"/>
        <v>ABCDEFIJ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Uzbekistan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10</v>
      </c>
      <c r="AE91" s="124" t="str">
        <f>J77</f>
        <v>Ghana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5</v>
      </c>
      <c r="AK91" s="123" t="s">
        <v>3192</v>
      </c>
      <c r="AL91" s="123">
        <f>VLOOKUP($AE91,$AE$8:$AQ$78,8,FALSE)</f>
        <v>-3</v>
      </c>
      <c r="AM91" s="123">
        <f t="shared" si="44"/>
        <v>3</v>
      </c>
      <c r="AN91" s="123">
        <f>VLOOKUP($AE91,$AE$8:$AQ$78,10,FALSE)</f>
        <v>1</v>
      </c>
      <c r="AP91" s="123">
        <f>AN91/AN92*10000+AM91/AM92*1000+AI91/AI92*100+IF(AQ91=0,ROW(),AQ91)/2000000</f>
        <v>1843.5721017264284</v>
      </c>
      <c r="AQ91" s="126">
        <f t="shared" si="37"/>
        <v>1346.31</v>
      </c>
      <c r="AR91" s="125" t="str">
        <f t="shared" si="50"/>
        <v>ABCDEFIJ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1 - 7</v>
      </c>
      <c r="P92" s="107">
        <f t="shared" si="48"/>
        <v>1</v>
      </c>
      <c r="AF92" s="123">
        <f>MAX(AF80:AF91)+1</f>
        <v>3</v>
      </c>
      <c r="AG92" s="123">
        <f>MAX(AG80:AG91)+1</f>
        <v>2</v>
      </c>
      <c r="AH92" s="123">
        <f>MAX(AH80:AH91)+1</f>
        <v>3</v>
      </c>
      <c r="AI92" s="123">
        <f>MAX(AI80:AI91)+1</f>
        <v>5</v>
      </c>
      <c r="AJ92" s="123">
        <f>MAX(AJ80:AJ91)+1</f>
        <v>8</v>
      </c>
      <c r="AL92" s="123">
        <f>MIN(AL80:AL91)</f>
        <v>-6</v>
      </c>
      <c r="AM92" s="123">
        <f>MAX(AM80:AM91)+1</f>
        <v>8</v>
      </c>
      <c r="AN92" s="123">
        <f>MAX(AN80:AN91)+1</f>
        <v>7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Paraguay</v>
      </c>
      <c r="T98" s="127" t="str" cm="1">
        <f t="array" ref="T98">IF(OR(S98="",S98="draw"),INDEX(T,97,lang),S98)</f>
        <v>Paraguay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Paraguay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Paraguay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xWindow="1419" yWindow="703"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486</v>
      </c>
      <c r="C3" s="121" t="str">
        <f>'2026 World Cup'!AR91</f>
        <v>ABCDEFIJ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GONZALEZ SANCHEZ-BRUNETE, DAVID ANTONIO</cp:lastModifiedBy>
  <cp:revision/>
  <dcterms:created xsi:type="dcterms:W3CDTF">2017-12-27T19:32:51Z</dcterms:created>
  <dcterms:modified xsi:type="dcterms:W3CDTF">2026-06-03T16:23:01Z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