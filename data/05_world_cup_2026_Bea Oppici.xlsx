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124\Downloads\"/>
    </mc:Choice>
  </mc:AlternateContent>
  <xr:revisionPtr revIDLastSave="0" documentId="13_ncr:1_{5102A553-8C5A-4762-BF80-B0309D59AD40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S47" i="3"/>
  <c r="S67" i="3"/>
  <c r="S72" i="3"/>
  <c r="T19" i="3"/>
  <c r="S70" i="3"/>
  <c r="S42" i="3"/>
  <c r="S64" i="3"/>
  <c r="T63" i="3"/>
  <c r="T41" i="3"/>
  <c r="S40" i="3"/>
  <c r="S62" i="3"/>
  <c r="T61" i="3"/>
  <c r="T16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D58" i="3"/>
  <c r="AR11" i="3"/>
  <c r="AR33" i="3"/>
  <c r="AR34" i="3"/>
  <c r="AR28" i="3"/>
  <c r="AR21" i="3"/>
  <c r="AR35" i="3"/>
  <c r="AR22" i="3"/>
  <c r="AR9" i="3"/>
  <c r="AR10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77" i="3" l="1"/>
  <c r="M58" i="3"/>
  <c r="AD8" i="3"/>
  <c r="AD21" i="3"/>
  <c r="AD11" i="3"/>
  <c r="AD10" i="3"/>
  <c r="AD32" i="3"/>
  <c r="AD62" i="3"/>
  <c r="AD29" i="3"/>
  <c r="AD35" i="3"/>
  <c r="AD22" i="3"/>
  <c r="AD44" i="3"/>
  <c r="AD34" i="3"/>
  <c r="AD33" i="3"/>
  <c r="AD15" i="3"/>
  <c r="AD41" i="3"/>
  <c r="AD26" i="3"/>
  <c r="AD27" i="3"/>
  <c r="AD53" i="3"/>
  <c r="AD9" i="3"/>
  <c r="L59" i="3"/>
  <c r="N58" i="3"/>
  <c r="AD70" i="3"/>
  <c r="L58" i="3"/>
  <c r="M59" i="3"/>
  <c r="AD20" i="3"/>
  <c r="L21" i="3" s="1"/>
  <c r="O60" i="3"/>
  <c r="AD71" i="3"/>
  <c r="AD47" i="3"/>
  <c r="AD76" i="3"/>
  <c r="AD74" i="3"/>
  <c r="AD68" i="3"/>
  <c r="AD75" i="3"/>
  <c r="AD63" i="3"/>
  <c r="AD14" i="3"/>
  <c r="J16" i="3" s="1"/>
  <c r="AS15" i="3" s="1"/>
  <c r="BL19" i="3" s="1"/>
  <c r="AD2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63" i="3" l="1"/>
  <c r="P58" i="3"/>
  <c r="O9" i="3"/>
  <c r="J69" i="3"/>
  <c r="AS68" i="3" s="1"/>
  <c r="BL70" i="3" s="1"/>
  <c r="N47" i="3"/>
  <c r="J9" i="3"/>
  <c r="AS8" i="3" s="1"/>
  <c r="BL50" i="3" s="1"/>
  <c r="J45" i="3"/>
  <c r="AS44" i="3" s="1"/>
  <c r="BL38" i="3" s="1"/>
  <c r="L9" i="3"/>
  <c r="M9" i="3"/>
  <c r="N9" i="3"/>
  <c r="N12" i="3"/>
  <c r="N39" i="3"/>
  <c r="O77" i="3"/>
  <c r="J21" i="3"/>
  <c r="AS20" i="3" s="1"/>
  <c r="BL42" i="3" s="1"/>
  <c r="BS44" i="3" s="1"/>
  <c r="BZ48" i="3" s="1"/>
  <c r="J33" i="3"/>
  <c r="AS32" i="3" s="1"/>
  <c r="BL10" i="3" s="1"/>
  <c r="P59" i="3"/>
  <c r="O63" i="3"/>
  <c r="M33" i="3"/>
  <c r="N33" i="3"/>
  <c r="J63" i="3"/>
  <c r="AS62" i="3" s="1"/>
  <c r="BL58" i="3" s="1"/>
  <c r="BS60" i="3" s="1"/>
  <c r="BZ64" i="3" s="1"/>
  <c r="O33" i="3"/>
  <c r="L33" i="3"/>
  <c r="O22" i="3"/>
  <c r="N36" i="3"/>
  <c r="N63" i="3"/>
  <c r="N27" i="3"/>
  <c r="J35" i="3"/>
  <c r="AE84" i="3" s="1"/>
  <c r="AQ84" i="3" s="1"/>
  <c r="L24" i="3"/>
  <c r="J36" i="3"/>
  <c r="O45" i="3"/>
  <c r="L45" i="3"/>
  <c r="N45" i="3"/>
  <c r="M45" i="3"/>
  <c r="M34" i="3"/>
  <c r="L54" i="3"/>
  <c r="J34" i="3"/>
  <c r="AS33" i="3" s="1"/>
  <c r="BL46" i="3" s="1"/>
  <c r="M63" i="3"/>
  <c r="L65" i="3"/>
  <c r="N34" i="3"/>
  <c r="N35" i="3"/>
  <c r="M36" i="3"/>
  <c r="O36" i="3"/>
  <c r="L35" i="3"/>
  <c r="O35" i="3"/>
  <c r="M47" i="3"/>
  <c r="L77" i="3"/>
  <c r="O11" i="3"/>
  <c r="L34" i="3"/>
  <c r="M10" i="3"/>
  <c r="J27" i="3"/>
  <c r="AS26" i="3" s="1"/>
  <c r="BL34" i="3" s="1"/>
  <c r="O51" i="3"/>
  <c r="L11" i="3"/>
  <c r="N65" i="3"/>
  <c r="J51" i="3"/>
  <c r="AS50" i="3" s="1"/>
  <c r="BL30" i="3" s="1"/>
  <c r="N51" i="3"/>
  <c r="O39" i="3"/>
  <c r="J10" i="3"/>
  <c r="AS9" i="3" s="1"/>
  <c r="BL18" i="3" s="1"/>
  <c r="L40" i="3"/>
  <c r="O65" i="3"/>
  <c r="L36" i="3"/>
  <c r="J22" i="3"/>
  <c r="AS21" i="3" s="1"/>
  <c r="BL23" i="3" s="1"/>
  <c r="O12" i="3"/>
  <c r="M65" i="3"/>
  <c r="M35" i="3"/>
  <c r="J24" i="3"/>
  <c r="M11" i="3"/>
  <c r="AT88" i="3"/>
  <c r="N10" i="3"/>
  <c r="M12" i="3"/>
  <c r="L12" i="3"/>
  <c r="O34" i="3"/>
  <c r="J39" i="3"/>
  <c r="AS38" i="3" s="1"/>
  <c r="BL22" i="3" s="1"/>
  <c r="J11" i="3"/>
  <c r="AE80" i="3" s="1"/>
  <c r="AQ80" i="3" s="1"/>
  <c r="K57" i="3"/>
  <c r="L66" i="3"/>
  <c r="M39" i="3"/>
  <c r="M22" i="3"/>
  <c r="K58" i="3"/>
  <c r="L18" i="3"/>
  <c r="O18" i="3"/>
  <c r="M16" i="3"/>
  <c r="M42" i="3"/>
  <c r="L48" i="3"/>
  <c r="N76" i="3"/>
  <c r="M71" i="3"/>
  <c r="J46" i="3"/>
  <c r="AS45" i="3" s="1"/>
  <c r="BL63" i="3" s="1"/>
  <c r="J40" i="3"/>
  <c r="AS39" i="3" s="1"/>
  <c r="BL43" i="3" s="1"/>
  <c r="N18" i="3"/>
  <c r="J29" i="3"/>
  <c r="AE83" i="3" s="1"/>
  <c r="AQ83" i="3" s="1"/>
  <c r="O23" i="3"/>
  <c r="N22" i="3"/>
  <c r="N11" i="3"/>
  <c r="J47" i="3"/>
  <c r="AE86" i="3" s="1"/>
  <c r="AQ86" i="3" s="1"/>
  <c r="M21" i="3"/>
  <c r="P21" i="3" s="1"/>
  <c r="O10" i="3"/>
  <c r="J12" i="3"/>
  <c r="N17" i="3"/>
  <c r="J76" i="3"/>
  <c r="AS75" i="3" s="1"/>
  <c r="BL27" i="3" s="1"/>
  <c r="L71" i="3"/>
  <c r="J48" i="3"/>
  <c r="N70" i="3"/>
  <c r="O47" i="3"/>
  <c r="L70" i="3"/>
  <c r="J42" i="3"/>
  <c r="J70" i="3"/>
  <c r="AS69" i="3" s="1"/>
  <c r="BL26" i="3" s="1"/>
  <c r="J30" i="3"/>
  <c r="O76" i="3"/>
  <c r="O70" i="3"/>
  <c r="N48" i="3"/>
  <c r="L30" i="3"/>
  <c r="O78" i="3"/>
  <c r="N30" i="3"/>
  <c r="L78" i="3"/>
  <c r="M70" i="3"/>
  <c r="M46" i="3"/>
  <c r="O27" i="3"/>
  <c r="AN88" i="3"/>
  <c r="M78" i="3"/>
  <c r="O30" i="3"/>
  <c r="AJ88" i="3"/>
  <c r="N78" i="3"/>
  <c r="O69" i="3"/>
  <c r="O48" i="3"/>
  <c r="M28" i="3"/>
  <c r="N21" i="3"/>
  <c r="AI88" i="3"/>
  <c r="L76" i="3"/>
  <c r="N69" i="3"/>
  <c r="O46" i="3"/>
  <c r="M30" i="3"/>
  <c r="O24" i="3"/>
  <c r="AG88" i="3"/>
  <c r="J52" i="3"/>
  <c r="AS51" i="3" s="1"/>
  <c r="BL59" i="3" s="1"/>
  <c r="M75" i="3"/>
  <c r="M69" i="3"/>
  <c r="N52" i="3"/>
  <c r="J41" i="3"/>
  <c r="AE85" i="3" s="1"/>
  <c r="AQ85" i="3" s="1"/>
  <c r="O28" i="3"/>
  <c r="L22" i="3"/>
  <c r="AF88" i="3"/>
  <c r="N71" i="3"/>
  <c r="J75" i="3"/>
  <c r="AS74" i="3" s="1"/>
  <c r="BL54" i="3" s="1"/>
  <c r="L69" i="3"/>
  <c r="L46" i="3"/>
  <c r="L28" i="3"/>
  <c r="O21" i="3"/>
  <c r="L23" i="3"/>
  <c r="J28" i="3"/>
  <c r="AS27" i="3" s="1"/>
  <c r="BL62" i="3" s="1"/>
  <c r="BS61" i="3" s="1"/>
  <c r="N75" i="3"/>
  <c r="N46" i="3"/>
  <c r="L27" i="3"/>
  <c r="N24" i="3"/>
  <c r="K59" i="3"/>
  <c r="O75" i="3"/>
  <c r="N66" i="3"/>
  <c r="L47" i="3"/>
  <c r="M27" i="3"/>
  <c r="M24" i="3"/>
  <c r="O66" i="3"/>
  <c r="L75" i="3"/>
  <c r="M66" i="3"/>
  <c r="M48" i="3"/>
  <c r="L10" i="3"/>
  <c r="J77" i="3"/>
  <c r="AE91" i="3" s="1"/>
  <c r="AQ91" i="3" s="1"/>
  <c r="L17" i="3"/>
  <c r="N54" i="3"/>
  <c r="J71" i="3"/>
  <c r="AE90" i="3" s="1"/>
  <c r="AQ90" i="3" s="1"/>
  <c r="O72" i="3"/>
  <c r="O64" i="3"/>
  <c r="O42" i="3"/>
  <c r="O54" i="3"/>
  <c r="L16" i="3"/>
  <c r="M64" i="3"/>
  <c r="M40" i="3"/>
  <c r="J18" i="3"/>
  <c r="N53" i="3"/>
  <c r="J78" i="3"/>
  <c r="L72" i="3"/>
  <c r="J64" i="3"/>
  <c r="AS63" i="3" s="1"/>
  <c r="BL31" i="3" s="1"/>
  <c r="L64" i="3"/>
  <c r="M54" i="3"/>
  <c r="L42" i="3"/>
  <c r="M29" i="3"/>
  <c r="O16" i="3"/>
  <c r="M41" i="3"/>
  <c r="N77" i="3"/>
  <c r="O71" i="3"/>
  <c r="J65" i="3"/>
  <c r="AE89" i="3" s="1"/>
  <c r="AQ89" i="3" s="1"/>
  <c r="L39" i="3"/>
  <c r="N16" i="3"/>
  <c r="O17" i="3"/>
  <c r="L15" i="3"/>
  <c r="N40" i="3"/>
  <c r="J72" i="3"/>
  <c r="O29" i="3"/>
  <c r="P57" i="3"/>
  <c r="L29" i="3"/>
  <c r="M17" i="3"/>
  <c r="N72" i="3"/>
  <c r="N64" i="3"/>
  <c r="L51" i="3"/>
  <c r="N29" i="3"/>
  <c r="M76" i="3"/>
  <c r="M72" i="3"/>
  <c r="M51" i="3"/>
  <c r="M77" i="3"/>
  <c r="J66" i="3"/>
  <c r="O40" i="3"/>
  <c r="N28" i="3"/>
  <c r="M1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6" i="3"/>
  <c r="T86" i="3" s="1" a="1"/>
  <c r="T86" i="3" s="1"/>
  <c r="BS28" i="3"/>
  <c r="S89" i="3"/>
  <c r="T89" i="3" s="1" a="1"/>
  <c r="T89" i="3" s="1"/>
  <c r="BS21" i="3"/>
  <c r="S88" i="3"/>
  <c r="T88" i="3" s="1" a="1"/>
  <c r="T88" i="3" s="1"/>
  <c r="BS20" i="3"/>
  <c r="P63" i="3"/>
  <c r="P9" i="3"/>
  <c r="K9" i="3"/>
  <c r="AN84" i="3"/>
  <c r="AL84" i="3"/>
  <c r="AI84" i="3"/>
  <c r="AF84" i="3"/>
  <c r="AH84" i="3"/>
  <c r="P33" i="3"/>
  <c r="AT84" i="3"/>
  <c r="K33" i="3"/>
  <c r="P10" i="3"/>
  <c r="P15" i="3"/>
  <c r="P72" i="3"/>
  <c r="P65" i="3"/>
  <c r="AJ84" i="3"/>
  <c r="P41" i="3"/>
  <c r="P24" i="3"/>
  <c r="P46" i="3"/>
  <c r="AG84" i="3"/>
  <c r="AF91" i="3"/>
  <c r="P34" i="3"/>
  <c r="AG91" i="3"/>
  <c r="P11" i="3"/>
  <c r="K63" i="3"/>
  <c r="K35" i="3"/>
  <c r="P18" i="3"/>
  <c r="P42" i="3"/>
  <c r="P54" i="3"/>
  <c r="K22" i="3"/>
  <c r="K21" i="3"/>
  <c r="P45" i="3"/>
  <c r="P35" i="3"/>
  <c r="P36" i="3"/>
  <c r="K45" i="3"/>
  <c r="AG82" i="3"/>
  <c r="P40" i="3"/>
  <c r="P70" i="3"/>
  <c r="P66" i="3"/>
  <c r="P77" i="3"/>
  <c r="K11" i="3"/>
  <c r="AT80" i="3"/>
  <c r="K34" i="3"/>
  <c r="AH82" i="3"/>
  <c r="K65" i="3"/>
  <c r="AJ85" i="3"/>
  <c r="P12" i="3"/>
  <c r="AL85" i="3"/>
  <c r="AF86" i="3"/>
  <c r="P16" i="3"/>
  <c r="P47" i="3"/>
  <c r="AI85" i="3"/>
  <c r="P75" i="3"/>
  <c r="P76" i="3"/>
  <c r="AL89" i="3"/>
  <c r="K41" i="3"/>
  <c r="P78" i="3"/>
  <c r="K47" i="3"/>
  <c r="AN89" i="3"/>
  <c r="AN80" i="3"/>
  <c r="K71" i="3"/>
  <c r="AH80" i="3"/>
  <c r="AI83" i="3"/>
  <c r="K36" i="3"/>
  <c r="P64" i="3"/>
  <c r="K24" i="3"/>
  <c r="P30" i="3"/>
  <c r="AT83" i="3"/>
  <c r="K46" i="3"/>
  <c r="AT89" i="3"/>
  <c r="K70" i="3"/>
  <c r="AJ80" i="3"/>
  <c r="AI80" i="3"/>
  <c r="AJ83" i="3"/>
  <c r="AF80" i="3"/>
  <c r="AG83" i="3"/>
  <c r="P69" i="3"/>
  <c r="K18" i="3"/>
  <c r="AL80" i="3"/>
  <c r="AN83" i="3"/>
  <c r="AL83" i="3"/>
  <c r="AG80" i="3"/>
  <c r="AH83" i="3"/>
  <c r="K27" i="3"/>
  <c r="K12" i="3"/>
  <c r="AF83" i="3"/>
  <c r="AJ82" i="3"/>
  <c r="K75" i="3"/>
  <c r="AT82" i="3"/>
  <c r="AI82" i="3"/>
  <c r="K39" i="3"/>
  <c r="P23" i="3"/>
  <c r="AT87" i="3"/>
  <c r="AI86" i="3"/>
  <c r="P71" i="3"/>
  <c r="AH86" i="3"/>
  <c r="AF87" i="3"/>
  <c r="AI90" i="3"/>
  <c r="AN82" i="3"/>
  <c r="AG86" i="3"/>
  <c r="K48" i="3"/>
  <c r="AT86" i="3"/>
  <c r="AN87" i="3"/>
  <c r="K69" i="3"/>
  <c r="AN86" i="3"/>
  <c r="AL87" i="3"/>
  <c r="K76" i="3"/>
  <c r="K66" i="3"/>
  <c r="AL86" i="3"/>
  <c r="AJ87" i="3"/>
  <c r="K28" i="3"/>
  <c r="AJ86" i="3"/>
  <c r="AH87" i="3"/>
  <c r="K42" i="3"/>
  <c r="K78" i="3"/>
  <c r="AG87" i="3"/>
  <c r="AG90" i="3"/>
  <c r="P53" i="3"/>
  <c r="P27" i="3"/>
  <c r="AG85" i="3"/>
  <c r="K10" i="3"/>
  <c r="P28" i="3"/>
  <c r="K54" i="3"/>
  <c r="K15" i="3"/>
  <c r="K23" i="3"/>
  <c r="K51" i="3"/>
  <c r="K30" i="3"/>
  <c r="P39" i="3"/>
  <c r="AN91" i="3"/>
  <c r="AT90" i="3"/>
  <c r="AL91" i="3"/>
  <c r="AH85" i="3"/>
  <c r="AF90" i="3"/>
  <c r="AF85" i="3"/>
  <c r="P22" i="3"/>
  <c r="AN90" i="3"/>
  <c r="AJ91" i="3"/>
  <c r="P17" i="3"/>
  <c r="AT85" i="3"/>
  <c r="P48" i="3"/>
  <c r="AL90" i="3"/>
  <c r="AI91" i="3"/>
  <c r="K29" i="3"/>
  <c r="AH90" i="3"/>
  <c r="K53" i="3"/>
  <c r="AT91" i="3"/>
  <c r="AN85" i="3"/>
  <c r="AJ90" i="3"/>
  <c r="AH91" i="3"/>
  <c r="AT81" i="3"/>
  <c r="K72" i="3"/>
  <c r="AN81" i="3"/>
  <c r="K77" i="3"/>
  <c r="AL81" i="3"/>
  <c r="AJ89" i="3"/>
  <c r="K40" i="3"/>
  <c r="AH89" i="3"/>
  <c r="AG81" i="3"/>
  <c r="AF82" i="3"/>
  <c r="AG89" i="3"/>
  <c r="AF81" i="3"/>
  <c r="AF89" i="3"/>
  <c r="K17" i="3"/>
  <c r="P29" i="3"/>
  <c r="P51" i="3"/>
  <c r="K64" i="3"/>
  <c r="AJ81" i="3"/>
  <c r="AI81" i="3"/>
  <c r="AI89" i="3"/>
  <c r="AH81" i="3"/>
  <c r="K16" i="3"/>
  <c r="P5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I92" i="3"/>
  <c r="AJ92" i="3"/>
  <c r="AN92" i="3"/>
  <c r="AF92" i="3"/>
  <c r="AG92" i="3"/>
  <c r="AS92" i="3"/>
  <c r="AH92" i="3"/>
  <c r="AL92" i="3"/>
  <c r="AM88" i="3" s="1"/>
  <c r="S103" i="3" l="1"/>
  <c r="T103" i="3" s="1" a="1"/>
  <c r="T103" i="3" s="1"/>
  <c r="CG24" i="3"/>
  <c r="CN48" i="3" s="1"/>
  <c r="AM84" i="3"/>
  <c r="AM85" i="3"/>
  <c r="AM86" i="3"/>
  <c r="AM87" i="3"/>
  <c r="AM81" i="3"/>
  <c r="AM80" i="3"/>
  <c r="AM89" i="3"/>
  <c r="AM90" i="3"/>
  <c r="AM82" i="3"/>
  <c r="AM91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CK68" i="3" s="1"/>
  <c r="S111" i="3"/>
  <c r="T111" i="3" s="1"/>
  <c r="AD91" i="3"/>
  <c r="AS91" i="3" s="1"/>
  <c r="AD89" i="3"/>
  <c r="AS89" i="3" s="1"/>
  <c r="AD90" i="3"/>
  <c r="AS90" i="3" s="1"/>
  <c r="AD81" i="3"/>
  <c r="AS81" i="3" s="1"/>
  <c r="AD83" i="3"/>
  <c r="AS83" i="3" s="1"/>
  <c r="AD82" i="3"/>
  <c r="AS82" i="3" s="1"/>
  <c r="AD85" i="3"/>
  <c r="AS85" i="3" s="1"/>
  <c r="AD88" i="3"/>
  <c r="AS88" i="3" s="1"/>
  <c r="AD84" i="3"/>
  <c r="AS84" i="3" s="1"/>
  <c r="AD86" i="3"/>
  <c r="AS86" i="3" s="1"/>
  <c r="AD80" i="3"/>
  <c r="AD87" i="3"/>
  <c r="AS87" i="3" s="1"/>
  <c r="M81" i="3" l="1"/>
  <c r="L86" i="3"/>
  <c r="L90" i="3"/>
  <c r="J87" i="3"/>
  <c r="L84" i="3"/>
  <c r="J91" i="3"/>
  <c r="M90" i="3"/>
  <c r="M91" i="3"/>
  <c r="N85" i="3"/>
  <c r="M92" i="3"/>
  <c r="J89" i="3"/>
  <c r="O88" i="3"/>
  <c r="L88" i="3"/>
  <c r="L87" i="3"/>
  <c r="J81" i="3"/>
  <c r="O90" i="3"/>
  <c r="M85" i="3"/>
  <c r="N86" i="3"/>
  <c r="L92" i="3"/>
  <c r="O91" i="3"/>
  <c r="M87" i="3"/>
  <c r="M86" i="3"/>
  <c r="N89" i="3"/>
  <c r="N90" i="3"/>
  <c r="N84" i="3"/>
  <c r="J84" i="3"/>
  <c r="M82" i="3"/>
  <c r="O89" i="3"/>
  <c r="L81" i="3"/>
  <c r="L83" i="3"/>
  <c r="N88" i="3"/>
  <c r="J90" i="3"/>
  <c r="N91" i="3"/>
  <c r="J88" i="3"/>
  <c r="O83" i="3"/>
  <c r="O85" i="3"/>
  <c r="J82" i="3"/>
  <c r="M83" i="3"/>
  <c r="N81" i="3"/>
  <c r="AS80" i="3"/>
  <c r="M89" i="3"/>
  <c r="N92" i="3"/>
  <c r="N87" i="3"/>
  <c r="J86" i="3"/>
  <c r="O87" i="3"/>
  <c r="L89" i="3"/>
  <c r="M84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2" i="3"/>
  <c r="M88" i="3"/>
  <c r="O84" i="3"/>
  <c r="O82" i="3"/>
  <c r="O92" i="3"/>
  <c r="L91" i="3"/>
  <c r="J92" i="3"/>
  <c r="L85" i="3"/>
  <c r="N83" i="3"/>
  <c r="L82" i="3"/>
  <c r="J85" i="3"/>
  <c r="J83" i="3"/>
  <c r="O81" i="3"/>
  <c r="O86" i="3"/>
  <c r="P81" i="3" l="1"/>
  <c r="P86" i="3"/>
  <c r="P90" i="3"/>
  <c r="P87" i="3"/>
  <c r="P88" i="3"/>
  <c r="K91" i="3"/>
  <c r="K90" i="3"/>
  <c r="I3" i="4"/>
  <c r="BL15" i="3" s="1"/>
  <c r="G3" i="4"/>
  <c r="BL11" i="3" s="1"/>
  <c r="H3" i="4"/>
  <c r="BL39" i="3" s="1"/>
  <c r="P84" i="3"/>
  <c r="K89" i="3"/>
  <c r="K86" i="3"/>
  <c r="K88" i="3"/>
  <c r="P82" i="3"/>
  <c r="K83" i="3"/>
  <c r="K85" i="3"/>
  <c r="P91" i="3"/>
  <c r="K81" i="3"/>
  <c r="E3" i="4"/>
  <c r="BL67" i="3" s="1"/>
  <c r="K87" i="3"/>
  <c r="K3" i="4"/>
  <c r="BL55" i="3" s="1"/>
  <c r="P89" i="3"/>
  <c r="D3" i="4"/>
  <c r="BL51" i="3" s="1"/>
  <c r="B3" i="4"/>
  <c r="K84" i="3"/>
  <c r="P92" i="3"/>
  <c r="K92" i="3"/>
  <c r="P83" i="3"/>
  <c r="K82" i="3"/>
  <c r="P85" i="3"/>
  <c r="J3" i="4"/>
  <c r="BL71" i="3" s="1"/>
  <c r="BS53" i="3"/>
  <c r="BS52" i="3"/>
  <c r="BZ49" i="3" s="1"/>
  <c r="CG55" i="3" s="1"/>
  <c r="CN3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<sst xmlns="http://schemas.openxmlformats.org/spreadsheetml/2006/main" count="9785" uniqueCount="3699">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</sst>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P27" zoomScaleNormal="100" workbookViewId="0">
      <selection activeCell="CO50" sqref="CO50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97305932.706573293</v>
      </c>
      <c r="AQ8" s="126">
        <f>VLOOKUP(AE8,db_fifarank,2,FALSE)</f>
        <v>1681.03</v>
      </c>
      <c r="AR8" s="125">
        <f>AP8/AP12</f>
        <v>0.99999998972313442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3</v>
      </c>
      <c r="AO9" s="123">
        <f>AN9/AN12*10+BA9</f>
        <v>3.75</v>
      </c>
      <c r="AP9" s="123">
        <f>AO9*10000000+BI9*100+AM9/AM12*10+AI9/AI12*1++IF(AQ9=0,ROW(),AQ9)/2000000</f>
        <v>37500000.334048204</v>
      </c>
      <c r="AQ9" s="126">
        <f>VLOOKUP(AE9,db_fifarank,2,FALSE)</f>
        <v>1429.73</v>
      </c>
      <c r="AR9" s="125">
        <f>AP9/AP12</f>
        <v>0.38538246235969237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5 - 2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6</v>
      </c>
      <c r="AL10" s="123">
        <f>AI10-AJ10</f>
        <v>-3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0.50079432999999995</v>
      </c>
      <c r="AQ10" s="126">
        <f>VLOOKUP(AE10,db_fifarank,2,FALSE)</f>
        <v>1588.66</v>
      </c>
      <c r="AR10" s="125">
        <f>AP10/AP12</f>
        <v>5.1465960083189653E-9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2</v>
      </c>
      <c r="AL11" s="123">
        <f>AI11-AJ11</f>
        <v>3</v>
      </c>
      <c r="AM11" s="123">
        <f>AL11-AL12</f>
        <v>6</v>
      </c>
      <c r="AN11" s="123">
        <f>AF11*3+AG11</f>
        <v>7</v>
      </c>
      <c r="AO11" s="123">
        <f>AN11/AN12*10+BA11</f>
        <v>9.7305825242718456</v>
      </c>
      <c r="AP11" s="123">
        <f>AO11*10000000+BI11*100+AM11/AM12*10+AI11/AI12*1++IF(AQ11=0,ROW(),AQ11)/2000000</f>
        <v>97305932.706483468</v>
      </c>
      <c r="AQ11" s="126">
        <f>VLOOKUP(AE11,db_fifarank,2,FALSE)</f>
        <v>1501.38</v>
      </c>
      <c r="AR11" s="125">
        <f>AP11/AP12</f>
        <v>0.99999998972221127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97305933.706573293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5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62500006.056333795</v>
      </c>
      <c r="AQ14" s="126">
        <f>VLOOKUP(AE14,db_fifarank,2,FALSE)</f>
        <v>1556.48</v>
      </c>
      <c r="AR14" s="125">
        <f>AP14/AP18</f>
        <v>0.71428569596588298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3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50000003.834026255</v>
      </c>
      <c r="AQ15" s="126">
        <f>VLOOKUP(AE15,db_fifarank,2,FALSE)</f>
        <v>1385.84</v>
      </c>
      <c r="AR15" s="125">
        <f>AP15/AP18</f>
        <v>0.57142854521795594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0.16739414666666666</v>
      </c>
      <c r="AQ16" s="126">
        <f>VLOOKUP(AE16,db_fifarank,2,FALSE)</f>
        <v>1454.96</v>
      </c>
      <c r="AR16" s="125">
        <f>AP16/AP18</f>
        <v>1.9130757274590384E-9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8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87500009.723046929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9</v>
      </c>
      <c r="AN18" s="123">
        <f>MAX(AN14:AN17)+1</f>
        <v>8</v>
      </c>
      <c r="AO18" s="123">
        <f>MAX(AO14:AO17)+1</f>
        <v>9.75</v>
      </c>
      <c r="AP18" s="123">
        <f>MAX(AP14:AP17)+1</f>
        <v>87500010.723046929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90000010.209213912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60000007.292544596</v>
      </c>
      <c r="AQ21" s="126">
        <f>VLOOKUP(AE21,db_fifarank,2,FALSE)</f>
        <v>1755.87</v>
      </c>
      <c r="AR21" s="125">
        <f>AP21/AP24</f>
        <v>0.66666666466372604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7.1761657728980304E-12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30000005.834082507</v>
      </c>
      <c r="AQ23" s="126">
        <f>VLOOKUP(AE23,db_fifarank,2,FALSE)</f>
        <v>1498.35</v>
      </c>
      <c r="AR23" s="125">
        <f>AP23/AP24</f>
        <v>0.33333335664086233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>
        <v>5</v>
      </c>
      <c r="CK23" s="112">
        <f>IF(OR(CH23="",CH24="",AND(CI23="",CI24&lt;&gt;""),AND(CI24="",CI23&lt;&gt;""),AND(CJ23="",CJ24&lt;&gt;""),AND(CJ24="",CJ23&lt;&gt;"")),"",CH23*1000+CI23*10+CJ23)</f>
        <v>2025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90000011.209213912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2</v>
      </c>
      <c r="CJ24" s="27">
        <v>4</v>
      </c>
      <c r="CK24" s="113">
        <f>IF(CK23="","",CH24*1000+CI24*10+CJ24)</f>
        <v>2024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3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3</v>
      </c>
      <c r="AL26" s="123">
        <f>AI26-AJ26</f>
        <v>0</v>
      </c>
      <c r="AM26" s="123">
        <f>AL26-AL30</f>
        <v>1</v>
      </c>
      <c r="AN26" s="123">
        <f>AF26*3+AG26</f>
        <v>3</v>
      </c>
      <c r="AO26" s="123">
        <f>AN26/AN30*10+BA26</f>
        <v>5.9805825242718447</v>
      </c>
      <c r="AP26" s="123">
        <f>AO26*10000000+BI26*100+AM26/AM30*10+AI26/AI30*1++IF(AQ26=0,ROW(),AQ26)/2000000</f>
        <v>59805927.135140769</v>
      </c>
      <c r="AQ26" s="126">
        <f>VLOOKUP(AE26,db_fifarank,2,FALSE)</f>
        <v>1673.13</v>
      </c>
      <c r="AR26" s="125">
        <f>AP26/AP30</f>
        <v>0.71767105241235629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Portugal</v>
      </c>
      <c r="BM26" s="61">
        <v>1</v>
      </c>
      <c r="BN26" s="63">
        <v>2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1023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5 - 4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3</v>
      </c>
      <c r="AH27" s="123">
        <f>COUNTIF($S$7:$T$78,"=" &amp; AE27 &amp; "_lose")</f>
        <v>0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1</v>
      </c>
      <c r="AN27" s="123">
        <f>AF27*3+AG27</f>
        <v>3</v>
      </c>
      <c r="AO27" s="123">
        <f>AN27/AN30*10+BA27</f>
        <v>5.9805825242718447</v>
      </c>
      <c r="AP27" s="123">
        <f>AO27*10000000+BI27*100+AM27/AM30*10+AI27/AI30*1++IF(AQ27=0,ROW(),AQ27)/2000000</f>
        <v>59805927.135055952</v>
      </c>
      <c r="AQ27" s="126">
        <f>VLOOKUP(AE27,db_fifarank,2,FALSE)</f>
        <v>1503.5</v>
      </c>
      <c r="AR27" s="125">
        <f>AP27/AP30</f>
        <v>0.71767105241133844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1</v>
      </c>
      <c r="BN27" s="64">
        <v>2</v>
      </c>
      <c r="BO27" s="27">
        <v>2</v>
      </c>
      <c r="BP27" s="113">
        <f>IF(BP26="","",BM27*1000+BN27*10+BO27)</f>
        <v>1022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0</v>
      </c>
      <c r="M28" s="23">
        <f>VLOOKUP(2,AD26:AN29,4,FALSE)</f>
        <v>3</v>
      </c>
      <c r="N28" s="23">
        <f>VLOOKUP(2,AD26:AN29,5,FALSE)</f>
        <v>0</v>
      </c>
      <c r="O28" s="23" t="str">
        <f>VLOOKUP(2,AD26:AN29,6,FALSE) &amp; " - " &amp; VLOOKUP(2,AD26:AN29,7,FALSE)</f>
        <v>3 - 3</v>
      </c>
      <c r="P28" s="34">
        <f>L28*3+M28</f>
        <v>3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3</v>
      </c>
      <c r="AL28" s="123">
        <f>AI28-AJ28</f>
        <v>-1</v>
      </c>
      <c r="AM28" s="123">
        <f>AL28-AL30</f>
        <v>0</v>
      </c>
      <c r="AN28" s="123">
        <f>AF28*3+AG28</f>
        <v>2</v>
      </c>
      <c r="AO28" s="123">
        <f>AN28/AN30*10+BA28</f>
        <v>3.333333333333333</v>
      </c>
      <c r="AP28" s="123">
        <f>AO28*10000000+BI28*100+AM28/AM30*10+AI28/AI30*1++IF(AQ28=0,ROW(),AQ28)/2000000</f>
        <v>33333333.667456999</v>
      </c>
      <c r="AQ28" s="126">
        <f>VLOOKUP(AE28,db_fifarank,2,FALSE)</f>
        <v>1580.67</v>
      </c>
      <c r="AR28" s="125">
        <f>AP28/AP30</f>
        <v>0.39999996320565001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2</v>
      </c>
      <c r="AN29" s="123">
        <f>AF29*3+AG29</f>
        <v>5</v>
      </c>
      <c r="AO29" s="123">
        <f>AN29/AN30*10+BA29</f>
        <v>8.3333333333333339</v>
      </c>
      <c r="AP29" s="123">
        <f>AO29*10000000+BI29*100+AM29/AM30*10+AI29/AI30*1++IF(AQ29=0,ROW(),AQ29)/2000000</f>
        <v>83333340.834132865</v>
      </c>
      <c r="AQ29" s="126">
        <f>VLOOKUP(AE29,db_fifarank,2,FALSE)</f>
        <v>1599.04</v>
      </c>
      <c r="AR29" s="125">
        <f>AP29/AP30</f>
        <v>0.99999998800000123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2 - 3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2</v>
      </c>
      <c r="AI30" s="123">
        <f>MAX(AI26:AI29)+1</f>
        <v>6</v>
      </c>
      <c r="AL30" s="123">
        <f>MIN(AL26:AL29)</f>
        <v>-1</v>
      </c>
      <c r="AM30" s="123">
        <f>MAX(AM26:AM29)+1</f>
        <v>3</v>
      </c>
      <c r="AN30" s="123">
        <f>MAX(AN26:AN29)+1</f>
        <v>6</v>
      </c>
      <c r="AO30" s="123">
        <f>MAX(AO26:AO29)+1</f>
        <v>9.3333333333333339</v>
      </c>
      <c r="AP30" s="123">
        <f>MAX(AP26:AP29)+1</f>
        <v>83333341.834132865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90000010.120523319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10000000.000647325</v>
      </c>
      <c r="AQ33" s="126">
        <f>VLOOKUP(AE33,db_fifarank,2,FALSE)</f>
        <v>1294.6500000000001</v>
      </c>
      <c r="AR33" s="125">
        <f>AP33/AP36</f>
        <v>0.11111109738926417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3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20000002.41956991</v>
      </c>
      <c r="AQ34" s="126">
        <f>VLOOKUP(AE34,db_fifarank,2,FALSE)</f>
        <v>1532.98</v>
      </c>
      <c r="AR34" s="125">
        <f>AP34/AP36</f>
        <v>0.22222222164825012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1 - 3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5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40000004.291395687</v>
      </c>
      <c r="AQ35" s="126">
        <f>VLOOKUP(AE35,db_fifarank,2,FALSE)</f>
        <v>1594.78</v>
      </c>
      <c r="AR35" s="125">
        <f>AP35/AP36</f>
        <v>0.44444443721045512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9</v>
      </c>
      <c r="AL36" s="123">
        <f>MIN(AL32:AL35)</f>
        <v>-5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90000011.120523319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87500009.584212258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3</v>
      </c>
      <c r="AN39" s="123">
        <f>AF39*3+AG39</f>
        <v>2</v>
      </c>
      <c r="AO39" s="123">
        <f>AN39/AN42*10+BA39</f>
        <v>2.5</v>
      </c>
      <c r="AP39" s="123">
        <f>AO39*10000000+BI39*100+AM39/AM42*10+AI39/AI42*1++IF(AQ39=0,ROW(),AQ39)/2000000</f>
        <v>25000004.250830214</v>
      </c>
      <c r="AQ39" s="126">
        <f>VLOOKUP(AE39,db_fifarank,2,FALSE)</f>
        <v>1660.43</v>
      </c>
      <c r="AR39" s="125">
        <f>AP39/AP42</f>
        <v>0.28571429973450768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2</v>
      </c>
      <c r="AL40" s="123">
        <f>AI40-AJ40</f>
        <v>2</v>
      </c>
      <c r="AM40" s="123">
        <f>AL40-AL42</f>
        <v>6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62500008.167424046</v>
      </c>
      <c r="AQ40" s="126">
        <f>VLOOKUP(AE40,db_fifarank,2,FALSE)</f>
        <v>1514.77</v>
      </c>
      <c r="AR40" s="125">
        <f>AP40/AP42</f>
        <v>0.71428572122596978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12500000.167408191</v>
      </c>
      <c r="AQ41" s="126">
        <f>VLOOKUP(AE41,db_fifarank,2,FALSE)</f>
        <v>1483.05</v>
      </c>
      <c r="AR41" s="125">
        <f>AP41/AP42</f>
        <v>0.14285712749003462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6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87500010.584212258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>
        <v>3</v>
      </c>
      <c r="BO42" s="25"/>
      <c r="BP42" s="112">
        <f>IF(OR(BM42="",BM43="",AND(BN42="",BN43&lt;&gt;""),AND(BN43="",BN42&lt;&gt;""),AND(BO42="",BO43&lt;&gt;""),AND(BO43="",BO42&lt;&gt;"")),"",BM42*1000+BN42*10+BO42)</f>
        <v>2030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2</v>
      </c>
      <c r="BN43" s="64">
        <v>2</v>
      </c>
      <c r="BO43" s="27"/>
      <c r="BP43" s="113">
        <f>IF(BP42="","",BM43*1000+BN43*10+BO43)</f>
        <v>2020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90000009.948919296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3</v>
      </c>
      <c r="AL45" s="123">
        <f>AI45-AJ45</f>
        <v>-1</v>
      </c>
      <c r="AM45" s="123">
        <f>AL45-AL48</f>
        <v>4</v>
      </c>
      <c r="AN45" s="123">
        <f>AF45*3+AG45</f>
        <v>4</v>
      </c>
      <c r="AO45" s="123">
        <f>AN45/AN48*10+BA45</f>
        <v>4.9803921568627452</v>
      </c>
      <c r="AP45" s="123">
        <f>AO45*10000000+BI45*100+AM45/AM48*10+AI45/AI48*1++IF(AQ45=0,ROW(),AQ45)/2000000</f>
        <v>49804023.530702673</v>
      </c>
      <c r="AQ45" s="126">
        <f>VLOOKUP(AE45,db_fifarank,2,FALSE)</f>
        <v>1563.24</v>
      </c>
      <c r="AR45" s="125">
        <f>AP45/AP48</f>
        <v>0.55337797190902127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</v>
      </c>
      <c r="BA45" s="126">
        <f>AZ45/AZ48</f>
        <v>0.98039215686274506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6</v>
      </c>
      <c r="AN46" s="123">
        <f>AF46*3+AG46</f>
        <v>4</v>
      </c>
      <c r="AO46" s="123">
        <f>AN46/AN48*10+BA46</f>
        <v>4.9803921568627452</v>
      </c>
      <c r="AP46" s="123">
        <f>AO46*10000000+BI46*100+AM46/AM48*10+AI46/AI48*1++IF(AQ46=0,ROW(),AQ46)/2000000</f>
        <v>49804025.491767667</v>
      </c>
      <c r="AQ46" s="126">
        <f>VLOOKUP(AE46,db_fifarank,2,FALSE)</f>
        <v>1615.3</v>
      </c>
      <c r="AR46" s="125">
        <f>AP46/AP48</f>
        <v>0.55337799369862972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1.5944212266661501E-9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90000010.948919296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3</v>
      </c>
      <c r="CC48" s="25"/>
      <c r="CD48" s="112">
        <f>IF(OR(CA48="",CA49="",AND(CB48="",CB49&lt;&gt;""),AND(CB49="",CB48&lt;&gt;""),AND(CC48="",CC49&lt;&gt;""),AND(CC49="",CC48&lt;&gt;"")),"",CA48*1000+CB48*10+CC48)</f>
        <v>2030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2</v>
      </c>
      <c r="CB49" s="64">
        <v>2</v>
      </c>
      <c r="CC49" s="27"/>
      <c r="CD49" s="113">
        <f>IF(CD48="","",CA49*1000+CB49*10+CC49)</f>
        <v>2020</v>
      </c>
      <c r="CK49" s="114"/>
      <c r="CL49" s="115"/>
      <c r="CM49" s="13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11</v>
      </c>
      <c r="AN50" s="123">
        <f>AF50*3+AG50</f>
        <v>7</v>
      </c>
      <c r="AO50" s="123">
        <f>AN50/AN54*10+BA50</f>
        <v>9.7306451612903224</v>
      </c>
      <c r="AP50" s="123">
        <f>AO50*10000000+BI50*100+AM50/AM54*10+AI50/AI54*1++IF(AQ50=0,ROW(),AQ50)/2000000</f>
        <v>97306559.720024228</v>
      </c>
      <c r="AQ50" s="126">
        <f>VLOOKUP(AE50,db_fifarank,2,FALSE)</f>
        <v>1876.4</v>
      </c>
      <c r="AR50" s="125">
        <f>AP50/AP54</f>
        <v>0.9999999897232007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50.666666666666664</v>
      </c>
      <c r="BA50" s="126">
        <f>AZ50/AZ54</f>
        <v>0.98064516129032253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50.666666666666664</v>
      </c>
      <c r="BI50" s="126">
        <f>BH50/BH54</f>
        <v>0.98064516129032253</v>
      </c>
      <c r="BK50" s="13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0.12568306500000001</v>
      </c>
      <c r="AQ51" s="126">
        <f>VLOOKUP(AE51,db_fifarank,2,FALSE)</f>
        <v>1366.13</v>
      </c>
      <c r="AR51" s="125">
        <f>AP51/AP54</f>
        <v>1.2916196407518935E-9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7 - 3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37500002.875710718</v>
      </c>
      <c r="AQ52" s="126">
        <f>VLOOKUP(AE52,db_fifarank,2,FALSE)</f>
        <v>1421.43</v>
      </c>
      <c r="AR52" s="125">
        <f>AP52/AP54</f>
        <v>0.38538000519417992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3</v>
      </c>
      <c r="AL53" s="123">
        <f>AI53-AJ53</f>
        <v>4</v>
      </c>
      <c r="AM53" s="123">
        <f>AL53-AL54</f>
        <v>10</v>
      </c>
      <c r="AN53" s="123">
        <f>AF53*3+AG53</f>
        <v>7</v>
      </c>
      <c r="AO53" s="123">
        <f>AN53/AN54*10+BA53</f>
        <v>9.7306451612903224</v>
      </c>
      <c r="AP53" s="123">
        <f>AO53*10000000+BI53*100+AM53/AM54*10+AI53/AI54*1++IF(AQ53=0,ROW(),AQ53)/2000000</f>
        <v>97306558.886589214</v>
      </c>
      <c r="AQ53" s="126">
        <f>VLOOKUP(AE53,db_fifarank,2,FALSE)</f>
        <v>1673.07</v>
      </c>
      <c r="AR53" s="125">
        <f>AP53/AP54</f>
        <v>0.99999998115815625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50.666666666666664</v>
      </c>
      <c r="BA53" s="126">
        <f>AZ53/AZ54</f>
        <v>0.98064516129032253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50.666666666666664</v>
      </c>
      <c r="BI53" s="126">
        <f>BH53/BH54</f>
        <v>0.98064516129032253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12</v>
      </c>
      <c r="AN54" s="123">
        <f>MAX(AN50:AN53)+1</f>
        <v>8</v>
      </c>
      <c r="AO54" s="123">
        <f>MAX(AO50:AO53)+1</f>
        <v>10.730645161290322</v>
      </c>
      <c r="AP54" s="123">
        <f>MAX(AP50:AP53)+1</f>
        <v>97306560.720024228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>
        <v>3</v>
      </c>
      <c r="CJ55" s="25">
        <v>4</v>
      </c>
      <c r="CK55" s="116">
        <f>IF(OR(CH55="",CH56="",AND(CI55="",CI56&lt;&gt;""),AND(CI56="",CI55&lt;&gt;""),AND(CJ55="",CJ56&lt;&gt;""),AND(CJ56="",CJ55&lt;&gt;"")),"",CH55*1000+CI55*10+CJ55)</f>
        <v>2034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>
        <v>3</v>
      </c>
      <c r="CJ56" s="27">
        <v>3</v>
      </c>
      <c r="CK56" s="112">
        <f>IF(CK55="","",CH56*1000+CI56*10+CJ56)</f>
        <v>2033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49805928.746259809</v>
      </c>
      <c r="AQ57" s="126">
        <f>VLOOKUP(AE57,db_fifarank,2,FALSE)</f>
        <v>1688.99</v>
      </c>
      <c r="AR57" s="125">
        <f>AP57/AP60</f>
        <v>0.55339913957471754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8.0396656683597791E-12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3</v>
      </c>
      <c r="BO58" s="25"/>
      <c r="BP58" s="112">
        <f>IF(OR(BM58="",BM59="",AND(BN58="",BN59&lt;&gt;""),AND(BN59="",BN58&lt;&gt;""),AND(BO58="",BO59&lt;&gt;""),AND(BO59="",BO58&lt;&gt;"")),"",BM58*1000+BN58*10+BO58)</f>
        <v>2030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49805929.460476503</v>
      </c>
      <c r="AQ59" s="126">
        <f>VLOOKUP(AE59,db_fifarank,2,FALSE)</f>
        <v>1550.94</v>
      </c>
      <c r="AR59" s="125">
        <f>AP59/AP60</f>
        <v>0.5533991475104576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2</v>
      </c>
      <c r="BN59" s="64">
        <v>2</v>
      </c>
      <c r="BO59" s="27"/>
      <c r="BP59" s="113">
        <f>IF(BP58="","",BM59*1000+BN59*10+BO59)</f>
        <v>2020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3</v>
      </c>
      <c r="AL62" s="123">
        <f>AI62-AJ62</f>
        <v>4</v>
      </c>
      <c r="AM62" s="123">
        <f>AL62-AL66</f>
        <v>7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87500009.625937417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7 - 3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0</v>
      </c>
      <c r="AN63" s="123">
        <f>AF63*3+AG63</f>
        <v>2</v>
      </c>
      <c r="AO63" s="123">
        <f>AN63/AN66*10+BA63</f>
        <v>2.5</v>
      </c>
      <c r="AP63" s="123">
        <f>AO63*10000000+BI63*100+AM63/AM66*10+AI63/AI66*1++IF(AQ63=0,ROW(),AQ63)/2000000</f>
        <v>25000000.375782128</v>
      </c>
      <c r="AQ63" s="126">
        <f>VLOOKUP(AE63,db_fifarank,2,FALSE)</f>
        <v>1564.26</v>
      </c>
      <c r="AR63" s="125">
        <f>AP63/AP66</f>
        <v>0.28571425531200378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0</v>
      </c>
      <c r="BN63" s="64">
        <v>0</v>
      </c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5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62500006.750796728</v>
      </c>
      <c r="AQ64" s="126">
        <f>VLOOKUP(AE64,db_fifarank,2,FALSE)</f>
        <v>1593.45</v>
      </c>
      <c r="AR64" s="125">
        <f>AP64/AP66</f>
        <v>0.71428570469533181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2</v>
      </c>
      <c r="CC64" s="25"/>
      <c r="CD64" s="116">
        <f>IF(OR(CA64="",CA65="",AND(CB64="",CB65&lt;&gt;""),AND(CB65="",CB64&lt;&gt;""),AND(CC64="",CC65&lt;&gt;""),AND(CC65="",CC64&lt;&gt;"")),"",CA64*1000+CB64*10+CC64)</f>
        <v>1020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3 - 6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5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12500000.250695726</v>
      </c>
      <c r="AQ65" s="126">
        <f>VLOOKUP(AE65,db_fifarank,2,FALSE)</f>
        <v>1391.45</v>
      </c>
      <c r="AR65" s="125">
        <f>AP65/AP66</f>
        <v>0.14285712837376938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Colombia</v>
      </c>
      <c r="CA65" s="62">
        <v>1</v>
      </c>
      <c r="CB65" s="64">
        <v>1</v>
      </c>
      <c r="CC65" s="27"/>
      <c r="CD65" s="112">
        <f>IF(CD64="","",CA65*1000+CB65*10+CC65)</f>
        <v>1010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3</v>
      </c>
      <c r="AI66" s="123">
        <f>MAX(AI62:AI65)+1</f>
        <v>8</v>
      </c>
      <c r="AL66" s="123">
        <f>MIN(AL62:AL65)</f>
        <v>-3</v>
      </c>
      <c r="AM66" s="123">
        <f>MAX(AM62:AM65)+1</f>
        <v>8</v>
      </c>
      <c r="AN66" s="123">
        <f>MAX(AN62:AN65)+1</f>
        <v>8</v>
      </c>
      <c r="AO66" s="123">
        <f>MAX(AO62:AO65)+1</f>
        <v>9.75</v>
      </c>
      <c r="AP66" s="123">
        <f>MAX(AP62:AP65)+1</f>
        <v>87500010.625937417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9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97402069.554803476</v>
      </c>
      <c r="AQ68" s="126">
        <f>VLOOKUP(AE68,db_fifarank,2,FALSE)</f>
        <v>1763.83</v>
      </c>
      <c r="AR68" s="125">
        <f>AP68/AP72</f>
        <v>0.99999998845030058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2</v>
      </c>
      <c r="AN69" s="123">
        <f>AF69*3+AG69</f>
        <v>1</v>
      </c>
      <c r="AO69" s="123">
        <f>AN69/AN72*10+BA69</f>
        <v>2.2352941176470589</v>
      </c>
      <c r="AP69" s="123">
        <f>AO69*10000000+BI69*100+AM69/AM72*10+AI69/AI72*1++IF(AQ69=0,ROW(),AQ69)/2000000</f>
        <v>22353041.956621528</v>
      </c>
      <c r="AQ69" s="126">
        <f>VLOOKUP(AE69,db_fifarank,2,FALSE)</f>
        <v>1478.35</v>
      </c>
      <c r="AR69" s="125">
        <f>AP69/AP72</f>
        <v>0.22949247177826779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100.5</v>
      </c>
      <c r="BA69" s="126">
        <f>AZ69/AZ72</f>
        <v>0.98529411764705888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100.5</v>
      </c>
      <c r="BI69" s="126">
        <f>BH69/BH72</f>
        <v>0.98529411764705888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Colombia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2.2352941176470589</v>
      </c>
      <c r="AP70" s="123">
        <f>AO70*10000000+BI70*100+AM70/AM72*10+AI70/AI72*1++IF(AQ70=0,ROW(),AQ70)/2000000</f>
        <v>22353039.831615023</v>
      </c>
      <c r="AQ70" s="126">
        <f>VLOOKUP(AE70,db_fifarank,2,FALSE)</f>
        <v>1465.34</v>
      </c>
      <c r="AR70" s="125">
        <f>AP70/AP72</f>
        <v>0.22949244996141635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100.5</v>
      </c>
      <c r="BA70" s="126">
        <f>AZ70/AZ72</f>
        <v>0.98529411764705888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100.5</v>
      </c>
      <c r="BI70" s="126">
        <f>BH70/BH72</f>
        <v>0.98529411764705888</v>
      </c>
      <c r="BK70" s="131">
        <v>87</v>
      </c>
      <c r="BL70" s="24" t="str">
        <f>AS68</f>
        <v>Colombia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97402069.679768115</v>
      </c>
      <c r="AQ71" s="126">
        <f>VLOOKUP(AE71,db_fifarank,2,FALSE)</f>
        <v>1693.09</v>
      </c>
      <c r="AR71" s="125">
        <f>AP71/AP72</f>
        <v>0.99999998973327786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10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97402070.679768115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97305933.047915608</v>
      </c>
      <c r="AQ74" s="126">
        <f>VLOOKUP(AE74,db_fifarank,2,FALSE)</f>
        <v>1825.97</v>
      </c>
      <c r="AR74" s="125">
        <f>AP74/AP78</f>
        <v>0.99999998972313442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7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97305931.793892905</v>
      </c>
      <c r="AQ75" s="126">
        <f>VLOOKUP(AE75,db_fifarank,2,FALSE)</f>
        <v>1717.07</v>
      </c>
      <c r="AR75" s="125">
        <f>AP75/AP78</f>
        <v>0.99999997683571173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1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37500001.397498548</v>
      </c>
      <c r="AQ76" s="126">
        <f>VLOOKUP(AE76,db_fifarank,2,FALSE)</f>
        <v>1346.31</v>
      </c>
      <c r="AR76" s="125">
        <f>AP76/AP78</f>
        <v>0.38538247193673425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7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0.42934174857142854</v>
      </c>
      <c r="AQ77" s="126">
        <f>VLOOKUP(AE77,db_fifarank,2,FALSE)</f>
        <v>1540.64</v>
      </c>
      <c r="AR77" s="125">
        <f>AP77/AP78</f>
        <v>4.4122874187715123E-9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97305934.047915608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5</v>
      </c>
      <c r="AK80" s="123" t="s">
        <v>3180</v>
      </c>
      <c r="AL80" s="123">
        <f>VLOOKUP($AE80,$AE$8:$AQ$78,8,FALSE)</f>
        <v>-3</v>
      </c>
      <c r="AM80" s="123">
        <f>AL80-$AL$92</f>
        <v>0</v>
      </c>
      <c r="AN80" s="123">
        <f>VLOOKUP($AE80,$AE$8:$AQ$78,10,FALSE)</f>
        <v>3</v>
      </c>
      <c r="AP80" s="123">
        <f>AN80/AN92*10000+AM80/AM92*1000+AI80/AI92*100+IF(AQ80=0,ROW(),AQ80)/2000000</f>
        <v>6040.0007148650002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8560.0006929200008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6830.0007491750002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Egypt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5</v>
      </c>
      <c r="AE83" s="124" t="str">
        <f>J29</f>
        <v>Paraguay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6810.0007517499998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2</v>
      </c>
      <c r="AP84" s="123">
        <f>AN84/AN92*10000+AM84/AM92*1000+AI84/AI92*100+IF(AQ84=0,ROW(),AQ84)/2000000</f>
        <v>4270.0007664900004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Paraguay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3 - 3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4560.000830215</v>
      </c>
      <c r="AQ85" s="126">
        <f t="shared" si="37"/>
        <v>1660.43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3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4</v>
      </c>
      <c r="AP86" s="123">
        <f>AN86/AN92*10000+AM86/AM92*1000+AI86/AI92*100+IF(AQ86=0,ROW(),AQ86)/2000000</f>
        <v>8540.0007816199995</v>
      </c>
      <c r="AQ86" s="126">
        <f t="shared" si="37"/>
        <v>1563.24</v>
      </c>
      <c r="AR86" s="125" t="str">
        <f t="shared" si="50"/>
        <v>ABCDG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South Africa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6060.0007107150004</v>
      </c>
      <c r="AQ87" s="126">
        <f t="shared" si="37"/>
        <v>1421.43</v>
      </c>
      <c r="AR87" s="125" t="str">
        <f t="shared" si="50"/>
        <v>ABCDGH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8830.0008444949999</v>
      </c>
      <c r="AQ88" s="126">
        <f t="shared" si="37"/>
        <v>1688.99</v>
      </c>
      <c r="AR88" s="125" t="str">
        <f t="shared" si="50"/>
        <v>ABCDGHI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Japan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0</v>
      </c>
      <c r="AN89" s="123">
        <f t="shared" si="45"/>
        <v>2</v>
      </c>
      <c r="AP89" s="123">
        <f>AN89/AN92*10000+AM89/AM92*1000+AI89/AI92*100+IF(AQ89=0,ROW(),AQ89)/2000000</f>
        <v>4060.0007821300001</v>
      </c>
      <c r="AQ89" s="126">
        <f t="shared" si="37"/>
        <v>1564.26</v>
      </c>
      <c r="AR89" s="125" t="str">
        <f t="shared" si="50"/>
        <v>ABCDGHI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2040.000739175</v>
      </c>
      <c r="AQ90" s="126">
        <f t="shared" si="37"/>
        <v>1478.35</v>
      </c>
      <c r="AR90" s="125" t="str">
        <f t="shared" si="50"/>
        <v>ABCDGHI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3 - 6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0</v>
      </c>
      <c r="AN91" s="123">
        <f>VLOOKUP($AE91,$AE$8:$AQ$78,10,FALSE)</f>
        <v>3</v>
      </c>
      <c r="AP91" s="123">
        <f>AN91/AN92*10000+AM91/AM92*1000+AI91/AI92*100+IF(AQ91=0,ROW(),AQ91)/2000000</f>
        <v>6040.0006731550002</v>
      </c>
      <c r="AQ91" s="126">
        <f t="shared" si="37"/>
        <v>1346.31</v>
      </c>
      <c r="AR91" s="125" t="str">
        <f t="shared" si="50"/>
        <v>ABCDGHIL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438</v>
      </c>
      <c r="C3" s="121" t="str">
        <f>'2026 World Cup'!AR91</f>
        <v>ABCDGHIL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Beatrice Oppici</cp:lastModifiedBy>
  <cp:revision/>
  <dcterms:created xsi:type="dcterms:W3CDTF">2017-12-27T19:32:51Z</dcterms:created>
  <dcterms:modified xsi:type="dcterms:W3CDTF">2026-06-10T22:15:58Z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