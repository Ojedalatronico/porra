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365FCC78-D57F-405A-AFF8-2FDD516148E7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 s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S30" i="3"/>
  <c r="T30" i="3" s="1"/>
  <c r="S78" i="3"/>
  <c r="T78" i="3" s="1"/>
  <c r="S26" i="3"/>
  <c r="T26" i="3" s="1"/>
  <c r="S75" i="3"/>
  <c r="T75" i="3" s="1"/>
  <c r="S25" i="3"/>
  <c r="S49" i="3"/>
  <c r="T49" i="3" s="1"/>
  <c r="S68" i="3"/>
  <c r="T68" i="3" s="1"/>
  <c r="S23" i="3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51" i="3"/>
  <c r="S54" i="3"/>
  <c r="S77" i="3"/>
  <c r="S50" i="3"/>
  <c r="S76" i="3"/>
  <c r="T25" i="3"/>
  <c r="S47" i="3"/>
  <c r="S67" i="3"/>
  <c r="T23" i="3"/>
  <c r="S72" i="3"/>
  <c r="S70" i="3"/>
  <c r="S42" i="3"/>
  <c r="S64" i="3"/>
  <c r="T63" i="3"/>
  <c r="S40" i="3"/>
  <c r="S62" i="3"/>
  <c r="S38" i="3"/>
  <c r="S65" i="3"/>
  <c r="S55" i="3"/>
  <c r="T56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35" i="3"/>
  <c r="AR9" i="3"/>
  <c r="AR34" i="3"/>
  <c r="AR28" i="3"/>
  <c r="AD57" i="3"/>
  <c r="AR33" i="3"/>
  <c r="AR21" i="3"/>
  <c r="AR11" i="3"/>
  <c r="AR10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AD14" i="3"/>
  <c r="AD21" i="3"/>
  <c r="AD34" i="3"/>
  <c r="AD75" i="3"/>
  <c r="AD62" i="3"/>
  <c r="M63" i="3" s="1"/>
  <c r="AD68" i="3"/>
  <c r="AD41" i="3"/>
  <c r="N58" i="3"/>
  <c r="AD28" i="3"/>
  <c r="AD8" i="3"/>
  <c r="AD27" i="3"/>
  <c r="AD32" i="3"/>
  <c r="AD9" i="3"/>
  <c r="O60" i="3"/>
  <c r="AD33" i="3"/>
  <c r="AD35" i="3"/>
  <c r="AD74" i="3"/>
  <c r="AD47" i="3"/>
  <c r="AD22" i="3"/>
  <c r="AD11" i="3"/>
  <c r="AD10" i="3"/>
  <c r="AD26" i="3"/>
  <c r="J27" i="3" s="1"/>
  <c r="AS26" i="3" s="1"/>
  <c r="BL34" i="3" s="1"/>
  <c r="AD20" i="3"/>
  <c r="L59" i="3"/>
  <c r="AD70" i="3"/>
  <c r="L58" i="3"/>
  <c r="M59" i="3"/>
  <c r="AD76" i="3"/>
  <c r="AD15" i="3"/>
  <c r="AD44" i="3"/>
  <c r="AD71" i="3"/>
  <c r="AD63" i="3"/>
  <c r="AD53" i="3"/>
  <c r="AD29" i="3"/>
  <c r="AD77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J33" i="3"/>
  <c r="AS32" i="3" s="1"/>
  <c r="BL10" i="3" s="1"/>
  <c r="L63" i="3"/>
  <c r="S90" i="3" l="1"/>
  <c r="T90" i="3" s="1" a="1"/>
  <c r="T90" i="3" s="1"/>
  <c r="BS36" i="3"/>
  <c r="O69" i="3"/>
  <c r="N16" i="3"/>
  <c r="N75" i="3"/>
  <c r="J76" i="3"/>
  <c r="AS75" i="3" s="1"/>
  <c r="BL27" i="3" s="1"/>
  <c r="M75" i="3"/>
  <c r="J63" i="3"/>
  <c r="AS62" i="3" s="1"/>
  <c r="BL58" i="3" s="1"/>
  <c r="BS60" i="3" s="1"/>
  <c r="BZ64" i="3" s="1"/>
  <c r="O45" i="3"/>
  <c r="O76" i="3"/>
  <c r="O63" i="3"/>
  <c r="M65" i="3"/>
  <c r="L76" i="3"/>
  <c r="J75" i="3"/>
  <c r="AS74" i="3" s="1"/>
  <c r="BL54" i="3" s="1"/>
  <c r="O75" i="3"/>
  <c r="N63" i="3"/>
  <c r="K63" i="3" s="1"/>
  <c r="M76" i="3"/>
  <c r="L75" i="3"/>
  <c r="N78" i="3"/>
  <c r="N76" i="3"/>
  <c r="L78" i="3"/>
  <c r="N51" i="3"/>
  <c r="L39" i="3"/>
  <c r="N65" i="3"/>
  <c r="N33" i="3"/>
  <c r="M33" i="3"/>
  <c r="J78" i="3"/>
  <c r="J16" i="3"/>
  <c r="AS15" i="3" s="1"/>
  <c r="BL19" i="3" s="1"/>
  <c r="M16" i="3"/>
  <c r="O16" i="3"/>
  <c r="O21" i="3"/>
  <c r="L34" i="3"/>
  <c r="O65" i="3"/>
  <c r="L16" i="3"/>
  <c r="M69" i="3"/>
  <c r="O78" i="3"/>
  <c r="L33" i="3"/>
  <c r="M51" i="3"/>
  <c r="N9" i="3"/>
  <c r="J72" i="3"/>
  <c r="N69" i="3"/>
  <c r="J64" i="3"/>
  <c r="AS63" i="3" s="1"/>
  <c r="BL31" i="3" s="1"/>
  <c r="O39" i="3"/>
  <c r="O77" i="3"/>
  <c r="J36" i="3"/>
  <c r="M78" i="3"/>
  <c r="O71" i="3"/>
  <c r="L30" i="3"/>
  <c r="L21" i="3"/>
  <c r="M77" i="3"/>
  <c r="N34" i="3"/>
  <c r="M34" i="3"/>
  <c r="O22" i="3"/>
  <c r="M22" i="3"/>
  <c r="J70" i="3"/>
  <c r="AS69" i="3" s="1"/>
  <c r="BL26" i="3" s="1"/>
  <c r="M71" i="3"/>
  <c r="L69" i="3"/>
  <c r="M45" i="3"/>
  <c r="M36" i="3"/>
  <c r="M35" i="3"/>
  <c r="N21" i="3"/>
  <c r="M10" i="3"/>
  <c r="J77" i="3"/>
  <c r="AE91" i="3" s="1"/>
  <c r="AQ91" i="3" s="1"/>
  <c r="L36" i="3"/>
  <c r="J71" i="3"/>
  <c r="AE90" i="3" s="1"/>
  <c r="AQ90" i="3" s="1"/>
  <c r="M70" i="3"/>
  <c r="O36" i="3"/>
  <c r="M12" i="3"/>
  <c r="J39" i="3"/>
  <c r="AS38" i="3" s="1"/>
  <c r="BL22" i="3" s="1"/>
  <c r="J24" i="3"/>
  <c r="L9" i="3"/>
  <c r="J69" i="3"/>
  <c r="AS68" i="3" s="1"/>
  <c r="BL70" i="3" s="1"/>
  <c r="L72" i="3"/>
  <c r="J45" i="3"/>
  <c r="AS44" i="3" s="1"/>
  <c r="BL38" i="3" s="1"/>
  <c r="L29" i="3"/>
  <c r="N10" i="3"/>
  <c r="M9" i="3"/>
  <c r="L12" i="3"/>
  <c r="O9" i="3"/>
  <c r="L70" i="3"/>
  <c r="P59" i="3"/>
  <c r="L64" i="3"/>
  <c r="J35" i="3"/>
  <c r="AE84" i="3" s="1"/>
  <c r="AQ84" i="3" s="1"/>
  <c r="N64" i="3"/>
  <c r="P58" i="3"/>
  <c r="N24" i="3"/>
  <c r="M64" i="3"/>
  <c r="L77" i="3"/>
  <c r="J22" i="3"/>
  <c r="AS21" i="3" s="1"/>
  <c r="BL23" i="3" s="1"/>
  <c r="J34" i="3"/>
  <c r="AS33" i="3" s="1"/>
  <c r="BL46" i="3" s="1"/>
  <c r="O30" i="3"/>
  <c r="M72" i="3"/>
  <c r="L71" i="3"/>
  <c r="J65" i="3"/>
  <c r="AE89" i="3" s="1"/>
  <c r="AQ89" i="3" s="1"/>
  <c r="O64" i="3"/>
  <c r="N39" i="3"/>
  <c r="N35" i="3"/>
  <c r="O35" i="3"/>
  <c r="O33" i="3"/>
  <c r="J9" i="3"/>
  <c r="AS8" i="3" s="1"/>
  <c r="BL50" i="3" s="1"/>
  <c r="M39" i="3"/>
  <c r="N22" i="3"/>
  <c r="O24" i="3"/>
  <c r="M24" i="3"/>
  <c r="J21" i="3"/>
  <c r="AS20" i="3" s="1"/>
  <c r="BL42" i="3" s="1"/>
  <c r="BS44" i="3" s="1"/>
  <c r="K59" i="3"/>
  <c r="L66" i="3"/>
  <c r="N77" i="3"/>
  <c r="N72" i="3"/>
  <c r="N71" i="3"/>
  <c r="M66" i="3"/>
  <c r="L65" i="3"/>
  <c r="K65" i="3" s="1"/>
  <c r="O42" i="3"/>
  <c r="N36" i="3"/>
  <c r="L35" i="3"/>
  <c r="O34" i="3"/>
  <c r="M21" i="3"/>
  <c r="L22" i="3"/>
  <c r="P22" i="3" s="1"/>
  <c r="L24" i="3"/>
  <c r="O47" i="3"/>
  <c r="L23" i="3"/>
  <c r="N70" i="3"/>
  <c r="J12" i="3"/>
  <c r="AT88" i="3"/>
  <c r="N52" i="3"/>
  <c r="AJ88" i="3"/>
  <c r="O72" i="3"/>
  <c r="O70" i="3"/>
  <c r="L54" i="3"/>
  <c r="N12" i="3"/>
  <c r="J10" i="3"/>
  <c r="AS9" i="3" s="1"/>
  <c r="BL18" i="3" s="1"/>
  <c r="O12" i="3"/>
  <c r="M28" i="3"/>
  <c r="M29" i="3"/>
  <c r="J47" i="3"/>
  <c r="AE86" i="3" s="1"/>
  <c r="AQ86" i="3" s="1"/>
  <c r="N28" i="3"/>
  <c r="O28" i="3"/>
  <c r="J30" i="3"/>
  <c r="O66" i="3"/>
  <c r="L45" i="3"/>
  <c r="L46" i="3"/>
  <c r="O27" i="3"/>
  <c r="O29" i="3"/>
  <c r="N27" i="3"/>
  <c r="L48" i="3"/>
  <c r="N45" i="3"/>
  <c r="N30" i="3"/>
  <c r="M30" i="3"/>
  <c r="P30" i="3" s="1"/>
  <c r="N29" i="3"/>
  <c r="J29" i="3"/>
  <c r="AE83" i="3" s="1"/>
  <c r="AQ83" i="3" s="1"/>
  <c r="M54" i="3"/>
  <c r="J46" i="3"/>
  <c r="AS45" i="3" s="1"/>
  <c r="BL63" i="3" s="1"/>
  <c r="J42" i="3"/>
  <c r="O17" i="3"/>
  <c r="O11" i="3"/>
  <c r="N66" i="3"/>
  <c r="O51" i="3"/>
  <c r="J48" i="3"/>
  <c r="M40" i="3"/>
  <c r="J40" i="3"/>
  <c r="AS39" i="3" s="1"/>
  <c r="BL43" i="3" s="1"/>
  <c r="L28" i="3"/>
  <c r="P28" i="3" s="1"/>
  <c r="N18" i="3"/>
  <c r="M18" i="3"/>
  <c r="O10" i="3"/>
  <c r="AG88" i="3"/>
  <c r="L42" i="3"/>
  <c r="J18" i="3"/>
  <c r="L10" i="3"/>
  <c r="J51" i="3"/>
  <c r="AS50" i="3" s="1"/>
  <c r="BL30" i="3" s="1"/>
  <c r="M47" i="3"/>
  <c r="M46" i="3"/>
  <c r="L47" i="3"/>
  <c r="L18" i="3"/>
  <c r="J28" i="3"/>
  <c r="AS27" i="3" s="1"/>
  <c r="BL62" i="3" s="1"/>
  <c r="BS61" i="3" s="1"/>
  <c r="J66" i="3"/>
  <c r="J52" i="3"/>
  <c r="AS51" i="3" s="1"/>
  <c r="BL59" i="3" s="1"/>
  <c r="O46" i="3"/>
  <c r="N47" i="3"/>
  <c r="M42" i="3"/>
  <c r="L27" i="3"/>
  <c r="M27" i="3"/>
  <c r="O18" i="3"/>
  <c r="L17" i="3"/>
  <c r="M11" i="3"/>
  <c r="J11" i="3"/>
  <c r="AE80" i="3" s="1"/>
  <c r="AQ80" i="3" s="1"/>
  <c r="L11" i="3"/>
  <c r="K58" i="3"/>
  <c r="N17" i="3"/>
  <c r="M17" i="3"/>
  <c r="N11" i="3"/>
  <c r="L15" i="3"/>
  <c r="O54" i="3"/>
  <c r="K57" i="3"/>
  <c r="J41" i="3"/>
  <c r="AE85" i="3" s="1"/>
  <c r="AQ85" i="3" s="1"/>
  <c r="N54" i="3"/>
  <c r="L51" i="3"/>
  <c r="M48" i="3"/>
  <c r="N48" i="3"/>
  <c r="O48" i="3"/>
  <c r="N46" i="3"/>
  <c r="N40" i="3"/>
  <c r="L40" i="3"/>
  <c r="O40" i="3"/>
  <c r="AN88" i="3"/>
  <c r="AF88" i="3"/>
  <c r="P57" i="3"/>
  <c r="N53" i="3"/>
  <c r="O23" i="3"/>
  <c r="AI88" i="3"/>
  <c r="M41" i="3"/>
  <c r="J54" i="3"/>
  <c r="O52" i="3"/>
  <c r="O41" i="3"/>
  <c r="L41" i="3"/>
  <c r="P41" i="3" s="1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76" i="3"/>
  <c r="P63" i="3"/>
  <c r="S88" i="3" l="1"/>
  <c r="T88" i="3" s="1" a="1"/>
  <c r="T88" i="3" s="1"/>
  <c r="BS20" i="3"/>
  <c r="S91" i="3"/>
  <c r="T91" i="3" s="1" a="1"/>
  <c r="T91" i="3" s="1"/>
  <c r="BS37" i="3"/>
  <c r="S86" i="3"/>
  <c r="T86" i="3" s="1" a="1"/>
  <c r="T86" i="3" s="1"/>
  <c r="BS28" i="3"/>
  <c r="S87" i="3"/>
  <c r="T87" i="3" s="1" a="1"/>
  <c r="T87" i="3" s="1"/>
  <c r="BS29" i="3"/>
  <c r="S89" i="3"/>
  <c r="T89" i="3" s="1" a="1"/>
  <c r="T89" i="3" s="1"/>
  <c r="BS21" i="3"/>
  <c r="BZ17" i="3" s="1"/>
  <c r="P75" i="3"/>
  <c r="K69" i="3"/>
  <c r="K75" i="3"/>
  <c r="P65" i="3"/>
  <c r="K76" i="3"/>
  <c r="P34" i="3"/>
  <c r="K33" i="3"/>
  <c r="P78" i="3"/>
  <c r="P71" i="3"/>
  <c r="P39" i="3"/>
  <c r="P69" i="3"/>
  <c r="P21" i="3"/>
  <c r="AN90" i="3"/>
  <c r="AH90" i="3"/>
  <c r="K21" i="3"/>
  <c r="AL90" i="3"/>
  <c r="AG90" i="3"/>
  <c r="K39" i="3"/>
  <c r="AJ90" i="3"/>
  <c r="AF90" i="3"/>
  <c r="AT90" i="3"/>
  <c r="AI90" i="3"/>
  <c r="P23" i="3"/>
  <c r="P33" i="3"/>
  <c r="K27" i="3"/>
  <c r="AG81" i="3"/>
  <c r="AF81" i="3"/>
  <c r="P16" i="3"/>
  <c r="AI80" i="3"/>
  <c r="AG80" i="3"/>
  <c r="P36" i="3"/>
  <c r="AT81" i="3"/>
  <c r="K16" i="3"/>
  <c r="AH84" i="3"/>
  <c r="AJ83" i="3"/>
  <c r="AL81" i="3"/>
  <c r="K12" i="3"/>
  <c r="K45" i="3"/>
  <c r="AJ81" i="3"/>
  <c r="AF83" i="3"/>
  <c r="AT85" i="3"/>
  <c r="AH85" i="3"/>
  <c r="AN89" i="3"/>
  <c r="K78" i="3"/>
  <c r="AH89" i="3"/>
  <c r="AI81" i="3"/>
  <c r="P11" i="3"/>
  <c r="P47" i="3"/>
  <c r="P12" i="3"/>
  <c r="K70" i="3"/>
  <c r="K10" i="3"/>
  <c r="P45" i="3"/>
  <c r="P77" i="3"/>
  <c r="P51" i="3"/>
  <c r="K77" i="3"/>
  <c r="K22" i="3"/>
  <c r="AN83" i="3"/>
  <c r="AH83" i="3"/>
  <c r="AL85" i="3"/>
  <c r="K47" i="3"/>
  <c r="K51" i="3"/>
  <c r="AJ89" i="3"/>
  <c r="AF89" i="3"/>
  <c r="P70" i="3"/>
  <c r="AT83" i="3"/>
  <c r="AI83" i="3"/>
  <c r="AN85" i="3"/>
  <c r="AG85" i="3"/>
  <c r="AL89" i="3"/>
  <c r="AG89" i="3"/>
  <c r="K11" i="3"/>
  <c r="P10" i="3"/>
  <c r="AL83" i="3"/>
  <c r="AG83" i="3"/>
  <c r="AI85" i="3"/>
  <c r="AT89" i="3"/>
  <c r="AI89" i="3"/>
  <c r="K30" i="3"/>
  <c r="P72" i="3"/>
  <c r="K71" i="3"/>
  <c r="AT80" i="3"/>
  <c r="K72" i="3"/>
  <c r="AL80" i="3"/>
  <c r="P18" i="3"/>
  <c r="K35" i="3"/>
  <c r="K9" i="3"/>
  <c r="P64" i="3"/>
  <c r="K29" i="3"/>
  <c r="K34" i="3"/>
  <c r="P66" i="3"/>
  <c r="AN86" i="3"/>
  <c r="AH86" i="3"/>
  <c r="AT91" i="3"/>
  <c r="AF84" i="3"/>
  <c r="AN84" i="3"/>
  <c r="AI82" i="3"/>
  <c r="AJ84" i="3"/>
  <c r="P35" i="3"/>
  <c r="AI91" i="3"/>
  <c r="P17" i="3"/>
  <c r="P9" i="3"/>
  <c r="P15" i="3"/>
  <c r="P40" i="3"/>
  <c r="K24" i="3"/>
  <c r="K66" i="3"/>
  <c r="K64" i="3"/>
  <c r="P29" i="3"/>
  <c r="K36" i="3"/>
  <c r="AT82" i="3"/>
  <c r="AH82" i="3"/>
  <c r="AT84" i="3"/>
  <c r="AI84" i="3"/>
  <c r="AL86" i="3"/>
  <c r="AG86" i="3"/>
  <c r="AN91" i="3"/>
  <c r="AH91" i="3"/>
  <c r="AN82" i="3"/>
  <c r="AG82" i="3"/>
  <c r="P24" i="3"/>
  <c r="AL91" i="3"/>
  <c r="AG91" i="3"/>
  <c r="K53" i="3"/>
  <c r="AJ86" i="3"/>
  <c r="AF86" i="3"/>
  <c r="AJ82" i="3"/>
  <c r="AF82" i="3"/>
  <c r="AL84" i="3"/>
  <c r="AG84" i="3"/>
  <c r="AT86" i="3"/>
  <c r="AI86" i="3"/>
  <c r="AJ91" i="3"/>
  <c r="AF91" i="3"/>
  <c r="P42" i="3"/>
  <c r="AJ85" i="3"/>
  <c r="AF85" i="3"/>
  <c r="AL87" i="3"/>
  <c r="K41" i="3"/>
  <c r="P27" i="3"/>
  <c r="K28" i="3"/>
  <c r="K17" i="3"/>
  <c r="K18" i="3"/>
  <c r="P46" i="3"/>
  <c r="K54" i="3"/>
  <c r="AN81" i="3"/>
  <c r="AH81" i="3"/>
  <c r="AG87" i="3"/>
  <c r="AT87" i="3"/>
  <c r="K40" i="3"/>
  <c r="P48" i="3"/>
  <c r="K46" i="3"/>
  <c r="P54" i="3"/>
  <c r="AN80" i="3"/>
  <c r="AH80" i="3"/>
  <c r="AJ80" i="3"/>
  <c r="AF80" i="3"/>
  <c r="K42" i="3"/>
  <c r="AH87" i="3"/>
  <c r="K48" i="3"/>
  <c r="AN87" i="3"/>
  <c r="AF87" i="3"/>
  <c r="K15" i="3"/>
  <c r="P52" i="3"/>
  <c r="AJ87" i="3"/>
  <c r="P53" i="3"/>
  <c r="K23" i="3"/>
  <c r="AL82" i="3"/>
  <c r="AI87" i="3"/>
  <c r="K52" i="3"/>
  <c r="AI92" i="3" l="1"/>
  <c r="AL92" i="3"/>
  <c r="AM88" i="3" s="1"/>
  <c r="AG92" i="3"/>
  <c r="AH92" i="3"/>
  <c r="AF92" i="3"/>
  <c r="AJ92" i="3"/>
  <c r="AN92" i="3"/>
  <c r="AS92" i="3"/>
  <c r="AM87" i="3" l="1"/>
  <c r="AM81" i="3"/>
  <c r="AM84" i="3"/>
  <c r="AM90" i="3"/>
  <c r="AM85" i="3"/>
  <c r="AM82" i="3"/>
  <c r="AM80" i="3"/>
  <c r="AM91" i="3"/>
  <c r="AM86" i="3"/>
  <c r="AM89" i="3"/>
  <c r="AM83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3" i="3" l="1"/>
  <c r="AP88" i="3"/>
  <c r="AP80" i="3"/>
  <c r="AP86" i="3"/>
  <c r="AP82" i="3"/>
  <c r="AP84" i="3"/>
  <c r="AP85" i="3"/>
  <c r="AP89" i="3"/>
  <c r="AP91" i="3"/>
  <c r="AP90" i="3"/>
  <c r="AP81" i="3"/>
  <c r="AD80" i="3" l="1"/>
  <c r="AR80" i="3" s="1"/>
  <c r="AD82" i="3"/>
  <c r="AS82" i="3" s="1"/>
  <c r="AD86" i="3"/>
  <c r="AS86" i="3" s="1"/>
  <c r="AD84" i="3"/>
  <c r="AS84" i="3" s="1"/>
  <c r="AD91" i="3"/>
  <c r="AS91" i="3" s="1"/>
  <c r="AD88" i="3"/>
  <c r="AS88" i="3" s="1"/>
  <c r="AD83" i="3"/>
  <c r="AS83" i="3" s="1"/>
  <c r="AD85" i="3"/>
  <c r="AS85" i="3" s="1"/>
  <c r="AD87" i="3"/>
  <c r="AS87" i="3" s="1"/>
  <c r="AD89" i="3"/>
  <c r="AS89" i="3" s="1"/>
  <c r="AD81" i="3"/>
  <c r="AS81" i="3" s="1"/>
  <c r="AD90" i="3"/>
  <c r="AS90" i="3" s="1"/>
  <c r="AS80" i="3" l="1"/>
  <c r="O92" i="3"/>
  <c r="L92" i="3"/>
  <c r="J92" i="3"/>
  <c r="M92" i="3"/>
  <c r="N92" i="3"/>
  <c r="M86" i="3"/>
  <c r="M89" i="3"/>
  <c r="N90" i="3"/>
  <c r="N87" i="3"/>
  <c r="M81" i="3"/>
  <c r="J81" i="3"/>
  <c r="J86" i="3"/>
  <c r="O86" i="3"/>
  <c r="L84" i="3"/>
  <c r="J90" i="3"/>
  <c r="L90" i="3"/>
  <c r="L86" i="3"/>
  <c r="O90" i="3"/>
  <c r="O83" i="3"/>
  <c r="O87" i="3"/>
  <c r="M85" i="3"/>
  <c r="O84" i="3"/>
  <c r="L87" i="3"/>
  <c r="O82" i="3"/>
  <c r="L91" i="3"/>
  <c r="N84" i="3"/>
  <c r="N89" i="3"/>
  <c r="N88" i="3"/>
  <c r="J83" i="3"/>
  <c r="O81" i="3"/>
  <c r="N91" i="3"/>
  <c r="J88" i="3"/>
  <c r="J87" i="3"/>
  <c r="O85" i="3"/>
  <c r="L85" i="3"/>
  <c r="M82" i="3"/>
  <c r="M84" i="3"/>
  <c r="M90" i="3"/>
  <c r="M83" i="3"/>
  <c r="L82" i="3"/>
  <c r="O88" i="3"/>
  <c r="L81" i="3"/>
  <c r="N82" i="3"/>
  <c r="N85" i="3"/>
  <c r="M87" i="3"/>
  <c r="J84" i="3"/>
  <c r="L89" i="3"/>
  <c r="P89" i="3" s="1"/>
  <c r="J91" i="3"/>
  <c r="N86" i="3"/>
  <c r="J82" i="3"/>
  <c r="N83" i="3"/>
  <c r="J89" i="3"/>
  <c r="O89" i="3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91" i="3"/>
  <c r="O91" i="3"/>
  <c r="N81" i="3"/>
  <c r="J85" i="3"/>
  <c r="L88" i="3"/>
  <c r="L83" i="3"/>
  <c r="M88" i="3"/>
  <c r="P82" i="3" l="1"/>
  <c r="P92" i="3"/>
  <c r="P81" i="3"/>
  <c r="P86" i="3"/>
  <c r="K92" i="3"/>
  <c r="K90" i="3"/>
  <c r="K84" i="3"/>
  <c r="P91" i="3"/>
  <c r="P88" i="3"/>
  <c r="K91" i="3"/>
  <c r="P85" i="3"/>
  <c r="P84" i="3"/>
  <c r="P90" i="3"/>
  <c r="K88" i="3"/>
  <c r="K86" i="3"/>
  <c r="K87" i="3"/>
  <c r="K89" i="3"/>
  <c r="K85" i="3"/>
  <c r="P83" i="3"/>
  <c r="K82" i="3"/>
  <c r="K81" i="3"/>
  <c r="P87" i="3"/>
  <c r="K3" i="4"/>
  <c r="G3" i="4"/>
  <c r="BL11" i="3" s="1"/>
  <c r="E3" i="4"/>
  <c r="K83" i="3"/>
  <c r="J3" i="4"/>
  <c r="H3" i="4"/>
  <c r="BL39" i="3" s="1"/>
  <c r="D3" i="4"/>
  <c r="B3" i="4"/>
  <c r="I3" i="4"/>
  <c r="BL15" i="3" s="1"/>
  <c r="BS53" i="3"/>
  <c r="BL55" i="3"/>
  <c r="BS52" i="3"/>
  <c r="BZ49" i="3" s="1"/>
  <c r="CG55" i="3" s="1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<sst xmlns="http://schemas.openxmlformats.org/spreadsheetml/2006/main" count="9785" uniqueCount="3699">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</sst>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29" Type="http://schemas.openxmlformats.org/officeDocument/2006/relationships/image" Target="../media/image29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K25" zoomScaleNormal="100" workbookViewId="0">
      <selection activeCell="CQ57" sqref="CQ57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1</v>
      </c>
      <c r="G7" s="15">
        <v>2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Mexico_lose</v>
      </c>
      <c r="T7" s="127" t="str">
        <f t="shared" ref="T7:T46" si="2">IF(S7="","",IF(F7&lt;G7,H7&amp;"_win",IF(F7&gt;G7,H7&amp;"_lose",H7&amp;"_draw")))</f>
        <v>South Africa_win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-1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0</v>
      </c>
      <c r="G8" s="20">
        <v>3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3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1</v>
      </c>
      <c r="AH8" s="123">
        <f>COUNTIF($S$7:$T$78,"=" &amp; AE8 &amp; "_lose")</f>
        <v>1</v>
      </c>
      <c r="AI8" s="123">
        <f>SUMIF($E$7:$E$78,$AE8,$F$7:$F$78) + SUMIF($H$7:$H$78,$AE8,$G$7:$G$78)</f>
        <v>4</v>
      </c>
      <c r="AJ8" s="123">
        <f>SUMIF($E$7:$E$78,$AE8,$G$7:$G$78) + SUMIF($H$7:$H$78,$AE8,$F$7:$F$78)</f>
        <v>3</v>
      </c>
      <c r="AL8" s="123">
        <f>AI8-AJ8</f>
        <v>1</v>
      </c>
      <c r="AM8" s="123">
        <f>AL8-AL12</f>
        <v>8</v>
      </c>
      <c r="AN8" s="123">
        <f>AF8*3+AG8</f>
        <v>4</v>
      </c>
      <c r="AO8" s="123">
        <f>AN8/AN12*10+BA8</f>
        <v>5</v>
      </c>
      <c r="AP8" s="123">
        <f>AO8*10000000+BI8*100+AM8/AM12*10+AI8/AI12*1++IF(AQ8=0,ROW(),AQ8)/2000000</f>
        <v>50000007.334173843</v>
      </c>
      <c r="AQ8" s="126">
        <f>VLOOKUP(AE8,db_fifarank,2,FALSE)</f>
        <v>1681.03</v>
      </c>
      <c r="AR8" s="125">
        <f>AP8/AP12</f>
        <v>0.5714285834060624</v>
      </c>
      <c r="AS8" s="125" t="str">
        <f>IF(SUM(AF8:AH11)=12,J9,"1A")</f>
        <v>Czech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Czech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5 - 1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1</v>
      </c>
      <c r="V9" s="123">
        <f t="shared" si="3"/>
        <v>1</v>
      </c>
      <c r="W9" s="123">
        <f t="shared" si="4"/>
        <v>1</v>
      </c>
      <c r="X9" s="123">
        <f t="shared" si="9"/>
        <v>1</v>
      </c>
      <c r="Y9" s="123">
        <f t="shared" si="10"/>
        <v>1</v>
      </c>
      <c r="Z9" s="123">
        <f t="shared" si="11"/>
        <v>1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2</v>
      </c>
      <c r="AE9" s="124" t="str">
        <f>VLOOKUP("South Africa",T,lang,FALSE)</f>
        <v>South Africa</v>
      </c>
      <c r="AF9" s="123">
        <f>COUNTIF($S$7:$T$78,"=" &amp; AE9 &amp; "_win")</f>
        <v>2</v>
      </c>
      <c r="AG9" s="123">
        <f>COUNTIF($S$7:$T$78,"=" &amp; AE9 &amp; "_draw")</f>
        <v>0</v>
      </c>
      <c r="AH9" s="123">
        <f>COUNTIF($S$7:$T$78,"=" &amp; AE9 &amp; "_lose")</f>
        <v>1</v>
      </c>
      <c r="AI9" s="123">
        <f>SUMIF($E$7:$E$78,$AE9,$F$7:$F$78) + SUMIF($H$7:$H$78,$AE9,$G$7:$G$78)</f>
        <v>4</v>
      </c>
      <c r="AJ9" s="123">
        <f>SUMIF($E$7:$E$78,$AE9,$G$7:$G$78) + SUMIF($H$7:$H$78,$AE9,$F$7:$F$78)</f>
        <v>2</v>
      </c>
      <c r="AL9" s="123">
        <f>AI9-AJ9</f>
        <v>2</v>
      </c>
      <c r="AM9" s="123">
        <f>AL9-AL12</f>
        <v>9</v>
      </c>
      <c r="AN9" s="123">
        <f>AF9*3+AG9</f>
        <v>6</v>
      </c>
      <c r="AO9" s="123">
        <f>AN9/AN12*10+BA9</f>
        <v>7.5</v>
      </c>
      <c r="AP9" s="123">
        <f>AO9*10000000+BI9*100+AM9/AM12*10+AI9/AI12*1++IF(AQ9=0,ROW(),AQ9)/2000000</f>
        <v>75000008.16738154</v>
      </c>
      <c r="AQ9" s="126">
        <f>VLOOKUP(AE9,db_fifarank,2,FALSE)</f>
        <v>1429.73</v>
      </c>
      <c r="AR9" s="125">
        <f>AP9/AP12</f>
        <v>0.85714284272190655</v>
      </c>
      <c r="AS9" s="125" t="str">
        <f>IF(SUM(AF8:AH11)=12,J10,"2A")</f>
        <v>South Africa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South Africa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4 - 2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0</v>
      </c>
      <c r="AH10" s="123">
        <f>COUNTIF($S$7:$T$78,"=" &amp; AE10 &amp; "_lose")</f>
        <v>3</v>
      </c>
      <c r="AI10" s="123">
        <f>SUMIF($E$7:$E$78,$AE10,$F$7:$F$78) + SUMIF($H$7:$H$78,$AE10,$G$7:$G$78)</f>
        <v>0</v>
      </c>
      <c r="AJ10" s="123">
        <f>SUMIF($E$7:$E$78,$AE10,$G$7:$G$78) + SUMIF($H$7:$H$78,$AE10,$F$7:$F$78)</f>
        <v>7</v>
      </c>
      <c r="AL10" s="123">
        <f>AI10-AJ10</f>
        <v>-7</v>
      </c>
      <c r="AM10" s="123">
        <f>AL10-AL12</f>
        <v>0</v>
      </c>
      <c r="AN10" s="123">
        <f>AF10*3+AG10</f>
        <v>0</v>
      </c>
      <c r="AO10" s="123">
        <f>AN10/AN12*10+BA10</f>
        <v>0</v>
      </c>
      <c r="AP10" s="123">
        <f>AO10*10000000+BI10*100+AM10/AM12*10+AI10/AI12*1++IF(AQ10=0,ROW(),AQ10)/2000000</f>
        <v>7.9432999999999999E-4</v>
      </c>
      <c r="AQ10" s="126">
        <f>VLOOKUP(AE10,db_fifarank,2,FALSE)</f>
        <v>1588.66</v>
      </c>
      <c r="AR10" s="125">
        <f>AP10/AP12</f>
        <v>9.0780560015379338E-12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2</v>
      </c>
      <c r="BN10" s="63">
        <v>0</v>
      </c>
      <c r="BO10" s="25">
        <v>3</v>
      </c>
      <c r="BP10" s="112">
        <f>IF(OR(BM10="",BM11="",AND(BN10="",BN11&lt;&gt;""),AND(BN11="",BN10&lt;&gt;""),AND(BO10="",BO11&lt;&gt;""),AND(BO11="",BO10&lt;&gt;"")),"",BM10*1000+BN10*10+BO10)</f>
        <v>2003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Mexico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4 - 3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1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1</v>
      </c>
      <c r="AH11" s="123">
        <f>COUNTIF($S$7:$T$78,"=" &amp; AE11 &amp; "_lose")</f>
        <v>0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1</v>
      </c>
      <c r="AL11" s="123">
        <f>AI11-AJ11</f>
        <v>4</v>
      </c>
      <c r="AM11" s="123">
        <f>AL11-AL12</f>
        <v>11</v>
      </c>
      <c r="AN11" s="123">
        <f>AF11*3+AG11</f>
        <v>7</v>
      </c>
      <c r="AO11" s="123">
        <f>AN11/AN12*10+BA11</f>
        <v>8.75</v>
      </c>
      <c r="AP11" s="123">
        <f>AO11*10000000+BI11*100+AM11/AM12*10+AI11/AI12*1++IF(AQ11=0,ROW(),AQ11)/2000000</f>
        <v>87500010.000750691</v>
      </c>
      <c r="AQ11" s="126">
        <f>VLOOKUP(AE11,db_fifarank,2,FALSE)</f>
        <v>1501.38</v>
      </c>
      <c r="AR11" s="125">
        <f>AP11/AP12</f>
        <v>0.99999998857143002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3rd Group A/B/C/D/F</v>
      </c>
      <c r="BM11" s="62">
        <v>1</v>
      </c>
      <c r="BN11" s="64">
        <v>1</v>
      </c>
      <c r="BO11" s="27">
        <v>1</v>
      </c>
      <c r="BP11" s="113">
        <f>IF(BP10="","",BM11*1000+BN11*10+BO11)</f>
        <v>1011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2</v>
      </c>
      <c r="G12" s="20">
        <v>1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0 - 7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Australia_win</v>
      </c>
      <c r="T12" s="127" t="str">
        <f t="shared" si="2"/>
        <v>Turkey_lose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6</v>
      </c>
      <c r="AL12" s="123">
        <f>MIN(AL8:AL11)</f>
        <v>-7</v>
      </c>
      <c r="AM12" s="123">
        <f>MAX(AM8:AM11)+1</f>
        <v>12</v>
      </c>
      <c r="AN12" s="123">
        <f>MAX(AN8:AN11)+1</f>
        <v>8</v>
      </c>
      <c r="AO12" s="123">
        <f>MAX(AO8:AO11)+1</f>
        <v>9.75</v>
      </c>
      <c r="AP12" s="123">
        <f>MAX(AP8:AP11)+1</f>
        <v>87500011.000750691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>
        <v>2</v>
      </c>
      <c r="BV12" s="25">
        <v>0</v>
      </c>
      <c r="BW12" s="112">
        <f>IF(OR(BT12="",BT13="",AND(BU12="",BU13&lt;&gt;""),AND(BU13="",BU12&lt;&gt;""),AND(BV12="",BV13&lt;&gt;""),AND(BV13="",BV12&lt;&gt;"")),"",BT12*1000+BU12*10+BV12)</f>
        <v>1020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1</v>
      </c>
      <c r="BU13" s="64">
        <v>1</v>
      </c>
      <c r="BV13" s="27">
        <v>0</v>
      </c>
      <c r="BW13" s="113">
        <f>IF(BW12="","",BT13*1000+BU13*10+BV13)</f>
        <v>1010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2</v>
      </c>
      <c r="AH14" s="123">
        <f>COUNTIF($S$7:$T$78,"=" &amp; AE14 &amp; "_lose")</f>
        <v>1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4</v>
      </c>
      <c r="AL14" s="123">
        <f>AI14-AJ14</f>
        <v>-1</v>
      </c>
      <c r="AM14" s="123">
        <f>AL14-AL18</f>
        <v>1</v>
      </c>
      <c r="AN14" s="123">
        <f>AF14*3+AG14</f>
        <v>2</v>
      </c>
      <c r="AO14" s="123">
        <f>AN14/AN18*10+BA14</f>
        <v>2.9853658536585366</v>
      </c>
      <c r="AP14" s="123">
        <f>AO14*10000000+BI14*100+AM14/AM18*10+AI14/AI18*1++IF(AQ14=0,ROW(),AQ14)/2000000</f>
        <v>29853758.931091826</v>
      </c>
      <c r="AQ14" s="126">
        <f>VLOOKUP(AE14,db_fifarank,2,FALSE)</f>
        <v>1556.48</v>
      </c>
      <c r="AR14" s="125">
        <f>AP14/AP18</f>
        <v>0.33170839412859543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2</v>
      </c>
      <c r="AV14" s="126" cm="1">
        <f t="array" ref="AV14">SUMPRODUCT(($E$7:$E$78=AE14)*($U$7:$U$78)*($F$7:$F$78))+SUMPRODUCT(($H$7:$H$78=AE14)*($U$7:$U$78)*($G$7:$G$78))</f>
        <v>2</v>
      </c>
      <c r="AW14" s="126" cm="1">
        <f t="array" ref="AW14">SUMPRODUCT(($E$7:$E$78=AE14)*($U$7:$U$78)*($G$7:$G$78))+SUMPRODUCT(($H$7:$H$78=AE14)*($U$7:$U$78)*($F$7:$F$78))</f>
        <v>2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67.333333333333329</v>
      </c>
      <c r="BA14" s="126">
        <f>AZ14/AZ18</f>
        <v>0.98536585365853657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2</v>
      </c>
      <c r="BD14" s="126" cm="1">
        <f t="array" ref="BD14">SUMPRODUCT(($E$7:$E$78=AE14)*($X$7:$X$78)*($F$7:$F$78))+SUMPRODUCT(($H$7:$H$78=AE14)*($X$7:$X$78)*($G$7:$G$78))</f>
        <v>2</v>
      </c>
      <c r="BE14" s="126" cm="1">
        <f t="array" ref="BE14">SUMPRODUCT(($E$7:$E$78=AE14)*($X$7:$X$78)*($G$7:$G$78))+SUMPRODUCT(($H$7:$H$78=AE14)*($X$7:$X$78)*($F$7:$F$78))</f>
        <v>2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67.333333333333329</v>
      </c>
      <c r="BI14" s="126">
        <f>BH14/BH18</f>
        <v>0.98536585365853657</v>
      </c>
      <c r="BK14" s="141">
        <v>77</v>
      </c>
      <c r="BL14" s="24" t="str">
        <f>AS56</f>
        <v>France</v>
      </c>
      <c r="BM14" s="61">
        <v>2</v>
      </c>
      <c r="BN14" s="63">
        <v>1</v>
      </c>
      <c r="BO14" s="25">
        <v>1</v>
      </c>
      <c r="BP14" s="116">
        <f>IF(OR(BM14="",BM15="",AND(BN14="",BN15&lt;&gt;""),AND(BN15="",BN14&lt;&gt;""),AND(BO14="",BO15&lt;&gt;""),AND(BO15="",BO14&lt;&gt;"")),"",BM14*1000+BN14*10+BO14)</f>
        <v>2011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3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2</v>
      </c>
      <c r="AH15" s="123">
        <f>COUNTIF($S$7:$T$78,"=" &amp; AE15 &amp; "_lose")</f>
        <v>1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4</v>
      </c>
      <c r="AL15" s="123">
        <f>AI15-AJ15</f>
        <v>-1</v>
      </c>
      <c r="AM15" s="123">
        <f>AL15-AL18</f>
        <v>1</v>
      </c>
      <c r="AN15" s="123">
        <f>AF15*3+AG15</f>
        <v>2</v>
      </c>
      <c r="AO15" s="123">
        <f>AN15/AN18*10+BA15</f>
        <v>2.9853658536585366</v>
      </c>
      <c r="AP15" s="123">
        <f>AO15*10000000+BI15*100+AM15/AM18*10+AI15/AI18*1++IF(AQ15=0,ROW(),AQ15)/2000000</f>
        <v>29853758.931006506</v>
      </c>
      <c r="AQ15" s="126">
        <f>VLOOKUP(AE15,db_fifarank,2,FALSE)</f>
        <v>1385.84</v>
      </c>
      <c r="AR15" s="125">
        <f>AP15/AP18</f>
        <v>0.33170839412764741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2</v>
      </c>
      <c r="AV15" s="126" cm="1">
        <f t="array" ref="AV15">SUMPRODUCT(($E$7:$E$78=AE15)*($U$7:$U$78)*($F$7:$F$78))+SUMPRODUCT(($H$7:$H$78=AE15)*($U$7:$U$78)*($G$7:$G$78))</f>
        <v>2</v>
      </c>
      <c r="AW15" s="126" cm="1">
        <f t="array" ref="AW15">SUMPRODUCT(($E$7:$E$78=AE15)*($U$7:$U$78)*($G$7:$G$78))+SUMPRODUCT(($H$7:$H$78=AE15)*($U$7:$U$78)*($F$7:$F$78))</f>
        <v>2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67.333333333333329</v>
      </c>
      <c r="BA15" s="126">
        <f>AZ15/AZ18</f>
        <v>0.98536585365853657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2</v>
      </c>
      <c r="BD15" s="126" cm="1">
        <f t="array" ref="BD15">SUMPRODUCT(($E$7:$E$78=AE15)*($X$7:$X$78)*($F$7:$F$78))+SUMPRODUCT(($H$7:$H$78=AE15)*($X$7:$X$78)*($G$7:$G$78))</f>
        <v>2</v>
      </c>
      <c r="BE15" s="126" cm="1">
        <f t="array" ref="BE15">SUMPRODUCT(($E$7:$E$78=AE15)*($X$7:$X$78)*($G$7:$G$78))+SUMPRODUCT(($H$7:$H$78=AE15)*($X$7:$X$78)*($F$7:$F$78))</f>
        <v>2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67.333333333333329</v>
      </c>
      <c r="BI15" s="126">
        <f>BH15/BH18</f>
        <v>0.98536585365853657</v>
      </c>
      <c r="BK15" s="142"/>
      <c r="BL15" s="26" t="str">
        <f>IF(group_round_completed,VLOOKUP('3rd places'!I3,AK80:AS91,9,FALSE),"3rd Group C/D/F/G/H")</f>
        <v>3rd Group C/D/F/G/H</v>
      </c>
      <c r="BM15" s="62">
        <v>1</v>
      </c>
      <c r="BN15" s="64">
        <v>1</v>
      </c>
      <c r="BO15" s="27">
        <v>1</v>
      </c>
      <c r="BP15" s="112">
        <f>IF(BP14="","",BM15*1000+BN15*10+BO15)</f>
        <v>1011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0</v>
      </c>
      <c r="M16" s="23">
        <f>VLOOKUP(2,AD14:AN17,4,FALSE)</f>
        <v>2</v>
      </c>
      <c r="N16" s="23">
        <f>VLOOKUP(2,AD14:AN17,5,FALSE)</f>
        <v>1</v>
      </c>
      <c r="O16" s="23" t="str">
        <f>VLOOKUP(2,AD14:AN17,6,FALSE) &amp; " - " &amp; VLOOKUP(2,AD14:AN17,7,FALSE)</f>
        <v>3 - 4</v>
      </c>
      <c r="P16" s="34">
        <f>L16*3+M16</f>
        <v>2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2</v>
      </c>
      <c r="AH16" s="123">
        <f>COUNTIF($S$7:$T$78,"=" &amp; AE16 &amp; "_lose")</f>
        <v>1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4</v>
      </c>
      <c r="AL16" s="123">
        <f>AI16-AJ16</f>
        <v>-2</v>
      </c>
      <c r="AM16" s="123">
        <f>AL16-AL18</f>
        <v>0</v>
      </c>
      <c r="AN16" s="123">
        <f>AF16*3+AG16</f>
        <v>2</v>
      </c>
      <c r="AO16" s="123">
        <f>AN16/AN18*10+BA16</f>
        <v>2.9853658536585366</v>
      </c>
      <c r="AP16" s="123">
        <f>AO16*10000000+BI16*100+AM16/AM18*10+AI16/AI18*1++IF(AQ16=0,ROW(),AQ16)/2000000</f>
        <v>29853757.359612495</v>
      </c>
      <c r="AQ16" s="126">
        <f>VLOOKUP(AE16,db_fifarank,2,FALSE)</f>
        <v>1454.96</v>
      </c>
      <c r="AR16" s="125">
        <f>AP16/AP18</f>
        <v>0.33170837666771597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2</v>
      </c>
      <c r="AV16" s="126" cm="1">
        <f t="array" ref="AV16">SUMPRODUCT(($E$7:$E$78=AE16)*($U$7:$U$78)*($F$7:$F$78))+SUMPRODUCT(($H$7:$H$78=AE16)*($U$7:$U$78)*($G$7:$G$78))</f>
        <v>2</v>
      </c>
      <c r="AW16" s="126" cm="1">
        <f t="array" ref="AW16">SUMPRODUCT(($E$7:$E$78=AE16)*($U$7:$U$78)*($G$7:$G$78))+SUMPRODUCT(($H$7:$H$78=AE16)*($U$7:$U$78)*($F$7:$F$78))</f>
        <v>2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67.333333333333329</v>
      </c>
      <c r="BA16" s="126">
        <f>AZ16/AZ18</f>
        <v>0.98536585365853657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2</v>
      </c>
      <c r="BD16" s="126" cm="1">
        <f t="array" ref="BD16">SUMPRODUCT(($E$7:$E$78=AE16)*($X$7:$X$78)*($F$7:$F$78))+SUMPRODUCT(($H$7:$H$78=AE16)*($X$7:$X$78)*($G$7:$G$78))</f>
        <v>2</v>
      </c>
      <c r="BE16" s="126" cm="1">
        <f t="array" ref="BE16">SUMPRODUCT(($E$7:$E$78=AE16)*($X$7:$X$78)*($G$7:$G$78))+SUMPRODUCT(($H$7:$H$78=AE16)*($X$7:$X$78)*($F$7:$F$78))</f>
        <v>2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67.333333333333329</v>
      </c>
      <c r="BI16" s="126">
        <f>BH16/BH18</f>
        <v>0.98536585365853657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Germany</v>
      </c>
      <c r="CA16" s="61">
        <v>1</v>
      </c>
      <c r="CB16" s="63">
        <v>1</v>
      </c>
      <c r="CC16" s="25">
        <v>1</v>
      </c>
      <c r="CD16" s="112">
        <f>IF(OR(CA16="",CA17="",AND(CB16="",CB17&lt;&gt;""),AND(CB17="",CB16&lt;&gt;""),AND(CC16="",CC17&lt;&gt;""),AND(CC17="",CC16&lt;&gt;"")),"",CA16*1000+CB16*10+CC16)</f>
        <v>1011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3 - 4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6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90000009.429396123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0</v>
      </c>
      <c r="CB17" s="64">
        <v>1</v>
      </c>
      <c r="CC17" s="27">
        <v>1</v>
      </c>
      <c r="CD17" s="113">
        <f>IF(CD16="","",CA17*1000+CB17*10+CC17)</f>
        <v>11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3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2</v>
      </c>
      <c r="N18" s="36">
        <f>VLOOKUP(4,AD14:AN17,5,FALSE)</f>
        <v>1</v>
      </c>
      <c r="O18" s="36" t="str">
        <f>VLOOKUP(4,AD14:AN17,6,FALSE) &amp; " - " &amp; VLOOKUP(4,AD14:AN17,7,FALSE)</f>
        <v>2 - 4</v>
      </c>
      <c r="P18" s="37">
        <f>L18*3+M18</f>
        <v>2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3</v>
      </c>
      <c r="AH18" s="123">
        <f t="shared" si="13"/>
        <v>2</v>
      </c>
      <c r="AI18" s="123">
        <f>MAX(AI14:AI17)+1</f>
        <v>7</v>
      </c>
      <c r="AL18" s="123">
        <f>MIN(AL14:AL17)</f>
        <v>-2</v>
      </c>
      <c r="AM18" s="123">
        <f>MAX(AM14:AM17)+1</f>
        <v>7</v>
      </c>
      <c r="AN18" s="123">
        <f>MAX(AN14:AN17)+1</f>
        <v>10</v>
      </c>
      <c r="AO18" s="123">
        <f>MAX(AO14:AO17)+1</f>
        <v>10</v>
      </c>
      <c r="AP18" s="123">
        <f>MAX(AP14:AP17)+1</f>
        <v>90000010.429396123</v>
      </c>
      <c r="AT18" s="126">
        <f>MAX(AT14:AT17)-MIN(AT14:AT17)+1</f>
        <v>1</v>
      </c>
      <c r="AU18" s="126">
        <f>MAX(AU14:AU17)-MIN(AU14:AU17)+1</f>
        <v>3</v>
      </c>
      <c r="AV18" s="126">
        <f>MAX(AV14:AV17)-MIN(AV14:AV17)+1</f>
        <v>3</v>
      </c>
      <c r="AW18" s="126">
        <f>MAX(AW14:AW17)-MIN(AW14:AW17)+1</f>
        <v>3</v>
      </c>
      <c r="AY18" s="126">
        <f>MAX(AY14:AY17)-MIN(AY14:AY17)+1</f>
        <v>1</v>
      </c>
      <c r="AZ18" s="126">
        <f>MAX(AZ14:AZ17)+1</f>
        <v>68.333333333333329</v>
      </c>
      <c r="BB18" s="126">
        <f>MAX(BB14:BB17)-MIN(BB14:BB17)+1</f>
        <v>1</v>
      </c>
      <c r="BC18" s="126">
        <f>MAX(BC14:BC17)-MIN(BC14:BC17)+1</f>
        <v>3</v>
      </c>
      <c r="BD18" s="126">
        <f>MAX(BD14:BD17)-MIN(BD14:BD17)+1</f>
        <v>3</v>
      </c>
      <c r="BE18" s="126">
        <f>MAX(BE14:BE17)-MIN(BE14:BE17)+1</f>
        <v>3</v>
      </c>
      <c r="BG18" s="126">
        <f>MAX(BG14:BG17)-MIN(BG14:BG17)+1</f>
        <v>1</v>
      </c>
      <c r="BH18" s="126">
        <f>MAX(BH14:BH17)+1</f>
        <v>68.333333333333329</v>
      </c>
      <c r="BK18" s="141">
        <v>73</v>
      </c>
      <c r="BL18" s="24" t="str">
        <f>AS9</f>
        <v>South Africa</v>
      </c>
      <c r="BM18" s="61">
        <v>2</v>
      </c>
      <c r="BN18" s="63">
        <v>1</v>
      </c>
      <c r="BO18" s="25">
        <v>1</v>
      </c>
      <c r="BP18" s="112">
        <f>IF(OR(BM18="",BM19="",AND(BN18="",BN19&lt;&gt;""),AND(BN19="",BN18&lt;&gt;""),AND(BO18="",BO19&lt;&gt;""),AND(BO19="",BO18&lt;&gt;"")),"",BM18*1000+BN18*10+BO18)</f>
        <v>2011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1</v>
      </c>
      <c r="BN19" s="64">
        <v>2</v>
      </c>
      <c r="BO19" s="27">
        <v>2</v>
      </c>
      <c r="BP19" s="113">
        <f>IF(BP18="","",BM19*1000+BN19*10+BO19)</f>
        <v>1022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2</v>
      </c>
      <c r="AL20" s="123">
        <f>AI20-AJ20</f>
        <v>4</v>
      </c>
      <c r="AM20" s="123">
        <f>AL20-AL24</f>
        <v>9</v>
      </c>
      <c r="AN20" s="123">
        <f>AF20*3+AG20</f>
        <v>6</v>
      </c>
      <c r="AO20" s="123">
        <f>AN20/AN24*10+BA20</f>
        <v>8.5714285714285712</v>
      </c>
      <c r="AP20" s="123">
        <f>AO20*10000000+BI20*100+AM20/AM24*10+AI20/AI24*1++IF(AQ20=0,ROW(),AQ20)/2000000</f>
        <v>85714295.572309151</v>
      </c>
      <c r="AQ20" s="126">
        <f>VLOOKUP(AE20,db_fifarank,2,FALSE)</f>
        <v>1761.16</v>
      </c>
      <c r="AR20" s="125">
        <f>AP20/AP24</f>
        <v>0.99999998833333481</v>
      </c>
      <c r="AS20" s="125" t="str">
        <f>IF(SUM(AF20:AH23)=12,J21,"1C")</f>
        <v>1C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South Africa</v>
      </c>
      <c r="BT20" s="61">
        <v>1</v>
      </c>
      <c r="BU20" s="63">
        <v>2</v>
      </c>
      <c r="BV20" s="25">
        <v>1</v>
      </c>
      <c r="BW20" s="116">
        <f>IF(OR(BT20="",BT21="",AND(BU20="",BU21&lt;&gt;""),AND(BU21="",BU20&lt;&gt;""),AND(BV20="",BV21&lt;&gt;""),AND(BV21="",BV20&lt;&gt;"")),"",BT20*1000+BU20*10+BV20)</f>
        <v>1021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2</v>
      </c>
      <c r="L21" s="31">
        <f>VLOOKUP(1,AD20:AN23,3,FALSE)</f>
        <v>2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6 - 2</v>
      </c>
      <c r="P21" s="32">
        <f>L21*3+M21</f>
        <v>6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3</v>
      </c>
      <c r="AL21" s="123">
        <f>AI21-AJ21</f>
        <v>1</v>
      </c>
      <c r="AM21" s="123">
        <f>AL21-AL24</f>
        <v>6</v>
      </c>
      <c r="AN21" s="123">
        <f>AF21*3+AG21</f>
        <v>4</v>
      </c>
      <c r="AO21" s="123">
        <f>AN21/AN24*10+BA21</f>
        <v>6.6948682385575582</v>
      </c>
      <c r="AP21" s="123">
        <f>AO21*10000000+BI21*100+AM21/AM24*10+AI21/AI24*1++IF(AQ21=0,ROW(),AQ21)/2000000</f>
        <v>66948787.016134515</v>
      </c>
      <c r="AQ21" s="126">
        <f>VLOOKUP(AE21,db_fifarank,2,FALSE)</f>
        <v>1755.87</v>
      </c>
      <c r="AR21" s="125">
        <f>AP21/AP24</f>
        <v>0.78106908291146127</v>
      </c>
      <c r="AS21" s="125" t="str">
        <f>IF(SUM(AF20:AH23)=12,J22,"2C")</f>
        <v>2C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Netherlands</v>
      </c>
      <c r="BT21" s="62">
        <v>1</v>
      </c>
      <c r="BU21" s="64">
        <v>2</v>
      </c>
      <c r="BV21" s="27">
        <v>2</v>
      </c>
      <c r="BW21" s="112">
        <f>IF(BW20="","",BT21*1000+BU21*10+BV21)</f>
        <v>1022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4 - 3</v>
      </c>
      <c r="P22" s="34">
        <f>L22*3+M22</f>
        <v>4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2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5</v>
      </c>
      <c r="AL22" s="123">
        <f>AI22-AJ22</f>
        <v>-5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7.5349740454925435E-12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>
        <v>1</v>
      </c>
      <c r="BO22" s="25">
        <v>0</v>
      </c>
      <c r="BP22" s="116">
        <f>IF(OR(BM22="",BM23="",AND(BN22="",BN23&lt;&gt;""),AND(BN23="",BN22&lt;&gt;""),AND(BO22="",BO23&lt;&gt;""),AND(BO23="",BO22&lt;&gt;"")),"",BM22*1000+BN22*10+BO22)</f>
        <v>2010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3 - 3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3</v>
      </c>
      <c r="AL23" s="123">
        <f>AI23-AJ23</f>
        <v>0</v>
      </c>
      <c r="AM23" s="123">
        <f>AL23-AL24</f>
        <v>5</v>
      </c>
      <c r="AN23" s="123">
        <f>AF23*3+AG23</f>
        <v>4</v>
      </c>
      <c r="AO23" s="123">
        <f>AN23/AN24*10+BA23</f>
        <v>6.6948682385575582</v>
      </c>
      <c r="AP23" s="123">
        <f>AO23*10000000+BI23*100+AM23/AM24*10+AI23/AI24*1++IF(AQ23=0,ROW(),AQ23)/2000000</f>
        <v>66948785.873148613</v>
      </c>
      <c r="AQ23" s="126">
        <f>VLOOKUP(AE23,db_fifarank,2,FALSE)</f>
        <v>1498.35</v>
      </c>
      <c r="AR23" s="125">
        <f>AP23/AP24</f>
        <v>0.78106906957662736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42"/>
      <c r="BL23" s="26" t="str">
        <f>AS21</f>
        <v>2C</v>
      </c>
      <c r="BM23" s="62">
        <v>0</v>
      </c>
      <c r="BN23" s="64">
        <v>1</v>
      </c>
      <c r="BO23" s="27">
        <v>0</v>
      </c>
      <c r="BP23" s="112">
        <f>IF(BP22="","",BM23*1000+BN23*10+BO23)</f>
        <v>10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Germany</v>
      </c>
      <c r="CH23" s="61">
        <v>1</v>
      </c>
      <c r="CI23" s="63">
        <v>0</v>
      </c>
      <c r="CJ23" s="25">
        <v>1</v>
      </c>
      <c r="CK23" s="112">
        <f>IF(OR(CH23="",CH24="",AND(CI23="",CI24&lt;&gt;""),AND(CI24="",CI23&lt;&gt;""),AND(CJ23="",CJ24&lt;&gt;""),AND(CJ24="",CJ23&lt;&gt;"")),"",CH23*1000+CI23*10+CJ23)</f>
        <v>1001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2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2</v>
      </c>
      <c r="O24" s="36" t="str">
        <f>VLOOKUP(4,AD20:AN23,6,FALSE) &amp; " - " &amp; VLOOKUP(4,AD20:AN23,7,FALSE)</f>
        <v>0 - 5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3</v>
      </c>
      <c r="AI24" s="123">
        <f>MAX(AI20:AI23)+1</f>
        <v>7</v>
      </c>
      <c r="AL24" s="123">
        <f>MIN(AL20:AL23)</f>
        <v>-5</v>
      </c>
      <c r="AM24" s="123">
        <f>MAX(AM20:AM23)+1</f>
        <v>10</v>
      </c>
      <c r="AN24" s="123">
        <f>MAX(AN20:AN23)+1</f>
        <v>7</v>
      </c>
      <c r="AO24" s="123">
        <f>MAX(AO20:AO23)+1</f>
        <v>9.5714285714285712</v>
      </c>
      <c r="AP24" s="123">
        <f>MAX(AP20:AP23)+1</f>
        <v>85714296.572309151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>
        <v>1</v>
      </c>
      <c r="CJ24" s="27">
        <v>2</v>
      </c>
      <c r="CK24" s="113">
        <f>IF(CK23="","",CH24*1000+CI24*10+CJ24)</f>
        <v>2012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2</v>
      </c>
      <c r="AL26" s="123">
        <f>AI26-AJ26</f>
        <v>2</v>
      </c>
      <c r="AM26" s="123">
        <f>AL26-AL30</f>
        <v>3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87500008.300836563</v>
      </c>
      <c r="AQ26" s="126">
        <f>VLOOKUP(AE26,db_fifarank,2,FALSE)</f>
        <v>1673.13</v>
      </c>
      <c r="AR26" s="125">
        <f>AP26/AP30</f>
        <v>0.9999999885714298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>
        <v>0</v>
      </c>
      <c r="BO26" s="25">
        <v>0</v>
      </c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2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4 - 2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3</v>
      </c>
      <c r="AL27" s="123">
        <f>AI27-AJ27</f>
        <v>0</v>
      </c>
      <c r="AM27" s="123">
        <f>AL27-AL30</f>
        <v>1</v>
      </c>
      <c r="AN27" s="123">
        <f>AF27*3+AG27</f>
        <v>4</v>
      </c>
      <c r="AO27" s="123">
        <f>AN27/AN30*10+BA27</f>
        <v>5</v>
      </c>
      <c r="AP27" s="123">
        <f>AO27*10000000+BI27*100+AM27/AM30*10+AI27/AI30*1++IF(AQ27=0,ROW(),AQ27)/2000000</f>
        <v>50000003.10075175</v>
      </c>
      <c r="AQ27" s="126">
        <f>VLOOKUP(AE27,db_fifarank,2,FALSE)</f>
        <v>1503.5</v>
      </c>
      <c r="AR27" s="125">
        <f>AP27/AP30</f>
        <v>0.57142854612557981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1</v>
      </c>
      <c r="BN27" s="64">
        <v>0</v>
      </c>
      <c r="BO27" s="27">
        <v>1</v>
      </c>
      <c r="BP27" s="113">
        <f>IF(BP26="","",BM27*1000+BN27*10+BO27)</f>
        <v>1001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3 - 3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4</v>
      </c>
      <c r="AL28" s="123">
        <f>AI28-AJ28</f>
        <v>-1</v>
      </c>
      <c r="AM28" s="123">
        <f>AL28-AL30</f>
        <v>0</v>
      </c>
      <c r="AN28" s="123">
        <f>AF28*3+AG28</f>
        <v>3</v>
      </c>
      <c r="AO28" s="123">
        <f>AN28/AN30*10+BA28</f>
        <v>3.75</v>
      </c>
      <c r="AP28" s="123">
        <f>AO28*10000000+BI28*100+AM28/AM30*10+AI28/AI30*1++IF(AQ28=0,ROW(),AQ28)/2000000</f>
        <v>37500000.600790337</v>
      </c>
      <c r="AQ28" s="126">
        <f>VLOOKUP(AE28,db_fifarank,2,FALSE)</f>
        <v>1580.67</v>
      </c>
      <c r="AR28" s="125">
        <f>AP28/AP30</f>
        <v>0.42857138988249011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1</v>
      </c>
      <c r="BU28" s="63">
        <v>1</v>
      </c>
      <c r="BV28" s="25">
        <v>0</v>
      </c>
      <c r="BW28" s="112">
        <f>IF(OR(BT28="",BT29="",AND(BU28="",BU29&lt;&gt;""),AND(BU29="",BU28&lt;&gt;""),AND(BV28="",BV29&lt;&gt;""),AND(BV29="",BV28&lt;&gt;"")),"",BT28*1000+BU28*10+BV28)</f>
        <v>1010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3 - 4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4</v>
      </c>
      <c r="AE29" s="124" t="str">
        <f>VLOOKUP("Turkey",T,lang,FALSE)</f>
        <v>Turkey</v>
      </c>
      <c r="AF29" s="123">
        <f>COUNTIF($S$7:$T$78,"=" &amp; AE29 &amp; "_win")</f>
        <v>0</v>
      </c>
      <c r="AG29" s="123">
        <f>COUNTIF($S$7:$T$78,"=" &amp; AE29 &amp; "_draw")</f>
        <v>2</v>
      </c>
      <c r="AH29" s="123">
        <f>COUNTIF($S$7:$T$78,"=" &amp; AE29 &amp; "_lose")</f>
        <v>1</v>
      </c>
      <c r="AI29" s="123">
        <f>SUMIF($E$7:$E$78,$AE29,$F$7:$F$78) + SUMIF($H$7:$H$78,$AE29,$G$7:$G$78)</f>
        <v>2</v>
      </c>
      <c r="AJ29" s="123">
        <f>SUMIF($E$7:$E$78,$AE29,$G$7:$G$78) + SUMIF($H$7:$H$78,$AE29,$F$7:$F$78)</f>
        <v>3</v>
      </c>
      <c r="AL29" s="123">
        <f>AI29-AJ29</f>
        <v>-1</v>
      </c>
      <c r="AM29" s="123">
        <f>AL29-AL30</f>
        <v>0</v>
      </c>
      <c r="AN29" s="123">
        <f>AF29*3+AG29</f>
        <v>2</v>
      </c>
      <c r="AO29" s="123">
        <f>AN29/AN30*10+BA29</f>
        <v>2.5</v>
      </c>
      <c r="AP29" s="123">
        <f>AO29*10000000+BI29*100+AM29/AM30*10+AI29/AI30*1++IF(AQ29=0,ROW(),AQ29)/2000000</f>
        <v>25000000.40079952</v>
      </c>
      <c r="AQ29" s="126">
        <f>VLOOKUP(AE29,db_fifarank,2,FALSE)</f>
        <v>1599.04</v>
      </c>
      <c r="AR29" s="125">
        <f>AP29/AP30</f>
        <v>0.28571425992477584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2</v>
      </c>
      <c r="BU29" s="64">
        <v>1</v>
      </c>
      <c r="BV29" s="27">
        <v>1</v>
      </c>
      <c r="BW29" s="113">
        <f>IF(BW28="","",BT29*1000+BU29*10+BV29)</f>
        <v>2011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Turkey</v>
      </c>
      <c r="K30" s="36">
        <f>L30+M30+N30</f>
        <v>3</v>
      </c>
      <c r="L30" s="36">
        <f>VLOOKUP(4,AD26:AN29,3,FALSE)</f>
        <v>0</v>
      </c>
      <c r="M30" s="36">
        <f>VLOOKUP(4,AD26:AN29,4,FALSE)</f>
        <v>2</v>
      </c>
      <c r="N30" s="36">
        <f>VLOOKUP(4,AD26:AN29,5,FALSE)</f>
        <v>1</v>
      </c>
      <c r="O30" s="36" t="str">
        <f>VLOOKUP(4,AD26:AN29,6,FALSE) &amp; " - " &amp; VLOOKUP(4,AD26:AN29,7,FALSE)</f>
        <v>2 - 3</v>
      </c>
      <c r="P30" s="37">
        <f>L30*3+M30</f>
        <v>2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5</v>
      </c>
      <c r="AL30" s="123">
        <f>MIN(AL26:AL29)</f>
        <v>-1</v>
      </c>
      <c r="AM30" s="123">
        <f>MAX(AM26:AM29)+1</f>
        <v>4</v>
      </c>
      <c r="AN30" s="123">
        <f>MAX(AN26:AN29)+1</f>
        <v>8</v>
      </c>
      <c r="AO30" s="123">
        <f>MAX(AO26:AO29)+1</f>
        <v>9.75</v>
      </c>
      <c r="AP30" s="123">
        <f>MAX(AP26:AP29)+1</f>
        <v>87500009.300836563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2</v>
      </c>
      <c r="BN30" s="63">
        <v>1</v>
      </c>
      <c r="BO30" s="25">
        <v>2</v>
      </c>
      <c r="BP30" s="116">
        <f>IF(OR(BM30="",BM31="",AND(BN30="",BN31&lt;&gt;""),AND(BN31="",BN30&lt;&gt;""),AND(BO30="",BO31&lt;&gt;""),AND(BO31="",BO30&lt;&gt;"")),"",BM30*1000+BN30*10+BO30)</f>
        <v>2012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>
        <v>1</v>
      </c>
      <c r="BO31" s="27">
        <v>0</v>
      </c>
      <c r="BP31" s="112">
        <f>IF(BP30="","",BM31*1000+BN31*10+BO31)</f>
        <v>10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15</v>
      </c>
      <c r="AJ32" s="123">
        <f>SUMIF($E$7:$E$78,$AE32,$G$7:$G$78) + SUMIF($H$7:$H$78,$AE32,$F$7:$F$78)</f>
        <v>2</v>
      </c>
      <c r="AL32" s="123">
        <f>AI32-AJ32</f>
        <v>13</v>
      </c>
      <c r="AM32" s="123">
        <f>AL32-AL36</f>
        <v>23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90000010.52169852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>
        <v>1</v>
      </c>
      <c r="CC32" s="25">
        <v>1</v>
      </c>
      <c r="CD32" s="116">
        <f>IF(OR(CA32="",CA33="",AND(CB32="",CB33&lt;&gt;""),AND(CB33="",CB32&lt;&gt;""),AND(CC32="",CC33&lt;&gt;""),AND(CC33="",CC32&lt;&gt;"")),"",CA32*1000+CB32*10+CC32)</f>
        <v>1011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15 - 2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1</v>
      </c>
      <c r="V33" s="123">
        <f t="shared" si="3"/>
        <v>1</v>
      </c>
      <c r="W33" s="123">
        <f t="shared" si="4"/>
        <v>1</v>
      </c>
      <c r="X33" s="123">
        <f t="shared" si="9"/>
        <v>1</v>
      </c>
      <c r="Y33" s="123">
        <f t="shared" si="10"/>
        <v>1</v>
      </c>
      <c r="Z33" s="123">
        <f t="shared" si="11"/>
        <v>1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3</v>
      </c>
      <c r="AE33" s="124" t="str">
        <f>VLOOKUP("Curaçao",T,lang,FALSE)</f>
        <v>Curaçao</v>
      </c>
      <c r="AF33" s="123">
        <f>COUNTIF($S$7:$T$78,"=" &amp; AE33 &amp; "_win")</f>
        <v>1</v>
      </c>
      <c r="AG33" s="123">
        <f>COUNTIF($S$7:$T$78,"=" &amp; AE33 &amp; "_draw")</f>
        <v>0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9</v>
      </c>
      <c r="AL33" s="123">
        <f>AI33-AJ33</f>
        <v>-8</v>
      </c>
      <c r="AM33" s="123">
        <f>AL33-AL36</f>
        <v>2</v>
      </c>
      <c r="AN33" s="123">
        <f>AF33*3+AG33</f>
        <v>3</v>
      </c>
      <c r="AO33" s="123">
        <f>AN33/AN36*10+BA33</f>
        <v>3</v>
      </c>
      <c r="AP33" s="123">
        <f>AO33*10000000+BI33*100+AM33/AM36*10+AI33/AI36*1++IF(AQ33=0,ROW(),AQ33)/2000000</f>
        <v>30000000.896480657</v>
      </c>
      <c r="AQ33" s="126">
        <f>VLOOKUP(AE33,db_fifarank,2,FALSE)</f>
        <v>1294.6500000000001</v>
      </c>
      <c r="AR33" s="125">
        <f>AP33/AP36</f>
        <v>0.33333330062127625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1</v>
      </c>
      <c r="CB33" s="64">
        <v>1</v>
      </c>
      <c r="CC33" s="27">
        <v>0</v>
      </c>
      <c r="CD33" s="112">
        <f>IF(CD32="","",CA33*1000+CB33*10+CC33)</f>
        <v>1010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8 - 3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4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0</v>
      </c>
      <c r="AH34" s="123">
        <f>COUNTIF($S$7:$T$78,"=" &amp; AE34 &amp; "_lose")</f>
        <v>3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11</v>
      </c>
      <c r="AL34" s="123">
        <f>AI34-AJ34</f>
        <v>-10</v>
      </c>
      <c r="AM34" s="123">
        <f>AL34-AL36</f>
        <v>0</v>
      </c>
      <c r="AN34" s="123">
        <f>AF34*3+AG34</f>
        <v>0</v>
      </c>
      <c r="AO34" s="123">
        <f>AN34/AN36*10+BA34</f>
        <v>0</v>
      </c>
      <c r="AP34" s="123">
        <f>AO34*10000000+BI34*100+AM34/AM36*10+AI34/AI36*1++IF(AQ34=0,ROW(),AQ34)/2000000</f>
        <v>6.3266489999999995E-2</v>
      </c>
      <c r="AQ34" s="126">
        <f>VLOOKUP(AE34,db_fifarank,2,FALSE)</f>
        <v>1532.98</v>
      </c>
      <c r="AR34" s="125">
        <f>AP34/AP36</f>
        <v>7.0296091000773687E-10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2</v>
      </c>
      <c r="BN34" s="63">
        <v>2</v>
      </c>
      <c r="BO34" s="25">
        <v>2</v>
      </c>
      <c r="BP34" s="112">
        <f>IF(OR(BM34="",BM35="",AND(BN34="",BN35&lt;&gt;""),AND(BN35="",BN34&lt;&gt;""),AND(BO34="",BO35&lt;&gt;""),AND(BO35="",BO34&lt;&gt;"")),"",BM34*1000+BN34*10+BO34)</f>
        <v>2022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2</v>
      </c>
      <c r="G35" s="20"/>
      <c r="H35" s="80" t="str">
        <f>AE22</f>
        <v>Haiti</v>
      </c>
      <c r="J35" s="33" t="str">
        <f>VLOOKUP(3,AD32:AN35,2,FALSE)</f>
        <v>Curaçao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1 - 9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/>
      </c>
      <c r="T35" s="127" t="str">
        <f t="shared" si="2"/>
        <v/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 t="str">
        <f t="shared" si="6"/>
        <v/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8</v>
      </c>
      <c r="AJ35" s="123">
        <f>SUMIF($E$7:$E$78,$AE35,$G$7:$G$78) + SUMIF($H$7:$H$78,$AE35,$F$7:$F$78)</f>
        <v>3</v>
      </c>
      <c r="AL35" s="123">
        <f>AI35-AJ35</f>
        <v>5</v>
      </c>
      <c r="AM35" s="123">
        <f>AL35-AL36</f>
        <v>15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60000006.750797391</v>
      </c>
      <c r="AQ35" s="126">
        <f>VLOOKUP(AE35,db_fifarank,2,FALSE)</f>
        <v>1594.78</v>
      </c>
      <c r="AR35" s="125">
        <f>AP35/AP36</f>
        <v>0.66666665632961297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3rd Group B/E/F/I/J</v>
      </c>
      <c r="BM35" s="62">
        <v>2</v>
      </c>
      <c r="BN35" s="64">
        <v>1</v>
      </c>
      <c r="BO35" s="27">
        <v>0</v>
      </c>
      <c r="BP35" s="113">
        <f>IF(BP34="","",BM35*1000+BN35*10+BO35)</f>
        <v>2010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Ivory Coast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1 - 11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16</v>
      </c>
      <c r="AL36" s="123">
        <f>MIN(AL32:AL35)</f>
        <v>-10</v>
      </c>
      <c r="AM36" s="123">
        <f>MAX(AM32:AM35)+1</f>
        <v>24</v>
      </c>
      <c r="AN36" s="123">
        <f>MAX(AN32:AN35)+1</f>
        <v>10</v>
      </c>
      <c r="AO36" s="123">
        <f>MAX(AO32:AO35)+1</f>
        <v>10</v>
      </c>
      <c r="AP36" s="123">
        <f>MAX(AP32:AP35)+1</f>
        <v>90000011.52169852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1</v>
      </c>
      <c r="BU36" s="63">
        <v>0</v>
      </c>
      <c r="BV36" s="25">
        <v>1</v>
      </c>
      <c r="BW36" s="116">
        <f>IF(OR(BT36="",BT37="",AND(BU36="",BU37&lt;&gt;""),AND(BU37="",BU36&lt;&gt;""),AND(BV36="",BV37&lt;&gt;""),AND(BV37="",BV36&lt;&gt;"")),"",BT36*1000+BU36*10+BV36)</f>
        <v>1001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1</v>
      </c>
      <c r="BU37" s="64">
        <v>1</v>
      </c>
      <c r="BV37" s="27">
        <v>2</v>
      </c>
      <c r="BW37" s="112">
        <f>IF(BW36="","",BT37*1000+BU37*10+BV37)</f>
        <v>1012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2</v>
      </c>
      <c r="CP37" s="63">
        <v>3</v>
      </c>
      <c r="CQ37" s="25">
        <v>4</v>
      </c>
      <c r="CR37" s="111">
        <f>IF(OR(CO37="",CO38="",AND(CP37="",CP38&lt;&gt;""),AND(CP38="",CP37&lt;&gt;""),AND(CQ37="",CQ38&lt;&gt;""),AND(CQ38="",CQ37&lt;&gt;"")),"",CO37*1000+CP37*10+CQ37)</f>
        <v>2034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0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1</v>
      </c>
      <c r="AL38" s="123">
        <f>AI38-AJ38</f>
        <v>6</v>
      </c>
      <c r="AM38" s="123">
        <f>AL38-AL42</f>
        <v>12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90000010.106648162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1</v>
      </c>
      <c r="BN38" s="63">
        <v>2</v>
      </c>
      <c r="BO38" s="25">
        <v>1</v>
      </c>
      <c r="BP38" s="116">
        <f>IF(OR(BM38="",BM39="",AND(BN38="",BN39&lt;&gt;""),AND(BN39="",BN38&lt;&gt;""),AND(BO38="",BO39&lt;&gt;""),AND(BO39="",BO38&lt;&gt;"")),"",BM38*1000+BN38*10+BO38)</f>
        <v>1021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1C</v>
      </c>
      <c r="CO38" s="62">
        <v>0</v>
      </c>
      <c r="CP38" s="64">
        <v>1</v>
      </c>
      <c r="CQ38" s="27">
        <v>0</v>
      </c>
      <c r="CR38" s="111">
        <f>IF(CR37="","",CO38*1000+CP38*10+CQ38)</f>
        <v>10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7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7 - 1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3</v>
      </c>
      <c r="AL39" s="123">
        <f>AI39-AJ39</f>
        <v>-1</v>
      </c>
      <c r="AM39" s="123">
        <f>AL39-AL42</f>
        <v>5</v>
      </c>
      <c r="AN39" s="123">
        <f>AF39*3+AG39</f>
        <v>2</v>
      </c>
      <c r="AO39" s="123">
        <f>AN39/AN42*10+BA39</f>
        <v>2</v>
      </c>
      <c r="AP39" s="123">
        <f>AO39*10000000+BI39*100+AM39/AM42*10+AI39/AI42*1++IF(AQ39=0,ROW(),AQ39)/2000000</f>
        <v>20000004.096984062</v>
      </c>
      <c r="AQ39" s="126">
        <f>VLOOKUP(AE39,db_fifarank,2,FALSE)</f>
        <v>1660.43</v>
      </c>
      <c r="AR39" s="125">
        <f>AP39/AP42</f>
        <v>0.22222224032044249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3rd Group A/E/H/I/J</v>
      </c>
      <c r="BM39" s="62">
        <v>1</v>
      </c>
      <c r="BN39" s="64">
        <v>0</v>
      </c>
      <c r="BO39" s="27">
        <v>1</v>
      </c>
      <c r="BP39" s="112">
        <f>IF(BP38="","",BM39*1000+BN39*10+BO39)</f>
        <v>1001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4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3</v>
      </c>
      <c r="AL40" s="123">
        <f>AI40-AJ40</f>
        <v>1</v>
      </c>
      <c r="AM40" s="123">
        <f>AL40-AL42</f>
        <v>7</v>
      </c>
      <c r="AN40" s="123">
        <f>AF40*3+AG40</f>
        <v>4</v>
      </c>
      <c r="AO40" s="123">
        <f>AN40/AN42*10+BA40</f>
        <v>4</v>
      </c>
      <c r="AP40" s="123">
        <f>AO40*10000000+BI40*100+AM40/AM42*10+AI40/AI42*1++IF(AQ40=0,ROW(),AQ40)/2000000</f>
        <v>40000005.885372765</v>
      </c>
      <c r="AQ40" s="126">
        <f>VLOOKUP(AE40,db_fifarank,2,FALSE)</f>
        <v>1514.77</v>
      </c>
      <c r="AR40" s="125">
        <f>AP40/AP42</f>
        <v>0.44444445498982865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2 - 3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6</v>
      </c>
      <c r="AL41" s="123">
        <f>AI41-AJ41</f>
        <v>-6</v>
      </c>
      <c r="AM41" s="123">
        <f>AL41-AL42</f>
        <v>0</v>
      </c>
      <c r="AN41" s="123">
        <f>AF41*3+AG41</f>
        <v>1</v>
      </c>
      <c r="AO41" s="123">
        <f>AN41/AN42*10+BA41</f>
        <v>1</v>
      </c>
      <c r="AP41" s="123">
        <f>AO41*10000000+BI41*100+AM41/AM42*10+AI41/AI42*1++IF(AQ41=0,ROW(),AQ41)/2000000</f>
        <v>10000000.000741525</v>
      </c>
      <c r="AQ41" s="126">
        <f>VLOOKUP(AE41,db_fifarank,2,FALSE)</f>
        <v>1483.05</v>
      </c>
      <c r="AR41" s="125">
        <f>AP41/AP42</f>
        <v>0.11111109740744066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0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0 - 6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3</v>
      </c>
      <c r="AI42" s="123">
        <f>MAX(AI38:AI41)+1</f>
        <v>8</v>
      </c>
      <c r="AL42" s="123">
        <f>MIN(AL38:AL41)</f>
        <v>-6</v>
      </c>
      <c r="AM42" s="123">
        <f>MAX(AM38:AM41)+1</f>
        <v>13</v>
      </c>
      <c r="AN42" s="123">
        <f>MAX(AN38:AN41)+1</f>
        <v>10</v>
      </c>
      <c r="AO42" s="123">
        <f>MAX(AO38:AO41)+1</f>
        <v>10</v>
      </c>
      <c r="AP42" s="123">
        <f>MAX(AP38:AP41)+1</f>
        <v>90000011.106648162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1C</v>
      </c>
      <c r="BM42" s="61">
        <v>2</v>
      </c>
      <c r="BN42" s="63">
        <v>1</v>
      </c>
      <c r="BO42" s="25">
        <v>1</v>
      </c>
      <c r="BP42" s="112">
        <f>IF(OR(BM42="",BM43="",AND(BN42="",BN43&lt;&gt;""),AND(BN43="",BN42&lt;&gt;""),AND(BO42="",BO43&lt;&gt;""),AND(BO43="",BO42&lt;&gt;"")),"",BM42*1000+BN42*10+BO42)</f>
        <v>2011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Sweden</v>
      </c>
      <c r="BM43" s="62">
        <v>1</v>
      </c>
      <c r="BN43" s="64">
        <v>1</v>
      </c>
      <c r="BO43" s="27">
        <v>1</v>
      </c>
      <c r="BP43" s="113">
        <f>IF(BP42="","",BM43*1000+BN43*10+BO43)</f>
        <v>1011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7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90000009.608010203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1C</v>
      </c>
      <c r="BT44" s="61">
        <v>2</v>
      </c>
      <c r="BU44" s="63">
        <v>1</v>
      </c>
      <c r="BV44" s="25">
        <v>1</v>
      </c>
      <c r="BW44" s="112">
        <f>IF(OR(BT44="",BT45="",AND(BU44="",BU45&lt;&gt;""),AND(BU45="",BU44&lt;&gt;""),AND(BV44="",BV45&lt;&gt;""),AND(BV45="",BV44&lt;&gt;"")),"",BT44*1000+BU44*10+BV44)</f>
        <v>2011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2</v>
      </c>
      <c r="AH45" s="123">
        <f>COUNTIF($S$7:$T$78,"=" &amp; AE45 &amp; "_lose")</f>
        <v>1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4</v>
      </c>
      <c r="AL45" s="123">
        <f>AI45-AJ45</f>
        <v>-2</v>
      </c>
      <c r="AM45" s="123">
        <f>AL45-AL48</f>
        <v>0</v>
      </c>
      <c r="AN45" s="123">
        <f>AF45*3+AG45</f>
        <v>2</v>
      </c>
      <c r="AO45" s="123">
        <f>AN45/AN48*10+BA45</f>
        <v>2.9853658536585366</v>
      </c>
      <c r="AP45" s="123">
        <f>AO45*10000000+BI45*100+AM45/AM48*10+AI45/AI48*1++IF(AQ45=0,ROW(),AQ45)/2000000</f>
        <v>29853756.887597404</v>
      </c>
      <c r="AQ45" s="126">
        <f>VLOOKUP(AE45,db_fifarank,2,FALSE)</f>
        <v>1563.24</v>
      </c>
      <c r="AR45" s="125">
        <f>AP45/AP48</f>
        <v>0.33170837076479581</v>
      </c>
      <c r="AS45" s="125" t="str">
        <f>IF(SUM(AF44:AH47)=12,J46,"2G")</f>
        <v>New Zealand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2</v>
      </c>
      <c r="AV45" s="126" cm="1">
        <f t="array" ref="AV45">SUMPRODUCT(($E$7:$E$78=AE45)*($U$7:$U$78)*($F$7:$F$78))+SUMPRODUCT(($H$7:$H$78=AE45)*($U$7:$U$78)*($G$7:$G$78))</f>
        <v>2</v>
      </c>
      <c r="AW45" s="126" cm="1">
        <f t="array" ref="AW45">SUMPRODUCT(($E$7:$E$78=AE45)*($U$7:$U$78)*($G$7:$G$78))+SUMPRODUCT(($H$7:$H$78=AE45)*($U$7:$U$78)*($F$7:$F$78))</f>
        <v>2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67.333333333333329</v>
      </c>
      <c r="BA45" s="126">
        <f>AZ45/AZ48</f>
        <v>0.98536585365853657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2</v>
      </c>
      <c r="BE45" s="126" cm="1">
        <f t="array" ref="BE45">SUMPRODUCT(($E$7:$E$78=AE45)*($X$7:$X$78)*($G$7:$G$78))+SUMPRODUCT(($H$7:$H$78=AE45)*($X$7:$X$78)*($F$7:$F$78))</f>
        <v>2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50.666666666666664</v>
      </c>
      <c r="BI45" s="126">
        <f>BH45/BH48</f>
        <v>0.98064516129032253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Ecuador</v>
      </c>
      <c r="BT45" s="62">
        <v>1</v>
      </c>
      <c r="BU45" s="64">
        <v>0</v>
      </c>
      <c r="BV45" s="27">
        <v>1</v>
      </c>
      <c r="BW45" s="113">
        <f>IF(BW44="","",BT45*1000+BU45*10+BV45)</f>
        <v>1001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2</v>
      </c>
      <c r="G46" s="20">
        <v>2</v>
      </c>
      <c r="H46" s="80" t="str">
        <f>AE45</f>
        <v>Egypt</v>
      </c>
      <c r="J46" s="33" t="str">
        <f>VLOOKUP(2,AD44:AN47,2,FALSE)</f>
        <v>New Zealand</v>
      </c>
      <c r="K46" s="23">
        <f>L46+M46+N46</f>
        <v>3</v>
      </c>
      <c r="L46" s="23">
        <f>VLOOKUP(2,AD44:AN47,3,FALSE)</f>
        <v>0</v>
      </c>
      <c r="M46" s="23">
        <f>VLOOKUP(2,AD44:AN47,4,FALSE)</f>
        <v>2</v>
      </c>
      <c r="N46" s="23">
        <f>VLOOKUP(2,AD44:AN47,5,FALSE)</f>
        <v>1</v>
      </c>
      <c r="O46" s="23" t="str">
        <f>VLOOKUP(2,AD44:AN47,6,FALSE) &amp; " - " &amp; VLOOKUP(2,AD44:AN47,7,FALSE)</f>
        <v>3 - 4</v>
      </c>
      <c r="P46" s="34">
        <f>L46*3+M46</f>
        <v>2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1</v>
      </c>
      <c r="V46" s="123">
        <f t="shared" si="3"/>
        <v>2</v>
      </c>
      <c r="W46" s="123">
        <f t="shared" si="4"/>
        <v>2</v>
      </c>
      <c r="X46" s="123">
        <f t="shared" si="9"/>
        <v>1</v>
      </c>
      <c r="Y46" s="123">
        <f t="shared" si="10"/>
        <v>2</v>
      </c>
      <c r="Z46" s="123">
        <f t="shared" si="11"/>
        <v>2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2</v>
      </c>
      <c r="AL46" s="123">
        <f>AI46-AJ46</f>
        <v>-2</v>
      </c>
      <c r="AM46" s="123">
        <f>AL46-AL48</f>
        <v>0</v>
      </c>
      <c r="AN46" s="123">
        <f>AF46*3+AG46</f>
        <v>2</v>
      </c>
      <c r="AO46" s="123">
        <f>AN46/AN48*10+BA46</f>
        <v>2.975609756097561</v>
      </c>
      <c r="AP46" s="123">
        <f>AO46*10000000+BI46*100+AM46/AM48*10+AI46/AI48*1++IF(AQ46=0,ROW(),AQ46)/2000000</f>
        <v>29756097.561783262</v>
      </c>
      <c r="AQ46" s="126">
        <f>VLOOKUP(AE46,db_fifarank,2,FALSE)</f>
        <v>1615.3</v>
      </c>
      <c r="AR46" s="125">
        <f>AP46/AP48</f>
        <v>0.33062326727253633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2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66.666666666666657</v>
      </c>
      <c r="BA46" s="126">
        <f>AZ46/AZ48</f>
        <v>0.97560975609756095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1</v>
      </c>
      <c r="BN46" s="63">
        <v>2</v>
      </c>
      <c r="BO46" s="25">
        <v>1</v>
      </c>
      <c r="BP46" s="116">
        <f>IF(OR(BM46="",BM47="",AND(BN46="",BN47&lt;&gt;""),AND(BN47="",BN46&lt;&gt;""),AND(BO46="",BO47&lt;&gt;""),AND(BO47="",BO46&lt;&gt;"")),"",BM46*1000+BN46*10+BO46)</f>
        <v>1021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3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2 - 4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2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2</v>
      </c>
      <c r="AH47" s="123">
        <f>COUNTIF($S$7:$T$78,"=" &amp; AE47 &amp; "_lose")</f>
        <v>1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4</v>
      </c>
      <c r="AL47" s="123">
        <f>AI47-AJ47</f>
        <v>-1</v>
      </c>
      <c r="AM47" s="123">
        <f>AL47-AL48</f>
        <v>1</v>
      </c>
      <c r="AN47" s="123">
        <f>AF47*3+AG47</f>
        <v>2</v>
      </c>
      <c r="AO47" s="123">
        <f>AN47/AN48*10+BA47</f>
        <v>2.9853658536585366</v>
      </c>
      <c r="AP47" s="123">
        <f>AO47*10000000+BI47*100+AM47/AM48*10+AI47/AI48*1++IF(AQ47=0,ROW(),AQ47)/2000000</f>
        <v>29853758.280313708</v>
      </c>
      <c r="AQ47" s="126">
        <f>VLOOKUP(AE47,db_fifarank,2,FALSE)</f>
        <v>1281.57</v>
      </c>
      <c r="AR47" s="125">
        <f>AP47/AP48</f>
        <v>0.33170838623941956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2</v>
      </c>
      <c r="AV47" s="126" cm="1">
        <f t="array" ref="AV47">SUMPRODUCT(($E$7:$E$78=AE47)*($U$7:$U$78)*($F$7:$F$78))+SUMPRODUCT(($H$7:$H$78=AE47)*($U$7:$U$78)*($G$7:$G$78))</f>
        <v>2</v>
      </c>
      <c r="AW47" s="126" cm="1">
        <f t="array" ref="AW47">SUMPRODUCT(($E$7:$E$78=AE47)*($U$7:$U$78)*($G$7:$G$78))+SUMPRODUCT(($H$7:$H$78=AE47)*($U$7:$U$78)*($F$7:$F$78))</f>
        <v>2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67.333333333333329</v>
      </c>
      <c r="BA47" s="126">
        <f>AZ47/AZ48</f>
        <v>0.98536585365853657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2</v>
      </c>
      <c r="BE47" s="126" cm="1">
        <f t="array" ref="BE47">SUMPRODUCT(($E$7:$E$78=AE47)*($X$7:$X$78)*($G$7:$G$78))+SUMPRODUCT(($H$7:$H$78=AE47)*($X$7:$X$78)*($F$7:$F$78))</f>
        <v>2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50.666666666666664</v>
      </c>
      <c r="BI47" s="126">
        <f>BH47/BH48</f>
        <v>0.98064516129032253</v>
      </c>
      <c r="BK47" s="142"/>
      <c r="BL47" s="26" t="str">
        <f>AS57</f>
        <v>Senegal</v>
      </c>
      <c r="BM47" s="62">
        <v>1</v>
      </c>
      <c r="BN47" s="64">
        <v>0</v>
      </c>
      <c r="BO47" s="27">
        <v>1</v>
      </c>
      <c r="BP47" s="112">
        <f>IF(BP46="","",BM47*1000+BN47*10+BO47)</f>
        <v>1001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5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2</v>
      </c>
      <c r="N48" s="36">
        <f>VLOOKUP(4,AD44:AN47,5,FALSE)</f>
        <v>1</v>
      </c>
      <c r="O48" s="36" t="str">
        <f>VLOOKUP(4,AD44:AN47,6,FALSE) &amp; " - " &amp; VLOOKUP(4,AD44:AN47,7,FALSE)</f>
        <v>0 - 2</v>
      </c>
      <c r="P48" s="37">
        <f>L48*3+M48</f>
        <v>2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2</v>
      </c>
      <c r="AI48" s="123">
        <f>MAX(AI44:AI47)+1</f>
        <v>7</v>
      </c>
      <c r="AL48" s="123">
        <f>MIN(AL44:AL47)</f>
        <v>-2</v>
      </c>
      <c r="AM48" s="123">
        <f>MAX(AM44:AM47)+1</f>
        <v>8</v>
      </c>
      <c r="AN48" s="123">
        <f>MAX(AN44:AN47)+1</f>
        <v>10</v>
      </c>
      <c r="AO48" s="123">
        <f>MAX(AO44:AO47)+1</f>
        <v>10</v>
      </c>
      <c r="AP48" s="123">
        <f>MAX(AP44:AP47)+1</f>
        <v>90000010.608010203</v>
      </c>
      <c r="AT48" s="126">
        <f>MAX(AT44:AT47)-MIN(AT44:AT47)+1</f>
        <v>1</v>
      </c>
      <c r="AU48" s="126">
        <f>MAX(AU44:AU47)-MIN(AU44:AU47)+1</f>
        <v>3</v>
      </c>
      <c r="AV48" s="126">
        <f>MAX(AV44:AV47)-MIN(AV44:AV47)+1</f>
        <v>3</v>
      </c>
      <c r="AW48" s="126">
        <f>MAX(AW44:AW47)-MIN(AW44:AW47)+1</f>
        <v>3</v>
      </c>
      <c r="AY48" s="126">
        <f>MAX(AY44:AY47)-MIN(AY44:AY47)+1</f>
        <v>1</v>
      </c>
      <c r="AZ48" s="126">
        <f>MAX(AZ44:AZ47)+1</f>
        <v>68.333333333333329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3</v>
      </c>
      <c r="BE48" s="126">
        <f>MAX(BE44:BE47)-MIN(BE44:BE47)+1</f>
        <v>3</v>
      </c>
      <c r="BG48" s="126">
        <f>MAX(BG44:BG47)-MIN(BG44:BG47)+1</f>
        <v>1</v>
      </c>
      <c r="BH48" s="126">
        <f>MAX(BH44:BH47)+1</f>
        <v>51.666666666666664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1C</v>
      </c>
      <c r="CA48" s="61">
        <v>2</v>
      </c>
      <c r="CB48" s="63">
        <v>1</v>
      </c>
      <c r="CC48" s="25">
        <v>2</v>
      </c>
      <c r="CD48" s="112">
        <f>IF(OR(CA48="",CA49="",AND(CB48="",CB49&lt;&gt;""),AND(CB49="",CB48&lt;&gt;""),AND(CC48="",CC49&lt;&gt;""),AND(CC49="",CC48&lt;&gt;"")),"",CA48*1000+CB48*10+CC48)</f>
        <v>2012</v>
      </c>
      <c r="CK48" s="114"/>
      <c r="CL48" s="112"/>
      <c r="CM48" s="141">
        <v>103</v>
      </c>
      <c r="CN48" s="24" t="str">
        <f>IF(CK23&gt;CK24,CG24,IF(CK23&lt;CK24,CG23,""))</f>
        <v>Germany</v>
      </c>
      <c r="CO48" s="61">
        <v>0</v>
      </c>
      <c r="CP48" s="63">
        <v>1</v>
      </c>
      <c r="CQ48" s="25">
        <v>1</v>
      </c>
      <c r="CR48" s="111">
        <f>IF(OR(CO48="",CO49="",AND(CP48="",CP49&lt;&gt;""),AND(CP49="",CP48&lt;&gt;""),AND(CQ48="",CQ49&lt;&gt;""),AND(CQ49="",CQ48&lt;&gt;"")),"",CO48*1000+CP48*10+CQ48)</f>
        <v>11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>
        <v>1</v>
      </c>
      <c r="CC49" s="27">
        <v>2</v>
      </c>
      <c r="CD49" s="113">
        <f>IF(CD48="","",CA49*1000+CB49*10+CC49)</f>
        <v>1012</v>
      </c>
      <c r="CK49" s="114"/>
      <c r="CL49" s="115"/>
      <c r="CM49" s="142"/>
      <c r="CN49" s="26" t="str">
        <f>IF(CK55&gt;CK56,CG56,IF(CK55&lt;CK56,CG55,""))</f>
        <v>Argentina</v>
      </c>
      <c r="CO49" s="62">
        <v>1</v>
      </c>
      <c r="CP49" s="64">
        <v>2</v>
      </c>
      <c r="CQ49" s="27">
        <v>5</v>
      </c>
      <c r="CR49" s="111">
        <f>IF(CR48="","",CO49*1000+CP49*10+CQ49)</f>
        <v>1025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1</v>
      </c>
      <c r="AL50" s="123">
        <f>AI50-AJ50</f>
        <v>9</v>
      </c>
      <c r="AM50" s="123">
        <f>AL50-AL54</f>
        <v>16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90000010.321793824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Czech Republic</v>
      </c>
      <c r="BM50" s="61">
        <v>1</v>
      </c>
      <c r="BN50" s="63">
        <v>1</v>
      </c>
      <c r="BO50" s="25">
        <v>2</v>
      </c>
      <c r="BP50" s="112">
        <f>IF(OR(BM50="",BM51="",AND(BN50="",BN51&lt;&gt;""),AND(BN51="",BN50&lt;&gt;""),AND(BO50="",BO51&lt;&gt;""),AND(BO51="",BO50&lt;&gt;"")),"",BM50*1000+BN50*10+BO50)</f>
        <v>1012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8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9.1592155909090908E-2</v>
      </c>
      <c r="AQ51" s="126">
        <f>VLOOKUP(AE51,db_fifarank,2,FALSE)</f>
        <v>1366.13</v>
      </c>
      <c r="AR51" s="125">
        <f>AP51/AP54</f>
        <v>1.0176904931889886E-9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3rd Group C/E/F/H/I</v>
      </c>
      <c r="BM51" s="62">
        <v>0</v>
      </c>
      <c r="BN51" s="64">
        <v>1</v>
      </c>
      <c r="BO51" s="27">
        <v>1</v>
      </c>
      <c r="BP51" s="113">
        <f>IF(BP50="","",BM51*1000+BN51*10+BO51)</f>
        <v>11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5 - 4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6</v>
      </c>
      <c r="AL52" s="123">
        <f>AI52-AJ52</f>
        <v>-3</v>
      </c>
      <c r="AM52" s="123">
        <f>AL52-AL54</f>
        <v>4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30000002.626379166</v>
      </c>
      <c r="AQ52" s="126">
        <f>VLOOKUP(AE52,db_fifarank,2,FALSE)</f>
        <v>1421.43</v>
      </c>
      <c r="AR52" s="125">
        <f>AP52/AP54</f>
        <v>0.33333332058275594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Czech Republic</v>
      </c>
      <c r="BT52" s="61">
        <v>1</v>
      </c>
      <c r="BU52" s="63">
        <v>0</v>
      </c>
      <c r="BV52" s="25">
        <v>0</v>
      </c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3 - 6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4</v>
      </c>
      <c r="AL53" s="123">
        <f>AI53-AJ53</f>
        <v>1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60000005.161264345</v>
      </c>
      <c r="AQ53" s="126">
        <f>VLOOKUP(AE53,db_fifarank,2,FALSE)</f>
        <v>1673.07</v>
      </c>
      <c r="AR53" s="125">
        <f>AP53/AP54</f>
        <v>0.66666664014891219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>
        <v>0</v>
      </c>
      <c r="BV53" s="27">
        <v>1</v>
      </c>
      <c r="BW53" s="112">
        <f>IF(BW52="","",BT53*1000+BU53*10+BV53)</f>
        <v>2001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1 - 8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11</v>
      </c>
      <c r="AL54" s="123">
        <f>MIN(AL50:AL53)</f>
        <v>-7</v>
      </c>
      <c r="AM54" s="123">
        <f>MAX(AM50:AM53)+1</f>
        <v>17</v>
      </c>
      <c r="AN54" s="123">
        <f>MAX(AN50:AN53)+1</f>
        <v>10</v>
      </c>
      <c r="AO54" s="123">
        <f>MAX(AO50:AO53)+1</f>
        <v>10</v>
      </c>
      <c r="AP54" s="123">
        <f>MAX(AP50:AP53)+1</f>
        <v>90000011.321793824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1</v>
      </c>
      <c r="BN54" s="63">
        <v>2</v>
      </c>
      <c r="BO54" s="25">
        <v>0</v>
      </c>
      <c r="BP54" s="116">
        <f>IF(OR(BM54="",BM55="",AND(BN54="",BN55&lt;&gt;""),AND(BN55="",BN54&lt;&gt;""),AND(BO54="",BO55&lt;&gt;""),AND(BO55="",BO54&lt;&gt;"")),"",BM54*1000+BN54*10+BO54)</f>
        <v>1020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3rd Group E/H/I/J/K</v>
      </c>
      <c r="BM55" s="62">
        <v>1</v>
      </c>
      <c r="BN55" s="64">
        <v>1</v>
      </c>
      <c r="BO55" s="27">
        <v>0</v>
      </c>
      <c r="BP55" s="112">
        <f>IF(BP54="","",BM55*1000+BN55*10+BO55)</f>
        <v>1010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1C</v>
      </c>
      <c r="CH55" s="61">
        <v>1</v>
      </c>
      <c r="CI55" s="63">
        <v>1</v>
      </c>
      <c r="CJ55" s="25">
        <v>1</v>
      </c>
      <c r="CK55" s="116">
        <f>IF(OR(CH55="",CH56="",AND(CI55="",CI56&lt;&gt;""),AND(CI56="",CI55&lt;&gt;""),AND(CJ55="",CJ56&lt;&gt;""),AND(CJ56="",CJ55&lt;&gt;"")),"",CH55*1000+CI55*10+CJ55)</f>
        <v>1011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10</v>
      </c>
      <c r="AJ56" s="123">
        <f>SUMIF($E$7:$E$78,$AE56,$G$7:$G$78) + SUMIF($H$7:$H$78,$AE56,$F$7:$F$78)</f>
        <v>2</v>
      </c>
      <c r="AL56" s="123">
        <f>AI56-AJ56</f>
        <v>8</v>
      </c>
      <c r="AM56" s="123">
        <f>AL56-AL60</f>
        <v>14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90000010.243362889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>
        <v>1</v>
      </c>
      <c r="CJ56" s="27">
        <v>0</v>
      </c>
      <c r="CK56" s="112">
        <f>IF(CK55="","",CH56*1000+CI56*10+CJ56)</f>
        <v>1010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10 - 2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5</v>
      </c>
      <c r="AL57" s="123">
        <f>AI57-AJ57</f>
        <v>-1</v>
      </c>
      <c r="AM57" s="123">
        <f>AL57-AL60</f>
        <v>5</v>
      </c>
      <c r="AN57" s="123">
        <f>AF57*3+AG57</f>
        <v>4</v>
      </c>
      <c r="AO57" s="123">
        <f>AN57/AN60*10+BA57</f>
        <v>4</v>
      </c>
      <c r="AP57" s="123">
        <f>AO57*10000000+BI57*100+AM57/AM60*10+AI57/AI60*1++IF(AQ57=0,ROW(),AQ57)/2000000</f>
        <v>40000003.697814196</v>
      </c>
      <c r="AQ57" s="126">
        <f>VLOOKUP(AE57,db_fifarank,2,FALSE)</f>
        <v>1688.99</v>
      </c>
      <c r="AR57" s="125">
        <f>AP57/AP60</f>
        <v>0.44444443000849093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4 - 5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1</v>
      </c>
      <c r="W58" s="123">
        <f t="shared" si="22"/>
        <v>1</v>
      </c>
      <c r="X58" s="123">
        <f t="shared" si="9"/>
        <v>1</v>
      </c>
      <c r="Y58" s="123">
        <f t="shared" si="10"/>
        <v>1</v>
      </c>
      <c r="Z58" s="123">
        <f t="shared" si="11"/>
        <v>1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6</v>
      </c>
      <c r="AL58" s="123">
        <f>AI58-AJ58</f>
        <v>-6</v>
      </c>
      <c r="AM58" s="123">
        <f>AL58-AL60</f>
        <v>0</v>
      </c>
      <c r="AN58" s="123">
        <f>AF58*3+AG58</f>
        <v>1</v>
      </c>
      <c r="AO58" s="123">
        <f>AN58/AN60*10+BA58</f>
        <v>1</v>
      </c>
      <c r="AP58" s="123">
        <f>AO58*10000000+BI58*100+AM58/AM60*10+AI58/AI60*1++IF(AQ58=0,ROW(),AQ58)/2000000</f>
        <v>10000000.000723571</v>
      </c>
      <c r="AQ58" s="126">
        <f>VLOOKUP(AE58,db_fifarank,2,FALSE)</f>
        <v>1447.14</v>
      </c>
      <c r="AR58" s="125">
        <f>AP58/AP60</f>
        <v>0.11111109723845759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>
        <v>2</v>
      </c>
      <c r="BO58" s="25">
        <v>1</v>
      </c>
      <c r="BP58" s="112">
        <f>IF(OR(BM58="",BM59="",AND(BN58="",BN59&lt;&gt;""),AND(BN59="",BN58&lt;&gt;""),AND(BO58="",BO59&lt;&gt;""),AND(BO59="",BO58&lt;&gt;"")),"",BM58*1000+BN58*10+BO58)</f>
        <v>1021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4 - 5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5</v>
      </c>
      <c r="AL59" s="123">
        <f>AI59-AJ59</f>
        <v>-1</v>
      </c>
      <c r="AM59" s="123">
        <f>AL59-AL60</f>
        <v>5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30000003.697745167</v>
      </c>
      <c r="AQ59" s="126">
        <f>VLOOKUP(AE59,db_fifarank,2,FALSE)</f>
        <v>1550.94</v>
      </c>
      <c r="AR59" s="125">
        <f>AP59/AP60</f>
        <v>0.33333333277730604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1</v>
      </c>
      <c r="BN59" s="64">
        <v>2</v>
      </c>
      <c r="BO59" s="27">
        <v>0</v>
      </c>
      <c r="BP59" s="113">
        <f>IF(BP58="","",BM59*1000+BN59*10+BO59)</f>
        <v>1020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2</v>
      </c>
      <c r="G60" s="20">
        <v>0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0 - 6</v>
      </c>
      <c r="P60" s="37">
        <f>L60*3+M60</f>
        <v>1</v>
      </c>
      <c r="R60" s="123">
        <f>DATE(2026,6,24)+TIME(14,0,0)+gmt_delta</f>
        <v>46198.125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3</v>
      </c>
      <c r="AI60" s="123">
        <f>MAX(AI56:AI59)+1</f>
        <v>11</v>
      </c>
      <c r="AL60" s="123">
        <f>MIN(AL56:AL59)</f>
        <v>-6</v>
      </c>
      <c r="AM60" s="123">
        <f>MAX(AM56:AM59)+1</f>
        <v>15</v>
      </c>
      <c r="AN60" s="123">
        <f>MAX(AN56:AN59)+1</f>
        <v>10</v>
      </c>
      <c r="AO60" s="123">
        <f>MAX(AO56:AO59)+1</f>
        <v>10</v>
      </c>
      <c r="AP60" s="123">
        <f>MAX(AP56:AP59)+1</f>
        <v>90000011.243362889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>
        <v>1</v>
      </c>
      <c r="BV60" s="25">
        <v>0</v>
      </c>
      <c r="BW60" s="112">
        <f>IF(OR(BT60="",BT61="",AND(BU60="",BU61&lt;&gt;""),AND(BU61="",BU60&lt;&gt;""),AND(BV60="",BV61&lt;&gt;""),AND(BV61="",BV60&lt;&gt;"")),"",BT60*1000+BU60*10+BV60)</f>
        <v>2010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Curaçao_win</v>
      </c>
      <c r="T61" s="127" t="str">
        <f t="shared" si="20"/>
        <v>Ivory Coast_lose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Paraguay</v>
      </c>
      <c r="BT61" s="62">
        <v>1</v>
      </c>
      <c r="BU61" s="64">
        <v>1</v>
      </c>
      <c r="BV61" s="27">
        <v>0</v>
      </c>
      <c r="BW61" s="113">
        <f>IF(BW60="","",BT61*1000+BU61*10+BV61)</f>
        <v>1010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10</v>
      </c>
      <c r="AJ62" s="123">
        <f>SUMIF($E$7:$E$78,$AE62,$G$7:$G$78) + SUMIF($H$7:$H$78,$AE62,$F$7:$F$78)</f>
        <v>1</v>
      </c>
      <c r="AL62" s="123">
        <f>AI62-AJ62</f>
        <v>9</v>
      </c>
      <c r="AM62" s="123">
        <f>AL62-AL66</f>
        <v>14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90000010.243361652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Paraguay</v>
      </c>
      <c r="BM62" s="61">
        <v>1</v>
      </c>
      <c r="BN62" s="63">
        <v>1</v>
      </c>
      <c r="BO62" s="25">
        <v>2</v>
      </c>
      <c r="BP62" s="116">
        <f>IF(OR(BM62="",BM63="",AND(BN62="",BN63&lt;&gt;""),AND(BN63="",BN62&lt;&gt;""),AND(BO62="",BO63&lt;&gt;""),AND(BO63="",BO62&lt;&gt;"")),"",BM62*1000+BN62*10+BO62)</f>
        <v>1012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10 - 1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4</v>
      </c>
      <c r="AL63" s="123">
        <f>AI63-AJ63</f>
        <v>-3</v>
      </c>
      <c r="AM63" s="123">
        <f>AL63-AL66</f>
        <v>2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20000001.42502455</v>
      </c>
      <c r="AQ63" s="126">
        <f>VLOOKUP(AE63,db_fifarank,2,FALSE)</f>
        <v>1564.26</v>
      </c>
      <c r="AR63" s="125">
        <f>AP63/AP66</f>
        <v>0.22222221029444303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New Zealand</v>
      </c>
      <c r="BM63" s="62">
        <v>1</v>
      </c>
      <c r="BN63" s="64">
        <v>0</v>
      </c>
      <c r="BO63" s="27">
        <v>0</v>
      </c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3 - 4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4</v>
      </c>
      <c r="AL64" s="123">
        <f>AI64-AJ64</f>
        <v>-1</v>
      </c>
      <c r="AM64" s="123">
        <f>AL64-AL66</f>
        <v>4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40000002.940190665</v>
      </c>
      <c r="AQ64" s="126">
        <f>VLOOKUP(AE64,db_fifarank,2,FALSE)</f>
        <v>1593.45</v>
      </c>
      <c r="AR64" s="125">
        <f>AP64/AP66</f>
        <v>0.44444442159045888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>
        <v>1</v>
      </c>
      <c r="CC64" s="25">
        <v>1</v>
      </c>
      <c r="CD64" s="116">
        <f>IF(OR(CA64="",CA65="",AND(CB64="",CB65&lt;&gt;""),AND(CB65="",CB64&lt;&gt;""),AND(CC64="",CC65&lt;&gt;""),AND(CC65="",CC64&lt;&gt;"")),"",CA64*1000+CB64*10+CC64)</f>
        <v>1011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1 - 4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5</v>
      </c>
      <c r="AL65" s="123">
        <f>AI65-AJ65</f>
        <v>-5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10000000.000695726</v>
      </c>
      <c r="AQ65" s="126">
        <f>VLOOKUP(AE65,db_fifarank,2,FALSE)</f>
        <v>1391.45</v>
      </c>
      <c r="AR65" s="125">
        <f>AP65/AP66</f>
        <v>0.11111109723814973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>
        <v>1</v>
      </c>
      <c r="CC65" s="27">
        <v>0</v>
      </c>
      <c r="CD65" s="112">
        <f>IF(CD64="","",CA65*1000+CB65*10+CC65)</f>
        <v>1010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0 - 5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11</v>
      </c>
      <c r="AL66" s="123">
        <f>MIN(AL62:AL65)</f>
        <v>-5</v>
      </c>
      <c r="AM66" s="123">
        <f>MAX(AM62:AM65)+1</f>
        <v>15</v>
      </c>
      <c r="AN66" s="123">
        <f>MAX(AN62:AN65)+1</f>
        <v>10</v>
      </c>
      <c r="AO66" s="123">
        <f>MAX(AO62:AO65)+1</f>
        <v>10</v>
      </c>
      <c r="AP66" s="123">
        <f>MAX(AP62:AP65)+1</f>
        <v>90000011.243361652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2</v>
      </c>
      <c r="BN66" s="63">
        <v>0</v>
      </c>
      <c r="BO66" s="25">
        <v>1</v>
      </c>
      <c r="BP66" s="112">
        <f>IF(OR(BM66="",BM67="",AND(BN66="",BN67&lt;&gt;""),AND(BN67="",BN66&lt;&gt;""),AND(BO66="",BO67&lt;&gt;""),AND(BO67="",BO66&lt;&gt;"")),"",BM66*1000+BN66*10+BO66)</f>
        <v>2001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3rd Group E/F/G/I/J</v>
      </c>
      <c r="BM67" s="62">
        <v>1</v>
      </c>
      <c r="BN67" s="64">
        <v>0</v>
      </c>
      <c r="BO67" s="27">
        <v>0</v>
      </c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0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Senegal_draw</v>
      </c>
      <c r="T68" s="127" t="str">
        <f t="shared" si="20"/>
        <v>Iraq_draw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0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1</v>
      </c>
      <c r="AL68" s="123">
        <f>AI68-AJ68</f>
        <v>6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90000010.042548582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>
        <v>1</v>
      </c>
      <c r="BV68" s="25">
        <v>1</v>
      </c>
      <c r="BW68" s="116">
        <f>IF(OR(BT68="",BT69="",AND(BU68="",BU69&lt;&gt;""),AND(BU69="",BU68&lt;&gt;""),AND(BV68="",BV69&lt;&gt;""),AND(BV69="",BV68&lt;&gt;"")),"",BT68*1000+BU68*10+BV68)</f>
        <v>11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4</v>
      </c>
      <c r="AJ69" s="123">
        <f>SUMIF($E$7:$E$78,$AE69,$G$7:$G$78) + SUMIF($H$7:$H$78,$AE69,$F$7:$F$78)</f>
        <v>9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1.9806763285024154</v>
      </c>
      <c r="AP69" s="123">
        <f>AO69*10000000+BI69*100+AM69/AM72*10+AI69/AI72*1++IF(AQ69=0,ROW(),AQ69)/2000000</f>
        <v>19806861.853396181</v>
      </c>
      <c r="AQ69" s="126">
        <f>VLOOKUP(AE69,db_fifarank,2,FALSE)</f>
        <v>1478.35</v>
      </c>
      <c r="AR69" s="125">
        <f>AP69/AP72</f>
        <v>0.22007621581326528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3</v>
      </c>
      <c r="AW69" s="126" cm="1">
        <f t="array" ref="AW69">SUMPRODUCT(($E$7:$E$78=AE69)*($U$7:$U$78)*($G$7:$G$78))+SUMPRODUCT(($H$7:$H$78=AE69)*($U$7:$U$78)*($F$7:$F$78))</f>
        <v>3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50.75</v>
      </c>
      <c r="BA69" s="126">
        <f>AZ69/AZ72</f>
        <v>0.98067632850241548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3</v>
      </c>
      <c r="BE69" s="126" cm="1">
        <f t="array" ref="BE69">SUMPRODUCT(($E$7:$E$78=AE69)*($X$7:$X$78)*($G$7:$G$78))+SUMPRODUCT(($H$7:$H$78=AE69)*($X$7:$X$78)*($F$7:$F$78))</f>
        <v>3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50.75</v>
      </c>
      <c r="BI69" s="126">
        <f>BH69/BH72</f>
        <v>0.98067632850241548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>
        <v>1</v>
      </c>
      <c r="BV69" s="27">
        <v>1</v>
      </c>
      <c r="BW69" s="112">
        <f>IF(BW68="","",BT69*1000+BU69*10+BV69)</f>
        <v>1011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6 - 3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3</v>
      </c>
      <c r="AJ70" s="123">
        <f>SUMIF($E$7:$E$78,$AE70,$G$7:$G$78) + SUMIF($H$7:$H$78,$AE70,$F$7:$F$78)</f>
        <v>7</v>
      </c>
      <c r="AL70" s="123">
        <f>AI70-AJ70</f>
        <v>-4</v>
      </c>
      <c r="AM70" s="123">
        <f>AL70-AL72</f>
        <v>1</v>
      </c>
      <c r="AN70" s="123">
        <f>AF70*3+AG70</f>
        <v>1</v>
      </c>
      <c r="AO70" s="123">
        <f>AN70/AN72*10+BA70</f>
        <v>1.9806763285024154</v>
      </c>
      <c r="AP70" s="123">
        <f>AO70*10000000+BI70*100+AM70/AM72*10+AI70/AI72*1++IF(AQ70=0,ROW(),AQ70)/2000000</f>
        <v>19806862.561723009</v>
      </c>
      <c r="AQ70" s="126">
        <f>VLOOKUP(AE70,db_fifarank,2,FALSE)</f>
        <v>1465.34</v>
      </c>
      <c r="AR70" s="125">
        <f>AP70/AP72</f>
        <v>0.22007622368356242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3</v>
      </c>
      <c r="AW70" s="126" cm="1">
        <f t="array" ref="AW70">SUMPRODUCT(($E$7:$E$78=AE70)*($U$7:$U$78)*($G$7:$G$78))+SUMPRODUCT(($H$7:$H$78=AE70)*($U$7:$U$78)*($F$7:$F$78))</f>
        <v>3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50.75</v>
      </c>
      <c r="BA70" s="126">
        <f>AZ70/AZ72</f>
        <v>0.98067632850241548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3</v>
      </c>
      <c r="BE70" s="126" cm="1">
        <f t="array" ref="BE70">SUMPRODUCT(($E$7:$E$78=AE70)*($X$7:$X$78)*($G$7:$G$78))+SUMPRODUCT(($H$7:$H$78=AE70)*($X$7:$X$78)*($F$7:$F$78))</f>
        <v>3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50.75</v>
      </c>
      <c r="BI70" s="126">
        <f>BH70/BH72</f>
        <v>0.98067632850241548</v>
      </c>
      <c r="BK70" s="141">
        <v>87</v>
      </c>
      <c r="BL70" s="24" t="str">
        <f>AS68</f>
        <v>Portugal</v>
      </c>
      <c r="BM70" s="61">
        <v>3</v>
      </c>
      <c r="BN70" s="63">
        <v>1</v>
      </c>
      <c r="BO70" s="25">
        <v>0</v>
      </c>
      <c r="BP70" s="116">
        <f>IF(OR(BM70="",BM71="",AND(BN70="",BN71&lt;&gt;""),AND(BN71="",BN70&lt;&gt;""),AND(BO70="",BO71&lt;&gt;""),AND(BO71="",BO70&lt;&gt;"")),"",BM70*1000+BN70*10+BO70)</f>
        <v>3010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3 - 7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3</v>
      </c>
      <c r="AL71" s="123">
        <f>AI71-AJ71</f>
        <v>3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60000007.417513207</v>
      </c>
      <c r="AQ71" s="126">
        <f>VLOOKUP(AE71,db_fifarank,2,FALSE)</f>
        <v>1693.09</v>
      </c>
      <c r="AR71" s="125">
        <f>AP71/AP72</f>
        <v>0.66666666728682389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3rd Group D/E/I/J/L</v>
      </c>
      <c r="BM71" s="62">
        <v>1</v>
      </c>
      <c r="BN71" s="64">
        <v>0</v>
      </c>
      <c r="BO71" s="27">
        <v>0</v>
      </c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4 - 9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8</v>
      </c>
      <c r="AL72" s="123">
        <f>MIN(AL68:AL71)</f>
        <v>-5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90000011.042548582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4</v>
      </c>
      <c r="AW72" s="126">
        <f>MAX(AW68:AW71)-MIN(AW68:AW71)+1</f>
        <v>4</v>
      </c>
      <c r="AY72" s="126">
        <f>MAX(AY68:AY71)-MIN(AY68:AY71)+1</f>
        <v>1</v>
      </c>
      <c r="AZ72" s="126">
        <f>MAX(AZ68:AZ71)+1</f>
        <v>51.75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4</v>
      </c>
      <c r="BE72" s="126">
        <f>MAX(BE68:BE71)-MIN(BE68:BE71)+1</f>
        <v>4</v>
      </c>
      <c r="BG72" s="126">
        <f>MAX(BG68:BG71)-MIN(BG68:BG71)+1</f>
        <v>1</v>
      </c>
      <c r="BH72" s="126">
        <f>MAX(BH68:BH71)+1</f>
        <v>51.75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3</v>
      </c>
      <c r="AL74" s="123">
        <f>AI74-AJ74</f>
        <v>4</v>
      </c>
      <c r="AM74" s="123">
        <f>AL74-AL78</f>
        <v>6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90000009.447341546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7 - 3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5</v>
      </c>
      <c r="AL75" s="123">
        <f>AI75-AJ75</f>
        <v>0</v>
      </c>
      <c r="AM75" s="123">
        <f>AL75-AL78</f>
        <v>2</v>
      </c>
      <c r="AN75" s="123">
        <f>AF75*3+AG75</f>
        <v>4</v>
      </c>
      <c r="AO75" s="123">
        <f>AN75/AN78*10+BA75</f>
        <v>4</v>
      </c>
      <c r="AP75" s="123">
        <f>AO75*10000000+BI75*100+AM75/AM78*10+AI75/AI78*1++IF(AQ75=0,ROW(),AQ75)/2000000</f>
        <v>40000003.483001396</v>
      </c>
      <c r="AQ75" s="126">
        <f>VLOOKUP(AE75,db_fifarank,2,FALSE)</f>
        <v>1717.07</v>
      </c>
      <c r="AR75" s="125">
        <f>AP75/AP78</f>
        <v>0.44444443155265134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5 - 5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2</v>
      </c>
      <c r="AH76" s="123">
        <f>COUNTIF($S$7:$T$78,"=" &amp; AE76 &amp; "_lose")</f>
        <v>1</v>
      </c>
      <c r="AI76" s="123">
        <f>SUMIF($E$7:$E$78,$AE76,$F$7:$F$78) + SUMIF($H$7:$H$78,$AE76,$G$7:$G$78)</f>
        <v>5</v>
      </c>
      <c r="AJ76" s="123">
        <f>SUMIF($E$7:$E$78,$AE76,$G$7:$G$78) + SUMIF($H$7:$H$78,$AE76,$F$7:$F$78)</f>
        <v>7</v>
      </c>
      <c r="AL76" s="123">
        <f>AI76-AJ76</f>
        <v>-2</v>
      </c>
      <c r="AM76" s="123">
        <f>AL76-AL78</f>
        <v>0</v>
      </c>
      <c r="AN76" s="123">
        <f>AF76*3+AG76</f>
        <v>2</v>
      </c>
      <c r="AO76" s="123">
        <f>AN76/AN78*10+BA76</f>
        <v>2</v>
      </c>
      <c r="AP76" s="123">
        <f>AO76*10000000+BI76*100+AM76/AM78*10+AI76/AI78*1++IF(AQ76=0,ROW(),AQ76)/2000000</f>
        <v>20000000.625673156</v>
      </c>
      <c r="AQ76" s="126">
        <f>VLOOKUP(AE76,db_fifarank,2,FALSE)</f>
        <v>1346.31</v>
      </c>
      <c r="AR76" s="125">
        <f>AP76/AP78</f>
        <v>0.2222222033782433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2</v>
      </c>
      <c r="N77" s="23">
        <f>VLOOKUP(3,AD74:AN77,5,FALSE)</f>
        <v>1</v>
      </c>
      <c r="O77" s="23" t="str">
        <f>VLOOKUP(3,AD74:AN77,6,FALSE) &amp; " - " &amp; VLOOKUP(3,AD74:AN77,7,FALSE)</f>
        <v>5 - 7</v>
      </c>
      <c r="P77" s="34">
        <f>L77*3+M77</f>
        <v>2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4</v>
      </c>
      <c r="AJ77" s="123">
        <f>SUMIF($E$7:$E$78,$AE77,$G$7:$G$78) + SUMIF($H$7:$H$78,$AE77,$F$7:$F$78)</f>
        <v>6</v>
      </c>
      <c r="AL77" s="123">
        <f>AI77-AJ77</f>
        <v>-2</v>
      </c>
      <c r="AM77" s="123">
        <f>AL77-AL78</f>
        <v>0</v>
      </c>
      <c r="AN77" s="123">
        <f>AF77*3+AG77</f>
        <v>1</v>
      </c>
      <c r="AO77" s="123">
        <f>AN77/AN78*10+BA77</f>
        <v>1</v>
      </c>
      <c r="AP77" s="123">
        <f>AO77*10000000+BI77*100+AM77/AM78*10+AI77/AI78*1++IF(AQ77=0,ROW(),AQ77)/2000000</f>
        <v>10000000.500770319</v>
      </c>
      <c r="AQ77" s="126">
        <f>VLOOKUP(AE77,db_fifarank,2,FALSE)</f>
        <v>1540.64</v>
      </c>
      <c r="AR77" s="125">
        <f>AP77/AP78</f>
        <v>0.1111111037772741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3</v>
      </c>
      <c r="G78" s="20">
        <v>3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4 - 6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3</v>
      </c>
      <c r="W78" s="123">
        <f t="shared" si="22"/>
        <v>3</v>
      </c>
      <c r="X78" s="123">
        <f t="shared" si="32"/>
        <v>1</v>
      </c>
      <c r="Y78" s="123">
        <f t="shared" si="33"/>
        <v>3</v>
      </c>
      <c r="Z78" s="123">
        <f t="shared" si="34"/>
        <v>3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3</v>
      </c>
      <c r="AH78" s="123">
        <f t="shared" si="36"/>
        <v>3</v>
      </c>
      <c r="AI78" s="123">
        <f>MAX(AI74:AI77)+1</f>
        <v>8</v>
      </c>
      <c r="AL78" s="123">
        <f>MIN(AL74:AL77)</f>
        <v>-2</v>
      </c>
      <c r="AM78" s="123">
        <f>MAX(AM74:AM77)+1</f>
        <v>7</v>
      </c>
      <c r="AN78" s="123">
        <f>MAX(AN74:AN77)+1</f>
        <v>10</v>
      </c>
      <c r="AO78" s="123">
        <f>MAX(AO74:AO77)+1</f>
        <v>10</v>
      </c>
      <c r="AP78" s="123">
        <f>MAX(AP74:AP77)+1</f>
        <v>90000010.447341546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</v>
      </c>
      <c r="AE80" s="124" t="str">
        <f>J11</f>
        <v>Mexico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3</v>
      </c>
      <c r="AK80" s="123" t="s">
        <v>3180</v>
      </c>
      <c r="AL80" s="123">
        <f>VLOOKUP($AE80,$AE$8:$AQ$78,8,FALSE)</f>
        <v>1</v>
      </c>
      <c r="AM80" s="123">
        <f>AL80-$AL$92</f>
        <v>9</v>
      </c>
      <c r="AN80" s="123">
        <f>VLOOKUP($AE80,$AE$8:$AQ$78,10,FALSE)</f>
        <v>4</v>
      </c>
      <c r="AP80" s="123">
        <f>AN80/AN92*10000+AM80/AM92*1000+AI80/AI92*100+IF(AQ80=0,ROW(),AQ80)/2000000</f>
        <v>8966.6675071816662</v>
      </c>
      <c r="AQ80" s="126">
        <f t="shared" ref="AQ80:AQ91" si="37">VLOOKUP($AE80,$AE$8:$AQ$78,13,FALSE)</f>
        <v>1681.03</v>
      </c>
      <c r="AR80" s="125" t="str">
        <f>IF(AD80&lt;=8,RIGHT(AK80,1),"")</f>
        <v>A</v>
      </c>
      <c r="AS80" s="129" t="str">
        <f>IF(AD80&lt;=8,AE80,"")</f>
        <v>Mexico</v>
      </c>
      <c r="AT80" s="130" t="str">
        <f>"Ⓐ "&amp;AE80</f>
        <v>Ⓐ Mexico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Ⓐ Mexico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7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7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4750.0006929199999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Scotland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2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3</v>
      </c>
      <c r="AJ82" s="123">
        <f t="shared" si="42"/>
        <v>3</v>
      </c>
      <c r="AK82" s="123" t="s">
        <v>3182</v>
      </c>
      <c r="AL82" s="123">
        <f t="shared" si="43"/>
        <v>0</v>
      </c>
      <c r="AM82" s="123">
        <f t="shared" si="44"/>
        <v>8</v>
      </c>
      <c r="AN82" s="123">
        <f t="shared" si="45"/>
        <v>4</v>
      </c>
      <c r="AP82" s="123">
        <f>AN82/AN92*10000+AM82/AM92*1000+AI82/AI92*100+IF(AQ82=0,ROW(),AQ82)/2000000</f>
        <v>8850.0007491750002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Ⓘ Norway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4 - 5</v>
      </c>
      <c r="P83" s="101">
        <f t="shared" si="48"/>
        <v>3</v>
      </c>
      <c r="AD83" s="123">
        <f t="shared" si="38"/>
        <v>4</v>
      </c>
      <c r="AE83" s="124" t="str">
        <f>J29</f>
        <v>Australia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7</v>
      </c>
      <c r="AN83" s="123">
        <f t="shared" si="45"/>
        <v>3</v>
      </c>
      <c r="AP83" s="123">
        <f>AN83/AN92*10000+AM83/AM92*1000+AI83/AI92*100+IF(AQ83=0,ROW(),AQ83)/2000000</f>
        <v>6750.0007903349997</v>
      </c>
      <c r="AQ83" s="126">
        <f t="shared" si="37"/>
        <v>1580.67</v>
      </c>
      <c r="AR83" s="125" t="str">
        <f t="shared" si="50"/>
        <v>ABCD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Ⓓ Australia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6</v>
      </c>
      <c r="AE84" s="124" t="str">
        <f>J35</f>
        <v>Curaçao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1</v>
      </c>
      <c r="AJ84" s="123">
        <f t="shared" si="42"/>
        <v>9</v>
      </c>
      <c r="AK84" s="123" t="s">
        <v>3185</v>
      </c>
      <c r="AL84" s="123">
        <f t="shared" si="43"/>
        <v>-8</v>
      </c>
      <c r="AM84" s="123">
        <f t="shared" si="44"/>
        <v>0</v>
      </c>
      <c r="AN84" s="123">
        <f t="shared" si="45"/>
        <v>3</v>
      </c>
      <c r="AP84" s="123">
        <f>AN84/AN92*10000+AM84/AM92*1000+AI84/AI92*100+IF(AQ84=0,ROW(),AQ84)/2000000</f>
        <v>6016.6673139916666</v>
      </c>
      <c r="AQ84" s="126">
        <f t="shared" si="37"/>
        <v>1294.6500000000001</v>
      </c>
      <c r="AR84" s="125" t="str">
        <f t="shared" si="50"/>
        <v>ABCDE</v>
      </c>
      <c r="AS84" s="129" t="str">
        <f t="shared" si="46"/>
        <v>Curaçao</v>
      </c>
      <c r="AT84" s="130" t="str">
        <f>"Ⓔ "&amp;AE84</f>
        <v>Ⓔ Curaçao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Ⓗ Saudi Arabia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3 - 6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Japan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2</v>
      </c>
      <c r="AJ85" s="123">
        <f t="shared" si="42"/>
        <v>3</v>
      </c>
      <c r="AK85" s="123" t="s">
        <v>3186</v>
      </c>
      <c r="AL85" s="123">
        <f t="shared" si="43"/>
        <v>-1</v>
      </c>
      <c r="AM85" s="123">
        <f t="shared" si="44"/>
        <v>7</v>
      </c>
      <c r="AN85" s="123">
        <f t="shared" si="45"/>
        <v>2</v>
      </c>
      <c r="AP85" s="123">
        <f>AN85/AN92*10000+AM85/AM92*1000+AI85/AI92*100+IF(AQ85=0,ROW(),AQ85)/2000000</f>
        <v>4733.334163548333</v>
      </c>
      <c r="AQ85" s="126">
        <f t="shared" si="37"/>
        <v>1660.43</v>
      </c>
      <c r="AR85" s="125" t="str">
        <f t="shared" si="50"/>
        <v>ABCDEF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Ⓔ Curaçao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1 - 9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10</v>
      </c>
      <c r="AE86" s="124" t="str">
        <f>J47</f>
        <v>Egypt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2</v>
      </c>
      <c r="AJ86" s="123">
        <f t="shared" si="42"/>
        <v>4</v>
      </c>
      <c r="AK86" s="123" t="s">
        <v>3187</v>
      </c>
      <c r="AL86" s="123">
        <f t="shared" si="43"/>
        <v>-2</v>
      </c>
      <c r="AM86" s="123">
        <f t="shared" si="44"/>
        <v>6</v>
      </c>
      <c r="AN86" s="123">
        <f t="shared" si="45"/>
        <v>2</v>
      </c>
      <c r="AP86" s="123">
        <f>AN86/AN92*10000+AM86/AM92*1000+AI86/AI92*100+IF(AQ86=0,ROW(),AQ86)/2000000</f>
        <v>4633.3341149533335</v>
      </c>
      <c r="AQ86" s="126">
        <f t="shared" si="37"/>
        <v>1563.24</v>
      </c>
      <c r="AR86" s="125" t="str">
        <f t="shared" si="50"/>
        <v>ABCDEF</v>
      </c>
      <c r="AS86" s="129" t="str">
        <f t="shared" si="46"/>
        <v/>
      </c>
      <c r="AT86" s="130" t="str">
        <f>"Ⓖ "&amp;AE86</f>
        <v>Ⓖ Egypt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Ⓑ Bosnia and Herzegovina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3 - 4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5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6</v>
      </c>
      <c r="AK87" s="123" t="s">
        <v>3188</v>
      </c>
      <c r="AL87" s="123">
        <f t="shared" si="43"/>
        <v>-3</v>
      </c>
      <c r="AM87" s="123">
        <f t="shared" si="44"/>
        <v>5</v>
      </c>
      <c r="AN87" s="123">
        <f t="shared" si="45"/>
        <v>3</v>
      </c>
      <c r="AP87" s="123">
        <f>AN87/AN92*10000+AM87/AM92*1000+AI87/AI92*100+IF(AQ87=0,ROW(),AQ87)/2000000</f>
        <v>6550.0007107150004</v>
      </c>
      <c r="AQ87" s="126">
        <f t="shared" si="37"/>
        <v>1421.43</v>
      </c>
      <c r="AR87" s="125" t="str">
        <f t="shared" si="50"/>
        <v>ABCDEFH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Ⓕ Japan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2 - 3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South Africa</v>
      </c>
      <c r="T88" s="127" t="str" cm="1">
        <f t="array" ref="T88">IF(OR(S88="",S88="draw"),INDEX(T,90,lang),S88)</f>
        <v>South Africa</v>
      </c>
      <c r="AD88" s="123">
        <f t="shared" si="38"/>
        <v>3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5</v>
      </c>
      <c r="AK88" s="123" t="s">
        <v>3189</v>
      </c>
      <c r="AL88" s="123">
        <f t="shared" si="43"/>
        <v>-1</v>
      </c>
      <c r="AM88" s="123">
        <f t="shared" si="44"/>
        <v>7</v>
      </c>
      <c r="AN88" s="123">
        <f t="shared" si="45"/>
        <v>3</v>
      </c>
      <c r="AP88" s="123">
        <f>AN88/AN92*10000+AM88/AM92*1000+AI88/AI92*100+IF(AQ88=0,ROW(),AQ88)/2000000</f>
        <v>6766.667442136667</v>
      </c>
      <c r="AQ88" s="126">
        <f t="shared" si="37"/>
        <v>1550.94</v>
      </c>
      <c r="AR88" s="125" t="str">
        <f t="shared" si="50"/>
        <v>ABCDEFHI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Ghana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5 - 7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11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1</v>
      </c>
      <c r="AJ89" s="123">
        <f t="shared" si="42"/>
        <v>4</v>
      </c>
      <c r="AK89" s="123" t="s">
        <v>3190</v>
      </c>
      <c r="AL89" s="123">
        <f t="shared" si="43"/>
        <v>-3</v>
      </c>
      <c r="AM89" s="123">
        <f t="shared" si="44"/>
        <v>5</v>
      </c>
      <c r="AN89" s="123">
        <f t="shared" si="45"/>
        <v>2</v>
      </c>
      <c r="AP89" s="123">
        <f>AN89/AN92*10000+AM89/AM92*1000+AI89/AI92*100+IF(AQ89=0,ROW(),AQ89)/2000000</f>
        <v>4516.6674487966666</v>
      </c>
      <c r="AQ89" s="126">
        <f t="shared" si="37"/>
        <v>1564.26</v>
      </c>
      <c r="AR89" s="125" t="str">
        <f t="shared" si="50"/>
        <v>ABCDEFHI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Egypt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2 - 4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3</v>
      </c>
      <c r="AJ90" s="123">
        <f t="shared" si="42"/>
        <v>7</v>
      </c>
      <c r="AK90" s="123" t="s">
        <v>3191</v>
      </c>
      <c r="AL90" s="123">
        <f t="shared" si="43"/>
        <v>-4</v>
      </c>
      <c r="AM90" s="123">
        <f t="shared" si="44"/>
        <v>4</v>
      </c>
      <c r="AN90" s="123">
        <f t="shared" si="45"/>
        <v>1</v>
      </c>
      <c r="AP90" s="123">
        <f>AN90/AN92*10000+AM90/AM92*1000+AI90/AI92*100+IF(AQ90=0,ROW(),AQ90)/2000000</f>
        <v>2450.0007326700002</v>
      </c>
      <c r="AQ90" s="126">
        <f t="shared" si="37"/>
        <v>1465.34</v>
      </c>
      <c r="AR90" s="125" t="str">
        <f t="shared" si="50"/>
        <v>ABCDEFHI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Ⓙ Algeria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1 - 4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9</v>
      </c>
      <c r="AE91" s="124" t="str">
        <f>J77</f>
        <v>Ghana</v>
      </c>
      <c r="AF91" s="123">
        <f t="shared" si="39"/>
        <v>0</v>
      </c>
      <c r="AG91" s="123">
        <f t="shared" si="49"/>
        <v>2</v>
      </c>
      <c r="AH91" s="123">
        <f>VLOOKUP($AE91,$AE$8:$AQ$78,4,FALSE)</f>
        <v>1</v>
      </c>
      <c r="AI91" s="123">
        <f>VLOOKUP($AE91,$AE$8:$AQ$78,5,FALSE)</f>
        <v>5</v>
      </c>
      <c r="AJ91" s="123">
        <f>VLOOKUP($AE91,$AE$8:$AQ$78,6,FALSE)</f>
        <v>7</v>
      </c>
      <c r="AK91" s="123" t="s">
        <v>3192</v>
      </c>
      <c r="AL91" s="123">
        <f>VLOOKUP($AE91,$AE$8:$AQ$78,8,FALSE)</f>
        <v>-2</v>
      </c>
      <c r="AM91" s="123">
        <f t="shared" si="44"/>
        <v>6</v>
      </c>
      <c r="AN91" s="123">
        <f>VLOOKUP($AE91,$AE$8:$AQ$78,10,FALSE)</f>
        <v>2</v>
      </c>
      <c r="AP91" s="123">
        <f>AN91/AN92*10000+AM91/AM92*1000+AI91/AI92*100+IF(AQ91=0,ROW(),AQ91)/2000000</f>
        <v>4683.3340064883332</v>
      </c>
      <c r="AQ91" s="126">
        <f t="shared" si="37"/>
        <v>1346.31</v>
      </c>
      <c r="AR91" s="125" t="str">
        <f t="shared" si="50"/>
        <v>ABCDEFHI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Uzbekistan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3 - 7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10</v>
      </c>
      <c r="AL92" s="123">
        <f>MIN(AL80:AL91)</f>
        <v>-8</v>
      </c>
      <c r="AM92" s="123">
        <f>MAX(AM80:AM91)+1</f>
        <v>10</v>
      </c>
      <c r="AN92" s="123">
        <f>MAX(AN80:AN91)+1</f>
        <v>5</v>
      </c>
      <c r="AS92" s="126" t="b">
        <f>SUM(K9:K78)=144</f>
        <v>0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Germany</v>
      </c>
      <c r="T102" s="127" t="str" cm="1">
        <f t="array" ref="T102">IF(OR(S102="",S102="draw"),INDEX(T,98,lang),S102)</f>
        <v>Germany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xWindow="1015" yWindow="483"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490</v>
      </c>
      <c r="C3" s="121" t="str">
        <f>'2026 World Cup'!AR91</f>
        <v>ABCDEFHI</v>
      </c>
      <c r="D3" s="121" t="str">
        <f>VLOOKUP($C3,$C$6:$K$500,2,FALSE)</f>
        <v>3H</v>
      </c>
      <c r="E3" s="121" t="str">
        <f>VLOOKUP($C3,$C$6:$K$500,3,FALSE)</f>
        <v>3E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3D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Usuario</cp:lastModifiedBy>
  <cp:revision/>
  <dcterms:created xsi:type="dcterms:W3CDTF">2017-12-27T19:32:51Z</dcterms:created>
  <dcterms:modified xsi:type="dcterms:W3CDTF">2026-06-11T12:31:39Z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