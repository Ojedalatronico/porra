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23250" windowHeight="12450" firstSheet="1" activeTab="2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/>
  <c r="BP11" s="1"/>
  <c r="AA6"/>
  <c r="CR48"/>
  <c r="CR49" s="1"/>
  <c r="CR37"/>
  <c r="CK55"/>
  <c r="CK56" s="1"/>
  <c r="CK23"/>
  <c r="CK24" s="1"/>
  <c r="CD64"/>
  <c r="CD65" s="1"/>
  <c r="CD48"/>
  <c r="CD49" s="1"/>
  <c r="CD32"/>
  <c r="CD33" s="1"/>
  <c r="CD16"/>
  <c r="CD17" s="1"/>
  <c r="BW68"/>
  <c r="BW69" s="1"/>
  <c r="BW60"/>
  <c r="BW61" s="1"/>
  <c r="BW52"/>
  <c r="BW53" s="1"/>
  <c r="BW44"/>
  <c r="BW45" s="1"/>
  <c r="BW36"/>
  <c r="BW37" s="1"/>
  <c r="BW28"/>
  <c r="BW29" s="1"/>
  <c r="BW20"/>
  <c r="BW21" s="1"/>
  <c r="BW12"/>
  <c r="BW13" s="1"/>
  <c r="BP70"/>
  <c r="BP71" s="1"/>
  <c r="BP66"/>
  <c r="BP67" s="1"/>
  <c r="BP62"/>
  <c r="BP63" s="1"/>
  <c r="BP58"/>
  <c r="BP59" s="1"/>
  <c r="BP54"/>
  <c r="BP55" s="1"/>
  <c r="BP50"/>
  <c r="BP51" s="1"/>
  <c r="BP46"/>
  <c r="BP47" s="1"/>
  <c r="BP42"/>
  <c r="BP43" s="1"/>
  <c r="BP38"/>
  <c r="BP39" s="1"/>
  <c r="BP34"/>
  <c r="BP35" s="1"/>
  <c r="BP30"/>
  <c r="BP31" s="1"/>
  <c r="BP26"/>
  <c r="BP27" s="1"/>
  <c r="BP22"/>
  <c r="BP23" s="1"/>
  <c r="BP18"/>
  <c r="BP19" s="1"/>
  <c r="BP14"/>
  <c r="BP15" s="1"/>
  <c r="X102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T107"/>
  <c r="J80"/>
  <c r="CR38" l="1"/>
  <c r="O3"/>
  <c r="G65" i="2"/>
  <c r="G16"/>
  <c r="CD31" i="3" s="1"/>
  <c r="G15" i="2"/>
  <c r="CE68" i="3" s="1"/>
  <c r="BW19" l="1"/>
  <c r="BR19" s="1" a="1"/>
  <c r="BR19" s="1"/>
  <c r="BW59"/>
  <c r="BR59" s="1" a="1"/>
  <c r="BR59" s="1"/>
  <c r="BP53"/>
  <c r="BK53" s="1" a="1"/>
  <c r="BK53" s="1"/>
  <c r="BP29"/>
  <c r="BK29" s="1" a="1"/>
  <c r="BK29" s="1"/>
  <c r="BP17"/>
  <c r="BK17" s="1" a="1"/>
  <c r="BK17" s="1"/>
  <c r="BP45"/>
  <c r="BK45" s="1" a="1"/>
  <c r="BK45" s="1"/>
  <c r="BP41"/>
  <c r="R53"/>
  <c r="R29"/>
  <c r="R49"/>
  <c r="R44"/>
  <c r="R20"/>
  <c r="R45"/>
  <c r="R22"/>
  <c r="R41"/>
  <c r="R16"/>
  <c r="R31"/>
  <c r="R38"/>
  <c r="R58"/>
  <c r="R57"/>
  <c r="R32"/>
  <c r="R14"/>
  <c r="AE8"/>
  <c r="AE9"/>
  <c r="AE10"/>
  <c r="AE11"/>
  <c r="AE14"/>
  <c r="AE15"/>
  <c r="AE16"/>
  <c r="AE17"/>
  <c r="AE20"/>
  <c r="AE21"/>
  <c r="AE22"/>
  <c r="AE23"/>
  <c r="AE26"/>
  <c r="AE27"/>
  <c r="AE28"/>
  <c r="AE29"/>
  <c r="AE32"/>
  <c r="AE33"/>
  <c r="AE34"/>
  <c r="AE35"/>
  <c r="AE38"/>
  <c r="AE39"/>
  <c r="AE40"/>
  <c r="AE41"/>
  <c r="AE44"/>
  <c r="AE45"/>
  <c r="AE46"/>
  <c r="AE47"/>
  <c r="AE50"/>
  <c r="AE51"/>
  <c r="AE52"/>
  <c r="AE53"/>
  <c r="AE56"/>
  <c r="AE57"/>
  <c r="AE58"/>
  <c r="AE59"/>
  <c r="AE62"/>
  <c r="AE63"/>
  <c r="AE64"/>
  <c r="AE65"/>
  <c r="AE68"/>
  <c r="AE69"/>
  <c r="AE70"/>
  <c r="AE71"/>
  <c r="AE74"/>
  <c r="AE75"/>
  <c r="AE76"/>
  <c r="AE77"/>
  <c r="R7"/>
  <c r="R8"/>
  <c r="R9"/>
  <c r="R10"/>
  <c r="R11"/>
  <c r="R12"/>
  <c r="R13"/>
  <c r="R15"/>
  <c r="R17"/>
  <c r="R18"/>
  <c r="R19"/>
  <c r="R21"/>
  <c r="R23"/>
  <c r="R24"/>
  <c r="R25"/>
  <c r="R26"/>
  <c r="R27"/>
  <c r="R28"/>
  <c r="R30"/>
  <c r="R33"/>
  <c r="R34"/>
  <c r="R35"/>
  <c r="R36"/>
  <c r="R37"/>
  <c r="R39"/>
  <c r="R40"/>
  <c r="R42"/>
  <c r="R43"/>
  <c r="R46"/>
  <c r="R47"/>
  <c r="R48"/>
  <c r="R50"/>
  <c r="R51"/>
  <c r="R52"/>
  <c r="R54"/>
  <c r="R55"/>
  <c r="R56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84"/>
  <c r="R85"/>
  <c r="R86"/>
  <c r="R87"/>
  <c r="R88"/>
  <c r="R89"/>
  <c r="R90"/>
  <c r="R91"/>
  <c r="R95"/>
  <c r="R96"/>
  <c r="R97"/>
  <c r="R98"/>
  <c r="R102"/>
  <c r="R103"/>
  <c r="R107"/>
  <c r="R111"/>
  <c r="B65" i="2"/>
  <c r="B61"/>
  <c r="B58"/>
  <c r="B52"/>
  <c r="B51"/>
  <c r="B50"/>
  <c r="BR6" i="3" a="1"/>
  <c r="BR6" s="1"/>
  <c r="BY6" a="1"/>
  <c r="BY6" s="1"/>
  <c r="CF6" a="1"/>
  <c r="CF6" s="1"/>
  <c r="CM33" a="1"/>
  <c r="CM33" s="1"/>
  <c r="X103" s="1"/>
  <c r="CM44" a="1"/>
  <c r="CM44" s="1"/>
  <c r="P8" a="1"/>
  <c r="P8" s="1"/>
  <c r="O8" a="1"/>
  <c r="O8" s="1"/>
  <c r="N8" a="1"/>
  <c r="N8" s="1"/>
  <c r="M8" a="1"/>
  <c r="M8" s="1"/>
  <c r="L8" a="1"/>
  <c r="L8" s="1"/>
  <c r="K8" a="1"/>
  <c r="K8" s="1"/>
  <c r="P14" a="1"/>
  <c r="P14" s="1"/>
  <c r="O14" a="1"/>
  <c r="O14" s="1"/>
  <c r="N14" a="1"/>
  <c r="N14" s="1"/>
  <c r="M14" a="1"/>
  <c r="M14" s="1"/>
  <c r="L14" a="1"/>
  <c r="L14" s="1"/>
  <c r="K14" a="1"/>
  <c r="K14" s="1"/>
  <c r="P20" a="1"/>
  <c r="P20" s="1"/>
  <c r="O20" a="1"/>
  <c r="O20" s="1"/>
  <c r="N20" a="1"/>
  <c r="N20" s="1"/>
  <c r="M20" a="1"/>
  <c r="M20" s="1"/>
  <c r="L20" a="1"/>
  <c r="L20" s="1"/>
  <c r="K20" a="1"/>
  <c r="K20" s="1"/>
  <c r="P26" a="1"/>
  <c r="P26" s="1"/>
  <c r="O26" a="1"/>
  <c r="O26" s="1"/>
  <c r="N26" a="1"/>
  <c r="N26" s="1"/>
  <c r="M26" a="1"/>
  <c r="M26" s="1"/>
  <c r="L26" a="1"/>
  <c r="L26" s="1"/>
  <c r="K26" a="1"/>
  <c r="K26" s="1"/>
  <c r="P32" a="1"/>
  <c r="P32" s="1"/>
  <c r="O32" a="1"/>
  <c r="O32" s="1"/>
  <c r="N32" a="1"/>
  <c r="N32" s="1"/>
  <c r="M32" a="1"/>
  <c r="M32" s="1"/>
  <c r="L32" a="1"/>
  <c r="L32" s="1"/>
  <c r="K32" a="1"/>
  <c r="K32" s="1"/>
  <c r="P38" a="1"/>
  <c r="P38" s="1"/>
  <c r="O38" a="1"/>
  <c r="O38" s="1"/>
  <c r="N38" a="1"/>
  <c r="N38" s="1"/>
  <c r="M38" a="1"/>
  <c r="M38" s="1"/>
  <c r="L38" a="1"/>
  <c r="L38" s="1"/>
  <c r="K38" a="1"/>
  <c r="K38" s="1"/>
  <c r="P44" a="1"/>
  <c r="P44" s="1"/>
  <c r="O44" a="1"/>
  <c r="O44" s="1"/>
  <c r="N44" a="1"/>
  <c r="N44" s="1"/>
  <c r="M44" a="1"/>
  <c r="M44" s="1"/>
  <c r="L44" a="1"/>
  <c r="L44" s="1"/>
  <c r="K44" a="1"/>
  <c r="K44" s="1"/>
  <c r="P50" a="1"/>
  <c r="P50" s="1"/>
  <c r="O50" a="1"/>
  <c r="O50" s="1"/>
  <c r="N50" a="1"/>
  <c r="N50" s="1"/>
  <c r="M50" a="1"/>
  <c r="M50" s="1"/>
  <c r="L50" a="1"/>
  <c r="L50" s="1"/>
  <c r="K50" a="1"/>
  <c r="K50" s="1"/>
  <c r="P56" a="1"/>
  <c r="P56" s="1"/>
  <c r="O56" a="1"/>
  <c r="O56" s="1"/>
  <c r="N56" a="1"/>
  <c r="N56" s="1"/>
  <c r="M56" a="1"/>
  <c r="M56" s="1"/>
  <c r="L56" a="1"/>
  <c r="L56" s="1"/>
  <c r="K56" a="1"/>
  <c r="K56" s="1"/>
  <c r="P62" a="1"/>
  <c r="P62" s="1"/>
  <c r="O62" a="1"/>
  <c r="O62" s="1"/>
  <c r="N62" a="1"/>
  <c r="N62" s="1"/>
  <c r="M62" a="1"/>
  <c r="M62" s="1"/>
  <c r="L62" a="1"/>
  <c r="L62" s="1"/>
  <c r="K62" a="1"/>
  <c r="K62" s="1"/>
  <c r="P68" a="1"/>
  <c r="P68" s="1"/>
  <c r="O68" a="1"/>
  <c r="O68" s="1"/>
  <c r="N68" a="1"/>
  <c r="N68" s="1"/>
  <c r="M68" a="1"/>
  <c r="M68" s="1"/>
  <c r="L68" a="1"/>
  <c r="L68" s="1"/>
  <c r="K68" a="1"/>
  <c r="K68" s="1"/>
  <c r="P74" a="1"/>
  <c r="P74" s="1"/>
  <c r="O74" a="1"/>
  <c r="O74" s="1"/>
  <c r="N74" a="1"/>
  <c r="N74" s="1"/>
  <c r="M74" a="1"/>
  <c r="M74" s="1"/>
  <c r="L74" a="1"/>
  <c r="L74" s="1"/>
  <c r="K74" a="1"/>
  <c r="K74" s="1"/>
  <c r="P80" a="1"/>
  <c r="P80" s="1"/>
  <c r="O80" a="1"/>
  <c r="O80" s="1"/>
  <c r="N80" a="1"/>
  <c r="N80" s="1"/>
  <c r="M80" a="1"/>
  <c r="M80" s="1"/>
  <c r="L80" a="1"/>
  <c r="L80" s="1"/>
  <c r="K80" a="1"/>
  <c r="K80" s="1"/>
  <c r="J74" a="1"/>
  <c r="J74" s="1"/>
  <c r="J68" a="1"/>
  <c r="J68" s="1"/>
  <c r="J62" a="1"/>
  <c r="J62" s="1"/>
  <c r="J56" a="1"/>
  <c r="J56" s="1"/>
  <c r="J50" a="1"/>
  <c r="J50" s="1"/>
  <c r="J44" a="1"/>
  <c r="J44" s="1"/>
  <c r="J38" a="1"/>
  <c r="J38" s="1"/>
  <c r="J32" a="1"/>
  <c r="J32" s="1"/>
  <c r="J26" a="1"/>
  <c r="J26" s="1"/>
  <c r="J20" a="1"/>
  <c r="J20" s="1"/>
  <c r="J14" a="1"/>
  <c r="J14" s="1"/>
  <c r="J8" a="1"/>
  <c r="J8" s="1"/>
  <c r="A5" a="1"/>
  <c r="A5" s="1"/>
  <c r="A1" a="1"/>
  <c r="A1" s="1"/>
  <c r="B60" i="2"/>
  <c r="B59"/>
  <c r="B57"/>
  <c r="B56"/>
  <c r="B55"/>
  <c r="B54"/>
  <c r="B53"/>
  <c r="B49"/>
  <c r="B48"/>
  <c r="B47"/>
  <c r="B46"/>
  <c r="B45"/>
  <c r="B44"/>
  <c r="B43"/>
  <c r="B42"/>
  <c r="B41"/>
  <c r="B40"/>
  <c r="B39"/>
  <c r="B38"/>
  <c r="B66"/>
  <c r="B64"/>
  <c r="B63"/>
  <c r="B62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CR36" i="3"/>
  <c r="CM36" s="1" a="1"/>
  <c r="CM36" s="1"/>
  <c r="CR47"/>
  <c r="CM47" s="1" a="1"/>
  <c r="CM47" s="1"/>
  <c r="CK54"/>
  <c r="CF54" s="1" a="1"/>
  <c r="CF54" s="1"/>
  <c r="CD47"/>
  <c r="BY47" s="1" a="1"/>
  <c r="BY47" s="1"/>
  <c r="CK22"/>
  <c r="CF22" s="1" a="1"/>
  <c r="CF22" s="1"/>
  <c r="CD63"/>
  <c r="BY63" s="1" a="1"/>
  <c r="BY63" s="1"/>
  <c r="BY31" a="1"/>
  <c r="BY31" s="1"/>
  <c r="BW67"/>
  <c r="BR67" s="1" a="1"/>
  <c r="BR67" s="1"/>
  <c r="CD15"/>
  <c r="BY15" s="1" a="1"/>
  <c r="BY15" s="1"/>
  <c r="BW51"/>
  <c r="BR51" s="1" a="1"/>
  <c r="BR51" s="1"/>
  <c r="BW35"/>
  <c r="BR35" s="1" a="1"/>
  <c r="BR35" s="1"/>
  <c r="BW43"/>
  <c r="BR43" s="1" a="1"/>
  <c r="BR43" s="1"/>
  <c r="BW27"/>
  <c r="BR27" s="1" a="1"/>
  <c r="BR27" s="1"/>
  <c r="BP69"/>
  <c r="BK69" s="1" a="1"/>
  <c r="BK69" s="1"/>
  <c r="BW11"/>
  <c r="BR11" s="1" a="1"/>
  <c r="BR11" s="1"/>
  <c r="BP61"/>
  <c r="BK61" s="1" a="1"/>
  <c r="BK61" s="1"/>
  <c r="BP65"/>
  <c r="BK65" s="1" a="1"/>
  <c r="BK65" s="1"/>
  <c r="BP57"/>
  <c r="BK57" s="1" a="1"/>
  <c r="BK57" s="1"/>
  <c r="BP49"/>
  <c r="BK49" s="1" a="1"/>
  <c r="BK49" s="1"/>
  <c r="BK41" a="1"/>
  <c r="BK41" s="1"/>
  <c r="BP37"/>
  <c r="BK37" s="1" a="1"/>
  <c r="BK37" s="1"/>
  <c r="BP33"/>
  <c r="BK33" s="1" a="1"/>
  <c r="BK33" s="1"/>
  <c r="BP25"/>
  <c r="BK25" s="1" a="1"/>
  <c r="BK25" s="1"/>
  <c r="BP21"/>
  <c r="BK21" s="1" a="1"/>
  <c r="BK21" s="1"/>
  <c r="BP13"/>
  <c r="BK13" s="1" a="1"/>
  <c r="BK13" s="1"/>
  <c r="BP9"/>
  <c r="BK9" s="1" a="1"/>
  <c r="BK9" s="1"/>
  <c r="I15" i="2"/>
  <c r="AA7" l="1" a="1"/>
  <c r="AA7" s="1"/>
  <c r="AQ77" i="3"/>
  <c r="AQ76"/>
  <c r="AQ75"/>
  <c r="AQ74"/>
  <c r="AQ71"/>
  <c r="AQ70"/>
  <c r="AQ69"/>
  <c r="AQ68"/>
  <c r="AQ65"/>
  <c r="AQ64"/>
  <c r="AQ63"/>
  <c r="AQ62"/>
  <c r="AQ59"/>
  <c r="AQ58"/>
  <c r="AQ57"/>
  <c r="AQ56"/>
  <c r="AQ53"/>
  <c r="AQ52"/>
  <c r="AQ51"/>
  <c r="AQ50"/>
  <c r="AQ47"/>
  <c r="AQ46"/>
  <c r="AQ45"/>
  <c r="AQ44"/>
  <c r="AQ41"/>
  <c r="AQ40"/>
  <c r="AQ39"/>
  <c r="AQ38"/>
  <c r="AQ35"/>
  <c r="AQ34"/>
  <c r="AQ33"/>
  <c r="AQ32"/>
  <c r="AQ29"/>
  <c r="AQ28"/>
  <c r="AQ27"/>
  <c r="AQ26"/>
  <c r="AQ23"/>
  <c r="AQ22"/>
  <c r="AQ21"/>
  <c r="AQ20"/>
  <c r="AQ17"/>
  <c r="AQ16"/>
  <c r="AQ15"/>
  <c r="AQ14"/>
  <c r="AQ11"/>
  <c r="AQ10"/>
  <c r="AQ9"/>
  <c r="AQ8"/>
  <c r="C7" a="1"/>
  <c r="C7" s="1"/>
  <c r="B7" a="1"/>
  <c r="B7" s="1"/>
  <c r="D8"/>
  <c r="C8" a="1"/>
  <c r="C8" s="1"/>
  <c r="B8" a="1"/>
  <c r="B8" s="1"/>
  <c r="D10"/>
  <c r="C10" a="1"/>
  <c r="C10" s="1"/>
  <c r="B10" a="1"/>
  <c r="B10" s="1"/>
  <c r="D18"/>
  <c r="C18" a="1"/>
  <c r="C18" s="1"/>
  <c r="B18" a="1"/>
  <c r="B18" s="1"/>
  <c r="D30"/>
  <c r="C30" a="1"/>
  <c r="C30" s="1"/>
  <c r="B30" a="1"/>
  <c r="B30" s="1"/>
  <c r="D54"/>
  <c r="C54" a="1"/>
  <c r="C54" s="1"/>
  <c r="B54" a="1"/>
  <c r="B54" s="1"/>
  <c r="D65"/>
  <c r="C65" a="1"/>
  <c r="C65" s="1"/>
  <c r="B65" a="1"/>
  <c r="B65" s="1"/>
  <c r="D66"/>
  <c r="C66" a="1"/>
  <c r="C66" s="1"/>
  <c r="B66" a="1"/>
  <c r="B66" s="1"/>
  <c r="D75"/>
  <c r="C75" a="1"/>
  <c r="C75" s="1"/>
  <c r="B75" a="1"/>
  <c r="B75" s="1"/>
  <c r="D76"/>
  <c r="C76" a="1"/>
  <c r="C76" s="1"/>
  <c r="B76" a="1"/>
  <c r="B76" s="1"/>
  <c r="D34"/>
  <c r="C34" a="1"/>
  <c r="C34" s="1"/>
  <c r="B34" a="1"/>
  <c r="B34" s="1"/>
  <c r="D59"/>
  <c r="C59" a="1"/>
  <c r="C59" s="1"/>
  <c r="B59" a="1"/>
  <c r="B59" s="1"/>
  <c r="D60"/>
  <c r="C60" a="1"/>
  <c r="C60" s="1"/>
  <c r="B60" a="1"/>
  <c r="B60" s="1"/>
  <c r="D42"/>
  <c r="C42" a="1"/>
  <c r="C42" s="1"/>
  <c r="B42" a="1"/>
  <c r="B42" s="1"/>
  <c r="D72"/>
  <c r="C72" a="1"/>
  <c r="C72" s="1"/>
  <c r="B72" a="1"/>
  <c r="B72" s="1"/>
  <c r="D31"/>
  <c r="C31" a="1"/>
  <c r="C31" s="1"/>
  <c r="B31" a="1"/>
  <c r="B31" s="1"/>
  <c r="D9"/>
  <c r="C9" a="1"/>
  <c r="C9" s="1"/>
  <c r="B9" a="1"/>
  <c r="B9" s="1"/>
  <c r="D13"/>
  <c r="C13" a="1"/>
  <c r="C13" s="1"/>
  <c r="B13" a="1"/>
  <c r="B13" s="1"/>
  <c r="D11"/>
  <c r="C11" a="1"/>
  <c r="C11" s="1"/>
  <c r="B11" a="1"/>
  <c r="B11" s="1"/>
  <c r="D35"/>
  <c r="C35" a="1"/>
  <c r="C35" s="1"/>
  <c r="B35" a="1"/>
  <c r="B35" s="1"/>
  <c r="D36"/>
  <c r="C36" a="1"/>
  <c r="C36" s="1"/>
  <c r="B36" a="1"/>
  <c r="B36" s="1"/>
  <c r="D55"/>
  <c r="C55" a="1"/>
  <c r="C55" s="1"/>
  <c r="B55" a="1"/>
  <c r="B55" s="1"/>
  <c r="D56"/>
  <c r="C56" a="1"/>
  <c r="C56" s="1"/>
  <c r="B56" a="1"/>
  <c r="B56" s="1"/>
  <c r="D15"/>
  <c r="C15" a="1"/>
  <c r="C15" s="1"/>
  <c r="B15" a="1"/>
  <c r="B15" s="1"/>
  <c r="D39"/>
  <c r="C39" a="1"/>
  <c r="C39" s="1"/>
  <c r="B39" a="1"/>
  <c r="B39" s="1"/>
  <c r="D61"/>
  <c r="C61" a="1"/>
  <c r="C61" s="1"/>
  <c r="B61" a="1"/>
  <c r="B61" s="1"/>
  <c r="D62"/>
  <c r="C62" a="1"/>
  <c r="C62" s="1"/>
  <c r="B62" a="1"/>
  <c r="B62" s="1"/>
  <c r="D20"/>
  <c r="C20" a="1"/>
  <c r="C20" s="1"/>
  <c r="B20" a="1"/>
  <c r="B20" s="1"/>
  <c r="D19"/>
  <c r="C19" a="1"/>
  <c r="C19" s="1"/>
  <c r="B19" a="1"/>
  <c r="B19" s="1"/>
  <c r="D43"/>
  <c r="C43" a="1"/>
  <c r="C43" s="1"/>
  <c r="B43" a="1"/>
  <c r="B43" s="1"/>
  <c r="D44"/>
  <c r="C44" a="1"/>
  <c r="C44" s="1"/>
  <c r="B44" a="1"/>
  <c r="B44" s="1"/>
  <c r="D23"/>
  <c r="C23" a="1"/>
  <c r="C23" s="1"/>
  <c r="B23" a="1"/>
  <c r="B23" s="1"/>
  <c r="D24"/>
  <c r="C24" a="1"/>
  <c r="C24" s="1"/>
  <c r="B24" a="1"/>
  <c r="B24" s="1"/>
  <c r="D48"/>
  <c r="C48" a="1"/>
  <c r="C48" s="1"/>
  <c r="B48" a="1"/>
  <c r="B48" s="1"/>
  <c r="D47"/>
  <c r="C47" a="1"/>
  <c r="C47" s="1"/>
  <c r="B47" a="1"/>
  <c r="B47" s="1"/>
  <c r="D67"/>
  <c r="C67" a="1"/>
  <c r="C67" s="1"/>
  <c r="B67" a="1"/>
  <c r="B67" s="1"/>
  <c r="D68"/>
  <c r="C68" a="1"/>
  <c r="C68" s="1"/>
  <c r="B68" a="1"/>
  <c r="B68" s="1"/>
  <c r="D77"/>
  <c r="C77" a="1"/>
  <c r="C77" s="1"/>
  <c r="B77" a="1"/>
  <c r="B77" s="1"/>
  <c r="D78"/>
  <c r="C78" a="1"/>
  <c r="C78" s="1"/>
  <c r="B78" a="1"/>
  <c r="B78" s="1"/>
  <c r="D27"/>
  <c r="C27" a="1"/>
  <c r="C27" s="1"/>
  <c r="B27" a="1"/>
  <c r="B27" s="1"/>
  <c r="D51"/>
  <c r="C51" a="1"/>
  <c r="C51" s="1"/>
  <c r="B51" a="1"/>
  <c r="B51" s="1"/>
  <c r="D52"/>
  <c r="C52" a="1"/>
  <c r="C52" s="1"/>
  <c r="B52" a="1"/>
  <c r="B52" s="1"/>
  <c r="D73"/>
  <c r="C73" a="1"/>
  <c r="C73" s="1"/>
  <c r="B73" a="1"/>
  <c r="B73" s="1"/>
  <c r="D74"/>
  <c r="C74" a="1"/>
  <c r="C74" s="1"/>
  <c r="B74" a="1"/>
  <c r="B74" s="1"/>
  <c r="D14"/>
  <c r="C14" a="1"/>
  <c r="C14" s="1"/>
  <c r="B14" a="1"/>
  <c r="B14" s="1"/>
  <c r="D32"/>
  <c r="C32" a="1"/>
  <c r="C32" s="1"/>
  <c r="B32" a="1"/>
  <c r="B32" s="1"/>
  <c r="D33"/>
  <c r="C33" a="1"/>
  <c r="C33" s="1"/>
  <c r="B33" a="1"/>
  <c r="B33" s="1"/>
  <c r="D57"/>
  <c r="C57" a="1"/>
  <c r="C57" s="1"/>
  <c r="B57" a="1"/>
  <c r="B57" s="1"/>
  <c r="D58"/>
  <c r="C58" a="1"/>
  <c r="C58" s="1"/>
  <c r="B58" a="1"/>
  <c r="B58" s="1"/>
  <c r="D12"/>
  <c r="C12" a="1"/>
  <c r="C12" s="1"/>
  <c r="B12" a="1"/>
  <c r="B12" s="1"/>
  <c r="D38"/>
  <c r="C38" a="1"/>
  <c r="C38" s="1"/>
  <c r="B38" a="1"/>
  <c r="B38" s="1"/>
  <c r="D37"/>
  <c r="C37" a="1"/>
  <c r="C37" s="1"/>
  <c r="B37" a="1"/>
  <c r="B37" s="1"/>
  <c r="D22"/>
  <c r="C22" a="1"/>
  <c r="C22" s="1"/>
  <c r="B22" a="1"/>
  <c r="B22" s="1"/>
  <c r="D21"/>
  <c r="C21" a="1"/>
  <c r="C21" s="1"/>
  <c r="B21" a="1"/>
  <c r="B21" s="1"/>
  <c r="D45"/>
  <c r="C45" a="1"/>
  <c r="C45" s="1"/>
  <c r="B45" a="1"/>
  <c r="B45" s="1"/>
  <c r="D46"/>
  <c r="C46" a="1"/>
  <c r="C46" s="1"/>
  <c r="B46" a="1"/>
  <c r="B46" s="1"/>
  <c r="D69"/>
  <c r="C69" a="1"/>
  <c r="C69" s="1"/>
  <c r="B69" a="1"/>
  <c r="B69" s="1"/>
  <c r="D70"/>
  <c r="C70" a="1"/>
  <c r="C70" s="1"/>
  <c r="B70" a="1"/>
  <c r="B70" s="1"/>
  <c r="D26"/>
  <c r="C26" a="1"/>
  <c r="C26" s="1"/>
  <c r="B26" a="1"/>
  <c r="B26" s="1"/>
  <c r="D50"/>
  <c r="C50" a="1"/>
  <c r="C50" s="1"/>
  <c r="B50" a="1"/>
  <c r="B50" s="1"/>
  <c r="D16"/>
  <c r="C16" a="1"/>
  <c r="C16" s="1"/>
  <c r="B16" a="1"/>
  <c r="B16" s="1"/>
  <c r="D40"/>
  <c r="C40" a="1"/>
  <c r="C40" s="1"/>
  <c r="B40" a="1"/>
  <c r="B40" s="1"/>
  <c r="D17"/>
  <c r="C17" a="1"/>
  <c r="C17" s="1"/>
  <c r="B17" a="1"/>
  <c r="B17" s="1"/>
  <c r="D41"/>
  <c r="C41" a="1"/>
  <c r="C41" s="1"/>
  <c r="B41" a="1"/>
  <c r="B41" s="1"/>
  <c r="D63"/>
  <c r="C63" a="1"/>
  <c r="C63" s="1"/>
  <c r="B63" a="1"/>
  <c r="B63" s="1"/>
  <c r="D64"/>
  <c r="C64" a="1"/>
  <c r="C64" s="1"/>
  <c r="B64" a="1"/>
  <c r="B64" s="1"/>
  <c r="D71"/>
  <c r="C71" a="1"/>
  <c r="C71" s="1"/>
  <c r="B71" a="1"/>
  <c r="B71" s="1"/>
  <c r="D25"/>
  <c r="C25" a="1"/>
  <c r="C25" s="1"/>
  <c r="B25" a="1"/>
  <c r="B25" s="1"/>
  <c r="D49"/>
  <c r="C49" a="1"/>
  <c r="C49" s="1"/>
  <c r="B49" a="1"/>
  <c r="B49" s="1"/>
  <c r="D29"/>
  <c r="C29" a="1"/>
  <c r="C29" s="1"/>
  <c r="B29" a="1"/>
  <c r="B29" s="1"/>
  <c r="D53"/>
  <c r="C53" a="1"/>
  <c r="C53" s="1"/>
  <c r="B53" a="1"/>
  <c r="B53" s="1"/>
  <c r="D28"/>
  <c r="C28" a="1"/>
  <c r="C28" s="1"/>
  <c r="B28" a="1"/>
  <c r="B28" s="1"/>
  <c r="E35"/>
  <c r="H36"/>
  <c r="H35"/>
  <c r="E36"/>
  <c r="H77"/>
  <c r="E53"/>
  <c r="E29"/>
  <c r="H59"/>
  <c r="E34"/>
  <c r="E7"/>
  <c r="E60"/>
  <c r="H31"/>
  <c r="H7"/>
  <c r="H57"/>
  <c r="E33"/>
  <c r="AA33" s="1"/>
  <c r="E9"/>
  <c r="H60"/>
  <c r="H34"/>
  <c r="E8"/>
  <c r="H58"/>
  <c r="H33"/>
  <c r="E14"/>
  <c r="AA14" s="1"/>
  <c r="E57"/>
  <c r="E32"/>
  <c r="H14"/>
  <c r="H55"/>
  <c r="E13"/>
  <c r="AA13" s="1"/>
  <c r="E56"/>
  <c r="H13"/>
  <c r="H56"/>
  <c r="E11"/>
  <c r="E55"/>
  <c r="H11"/>
  <c r="H65"/>
  <c r="E37"/>
  <c r="E10"/>
  <c r="E66"/>
  <c r="AA66" s="1"/>
  <c r="H38"/>
  <c r="H10"/>
  <c r="H66"/>
  <c r="H37"/>
  <c r="E65"/>
  <c r="AA65" s="1"/>
  <c r="E38"/>
  <c r="H62"/>
  <c r="E39"/>
  <c r="E16"/>
  <c r="E61"/>
  <c r="H40"/>
  <c r="H16"/>
  <c r="H61"/>
  <c r="H39"/>
  <c r="E15"/>
  <c r="E62"/>
  <c r="E40"/>
  <c r="H15"/>
  <c r="H64"/>
  <c r="E41"/>
  <c r="E17"/>
  <c r="E63"/>
  <c r="H42"/>
  <c r="H17"/>
  <c r="H63"/>
  <c r="H41"/>
  <c r="E18"/>
  <c r="E64"/>
  <c r="E42"/>
  <c r="H18"/>
  <c r="H70"/>
  <c r="E45"/>
  <c r="H69"/>
  <c r="H45"/>
  <c r="E21"/>
  <c r="E70"/>
  <c r="E46"/>
  <c r="AA46" s="1"/>
  <c r="H21"/>
  <c r="H72"/>
  <c r="E44"/>
  <c r="E20"/>
  <c r="H71"/>
  <c r="H44"/>
  <c r="E19"/>
  <c r="E72"/>
  <c r="AA72" s="1"/>
  <c r="E43"/>
  <c r="H19"/>
  <c r="H67"/>
  <c r="E48"/>
  <c r="AA48" s="1"/>
  <c r="E23"/>
  <c r="AA23" s="1"/>
  <c r="E68"/>
  <c r="H47"/>
  <c r="H23"/>
  <c r="E67"/>
  <c r="E47"/>
  <c r="AA47" s="1"/>
  <c r="H24"/>
  <c r="H76"/>
  <c r="E49"/>
  <c r="E25"/>
  <c r="E75"/>
  <c r="AA75" s="1"/>
  <c r="H50"/>
  <c r="H25"/>
  <c r="H75"/>
  <c r="H49"/>
  <c r="E26"/>
  <c r="E76"/>
  <c r="E50"/>
  <c r="H26"/>
  <c r="E78"/>
  <c r="H54"/>
  <c r="H29"/>
  <c r="H78"/>
  <c r="H53"/>
  <c r="E30"/>
  <c r="AA30" s="1"/>
  <c r="E77"/>
  <c r="E54"/>
  <c r="H30"/>
  <c r="H73"/>
  <c r="E51"/>
  <c r="E28"/>
  <c r="E74"/>
  <c r="H52"/>
  <c r="H28"/>
  <c r="H74"/>
  <c r="H51"/>
  <c r="E27"/>
  <c r="AA27" s="1"/>
  <c r="E73"/>
  <c r="E52"/>
  <c r="H27"/>
  <c r="E71"/>
  <c r="AA71" s="1"/>
  <c r="H43"/>
  <c r="H20"/>
  <c r="E59"/>
  <c r="E31"/>
  <c r="E58"/>
  <c r="H32"/>
  <c r="E69"/>
  <c r="AA69" s="1"/>
  <c r="H46"/>
  <c r="H68"/>
  <c r="H48"/>
  <c r="E24"/>
  <c r="E12"/>
  <c r="H8"/>
  <c r="H22"/>
  <c r="H12"/>
  <c r="E22"/>
  <c r="H9"/>
  <c r="AA9" s="1"/>
  <c r="D7"/>
  <c r="AA70" l="1"/>
  <c r="AA52"/>
  <c r="AA54"/>
  <c r="AA15"/>
  <c r="AA42"/>
  <c r="AA40"/>
  <c r="AA12"/>
  <c r="AA76"/>
  <c r="AA67"/>
  <c r="AA28"/>
  <c r="AA19"/>
  <c r="AA45"/>
  <c r="AA34"/>
  <c r="AA50"/>
  <c r="AA55"/>
  <c r="AA78"/>
  <c r="AA16"/>
  <c r="AA31"/>
  <c r="AA49"/>
  <c r="AA37"/>
  <c r="AA51"/>
  <c r="AA38"/>
  <c r="AA11"/>
  <c r="AA8"/>
  <c r="AA29"/>
  <c r="AA35"/>
  <c r="AA58"/>
  <c r="AA26"/>
  <c r="AA20"/>
  <c r="AA10"/>
  <c r="AA32"/>
  <c r="AA53"/>
  <c r="AA25"/>
  <c r="AA21"/>
  <c r="AA24"/>
  <c r="AA22"/>
  <c r="AA43"/>
  <c r="AA44"/>
  <c r="AA64"/>
  <c r="AA63"/>
  <c r="AA62"/>
  <c r="AA61"/>
  <c r="AA57"/>
  <c r="AA60"/>
  <c r="AA59"/>
  <c r="AA73"/>
  <c r="AA74"/>
  <c r="AA77"/>
  <c r="AA68"/>
  <c r="AA18"/>
  <c r="AA17"/>
  <c r="AA56"/>
  <c r="AA7"/>
  <c r="AA36"/>
  <c r="AA41"/>
  <c r="AA39"/>
  <c r="S12"/>
  <c r="T12" s="1"/>
  <c r="S27"/>
  <c r="T27" s="1"/>
  <c r="S74"/>
  <c r="T74" s="1"/>
  <c r="S28"/>
  <c r="T28" s="1"/>
  <c r="S51"/>
  <c r="T51" s="1"/>
  <c r="S30"/>
  <c r="T30" s="1"/>
  <c r="S78"/>
  <c r="T78" s="1"/>
  <c r="S26"/>
  <c r="T26" s="1"/>
  <c r="S75"/>
  <c r="T75" s="1"/>
  <c r="S25"/>
  <c r="T25" s="1"/>
  <c r="S49"/>
  <c r="T49" s="1"/>
  <c r="S68"/>
  <c r="T68" s="1"/>
  <c r="S23"/>
  <c r="T23" s="1"/>
  <c r="S48"/>
  <c r="T48" s="1"/>
  <c r="S43"/>
  <c r="T43" s="1"/>
  <c r="S19"/>
  <c r="T19" s="1"/>
  <c r="S20"/>
  <c r="T20" s="1"/>
  <c r="S44"/>
  <c r="T44" s="1"/>
  <c r="S46"/>
  <c r="T46" s="1"/>
  <c r="S21"/>
  <c r="T21" s="1"/>
  <c r="S45"/>
  <c r="T45" s="1"/>
  <c r="S18"/>
  <c r="T18" s="1"/>
  <c r="S63"/>
  <c r="T63" s="1"/>
  <c r="S17"/>
  <c r="T17" s="1"/>
  <c r="S41"/>
  <c r="T41" s="1"/>
  <c r="S15"/>
  <c r="T15" s="1"/>
  <c r="S61"/>
  <c r="T61" s="1"/>
  <c r="S16"/>
  <c r="T16" s="1"/>
  <c r="S39"/>
  <c r="T39" s="1"/>
  <c r="S66"/>
  <c r="T66" s="1"/>
  <c r="S10"/>
  <c r="T10" s="1"/>
  <c r="S37"/>
  <c r="T37" s="1"/>
  <c r="S11"/>
  <c r="T11" s="1"/>
  <c r="S56"/>
  <c r="T56" s="1"/>
  <c r="S13"/>
  <c r="T13" s="1"/>
  <c r="S32"/>
  <c r="T32" s="1"/>
  <c r="S14"/>
  <c r="T14" s="1"/>
  <c r="S8"/>
  <c r="T8" s="1"/>
  <c r="S9"/>
  <c r="T9" s="1"/>
  <c r="S33"/>
  <c r="T33" s="1"/>
  <c r="S60"/>
  <c r="T60" s="1"/>
  <c r="S34"/>
  <c r="T34" s="1"/>
  <c r="S29"/>
  <c r="T29" s="1"/>
  <c r="S53"/>
  <c r="T53" s="1"/>
  <c r="S35"/>
  <c r="T35" s="1"/>
  <c r="S7"/>
  <c r="T7" s="1"/>
  <c r="S22"/>
  <c r="S24"/>
  <c r="S69"/>
  <c r="S58"/>
  <c r="S31"/>
  <c r="S59"/>
  <c r="S71"/>
  <c r="S52"/>
  <c r="S73"/>
  <c r="S54"/>
  <c r="S77"/>
  <c r="S50"/>
  <c r="S76"/>
  <c r="S47"/>
  <c r="S67"/>
  <c r="S72"/>
  <c r="S70"/>
  <c r="S42"/>
  <c r="S64"/>
  <c r="S40"/>
  <c r="S62"/>
  <c r="S38"/>
  <c r="S65"/>
  <c r="S55"/>
  <c r="S57"/>
  <c r="S36"/>
  <c r="AI8"/>
  <c r="AJ8"/>
  <c r="AI9"/>
  <c r="AJ9"/>
  <c r="AI10"/>
  <c r="AJ10"/>
  <c r="AI11"/>
  <c r="AJ11"/>
  <c r="AI14"/>
  <c r="AJ14"/>
  <c r="AI15"/>
  <c r="AJ15"/>
  <c r="AI16"/>
  <c r="AJ16"/>
  <c r="AI17"/>
  <c r="AJ17"/>
  <c r="AI20"/>
  <c r="AJ20"/>
  <c r="AI21"/>
  <c r="AJ21"/>
  <c r="AI22"/>
  <c r="AJ22"/>
  <c r="AI23"/>
  <c r="AJ23"/>
  <c r="AI26"/>
  <c r="AJ26"/>
  <c r="AI27"/>
  <c r="AJ27"/>
  <c r="AI28"/>
  <c r="AJ28"/>
  <c r="AI29"/>
  <c r="AJ29"/>
  <c r="AI32"/>
  <c r="AJ32"/>
  <c r="AI33"/>
  <c r="AJ33"/>
  <c r="AI34"/>
  <c r="AJ34"/>
  <c r="AI35"/>
  <c r="AJ35"/>
  <c r="AI38"/>
  <c r="AJ38"/>
  <c r="AI39"/>
  <c r="AJ39"/>
  <c r="AI40"/>
  <c r="AJ40"/>
  <c r="AI41"/>
  <c r="AJ41"/>
  <c r="AI44"/>
  <c r="AJ44"/>
  <c r="AI45"/>
  <c r="AJ45"/>
  <c r="AI46"/>
  <c r="AJ46"/>
  <c r="AI47"/>
  <c r="AJ47"/>
  <c r="AI50"/>
  <c r="AJ50"/>
  <c r="AI51"/>
  <c r="AJ51"/>
  <c r="AI52"/>
  <c r="AJ52"/>
  <c r="AI53"/>
  <c r="AJ53"/>
  <c r="AI56"/>
  <c r="AJ56"/>
  <c r="AI57"/>
  <c r="AJ57"/>
  <c r="AI58"/>
  <c r="AJ58"/>
  <c r="AI59"/>
  <c r="AJ59"/>
  <c r="AI62"/>
  <c r="AJ62"/>
  <c r="AI63"/>
  <c r="AJ63"/>
  <c r="AI64"/>
  <c r="AJ64"/>
  <c r="AI65"/>
  <c r="AJ65"/>
  <c r="AI68"/>
  <c r="AJ68"/>
  <c r="AI69"/>
  <c r="AJ69"/>
  <c r="AI70"/>
  <c r="AJ70"/>
  <c r="AI71"/>
  <c r="AJ71"/>
  <c r="AI74"/>
  <c r="AJ74"/>
  <c r="AI75"/>
  <c r="AJ75"/>
  <c r="AI76"/>
  <c r="AJ76"/>
  <c r="AI77"/>
  <c r="AJ77"/>
  <c r="T36" l="1"/>
  <c r="T57"/>
  <c r="T55"/>
  <c r="T65"/>
  <c r="T38"/>
  <c r="T62"/>
  <c r="T40"/>
  <c r="T64"/>
  <c r="T42"/>
  <c r="T70"/>
  <c r="T72"/>
  <c r="T67"/>
  <c r="T47"/>
  <c r="T76"/>
  <c r="T50"/>
  <c r="T77"/>
  <c r="T54"/>
  <c r="T73"/>
  <c r="T52"/>
  <c r="T71"/>
  <c r="T59"/>
  <c r="T31"/>
  <c r="T58"/>
  <c r="T69"/>
  <c r="T24"/>
  <c r="T22"/>
  <c r="AL77"/>
  <c r="AL76"/>
  <c r="AL75"/>
  <c r="AL74"/>
  <c r="AI78"/>
  <c r="AL71"/>
  <c r="AL70"/>
  <c r="AL69"/>
  <c r="AL68"/>
  <c r="AI72"/>
  <c r="AL65"/>
  <c r="AL64"/>
  <c r="AL63"/>
  <c r="AL62"/>
  <c r="AI66"/>
  <c r="AL59"/>
  <c r="AL58"/>
  <c r="AL57"/>
  <c r="AL56"/>
  <c r="AI60"/>
  <c r="AL53"/>
  <c r="AL52"/>
  <c r="AL51"/>
  <c r="AL50"/>
  <c r="AI54"/>
  <c r="AL47"/>
  <c r="AL46"/>
  <c r="AL45"/>
  <c r="AL44"/>
  <c r="AI48"/>
  <c r="AL41"/>
  <c r="AL40"/>
  <c r="AL39"/>
  <c r="AL38"/>
  <c r="AI42"/>
  <c r="AL35"/>
  <c r="AL34"/>
  <c r="AL33"/>
  <c r="AL32"/>
  <c r="AI36"/>
  <c r="AL29"/>
  <c r="AL28"/>
  <c r="AL27"/>
  <c r="AL26"/>
  <c r="AI30"/>
  <c r="AL23"/>
  <c r="AL22"/>
  <c r="AL21"/>
  <c r="AL20"/>
  <c r="AI24"/>
  <c r="AL17"/>
  <c r="AL16"/>
  <c r="AL15"/>
  <c r="AL14"/>
  <c r="AI18"/>
  <c r="AL11"/>
  <c r="AL10"/>
  <c r="AL9"/>
  <c r="AL8"/>
  <c r="AI12"/>
  <c r="AF77" l="1"/>
  <c r="AG77"/>
  <c r="AH77"/>
  <c r="AF76"/>
  <c r="AG76"/>
  <c r="AH76"/>
  <c r="AF75"/>
  <c r="AG75"/>
  <c r="AH75"/>
  <c r="AF74"/>
  <c r="AG74"/>
  <c r="AH74"/>
  <c r="AF71"/>
  <c r="AG71"/>
  <c r="AH71"/>
  <c r="AF70"/>
  <c r="AG70"/>
  <c r="AH70"/>
  <c r="AF69"/>
  <c r="AG69"/>
  <c r="AH69"/>
  <c r="AF68"/>
  <c r="AG68"/>
  <c r="AH68"/>
  <c r="AF65"/>
  <c r="AG65"/>
  <c r="AH65"/>
  <c r="AF64"/>
  <c r="AG64"/>
  <c r="AH64"/>
  <c r="AF63"/>
  <c r="AG63"/>
  <c r="AH63"/>
  <c r="AF62"/>
  <c r="AG62"/>
  <c r="AH62"/>
  <c r="AF59"/>
  <c r="AG59"/>
  <c r="AH59"/>
  <c r="AF58"/>
  <c r="AG58"/>
  <c r="AH58"/>
  <c r="AF57"/>
  <c r="AG57"/>
  <c r="AH57"/>
  <c r="AF56"/>
  <c r="AG56"/>
  <c r="AH56"/>
  <c r="AF53"/>
  <c r="AG53"/>
  <c r="AH53"/>
  <c r="AF52"/>
  <c r="AG52"/>
  <c r="AH52"/>
  <c r="AF51"/>
  <c r="AG51"/>
  <c r="AH51"/>
  <c r="AF50"/>
  <c r="AG50"/>
  <c r="AH50"/>
  <c r="AF47"/>
  <c r="AG47"/>
  <c r="AH47"/>
  <c r="AF46"/>
  <c r="AG46"/>
  <c r="AH46"/>
  <c r="AF45"/>
  <c r="AG45"/>
  <c r="AH45"/>
  <c r="AF44"/>
  <c r="AG44"/>
  <c r="AH44"/>
  <c r="AF41"/>
  <c r="AG41"/>
  <c r="AH41"/>
  <c r="AF40"/>
  <c r="AG40"/>
  <c r="AH40"/>
  <c r="AF39"/>
  <c r="AG39"/>
  <c r="AH39"/>
  <c r="AF38"/>
  <c r="AG38"/>
  <c r="AH38"/>
  <c r="AF35"/>
  <c r="AG35"/>
  <c r="AH35"/>
  <c r="AF34"/>
  <c r="AG34"/>
  <c r="AH34"/>
  <c r="AF33"/>
  <c r="AG33"/>
  <c r="AH33"/>
  <c r="AF32"/>
  <c r="AG32"/>
  <c r="AH32"/>
  <c r="AF29"/>
  <c r="AG29"/>
  <c r="AH29"/>
  <c r="AF28"/>
  <c r="AG28"/>
  <c r="AH28"/>
  <c r="AF27"/>
  <c r="AG27"/>
  <c r="AH27"/>
  <c r="AF26"/>
  <c r="AG26"/>
  <c r="AH26"/>
  <c r="AF23"/>
  <c r="AG23"/>
  <c r="AH23"/>
  <c r="AF22"/>
  <c r="AG22"/>
  <c r="AH22"/>
  <c r="AF21"/>
  <c r="AG21"/>
  <c r="AH21"/>
  <c r="AF20"/>
  <c r="AG20"/>
  <c r="AH20"/>
  <c r="AF17"/>
  <c r="AG17"/>
  <c r="AH17"/>
  <c r="AF16"/>
  <c r="AG16"/>
  <c r="AH16"/>
  <c r="AF15"/>
  <c r="AG15"/>
  <c r="AH15"/>
  <c r="AF14"/>
  <c r="AG14"/>
  <c r="AH14"/>
  <c r="AF11"/>
  <c r="AG11"/>
  <c r="AH11"/>
  <c r="AF10"/>
  <c r="AG10"/>
  <c r="AH10"/>
  <c r="AF9"/>
  <c r="AG9"/>
  <c r="AH9"/>
  <c r="AF8"/>
  <c r="AG8"/>
  <c r="AH8"/>
  <c r="AL12"/>
  <c r="AM8" s="1"/>
  <c r="AL18"/>
  <c r="AM14" s="1"/>
  <c r="AL24"/>
  <c r="AM20" s="1"/>
  <c r="AL30"/>
  <c r="AM26" s="1"/>
  <c r="AL36"/>
  <c r="AM32" s="1"/>
  <c r="AL42"/>
  <c r="AM38" s="1"/>
  <c r="AL48"/>
  <c r="AM44" s="1"/>
  <c r="AL54"/>
  <c r="AM50" s="1"/>
  <c r="AL60"/>
  <c r="AM56" s="1"/>
  <c r="AL66"/>
  <c r="AM62" s="1"/>
  <c r="AL72"/>
  <c r="AM68" s="1"/>
  <c r="AL78"/>
  <c r="AM74" s="1"/>
  <c r="AM70" l="1"/>
  <c r="AM23"/>
  <c r="AH12"/>
  <c r="AM27"/>
  <c r="AM47"/>
  <c r="AM21"/>
  <c r="AM75"/>
  <c r="AM46"/>
  <c r="AM22"/>
  <c r="AM35"/>
  <c r="AM53"/>
  <c r="AM17"/>
  <c r="AM77"/>
  <c r="AM51"/>
  <c r="AM29"/>
  <c r="AM15"/>
  <c r="AH24"/>
  <c r="AH36"/>
  <c r="AH48"/>
  <c r="AH60"/>
  <c r="AH72"/>
  <c r="AM65"/>
  <c r="AM34"/>
  <c r="AG12"/>
  <c r="AG24"/>
  <c r="AM63"/>
  <c r="AM59"/>
  <c r="AM58"/>
  <c r="AM41"/>
  <c r="AM11"/>
  <c r="AM71"/>
  <c r="AM39"/>
  <c r="AM10"/>
  <c r="AM76"/>
  <c r="AM64"/>
  <c r="AM52"/>
  <c r="AM40"/>
  <c r="AM28"/>
  <c r="AM16"/>
  <c r="AG36"/>
  <c r="AG48"/>
  <c r="AG60"/>
  <c r="AG72"/>
  <c r="AH18"/>
  <c r="AH30"/>
  <c r="AH42"/>
  <c r="AH54"/>
  <c r="AH66"/>
  <c r="AH78"/>
  <c r="AG30"/>
  <c r="AG42"/>
  <c r="AG54"/>
  <c r="AG66"/>
  <c r="AG78"/>
  <c r="AM69"/>
  <c r="AM57"/>
  <c r="AM45"/>
  <c r="AM33"/>
  <c r="AM9"/>
  <c r="AG18"/>
  <c r="AN8"/>
  <c r="AF12"/>
  <c r="AN9"/>
  <c r="AN10"/>
  <c r="AN11"/>
  <c r="AN14"/>
  <c r="AF18"/>
  <c r="AN15"/>
  <c r="AN16"/>
  <c r="AN17"/>
  <c r="AN20"/>
  <c r="AF24"/>
  <c r="AN21"/>
  <c r="AN22"/>
  <c r="AN23"/>
  <c r="AN26"/>
  <c r="AF30"/>
  <c r="AN27"/>
  <c r="AN28"/>
  <c r="AN29"/>
  <c r="AN32"/>
  <c r="AF36"/>
  <c r="AN33"/>
  <c r="AN34"/>
  <c r="AN35"/>
  <c r="AN38"/>
  <c r="AF42"/>
  <c r="AN39"/>
  <c r="AN40"/>
  <c r="AN41"/>
  <c r="AN44"/>
  <c r="AF48"/>
  <c r="AN45"/>
  <c r="AN46"/>
  <c r="AN47"/>
  <c r="AN50"/>
  <c r="AF54"/>
  <c r="AN51"/>
  <c r="AN52"/>
  <c r="AN53"/>
  <c r="AN56"/>
  <c r="AF60"/>
  <c r="AN57"/>
  <c r="AN58"/>
  <c r="AN59"/>
  <c r="AN62"/>
  <c r="AF66"/>
  <c r="AN63"/>
  <c r="AN64"/>
  <c r="AN65"/>
  <c r="AN68"/>
  <c r="AF72"/>
  <c r="AN69"/>
  <c r="AN70"/>
  <c r="AN71"/>
  <c r="AN74"/>
  <c r="AF78"/>
  <c r="AN75"/>
  <c r="AN76"/>
  <c r="AN77"/>
  <c r="AM72" l="1"/>
  <c r="AM24"/>
  <c r="AM42"/>
  <c r="AM54"/>
  <c r="AM18"/>
  <c r="AM36"/>
  <c r="AM78"/>
  <c r="AM66"/>
  <c r="AM48"/>
  <c r="AM12"/>
  <c r="AM60"/>
  <c r="AM30"/>
  <c r="U73"/>
  <c r="U52"/>
  <c r="U27"/>
  <c r="U74"/>
  <c r="AN78"/>
  <c r="U28"/>
  <c r="U51"/>
  <c r="U77"/>
  <c r="U54"/>
  <c r="U30"/>
  <c r="U78"/>
  <c r="AN72"/>
  <c r="U29"/>
  <c r="U53"/>
  <c r="U76"/>
  <c r="U50"/>
  <c r="U26"/>
  <c r="U75"/>
  <c r="AN66"/>
  <c r="U25"/>
  <c r="U49"/>
  <c r="U67"/>
  <c r="U47"/>
  <c r="U24"/>
  <c r="U68"/>
  <c r="AN60"/>
  <c r="U23"/>
  <c r="U48"/>
  <c r="U43"/>
  <c r="U72"/>
  <c r="U19"/>
  <c r="U71"/>
  <c r="AN54"/>
  <c r="U20"/>
  <c r="U44"/>
  <c r="U46"/>
  <c r="U70"/>
  <c r="U21"/>
  <c r="U69"/>
  <c r="AN48"/>
  <c r="U45"/>
  <c r="U22"/>
  <c r="U64"/>
  <c r="U42"/>
  <c r="U18"/>
  <c r="U63"/>
  <c r="AN42"/>
  <c r="U17"/>
  <c r="U41"/>
  <c r="U62"/>
  <c r="U40"/>
  <c r="U15"/>
  <c r="U61"/>
  <c r="AN36"/>
  <c r="U16"/>
  <c r="U39"/>
  <c r="U65"/>
  <c r="U38"/>
  <c r="U12"/>
  <c r="U66"/>
  <c r="AN30"/>
  <c r="U10"/>
  <c r="U37"/>
  <c r="U36"/>
  <c r="U55"/>
  <c r="U11"/>
  <c r="U56"/>
  <c r="AN24"/>
  <c r="U13"/>
  <c r="U35"/>
  <c r="U32"/>
  <c r="U57"/>
  <c r="U14"/>
  <c r="U58"/>
  <c r="AN18"/>
  <c r="U9"/>
  <c r="U33"/>
  <c r="U59"/>
  <c r="U31"/>
  <c r="U8"/>
  <c r="U60"/>
  <c r="AN12"/>
  <c r="U7"/>
  <c r="U34"/>
  <c r="V34" l="1"/>
  <c r="W34"/>
  <c r="V7"/>
  <c r="W7"/>
  <c r="AT77" a="1"/>
  <c r="AT77" s="1"/>
  <c r="AU77" a="1"/>
  <c r="AU77" s="1"/>
  <c r="AT76" a="1"/>
  <c r="AT76" s="1"/>
  <c r="AU76" a="1"/>
  <c r="AU76" s="1"/>
  <c r="AT75" a="1"/>
  <c r="AT75" s="1"/>
  <c r="AU75" a="1"/>
  <c r="AU75" s="1"/>
  <c r="AT74" a="1"/>
  <c r="AT74" s="1"/>
  <c r="AU74" a="1"/>
  <c r="AU74" s="1"/>
  <c r="AT71" a="1"/>
  <c r="AT71" s="1"/>
  <c r="AU71" a="1"/>
  <c r="AU71" s="1"/>
  <c r="AT70" a="1"/>
  <c r="AT70" s="1"/>
  <c r="AU70" a="1"/>
  <c r="AU70" s="1"/>
  <c r="AT69" a="1"/>
  <c r="AT69" s="1"/>
  <c r="AU69" a="1"/>
  <c r="AU69" s="1"/>
  <c r="AT68" a="1"/>
  <c r="AT68" s="1"/>
  <c r="AU68" a="1"/>
  <c r="AU68" s="1"/>
  <c r="AT65" a="1"/>
  <c r="AT65" s="1"/>
  <c r="AU65" a="1"/>
  <c r="AU65" s="1"/>
  <c r="AT64" a="1"/>
  <c r="AT64" s="1"/>
  <c r="AU64" a="1"/>
  <c r="AU64" s="1"/>
  <c r="AT63" a="1"/>
  <c r="AT63" s="1"/>
  <c r="AU63" a="1"/>
  <c r="AU63" s="1"/>
  <c r="AT62" a="1"/>
  <c r="AT62" s="1"/>
  <c r="AU62" a="1"/>
  <c r="AU62" s="1"/>
  <c r="AT59" a="1"/>
  <c r="AT59" s="1"/>
  <c r="AU59" a="1"/>
  <c r="AU59" s="1"/>
  <c r="AT58" a="1"/>
  <c r="AT58" s="1"/>
  <c r="AU58" a="1"/>
  <c r="AU58" s="1"/>
  <c r="AT57" a="1"/>
  <c r="AT57" s="1"/>
  <c r="AU57" a="1"/>
  <c r="AU57" s="1"/>
  <c r="AT56" a="1"/>
  <c r="AT56" s="1"/>
  <c r="AU56" a="1"/>
  <c r="AU56" s="1"/>
  <c r="AT53" a="1"/>
  <c r="AT53" s="1"/>
  <c r="AU53" a="1"/>
  <c r="AU53" s="1"/>
  <c r="AT52" a="1"/>
  <c r="AT52" s="1"/>
  <c r="AU52" a="1"/>
  <c r="AU52" s="1"/>
  <c r="AT51" a="1"/>
  <c r="AT51" s="1"/>
  <c r="AU51" a="1"/>
  <c r="AU51" s="1"/>
  <c r="AT50" a="1"/>
  <c r="AT50" s="1"/>
  <c r="AU50" a="1"/>
  <c r="AU50" s="1"/>
  <c r="AT47" a="1"/>
  <c r="AT47" s="1"/>
  <c r="AU47" a="1"/>
  <c r="AU47" s="1"/>
  <c r="AT46" a="1"/>
  <c r="AT46" s="1"/>
  <c r="AU46" a="1"/>
  <c r="AU46" s="1"/>
  <c r="AT45" a="1"/>
  <c r="AT45" s="1"/>
  <c r="AU45" a="1"/>
  <c r="AU45" s="1"/>
  <c r="AT44" a="1"/>
  <c r="AT44" s="1"/>
  <c r="AU44" a="1"/>
  <c r="AU44" s="1"/>
  <c r="AT41" a="1"/>
  <c r="AT41" s="1"/>
  <c r="AU41" a="1"/>
  <c r="AU41" s="1"/>
  <c r="AT40" a="1"/>
  <c r="AT40" s="1"/>
  <c r="AU40" a="1"/>
  <c r="AU40" s="1"/>
  <c r="AT39" a="1"/>
  <c r="AT39" s="1"/>
  <c r="AU39" a="1"/>
  <c r="AU39" s="1"/>
  <c r="AT38" a="1"/>
  <c r="AT38" s="1"/>
  <c r="AU38" a="1"/>
  <c r="AU38" s="1"/>
  <c r="AT35" a="1"/>
  <c r="AT35" s="1"/>
  <c r="AU35" a="1"/>
  <c r="AU35" s="1"/>
  <c r="AT34" a="1"/>
  <c r="AT34" s="1"/>
  <c r="AU34" a="1"/>
  <c r="AU34" s="1"/>
  <c r="AT33" a="1"/>
  <c r="AT33" s="1"/>
  <c r="AU33" a="1"/>
  <c r="AU33" s="1"/>
  <c r="AT32" a="1"/>
  <c r="AT32" s="1"/>
  <c r="AU32" a="1"/>
  <c r="AU32" s="1"/>
  <c r="AT29" a="1"/>
  <c r="AT29" s="1"/>
  <c r="AU29" a="1"/>
  <c r="AU29" s="1"/>
  <c r="AT28" a="1"/>
  <c r="AT28" s="1"/>
  <c r="AU28" a="1"/>
  <c r="AU28" s="1"/>
  <c r="AT27" a="1"/>
  <c r="AT27" s="1"/>
  <c r="AU27" a="1"/>
  <c r="AU27" s="1"/>
  <c r="AT26" a="1"/>
  <c r="AT26" s="1"/>
  <c r="AU26" a="1"/>
  <c r="AU26" s="1"/>
  <c r="AT23" a="1"/>
  <c r="AT23" s="1"/>
  <c r="AU23" a="1"/>
  <c r="AU23" s="1"/>
  <c r="AT22" a="1"/>
  <c r="AT22" s="1"/>
  <c r="AU22" a="1"/>
  <c r="AU22" s="1"/>
  <c r="AT21" a="1"/>
  <c r="AT21" s="1"/>
  <c r="AU21" a="1"/>
  <c r="AU21" s="1"/>
  <c r="AT20" a="1"/>
  <c r="AT20" s="1"/>
  <c r="AU20" a="1"/>
  <c r="AU20" s="1"/>
  <c r="AT17" a="1"/>
  <c r="AT17" s="1"/>
  <c r="AU17" a="1"/>
  <c r="AU17" s="1"/>
  <c r="AT16" a="1"/>
  <c r="AT16" s="1"/>
  <c r="AU16" a="1"/>
  <c r="AU16" s="1"/>
  <c r="AT15" a="1"/>
  <c r="AT15" s="1"/>
  <c r="AU15" a="1"/>
  <c r="AU15" s="1"/>
  <c r="AT14" a="1"/>
  <c r="AT14" s="1"/>
  <c r="AU14" a="1"/>
  <c r="AU14" s="1"/>
  <c r="AT11" a="1"/>
  <c r="AT11" s="1"/>
  <c r="AU11" a="1"/>
  <c r="AU11" s="1"/>
  <c r="AT10" a="1"/>
  <c r="AT10" s="1"/>
  <c r="AU10" a="1"/>
  <c r="AU10" s="1"/>
  <c r="AT9" a="1"/>
  <c r="AT9" s="1"/>
  <c r="AU9" a="1"/>
  <c r="AU9" s="1"/>
  <c r="AT8" a="1"/>
  <c r="AT8" s="1"/>
  <c r="AU8" a="1"/>
  <c r="AU8" s="1"/>
  <c r="AV8" a="1"/>
  <c r="AV8" s="1"/>
  <c r="AW8" a="1"/>
  <c r="AW8" s="1"/>
  <c r="AV9" a="1"/>
  <c r="AV9" s="1"/>
  <c r="AW9" a="1"/>
  <c r="AW9" s="1"/>
  <c r="AV10" a="1"/>
  <c r="AV10" s="1"/>
  <c r="AW10" a="1"/>
  <c r="AW10" s="1"/>
  <c r="AV11" a="1"/>
  <c r="AV11" s="1"/>
  <c r="AW11" a="1"/>
  <c r="AW11" s="1"/>
  <c r="AV14" a="1"/>
  <c r="AV14" s="1"/>
  <c r="AW14" a="1"/>
  <c r="AW14" s="1"/>
  <c r="AV15" a="1"/>
  <c r="AV15" s="1"/>
  <c r="AW15" a="1"/>
  <c r="AW15" s="1"/>
  <c r="AV16" a="1"/>
  <c r="AV16" s="1"/>
  <c r="AW16" a="1"/>
  <c r="AW16" s="1"/>
  <c r="AV17" a="1"/>
  <c r="AV17" s="1"/>
  <c r="AW17" a="1"/>
  <c r="AW17" s="1"/>
  <c r="AV20" a="1"/>
  <c r="AV20" s="1"/>
  <c r="AW20" a="1"/>
  <c r="AW20" s="1"/>
  <c r="AV21" a="1"/>
  <c r="AV21" s="1"/>
  <c r="AW21" a="1"/>
  <c r="AW21" s="1"/>
  <c r="AV22" a="1"/>
  <c r="AV22" s="1"/>
  <c r="AW22" a="1"/>
  <c r="AW22" s="1"/>
  <c r="AV23" a="1"/>
  <c r="AV23" s="1"/>
  <c r="AW23" a="1"/>
  <c r="AW23" s="1"/>
  <c r="AV26" a="1"/>
  <c r="AV26" s="1"/>
  <c r="AW26" a="1"/>
  <c r="AW26" s="1"/>
  <c r="AV27" a="1"/>
  <c r="AV27" s="1"/>
  <c r="AW27" a="1"/>
  <c r="AW27" s="1"/>
  <c r="AV28" a="1"/>
  <c r="AV28" s="1"/>
  <c r="AW28" a="1"/>
  <c r="AW28" s="1"/>
  <c r="AV29" a="1"/>
  <c r="AV29" s="1"/>
  <c r="AW29" a="1"/>
  <c r="AW29" s="1"/>
  <c r="AV32" a="1"/>
  <c r="AV32" s="1"/>
  <c r="AW32" a="1"/>
  <c r="AW32" s="1"/>
  <c r="AV33" a="1"/>
  <c r="AV33" s="1"/>
  <c r="AW33" a="1"/>
  <c r="AW33" s="1"/>
  <c r="AV34" a="1"/>
  <c r="AV34" s="1"/>
  <c r="AW34" a="1"/>
  <c r="AW34" s="1"/>
  <c r="AV35" a="1"/>
  <c r="AV35" s="1"/>
  <c r="AW35" a="1"/>
  <c r="AW35" s="1"/>
  <c r="AV38" a="1"/>
  <c r="AV38" s="1"/>
  <c r="AW38" a="1"/>
  <c r="AW38" s="1"/>
  <c r="AV39" a="1"/>
  <c r="AV39" s="1"/>
  <c r="AW39" a="1"/>
  <c r="AW39" s="1"/>
  <c r="AV40" a="1"/>
  <c r="AV40" s="1"/>
  <c r="AW40" a="1"/>
  <c r="AW40" s="1"/>
  <c r="AV41" a="1"/>
  <c r="AV41" s="1"/>
  <c r="AW41" a="1"/>
  <c r="AW41" s="1"/>
  <c r="AV44" a="1"/>
  <c r="AV44" s="1"/>
  <c r="AW44" a="1"/>
  <c r="AW44" s="1"/>
  <c r="AV45" a="1"/>
  <c r="AV45" s="1"/>
  <c r="AW45" a="1"/>
  <c r="AW45" s="1"/>
  <c r="AV46" a="1"/>
  <c r="AV46" s="1"/>
  <c r="AW46" a="1"/>
  <c r="AW46" s="1"/>
  <c r="AV47" a="1"/>
  <c r="AV47" s="1"/>
  <c r="AW47" a="1"/>
  <c r="AW47" s="1"/>
  <c r="AV50" a="1"/>
  <c r="AV50" s="1"/>
  <c r="AW50" a="1"/>
  <c r="AW50" s="1"/>
  <c r="AV51" a="1"/>
  <c r="AV51" s="1"/>
  <c r="AW51" a="1"/>
  <c r="AW51" s="1"/>
  <c r="AV52" a="1"/>
  <c r="AV52" s="1"/>
  <c r="AW52" a="1"/>
  <c r="AW52" s="1"/>
  <c r="AV53" a="1"/>
  <c r="AV53" s="1"/>
  <c r="AW53" a="1"/>
  <c r="AW53" s="1"/>
  <c r="AV56" a="1"/>
  <c r="AV56" s="1"/>
  <c r="AW56" a="1"/>
  <c r="AW56" s="1"/>
  <c r="AV57" a="1"/>
  <c r="AV57" s="1"/>
  <c r="AW57" a="1"/>
  <c r="AW57" s="1"/>
  <c r="AV58" a="1"/>
  <c r="AV58" s="1"/>
  <c r="AW58" a="1"/>
  <c r="AW58" s="1"/>
  <c r="AV59" a="1"/>
  <c r="AV59" s="1"/>
  <c r="AW59" a="1"/>
  <c r="AW59" s="1"/>
  <c r="AV62" a="1"/>
  <c r="AV62" s="1"/>
  <c r="AW62" a="1"/>
  <c r="AW62" s="1"/>
  <c r="AV63" a="1"/>
  <c r="AV63" s="1"/>
  <c r="AW63" a="1"/>
  <c r="AW63" s="1"/>
  <c r="AV64" a="1"/>
  <c r="AV64" s="1"/>
  <c r="AW64" a="1"/>
  <c r="AW64" s="1"/>
  <c r="AV65" a="1"/>
  <c r="AV65" s="1"/>
  <c r="AW65" a="1"/>
  <c r="AW65" s="1"/>
  <c r="AV68" a="1"/>
  <c r="AV68" s="1"/>
  <c r="AW68" a="1"/>
  <c r="AW68" s="1"/>
  <c r="AV69" a="1"/>
  <c r="AV69" s="1"/>
  <c r="AW69" a="1"/>
  <c r="AW69" s="1"/>
  <c r="AV70" a="1"/>
  <c r="AV70" s="1"/>
  <c r="AW70" a="1"/>
  <c r="AW70" s="1"/>
  <c r="AV71" a="1"/>
  <c r="AV71" s="1"/>
  <c r="AW71" a="1"/>
  <c r="AW71" s="1"/>
  <c r="AV74" a="1"/>
  <c r="AV74" s="1"/>
  <c r="AW74" a="1"/>
  <c r="AW74" s="1"/>
  <c r="AV75" a="1"/>
  <c r="AV75" s="1"/>
  <c r="AW75" a="1"/>
  <c r="AW75" s="1"/>
  <c r="AV76" a="1"/>
  <c r="AV76" s="1"/>
  <c r="AW76" a="1"/>
  <c r="AW76" s="1"/>
  <c r="AV77" a="1"/>
  <c r="AV77" s="1"/>
  <c r="AW77" a="1"/>
  <c r="AW77" s="1"/>
  <c r="V60"/>
  <c r="W60"/>
  <c r="V8"/>
  <c r="W8"/>
  <c r="V31"/>
  <c r="W31"/>
  <c r="V59"/>
  <c r="W59"/>
  <c r="V33"/>
  <c r="W33"/>
  <c r="V9"/>
  <c r="W9"/>
  <c r="V58"/>
  <c r="W58"/>
  <c r="V14"/>
  <c r="W14"/>
  <c r="V57"/>
  <c r="W57"/>
  <c r="V32"/>
  <c r="W32"/>
  <c r="V35"/>
  <c r="W35"/>
  <c r="V13"/>
  <c r="W13"/>
  <c r="V56"/>
  <c r="W56"/>
  <c r="V11"/>
  <c r="W11"/>
  <c r="V55"/>
  <c r="W55"/>
  <c r="V36"/>
  <c r="W36"/>
  <c r="V37"/>
  <c r="W37"/>
  <c r="V10"/>
  <c r="W10"/>
  <c r="V66"/>
  <c r="W66"/>
  <c r="V12"/>
  <c r="W12"/>
  <c r="V38"/>
  <c r="W38"/>
  <c r="V65"/>
  <c r="W65"/>
  <c r="V39"/>
  <c r="W39"/>
  <c r="V16"/>
  <c r="W16"/>
  <c r="V61"/>
  <c r="W61"/>
  <c r="V15"/>
  <c r="W15"/>
  <c r="V40"/>
  <c r="W40"/>
  <c r="V62"/>
  <c r="W62"/>
  <c r="V41"/>
  <c r="W41"/>
  <c r="V17"/>
  <c r="W17"/>
  <c r="V63"/>
  <c r="W63"/>
  <c r="V18"/>
  <c r="W18"/>
  <c r="V42"/>
  <c r="W42"/>
  <c r="V64"/>
  <c r="W64"/>
  <c r="V22"/>
  <c r="W22"/>
  <c r="V45"/>
  <c r="W45"/>
  <c r="V69"/>
  <c r="W69"/>
  <c r="V21"/>
  <c r="W21"/>
  <c r="V70"/>
  <c r="W70"/>
  <c r="V46"/>
  <c r="W46"/>
  <c r="V44"/>
  <c r="W44"/>
  <c r="V20"/>
  <c r="W20"/>
  <c r="V71"/>
  <c r="W71"/>
  <c r="V19"/>
  <c r="W19"/>
  <c r="V72"/>
  <c r="W72"/>
  <c r="V43"/>
  <c r="W43"/>
  <c r="V48"/>
  <c r="W48"/>
  <c r="V23"/>
  <c r="W23"/>
  <c r="V68"/>
  <c r="W68"/>
  <c r="V24"/>
  <c r="W24"/>
  <c r="V47"/>
  <c r="W47"/>
  <c r="V67"/>
  <c r="W67"/>
  <c r="V49"/>
  <c r="W49"/>
  <c r="V25"/>
  <c r="W25"/>
  <c r="V75"/>
  <c r="W75"/>
  <c r="V26"/>
  <c r="W26"/>
  <c r="V50"/>
  <c r="W50"/>
  <c r="V76"/>
  <c r="W76"/>
  <c r="V53"/>
  <c r="W53"/>
  <c r="V29"/>
  <c r="W29"/>
  <c r="V78"/>
  <c r="W78"/>
  <c r="V30"/>
  <c r="W30"/>
  <c r="V54"/>
  <c r="W54"/>
  <c r="V77"/>
  <c r="W77"/>
  <c r="V51"/>
  <c r="W51"/>
  <c r="V28"/>
  <c r="W28"/>
  <c r="V74"/>
  <c r="W74"/>
  <c r="V27"/>
  <c r="W27"/>
  <c r="V52"/>
  <c r="W52"/>
  <c r="V73"/>
  <c r="W73"/>
  <c r="AU12" l="1"/>
  <c r="AU18"/>
  <c r="AU24"/>
  <c r="AU30"/>
  <c r="AU36"/>
  <c r="AU42"/>
  <c r="AU48"/>
  <c r="AU54"/>
  <c r="AU60"/>
  <c r="AU66"/>
  <c r="AU72"/>
  <c r="AU78"/>
  <c r="AX77"/>
  <c r="AX76"/>
  <c r="AX75"/>
  <c r="AW78"/>
  <c r="AX74"/>
  <c r="AV78"/>
  <c r="AX71"/>
  <c r="AX70"/>
  <c r="AX69"/>
  <c r="AW72"/>
  <c r="AX68"/>
  <c r="AV72"/>
  <c r="AX65"/>
  <c r="AX64"/>
  <c r="AX63"/>
  <c r="AW66"/>
  <c r="AX62"/>
  <c r="AV66"/>
  <c r="AX59"/>
  <c r="AX58"/>
  <c r="AX57"/>
  <c r="AW60"/>
  <c r="AX56"/>
  <c r="AV60"/>
  <c r="AX53"/>
  <c r="AX52"/>
  <c r="AX51"/>
  <c r="AW54"/>
  <c r="AX50"/>
  <c r="AV54"/>
  <c r="AX47"/>
  <c r="AX46"/>
  <c r="AX45"/>
  <c r="AW48"/>
  <c r="AX44"/>
  <c r="AV48"/>
  <c r="AX41"/>
  <c r="AX40"/>
  <c r="AX39"/>
  <c r="AW42"/>
  <c r="AX38"/>
  <c r="AV42"/>
  <c r="AX35"/>
  <c r="AX34"/>
  <c r="AX33"/>
  <c r="AW36"/>
  <c r="AX32"/>
  <c r="AV36"/>
  <c r="AX29"/>
  <c r="AX28"/>
  <c r="AX27"/>
  <c r="AW30"/>
  <c r="AX26"/>
  <c r="AV30"/>
  <c r="AX23"/>
  <c r="AX22"/>
  <c r="AX21"/>
  <c r="AW24"/>
  <c r="AX20"/>
  <c r="AV24"/>
  <c r="AX17"/>
  <c r="AX16"/>
  <c r="AX15"/>
  <c r="AW18"/>
  <c r="AX14"/>
  <c r="AV18"/>
  <c r="AX11"/>
  <c r="AX10"/>
  <c r="AX9"/>
  <c r="AW12"/>
  <c r="AX8"/>
  <c r="AV12"/>
  <c r="AT12"/>
  <c r="AT18"/>
  <c r="AT24"/>
  <c r="AT30"/>
  <c r="AT36"/>
  <c r="AT42"/>
  <c r="AT48"/>
  <c r="AT54"/>
  <c r="AT60"/>
  <c r="AT66"/>
  <c r="AT72"/>
  <c r="AT78"/>
  <c r="AY14" l="1"/>
  <c r="AY38"/>
  <c r="AY20"/>
  <c r="AY44"/>
  <c r="AY68"/>
  <c r="AY62"/>
  <c r="AY8"/>
  <c r="AY32"/>
  <c r="AY56"/>
  <c r="AY26"/>
  <c r="AY50"/>
  <c r="AY74"/>
  <c r="AY9"/>
  <c r="AY10"/>
  <c r="AY11"/>
  <c r="AY15"/>
  <c r="AY16"/>
  <c r="AY17"/>
  <c r="AY21"/>
  <c r="AY22"/>
  <c r="AY23"/>
  <c r="AY27"/>
  <c r="AY28"/>
  <c r="AY29"/>
  <c r="AY33"/>
  <c r="AY34"/>
  <c r="AY35"/>
  <c r="AY39"/>
  <c r="AY40"/>
  <c r="AY41"/>
  <c r="AY45"/>
  <c r="AY46"/>
  <c r="AY47"/>
  <c r="AY51"/>
  <c r="AY52"/>
  <c r="AY53"/>
  <c r="AY57"/>
  <c r="AY58"/>
  <c r="AY59"/>
  <c r="AY63"/>
  <c r="AY64"/>
  <c r="AY65"/>
  <c r="AY69"/>
  <c r="AY70"/>
  <c r="AY71"/>
  <c r="AY75"/>
  <c r="AY76"/>
  <c r="AY77"/>
  <c r="AY78" l="1"/>
  <c r="AY72"/>
  <c r="AY66"/>
  <c r="AY60"/>
  <c r="AY54"/>
  <c r="AY48"/>
  <c r="AY42"/>
  <c r="AY36"/>
  <c r="AY30"/>
  <c r="AY24"/>
  <c r="AY18"/>
  <c r="AY12"/>
  <c r="AZ8" l="1"/>
  <c r="AZ11"/>
  <c r="AZ10"/>
  <c r="AZ9"/>
  <c r="AZ14"/>
  <c r="AZ17"/>
  <c r="AZ16"/>
  <c r="AZ15"/>
  <c r="AZ20"/>
  <c r="AZ23"/>
  <c r="AZ22"/>
  <c r="AZ21"/>
  <c r="AZ26"/>
  <c r="AZ29"/>
  <c r="AZ28"/>
  <c r="AZ27"/>
  <c r="AZ32"/>
  <c r="AZ35"/>
  <c r="AZ34"/>
  <c r="AZ33"/>
  <c r="AZ38"/>
  <c r="AZ41"/>
  <c r="AZ40"/>
  <c r="AZ39"/>
  <c r="AZ44"/>
  <c r="AZ47"/>
  <c r="AZ46"/>
  <c r="AZ45"/>
  <c r="AZ50"/>
  <c r="AZ53"/>
  <c r="AZ52"/>
  <c r="AZ51"/>
  <c r="AZ56"/>
  <c r="AZ59"/>
  <c r="AZ58"/>
  <c r="AZ57"/>
  <c r="AZ62"/>
  <c r="AZ65"/>
  <c r="AZ64"/>
  <c r="AZ63"/>
  <c r="AZ68"/>
  <c r="AZ71"/>
  <c r="AZ70"/>
  <c r="AZ69"/>
  <c r="AZ74"/>
  <c r="AZ77"/>
  <c r="AZ76"/>
  <c r="AZ75"/>
  <c r="AZ78" l="1"/>
  <c r="BA74" s="1"/>
  <c r="AO74" s="1"/>
  <c r="AZ72"/>
  <c r="BA68" s="1"/>
  <c r="AO68" s="1"/>
  <c r="AZ66"/>
  <c r="BA62" s="1"/>
  <c r="AO62" s="1"/>
  <c r="AZ60"/>
  <c r="BA56" s="1"/>
  <c r="AO56" s="1"/>
  <c r="AZ54"/>
  <c r="BA50" s="1"/>
  <c r="AO50" s="1"/>
  <c r="AZ48"/>
  <c r="BA44" s="1"/>
  <c r="AO44" s="1"/>
  <c r="AZ42"/>
  <c r="BA38" s="1"/>
  <c r="AO38" s="1"/>
  <c r="AZ36"/>
  <c r="BA32" s="1"/>
  <c r="AO32" s="1"/>
  <c r="AZ30"/>
  <c r="BA26" s="1"/>
  <c r="AO26" s="1"/>
  <c r="AZ24"/>
  <c r="BA20" s="1"/>
  <c r="AO20" s="1"/>
  <c r="AZ18"/>
  <c r="BA14" s="1"/>
  <c r="AO14" s="1"/>
  <c r="AZ12"/>
  <c r="BA8" s="1"/>
  <c r="AO8" s="1"/>
  <c r="BA9" l="1"/>
  <c r="AO9" s="1"/>
  <c r="BA10"/>
  <c r="AO10" s="1"/>
  <c r="BA11"/>
  <c r="AO11" s="1"/>
  <c r="BA15"/>
  <c r="AO15" s="1"/>
  <c r="BA16"/>
  <c r="AO16" s="1"/>
  <c r="BA17"/>
  <c r="AO17" s="1"/>
  <c r="BA21"/>
  <c r="AO21" s="1"/>
  <c r="BA22"/>
  <c r="AO22" s="1"/>
  <c r="BA23"/>
  <c r="AO23" s="1"/>
  <c r="BA27"/>
  <c r="AO27" s="1"/>
  <c r="BA28"/>
  <c r="AO28" s="1"/>
  <c r="BA29"/>
  <c r="AO29" s="1"/>
  <c r="BA33"/>
  <c r="AO33" s="1"/>
  <c r="BA34"/>
  <c r="AO34" s="1"/>
  <c r="BA35"/>
  <c r="AO35" s="1"/>
  <c r="BA39"/>
  <c r="AO39" s="1"/>
  <c r="BA40"/>
  <c r="AO40" s="1"/>
  <c r="BA41"/>
  <c r="AO41" s="1"/>
  <c r="BA45"/>
  <c r="AO45" s="1"/>
  <c r="BA46"/>
  <c r="AO46" s="1"/>
  <c r="BA47"/>
  <c r="AO47" s="1"/>
  <c r="BA51"/>
  <c r="AO51" s="1"/>
  <c r="BA52"/>
  <c r="AO52" s="1"/>
  <c r="BA53"/>
  <c r="AO53" s="1"/>
  <c r="BA57"/>
  <c r="AO57" s="1"/>
  <c r="BA58"/>
  <c r="AO58" s="1"/>
  <c r="BA59"/>
  <c r="AO59" s="1"/>
  <c r="BA63"/>
  <c r="AO63" s="1"/>
  <c r="BA64"/>
  <c r="AO64" s="1"/>
  <c r="BA65"/>
  <c r="AO65" s="1"/>
  <c r="BA69"/>
  <c r="AO69" s="1"/>
  <c r="BA70"/>
  <c r="AO70" s="1"/>
  <c r="BA71"/>
  <c r="AO71" s="1"/>
  <c r="BA75"/>
  <c r="AO75" s="1"/>
  <c r="BA76"/>
  <c r="AO76" s="1"/>
  <c r="BA77"/>
  <c r="AO77" s="1"/>
  <c r="AO78" l="1"/>
  <c r="AO72"/>
  <c r="AO66"/>
  <c r="AO60"/>
  <c r="AO54"/>
  <c r="AO48"/>
  <c r="AO42"/>
  <c r="AO36"/>
  <c r="AO30"/>
  <c r="AO24"/>
  <c r="AO18"/>
  <c r="AO12"/>
  <c r="X73"/>
  <c r="X52"/>
  <c r="X27"/>
  <c r="X51"/>
  <c r="X74"/>
  <c r="X28"/>
  <c r="X77"/>
  <c r="X54"/>
  <c r="X30"/>
  <c r="X53"/>
  <c r="X78"/>
  <c r="X29"/>
  <c r="X76"/>
  <c r="X50"/>
  <c r="X26"/>
  <c r="X49"/>
  <c r="X75"/>
  <c r="X25"/>
  <c r="X67"/>
  <c r="X47"/>
  <c r="X24"/>
  <c r="X48"/>
  <c r="X68"/>
  <c r="X23"/>
  <c r="X43"/>
  <c r="X72"/>
  <c r="X19"/>
  <c r="X44"/>
  <c r="X71"/>
  <c r="X20"/>
  <c r="X46"/>
  <c r="X70"/>
  <c r="X21"/>
  <c r="X45"/>
  <c r="X69"/>
  <c r="X22"/>
  <c r="X64"/>
  <c r="X42"/>
  <c r="X18"/>
  <c r="X41"/>
  <c r="X63"/>
  <c r="X17"/>
  <c r="X62"/>
  <c r="X40"/>
  <c r="X15"/>
  <c r="X39"/>
  <c r="X61"/>
  <c r="X16"/>
  <c r="X65"/>
  <c r="X38"/>
  <c r="X12"/>
  <c r="X37"/>
  <c r="X66"/>
  <c r="X10"/>
  <c r="X36"/>
  <c r="X55"/>
  <c r="X11"/>
  <c r="X35"/>
  <c r="X56"/>
  <c r="X13"/>
  <c r="X32"/>
  <c r="X57"/>
  <c r="X14"/>
  <c r="X33"/>
  <c r="X58"/>
  <c r="X9"/>
  <c r="X59"/>
  <c r="X31"/>
  <c r="X8"/>
  <c r="X34"/>
  <c r="X60"/>
  <c r="X7"/>
  <c r="BE77" l="1" a="1"/>
  <c r="BE77" s="1"/>
  <c r="BD77" a="1"/>
  <c r="BD77" s="1"/>
  <c r="BE76" a="1"/>
  <c r="BE76" s="1"/>
  <c r="BD76" a="1"/>
  <c r="BD76" s="1"/>
  <c r="BE75" a="1"/>
  <c r="BE75" s="1"/>
  <c r="BD75" a="1"/>
  <c r="BD75" s="1"/>
  <c r="BE74" a="1"/>
  <c r="BE74" s="1"/>
  <c r="BD74" a="1"/>
  <c r="BD74" s="1"/>
  <c r="BE71" a="1"/>
  <c r="BE71" s="1"/>
  <c r="BD71" a="1"/>
  <c r="BD71" s="1"/>
  <c r="BE70" a="1"/>
  <c r="BE70" s="1"/>
  <c r="BD70" a="1"/>
  <c r="BD70" s="1"/>
  <c r="BE69" a="1"/>
  <c r="BE69" s="1"/>
  <c r="BD69" a="1"/>
  <c r="BD69" s="1"/>
  <c r="BE68" a="1"/>
  <c r="BE68" s="1"/>
  <c r="BD68" a="1"/>
  <c r="BD68" s="1"/>
  <c r="BE65" a="1"/>
  <c r="BE65" s="1"/>
  <c r="BD65" a="1"/>
  <c r="BD65" s="1"/>
  <c r="BE64" a="1"/>
  <c r="BE64" s="1"/>
  <c r="BD64" a="1"/>
  <c r="BD64" s="1"/>
  <c r="BE63" a="1"/>
  <c r="BE63" s="1"/>
  <c r="BD63" a="1"/>
  <c r="BD63" s="1"/>
  <c r="BE62" a="1"/>
  <c r="BE62" s="1"/>
  <c r="BD62" a="1"/>
  <c r="BD62" s="1"/>
  <c r="BE59" a="1"/>
  <c r="BE59" s="1"/>
  <c r="BD59" a="1"/>
  <c r="BD59" s="1"/>
  <c r="BE58" a="1"/>
  <c r="BE58" s="1"/>
  <c r="BD58" a="1"/>
  <c r="BD58" s="1"/>
  <c r="BE57" a="1"/>
  <c r="BE57" s="1"/>
  <c r="BD57" a="1"/>
  <c r="BD57" s="1"/>
  <c r="BE56" a="1"/>
  <c r="BE56" s="1"/>
  <c r="BD56" a="1"/>
  <c r="BD56" s="1"/>
  <c r="BE53" a="1"/>
  <c r="BE53" s="1"/>
  <c r="BD53" a="1"/>
  <c r="BD53" s="1"/>
  <c r="BE52" a="1"/>
  <c r="BE52" s="1"/>
  <c r="BD52" a="1"/>
  <c r="BD52" s="1"/>
  <c r="BE51" a="1"/>
  <c r="BE51" s="1"/>
  <c r="BD51" a="1"/>
  <c r="BD51" s="1"/>
  <c r="BE50" a="1"/>
  <c r="BE50" s="1"/>
  <c r="BD50" a="1"/>
  <c r="BD50" s="1"/>
  <c r="BE47" a="1"/>
  <c r="BE47" s="1"/>
  <c r="BD47" a="1"/>
  <c r="BD47" s="1"/>
  <c r="BE46" a="1"/>
  <c r="BE46" s="1"/>
  <c r="BD46" a="1"/>
  <c r="BD46" s="1"/>
  <c r="BE45" a="1"/>
  <c r="BE45" s="1"/>
  <c r="BD45" a="1"/>
  <c r="BD45" s="1"/>
  <c r="BE44" a="1"/>
  <c r="BE44" s="1"/>
  <c r="BD44" a="1"/>
  <c r="BD44" s="1"/>
  <c r="BE41" a="1"/>
  <c r="BE41" s="1"/>
  <c r="BD41" a="1"/>
  <c r="BD41" s="1"/>
  <c r="BE40" a="1"/>
  <c r="BE40" s="1"/>
  <c r="BD40" a="1"/>
  <c r="BD40" s="1"/>
  <c r="BE39" a="1"/>
  <c r="BE39" s="1"/>
  <c r="BD39" a="1"/>
  <c r="BD39" s="1"/>
  <c r="BE38" a="1"/>
  <c r="BE38" s="1"/>
  <c r="BD38" a="1"/>
  <c r="BD38" s="1"/>
  <c r="BE35" a="1"/>
  <c r="BE35" s="1"/>
  <c r="BD35" a="1"/>
  <c r="BD35" s="1"/>
  <c r="BE34" a="1"/>
  <c r="BE34" s="1"/>
  <c r="BD34" a="1"/>
  <c r="BD34" s="1"/>
  <c r="BE33" a="1"/>
  <c r="BE33" s="1"/>
  <c r="BD33" a="1"/>
  <c r="BD33" s="1"/>
  <c r="BE32" a="1"/>
  <c r="BE32" s="1"/>
  <c r="BD32" a="1"/>
  <c r="BD32" s="1"/>
  <c r="BE29" a="1"/>
  <c r="BE29" s="1"/>
  <c r="BD29" a="1"/>
  <c r="BD29" s="1"/>
  <c r="BE28" a="1"/>
  <c r="BE28" s="1"/>
  <c r="BD28" a="1"/>
  <c r="BD28" s="1"/>
  <c r="BE27" a="1"/>
  <c r="BE27" s="1"/>
  <c r="BD27" a="1"/>
  <c r="BD27" s="1"/>
  <c r="BE26" a="1"/>
  <c r="BE26" s="1"/>
  <c r="BD26" a="1"/>
  <c r="BD26" s="1"/>
  <c r="BE23" a="1"/>
  <c r="BE23" s="1"/>
  <c r="BD23" a="1"/>
  <c r="BD23" s="1"/>
  <c r="BE22" a="1"/>
  <c r="BE22" s="1"/>
  <c r="BD22" a="1"/>
  <c r="BD22" s="1"/>
  <c r="BE21" a="1"/>
  <c r="BE21" s="1"/>
  <c r="BD21" a="1"/>
  <c r="BD21" s="1"/>
  <c r="BE20" a="1"/>
  <c r="BE20" s="1"/>
  <c r="BD20" a="1"/>
  <c r="BD20" s="1"/>
  <c r="BE17" a="1"/>
  <c r="BE17" s="1"/>
  <c r="BD17" a="1"/>
  <c r="BD17" s="1"/>
  <c r="BE16" a="1"/>
  <c r="BE16" s="1"/>
  <c r="BD16" a="1"/>
  <c r="BD16" s="1"/>
  <c r="BE15" a="1"/>
  <c r="BE15" s="1"/>
  <c r="BD15" a="1"/>
  <c r="BD15" s="1"/>
  <c r="BE14" a="1"/>
  <c r="BE14" s="1"/>
  <c r="BD14" a="1"/>
  <c r="BD14" s="1"/>
  <c r="BE11" a="1"/>
  <c r="BE11" s="1"/>
  <c r="BD11" a="1"/>
  <c r="BD11" s="1"/>
  <c r="BE10" a="1"/>
  <c r="BE10" s="1"/>
  <c r="BD10" a="1"/>
  <c r="BD10" s="1"/>
  <c r="BE9" a="1"/>
  <c r="BE9" s="1"/>
  <c r="BD9" a="1"/>
  <c r="BD9" s="1"/>
  <c r="BE8" a="1"/>
  <c r="BE8" s="1"/>
  <c r="BD8" a="1"/>
  <c r="BD8" s="1"/>
  <c r="BC77" a="1"/>
  <c r="BC77" s="1"/>
  <c r="BB77" a="1"/>
  <c r="BB77" s="1"/>
  <c r="BC76" a="1"/>
  <c r="BC76" s="1"/>
  <c r="BB76" a="1"/>
  <c r="BB76" s="1"/>
  <c r="BC75" a="1"/>
  <c r="BC75" s="1"/>
  <c r="BB75" a="1"/>
  <c r="BB75" s="1"/>
  <c r="BC74" a="1"/>
  <c r="BC74" s="1"/>
  <c r="BB74" a="1"/>
  <c r="BB74" s="1"/>
  <c r="BC71" a="1"/>
  <c r="BC71" s="1"/>
  <c r="BB71" a="1"/>
  <c r="BB71" s="1"/>
  <c r="BC70" a="1"/>
  <c r="BC70" s="1"/>
  <c r="BB70" a="1"/>
  <c r="BB70" s="1"/>
  <c r="BC69" a="1"/>
  <c r="BC69" s="1"/>
  <c r="BB69" a="1"/>
  <c r="BB69" s="1"/>
  <c r="BC68" a="1"/>
  <c r="BC68" s="1"/>
  <c r="BB68" a="1"/>
  <c r="BB68" s="1"/>
  <c r="BC65" a="1"/>
  <c r="BC65" s="1"/>
  <c r="BB65" a="1"/>
  <c r="BB65" s="1"/>
  <c r="BC64" a="1"/>
  <c r="BC64" s="1"/>
  <c r="BB64" a="1"/>
  <c r="BB64" s="1"/>
  <c r="BC63" a="1"/>
  <c r="BC63" s="1"/>
  <c r="BB63" a="1"/>
  <c r="BB63" s="1"/>
  <c r="BC62" a="1"/>
  <c r="BC62" s="1"/>
  <c r="BB62" a="1"/>
  <c r="BB62" s="1"/>
  <c r="BC59" a="1"/>
  <c r="BC59" s="1"/>
  <c r="BB59" a="1"/>
  <c r="BB59" s="1"/>
  <c r="BC58" a="1"/>
  <c r="BC58" s="1"/>
  <c r="BB58" a="1"/>
  <c r="BB58" s="1"/>
  <c r="BC57" a="1"/>
  <c r="BC57" s="1"/>
  <c r="BB57" a="1"/>
  <c r="BB57" s="1"/>
  <c r="BC56" a="1"/>
  <c r="BC56" s="1"/>
  <c r="BB56" a="1"/>
  <c r="BB56" s="1"/>
  <c r="BC53" a="1"/>
  <c r="BC53" s="1"/>
  <c r="BB53" a="1"/>
  <c r="BB53" s="1"/>
  <c r="BC52" a="1"/>
  <c r="BC52" s="1"/>
  <c r="BB52" a="1"/>
  <c r="BB52" s="1"/>
  <c r="BC51" a="1"/>
  <c r="BC51" s="1"/>
  <c r="BB51" a="1"/>
  <c r="BB51" s="1"/>
  <c r="BC50" a="1"/>
  <c r="BC50" s="1"/>
  <c r="BB50" a="1"/>
  <c r="BB50" s="1"/>
  <c r="BC47" a="1"/>
  <c r="BC47" s="1"/>
  <c r="BB47" a="1"/>
  <c r="BB47" s="1"/>
  <c r="BC46" a="1"/>
  <c r="BC46" s="1"/>
  <c r="BB46" a="1"/>
  <c r="BB46" s="1"/>
  <c r="BC45" a="1"/>
  <c r="BC45" s="1"/>
  <c r="BB45" a="1"/>
  <c r="BB45" s="1"/>
  <c r="BC44" a="1"/>
  <c r="BC44" s="1"/>
  <c r="BB44" a="1"/>
  <c r="BB44" s="1"/>
  <c r="BC41" a="1"/>
  <c r="BC41" s="1"/>
  <c r="BB41" a="1"/>
  <c r="BB41" s="1"/>
  <c r="BC40" a="1"/>
  <c r="BC40" s="1"/>
  <c r="BB40" a="1"/>
  <c r="BB40" s="1"/>
  <c r="BC39" a="1"/>
  <c r="BC39" s="1"/>
  <c r="BB39" a="1"/>
  <c r="BB39" s="1"/>
  <c r="BC38" a="1"/>
  <c r="BC38" s="1"/>
  <c r="BB38" a="1"/>
  <c r="BB38" s="1"/>
  <c r="BC35" a="1"/>
  <c r="BC35" s="1"/>
  <c r="BB35" a="1"/>
  <c r="BB35" s="1"/>
  <c r="BC34" a="1"/>
  <c r="BC34" s="1"/>
  <c r="BB34" a="1"/>
  <c r="BB34" s="1"/>
  <c r="BC33" a="1"/>
  <c r="BC33" s="1"/>
  <c r="BB33" a="1"/>
  <c r="BB33" s="1"/>
  <c r="BC32" a="1"/>
  <c r="BC32" s="1"/>
  <c r="BB32" a="1"/>
  <c r="BB32" s="1"/>
  <c r="BC29" a="1"/>
  <c r="BC29" s="1"/>
  <c r="BB29" a="1"/>
  <c r="BB29" s="1"/>
  <c r="BC28" a="1"/>
  <c r="BC28" s="1"/>
  <c r="BB28" a="1"/>
  <c r="BB28" s="1"/>
  <c r="BC27" a="1"/>
  <c r="BC27" s="1"/>
  <c r="BB27" a="1"/>
  <c r="BB27" s="1"/>
  <c r="BC26" a="1"/>
  <c r="BC26" s="1"/>
  <c r="BB26" a="1"/>
  <c r="BB26" s="1"/>
  <c r="BC23" a="1"/>
  <c r="BC23" s="1"/>
  <c r="BB23" a="1"/>
  <c r="BB23" s="1"/>
  <c r="BC22" a="1"/>
  <c r="BC22" s="1"/>
  <c r="BB22" a="1"/>
  <c r="BB22" s="1"/>
  <c r="BC21" a="1"/>
  <c r="BC21" s="1"/>
  <c r="BB21" a="1"/>
  <c r="BB21" s="1"/>
  <c r="BC20" a="1"/>
  <c r="BC20" s="1"/>
  <c r="BB20" a="1"/>
  <c r="BB20" s="1"/>
  <c r="BC17" a="1"/>
  <c r="BC17" s="1"/>
  <c r="BB17" a="1"/>
  <c r="BB17" s="1"/>
  <c r="BC16" a="1"/>
  <c r="BC16" s="1"/>
  <c r="BB16" a="1"/>
  <c r="BB16" s="1"/>
  <c r="BC15" a="1"/>
  <c r="BC15" s="1"/>
  <c r="BB15" a="1"/>
  <c r="BB15" s="1"/>
  <c r="BC14" a="1"/>
  <c r="BC14" s="1"/>
  <c r="BB14" a="1"/>
  <c r="BB14" s="1"/>
  <c r="BC11" a="1"/>
  <c r="BC11" s="1"/>
  <c r="BB11" a="1"/>
  <c r="BB11" s="1"/>
  <c r="BC10" a="1"/>
  <c r="BC10" s="1"/>
  <c r="BB10" a="1"/>
  <c r="BB10" s="1"/>
  <c r="BC9" a="1"/>
  <c r="BC9" s="1"/>
  <c r="BB9" a="1"/>
  <c r="BB9" s="1"/>
  <c r="BC8" a="1"/>
  <c r="BC8" s="1"/>
  <c r="BB8" a="1"/>
  <c r="BB8" s="1"/>
  <c r="Z7"/>
  <c r="Y7"/>
  <c r="Z60"/>
  <c r="Y60"/>
  <c r="Z34"/>
  <c r="Y34"/>
  <c r="Z8"/>
  <c r="Y8"/>
  <c r="Z31"/>
  <c r="Y31"/>
  <c r="Z59"/>
  <c r="Y59"/>
  <c r="Z9"/>
  <c r="Y9"/>
  <c r="Z58"/>
  <c r="Y58"/>
  <c r="Z33"/>
  <c r="Y33"/>
  <c r="Z14"/>
  <c r="Y14"/>
  <c r="Z57"/>
  <c r="Y57"/>
  <c r="Z32"/>
  <c r="Y32"/>
  <c r="Z13"/>
  <c r="Y13"/>
  <c r="Z56"/>
  <c r="Y56"/>
  <c r="Z35"/>
  <c r="Y35"/>
  <c r="Z11"/>
  <c r="Y11"/>
  <c r="Z55"/>
  <c r="Y55"/>
  <c r="Z36"/>
  <c r="Y36"/>
  <c r="Z10"/>
  <c r="Y10"/>
  <c r="Z66"/>
  <c r="Y66"/>
  <c r="Z37"/>
  <c r="Y37"/>
  <c r="Z12"/>
  <c r="Y12"/>
  <c r="Z38"/>
  <c r="Y38"/>
  <c r="Z65"/>
  <c r="Y65"/>
  <c r="Z16"/>
  <c r="Y16"/>
  <c r="Z61"/>
  <c r="Y61"/>
  <c r="Z39"/>
  <c r="Y39"/>
  <c r="Z15"/>
  <c r="Y15"/>
  <c r="Z40"/>
  <c r="Y40"/>
  <c r="Z62"/>
  <c r="Y62"/>
  <c r="Z17"/>
  <c r="Y17"/>
  <c r="Z63"/>
  <c r="Y63"/>
  <c r="Z41"/>
  <c r="Y41"/>
  <c r="Z18"/>
  <c r="Y18"/>
  <c r="Z42"/>
  <c r="Y42"/>
  <c r="Z64"/>
  <c r="Y64"/>
  <c r="Z22"/>
  <c r="Y22"/>
  <c r="Z69"/>
  <c r="Y69"/>
  <c r="Z45"/>
  <c r="Y45"/>
  <c r="Z21"/>
  <c r="Y21"/>
  <c r="Z70"/>
  <c r="Y70"/>
  <c r="Z46"/>
  <c r="Y46"/>
  <c r="Z20"/>
  <c r="Y20"/>
  <c r="Z71"/>
  <c r="Y71"/>
  <c r="Z44"/>
  <c r="Y44"/>
  <c r="Z19"/>
  <c r="Y19"/>
  <c r="Z72"/>
  <c r="Y72"/>
  <c r="Z43"/>
  <c r="Y43"/>
  <c r="Z23"/>
  <c r="Y23"/>
  <c r="Z68"/>
  <c r="Y68"/>
  <c r="Z48"/>
  <c r="Y48"/>
  <c r="Z24"/>
  <c r="Y24"/>
  <c r="Z47"/>
  <c r="Y47"/>
  <c r="Z67"/>
  <c r="Y67"/>
  <c r="Z25"/>
  <c r="Y25"/>
  <c r="Z75"/>
  <c r="Y75"/>
  <c r="Z49"/>
  <c r="Y49"/>
  <c r="Z26"/>
  <c r="Y26"/>
  <c r="Z50"/>
  <c r="Y50"/>
  <c r="Z76"/>
  <c r="Y76"/>
  <c r="Z29"/>
  <c r="Y29"/>
  <c r="Z78"/>
  <c r="Y78"/>
  <c r="Z53"/>
  <c r="Y53"/>
  <c r="Z30"/>
  <c r="Y30"/>
  <c r="Z54"/>
  <c r="Y54"/>
  <c r="Z77"/>
  <c r="Y77"/>
  <c r="Z28"/>
  <c r="Y28"/>
  <c r="Z74"/>
  <c r="Y74"/>
  <c r="Z51"/>
  <c r="Y51"/>
  <c r="Z27"/>
  <c r="Y27"/>
  <c r="Z52"/>
  <c r="Y52"/>
  <c r="Z73"/>
  <c r="Y73"/>
  <c r="BF58" l="1"/>
  <c r="BF64"/>
  <c r="BF10"/>
  <c r="BF16"/>
  <c r="BF22"/>
  <c r="BF28"/>
  <c r="BF40"/>
  <c r="BF52"/>
  <c r="BF70"/>
  <c r="BF63"/>
  <c r="BF34"/>
  <c r="BF46"/>
  <c r="BC12"/>
  <c r="BC18"/>
  <c r="BC24"/>
  <c r="BC30"/>
  <c r="BC36"/>
  <c r="BC42"/>
  <c r="BC48"/>
  <c r="BC54"/>
  <c r="BC60"/>
  <c r="BC66"/>
  <c r="BC72"/>
  <c r="BC78"/>
  <c r="BE12"/>
  <c r="BE18"/>
  <c r="BE24"/>
  <c r="BE30"/>
  <c r="BE36"/>
  <c r="BE42"/>
  <c r="BE48"/>
  <c r="BE54"/>
  <c r="BE60"/>
  <c r="BE66"/>
  <c r="BE72"/>
  <c r="BE78"/>
  <c r="BF9"/>
  <c r="BF15"/>
  <c r="BF21"/>
  <c r="BF27"/>
  <c r="BF33"/>
  <c r="BF39"/>
  <c r="BF45"/>
  <c r="BF51"/>
  <c r="BF57"/>
  <c r="BF69"/>
  <c r="BF75"/>
  <c r="BF76"/>
  <c r="BF11"/>
  <c r="BF17"/>
  <c r="BF23"/>
  <c r="BF29"/>
  <c r="BF35"/>
  <c r="BF41"/>
  <c r="BF47"/>
  <c r="BF53"/>
  <c r="BF59"/>
  <c r="BF65"/>
  <c r="BF71"/>
  <c r="BF77"/>
  <c r="BB12"/>
  <c r="BB18"/>
  <c r="BB24"/>
  <c r="BB30"/>
  <c r="BB36"/>
  <c r="BB42"/>
  <c r="BB48"/>
  <c r="BB54"/>
  <c r="BB60"/>
  <c r="BB66"/>
  <c r="BB72"/>
  <c r="BB78"/>
  <c r="BD12"/>
  <c r="BF8"/>
  <c r="BD18"/>
  <c r="BF14"/>
  <c r="BD24"/>
  <c r="BF20"/>
  <c r="BD30"/>
  <c r="BF26"/>
  <c r="BD36"/>
  <c r="BF32"/>
  <c r="BD42"/>
  <c r="BF38"/>
  <c r="BD48"/>
  <c r="BF44"/>
  <c r="BD54"/>
  <c r="BF50"/>
  <c r="BD60"/>
  <c r="BF56"/>
  <c r="BD66"/>
  <c r="BF62"/>
  <c r="BD72"/>
  <c r="BF68"/>
  <c r="BD78"/>
  <c r="BF74"/>
  <c r="BG26" l="1"/>
  <c r="BG50"/>
  <c r="BG28"/>
  <c r="BG62"/>
  <c r="BG16"/>
  <c r="BG9"/>
  <c r="BG76"/>
  <c r="BG58"/>
  <c r="BG35"/>
  <c r="BG63"/>
  <c r="BG74"/>
  <c r="BG38"/>
  <c r="BG75"/>
  <c r="BG57"/>
  <c r="BG23"/>
  <c r="BG59"/>
  <c r="BG32"/>
  <c r="BG65"/>
  <c r="BG45"/>
  <c r="BG8"/>
  <c r="BG15"/>
  <c r="BG20"/>
  <c r="BG11"/>
  <c r="BG46"/>
  <c r="BG17"/>
  <c r="BG47"/>
  <c r="BG68"/>
  <c r="BG44"/>
  <c r="BG29"/>
  <c r="BG77"/>
  <c r="BG64"/>
  <c r="BG51"/>
  <c r="BG39"/>
  <c r="BG10"/>
  <c r="BG27"/>
  <c r="BG53"/>
  <c r="BG34"/>
  <c r="BG71"/>
  <c r="BG52"/>
  <c r="BG33"/>
  <c r="BG14"/>
  <c r="BG70"/>
  <c r="BG41"/>
  <c r="BG22"/>
  <c r="BG69"/>
  <c r="BG40"/>
  <c r="BG21"/>
  <c r="BG56"/>
  <c r="BH56"/>
  <c r="BG78" l="1"/>
  <c r="BH74" s="1"/>
  <c r="BG66"/>
  <c r="BH62" s="1"/>
  <c r="BG48"/>
  <c r="BH44" s="1"/>
  <c r="BG60"/>
  <c r="BG24"/>
  <c r="BH20" s="1"/>
  <c r="BG12"/>
  <c r="BH8" s="1"/>
  <c r="BG36"/>
  <c r="BH32" s="1"/>
  <c r="BG30"/>
  <c r="BH26" s="1"/>
  <c r="BG72"/>
  <c r="BH68" s="1"/>
  <c r="BG42"/>
  <c r="BH38" s="1"/>
  <c r="BG18"/>
  <c r="BH14" s="1"/>
  <c r="BG54"/>
  <c r="BH50" s="1"/>
  <c r="BH57"/>
  <c r="BH58"/>
  <c r="BH59"/>
  <c r="BH23" l="1"/>
  <c r="BH10"/>
  <c r="BH75"/>
  <c r="BH76"/>
  <c r="BH77"/>
  <c r="BH21"/>
  <c r="BH9"/>
  <c r="BH11"/>
  <c r="BH64"/>
  <c r="BH63"/>
  <c r="BH33"/>
  <c r="BH47"/>
  <c r="BH28"/>
  <c r="BH69"/>
  <c r="BH65"/>
  <c r="BH71"/>
  <c r="BH22"/>
  <c r="BH17"/>
  <c r="BH34"/>
  <c r="BH35"/>
  <c r="BH45"/>
  <c r="BH46"/>
  <c r="BH27"/>
  <c r="BH29"/>
  <c r="BH39"/>
  <c r="BH40"/>
  <c r="BH70"/>
  <c r="BH15"/>
  <c r="BH60"/>
  <c r="BI56" s="1"/>
  <c r="AP56" s="1"/>
  <c r="BH53"/>
  <c r="BH16"/>
  <c r="BH51"/>
  <c r="BH41"/>
  <c r="BH52"/>
  <c r="BH78" l="1"/>
  <c r="BI76" s="1"/>
  <c r="AP76" s="1"/>
  <c r="BH12"/>
  <c r="BI11" s="1"/>
  <c r="AP11" s="1"/>
  <c r="BH30"/>
  <c r="BI28" s="1"/>
  <c r="AP28" s="1"/>
  <c r="BH24"/>
  <c r="BI23" s="1"/>
  <c r="AP23" s="1"/>
  <c r="BH66"/>
  <c r="BI65" s="1"/>
  <c r="AP65" s="1"/>
  <c r="BH72"/>
  <c r="BI71" s="1"/>
  <c r="AP71" s="1"/>
  <c r="BI59"/>
  <c r="AP59" s="1"/>
  <c r="BH42"/>
  <c r="BI40" s="1"/>
  <c r="AP40" s="1"/>
  <c r="BI57"/>
  <c r="AP57" s="1"/>
  <c r="BH36"/>
  <c r="BI34" s="1"/>
  <c r="AP34" s="1"/>
  <c r="BH48"/>
  <c r="BI46" s="1"/>
  <c r="AP46" s="1"/>
  <c r="BH18"/>
  <c r="BI17" s="1"/>
  <c r="AP17" s="1"/>
  <c r="BH54"/>
  <c r="BI52" s="1"/>
  <c r="AP52" s="1"/>
  <c r="BI58"/>
  <c r="AP58" s="1"/>
  <c r="BI26" l="1"/>
  <c r="AP26" s="1"/>
  <c r="BI20"/>
  <c r="AP20" s="1"/>
  <c r="BI69"/>
  <c r="AP69" s="1"/>
  <c r="BI22"/>
  <c r="AP22" s="1"/>
  <c r="BI77"/>
  <c r="AP77" s="1"/>
  <c r="BI75"/>
  <c r="AP75" s="1"/>
  <c r="BI74"/>
  <c r="AP74" s="1"/>
  <c r="BI68"/>
  <c r="AP68" s="1"/>
  <c r="BI39"/>
  <c r="AP39" s="1"/>
  <c r="BI38"/>
  <c r="AP38" s="1"/>
  <c r="BI35"/>
  <c r="AP35" s="1"/>
  <c r="BI33"/>
  <c r="AP33" s="1"/>
  <c r="BI9"/>
  <c r="AP9" s="1"/>
  <c r="BI10"/>
  <c r="AP10" s="1"/>
  <c r="BI8"/>
  <c r="AP8" s="1"/>
  <c r="BI53"/>
  <c r="AP53" s="1"/>
  <c r="BI44"/>
  <c r="AP44" s="1"/>
  <c r="BI70"/>
  <c r="AP70" s="1"/>
  <c r="BI47"/>
  <c r="AP47" s="1"/>
  <c r="BI29"/>
  <c r="AP29" s="1"/>
  <c r="BI32"/>
  <c r="AP32" s="1"/>
  <c r="BI41"/>
  <c r="AP41" s="1"/>
  <c r="BI27"/>
  <c r="AP27" s="1"/>
  <c r="BI14"/>
  <c r="AP14" s="1"/>
  <c r="BI64"/>
  <c r="AP64" s="1"/>
  <c r="BI63"/>
  <c r="AP63" s="1"/>
  <c r="BI16"/>
  <c r="AP16" s="1"/>
  <c r="AP60"/>
  <c r="AR57" s="1"/>
  <c r="BI62"/>
  <c r="AP62" s="1"/>
  <c r="BI45"/>
  <c r="AP45" s="1"/>
  <c r="BI21"/>
  <c r="AP21" s="1"/>
  <c r="BI51"/>
  <c r="AP51" s="1"/>
  <c r="BI50"/>
  <c r="AP50" s="1"/>
  <c r="BI15"/>
  <c r="AP15" s="1"/>
  <c r="AP36" l="1"/>
  <c r="AR32" s="1"/>
  <c r="AP12"/>
  <c r="AR8" s="1"/>
  <c r="AP72"/>
  <c r="AR68" s="1"/>
  <c r="AP30"/>
  <c r="AR26" s="1"/>
  <c r="AP78"/>
  <c r="AR74" s="1"/>
  <c r="AP24"/>
  <c r="AR20" s="1"/>
  <c r="AR58"/>
  <c r="AR59"/>
  <c r="AR56"/>
  <c r="AP42"/>
  <c r="AR38" s="1"/>
  <c r="AP66"/>
  <c r="AR62" s="1"/>
  <c r="AP48"/>
  <c r="AR44" s="1"/>
  <c r="AP18"/>
  <c r="AR14" s="1"/>
  <c r="AP54"/>
  <c r="AR50" s="1"/>
  <c r="AR35" l="1"/>
  <c r="AR34"/>
  <c r="AR33"/>
  <c r="AD58"/>
  <c r="AR10"/>
  <c r="AR9"/>
  <c r="AR11"/>
  <c r="AD57"/>
  <c r="AR21"/>
  <c r="AR28"/>
  <c r="AR22"/>
  <c r="AR75"/>
  <c r="AR76"/>
  <c r="AR77"/>
  <c r="AR65"/>
  <c r="AR40"/>
  <c r="AR41"/>
  <c r="AR29"/>
  <c r="AR69"/>
  <c r="AR70"/>
  <c r="AR71"/>
  <c r="AR27"/>
  <c r="AR23"/>
  <c r="AR51"/>
  <c r="AR52"/>
  <c r="AR53"/>
  <c r="AR46"/>
  <c r="AR15"/>
  <c r="AR45"/>
  <c r="AR63"/>
  <c r="AR47"/>
  <c r="AR64"/>
  <c r="AR39"/>
  <c r="AD56"/>
  <c r="AR16"/>
  <c r="AR17"/>
  <c r="AD59"/>
  <c r="AD32" l="1"/>
  <c r="AD27"/>
  <c r="AD35"/>
  <c r="AD34"/>
  <c r="AD33"/>
  <c r="AD29"/>
  <c r="AD10"/>
  <c r="AD8"/>
  <c r="AD11"/>
  <c r="AD20"/>
  <c r="AD9"/>
  <c r="M58"/>
  <c r="AD28"/>
  <c r="AD15"/>
  <c r="AD41"/>
  <c r="AD22"/>
  <c r="AD21"/>
  <c r="M59"/>
  <c r="O60"/>
  <c r="AD14"/>
  <c r="AD74"/>
  <c r="N58"/>
  <c r="L59"/>
  <c r="L58"/>
  <c r="AD44"/>
  <c r="AD68"/>
  <c r="AD26"/>
  <c r="AD62"/>
  <c r="AD70"/>
  <c r="AD76"/>
  <c r="AD75"/>
  <c r="AD53"/>
  <c r="AD77"/>
  <c r="AD47"/>
  <c r="AD63"/>
  <c r="AD71"/>
  <c r="AD69"/>
  <c r="AD39"/>
  <c r="L57"/>
  <c r="AD64"/>
  <c r="AD16"/>
  <c r="L60"/>
  <c r="J57"/>
  <c r="AS56" s="1"/>
  <c r="BL14" s="1"/>
  <c r="J59"/>
  <c r="AE88" s="1"/>
  <c r="AQ88" s="1"/>
  <c r="AD46"/>
  <c r="M60"/>
  <c r="O57"/>
  <c r="N60"/>
  <c r="M57"/>
  <c r="AD23"/>
  <c r="AD65"/>
  <c r="AD51"/>
  <c r="O58"/>
  <c r="N57"/>
  <c r="J60"/>
  <c r="J58"/>
  <c r="AS57" s="1"/>
  <c r="BL47" s="1"/>
  <c r="O59"/>
  <c r="AD45"/>
  <c r="AD40"/>
  <c r="AD52"/>
  <c r="AD38"/>
  <c r="AD50"/>
  <c r="N59"/>
  <c r="AD17"/>
  <c r="BS45" l="1"/>
  <c r="O63"/>
  <c r="P58"/>
  <c r="J45"/>
  <c r="AS44" s="1"/>
  <c r="BL38" s="1"/>
  <c r="M51"/>
  <c r="L39"/>
  <c r="J33"/>
  <c r="AS32" s="1"/>
  <c r="BL10" s="1"/>
  <c r="M33"/>
  <c r="M36"/>
  <c r="N33"/>
  <c r="L33"/>
  <c r="O33"/>
  <c r="J27"/>
  <c r="AS26" s="1"/>
  <c r="BL34" s="1"/>
  <c r="K58"/>
  <c r="M45"/>
  <c r="J21"/>
  <c r="AS20" s="1"/>
  <c r="BL42" s="1"/>
  <c r="BS44" s="1"/>
  <c r="M35"/>
  <c r="J36"/>
  <c r="L78"/>
  <c r="N34"/>
  <c r="M16"/>
  <c r="N45"/>
  <c r="M39"/>
  <c r="L36"/>
  <c r="O34"/>
  <c r="O35"/>
  <c r="L34"/>
  <c r="L10"/>
  <c r="O45"/>
  <c r="L76"/>
  <c r="O36"/>
  <c r="J35"/>
  <c r="AE84" s="1"/>
  <c r="AQ84" s="1"/>
  <c r="L35"/>
  <c r="J34"/>
  <c r="AS33" s="1"/>
  <c r="BL46" s="1"/>
  <c r="L47"/>
  <c r="N35"/>
  <c r="M34"/>
  <c r="N36"/>
  <c r="J41"/>
  <c r="AE85" s="1"/>
  <c r="AQ85" s="1"/>
  <c r="M70"/>
  <c r="M21"/>
  <c r="L45"/>
  <c r="P59"/>
  <c r="O76"/>
  <c r="L9"/>
  <c r="J22"/>
  <c r="AS21" s="1"/>
  <c r="BL23" s="1"/>
  <c r="N27"/>
  <c r="O28"/>
  <c r="J24"/>
  <c r="N30"/>
  <c r="L30"/>
  <c r="N70"/>
  <c r="L72"/>
  <c r="L24"/>
  <c r="N75"/>
  <c r="N12"/>
  <c r="J75"/>
  <c r="AS74" s="1"/>
  <c r="BL54" s="1"/>
  <c r="L27"/>
  <c r="M9"/>
  <c r="L28"/>
  <c r="J9"/>
  <c r="AS8" s="1"/>
  <c r="BL50" s="1"/>
  <c r="O77"/>
  <c r="L21"/>
  <c r="M77"/>
  <c r="N77"/>
  <c r="N21"/>
  <c r="M63"/>
  <c r="O22"/>
  <c r="M71"/>
  <c r="M27"/>
  <c r="M29"/>
  <c r="L75"/>
  <c r="L29"/>
  <c r="O21"/>
  <c r="O9"/>
  <c r="J77"/>
  <c r="AE91" s="1"/>
  <c r="AQ91" s="1"/>
  <c r="O75"/>
  <c r="L48"/>
  <c r="O29"/>
  <c r="L22"/>
  <c r="N9"/>
  <c r="M78"/>
  <c r="O51"/>
  <c r="M75"/>
  <c r="N63"/>
  <c r="J11"/>
  <c r="AE80" s="1"/>
  <c r="AQ80" s="1"/>
  <c r="N76"/>
  <c r="M30"/>
  <c r="N22"/>
  <c r="O11"/>
  <c r="O65"/>
  <c r="J78"/>
  <c r="N69"/>
  <c r="O40"/>
  <c r="O27"/>
  <c r="J30"/>
  <c r="M76"/>
  <c r="L70"/>
  <c r="N28"/>
  <c r="J29"/>
  <c r="AE83" s="1"/>
  <c r="AQ83" s="1"/>
  <c r="J76"/>
  <c r="AS75" s="1"/>
  <c r="BL27" s="1"/>
  <c r="J69"/>
  <c r="AS68" s="1"/>
  <c r="BL70" s="1"/>
  <c r="N29"/>
  <c r="N11"/>
  <c r="N71"/>
  <c r="N46"/>
  <c r="M11"/>
  <c r="L12"/>
  <c r="L40"/>
  <c r="P57"/>
  <c r="L71"/>
  <c r="O10"/>
  <c r="N47"/>
  <c r="M64"/>
  <c r="J10"/>
  <c r="AS9" s="1"/>
  <c r="BL18" s="1"/>
  <c r="M12"/>
  <c r="N72"/>
  <c r="O66"/>
  <c r="L64"/>
  <c r="L65"/>
  <c r="M72"/>
  <c r="O72"/>
  <c r="O47"/>
  <c r="N24"/>
  <c r="J47"/>
  <c r="AE86" s="1"/>
  <c r="AQ86" s="1"/>
  <c r="O12"/>
  <c r="J65"/>
  <c r="AE89" s="1"/>
  <c r="AQ89" s="1"/>
  <c r="M28"/>
  <c r="J28"/>
  <c r="AS27" s="1"/>
  <c r="BL62" s="1"/>
  <c r="BS61" s="1"/>
  <c r="L11"/>
  <c r="J72"/>
  <c r="L69"/>
  <c r="O30"/>
  <c r="M10"/>
  <c r="O78"/>
  <c r="O48"/>
  <c r="N18"/>
  <c r="J70"/>
  <c r="AS69" s="1"/>
  <c r="BL26" s="1"/>
  <c r="M69"/>
  <c r="N10"/>
  <c r="J12"/>
  <c r="O69"/>
  <c r="J39"/>
  <c r="AS38" s="1"/>
  <c r="BL22" s="1"/>
  <c r="N54"/>
  <c r="L23"/>
  <c r="L77"/>
  <c r="O71"/>
  <c r="J63"/>
  <c r="AS62" s="1"/>
  <c r="BL58" s="1"/>
  <c r="BS60" s="1"/>
  <c r="BZ64" s="1"/>
  <c r="L51"/>
  <c r="P51" s="1"/>
  <c r="L46"/>
  <c r="N39"/>
  <c r="O24"/>
  <c r="J16"/>
  <c r="AS15" s="1"/>
  <c r="BL19" s="1"/>
  <c r="K59"/>
  <c r="M46"/>
  <c r="O39"/>
  <c r="N40"/>
  <c r="N78"/>
  <c r="J71"/>
  <c r="AE90" s="1"/>
  <c r="AQ90" s="1"/>
  <c r="O64"/>
  <c r="N48"/>
  <c r="J48"/>
  <c r="M22"/>
  <c r="M24"/>
  <c r="O70"/>
  <c r="M66"/>
  <c r="J46"/>
  <c r="AS45" s="1"/>
  <c r="BL63" s="1"/>
  <c r="N66"/>
  <c r="M48"/>
  <c r="J42"/>
  <c r="L42"/>
  <c r="M65"/>
  <c r="N65"/>
  <c r="O46"/>
  <c r="L17"/>
  <c r="J52"/>
  <c r="AS51" s="1"/>
  <c r="BL59" s="1"/>
  <c r="L66"/>
  <c r="L63"/>
  <c r="M18"/>
  <c r="N16"/>
  <c r="O16"/>
  <c r="J18"/>
  <c r="J66"/>
  <c r="L16"/>
  <c r="M40"/>
  <c r="M17"/>
  <c r="O54"/>
  <c r="J64"/>
  <c r="AS63" s="1"/>
  <c r="BL31" s="1"/>
  <c r="N64"/>
  <c r="O18"/>
  <c r="L18"/>
  <c r="L15"/>
  <c r="AJ88"/>
  <c r="N17"/>
  <c r="O42"/>
  <c r="AG88"/>
  <c r="K57"/>
  <c r="M54"/>
  <c r="AI88"/>
  <c r="AN88"/>
  <c r="N51"/>
  <c r="M42"/>
  <c r="J40"/>
  <c r="AS39" s="1"/>
  <c r="BL43" s="1"/>
  <c r="AT88"/>
  <c r="J51"/>
  <c r="AS50" s="1"/>
  <c r="BL30" s="1"/>
  <c r="M41"/>
  <c r="O17"/>
  <c r="N53"/>
  <c r="O23"/>
  <c r="N52"/>
  <c r="L54"/>
  <c r="M47"/>
  <c r="AF88"/>
  <c r="J54"/>
  <c r="O52"/>
  <c r="O41"/>
  <c r="L41"/>
  <c r="N23"/>
  <c r="AL88"/>
  <c r="N15"/>
  <c r="O53"/>
  <c r="L52"/>
  <c r="J17"/>
  <c r="AE81" s="1"/>
  <c r="AQ81" s="1"/>
  <c r="L53"/>
  <c r="M52"/>
  <c r="M53"/>
  <c r="J53"/>
  <c r="AE87" s="1"/>
  <c r="AQ87" s="1"/>
  <c r="N41"/>
  <c r="M23"/>
  <c r="J23"/>
  <c r="AE82" s="1"/>
  <c r="AQ82" s="1"/>
  <c r="AH88"/>
  <c r="N42"/>
  <c r="P60"/>
  <c r="K60"/>
  <c r="M15"/>
  <c r="O15"/>
  <c r="J15"/>
  <c r="AS14" s="1"/>
  <c r="BL66" s="1"/>
  <c r="S90" l="1"/>
  <c r="T90" s="1" a="1"/>
  <c r="T90" s="1"/>
  <c r="BS36"/>
  <c r="BZ48"/>
  <c r="S87"/>
  <c r="T87" s="1" a="1"/>
  <c r="T87" s="1"/>
  <c r="BS29"/>
  <c r="S91"/>
  <c r="T91" s="1" a="1"/>
  <c r="T91" s="1"/>
  <c r="BS37"/>
  <c r="S86"/>
  <c r="T86" s="1" a="1"/>
  <c r="T86" s="1"/>
  <c r="BS28"/>
  <c r="S88"/>
  <c r="T88" s="1" a="1"/>
  <c r="T88" s="1"/>
  <c r="BS20"/>
  <c r="S89"/>
  <c r="T89" s="1" a="1"/>
  <c r="T89" s="1"/>
  <c r="BS21"/>
  <c r="P23"/>
  <c r="P39"/>
  <c r="P9"/>
  <c r="AL85"/>
  <c r="AL84"/>
  <c r="K33"/>
  <c r="P33"/>
  <c r="AJ84"/>
  <c r="AN80"/>
  <c r="AN85"/>
  <c r="K9"/>
  <c r="P18"/>
  <c r="K39"/>
  <c r="K36"/>
  <c r="AL83"/>
  <c r="P36"/>
  <c r="K69"/>
  <c r="P47"/>
  <c r="AF85"/>
  <c r="AG85"/>
  <c r="K45"/>
  <c r="K27"/>
  <c r="P72"/>
  <c r="P29"/>
  <c r="P35"/>
  <c r="AT86"/>
  <c r="K21"/>
  <c r="P21"/>
  <c r="K11"/>
  <c r="P78"/>
  <c r="AH84"/>
  <c r="P45"/>
  <c r="AI84"/>
  <c r="AT85"/>
  <c r="AF84"/>
  <c r="K34"/>
  <c r="P65"/>
  <c r="AG84"/>
  <c r="AJ85"/>
  <c r="AN84"/>
  <c r="P34"/>
  <c r="AT84"/>
  <c r="P66"/>
  <c r="P30"/>
  <c r="K72"/>
  <c r="K35"/>
  <c r="AH89"/>
  <c r="P12"/>
  <c r="K28"/>
  <c r="K16"/>
  <c r="P28"/>
  <c r="AJ90"/>
  <c r="AG89"/>
  <c r="P77"/>
  <c r="K64"/>
  <c r="K54"/>
  <c r="AL86"/>
  <c r="AT80"/>
  <c r="AN86"/>
  <c r="AH90"/>
  <c r="AI82"/>
  <c r="K29"/>
  <c r="K76"/>
  <c r="P24"/>
  <c r="AT82"/>
  <c r="AJ80"/>
  <c r="AJ86"/>
  <c r="AF91"/>
  <c r="P11"/>
  <c r="P27"/>
  <c r="P76"/>
  <c r="AJ83"/>
  <c r="K77"/>
  <c r="P10"/>
  <c r="K70"/>
  <c r="K65"/>
  <c r="AH85"/>
  <c r="AI91"/>
  <c r="AI85"/>
  <c r="AN91"/>
  <c r="AJ82"/>
  <c r="AL89"/>
  <c r="AL91"/>
  <c r="P71"/>
  <c r="AH83"/>
  <c r="AL90"/>
  <c r="K46"/>
  <c r="P64"/>
  <c r="AG82"/>
  <c r="AF90"/>
  <c r="AT81"/>
  <c r="AF80"/>
  <c r="P70"/>
  <c r="AH91"/>
  <c r="K30"/>
  <c r="K47"/>
  <c r="AN82"/>
  <c r="AH86"/>
  <c r="AG90"/>
  <c r="P54"/>
  <c r="K17"/>
  <c r="P22"/>
  <c r="P42"/>
  <c r="AG80"/>
  <c r="AN83"/>
  <c r="AG87"/>
  <c r="AH80"/>
  <c r="AT83"/>
  <c r="AL87"/>
  <c r="AJ91"/>
  <c r="P41"/>
  <c r="P48"/>
  <c r="K40"/>
  <c r="P69"/>
  <c r="K75"/>
  <c r="K48"/>
  <c r="K78"/>
  <c r="P40"/>
  <c r="K42"/>
  <c r="P16"/>
  <c r="K63"/>
  <c r="AL81"/>
  <c r="P63"/>
  <c r="K51"/>
  <c r="AJ81"/>
  <c r="K22"/>
  <c r="AN81"/>
  <c r="AF89"/>
  <c r="K12"/>
  <c r="K66"/>
  <c r="AJ89"/>
  <c r="K18"/>
  <c r="P46"/>
  <c r="P75"/>
  <c r="K41"/>
  <c r="AF81"/>
  <c r="K71"/>
  <c r="AH81"/>
  <c r="AL80"/>
  <c r="AG81"/>
  <c r="AH82"/>
  <c r="AI83"/>
  <c r="AI86"/>
  <c r="AG91"/>
  <c r="AI89"/>
  <c r="AT90"/>
  <c r="AT91"/>
  <c r="K10"/>
  <c r="P17"/>
  <c r="AF83"/>
  <c r="AF86"/>
  <c r="AH87"/>
  <c r="AN89"/>
  <c r="AI80"/>
  <c r="AF82"/>
  <c r="AG83"/>
  <c r="AG86"/>
  <c r="AJ87"/>
  <c r="AT89"/>
  <c r="K24"/>
  <c r="K15"/>
  <c r="AI90"/>
  <c r="AN90"/>
  <c r="P53"/>
  <c r="P52"/>
  <c r="AN87"/>
  <c r="P15"/>
  <c r="AT87"/>
  <c r="AI81"/>
  <c r="AF87"/>
  <c r="K53"/>
  <c r="K23"/>
  <c r="AL82"/>
  <c r="AI87"/>
  <c r="K52"/>
  <c r="BZ17" l="1"/>
  <c r="U102" s="1"/>
  <c r="AC102" s="1" a="1"/>
  <c r="AC102" s="1"/>
  <c r="S96"/>
  <c r="T96" s="1" a="1"/>
  <c r="T96" s="1"/>
  <c r="S97"/>
  <c r="T97" s="1" a="1"/>
  <c r="T97" s="1"/>
  <c r="BZ32"/>
  <c r="S98"/>
  <c r="T98" s="1" a="1"/>
  <c r="T98" s="1"/>
  <c r="BZ33"/>
  <c r="U103" s="1"/>
  <c r="AC103" s="1" a="1"/>
  <c r="AC103" s="1"/>
  <c r="AG92"/>
  <c r="AJ92"/>
  <c r="AH92"/>
  <c r="AF92"/>
  <c r="AL92"/>
  <c r="AM88" s="1"/>
  <c r="AI92"/>
  <c r="AN92"/>
  <c r="AS92"/>
  <c r="S103" l="1"/>
  <c r="T103" s="1" a="1"/>
  <c r="T103" s="1"/>
  <c r="CG24"/>
  <c r="S111" s="1"/>
  <c r="T111" s="1"/>
  <c r="AM87"/>
  <c r="AM85"/>
  <c r="AM84"/>
  <c r="AM83"/>
  <c r="AM91"/>
  <c r="AM82"/>
  <c r="AM90"/>
  <c r="AM89"/>
  <c r="AM80"/>
  <c r="AM86"/>
  <c r="AM81"/>
  <c r="S85"/>
  <c r="T85" s="1" a="1"/>
  <c r="T85" s="1"/>
  <c r="BS13"/>
  <c r="S84"/>
  <c r="T84" s="1" a="1"/>
  <c r="T84" s="1"/>
  <c r="BS12"/>
  <c r="AM92" l="1"/>
  <c r="AP87" s="1"/>
  <c r="BZ16"/>
  <c r="S95"/>
  <c r="T95" s="1" a="1"/>
  <c r="T95" s="1"/>
  <c r="S102" l="1"/>
  <c r="T102" s="1" a="1"/>
  <c r="T102" s="1"/>
  <c r="CG23"/>
  <c r="AP85"/>
  <c r="AP80"/>
  <c r="AP81"/>
  <c r="AP84"/>
  <c r="AP86"/>
  <c r="AP89"/>
  <c r="AP90"/>
  <c r="AP88"/>
  <c r="AP82"/>
  <c r="AP83"/>
  <c r="AP91"/>
  <c r="CN37" l="1"/>
  <c r="CN48"/>
  <c r="AD84"/>
  <c r="AS84" s="1"/>
  <c r="AD86"/>
  <c r="AS86" s="1"/>
  <c r="AD83"/>
  <c r="AS83" s="1"/>
  <c r="AD89"/>
  <c r="AS89" s="1"/>
  <c r="AD85"/>
  <c r="AS85" s="1"/>
  <c r="AD81"/>
  <c r="AS81" s="1"/>
  <c r="AD90"/>
  <c r="AS90" s="1"/>
  <c r="AD82"/>
  <c r="AS82" s="1"/>
  <c r="AD87"/>
  <c r="AS87" s="1"/>
  <c r="AD91"/>
  <c r="AS91" s="1"/>
  <c r="AD88"/>
  <c r="AS88" s="1"/>
  <c r="AD80"/>
  <c r="N84" l="1"/>
  <c r="M84"/>
  <c r="L81"/>
  <c r="O84"/>
  <c r="N91"/>
  <c r="M85"/>
  <c r="L85"/>
  <c r="M83"/>
  <c r="M87"/>
  <c r="N92"/>
  <c r="N90"/>
  <c r="L89"/>
  <c r="J89"/>
  <c r="AS80"/>
  <c r="J82"/>
  <c r="O89"/>
  <c r="O91"/>
  <c r="L88"/>
  <c r="M89"/>
  <c r="N89"/>
  <c r="J87"/>
  <c r="O85"/>
  <c r="O88"/>
  <c r="N88"/>
  <c r="J81"/>
  <c r="J92"/>
  <c r="M91"/>
  <c r="O81"/>
  <c r="O87"/>
  <c r="O92"/>
  <c r="O83"/>
  <c r="J90"/>
  <c r="O90"/>
  <c r="M82"/>
  <c r="M86"/>
  <c r="L84"/>
  <c r="N86"/>
  <c r="M88"/>
  <c r="L91"/>
  <c r="M90"/>
  <c r="N82"/>
  <c r="L86"/>
  <c r="J86"/>
  <c r="J91"/>
  <c r="N83"/>
  <c r="AR80"/>
  <c r="AR81" s="1"/>
  <c r="AR82" s="1"/>
  <c r="AR83" s="1"/>
  <c r="AR84" s="1"/>
  <c r="AR85" s="1"/>
  <c r="AR86" s="1"/>
  <c r="AR87" s="1"/>
  <c r="AR88" s="1"/>
  <c r="AR89" s="1"/>
  <c r="AR90" s="1"/>
  <c r="AR91" s="1"/>
  <c r="C3" i="4" s="1"/>
  <c r="F3" s="1"/>
  <c r="BL35" i="3" s="1"/>
  <c r="N81"/>
  <c r="L83"/>
  <c r="L92"/>
  <c r="N85"/>
  <c r="K85" s="1"/>
  <c r="O86"/>
  <c r="J84"/>
  <c r="J85"/>
  <c r="L87"/>
  <c r="L90"/>
  <c r="M92"/>
  <c r="L82"/>
  <c r="J83"/>
  <c r="M81"/>
  <c r="O82"/>
  <c r="N87"/>
  <c r="J88"/>
  <c r="P85" l="1"/>
  <c r="P88"/>
  <c r="P92"/>
  <c r="P86"/>
  <c r="P82"/>
  <c r="P89"/>
  <c r="K81"/>
  <c r="I3" i="4"/>
  <c r="BL15" i="3" s="1"/>
  <c r="K82"/>
  <c r="P83"/>
  <c r="P84"/>
  <c r="K84"/>
  <c r="K92"/>
  <c r="P91"/>
  <c r="K88"/>
  <c r="K90"/>
  <c r="K89"/>
  <c r="K87"/>
  <c r="K83"/>
  <c r="P87"/>
  <c r="E3" i="4"/>
  <c r="BL67" i="3" s="1"/>
  <c r="H3" i="4"/>
  <c r="BL39" i="3" s="1"/>
  <c r="K91"/>
  <c r="P81"/>
  <c r="J3" i="4"/>
  <c r="BL71" i="3" s="1"/>
  <c r="B3" i="4"/>
  <c r="P90" i="3"/>
  <c r="G3" i="4"/>
  <c r="BL11" i="3" s="1"/>
  <c r="D3" i="4"/>
  <c r="BL51" i="3" s="1"/>
  <c r="K3" i="4"/>
  <c r="BL55" i="3" s="1"/>
  <c r="K86"/>
  <c r="BS53"/>
  <c r="BS52"/>
  <c r="BS69"/>
  <c r="BZ65" s="1"/>
  <c r="CG56" s="1"/>
  <c r="CN38" s="1"/>
  <c r="CK68" s="1"/>
  <c r="BS68"/>
  <c r="BZ49" l="1"/>
  <c r="CG55" s="1"/>
  <c r="CN4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<sst xmlns="http://schemas.openxmlformats.org/spreadsheetml/2006/main" count="9785" uniqueCount="3699">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</sst>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22.jpeg"/><Relationship Id="rId21" Type="http://schemas.openxmlformats.org/officeDocument/2006/relationships/image" Target="../media/image11.png"/><Relationship Id="rId34" Type="http://schemas.openxmlformats.org/officeDocument/2006/relationships/image" Target="../media/image34.svg"/><Relationship Id="rId42" Type="http://schemas.openxmlformats.org/officeDocument/2006/relationships/image" Target="../media/image25.jpeg"/><Relationship Id="rId47" Type="http://schemas.openxmlformats.org/officeDocument/2006/relationships/image" Target="../media/image30.jpeg"/><Relationship Id="rId50" Type="http://schemas.openxmlformats.org/officeDocument/2006/relationships/image" Target="../media/image33.jpeg"/><Relationship Id="rId55" Type="http://schemas.openxmlformats.org/officeDocument/2006/relationships/image" Target="../media/image38.jpeg"/><Relationship Id="rId63" Type="http://schemas.openxmlformats.org/officeDocument/2006/relationships/image" Target="../media/image46.jpeg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15.png"/><Relationship Id="rId41" Type="http://schemas.openxmlformats.org/officeDocument/2006/relationships/image" Target="../media/image24.jpeg"/><Relationship Id="rId54" Type="http://schemas.openxmlformats.org/officeDocument/2006/relationships/image" Target="../media/image37.jpeg"/><Relationship Id="rId62" Type="http://schemas.openxmlformats.org/officeDocument/2006/relationships/image" Target="../media/image45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6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20.jpeg"/><Relationship Id="rId40" Type="http://schemas.openxmlformats.org/officeDocument/2006/relationships/image" Target="../media/image23.jpeg"/><Relationship Id="rId45" Type="http://schemas.openxmlformats.org/officeDocument/2006/relationships/image" Target="../media/image28.jpeg"/><Relationship Id="rId53" Type="http://schemas.openxmlformats.org/officeDocument/2006/relationships/image" Target="../media/image36.jpeg"/><Relationship Id="rId58" Type="http://schemas.openxmlformats.org/officeDocument/2006/relationships/image" Target="../media/image41.jpeg"/><Relationship Id="rId66" Type="http://schemas.openxmlformats.org/officeDocument/2006/relationships/image" Target="../media/image49.jpe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../media/image28.svg"/><Relationship Id="rId36" Type="http://schemas.openxmlformats.org/officeDocument/2006/relationships/image" Target="../media/image19.png"/><Relationship Id="rId49" Type="http://schemas.openxmlformats.org/officeDocument/2006/relationships/image" Target="../media/image32.jpeg"/><Relationship Id="rId57" Type="http://schemas.openxmlformats.org/officeDocument/2006/relationships/image" Target="../media/image40.jpeg"/><Relationship Id="rId61" Type="http://schemas.openxmlformats.org/officeDocument/2006/relationships/image" Target="../media/image44.jpeg"/><Relationship Id="rId10" Type="http://schemas.openxmlformats.org/officeDocument/2006/relationships/image" Target="../media/image10.svg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4" Type="http://schemas.openxmlformats.org/officeDocument/2006/relationships/image" Target="../media/image27.jpeg"/><Relationship Id="rId52" Type="http://schemas.openxmlformats.org/officeDocument/2006/relationships/image" Target="../media/image35.jpeg"/><Relationship Id="rId60" Type="http://schemas.openxmlformats.org/officeDocument/2006/relationships/image" Target="../media/image43.jpeg"/><Relationship Id="rId65" Type="http://schemas.openxmlformats.org/officeDocument/2006/relationships/image" Target="../media/image48.jpe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14.png"/><Relationship Id="rId30" Type="http://schemas.openxmlformats.org/officeDocument/2006/relationships/image" Target="../media/image30.svg"/><Relationship Id="rId35" Type="http://schemas.openxmlformats.org/officeDocument/2006/relationships/image" Target="../media/image18.png"/><Relationship Id="rId43" Type="http://schemas.openxmlformats.org/officeDocument/2006/relationships/image" Target="../media/image26.jpeg"/><Relationship Id="rId48" Type="http://schemas.openxmlformats.org/officeDocument/2006/relationships/image" Target="../media/image31.jpeg"/><Relationship Id="rId56" Type="http://schemas.openxmlformats.org/officeDocument/2006/relationships/image" Target="../media/image39.jpeg"/><Relationship Id="rId64" Type="http://schemas.openxmlformats.org/officeDocument/2006/relationships/image" Target="../media/image47.jpeg"/><Relationship Id="rId8" Type="http://schemas.openxmlformats.org/officeDocument/2006/relationships/image" Target="../media/image8.svg"/><Relationship Id="rId51" Type="http://schemas.openxmlformats.org/officeDocument/2006/relationships/image" Target="../media/image34.jpeg"/><Relationship Id="rId3" Type="http://schemas.openxmlformats.org/officeDocument/2006/relationships/image" Target="../media/image2.png"/><Relationship Id="rId12" Type="http://schemas.openxmlformats.org/officeDocument/2006/relationships/image" Target="../media/image12.svg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../media/image21.jpeg"/><Relationship Id="rId46" Type="http://schemas.openxmlformats.org/officeDocument/2006/relationships/image" Target="../media/image29.jpeg"/><Relationship Id="rId59" Type="http://schemas.openxmlformats.org/officeDocument/2006/relationships/image" Target="../media/image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="" xmlns:a16="http://schemas.microsoft.com/office/drawing/2014/main" id="{F51A19F6-415C-428E-AE45-6B8444E8C5C6}"/>
            </a:ext>
            <a:ext uri="{147F2762-F138-4A5C-976F-8EAC2B608ADB}">
              <a16:predDERef xmlns=""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="" xmlns:a16="http://schemas.microsoft.com/office/drawing/2014/main" id="{1B46314B-96F4-4815-F17C-4CFD773C5BEE}"/>
            </a:ext>
            <a:ext uri="{147F2762-F138-4A5C-976F-8EAC2B608ADB}">
              <a16:predDERef xmlns=""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="" xmlns:a16="http://schemas.microsoft.com/office/drawing/2014/main" id="{DD2796C7-63CF-A040-CAC6-694AE2C956E4}"/>
            </a:ext>
            <a:ext uri="{147F2762-F138-4A5C-976F-8EAC2B608ADB}">
              <a16:predDERef xmlns=""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="" xmlns:a16="http://schemas.microsoft.com/office/drawing/2014/main" id="{40B6E916-F412-551A-9B8E-659085D4E61F}"/>
            </a:ext>
            <a:ext uri="{147F2762-F138-4A5C-976F-8EAC2B608ADB}">
              <a16:predDERef xmlns=""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="" xmlns:a16="http://schemas.microsoft.com/office/drawing/2014/main" id="{1B863B75-27AB-03EF-340E-38758835B422}"/>
            </a:ext>
            <a:ext uri="{147F2762-F138-4A5C-976F-8EAC2B608ADB}">
              <a16:predDERef xmlns=""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="" xmlns:a16="http://schemas.microsoft.com/office/drawing/2014/main" id="{F9F7A320-9819-4817-B1BF-EDB370E4FCEE}"/>
            </a:ext>
            <a:ext uri="{147F2762-F138-4A5C-976F-8EAC2B608ADB}">
              <a16:predDERef xmlns=""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="" xmlns:a16="http://schemas.microsoft.com/office/drawing/2014/main" id="{4CAA2867-7516-4884-9806-DFE9C30E4882}"/>
            </a:ext>
            <a:ext uri="{147F2762-F138-4A5C-976F-8EAC2B608ADB}">
              <a16:predDERef xmlns=""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="" xmlns:a16="http://schemas.microsoft.com/office/drawing/2014/main" id="{2ECC2E3A-3621-4470-849A-445866F91979}"/>
            </a:ext>
            <a:ext uri="{147F2762-F138-4A5C-976F-8EAC2B608ADB}">
              <a16:predDERef xmlns=""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="" xmlns:a16="http://schemas.microsoft.com/office/drawing/2014/main" id="{22861624-4BEA-4E9A-ABFA-5D5439CE4101}"/>
            </a:ext>
            <a:ext uri="{147F2762-F138-4A5C-976F-8EAC2B608ADB}">
              <a16:predDERef xmlns=""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="" xmlns:a16="http://schemas.microsoft.com/office/drawing/2014/main" id="{5C5EBB62-A95E-43F4-9140-2603EC615986}"/>
            </a:ext>
            <a:ext uri="{147F2762-F138-4A5C-976F-8EAC2B608ADB}">
              <a16:predDERef xmlns=""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="" xmlns:a16="http://schemas.microsoft.com/office/drawing/2014/main" id="{3B7BDB38-DF6E-43BF-86FB-6A9B230F72ED}"/>
            </a:ext>
            <a:ext uri="{147F2762-F138-4A5C-976F-8EAC2B608ADB}">
              <a16:predDERef xmlns=""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="" xmlns:a16="http://schemas.microsoft.com/office/drawing/2014/main" id="{17B10BFC-AE3E-46EC-A0E7-FB856C1C432E}"/>
            </a:ext>
            <a:ext uri="{147F2762-F138-4A5C-976F-8EAC2B608ADB}">
              <a16:predDERef xmlns=""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="" xmlns:a16="http://schemas.microsoft.com/office/drawing/2014/main" id="{7B79FBDE-9EAD-4A8D-8194-73FC1A89727B}"/>
            </a:ext>
            <a:ext uri="{147F2762-F138-4A5C-976F-8EAC2B608ADB}">
              <a16:predDERef xmlns=""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="" xmlns:a16="http://schemas.microsoft.com/office/drawing/2014/main" id="{AC5ABD82-A79E-43D6-A08A-526028B33D27}"/>
            </a:ext>
            <a:ext uri="{147F2762-F138-4A5C-976F-8EAC2B608ADB}">
              <a16:predDERef xmlns=""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="" xmlns:a16="http://schemas.microsoft.com/office/drawing/2014/main" id="{D3B1F9D8-1FB9-4CCC-AB18-8FC380654943}"/>
            </a:ext>
            <a:ext uri="{147F2762-F138-4A5C-976F-8EAC2B608ADB}">
              <a16:predDERef xmlns=""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="" xmlns:a16="http://schemas.microsoft.com/office/drawing/2014/main" id="{4A4F891E-AB72-43C4-A284-70FCE9C97759}"/>
            </a:ext>
            <a:ext uri="{147F2762-F138-4A5C-976F-8EAC2B608ADB}">
              <a16:predDERef xmlns=""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="" xmlns:a16="http://schemas.microsoft.com/office/drawing/2014/main" id="{319DA717-6C51-4F4D-BFFA-1D38C87BFD71}"/>
            </a:ext>
            <a:ext uri="{147F2762-F138-4A5C-976F-8EAC2B608ADB}">
              <a16:predDERef xmlns=""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="" xmlns:a16="http://schemas.microsoft.com/office/drawing/2014/main" id="{632F5E0B-950B-4A04-BA6C-0436A596B91C}"/>
            </a:ext>
            <a:ext uri="{147F2762-F138-4A5C-976F-8EAC2B608ADB}">
              <a16:predDERef xmlns=""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="" xmlns:a16="http://schemas.microsoft.com/office/drawing/2014/main" id="{F796A2AB-26EF-4897-93AC-402DBEAD10B1}"/>
            </a:ext>
            <a:ext uri="{147F2762-F138-4A5C-976F-8EAC2B608ADB}">
              <a16:predDERef xmlns=""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="" xmlns:a16="http://schemas.microsoft.com/office/drawing/2014/main" id="{7B11A404-E79B-4E70-A731-103B739D09D1}"/>
            </a:ext>
            <a:ext uri="{147F2762-F138-4A5C-976F-8EAC2B608ADB}">
              <a16:predDERef xmlns=""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="" xmlns:a16="http://schemas.microsoft.com/office/drawing/2014/main" id="{24837278-93DD-4EE9-B1B4-8AA3B6709C88}"/>
            </a:ext>
            <a:ext uri="{147F2762-F138-4A5C-976F-8EAC2B608ADB}">
              <a16:predDERef xmlns=""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="" xmlns:a16="http://schemas.microsoft.com/office/drawing/2014/main" id="{F4C67D1C-DBC8-48F3-AEB4-717369EC7ADB}"/>
            </a:ext>
            <a:ext uri="{147F2762-F138-4A5C-976F-8EAC2B608ADB}">
              <a16:predDERef xmlns=""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="" xmlns:a16="http://schemas.microsoft.com/office/drawing/2014/main" id="{36A088A0-E9DE-4E2B-820A-4ED4CEF4983C}"/>
            </a:ext>
            <a:ext uri="{147F2762-F138-4A5C-976F-8EAC2B608ADB}">
              <a16:predDERef xmlns=""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="" xmlns:a16="http://schemas.microsoft.com/office/drawing/2014/main" id="{C6FF0E20-6461-4635-9D83-B6A8D8CDB869}"/>
            </a:ext>
            <a:ext uri="{147F2762-F138-4A5C-976F-8EAC2B608ADB}">
              <a16:predDERef xmlns=""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="" xmlns:a16="http://schemas.microsoft.com/office/drawing/2014/main" id="{1D2DE972-42C3-4B35-9D9B-D44D3222DCB2}"/>
            </a:ext>
            <a:ext uri="{147F2762-F138-4A5C-976F-8EAC2B608ADB}">
              <a16:predDERef xmlns=""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="" xmlns:a16="http://schemas.microsoft.com/office/drawing/2014/main" id="{45B79A5B-7180-4EF1-A10A-F4558F6895B9}"/>
            </a:ext>
            <a:ext uri="{147F2762-F138-4A5C-976F-8EAC2B608ADB}">
              <a16:predDERef xmlns=""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="" xmlns:a16="http://schemas.microsoft.com/office/drawing/2014/main" id="{99219DA7-2B42-47C5-A117-23215AE09188}"/>
            </a:ext>
            <a:ext uri="{147F2762-F138-4A5C-976F-8EAC2B608ADB}">
              <a16:predDERef xmlns=""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="" xmlns:a16="http://schemas.microsoft.com/office/drawing/2014/main" id="{34E4060E-64BF-4420-92E8-55ED4FDE1F2C}"/>
            </a:ext>
            <a:ext uri="{147F2762-F138-4A5C-976F-8EAC2B608ADB}">
              <a16:predDERef xmlns=""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="" xmlns:a16="http://schemas.microsoft.com/office/drawing/2014/main" id="{E34D46EF-A7A1-49C2-8271-6B46C1F01729}"/>
            </a:ext>
            <a:ext uri="{147F2762-F138-4A5C-976F-8EAC2B608ADB}">
              <a16:predDERef xmlns=""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="" xmlns:a16="http://schemas.microsoft.com/office/drawing/2014/main" id="{CE5C2639-EABA-4A03-8A6C-AF7B87EEBBC4}"/>
            </a:ext>
            <a:ext uri="{147F2762-F138-4A5C-976F-8EAC2B608ADB}">
              <a16:predDERef xmlns=""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="" xmlns:a16="http://schemas.microsoft.com/office/drawing/2014/main" id="{895A885F-98CA-4F6A-9916-B0DAF4808B58}"/>
            </a:ext>
            <a:ext uri="{147F2762-F138-4A5C-976F-8EAC2B608ADB}">
              <a16:predDERef xmlns=""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="" xmlns:a16="http://schemas.microsoft.com/office/drawing/2014/main" id="{23478721-E983-4248-9001-C89BDD9ABF4A}"/>
            </a:ext>
            <a:ext uri="{147F2762-F138-4A5C-976F-8EAC2B608ADB}">
              <a16:predDERef xmlns=""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="" xmlns:a16="http://schemas.microsoft.com/office/drawing/2014/main" id="{914E9B18-87CA-4972-A74B-487A65254FBF}"/>
            </a:ext>
            <a:ext uri="{147F2762-F138-4A5C-976F-8EAC2B608ADB}">
              <a16:predDERef xmlns=""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="" xmlns:a16="http://schemas.microsoft.com/office/drawing/2014/main" id="{6A835687-E18C-4E61-96BF-2CACA7028655}"/>
            </a:ext>
            <a:ext uri="{147F2762-F138-4A5C-976F-8EAC2B608ADB}">
              <a16:predDERef xmlns=""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="" xmlns:a16="http://schemas.microsoft.com/office/drawing/2014/main" id="{0BB292AF-CF63-4D91-9FB2-B9D9255E9111}"/>
            </a:ext>
            <a:ext uri="{147F2762-F138-4A5C-976F-8EAC2B608ADB}">
              <a16:predDERef xmlns=""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="" xmlns:a16="http://schemas.microsoft.com/office/drawing/2014/main" id="{D5A3DA86-7AE0-44D5-8116-38B4AF820308}"/>
            </a:ext>
            <a:ext uri="{147F2762-F138-4A5C-976F-8EAC2B608ADB}">
              <a16:predDERef xmlns=""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="" xmlns:a16="http://schemas.microsoft.com/office/drawing/2014/main" id="{5538F9C8-A0F4-472F-8854-3DD951573486}"/>
            </a:ext>
            <a:ext uri="{147F2762-F138-4A5C-976F-8EAC2B608ADB}">
              <a16:predDERef xmlns=""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="" xmlns:a16="http://schemas.microsoft.com/office/drawing/2014/main" id="{605DFDD4-24E5-4DCF-8C84-4031B2CF39C2}"/>
            </a:ext>
            <a:ext uri="{147F2762-F138-4A5C-976F-8EAC2B608ADB}">
              <a16:predDERef xmlns=""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="" xmlns:a16="http://schemas.microsoft.com/office/drawing/2014/main" id="{BD0BD818-94C4-4B50-B510-C69C4DCC7841}"/>
            </a:ext>
            <a:ext uri="{147F2762-F138-4A5C-976F-8EAC2B608ADB}">
              <a16:predDERef xmlns=""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="" xmlns:a16="http://schemas.microsoft.com/office/drawing/2014/main" id="{F8144853-86A7-442E-8925-6805C06536BF}"/>
            </a:ext>
            <a:ext uri="{147F2762-F138-4A5C-976F-8EAC2B608ADB}">
              <a16:predDERef xmlns=""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="" xmlns:a16="http://schemas.microsoft.com/office/drawing/2014/main" id="{D9869385-E3E9-48AF-8AEA-A5C54A95F42B}"/>
            </a:ext>
            <a:ext uri="{147F2762-F138-4A5C-976F-8EAC2B608ADB}">
              <a16:predDERef xmlns=""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="" xmlns:a16="http://schemas.microsoft.com/office/drawing/2014/main" id="{66D40F43-9FAC-461B-9600-C0A8D1D4DAFF}"/>
            </a:ext>
            <a:ext uri="{147F2762-F138-4A5C-976F-8EAC2B608ADB}">
              <a16:predDERef xmlns=""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="" xmlns:a16="http://schemas.microsoft.com/office/drawing/2014/main" id="{B29E90D8-0ACB-42E6-8B0A-2F3AF5C2CD64}"/>
            </a:ext>
            <a:ext uri="{147F2762-F138-4A5C-976F-8EAC2B608ADB}">
              <a16:predDERef xmlns=""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="" xmlns:a16="http://schemas.microsoft.com/office/drawing/2014/main" id="{2041A232-6C75-469A-8901-4D7B2E621DCC}"/>
            </a:ext>
            <a:ext uri="{147F2762-F138-4A5C-976F-8EAC2B608ADB}">
              <a16:predDERef xmlns=""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="" xmlns:a16="http://schemas.microsoft.com/office/drawing/2014/main" id="{FE4B9485-F6AA-4F52-956A-7E1D92C37B10}"/>
            </a:ext>
            <a:ext uri="{147F2762-F138-4A5C-976F-8EAC2B608ADB}">
              <a16:predDERef xmlns=""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="" xmlns:a16="http://schemas.microsoft.com/office/drawing/2014/main" id="{1E9ADE1C-28E2-4F40-B825-0D86951080F6}"/>
            </a:ext>
            <a:ext uri="{147F2762-F138-4A5C-976F-8EAC2B608ADB}">
              <a16:predDERef xmlns=""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="" xmlns:a16="http://schemas.microsoft.com/office/drawing/2014/main" id="{7D2B5624-F239-4AEC-AEB0-88500E4118FA}"/>
            </a:ext>
            <a:ext uri="{147F2762-F138-4A5C-976F-8EAC2B608ADB}">
              <a16:predDERef xmlns=""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="" xmlns:a16="http://schemas.microsoft.com/office/drawing/2014/main" id="{49B0B1E0-79B7-4827-AFB1-4DCA0DF62F5E}"/>
            </a:ext>
            <a:ext uri="{147F2762-F138-4A5C-976F-8EAC2B608ADB}">
              <a16:predDERef xmlns=""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B6D60D7-263B-2905-A703-4417C42B4357}"/>
            </a:ext>
            <a:ext uri="{147F2762-F138-4A5C-976F-8EAC2B608ADB}">
              <a16:predDERef xmlns=""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E1B5D36-C0A1-4E50-88CB-FDADEE6396CE}"/>
            </a:ext>
            <a:ext uri="{147F2762-F138-4A5C-976F-8EAC2B608ADB}">
              <a16:predDERef xmlns=""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C031B59A-81A8-4F0E-AA68-4D7B043C698D}"/>
            </a:ext>
            <a:ext uri="{147F2762-F138-4A5C-976F-8EAC2B608ADB}">
              <a16:predDERef xmlns=""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69EE8444-1F25-2356-F4A0-9AA849A76C50}"/>
            </a:ext>
            <a:ext uri="{147F2762-F138-4A5C-976F-8EAC2B608ADB}">
              <a16:predDERef xmlns=""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D0739553-C807-45C2-8E0C-C1E8D304CA8A}"/>
            </a:ext>
            <a:ext uri="{147F2762-F138-4A5C-976F-8EAC2B608ADB}">
              <a16:predDERef xmlns=""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847CA9E4-7471-494A-8D45-FE9AFE54E8FD}"/>
            </a:ext>
            <a:ext uri="{147F2762-F138-4A5C-976F-8EAC2B608ADB}">
              <a16:predDERef xmlns=""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4383D23F-95CC-44E7-F347-5683F4589692}"/>
            </a:ext>
            <a:ext uri="{147F2762-F138-4A5C-976F-8EAC2B608ADB}">
              <a16:predDERef xmlns=""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8B0F07F1-CACA-B80C-9E7E-82D6DBAFAEAD}"/>
            </a:ext>
            <a:ext uri="{147F2762-F138-4A5C-976F-8EAC2B608ADB}">
              <a16:predDERef xmlns=""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="" xmlns:a16="http://schemas.microsoft.com/office/drawing/2014/main" id="{5EC2B216-D836-45D8-8687-C70EE6030040}"/>
            </a:ext>
            <a:ext uri="{147F2762-F138-4A5C-976F-8EAC2B608ADB}">
              <a16:predDERef xmlns=""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="" xmlns:a16="http://schemas.microsoft.com/office/drawing/2014/main" id="{AB6E75E2-D7BB-4FA9-93F5-63B0296369A7}"/>
            </a:ext>
            <a:ext uri="{147F2762-F138-4A5C-976F-8EAC2B608ADB}">
              <a16:predDERef xmlns=""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="" xmlns:a16="http://schemas.microsoft.com/office/drawing/2014/main" id="{437C0994-7F98-40EB-905D-E5E44D2B304B}"/>
            </a:ext>
            <a:ext uri="{147F2762-F138-4A5C-976F-8EAC2B608ADB}">
              <a16:predDERef xmlns=""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C16ACF93-8809-49B5-A1C7-6D4825FAD0E8}"/>
            </a:ext>
            <a:ext uri="{147F2762-F138-4A5C-976F-8EAC2B608ADB}">
              <a16:predDERef xmlns=""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D43BCD2C-6856-30EB-249D-4ABD75B8C5FA}"/>
            </a:ext>
            <a:ext uri="{147F2762-F138-4A5C-976F-8EAC2B608ADB}">
              <a16:predDERef xmlns=""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50CC640E-DC57-4408-A445-0690585C932E}"/>
            </a:ext>
            <a:ext uri="{147F2762-F138-4A5C-976F-8EAC2B608ADB}">
              <a16:predDERef xmlns=""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="" xmlns:a16="http://schemas.microsoft.com/office/drawing/2014/main" id="{4491A8DE-4C7D-4A7F-91F7-654A69FABD2F}"/>
            </a:ext>
            <a:ext uri="{147F2762-F138-4A5C-976F-8EAC2B608ADB}">
              <a16:predDERef xmlns=""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="" xmlns:a16="http://schemas.microsoft.com/office/drawing/2014/main" id="{F10288F3-340E-31EB-D5F3-1743FD0B3316}"/>
            </a:ext>
            <a:ext uri="{147F2762-F138-4A5C-976F-8EAC2B608ADB}">
              <a16:predDERef xmlns=""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="" xmlns:a16="http://schemas.microsoft.com/office/drawing/2014/main" id="{81A30AF2-AAF9-4147-85D7-78FF27D522C5}"/>
            </a:ext>
            <a:ext uri="{147F2762-F138-4A5C-976F-8EAC2B608ADB}">
              <a16:predDERef xmlns=""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="" xmlns:a16="http://schemas.microsoft.com/office/drawing/2014/main" id="{99A09E97-3C00-4DBA-8301-04FB23CA2A5C}"/>
            </a:ext>
            <a:ext uri="{147F2762-F138-4A5C-976F-8EAC2B608ADB}">
              <a16:predDERef xmlns=""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="" xmlns:a16="http://schemas.microsoft.com/office/drawing/2014/main" id="{72EA11BF-CA51-52E5-F4E9-630CE4982DFA}"/>
            </a:ext>
            <a:ext uri="{147F2762-F138-4A5C-976F-8EAC2B608ADB}">
              <a16:predDERef xmlns=""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="" xmlns:a16="http://schemas.microsoft.com/office/drawing/2014/main" id="{52BD69E4-E968-4B71-B47D-370F99BCA0D6}"/>
            </a:ext>
            <a:ext uri="{147F2762-F138-4A5C-976F-8EAC2B608ADB}">
              <a16:predDERef xmlns=""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="" xmlns:a16="http://schemas.microsoft.com/office/drawing/2014/main" id="{3CCE7B5F-C44C-4BB2-B714-87A9AF6C134E}"/>
            </a:ext>
            <a:ext uri="{147F2762-F138-4A5C-976F-8EAC2B608ADB}">
              <a16:predDERef xmlns=""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="" xmlns:a16="http://schemas.microsoft.com/office/drawing/2014/main" id="{27766BD1-06AD-C18B-F134-FD484D5341A6}"/>
            </a:ext>
            <a:ext uri="{147F2762-F138-4A5C-976F-8EAC2B608ADB}">
              <a16:predDERef xmlns=""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="" xmlns:a16="http://schemas.microsoft.com/office/drawing/2014/main" id="{C4B92765-1367-404F-A79F-C9AD30ACC023}"/>
            </a:ext>
            <a:ext uri="{147F2762-F138-4A5C-976F-8EAC2B608ADB}">
              <a16:predDERef xmlns=""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="" xmlns:a16="http://schemas.microsoft.com/office/drawing/2014/main" id="{9B133708-FEC3-4B81-8B27-27A17D261279}"/>
            </a:ext>
            <a:ext uri="{147F2762-F138-4A5C-976F-8EAC2B608ADB}">
              <a16:predDERef xmlns=""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="" xmlns:a16="http://schemas.microsoft.com/office/drawing/2014/main" id="{51D84315-7B60-FFFB-C340-A001D0A5FF07}"/>
            </a:ext>
            <a:ext uri="{147F2762-F138-4A5C-976F-8EAC2B608ADB}">
              <a16:predDERef xmlns=""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="" xmlns:a16="http://schemas.microsoft.com/office/drawing/2014/main" id="{7597E444-EDCC-403A-A2D9-9CBFDE5DE51C}"/>
            </a:ext>
            <a:ext uri="{147F2762-F138-4A5C-976F-8EAC2B608ADB}">
              <a16:predDERef xmlns=""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="" xmlns:a16="http://schemas.microsoft.com/office/drawing/2014/main" id="{A6275DFE-A44B-4640-B04D-AED21754C274}"/>
            </a:ext>
            <a:ext uri="{147F2762-F138-4A5C-976F-8EAC2B608ADB}">
              <a16:predDERef xmlns=""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="" xmlns:a16="http://schemas.microsoft.com/office/drawing/2014/main" id="{345EE2B6-4254-4757-A17A-E588F3FF68D1}"/>
            </a:ext>
            <a:ext uri="{147F2762-F138-4A5C-976F-8EAC2B608ADB}">
              <a16:predDERef xmlns=""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="" xmlns:a16="http://schemas.microsoft.com/office/drawing/2014/main" id="{869D3DB6-1929-49D0-932F-7437024DE66D}"/>
            </a:ext>
            <a:ext uri="{147F2762-F138-4A5C-976F-8EAC2B608ADB}">
              <a16:predDERef xmlns=""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="" xmlns:a16="http://schemas.microsoft.com/office/drawing/2014/main" id="{010337C5-CF48-44DE-A32D-2BC9C520099F}"/>
            </a:ext>
            <a:ext uri="{147F2762-F138-4A5C-976F-8EAC2B608ADB}">
              <a16:predDERef xmlns=""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="" xmlns:a16="http://schemas.microsoft.com/office/drawing/2014/main" id="{DFC93723-4221-C3D7-F719-7819AE9485BA}"/>
            </a:ext>
            <a:ext uri="{147F2762-F138-4A5C-976F-8EAC2B608ADB}">
              <a16:predDERef xmlns=""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="" xmlns:a16="http://schemas.microsoft.com/office/drawing/2014/main" id="{29EA175C-4B47-4A09-AF7C-2432E57EE030}"/>
            </a:ext>
            <a:ext uri="{147F2762-F138-4A5C-976F-8EAC2B608ADB}">
              <a16:predDERef xmlns=""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="" xmlns:a16="http://schemas.microsoft.com/office/drawing/2014/main" id="{73AEA0E1-7CF9-49AB-8A6F-BF04537168F5}"/>
            </a:ext>
            <a:ext uri="{147F2762-F138-4A5C-976F-8EAC2B608ADB}">
              <a16:predDERef xmlns=""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="" xmlns:a16="http://schemas.microsoft.com/office/drawing/2014/main" id="{9ED42E84-6C21-450C-999C-39421CF91D08}"/>
            </a:ext>
            <a:ext uri="{147F2762-F138-4A5C-976F-8EAC2B608ADB}">
              <a16:predDERef xmlns=""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="" xmlns:a16="http://schemas.microsoft.com/office/drawing/2014/main" id="{61770197-C4C3-4510-8FFE-B312E09827E7}"/>
            </a:ext>
            <a:ext uri="{147F2762-F138-4A5C-976F-8EAC2B608ADB}">
              <a16:predDERef xmlns=""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=""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="" xmlns:a16="http://schemas.microsoft.com/office/drawing/2014/main" id="{F068B2FF-8EDA-33E5-40CE-E16D2A3EF311}"/>
            </a:ext>
            <a:ext uri="{147F2762-F138-4A5C-976F-8EAC2B608ADB}">
              <a16:predDERef xmlns=""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="" xmlns:a16="http://schemas.microsoft.com/office/drawing/2014/main" id="{A7A78207-A08D-41CC-AA47-8B1BA5E27D5F}"/>
            </a:ext>
            <a:ext uri="{147F2762-F138-4A5C-976F-8EAC2B608ADB}">
              <a16:predDERef xmlns=""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="" xmlns:a16="http://schemas.microsoft.com/office/drawing/2014/main" id="{9DBE3F33-0403-456B-B4B8-1E91BB1BA8B9}"/>
            </a:ext>
            <a:ext uri="{147F2762-F138-4A5C-976F-8EAC2B608ADB}">
              <a16:predDERef xmlns=""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="" xmlns:a16="http://schemas.microsoft.com/office/drawing/2014/main" id="{202897AA-DDF6-4593-8863-955ADF52A029}"/>
            </a:ext>
            <a:ext uri="{147F2762-F138-4A5C-976F-8EAC2B608ADB}">
              <a16:predDERef xmlns=""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="" xmlns:a16="http://schemas.microsoft.com/office/drawing/2014/main" id="{EC4F796A-976A-4D1A-A99F-A4DAD1E3B03B}"/>
            </a:ext>
            <a:ext uri="{147F2762-F138-4A5C-976F-8EAC2B608ADB}">
              <a16:predDERef xmlns=""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="" xmlns:a16="http://schemas.microsoft.com/office/drawing/2014/main" id="{CAD0A170-AEE0-4773-8608-BDCE577B3783}"/>
            </a:ext>
            <a:ext uri="{147F2762-F138-4A5C-976F-8EAC2B608ADB}">
              <a16:predDERef xmlns=""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="" xmlns:a16="http://schemas.microsoft.com/office/drawing/2014/main" id="{F0E9C929-8FCA-12A2-FFC0-4B473B22CB76}"/>
            </a:ext>
            <a:ext uri="{147F2762-F138-4A5C-976F-8EAC2B608ADB}">
              <a16:predDERef xmlns=""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="" xmlns:a16="http://schemas.microsoft.com/office/drawing/2014/main" id="{1AC42D6E-85FE-49C9-97F4-B291E1538138}"/>
            </a:ext>
            <a:ext uri="{147F2762-F138-4A5C-976F-8EAC2B608ADB}">
              <a16:predDERef xmlns=""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="" xmlns:a16="http://schemas.microsoft.com/office/drawing/2014/main" id="{DA269B76-E247-48A7-BB6E-61336BBE7F43}"/>
            </a:ext>
            <a:ext uri="{147F2762-F138-4A5C-976F-8EAC2B608ADB}">
              <a16:predDERef xmlns=""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="" xmlns:a16="http://schemas.microsoft.com/office/drawing/2014/main" id="{42BE210D-9B31-6BD2-97A1-AAE93B7E7EF7}"/>
            </a:ext>
            <a:ext uri="{147F2762-F138-4A5C-976F-8EAC2B608ADB}">
              <a16:predDERef xmlns=""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="" xmlns:a16="http://schemas.microsoft.com/office/drawing/2014/main" id="{7BFCCDE7-B76F-4E04-A483-859E0B88B19A}"/>
            </a:ext>
            <a:ext uri="{147F2762-F138-4A5C-976F-8EAC2B608ADB}">
              <a16:predDERef xmlns=""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="" xmlns:a16="http://schemas.microsoft.com/office/drawing/2014/main" id="{E57668A2-C937-4BB1-8E0A-C138846A902B}"/>
            </a:ext>
            <a:ext uri="{147F2762-F138-4A5C-976F-8EAC2B608ADB}">
              <a16:predDERef xmlns=""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="" xmlns:a16="http://schemas.microsoft.com/office/drawing/2014/main" id="{C196E4D8-8C61-AC6E-8410-08C8A794DFC1}"/>
            </a:ext>
            <a:ext uri="{147F2762-F138-4A5C-976F-8EAC2B608ADB}">
              <a16:predDERef xmlns=""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="" xmlns:a16="http://schemas.microsoft.com/office/drawing/2014/main" id="{4DF58BED-8D8C-4C50-97F6-E4630ED8C319}"/>
            </a:ext>
            <a:ext uri="{147F2762-F138-4A5C-976F-8EAC2B608ADB}">
              <a16:predDERef xmlns=""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="" xmlns:a16="http://schemas.microsoft.com/office/drawing/2014/main" id="{72B4D245-49FF-45DB-A827-8BE8A1A8B48F}"/>
            </a:ext>
            <a:ext uri="{147F2762-F138-4A5C-976F-8EAC2B608ADB}">
              <a16:predDERef xmlns=""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="" xmlns:a16="http://schemas.microsoft.com/office/drawing/2014/main" id="{0B455958-3603-1715-E2F5-6FB6F0CECE86}"/>
            </a:ext>
            <a:ext uri="{147F2762-F138-4A5C-976F-8EAC2B608ADB}">
              <a16:predDERef xmlns=""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="" xmlns:a16="http://schemas.microsoft.com/office/drawing/2014/main" id="{098924BF-98E1-1FE5-2B9D-308786AA69E7}"/>
            </a:ext>
            <a:ext uri="{147F2762-F138-4A5C-976F-8EAC2B608ADB}">
              <a16:predDERef xmlns=""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="" xmlns:a16="http://schemas.microsoft.com/office/drawing/2014/main" id="{88179672-29A1-458E-A299-B8EC1111A123}"/>
            </a:ext>
            <a:ext uri="{147F2762-F138-4A5C-976F-8EAC2B608ADB}">
              <a16:predDERef xmlns=""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="" xmlns:a16="http://schemas.microsoft.com/office/drawing/2014/main" id="{E21C3AC7-2626-421F-91DF-9CA29ADCAAA7}"/>
            </a:ext>
            <a:ext uri="{147F2762-F138-4A5C-976F-8EAC2B608ADB}">
              <a16:predDERef xmlns=""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="" xmlns:a16="http://schemas.microsoft.com/office/drawing/2014/main" id="{A339F249-01B0-573D-1A51-832F90447E7F}"/>
            </a:ext>
            <a:ext uri="{147F2762-F138-4A5C-976F-8EAC2B608ADB}">
              <a16:predDERef xmlns=""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="" xmlns:a16="http://schemas.microsoft.com/office/drawing/2014/main" id="{B1AC6EF9-7793-4689-A249-1B24963F6EFA}"/>
            </a:ext>
            <a:ext uri="{147F2762-F138-4A5C-976F-8EAC2B608ADB}">
              <a16:predDERef xmlns=""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="" xmlns:a16="http://schemas.microsoft.com/office/drawing/2014/main" id="{4191B125-922F-4D8D-927A-F296134E6639}"/>
            </a:ext>
            <a:ext uri="{147F2762-F138-4A5C-976F-8EAC2B608ADB}">
              <a16:predDERef xmlns=""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="" xmlns:a16="http://schemas.microsoft.com/office/drawing/2014/main" id="{FB6A1F23-356F-03C8-89A9-A58D53733FA6}"/>
            </a:ext>
            <a:ext uri="{147F2762-F138-4A5C-976F-8EAC2B608ADB}">
              <a16:predDERef xmlns=""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="" xmlns:a16="http://schemas.microsoft.com/office/drawing/2014/main" id="{30F1C7B3-F84D-454E-9558-C12993D76B14}"/>
            </a:ext>
            <a:ext uri="{147F2762-F138-4A5C-976F-8EAC2B608ADB}">
              <a16:predDERef xmlns=""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="" xmlns:a16="http://schemas.microsoft.com/office/drawing/2014/main" id="{77FD7135-3C30-4340-A2CD-50300F9A1557}"/>
            </a:ext>
            <a:ext uri="{147F2762-F138-4A5C-976F-8EAC2B608ADB}">
              <a16:predDERef xmlns=""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="" xmlns:a16="http://schemas.microsoft.com/office/drawing/2014/main" id="{B8298630-2532-ECAB-1AE9-D392529F0BB3}"/>
            </a:ext>
            <a:ext uri="{147F2762-F138-4A5C-976F-8EAC2B608ADB}">
              <a16:predDERef xmlns=""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="" xmlns:a16="http://schemas.microsoft.com/office/drawing/2014/main" id="{81DA73B2-C784-4149-AF54-35F3E7EBC024}"/>
            </a:ext>
            <a:ext uri="{147F2762-F138-4A5C-976F-8EAC2B608ADB}">
              <a16:predDERef xmlns=""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="" xmlns:a16="http://schemas.microsoft.com/office/drawing/2014/main" id="{E70919BA-D6FE-4669-948B-442CB9B5351B}"/>
            </a:ext>
            <a:ext uri="{147F2762-F138-4A5C-976F-8EAC2B608ADB}">
              <a16:predDERef xmlns=""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="" xmlns:a16="http://schemas.microsoft.com/office/drawing/2014/main" id="{30FB3D2B-1857-4524-39E8-414D7241839F}"/>
            </a:ext>
            <a:ext uri="{147F2762-F138-4A5C-976F-8EAC2B608ADB}">
              <a16:predDERef xmlns=""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="" xmlns:a16="http://schemas.microsoft.com/office/drawing/2014/main" id="{B3E0B716-3F31-49AB-B0DF-A7A5D062DAFF}"/>
            </a:ext>
            <a:ext uri="{147F2762-F138-4A5C-976F-8EAC2B608ADB}">
              <a16:predDERef xmlns=""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="" xmlns:a16="http://schemas.microsoft.com/office/drawing/2014/main" id="{7BF3C833-4DBD-4384-8E02-297FBF928C0B}"/>
            </a:ext>
            <a:ext uri="{147F2762-F138-4A5C-976F-8EAC2B608ADB}">
              <a16:predDERef xmlns=""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="" xmlns:a16="http://schemas.microsoft.com/office/drawing/2014/main" id="{3145E025-B580-5C4D-0669-0156CE68637F}"/>
            </a:ext>
            <a:ext uri="{147F2762-F138-4A5C-976F-8EAC2B608ADB}">
              <a16:predDERef xmlns=""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="" xmlns:a16="http://schemas.microsoft.com/office/drawing/2014/main" id="{F422FA4D-C1F2-45D0-8FF3-1CD9CC3E692C}"/>
            </a:ext>
            <a:ext uri="{147F2762-F138-4A5C-976F-8EAC2B608ADB}">
              <a16:predDERef xmlns=""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="" xmlns:a16="http://schemas.microsoft.com/office/drawing/2014/main" id="{AA774F6A-C08D-4E8A-B9CA-102E1E878606}"/>
            </a:ext>
            <a:ext uri="{147F2762-F138-4A5C-976F-8EAC2B608ADB}">
              <a16:predDERef xmlns=""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="" xmlns:a16="http://schemas.microsoft.com/office/drawing/2014/main" id="{67C0255F-509C-57CF-A97D-D7B4864AF9B0}"/>
            </a:ext>
            <a:ext uri="{147F2762-F138-4A5C-976F-8EAC2B608ADB}">
              <a16:predDERef xmlns=""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="" xmlns:a16="http://schemas.microsoft.com/office/drawing/2014/main" id="{DDAF7E5B-4C05-4A74-9825-D0066FB7F2C9}"/>
            </a:ext>
            <a:ext uri="{147F2762-F138-4A5C-976F-8EAC2B608ADB}">
              <a16:predDERef xmlns=""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="" xmlns:a16="http://schemas.microsoft.com/office/drawing/2014/main" id="{ABCFE893-7E10-4D50-8649-6191D4CF8087}"/>
            </a:ext>
            <a:ext uri="{147F2762-F138-4A5C-976F-8EAC2B608ADB}">
              <a16:predDERef xmlns=""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="" xmlns:a16="http://schemas.microsoft.com/office/drawing/2014/main" id="{58FC111B-CF3D-5593-695F-0456FF709E87}"/>
            </a:ext>
            <a:ext uri="{147F2762-F138-4A5C-976F-8EAC2B608ADB}">
              <a16:predDERef xmlns=""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="" xmlns:a16="http://schemas.microsoft.com/office/drawing/2014/main" id="{E7DE13C6-FF48-4A46-9940-7737996098C5}"/>
            </a:ext>
            <a:ext uri="{147F2762-F138-4A5C-976F-8EAC2B608ADB}">
              <a16:predDERef xmlns=""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="" xmlns:a16="http://schemas.microsoft.com/office/drawing/2014/main" id="{2139952F-33EC-4355-8BE7-B04B9260378A}"/>
            </a:ext>
            <a:ext uri="{147F2762-F138-4A5C-976F-8EAC2B608ADB}">
              <a16:predDERef xmlns=""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="" xmlns:a16="http://schemas.microsoft.com/office/drawing/2014/main" id="{70C438E8-24F9-7767-C915-3978A26D5BA7}"/>
            </a:ext>
            <a:ext uri="{147F2762-F138-4A5C-976F-8EAC2B608ADB}">
              <a16:predDERef xmlns=""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="" xmlns:a16="http://schemas.microsoft.com/office/drawing/2014/main" id="{935F9792-7EAA-40AD-AE13-7E60491755D6}"/>
            </a:ext>
            <a:ext uri="{147F2762-F138-4A5C-976F-8EAC2B608ADB}">
              <a16:predDERef xmlns=""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="" xmlns:a16="http://schemas.microsoft.com/office/drawing/2014/main" id="{F4CC0F33-1C5C-4DE7-B21C-F8C30F59532F}"/>
            </a:ext>
            <a:ext uri="{147F2762-F138-4A5C-976F-8EAC2B608ADB}">
              <a16:predDERef xmlns=""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="" xmlns:a16="http://schemas.microsoft.com/office/drawing/2014/main" id="{652CB5AB-A8A7-F9DF-276D-0D5BE7748231}"/>
            </a:ext>
            <a:ext uri="{147F2762-F138-4A5C-976F-8EAC2B608ADB}">
              <a16:predDERef xmlns=""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="" xmlns:a16="http://schemas.microsoft.com/office/drawing/2014/main" id="{EF2907EB-5792-494A-94FA-8D1ED0F5A786}"/>
            </a:ext>
            <a:ext uri="{147F2762-F138-4A5C-976F-8EAC2B608ADB}">
              <a16:predDERef xmlns=""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="" xmlns:a16="http://schemas.microsoft.com/office/drawing/2014/main" id="{88D0F5DC-F4AC-44F1-B04D-9396174C4E0D}"/>
            </a:ext>
            <a:ext uri="{147F2762-F138-4A5C-976F-8EAC2B608ADB}">
              <a16:predDERef xmlns=""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="" xmlns:a16="http://schemas.microsoft.com/office/drawing/2014/main" id="{CC2BA196-9E41-3B8D-76C8-CBAE66B8CF10}"/>
            </a:ext>
            <a:ext uri="{147F2762-F138-4A5C-976F-8EAC2B608ADB}">
              <a16:predDERef xmlns=""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="" xmlns:a16="http://schemas.microsoft.com/office/drawing/2014/main" id="{D92FE3C3-C952-4938-9336-AB35291EA1FF}"/>
            </a:ext>
            <a:ext uri="{147F2762-F138-4A5C-976F-8EAC2B608ADB}">
              <a16:predDERef xmlns=""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="" xmlns:a16="http://schemas.microsoft.com/office/drawing/2014/main" id="{78F1F27C-38CD-4B4B-91C1-2C270068EDF0}"/>
            </a:ext>
            <a:ext uri="{147F2762-F138-4A5C-976F-8EAC2B608ADB}">
              <a16:predDERef xmlns=""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="" xmlns:a16="http://schemas.microsoft.com/office/drawing/2014/main" id="{AD3B7227-2DB1-FDC9-1F40-DEC7BD7DE41E}"/>
            </a:ext>
            <a:ext uri="{147F2762-F138-4A5C-976F-8EAC2B608ADB}">
              <a16:predDERef xmlns=""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="" xmlns:a16="http://schemas.microsoft.com/office/drawing/2014/main" id="{6E7558E1-CF67-4B72-9E7D-25A3E79F51DC}"/>
            </a:ext>
            <a:ext uri="{147F2762-F138-4A5C-976F-8EAC2B608ADB}">
              <a16:predDERef xmlns=""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="" xmlns:a16="http://schemas.microsoft.com/office/drawing/2014/main" id="{CBA7BA57-6D9A-440B-8719-5C4B1E9FCDD8}"/>
            </a:ext>
            <a:ext uri="{147F2762-F138-4A5C-976F-8EAC2B608ADB}">
              <a16:predDERef xmlns=""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="" xmlns:a16="http://schemas.microsoft.com/office/drawing/2014/main" id="{F0ACA1BB-2892-8D8F-16BC-AAA469005846}"/>
            </a:ext>
            <a:ext uri="{147F2762-F138-4A5C-976F-8EAC2B608ADB}">
              <a16:predDERef xmlns=""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="" xmlns:a16="http://schemas.microsoft.com/office/drawing/2014/main" id="{A66CD503-F508-4880-B9CB-2407BC8B2FC0}"/>
            </a:ext>
            <a:ext uri="{147F2762-F138-4A5C-976F-8EAC2B608ADB}">
              <a16:predDERef xmlns=""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="" xmlns:a16="http://schemas.microsoft.com/office/drawing/2014/main" id="{96100DE2-9C01-42BF-A75E-FA6C48C4CB00}"/>
            </a:ext>
            <a:ext uri="{147F2762-F138-4A5C-976F-8EAC2B608ADB}">
              <a16:predDERef xmlns=""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="" xmlns:a16="http://schemas.microsoft.com/office/drawing/2014/main" id="{BAADC898-EF39-F06B-280A-55C896BC6499}"/>
            </a:ext>
            <a:ext uri="{147F2762-F138-4A5C-976F-8EAC2B608ADB}">
              <a16:predDERef xmlns=""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="" xmlns:a16="http://schemas.microsoft.com/office/drawing/2014/main" id="{06725317-788A-40D9-9A96-55B138349EED}"/>
            </a:ext>
            <a:ext uri="{147F2762-F138-4A5C-976F-8EAC2B608ADB}">
              <a16:predDERef xmlns=""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="" xmlns:a16="http://schemas.microsoft.com/office/drawing/2014/main" id="{E5BCB6FE-DF8E-4E1C-A89E-02718ED35B2F}"/>
            </a:ext>
            <a:ext uri="{147F2762-F138-4A5C-976F-8EAC2B608ADB}">
              <a16:predDERef xmlns=""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="" xmlns:a16="http://schemas.microsoft.com/office/drawing/2014/main" id="{A91A538F-459A-2E5C-F58D-BFE81A3AD270}"/>
            </a:ext>
            <a:ext uri="{147F2762-F138-4A5C-976F-8EAC2B608ADB}">
              <a16:predDERef xmlns=""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="" xmlns:a16="http://schemas.microsoft.com/office/drawing/2014/main" id="{87CB918A-C8E8-4384-9086-8D45C8599E43}"/>
            </a:ext>
            <a:ext uri="{147F2762-F138-4A5C-976F-8EAC2B608ADB}">
              <a16:predDERef xmlns=""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="" xmlns:a16="http://schemas.microsoft.com/office/drawing/2014/main" id="{9CEE2CED-EED2-41A6-AEB6-5520EAB59514}"/>
            </a:ext>
            <a:ext uri="{147F2762-F138-4A5C-976F-8EAC2B608ADB}">
              <a16:predDERef xmlns=""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B1:AA72"/>
  <sheetViews>
    <sheetView showGridLines="0" workbookViewId="0">
      <selection activeCell="B2" sqref="B2"/>
    </sheetView>
  </sheetViews>
  <sheetFormatPr baseColWidth="10" defaultColWidth="9.140625" defaultRowHeight="1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5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Minutes" prompt="Use drop-down List" sqref="C10">
      <formula1>$F$44:$F$47</formula1>
    </dataValidation>
    <dataValidation type="list" allowBlank="1" showInputMessage="1" showErrorMessage="1" promptTitle="Select Your Favorite Team" prompt="Use drop-down List" sqref="C12">
      <formula1>teams</formula1>
    </dataValidation>
    <dataValidation type="list" allowBlank="1" showInputMessage="1" showErrorMessage="1" promptTitle="Select GTM-time" prompt="Use drop-down List" sqref="C8">
      <formula1>$F$18:$F$42</formula1>
    </dataValidation>
    <dataValidation type="list" allowBlank="1" showInputMessage="1" showErrorMessage="1" promptTitle="Highlight Group Matches" prompt="Include all group-stage matches for your selected team" sqref="C14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R111"/>
  <sheetViews>
    <sheetView showGridLines="0" tabSelected="1" topLeftCell="K2" zoomScaleNormal="100" workbookViewId="0">
      <selection activeCell="BU1" sqref="BU1"/>
    </sheetView>
  </sheetViews>
  <sheetFormatPr baseColWidth="10" defaultColWidth="9.140625" defaultRowHeight="1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2</v>
      </c>
      <c r="W8" s="123">
        <f t="shared" si="4"/>
        <v>2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2</v>
      </c>
      <c r="Z8" s="123">
        <f t="shared" ref="Z8:Z71" si="11">X8*G8</f>
        <v>2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5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90000009.191316694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5</v>
      </c>
      <c r="AJ9" s="123">
        <f>SUMIF($E$7:$E$78,$AE9,$G$7:$G$78) + SUMIF($H$7:$H$78,$AE9,$F$7:$F$78)</f>
        <v>4</v>
      </c>
      <c r="AL9" s="123">
        <f>AI9-AJ9</f>
        <v>1</v>
      </c>
      <c r="AM9" s="123">
        <f>AL9-AL12</f>
        <v>3</v>
      </c>
      <c r="AN9" s="123">
        <f>AF9*3+AG9</f>
        <v>6</v>
      </c>
      <c r="AO9" s="123">
        <f>AN9/AN12*10+BA9</f>
        <v>6</v>
      </c>
      <c r="AP9" s="123">
        <f>AO9*10000000+BI9*100+AM9/AM12*10+AI9/AI12*1++IF(AQ9=0,ROW(),AQ9)/2000000</f>
        <v>60000005.715000585</v>
      </c>
      <c r="AQ9" s="126">
        <f>VLOOKUP(AE9,db_fifarank,2,FALSE)</f>
        <v>1429.73</v>
      </c>
      <c r="AR9" s="125">
        <f>AP9/AP12</f>
        <v>0.66666665467543973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6</v>
      </c>
      <c r="AL10" s="123">
        <f>AI10-AJ10</f>
        <v>-2</v>
      </c>
      <c r="AM10" s="123">
        <f>AL10-AL12</f>
        <v>0</v>
      </c>
      <c r="AN10" s="123">
        <f>AF10*3+AG10</f>
        <v>1</v>
      </c>
      <c r="AO10" s="123">
        <f>AN10/AN12*10+BA10</f>
        <v>1.9806451612903224</v>
      </c>
      <c r="AP10" s="123">
        <f>AO10*10000000+BI10*100+AM10/AM12*10+AI10/AI12*1++IF(AQ10=0,ROW(),AQ10)/2000000</f>
        <v>19806550.249642253</v>
      </c>
      <c r="AQ10" s="126">
        <f>VLOOKUP(AE10,db_fifarank,2,FALSE)</f>
        <v>1588.66</v>
      </c>
      <c r="AR10" s="125">
        <f>AP10/AP12</f>
        <v>0.22007275563123449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50.666666666666664</v>
      </c>
      <c r="BA10" s="126">
        <f>AZ10/AZ12</f>
        <v>0.98064516129032253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50.666666666666664</v>
      </c>
      <c r="BI10" s="126">
        <f>BH10/BH12</f>
        <v>0.98064516129032253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3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4 - 6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6</v>
      </c>
      <c r="AL11" s="123">
        <f>AI11-AJ11</f>
        <v>-2</v>
      </c>
      <c r="AM11" s="123">
        <f>AL11-AL12</f>
        <v>0</v>
      </c>
      <c r="AN11" s="123">
        <f>AF11*3+AG11</f>
        <v>1</v>
      </c>
      <c r="AO11" s="123">
        <f>AN11/AN12*10+BA11</f>
        <v>1.9806451612903224</v>
      </c>
      <c r="AP11" s="123">
        <f>AO11*10000000+BI11*100+AM11/AM12*10+AI11/AI12*1++IF(AQ11=0,ROW(),AQ11)/2000000</f>
        <v>19806550.249598615</v>
      </c>
      <c r="AQ11" s="126">
        <f>VLOOKUP(AE11,db_fifarank,2,FALSE)</f>
        <v>1501.38</v>
      </c>
      <c r="AR11" s="125">
        <f>AP11/AP12</f>
        <v>0.22007275563074963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50.666666666666664</v>
      </c>
      <c r="BA11" s="126">
        <f>AZ11/AZ12</f>
        <v>0.98064516129032253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50.666666666666664</v>
      </c>
      <c r="BI11" s="126">
        <f>BH11/BH12</f>
        <v>0.98064516129032253</v>
      </c>
      <c r="BK11" s="142"/>
      <c r="BL11" s="26" t="str">
        <f>IF(group_round_completed,VLOOKUP('3rd places'!G3,AK80:AS91,9,FALSE),"3rd Group A/B/C/D/F")</f>
        <v>Turkey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4 - 6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6</v>
      </c>
      <c r="AN12" s="123">
        <f>MAX(AN8:AN11)+1</f>
        <v>10</v>
      </c>
      <c r="AO12" s="123">
        <f>MAX(AO8:AO11)+1</f>
        <v>10</v>
      </c>
      <c r="AP12" s="123">
        <f>MAX(AP8:AP11)+1</f>
        <v>90000010.191316694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51.666666666666664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51.666666666666664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>
        <v>0</v>
      </c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>
        <v>1</v>
      </c>
      <c r="BV13" s="27"/>
      <c r="BW13" s="113">
        <f>IF(BW12="","",BT13*1000+BU13*10+BV13)</f>
        <v>2010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3</v>
      </c>
      <c r="AL14" s="123">
        <f>AI14-AJ14</f>
        <v>3</v>
      </c>
      <c r="AM14" s="123">
        <f>AL14-AL18</f>
        <v>8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97305932.158891976</v>
      </c>
      <c r="AQ14" s="126">
        <f>VLOOKUP(AE14,db_fifarank,2,FALSE)</f>
        <v>1556.48</v>
      </c>
      <c r="AR14" s="125">
        <f>AP14/AP18</f>
        <v>0.99999998091391495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5</v>
      </c>
      <c r="AL15" s="123">
        <f>AI15-AJ15</f>
        <v>-2</v>
      </c>
      <c r="AM15" s="123">
        <f>AL15-AL18</f>
        <v>3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37500003.429264344</v>
      </c>
      <c r="AQ15" s="126">
        <f>VLOOKUP(AE15,db_fifarank,2,FALSE)</f>
        <v>1385.84</v>
      </c>
      <c r="AR15" s="125">
        <f>AP15/AP18</f>
        <v>0.38538249294299864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6 - 3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7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0.2864417657142857</v>
      </c>
      <c r="AQ16" s="126">
        <f>VLOOKUP(AE16,db_fifarank,2,FALSE)</f>
        <v>1454.96</v>
      </c>
      <c r="AR16" s="125">
        <f>AP16/AP18</f>
        <v>2.9437235109109256E-9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9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97305933.016081303</v>
      </c>
      <c r="AQ17" s="126">
        <f>VLOOKUP(AE17,db_fifarank,2,FALSE)</f>
        <v>1649.4</v>
      </c>
      <c r="AR17" s="125">
        <f>AP17/AP18</f>
        <v>0.99999998972313442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97305934.016081303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South Africa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90000010.383655697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12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49805930.072183728</v>
      </c>
      <c r="AQ21" s="126">
        <f>VLOOKUP(AE21,db_fifarank,2,FALSE)</f>
        <v>1755.87</v>
      </c>
      <c r="AR21" s="125">
        <f>AP21/AP24</f>
        <v>0.55339915302753673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11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9.1554945909090912E-2</v>
      </c>
      <c r="AQ22" s="126">
        <f>VLOOKUP(AE22,db_fifarank,2,FALSE)</f>
        <v>1291.71</v>
      </c>
      <c r="AR22" s="125">
        <f>AP22/AP24</f>
        <v>1.0172770480973251E-9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0</v>
      </c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5 - 5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10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49805929.019423395</v>
      </c>
      <c r="AQ23" s="126">
        <f>VLOOKUP(AE23,db_fifarank,2,FALSE)</f>
        <v>1498.35</v>
      </c>
      <c r="AR23" s="125">
        <f>AP23/AP24</f>
        <v>0.55339914133020118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Morocco</v>
      </c>
      <c r="BM23" s="62">
        <v>1</v>
      </c>
      <c r="BN23" s="64">
        <v>1</v>
      </c>
      <c r="BO23" s="27"/>
      <c r="BP23" s="112">
        <f>IF(BP22="","",BM23*1000+BN23*10+BO23)</f>
        <v>1010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>
        <v>0</v>
      </c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-10</v>
      </c>
      <c r="AM24" s="123">
        <f>MAX(AM20:AM23)+1</f>
        <v>19</v>
      </c>
      <c r="AN24" s="123">
        <f>MAX(AN20:AN23)+1</f>
        <v>10</v>
      </c>
      <c r="AO24" s="123">
        <f>MAX(AO20:AO23)+1</f>
        <v>10</v>
      </c>
      <c r="AP24" s="123">
        <f>MAX(AP20:AP23)+1</f>
        <v>90000011.383655697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1</v>
      </c>
      <c r="CJ24" s="27"/>
      <c r="CK24" s="113">
        <f>IF(CK23="","",CH24*1000+CI24*10+CJ24)</f>
        <v>2010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6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87500009.429407984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2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2010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6 - 4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4</v>
      </c>
      <c r="AL27" s="123">
        <f>AI27-AJ27</f>
        <v>2</v>
      </c>
      <c r="AM27" s="123">
        <f>AL27-AL30</f>
        <v>6</v>
      </c>
      <c r="AN27" s="123">
        <f>AF27*3+AG27</f>
        <v>5</v>
      </c>
      <c r="AO27" s="123">
        <f>AN27/AN30*10+BA27</f>
        <v>6.25</v>
      </c>
      <c r="AP27" s="123">
        <f>AO27*10000000+BI27*100+AM27/AM30*10+AI27/AI30*1++IF(AQ27=0,ROW(),AQ27)/2000000</f>
        <v>62500009.429323182</v>
      </c>
      <c r="AQ27" s="126">
        <f>VLOOKUP(AE27,db_fifarank,2,FALSE)</f>
        <v>1503.5</v>
      </c>
      <c r="AR27" s="125">
        <f>AP27/AP30</f>
        <v>0.71428573691138075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>
        <v>0</v>
      </c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7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0.42936176357142852</v>
      </c>
      <c r="AQ28" s="126">
        <f>VLOOKUP(AE28,db_fifarank,2,FALSE)</f>
        <v>1580.67</v>
      </c>
      <c r="AR28" s="125">
        <f>AP28/AP30</f>
        <v>4.9069909987933422E-9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6 - 6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6</v>
      </c>
      <c r="AL29" s="123">
        <f>AI29-AJ29</f>
        <v>0</v>
      </c>
      <c r="AM29" s="123">
        <f>AL29-AL30</f>
        <v>4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50000006.572228096</v>
      </c>
      <c r="AQ29" s="126">
        <f>VLOOKUP(AE29,db_fifarank,2,FALSE)</f>
        <v>1599.04</v>
      </c>
      <c r="AR29" s="125">
        <f>AP29/AP30</f>
        <v>0.57142857842932937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87500010.429407984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1</v>
      </c>
      <c r="AL32" s="123">
        <f>AI32-AJ32</f>
        <v>9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90000010.383640304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>
        <v>1</v>
      </c>
      <c r="CC32" s="25"/>
      <c r="CD32" s="116">
        <f>IF(OR(CA32="",CA33="",AND(CB32="",CB33&lt;&gt;""),AND(CB33="",CB32&lt;&gt;""),AND(CC32="",CC33&lt;&gt;""),AND(CC33="",CC32&lt;&gt;"")),"",CA32*1000+CB32*10+CC32)</f>
        <v>2010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10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9.1556415909090916E-2</v>
      </c>
      <c r="AQ33" s="126">
        <f>VLOOKUP(AE33,db_fifarank,2,FALSE)</f>
        <v>1294.6500000000001</v>
      </c>
      <c r="AR33" s="125">
        <f>AP33/AP36</f>
        <v>1.0172933814287664E-9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2</v>
      </c>
      <c r="CB33" s="64">
        <v>0</v>
      </c>
      <c r="CC33" s="27"/>
      <c r="CD33" s="112">
        <f>IF(CD32="","",CA33*1000+CB33*10+CC33)</f>
        <v>2000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6</v>
      </c>
      <c r="AL34" s="123">
        <f>AI34-AJ34</f>
        <v>-2</v>
      </c>
      <c r="AM34" s="123">
        <f>AL34-AL36</f>
        <v>7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30000004.048613381</v>
      </c>
      <c r="AQ34" s="126">
        <f>VLOOKUP(AE34,db_fifarank,2,FALSE)</f>
        <v>1532.98</v>
      </c>
      <c r="AR34" s="125">
        <f>AP34/AP36</f>
        <v>0.33333333615629535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60000006.33572562</v>
      </c>
      <c r="AQ35" s="126">
        <f>VLOOKUP(AE35,db_fifarank,2,FALSE)</f>
        <v>1594.78</v>
      </c>
      <c r="AR35" s="125">
        <f>AP35/AP36</f>
        <v>0.6666666527403583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-9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90000011.383640304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>
        <v>1</v>
      </c>
      <c r="CQ37" s="25">
        <v>4</v>
      </c>
      <c r="CR37" s="111">
        <f>IF(OR(CO37="",CO38="",AND(CP37="",CP38&lt;&gt;""),AND(CP38="",CP37&lt;&gt;""),AND(CQ37="",CQ38&lt;&gt;""),AND(CQ38="",CQ37&lt;&gt;"")),"",CO37*1000+CP37*10+CQ37)</f>
        <v>2014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8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97306559.424330026</v>
      </c>
      <c r="AQ38" s="126">
        <f>VLOOKUP(AE38,db_fifarank,2,FALSE)</f>
        <v>1757.87</v>
      </c>
      <c r="AR38" s="125">
        <f>AP38/AP42</f>
        <v>0.99999998972320059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2</v>
      </c>
      <c r="CP38" s="64">
        <v>1</v>
      </c>
      <c r="CQ38" s="27">
        <v>5</v>
      </c>
      <c r="CR38" s="111">
        <f>IF(CR37="","",CO38*1000+CP38*10+CQ38)</f>
        <v>2015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3</v>
      </c>
      <c r="AL39" s="123">
        <f>AI39-AJ39</f>
        <v>3</v>
      </c>
      <c r="AM39" s="123">
        <f>AL39-AL42</f>
        <v>8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97306559.424281314</v>
      </c>
      <c r="AQ39" s="126">
        <f>VLOOKUP(AE39,db_fifarank,2,FALSE)</f>
        <v>1660.43</v>
      </c>
      <c r="AR39" s="125">
        <f>AP39/AP42</f>
        <v>0.99999998972269999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42"/>
      <c r="BL39" s="26" t="str">
        <f>IF(group_round_completed,VLOOKUP('3rd places'!H3,AK80:AS91,9,FALSE),"3rd Group A/E/H/I/J")</f>
        <v>Ivory Coast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6 - 3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4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37500005.016630404</v>
      </c>
      <c r="AQ40" s="126">
        <f>VLOOKUP(AE40,db_fifarank,2,FALSE)</f>
        <v>1514.77</v>
      </c>
      <c r="AR40" s="125">
        <f>AP40/AP42</f>
        <v>0.38538002836707091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1.4757347010411661E-9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9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97306560.424330026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3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90000009.889756247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8 - 3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5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40000005.445226066</v>
      </c>
      <c r="AQ45" s="126">
        <f>VLOOKUP(AE45,db_fifarank,2,FALSE)</f>
        <v>1563.24</v>
      </c>
      <c r="AR45" s="125">
        <f>AP45/AP48</f>
        <v>0.44444445117038139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Ecuador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6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</v>
      </c>
      <c r="AP46" s="123">
        <f>AO46*10000000+BI46*100+AM46/AM48*10+AI46/AI48*1++IF(AQ46=0,ROW(),AQ46)/2000000</f>
        <v>10000000.223029872</v>
      </c>
      <c r="AQ46" s="126">
        <f>VLOOKUP(AE46,db_fifarank,2,FALSE)</f>
        <v>1615.3</v>
      </c>
      <c r="AR46" s="125">
        <f>AP46/AP48</f>
        <v>0.11111110014507862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2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2010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5</v>
      </c>
      <c r="AL47" s="123">
        <f>AI47-AJ47</f>
        <v>-2</v>
      </c>
      <c r="AM47" s="123">
        <f>AL47-AL48</f>
        <v>2</v>
      </c>
      <c r="AN47" s="123">
        <f>AF47*3+AG47</f>
        <v>3</v>
      </c>
      <c r="AO47" s="123">
        <f>AN47/AN48*10+BA47</f>
        <v>3</v>
      </c>
      <c r="AP47" s="123">
        <f>AO47*10000000+BI47*100+AM47/AM48*10+AI47/AI48*1++IF(AQ47=0,ROW(),AQ47)/2000000</f>
        <v>30000002.333974116</v>
      </c>
      <c r="AQ47" s="126">
        <f>VLOOKUP(AE47,db_fifarank,2,FALSE)</f>
        <v>1281.57</v>
      </c>
      <c r="AR47" s="125">
        <f>AP47/AP48</f>
        <v>0.33333331893395024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>
        <v>0</v>
      </c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2 - 6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9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90000010.889756247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>
        <v>1</v>
      </c>
      <c r="CC48" s="25"/>
      <c r="CD48" s="112">
        <f>IF(OR(CA48="",CA49="",AND(CB48="",CB49&lt;&gt;""),AND(CB49="",CB48&lt;&gt;""),AND(CC48="",CC49&lt;&gt;""),AND(CC49="",CC48&lt;&gt;"")),"",CA48*1000+CB48*10+CC48)</f>
        <v>2010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>
        <v>0</v>
      </c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90000010.131707445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5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6</v>
      </c>
      <c r="AL51" s="123">
        <f>AI51-AJ51</f>
        <v>-4</v>
      </c>
      <c r="AM51" s="123">
        <f>AL51-AL54</f>
        <v>1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19805924.270884708</v>
      </c>
      <c r="AQ51" s="126">
        <f>VLOOKUP(AE51,db_fifarank,2,FALSE)</f>
        <v>1366.13</v>
      </c>
      <c r="AR51" s="125">
        <f>AP51/AP54</f>
        <v>0.2200657980130736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19805923.401681591</v>
      </c>
      <c r="AQ52" s="126">
        <f>VLOOKUP(AE52,db_fifarank,2,FALSE)</f>
        <v>1421.43</v>
      </c>
      <c r="AR52" s="125">
        <f>AP52/AP54</f>
        <v>0.22006578835526241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60000005.985451922</v>
      </c>
      <c r="AQ53" s="126">
        <f>VLOOKUP(AE53,db_fifarank,2,FALSE)</f>
        <v>1673.07</v>
      </c>
      <c r="AR53" s="125">
        <f>AP53/AP54</f>
        <v>0.66666665071459785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90000011.131707445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1</v>
      </c>
      <c r="AL56" s="123">
        <f>AI56-AJ56</f>
        <v>8</v>
      </c>
      <c r="AM56" s="123">
        <f>AL56-AL60</f>
        <v>16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90000010.312703371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30000004.518491551</v>
      </c>
      <c r="AQ57" s="126">
        <f>VLOOKUP(AE57,db_fifarank,2,FALSE)</f>
        <v>1688.99</v>
      </c>
      <c r="AR57" s="125">
        <f>AP57/AP60</f>
        <v>0.33333334163989259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8.0396656561071921E-12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60000005.694893114</v>
      </c>
      <c r="AQ59" s="126">
        <f>VLOOKUP(AE59,db_fifarank,2,FALSE)</f>
        <v>1550.94</v>
      </c>
      <c r="AR59" s="125">
        <f>AP59/AP60</f>
        <v>0.66666664614545668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-8</v>
      </c>
      <c r="AM60" s="123">
        <f>MAX(AM56:AM59)+1</f>
        <v>17</v>
      </c>
      <c r="AN60" s="123">
        <f>MAX(AN56:AN59)+1</f>
        <v>10</v>
      </c>
      <c r="AO60" s="123">
        <f>MAX(AO56:AO59)+1</f>
        <v>10</v>
      </c>
      <c r="AP60" s="123">
        <f>MAX(AP56:AP59)+1</f>
        <v>90000011.312703371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2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1</v>
      </c>
      <c r="BN62" s="63">
        <v>0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1004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30000003.411038537</v>
      </c>
      <c r="AQ63" s="126">
        <f>VLOOKUP(AE63,db_fifarank,2,FALSE)</f>
        <v>1564.26</v>
      </c>
      <c r="AR63" s="125">
        <f>AP63/AP66</f>
        <v>0.333333330046371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>
        <v>0</v>
      </c>
      <c r="BO63" s="27">
        <v>2</v>
      </c>
      <c r="BP63" s="112">
        <f>IF(BP62="","",BM63*1000+BN63*10+BO63)</f>
        <v>1002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3</v>
      </c>
      <c r="AL64" s="123">
        <f>AI64-AJ64</f>
        <v>2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60000006.710198432</v>
      </c>
      <c r="AQ64" s="126">
        <f>VLOOKUP(AE64,db_fifarank,2,FALSE)</f>
        <v>1593.45</v>
      </c>
      <c r="AR64" s="125">
        <f>AP64/AP66</f>
        <v>0.66666665884964615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3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0.1118068361111111</v>
      </c>
      <c r="AQ65" s="126">
        <f>VLOOKUP(AE65,db_fifarank,2,FALSE)</f>
        <v>1391.45</v>
      </c>
      <c r="AR65" s="125">
        <f>AP65/AP66</f>
        <v>1.2422980255113024E-9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3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9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2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90000010.131651148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Argentina</v>
      </c>
      <c r="CL68" s="131"/>
      <c r="CM68" s="131"/>
      <c r="CN68" s="131"/>
      <c r="CO68" s="131"/>
      <c r="CP68" s="131"/>
      <c r="CQ68" s="131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6</v>
      </c>
      <c r="AL69" s="123">
        <f>AI69-AJ69</f>
        <v>-3</v>
      </c>
      <c r="AM69" s="123">
        <f>AL69-AL72</f>
        <v>2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30000001.839200716</v>
      </c>
      <c r="AQ69" s="126">
        <f>VLOOKUP(AE69,db_fifarank,2,FALSE)</f>
        <v>1478.35</v>
      </c>
      <c r="AR69" s="125">
        <f>AP69/AP72</f>
        <v>0.33333331254056181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0.10073267000000001</v>
      </c>
      <c r="AQ70" s="126">
        <f>VLOOKUP(AE70,db_fifarank,2,FALSE)</f>
        <v>1465.34</v>
      </c>
      <c r="AR70" s="125">
        <f>AP70/AP72</f>
        <v>1.119251750454222E-9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60000005.116231158</v>
      </c>
      <c r="AQ71" s="126">
        <f>VLOOKUP(AE71,db_fifarank,2,FALSE)</f>
        <v>1693.09</v>
      </c>
      <c r="AR71" s="125">
        <f>AP71/AP72</f>
        <v>0.66666664105700757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10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90000011.131651148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1</v>
      </c>
      <c r="W74" s="123">
        <f t="shared" si="22"/>
        <v>1</v>
      </c>
      <c r="X74" s="123">
        <f t="shared" si="32"/>
        <v>1</v>
      </c>
      <c r="Y74" s="123">
        <f t="shared" si="33"/>
        <v>1</v>
      </c>
      <c r="Z74" s="123">
        <f t="shared" si="34"/>
        <v>1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10</v>
      </c>
      <c r="AJ74" s="123">
        <f>SUMIF($E$7:$E$78,$AE74,$G$7:$G$78) + SUMIF($H$7:$H$78,$AE74,$F$7:$F$78)</f>
        <v>1</v>
      </c>
      <c r="AL74" s="123">
        <f>AI74-AJ74</f>
        <v>9</v>
      </c>
      <c r="AM74" s="123">
        <f>AL74-AL78</f>
        <v>17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90000010.354448333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10 - 1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10</v>
      </c>
      <c r="AN75" s="123">
        <f>AF75*3+AG75</f>
        <v>4</v>
      </c>
      <c r="AO75" s="123">
        <f>AN75/AN78*10+BA75</f>
        <v>4.9805825242718447</v>
      </c>
      <c r="AP75" s="123">
        <f>AO75*10000000+BI75*100+AM75/AM78*10+AI75/AI78*1++IF(AQ75=0,ROW(),AQ75)/2000000</f>
        <v>49805929.311930411</v>
      </c>
      <c r="AQ75" s="126">
        <f>VLOOKUP(AE75,db_fifarank,2,FALSE)</f>
        <v>1717.07</v>
      </c>
      <c r="AR75" s="125">
        <f>AP75/AP78</f>
        <v>0.55339914475987129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7</v>
      </c>
      <c r="AL76" s="123">
        <f>AI76-AJ76</f>
        <v>-3</v>
      </c>
      <c r="AM76" s="123">
        <f>AL76-AL78</f>
        <v>5</v>
      </c>
      <c r="AN76" s="123">
        <f>AF76*3+AG76</f>
        <v>4</v>
      </c>
      <c r="AO76" s="123">
        <f>AN76/AN78*10+BA76</f>
        <v>4.9805825242718447</v>
      </c>
      <c r="AP76" s="123">
        <f>AO76*10000000+BI76*100+AM76/AM78*10+AI76/AI78*1++IF(AQ76=0,ROW(),AQ76)/2000000</f>
        <v>49805926.443058163</v>
      </c>
      <c r="AQ76" s="126">
        <f>VLOOKUP(AE76,db_fifarank,2,FALSE)</f>
        <v>1346.31</v>
      </c>
      <c r="AR76" s="125">
        <f>AP76/AP78</f>
        <v>0.55339911288351695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4 - 7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9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9.1679410909090917E-2</v>
      </c>
      <c r="AQ77" s="126">
        <f>VLOOKUP(AE77,db_fifarank,2,FALSE)</f>
        <v>1540.64</v>
      </c>
      <c r="AR77" s="125">
        <f>AP77/AP78</f>
        <v>1.0186599926974296E-9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1 - 9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11</v>
      </c>
      <c r="AL78" s="123">
        <f>MIN(AL74:AL77)</f>
        <v>-8</v>
      </c>
      <c r="AM78" s="123">
        <f>MAX(AM74:AM77)+1</f>
        <v>18</v>
      </c>
      <c r="AN78" s="123">
        <f>MAX(AN74:AN77)+1</f>
        <v>10</v>
      </c>
      <c r="AO78" s="123">
        <f>MAX(AO74:AO77)+1</f>
        <v>10</v>
      </c>
      <c r="AP78" s="123">
        <f>MAX(AP74:AP77)+1</f>
        <v>90000011.354448333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11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6</v>
      </c>
      <c r="AK80" s="123" t="s">
        <v>3180</v>
      </c>
      <c r="AL80" s="123">
        <f>VLOOKUP($AE80,$AE$8:$AQ$78,8,FALSE)</f>
        <v>-2</v>
      </c>
      <c r="AM80" s="123">
        <f>AL80-$AL$92</f>
        <v>2</v>
      </c>
      <c r="AN80" s="123">
        <f>VLOOKUP($AE80,$AE$8:$AQ$78,10,FALSE)</f>
        <v>1</v>
      </c>
      <c r="AP80" s="123">
        <f>AN80/AN92*10000+AM80/AM92*1000+AI80/AI92*100+IF(AQ80=0,ROW(),AQ80)/2000000</f>
        <v>2457.1436514728575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Turkey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6 - 6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6442.857835777143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4</v>
      </c>
      <c r="AP82" s="123">
        <f>AN82/AN92*10000+AM82/AM92*1000+AI82/AI92*100+IF(AQ82=0,ROW(),AQ82)/2000000</f>
        <v>8871.4293206035709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4 - 7</v>
      </c>
      <c r="P83" s="101">
        <f t="shared" si="48"/>
        <v>4</v>
      </c>
      <c r="AD83" s="123">
        <f t="shared" si="38"/>
        <v>1</v>
      </c>
      <c r="AE83" s="124" t="str">
        <f>J29</f>
        <v>Turkey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6</v>
      </c>
      <c r="AJ83" s="123">
        <f t="shared" si="42"/>
        <v>6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8885.7150852342857</v>
      </c>
      <c r="AQ83" s="126">
        <f t="shared" si="37"/>
        <v>1599.04</v>
      </c>
      <c r="AR83" s="125" t="str">
        <f t="shared" si="50"/>
        <v>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Ⓘ Senegal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6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6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6457.1436236328573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6657.1436145278567</v>
      </c>
      <c r="AQ85" s="126">
        <f t="shared" si="37"/>
        <v>1514.77</v>
      </c>
      <c r="AR85" s="125" t="str">
        <f t="shared" si="50"/>
        <v>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Ⓔ Ivory Coast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6442.8577836421427</v>
      </c>
      <c r="AQ86" s="126">
        <f t="shared" si="37"/>
        <v>1281.57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2028.5721116364286</v>
      </c>
      <c r="AQ87" s="126">
        <f t="shared" si="37"/>
        <v>1366.13</v>
      </c>
      <c r="AR87" s="125" t="str">
        <f t="shared" si="50"/>
        <v>BCDEF</v>
      </c>
      <c r="AS87" s="129" t="str">
        <f t="shared" si="46"/>
        <v/>
      </c>
      <c r="AT87" s="130" t="str">
        <f>"Ⓗ "&amp;AE87</f>
        <v>Ⓗ Cape Verde</v>
      </c>
    </row>
    <row r="88" spans="1:46" ht="15" customHeight="1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4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6657.1437016378568</v>
      </c>
      <c r="AQ88" s="126">
        <f t="shared" si="37"/>
        <v>1688.99</v>
      </c>
      <c r="AR88" s="125" t="str">
        <f t="shared" si="50"/>
        <v>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New Zealand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7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6442.8579249871427</v>
      </c>
      <c r="AQ89" s="126">
        <f t="shared" si="37"/>
        <v>1564.26</v>
      </c>
      <c r="AR89" s="125" t="str">
        <f t="shared" si="50"/>
        <v>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10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6242.8578820321427</v>
      </c>
      <c r="AQ90" s="126">
        <f t="shared" si="37"/>
        <v>1478.35</v>
      </c>
      <c r="AR90" s="125" t="str">
        <f t="shared" si="50"/>
        <v>BCDEFIJ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Korea Republic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4 - 6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7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4</v>
      </c>
      <c r="AP91" s="123">
        <f>AN91/AN92*10000+AM91/AM92*1000+AI91/AI92*100+IF(AQ91=0,ROW(),AQ91)/2000000</f>
        <v>8257.1435302978571</v>
      </c>
      <c r="AQ91" s="126">
        <f t="shared" si="37"/>
        <v>1346.31</v>
      </c>
      <c r="AR91" s="125" t="str">
        <f t="shared" si="50"/>
        <v>BCDEFIJL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Cape Verde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>
      <formula1>"0,1,2,3,4,5,6,7,8,9,10,11,12,13,14,15,16,17,18,19,20"</formula1>
    </dataValidation>
    <dataValidation type="list" allowBlank="1" showInputMessage="1" showErrorMessage="1" sqref="F7:G78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6 Schedule in Excel" display="Home Page: www.excely.com"/>
    <hyperlink ref="C83:G88" r:id="rId3" tooltip="World Cup 2026 Interactive Schedule Online - www.wallchart.io" display="http://www.wallchart.io/football/world-cup-2026.html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B1:K500"/>
  <sheetViews>
    <sheetView showGridLines="0" workbookViewId="0">
      <selection activeCell="D6" sqref="D6"/>
    </sheetView>
  </sheetViews>
  <sheetFormatPr baseColWidth="10" defaultColWidth="9.140625" defaultRowHeight="1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3193</v>
      </c>
    </row>
    <row r="3" spans="2:11">
      <c r="B3" s="109">
        <f>MATCH(C3,C6:C500,0)</f>
        <v>148</v>
      </c>
      <c r="C3" s="121" t="str">
        <f>'2026 World Cup'!AR91</f>
        <v>BCDEFIJL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3E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Company>www.excely.com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creator>Denys Kozyr</dc:creator>
  <cp:keywords>fifa;world cup;schedule;spreadsheet</cp:keywords>
  <cp:lastModifiedBy>Usuario</cp:lastModifiedBy>
  <cp:revision/>
  <dcterms:created xsi:type="dcterms:W3CDTF">2017-12-27T19:32:51Z</dcterms:created>
  <dcterms:modified xsi:type="dcterms:W3CDTF">2026-06-11T23:30:04Z</dcterms:modified>
  <cp:category>Sports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