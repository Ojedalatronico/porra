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12fa1ab114b0b7/Documents/3.NICO/"/>
    </mc:Choice>
  </mc:AlternateContent>
  <xr:revisionPtr revIDLastSave="0" documentId="8_{73F3A21D-1723-4962-9D05-1D5CBA34B38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T41" i="3"/>
  <c r="S40" i="3"/>
  <c r="S62" i="3"/>
  <c r="T61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R9" i="3"/>
  <c r="AR28" i="3"/>
  <c r="AR35" i="3"/>
  <c r="AR34" i="3"/>
  <c r="AR33" i="3"/>
  <c r="AR21" i="3" l="1"/>
  <c r="AR22" i="3"/>
  <c r="AD58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D53" i="3" s="1"/>
  <c r="AR46" i="3"/>
  <c r="AR15" i="3"/>
  <c r="AD15" i="3" s="1"/>
  <c r="AR45" i="3"/>
  <c r="AR63" i="3"/>
  <c r="AR47" i="3"/>
  <c r="AR64" i="3"/>
  <c r="AD62" i="3" s="1"/>
  <c r="AR39" i="3"/>
  <c r="AD56" i="3"/>
  <c r="AR16" i="3"/>
  <c r="AR17" i="3"/>
  <c r="AD59" i="3"/>
  <c r="AD75" i="3"/>
  <c r="AD33" i="3"/>
  <c r="AD32" i="3"/>
  <c r="AD34" i="3"/>
  <c r="AD35" i="3"/>
  <c r="AD9" i="3"/>
  <c r="AD8" i="3"/>
  <c r="AD10" i="3"/>
  <c r="AD11" i="3"/>
  <c r="M58" i="3" l="1"/>
  <c r="AD41" i="3"/>
  <c r="AD28" i="3"/>
  <c r="AD44" i="3"/>
  <c r="AD27" i="3"/>
  <c r="AD70" i="3"/>
  <c r="L58" i="3"/>
  <c r="P58" i="3" s="1"/>
  <c r="O60" i="3"/>
  <c r="L59" i="3"/>
  <c r="N58" i="3"/>
  <c r="K58" i="3" s="1"/>
  <c r="AD71" i="3"/>
  <c r="AD63" i="3"/>
  <c r="AD29" i="3"/>
  <c r="AD47" i="3"/>
  <c r="AD68" i="3"/>
  <c r="AD20" i="3"/>
  <c r="AD21" i="3"/>
  <c r="M59" i="3"/>
  <c r="AD76" i="3"/>
  <c r="AD26" i="3"/>
  <c r="AD14" i="3"/>
  <c r="AD74" i="3"/>
  <c r="N75" i="3" s="1"/>
  <c r="AD69" i="3"/>
  <c r="AD39" i="3"/>
  <c r="O40" i="3" s="1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S88" i="3" l="1"/>
  <c r="T88" i="3" s="1" a="1"/>
  <c r="T88" i="3" s="1"/>
  <c r="BS20" i="3"/>
  <c r="M29" i="3"/>
  <c r="N52" i="3"/>
  <c r="L66" i="3"/>
  <c r="J45" i="3"/>
  <c r="AS44" i="3" s="1"/>
  <c r="BL38" i="3" s="1"/>
  <c r="AJ88" i="3"/>
  <c r="N17" i="3"/>
  <c r="N71" i="3"/>
  <c r="J18" i="3"/>
  <c r="AN88" i="3"/>
  <c r="K57" i="3"/>
  <c r="N21" i="3"/>
  <c r="L63" i="3"/>
  <c r="O45" i="3"/>
  <c r="L45" i="3"/>
  <c r="N45" i="3"/>
  <c r="M45" i="3"/>
  <c r="K45" i="3" s="1"/>
  <c r="O65" i="3"/>
  <c r="J39" i="3"/>
  <c r="AS38" i="3" s="1"/>
  <c r="BL22" i="3" s="1"/>
  <c r="J63" i="3"/>
  <c r="AS62" i="3" s="1"/>
  <c r="BL58" i="3" s="1"/>
  <c r="BS60" i="3" s="1"/>
  <c r="BZ64" i="3" s="1"/>
  <c r="O63" i="3"/>
  <c r="N63" i="3"/>
  <c r="M63" i="3"/>
  <c r="L16" i="3"/>
  <c r="M16" i="3"/>
  <c r="O16" i="3"/>
  <c r="O66" i="3"/>
  <c r="N66" i="3"/>
  <c r="L54" i="3"/>
  <c r="L51" i="3"/>
  <c r="O76" i="3"/>
  <c r="N40" i="3"/>
  <c r="N24" i="3"/>
  <c r="M76" i="3"/>
  <c r="M39" i="3"/>
  <c r="L18" i="3"/>
  <c r="M66" i="3"/>
  <c r="L15" i="3"/>
  <c r="M42" i="3"/>
  <c r="L76" i="3"/>
  <c r="O39" i="3"/>
  <c r="J70" i="3"/>
  <c r="AS69" i="3" s="1"/>
  <c r="BL26" i="3" s="1"/>
  <c r="N18" i="3"/>
  <c r="M54" i="3"/>
  <c r="O51" i="3"/>
  <c r="O42" i="3"/>
  <c r="J71" i="3"/>
  <c r="AE90" i="3" s="1"/>
  <c r="AQ90" i="3" s="1"/>
  <c r="N51" i="3"/>
  <c r="O18" i="3"/>
  <c r="L71" i="3"/>
  <c r="N64" i="3"/>
  <c r="O70" i="3"/>
  <c r="N65" i="3"/>
  <c r="M51" i="3"/>
  <c r="L40" i="3"/>
  <c r="N76" i="3"/>
  <c r="N70" i="3"/>
  <c r="M65" i="3"/>
  <c r="M40" i="3"/>
  <c r="P59" i="3"/>
  <c r="J72" i="3"/>
  <c r="M71" i="3"/>
  <c r="M17" i="3"/>
  <c r="M75" i="3"/>
  <c r="M70" i="3"/>
  <c r="M64" i="3"/>
  <c r="L42" i="3"/>
  <c r="J75" i="3"/>
  <c r="AS74" i="3" s="1"/>
  <c r="BL54" i="3" s="1"/>
  <c r="L70" i="3"/>
  <c r="L64" i="3"/>
  <c r="L39" i="3"/>
  <c r="N16" i="3"/>
  <c r="O75" i="3"/>
  <c r="J40" i="3"/>
  <c r="AS39" i="3" s="1"/>
  <c r="BL43" i="3" s="1"/>
  <c r="O24" i="3"/>
  <c r="M18" i="3"/>
  <c r="L75" i="3"/>
  <c r="J65" i="3"/>
  <c r="AE89" i="3" s="1"/>
  <c r="AQ89" i="3" s="1"/>
  <c r="J41" i="3"/>
  <c r="AE85" i="3" s="1"/>
  <c r="AQ85" i="3" s="1"/>
  <c r="L22" i="3"/>
  <c r="J16" i="3"/>
  <c r="AS15" i="3" s="1"/>
  <c r="BL19" i="3" s="1"/>
  <c r="J69" i="3"/>
  <c r="AS68" i="3" s="1"/>
  <c r="BL70" i="3" s="1"/>
  <c r="J66" i="3"/>
  <c r="J42" i="3"/>
  <c r="O21" i="3"/>
  <c r="AT88" i="3"/>
  <c r="M24" i="3"/>
  <c r="J48" i="3"/>
  <c r="M46" i="3"/>
  <c r="J47" i="3"/>
  <c r="AE86" i="3" s="1"/>
  <c r="AQ86" i="3" s="1"/>
  <c r="O47" i="3"/>
  <c r="J46" i="3"/>
  <c r="AS45" i="3" s="1"/>
  <c r="BL63" i="3" s="1"/>
  <c r="N48" i="3"/>
  <c r="N47" i="3"/>
  <c r="L47" i="3"/>
  <c r="M47" i="3"/>
  <c r="N46" i="3"/>
  <c r="M48" i="3"/>
  <c r="L46" i="3"/>
  <c r="L48" i="3"/>
  <c r="O46" i="3"/>
  <c r="N29" i="3"/>
  <c r="L30" i="3"/>
  <c r="L29" i="3"/>
  <c r="P29" i="3" s="1"/>
  <c r="O29" i="3"/>
  <c r="L27" i="3"/>
  <c r="L28" i="3"/>
  <c r="J30" i="3"/>
  <c r="O28" i="3"/>
  <c r="J29" i="3"/>
  <c r="AE83" i="3" s="1"/>
  <c r="AQ83" i="3" s="1"/>
  <c r="M30" i="3"/>
  <c r="J28" i="3"/>
  <c r="AS27" i="3" s="1"/>
  <c r="BL62" i="3" s="1"/>
  <c r="BS61" i="3" s="1"/>
  <c r="M28" i="3"/>
  <c r="J27" i="3"/>
  <c r="AS26" i="3" s="1"/>
  <c r="BL34" i="3" s="1"/>
  <c r="O30" i="3"/>
  <c r="N27" i="3"/>
  <c r="O27" i="3"/>
  <c r="L77" i="3"/>
  <c r="O77" i="3"/>
  <c r="J77" i="3"/>
  <c r="AE91" i="3" s="1"/>
  <c r="AQ91" i="3" s="1"/>
  <c r="J78" i="3"/>
  <c r="M77" i="3"/>
  <c r="N77" i="3"/>
  <c r="N78" i="3"/>
  <c r="M78" i="3"/>
  <c r="O78" i="3"/>
  <c r="L78" i="3"/>
  <c r="N30" i="3"/>
  <c r="O48" i="3"/>
  <c r="N28" i="3"/>
  <c r="M27" i="3"/>
  <c r="AI88" i="3"/>
  <c r="AG88" i="3"/>
  <c r="L24" i="3"/>
  <c r="AF88" i="3"/>
  <c r="O72" i="3"/>
  <c r="O69" i="3"/>
  <c r="M22" i="3"/>
  <c r="N72" i="3"/>
  <c r="N69" i="3"/>
  <c r="O23" i="3"/>
  <c r="L21" i="3"/>
  <c r="K59" i="3"/>
  <c r="M72" i="3"/>
  <c r="M69" i="3"/>
  <c r="N22" i="3"/>
  <c r="J21" i="3"/>
  <c r="AS20" i="3" s="1"/>
  <c r="BL42" i="3" s="1"/>
  <c r="BS44" i="3" s="1"/>
  <c r="BZ48" i="3" s="1"/>
  <c r="O54" i="3"/>
  <c r="L23" i="3"/>
  <c r="L72" i="3"/>
  <c r="L69" i="3"/>
  <c r="L65" i="3"/>
  <c r="N54" i="3"/>
  <c r="M21" i="3"/>
  <c r="J22" i="3"/>
  <c r="AS21" i="3" s="1"/>
  <c r="BL23" i="3" s="1"/>
  <c r="L17" i="3"/>
  <c r="P57" i="3"/>
  <c r="O71" i="3"/>
  <c r="O64" i="3"/>
  <c r="J52" i="3"/>
  <c r="AS51" i="3" s="1"/>
  <c r="BL59" i="3" s="1"/>
  <c r="N39" i="3"/>
  <c r="O22" i="3"/>
  <c r="J24" i="3"/>
  <c r="O17" i="3"/>
  <c r="N53" i="3"/>
  <c r="J76" i="3"/>
  <c r="AS75" i="3" s="1"/>
  <c r="BL27" i="3" s="1"/>
  <c r="J64" i="3"/>
  <c r="AS63" i="3" s="1"/>
  <c r="BL31" i="3" s="1"/>
  <c r="J51" i="3"/>
  <c r="AS50" i="3" s="1"/>
  <c r="BL30" i="3" s="1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P66" i="3"/>
  <c r="P39" i="3"/>
  <c r="K23" i="3"/>
  <c r="P54" i="3"/>
  <c r="K54" i="3"/>
  <c r="P63" i="3"/>
  <c r="P65" i="3"/>
  <c r="K63" i="3"/>
  <c r="P16" i="3"/>
  <c r="P45" i="3"/>
  <c r="AG85" i="3"/>
  <c r="AF85" i="3"/>
  <c r="K16" i="3"/>
  <c r="P48" i="3"/>
  <c r="AF90" i="3"/>
  <c r="P52" i="3"/>
  <c r="P69" i="3"/>
  <c r="P75" i="3"/>
  <c r="P71" i="3"/>
  <c r="P21" i="3"/>
  <c r="AH89" i="3"/>
  <c r="P72" i="3"/>
  <c r="K29" i="3"/>
  <c r="P64" i="3"/>
  <c r="K51" i="3"/>
  <c r="AT90" i="3"/>
  <c r="P23" i="3"/>
  <c r="P70" i="3"/>
  <c r="K65" i="3"/>
  <c r="AH90" i="3"/>
  <c r="P18" i="3"/>
  <c r="P76" i="3"/>
  <c r="AT85" i="3"/>
  <c r="AG90" i="3"/>
  <c r="P30" i="3"/>
  <c r="P42" i="3"/>
  <c r="K70" i="3"/>
  <c r="K75" i="3"/>
  <c r="K24" i="3"/>
  <c r="K71" i="3"/>
  <c r="P41" i="3"/>
  <c r="K64" i="3"/>
  <c r="K17" i="3"/>
  <c r="K72" i="3"/>
  <c r="AG86" i="3"/>
  <c r="K48" i="3"/>
  <c r="P51" i="3"/>
  <c r="AN82" i="3"/>
  <c r="AF82" i="3"/>
  <c r="P28" i="3"/>
  <c r="AL83" i="3"/>
  <c r="AH86" i="3"/>
  <c r="AJ83" i="3"/>
  <c r="K66" i="3"/>
  <c r="AL90" i="3"/>
  <c r="AF86" i="3"/>
  <c r="AJ90" i="3"/>
  <c r="K42" i="3"/>
  <c r="P22" i="3"/>
  <c r="K76" i="3"/>
  <c r="AG89" i="3"/>
  <c r="AT82" i="3"/>
  <c r="AF89" i="3"/>
  <c r="AH82" i="3"/>
  <c r="AG82" i="3"/>
  <c r="P15" i="3"/>
  <c r="AN90" i="3"/>
  <c r="AT89" i="3"/>
  <c r="AI90" i="3"/>
  <c r="K78" i="3"/>
  <c r="P40" i="3"/>
  <c r="K47" i="3"/>
  <c r="K27" i="3"/>
  <c r="AG81" i="3"/>
  <c r="P17" i="3"/>
  <c r="K40" i="3"/>
  <c r="AN89" i="3"/>
  <c r="AJ85" i="3"/>
  <c r="K18" i="3"/>
  <c r="AJ86" i="3"/>
  <c r="AJ89" i="3"/>
  <c r="K30" i="3"/>
  <c r="P46" i="3"/>
  <c r="K41" i="3"/>
  <c r="K15" i="3"/>
  <c r="K39" i="3"/>
  <c r="AF81" i="3"/>
  <c r="K21" i="3"/>
  <c r="AN85" i="3"/>
  <c r="AL85" i="3"/>
  <c r="P78" i="3"/>
  <c r="AL86" i="3"/>
  <c r="AL89" i="3"/>
  <c r="AI85" i="3"/>
  <c r="AF91" i="3"/>
  <c r="AH85" i="3"/>
  <c r="AI86" i="3"/>
  <c r="AI89" i="3"/>
  <c r="K22" i="3"/>
  <c r="P77" i="3"/>
  <c r="AI83" i="3"/>
  <c r="AH83" i="3"/>
  <c r="K77" i="3"/>
  <c r="P53" i="3"/>
  <c r="AG83" i="3"/>
  <c r="AT87" i="3"/>
  <c r="P24" i="3"/>
  <c r="AF83" i="3"/>
  <c r="AN87" i="3"/>
  <c r="AT91" i="3"/>
  <c r="AT81" i="3"/>
  <c r="P47" i="3"/>
  <c r="AL87" i="3"/>
  <c r="K69" i="3"/>
  <c r="AN91" i="3"/>
  <c r="AN81" i="3"/>
  <c r="AJ87" i="3"/>
  <c r="AL91" i="3"/>
  <c r="AL81" i="3"/>
  <c r="P27" i="3"/>
  <c r="K46" i="3"/>
  <c r="AH87" i="3"/>
  <c r="AJ91" i="3"/>
  <c r="AJ81" i="3"/>
  <c r="AG87" i="3"/>
  <c r="AI91" i="3"/>
  <c r="AI81" i="3"/>
  <c r="AJ82" i="3"/>
  <c r="AT83" i="3"/>
  <c r="K28" i="3"/>
  <c r="AT86" i="3"/>
  <c r="AF87" i="3"/>
  <c r="AH91" i="3"/>
  <c r="AH81" i="3"/>
  <c r="AI82" i="3"/>
  <c r="AN83" i="3"/>
  <c r="AN86" i="3"/>
  <c r="K53" i="3"/>
  <c r="AG91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G92" i="3"/>
  <c r="AN92" i="3"/>
  <c r="AS92" i="3"/>
  <c r="AF92" i="3"/>
  <c r="AH92" i="3"/>
  <c r="AJ92" i="3"/>
  <c r="AI92" i="3"/>
  <c r="AL92" i="3"/>
  <c r="AM88" i="3" s="1"/>
  <c r="S103" i="3" l="1"/>
  <c r="T103" i="3" s="1" a="1"/>
  <c r="T103" i="3" s="1"/>
  <c r="CG24" i="3"/>
  <c r="S111" i="3" s="1"/>
  <c r="T111" i="3" s="1"/>
  <c r="AM90" i="3"/>
  <c r="AM82" i="3"/>
  <c r="AM91" i="3"/>
  <c r="AM83" i="3"/>
  <c r="AM89" i="3"/>
  <c r="AM86" i="3"/>
  <c r="AM87" i="3"/>
  <c r="AM81" i="3"/>
  <c r="AM80" i="3"/>
  <c r="AM85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85" i="3"/>
  <c r="AP83" i="3"/>
  <c r="AP82" i="3"/>
  <c r="AP88" i="3"/>
  <c r="AP90" i="3"/>
  <c r="AP89" i="3"/>
  <c r="AP86" i="3"/>
  <c r="AP84" i="3"/>
  <c r="AP81" i="3"/>
  <c r="AP80" i="3"/>
  <c r="CN37" i="3" l="1"/>
  <c r="CK68" i="3" s="1"/>
  <c r="CN48" i="3"/>
  <c r="AD85" i="3"/>
  <c r="AS85" i="3" s="1"/>
  <c r="AD86" i="3"/>
  <c r="AS86" i="3" s="1"/>
  <c r="AD89" i="3"/>
  <c r="AS89" i="3" s="1"/>
  <c r="AD81" i="3"/>
  <c r="AS81" i="3" s="1"/>
  <c r="AD88" i="3"/>
  <c r="AS88" i="3" s="1"/>
  <c r="AD83" i="3"/>
  <c r="AS83" i="3" s="1"/>
  <c r="AD84" i="3"/>
  <c r="AS84" i="3" s="1"/>
  <c r="AD87" i="3"/>
  <c r="AS87" i="3" s="1"/>
  <c r="AD90" i="3"/>
  <c r="AS90" i="3" s="1"/>
  <c r="AD82" i="3"/>
  <c r="AS82" i="3" s="1"/>
  <c r="AD91" i="3"/>
  <c r="AS91" i="3" s="1"/>
  <c r="AD80" i="3"/>
  <c r="M87" i="3" l="1"/>
  <c r="N86" i="3"/>
  <c r="O82" i="3"/>
  <c r="M88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L82" i="3"/>
  <c r="L90" i="3"/>
  <c r="M91" i="3"/>
  <c r="J88" i="3"/>
  <c r="J91" i="3"/>
  <c r="L83" i="3"/>
  <c r="J83" i="3"/>
  <c r="O83" i="3"/>
  <c r="M92" i="3"/>
  <c r="AS80" i="3"/>
  <c r="L87" i="3"/>
  <c r="O87" i="3"/>
  <c r="N83" i="3"/>
  <c r="N81" i="3"/>
  <c r="L86" i="3"/>
  <c r="J86" i="3"/>
  <c r="M90" i="3"/>
  <c r="N82" i="3"/>
  <c r="J84" i="3"/>
  <c r="O81" i="3"/>
  <c r="L91" i="3"/>
  <c r="N88" i="3"/>
  <c r="J89" i="3"/>
  <c r="J85" i="3"/>
  <c r="M81" i="3"/>
  <c r="N87" i="3"/>
  <c r="N84" i="3"/>
  <c r="J90" i="3"/>
  <c r="J82" i="3"/>
  <c r="O86" i="3"/>
  <c r="J92" i="3"/>
  <c r="M82" i="3"/>
  <c r="O88" i="3"/>
  <c r="L89" i="3"/>
  <c r="O89" i="3"/>
  <c r="O91" i="3"/>
  <c r="L88" i="3"/>
  <c r="O84" i="3"/>
  <c r="N92" i="3"/>
  <c r="N91" i="3"/>
  <c r="N90" i="3"/>
  <c r="M85" i="3"/>
  <c r="M86" i="3"/>
  <c r="J81" i="3"/>
  <c r="L84" i="3"/>
  <c r="O85" i="3"/>
  <c r="L92" i="3"/>
  <c r="N85" i="3"/>
  <c r="M89" i="3"/>
  <c r="N89" i="3"/>
  <c r="O90" i="3"/>
  <c r="J87" i="3"/>
  <c r="L85" i="3"/>
  <c r="M84" i="3"/>
  <c r="M83" i="3"/>
  <c r="L81" i="3"/>
  <c r="K87" i="3" l="1"/>
  <c r="P87" i="3"/>
  <c r="K83" i="3"/>
  <c r="K86" i="3"/>
  <c r="D3" i="4"/>
  <c r="B3" i="4"/>
  <c r="J3" i="4"/>
  <c r="BL71" i="3" s="1"/>
  <c r="G3" i="4"/>
  <c r="BL11" i="3" s="1"/>
  <c r="I3" i="4"/>
  <c r="BL15" i="3" s="1"/>
  <c r="H3" i="4"/>
  <c r="BL39" i="3" s="1"/>
  <c r="P90" i="3"/>
  <c r="E3" i="4"/>
  <c r="BL67" i="3" s="1"/>
  <c r="K91" i="3"/>
  <c r="K82" i="3"/>
  <c r="P83" i="3"/>
  <c r="K89" i="3"/>
  <c r="P84" i="3"/>
  <c r="P91" i="3"/>
  <c r="P85" i="3"/>
  <c r="K3" i="4"/>
  <c r="BL55" i="3" s="1"/>
  <c r="K81" i="3"/>
  <c r="P82" i="3"/>
  <c r="K90" i="3"/>
  <c r="K84" i="3"/>
  <c r="K85" i="3"/>
  <c r="P81" i="3"/>
  <c r="P92" i="3"/>
  <c r="P86" i="3"/>
  <c r="P89" i="3"/>
  <c r="K88" i="3"/>
  <c r="P88" i="3"/>
  <c r="K92" i="3"/>
  <c r="BS53" i="3"/>
  <c r="BS52" i="3"/>
  <c r="BZ49" i="3" s="1"/>
  <c r="CG55" i="3" s="1"/>
  <c r="CN38" i="3" s="1"/>
  <c r="BL51" i="3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<sst xmlns="http://schemas.openxmlformats.org/spreadsheetml/2006/main" count="9785" uniqueCount="3699">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</sst>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Q31" zoomScaleNormal="100" workbookViewId="0">
      <selection activeCell="CR50" sqref="CR50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2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8</v>
      </c>
      <c r="AJ8" s="123">
        <f>SUMIF($E$7:$E$78,$AE8,$G$7:$G$78) + SUMIF($H$7:$H$78,$AE8,$F$7:$F$78)</f>
        <v>4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90000009.63972941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8 - 4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5</v>
      </c>
      <c r="AJ9" s="123">
        <f>SUMIF($E$7:$E$78,$AE9,$G$7:$G$78) + SUMIF($H$7:$H$78,$AE9,$F$7:$F$78)</f>
        <v>7</v>
      </c>
      <c r="AL9" s="123">
        <f>AI9-AJ9</f>
        <v>-2</v>
      </c>
      <c r="AM9" s="123">
        <f>AL9-AL12</f>
        <v>1</v>
      </c>
      <c r="AN9" s="123">
        <f>AF9*3+AG9</f>
        <v>1</v>
      </c>
      <c r="AO9" s="123">
        <f>AN9/AN12*10+BA9</f>
        <v>1.9806451612903224</v>
      </c>
      <c r="AP9" s="123">
        <f>AO9*10000000+BI9*100+AM9/AM12*10+AI9/AI12*1++IF(AQ9=0,ROW(),AQ9)/2000000</f>
        <v>19806551.483689774</v>
      </c>
      <c r="AQ9" s="126">
        <f>VLOOKUP(AE9,db_fifarank,2,FALSE)</f>
        <v>1429.73</v>
      </c>
      <c r="AR9" s="125">
        <f>AP9/AP12</f>
        <v>0.22007276824638966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2</v>
      </c>
      <c r="AW9" s="126" cm="1">
        <f t="array" ref="AW9">SUMPRODUCT(($E$7:$E$78=AE9)*($U$7:$U$78)*($G$7:$G$78))+SUMPRODUCT(($H$7:$H$78=AE9)*($U$7:$U$78)*($F$7:$F$78))</f>
        <v>2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50.666666666666664</v>
      </c>
      <c r="BA9" s="126">
        <f>AZ9/AZ12</f>
        <v>0.98064516129032253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2</v>
      </c>
      <c r="BE9" s="126" cm="1">
        <f t="array" ref="BE9">SUMPRODUCT(($E$7:$E$78=AE9)*($X$7:$X$78)*($G$7:$G$78))+SUMPRODUCT(($H$7:$H$78=AE9)*($X$7:$X$78)*($F$7:$F$78))</f>
        <v>2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50.666666666666664</v>
      </c>
      <c r="BI9" s="126">
        <f>BH9/BH12</f>
        <v>0.98064516129032253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3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6 - 5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5</v>
      </c>
      <c r="AL10" s="123">
        <f>AI10-AJ10</f>
        <v>1</v>
      </c>
      <c r="AM10" s="123">
        <f>AL10-AL12</f>
        <v>4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60000005.667460993</v>
      </c>
      <c r="AQ10" s="126">
        <f>VLOOKUP(AE10,db_fifarank,2,FALSE)</f>
        <v>1588.66</v>
      </c>
      <c r="AR10" s="125">
        <f>AP10/AP12</f>
        <v>0.66666665082564691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2</v>
      </c>
      <c r="G11" s="20">
        <v>0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5 - 7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Haiti_win</v>
      </c>
      <c r="T11" s="127" t="str">
        <f t="shared" si="2"/>
        <v>Scotland_lose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6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1.9806451612903224</v>
      </c>
      <c r="AP11" s="123">
        <f>AO11*10000000+BI11*100+AM11/AM12*10+AI11/AI12*1++IF(AQ11=0,ROW(),AQ11)/2000000</f>
        <v>19806550.011503376</v>
      </c>
      <c r="AQ11" s="126">
        <f>VLOOKUP(AE11,db_fifarank,2,FALSE)</f>
        <v>1501.38</v>
      </c>
      <c r="AR11" s="125">
        <f>AP11/AP12</f>
        <v>0.22007275188876496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50.666666666666664</v>
      </c>
      <c r="BA11" s="126">
        <f>AZ11/AZ12</f>
        <v>0.98064516129032253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50.666666666666664</v>
      </c>
      <c r="BI11" s="126">
        <f>BH11/BH12</f>
        <v>0.98064516129032253</v>
      </c>
      <c r="BK11" s="13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3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1</v>
      </c>
      <c r="V12" s="123">
        <f t="shared" si="3"/>
        <v>3</v>
      </c>
      <c r="W12" s="123">
        <f t="shared" si="4"/>
        <v>1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9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90000010.63972941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51.666666666666664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/>
      <c r="BW12" s="112">
        <f>IF(OR(BT12="",BT13="",AND(BU12="",BU13&lt;&gt;""),AND(BU13="",BU12&lt;&gt;""),AND(BV12="",BV13&lt;&gt;""),AND(BV13="",BV12&lt;&gt;"")),"",BT12*1000+BU12*10+BV12)</f>
        <v>1010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>
        <v>0</v>
      </c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2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Qatar_win</v>
      </c>
      <c r="T14" s="127" t="str">
        <f t="shared" si="2"/>
        <v>Switzerland_lose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3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30000004.179349668</v>
      </c>
      <c r="AQ14" s="126">
        <f>VLOOKUP(AE14,db_fifarank,2,FALSE)</f>
        <v>1556.48</v>
      </c>
      <c r="AR14" s="125">
        <f>AP14/AP18</f>
        <v>0.33333334048214242</v>
      </c>
      <c r="AS14" s="125" t="str">
        <f>IF(SUM(AF14:AH17)=12,J15,"1B")</f>
        <v>Qatar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3</v>
      </c>
      <c r="H15" s="80" t="str">
        <f>AE35</f>
        <v>Ecuador</v>
      </c>
      <c r="J15" s="30" t="str">
        <f>VLOOKUP(1,AD14:AN17,2,FALSE)</f>
        <v>Qatar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6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0.28640720571428568</v>
      </c>
      <c r="AQ15" s="126">
        <f>VLOOKUP(AE15,db_fifarank,2,FALSE)</f>
        <v>1385.84</v>
      </c>
      <c r="AR15" s="125">
        <f>AP15/AP18</f>
        <v>3.1823019106315521E-9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6 - 4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1</v>
      </c>
      <c r="AE16" s="124" t="str">
        <f>VLOOKUP("Qatar",T,lang,FALSE)</f>
        <v>Qatar</v>
      </c>
      <c r="AF16" s="123">
        <f>COUNTIF($S$7:$T$78,"=" &amp; AE16 &amp; "_win")</f>
        <v>3</v>
      </c>
      <c r="AG16" s="123">
        <f>COUNTIF($S$7:$T$78,"=" &amp; AE16 &amp; "_draw")</f>
        <v>0</v>
      </c>
      <c r="AH16" s="123">
        <f>COUNTIF($S$7:$T$78,"=" &amp; AE16 &amp; "_lose")</f>
        <v>0</v>
      </c>
      <c r="AI16" s="123">
        <f>SUMIF($E$7:$E$78,$AE16,$F$7:$F$78) + SUMIF($H$7:$H$78,$AE16,$G$7:$G$78)</f>
        <v>6</v>
      </c>
      <c r="AJ16" s="123">
        <f>SUMIF($E$7:$E$78,$AE16,$G$7:$G$78) + SUMIF($H$7:$H$78,$AE16,$F$7:$F$78)</f>
        <v>3</v>
      </c>
      <c r="AL16" s="123">
        <f>AI16-AJ16</f>
        <v>3</v>
      </c>
      <c r="AM16" s="123">
        <f>AL16-AL18</f>
        <v>7</v>
      </c>
      <c r="AN16" s="123">
        <f>AF16*3+AG16</f>
        <v>9</v>
      </c>
      <c r="AO16" s="123">
        <f>AN16/AN18*10+BA16</f>
        <v>9</v>
      </c>
      <c r="AP16" s="123">
        <f>AO16*10000000+BI16*100+AM16/AM18*10+AI16/AI18*1++IF(AQ16=0,ROW(),AQ16)/2000000</f>
        <v>90000009.607870325</v>
      </c>
      <c r="AQ16" s="126">
        <f>VLOOKUP(AE16,db_fifarank,2,FALSE)</f>
        <v>1454.96</v>
      </c>
      <c r="AR16" s="125">
        <f>AP16/AP18</f>
        <v>0.99999998888889019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4</v>
      </c>
      <c r="AL17" s="123">
        <f>AI17-AJ17</f>
        <v>2</v>
      </c>
      <c r="AM17" s="123">
        <f>AL17-AL18</f>
        <v>6</v>
      </c>
      <c r="AN17" s="123">
        <f>AF17*3+AG17</f>
        <v>6</v>
      </c>
      <c r="AO17" s="123">
        <f>AN17/AN18*10+BA17</f>
        <v>6</v>
      </c>
      <c r="AP17" s="123">
        <f>AO17*10000000+BI17*100+AM17/AM18*10+AI17/AI18*1++IF(AQ17=0,ROW(),AQ17)/2000000</f>
        <v>60000008.357967556</v>
      </c>
      <c r="AQ17" s="126">
        <f>VLOOKUP(AE17,db_fifarank,2,FALSE)</f>
        <v>1649.4</v>
      </c>
      <c r="AR17" s="125">
        <f>AP17/AP18</f>
        <v>0.66666668095615389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90000010.607870325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4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13</v>
      </c>
      <c r="AJ20" s="123">
        <f>SUMIF($E$7:$E$78,$AE20,$G$7:$G$78) + SUMIF($H$7:$H$78,$AE20,$F$7:$F$78)</f>
        <v>1</v>
      </c>
      <c r="AL20" s="123">
        <f>AI20-AJ20</f>
        <v>12</v>
      </c>
      <c r="AM20" s="123">
        <f>AL20-AL24</f>
        <v>22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90000010.494669408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13 - 1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2</v>
      </c>
      <c r="W21" s="123">
        <f t="shared" si="4"/>
        <v>2</v>
      </c>
      <c r="X21" s="123">
        <f t="shared" si="9"/>
        <v>1</v>
      </c>
      <c r="Y21" s="123">
        <f t="shared" si="10"/>
        <v>2</v>
      </c>
      <c r="Z21" s="123">
        <f t="shared" si="11"/>
        <v>2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60000005.718269236</v>
      </c>
      <c r="AQ21" s="126">
        <f>VLOOKUP(AE21,db_fifarank,2,FALSE)</f>
        <v>1755.87</v>
      </c>
      <c r="AR21" s="125">
        <f>AP21/AP24</f>
        <v>0.666666645057295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4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0</v>
      </c>
      <c r="AH22" s="123">
        <f>COUNTIF($S$7:$T$78,"=" &amp; AE22 &amp; "_lose")</f>
        <v>2</v>
      </c>
      <c r="AI22" s="123">
        <f>SUMIF($E$7:$E$78,$AE22,$F$7:$F$78) + SUMIF($H$7:$H$78,$AE22,$G$7:$G$78)</f>
        <v>3</v>
      </c>
      <c r="AJ22" s="123">
        <f>SUMIF($E$7:$E$78,$AE22,$G$7:$G$78) + SUMIF($H$7:$H$78,$AE22,$F$7:$F$78)</f>
        <v>7</v>
      </c>
      <c r="AL22" s="123">
        <f>AI22-AJ22</f>
        <v>-4</v>
      </c>
      <c r="AM22" s="123">
        <f>AL22-AL24</f>
        <v>6</v>
      </c>
      <c r="AN22" s="123">
        <f>AF22*3+AG22</f>
        <v>3</v>
      </c>
      <c r="AO22" s="123">
        <f>AN22/AN24*10+BA22</f>
        <v>3</v>
      </c>
      <c r="AP22" s="123">
        <f>AO22*10000000+BI22*100+AM22/AM24*10+AI22/AI24*1++IF(AQ22=0,ROW(),AQ22)/2000000</f>
        <v>30000002.823627219</v>
      </c>
      <c r="AQ22" s="126">
        <f>VLOOKUP(AE22,db_fifarank,2,FALSE)</f>
        <v>1291.71</v>
      </c>
      <c r="AR22" s="125">
        <f>AP22/AP24</f>
        <v>0.33333332213412087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5</v>
      </c>
      <c r="G23" s="20">
        <v>0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3 - 7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0</v>
      </c>
      <c r="AH23" s="123">
        <f>COUNTIF($S$7:$T$78,"=" &amp; AE23 &amp; "_lose")</f>
        <v>3</v>
      </c>
      <c r="AI23" s="123">
        <f>SUMIF($E$7:$E$78,$AE23,$F$7:$F$78) + SUMIF($H$7:$H$78,$AE23,$G$7:$G$78)</f>
        <v>0</v>
      </c>
      <c r="AJ23" s="123">
        <f>SUMIF($E$7:$E$78,$AE23,$G$7:$G$78) + SUMIF($H$7:$H$78,$AE23,$F$7:$F$78)</f>
        <v>10</v>
      </c>
      <c r="AL23" s="123">
        <f>AI23-AJ23</f>
        <v>-10</v>
      </c>
      <c r="AM23" s="123">
        <f>AL23-AL24</f>
        <v>0</v>
      </c>
      <c r="AN23" s="123">
        <f>AF23*3+AG23</f>
        <v>0</v>
      </c>
      <c r="AO23" s="123">
        <f>AN23/AN24*10+BA23</f>
        <v>0</v>
      </c>
      <c r="AP23" s="123">
        <f>AO23*10000000+BI23*100+AM23/AM24*10+AI23/AI24*1++IF(AQ23=0,ROW(),AQ23)/2000000</f>
        <v>7.4917499999999993E-4</v>
      </c>
      <c r="AQ23" s="126">
        <f>VLOOKUP(AE23,db_fifarank,2,FALSE)</f>
        <v>1498.35</v>
      </c>
      <c r="AR23" s="125">
        <f>AP23/AP24</f>
        <v>8.3241656035163132E-12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14</v>
      </c>
      <c r="AL24" s="123">
        <f>MIN(AL20:AL23)</f>
        <v>-10</v>
      </c>
      <c r="AM24" s="123">
        <f>MAX(AM20:AM23)+1</f>
        <v>23</v>
      </c>
      <c r="AN24" s="123">
        <f>MAX(AN20:AN23)+1</f>
        <v>10</v>
      </c>
      <c r="AO24" s="123">
        <f>MAX(AO20:AO23)+1</f>
        <v>10</v>
      </c>
      <c r="AP24" s="123">
        <f>MAX(AP20:AP23)+1</f>
        <v>90000011.494669408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5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0</v>
      </c>
      <c r="AH26" s="123">
        <f>COUNTIF($S$7:$T$78,"=" &amp; AE26 &amp; "_lose")</f>
        <v>3</v>
      </c>
      <c r="AI26" s="123">
        <f>SUMIF($E$7:$E$78,$AE26,$F$7:$F$78) + SUMIF($H$7:$H$78,$AE26,$G$7:$G$78)</f>
        <v>1</v>
      </c>
      <c r="AJ26" s="123">
        <f>SUMIF($E$7:$E$78,$AE26,$G$7:$G$78) + SUMIF($H$7:$H$78,$AE26,$F$7:$F$78)</f>
        <v>8</v>
      </c>
      <c r="AL26" s="123">
        <f>AI26-AJ26</f>
        <v>-7</v>
      </c>
      <c r="AM26" s="123">
        <f>AL26-AL30</f>
        <v>0</v>
      </c>
      <c r="AN26" s="123">
        <f>AF26*3+AG26</f>
        <v>0</v>
      </c>
      <c r="AO26" s="123">
        <f>AN26/AN30*10+BA26</f>
        <v>6.5556575324505042E-3</v>
      </c>
      <c r="AP26" s="123">
        <f>AO26*10000000+BI26*100+AM26/AM30*10+AI26/AI30*1++IF(AQ26=0,ROW(),AQ26)/2000000</f>
        <v>65556.701161070043</v>
      </c>
      <c r="AQ26" s="126">
        <f>VLOOKUP(AE26,db_fifarank,2,FALSE)</f>
        <v>1673.13</v>
      </c>
      <c r="AR26" s="125">
        <f>AP26/AP30</f>
        <v>6.850614434774692E-4</v>
      </c>
      <c r="AS26" s="125" t="str">
        <f>IF(SUM(AF26:AH29)=12,J27,"1D")</f>
        <v>Australia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1</v>
      </c>
      <c r="AZ26" s="126">
        <f>AT26/AT30*1000+AU26/AU30*100+AY26/AY30*10+AV26/AV30</f>
        <v>3.333333333333333</v>
      </c>
      <c r="BA26" s="126">
        <f>AZ26/AZ30</f>
        <v>6.5556575324505042E-3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0</v>
      </c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Australia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7 - 4</v>
      </c>
      <c r="P27" s="32">
        <f>L27*3+M27</f>
        <v>6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3</v>
      </c>
      <c r="AL27" s="123">
        <f>AI27-AJ27</f>
        <v>3</v>
      </c>
      <c r="AM27" s="123">
        <f>AL27-AL30</f>
        <v>10</v>
      </c>
      <c r="AN27" s="123">
        <f>AF27*3+AG27</f>
        <v>6</v>
      </c>
      <c r="AO27" s="123">
        <f>AN27/AN30*10+BA27</f>
        <v>9.5625128771844388</v>
      </c>
      <c r="AP27" s="123">
        <f>AO27*10000000+BI27*100+AM27/AM30*10+AI27/AI30*1++IF(AQ27=0,ROW(),AQ27)/2000000</f>
        <v>95625138.613505229</v>
      </c>
      <c r="AQ27" s="126">
        <f>VLOOKUP(AE27,db_fifarank,2,FALSE)</f>
        <v>1503.5</v>
      </c>
      <c r="AR27" s="125">
        <f>AP27/AP30</f>
        <v>0.99927382450724445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1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3</v>
      </c>
      <c r="AW27" s="126" cm="1">
        <f t="array" ref="AW27">SUMPRODUCT(($E$7:$E$78=AE27)*($U$7:$U$78)*($G$7:$G$78))+SUMPRODUCT(($H$7:$H$78=AE27)*($U$7:$U$78)*($F$7:$F$78))</f>
        <v>3</v>
      </c>
      <c r="AX27" s="126">
        <f>AV27-AW27</f>
        <v>0</v>
      </c>
      <c r="AY27" s="126">
        <f>AX27-MIN(AX26:AX29)</f>
        <v>1</v>
      </c>
      <c r="AZ27" s="126">
        <f>AT27/AT30*1000+AU27/AU30*100+AY27/AY30*10+AV27/AV30</f>
        <v>503.93333333333334</v>
      </c>
      <c r="BA27" s="126">
        <f>AZ27/AZ30</f>
        <v>0.99108430575586726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4</v>
      </c>
      <c r="G28" s="20">
        <v>3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1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0</v>
      </c>
      <c r="AH28" s="123">
        <f>COUNTIF($S$7:$T$78,"=" &amp; AE28 &amp; "_lose")</f>
        <v>1</v>
      </c>
      <c r="AI28" s="123">
        <f>SUMIF($E$7:$E$78,$AE28,$F$7:$F$78) + SUMIF($H$7:$H$78,$AE28,$G$7:$G$78)</f>
        <v>7</v>
      </c>
      <c r="AJ28" s="123">
        <f>SUMIF($E$7:$E$78,$AE28,$G$7:$G$78) + SUMIF($H$7:$H$78,$AE28,$F$7:$F$78)</f>
        <v>4</v>
      </c>
      <c r="AL28" s="123">
        <f>AI28-AJ28</f>
        <v>3</v>
      </c>
      <c r="AM28" s="123">
        <f>AL28-AL30</f>
        <v>10</v>
      </c>
      <c r="AN28" s="123">
        <f>AF28*3+AG28</f>
        <v>6</v>
      </c>
      <c r="AO28" s="123">
        <f>AN28/AN30*10+BA28</f>
        <v>9.5694618741688355</v>
      </c>
      <c r="AP28" s="123">
        <f>AO28*10000000+BI28*100+AM28/AM30*10+AI28/AI30*1++IF(AQ28=0,ROW(),AQ28)/2000000</f>
        <v>95694628.708387777</v>
      </c>
      <c r="AQ28" s="126">
        <f>VLOOKUP(AE28,db_fifarank,2,FALSE)</f>
        <v>1580.67</v>
      </c>
      <c r="AR28" s="125">
        <f>AP28/AP30</f>
        <v>0.99999998955009284</v>
      </c>
      <c r="AT28" s="126" cm="1">
        <f t="array" ref="AT28">SUMPRODUCT(($S$7:$S$78=AE28&amp;"_win")*($U$7:$U$78))+SUMPRODUCT(($T$7:$T$78=AE28&amp;"_win")*($U$7:$U$78))</f>
        <v>1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4</v>
      </c>
      <c r="AW28" s="126" cm="1">
        <f t="array" ref="AW28">SUMPRODUCT(($E$7:$E$78=AE28)*($U$7:$U$78)*($G$7:$G$78))+SUMPRODUCT(($H$7:$H$78=AE28)*($U$7:$U$78)*($F$7:$F$78))</f>
        <v>3</v>
      </c>
      <c r="AX28" s="126">
        <f>AV28-AW28</f>
        <v>1</v>
      </c>
      <c r="AY28" s="126">
        <f>AX28-MIN(AX26:AX29)</f>
        <v>2</v>
      </c>
      <c r="AZ28" s="126">
        <f>AT28/AT30*1000+AU28/AU30*100+AY28/AY30*10+AV28/AV30</f>
        <v>507.4666666666667</v>
      </c>
      <c r="BA28" s="126">
        <f>AZ28/AZ30</f>
        <v>0.9980333027402648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2</v>
      </c>
      <c r="M29" s="23">
        <f>VLOOKUP(3,AD26:AN29,4,FALSE)</f>
        <v>0</v>
      </c>
      <c r="N29" s="23">
        <f>VLOOKUP(3,AD26:AN29,5,FALSE)</f>
        <v>1</v>
      </c>
      <c r="O29" s="23" t="str">
        <f>VLOOKUP(3,AD26:AN29,6,FALSE) &amp; " - " &amp; VLOOKUP(3,AD26:AN29,7,FALSE)</f>
        <v>5 - 4</v>
      </c>
      <c r="P29" s="34">
        <f>L29*3+M29</f>
        <v>6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8</v>
      </c>
      <c r="AN29" s="123">
        <f>AF29*3+AG29</f>
        <v>6</v>
      </c>
      <c r="AO29" s="123">
        <f>AN29/AN30*10+BA29</f>
        <v>9.5559572196519884</v>
      </c>
      <c r="AP29" s="123">
        <f>AO29*10000000+BI29*100+AM29/AM30*10+AI29/AI30*1++IF(AQ29=0,ROW(),AQ29)/2000000</f>
        <v>95559580.095046669</v>
      </c>
      <c r="AQ29" s="126">
        <f>VLOOKUP(AE29,db_fifarank,2,FALSE)</f>
        <v>1599.04</v>
      </c>
      <c r="AR29" s="125">
        <f>AP29/AP30</f>
        <v>0.99858874407317688</v>
      </c>
      <c r="AT29" s="126" cm="1">
        <f t="array" ref="AT29">SUMPRODUCT(($S$7:$S$78=AE29&amp;"_win")*($U$7:$U$78))+SUMPRODUCT(($T$7:$T$78=AE29&amp;"_win")*($U$7:$U$78))</f>
        <v>1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4</v>
      </c>
      <c r="AX29" s="126">
        <f>AV29-AW29</f>
        <v>-1</v>
      </c>
      <c r="AY29" s="126">
        <f>AX29-MIN(AX26:AX29)</f>
        <v>0</v>
      </c>
      <c r="AZ29" s="126">
        <f>AT29/AT30*1000+AU29/AU30*100+AY29/AY30*10+AV29/AV30</f>
        <v>500.6</v>
      </c>
      <c r="BA29" s="126">
        <f>AZ29/AZ30</f>
        <v>0.98452864822341679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1 - 8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8</v>
      </c>
      <c r="AL30" s="123">
        <f>MIN(AL26:AL29)</f>
        <v>-7</v>
      </c>
      <c r="AM30" s="123">
        <f>MAX(AM26:AM29)+1</f>
        <v>11</v>
      </c>
      <c r="AN30" s="123">
        <f>MAX(AN26:AN29)+1</f>
        <v>7</v>
      </c>
      <c r="AO30" s="123">
        <f>MAX(AO26:AO29)+1</f>
        <v>10.569461874168836</v>
      </c>
      <c r="AP30" s="123">
        <f>MAX(AP26:AP29)+1</f>
        <v>95694629.708387777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5</v>
      </c>
      <c r="AW30" s="126">
        <f>MAX(AW26:AW29)-MIN(AW26:AW29)+1</f>
        <v>5</v>
      </c>
      <c r="AY30" s="126">
        <f>MAX(AY26:AY29)-MIN(AY26:AY29)+1</f>
        <v>3</v>
      </c>
      <c r="AZ30" s="126">
        <f>MAX(AZ26:AZ29)+1</f>
        <v>508.4666666666667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2</v>
      </c>
      <c r="W31" s="123">
        <f t="shared" si="4"/>
        <v>2</v>
      </c>
      <c r="X31" s="123">
        <f t="shared" si="9"/>
        <v>1</v>
      </c>
      <c r="Y31" s="123">
        <f t="shared" si="10"/>
        <v>2</v>
      </c>
      <c r="Z31" s="123">
        <f t="shared" si="11"/>
        <v>2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13</v>
      </c>
      <c r="AJ32" s="123">
        <f>SUMIF($E$7:$E$78,$AE32,$G$7:$G$78) + SUMIF($H$7:$H$78,$AE32,$F$7:$F$78)</f>
        <v>2</v>
      </c>
      <c r="AL32" s="123">
        <f>AI32-AJ32</f>
        <v>11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90000010.429436624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13 - 2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9</v>
      </c>
      <c r="AL33" s="123">
        <f>AI33-AJ33</f>
        <v>-7</v>
      </c>
      <c r="AM33" s="123">
        <f>AL33-AL36</f>
        <v>1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30000000.643504467</v>
      </c>
      <c r="AQ33" s="126">
        <f>VLOOKUP(AE33,db_fifarank,2,FALSE)</f>
        <v>1294.6500000000001</v>
      </c>
      <c r="AR33" s="125">
        <f>AP33/AP36</f>
        <v>0.33333329815214069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8 - 4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9</v>
      </c>
      <c r="AL34" s="123">
        <f>AI34-AJ34</f>
        <v>-8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7.2195061428571419E-2</v>
      </c>
      <c r="AQ34" s="126">
        <f>VLOOKUP(AE34,db_fifarank,2,FALSE)</f>
        <v>1532.98</v>
      </c>
      <c r="AR34" s="125">
        <f>AP34/AP36</f>
        <v>8.0216724733613006E-10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Australia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2 - 9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8</v>
      </c>
      <c r="AJ35" s="123">
        <f>SUMIF($E$7:$E$78,$AE35,$G$7:$G$78) + SUMIF($H$7:$H$78,$AE35,$F$7:$F$78)</f>
        <v>4</v>
      </c>
      <c r="AL35" s="123">
        <f>AI35-AJ35</f>
        <v>4</v>
      </c>
      <c r="AM35" s="123">
        <f>AL35-AL36</f>
        <v>12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60000006.572225966</v>
      </c>
      <c r="AQ35" s="126">
        <f>VLOOKUP(AE35,db_fifarank,2,FALSE)</f>
        <v>1594.78</v>
      </c>
      <c r="AR35" s="125">
        <f>AP35/AP36</f>
        <v>0.66666665502890754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14</v>
      </c>
      <c r="AL36" s="123">
        <f>MIN(AL32:AL35)</f>
        <v>-8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90000011.429436624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Australia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3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1</v>
      </c>
      <c r="V38" s="123">
        <f t="shared" si="3"/>
        <v>2</v>
      </c>
      <c r="W38" s="123">
        <f t="shared" si="4"/>
        <v>1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3</v>
      </c>
      <c r="AL38" s="123">
        <f>AI38-AJ38</f>
        <v>2</v>
      </c>
      <c r="AM38" s="123">
        <f>AL38-AL42</f>
        <v>5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97305932.468516469</v>
      </c>
      <c r="AQ38" s="126">
        <f>VLOOKUP(AE38,db_fifarank,2,FALSE)</f>
        <v>1757.87</v>
      </c>
      <c r="AR38" s="125">
        <f>AP38/AP42</f>
        <v>0.99999998972313442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1</v>
      </c>
      <c r="AL39" s="123">
        <f>AI39-AJ39</f>
        <v>2</v>
      </c>
      <c r="AM39" s="123">
        <f>AL39-AL42</f>
        <v>5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97305932.135134429</v>
      </c>
      <c r="AQ39" s="126">
        <f>VLOOKUP(AE39,db_fifarank,2,FALSE)</f>
        <v>1660.43</v>
      </c>
      <c r="AR39" s="125">
        <f>AP39/AP42</f>
        <v>0.99999998629701203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Senegal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3 - 1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2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37500003.834090717</v>
      </c>
      <c r="AQ40" s="126">
        <f>VLOOKUP(AE40,db_fifarank,2,FALSE)</f>
        <v>1514.77</v>
      </c>
      <c r="AR40" s="125">
        <f>AP40/AP42</f>
        <v>0.38538249927198859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0.33407485833333334</v>
      </c>
      <c r="AQ41" s="126">
        <f>VLOOKUP(AE41,db_fifarank,2,FALSE)</f>
        <v>1483.05</v>
      </c>
      <c r="AR41" s="125">
        <f>AP41/AP42</f>
        <v>3.4332424182686035E-9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-3</v>
      </c>
      <c r="AM42" s="123">
        <f>MAX(AM38:AM41)+1</f>
        <v>6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97305933.468516469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5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6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2</v>
      </c>
      <c r="AL44" s="123">
        <f>AI44-AJ44</f>
        <v>7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90000009.991776451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2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60000002.118963435</v>
      </c>
      <c r="AQ45" s="126">
        <f>VLOOKUP(AE45,db_fifarank,2,FALSE)</f>
        <v>1563.24</v>
      </c>
      <c r="AR45" s="125">
        <f>AP45/AP48</f>
        <v>0.66666660879014561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6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1.9806451612903224</v>
      </c>
      <c r="AP46" s="123">
        <f>AO46*10000000+BI46*100+AM46/AM48*10+AI46/AI48*1++IF(AQ46=0,ROW(),AQ46)/2000000</f>
        <v>19806549.978227004</v>
      </c>
      <c r="AQ46" s="126">
        <f>VLOOKUP(AE46,db_fifarank,2,FALSE)</f>
        <v>1615.3</v>
      </c>
      <c r="AR46" s="125">
        <f>AP46/AP48</f>
        <v>0.22007275065818363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50.666666666666664</v>
      </c>
      <c r="BA46" s="126">
        <f>AZ46/AZ48</f>
        <v>0.98064516129032253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50.666666666666664</v>
      </c>
      <c r="BI46" s="126">
        <f>BH46/BH48</f>
        <v>0.98064516129032253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1.9806451612903224</v>
      </c>
      <c r="AP47" s="123">
        <f>AO47*10000000+BI47*100+AM47/AM48*10+AI47/AI48*1++IF(AQ47=0,ROW(),AQ47)/2000000</f>
        <v>19806549.878060136</v>
      </c>
      <c r="AQ47" s="126">
        <f>VLOOKUP(AE47,db_fifarank,2,FALSE)</f>
        <v>1281.57</v>
      </c>
      <c r="AR47" s="125">
        <f>AP47/AP48</f>
        <v>0.22007274954521855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50.666666666666664</v>
      </c>
      <c r="BA47" s="126">
        <f>AZ47/AZ48</f>
        <v>0.98064516129032253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50.666666666666664</v>
      </c>
      <c r="BI47" s="126">
        <f>BH47/BH48</f>
        <v>0.98064516129032253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10</v>
      </c>
      <c r="AL48" s="123">
        <f>MIN(AL44:AL47)</f>
        <v>-3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90000010.991776451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14</v>
      </c>
      <c r="AJ50" s="123">
        <f>SUMIF($E$7:$E$78,$AE50,$G$7:$G$78) + SUMIF($H$7:$H$78,$AE50,$F$7:$F$78)</f>
        <v>2</v>
      </c>
      <c r="AL50" s="123">
        <f>AI50-AJ50</f>
        <v>12</v>
      </c>
      <c r="AM50" s="123">
        <f>AL50-AL54</f>
        <v>21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90000010.479726091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14 - 2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10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6.7349731666666662E-2</v>
      </c>
      <c r="AQ51" s="126">
        <f>VLOOKUP(AE51,db_fifarank,2,FALSE)</f>
        <v>1366.13</v>
      </c>
      <c r="AR51" s="125">
        <f>AP51/AP54</f>
        <v>7.4833025640044773E-10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Haiti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2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11 - 6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10</v>
      </c>
      <c r="AL52" s="123">
        <f>AI52-AJ52</f>
        <v>-8</v>
      </c>
      <c r="AM52" s="123">
        <f>AL52-AL54</f>
        <v>1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30000000.588589501</v>
      </c>
      <c r="AQ52" s="126">
        <f>VLOOKUP(AE52,db_fifarank,2,FALSE)</f>
        <v>1421.43</v>
      </c>
      <c r="AR52" s="125">
        <f>AP52/AP54</f>
        <v>0.33333329735571721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2 - 10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11</v>
      </c>
      <c r="AJ53" s="123">
        <f>SUMIF($E$7:$E$78,$AE53,$G$7:$G$78) + SUMIF($H$7:$H$78,$AE53,$F$7:$F$78)</f>
        <v>6</v>
      </c>
      <c r="AL53" s="123">
        <f>AI53-AJ53</f>
        <v>5</v>
      </c>
      <c r="AM53" s="123">
        <f>AL53-AL54</f>
        <v>14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60000007.097806238</v>
      </c>
      <c r="AQ53" s="126">
        <f>VLOOKUP(AE53,db_fifarank,2,FALSE)</f>
        <v>1673.07</v>
      </c>
      <c r="AR53" s="125">
        <f>AP53/AP54</f>
        <v>0.66666666049617307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1 - 10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15</v>
      </c>
      <c r="AL54" s="123">
        <f>MIN(AL50:AL53)</f>
        <v>-9</v>
      </c>
      <c r="AM54" s="123">
        <f>MAX(AM50:AM53)+1</f>
        <v>22</v>
      </c>
      <c r="AN54" s="123">
        <f>MAX(AN50:AN53)+1</f>
        <v>10</v>
      </c>
      <c r="AO54" s="123">
        <f>MAX(AO50:AO53)+1</f>
        <v>10</v>
      </c>
      <c r="AP54" s="123">
        <f>MAX(AP50:AP53)+1</f>
        <v>90000011.479726091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5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13</v>
      </c>
      <c r="AJ56" s="123">
        <f>SUMIF($E$7:$E$78,$AE56,$G$7:$G$78) + SUMIF($H$7:$H$78,$AE56,$F$7:$F$78)</f>
        <v>2</v>
      </c>
      <c r="AL56" s="123">
        <f>AI56-AJ56</f>
        <v>11</v>
      </c>
      <c r="AM56" s="123">
        <f>AL56-AL60</f>
        <v>17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90000010.373954535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13 - 2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1</v>
      </c>
      <c r="AJ57" s="123">
        <f>SUMIF($E$7:$E$78,$AE57,$G$7:$G$78) + SUMIF($H$7:$H$78,$AE57,$F$7:$F$78)</f>
        <v>7</v>
      </c>
      <c r="AL57" s="123">
        <f>AI57-AJ57</f>
        <v>-6</v>
      </c>
      <c r="AM57" s="123">
        <f>AL57-AL60</f>
        <v>0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30000000.072273064</v>
      </c>
      <c r="AQ57" s="126">
        <f>VLOOKUP(AE57,db_fifarank,2,FALSE)</f>
        <v>1688.99</v>
      </c>
      <c r="AR57" s="125">
        <f>AP57/AP60</f>
        <v>0.33333329201061507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7</v>
      </c>
      <c r="AL58" s="123">
        <f>AI58-AJ58</f>
        <v>-5</v>
      </c>
      <c r="AM58" s="123">
        <f>AL58-AL60</f>
        <v>1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0.69913626841269838</v>
      </c>
      <c r="AQ58" s="126">
        <f>VLOOKUP(AE58,db_fifarank,2,FALSE)</f>
        <v>1447.14</v>
      </c>
      <c r="AR58" s="125">
        <f>AP58/AP60</f>
        <v>7.7681797784197196E-9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1 - 7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6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60000003.691251665</v>
      </c>
      <c r="AQ59" s="126">
        <f>VLOOKUP(AE59,db_fifarank,2,FALSE)</f>
        <v>1550.94</v>
      </c>
      <c r="AR59" s="125">
        <f>AP59/AP60</f>
        <v>0.66666662342906446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14</v>
      </c>
      <c r="AL60" s="123">
        <f>MIN(AL56:AL59)</f>
        <v>-6</v>
      </c>
      <c r="AM60" s="123">
        <f>MAX(AM56:AM59)+1</f>
        <v>18</v>
      </c>
      <c r="AN60" s="123">
        <f>MAX(AN56:AN59)+1</f>
        <v>10</v>
      </c>
      <c r="AO60" s="123">
        <f>MAX(AO56:AO59)+1</f>
        <v>10</v>
      </c>
      <c r="AP60" s="123">
        <f>MAX(AP56:AP59)+1</f>
        <v>90000011.373954535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2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12</v>
      </c>
      <c r="AJ62" s="123">
        <f>SUMIF($E$7:$E$78,$AE62,$G$7:$G$78) + SUMIF($H$7:$H$78,$AE62,$F$7:$F$78)</f>
        <v>1</v>
      </c>
      <c r="AL62" s="123">
        <f>AI62-AJ62</f>
        <v>11</v>
      </c>
      <c r="AM62" s="123">
        <f>AL62-AL66</f>
        <v>18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90000010.397698551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12 - 1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5</v>
      </c>
      <c r="AN63" s="123">
        <f>AF63*3+AG63</f>
        <v>6</v>
      </c>
      <c r="AO63" s="123">
        <f>AN63/AN66*10+BA63</f>
        <v>6</v>
      </c>
      <c r="AP63" s="123">
        <f>AO63*10000000+BI63*100+AM63/AM66*10+AI63/AI66*1++IF(AQ63=0,ROW(),AQ63)/2000000</f>
        <v>60000002.863130309</v>
      </c>
      <c r="AQ63" s="126">
        <f>VLOOKUP(AE63,db_fifarank,2,FALSE)</f>
        <v>1564.26</v>
      </c>
      <c r="AR63" s="125">
        <f>AP63/AP66</f>
        <v>0.66666661405183569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3 - 5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4</v>
      </c>
      <c r="AL64" s="123">
        <f>AI64-AJ64</f>
        <v>-2</v>
      </c>
      <c r="AM64" s="123">
        <f>AL64-AL66</f>
        <v>5</v>
      </c>
      <c r="AN64" s="123">
        <f>AF64*3+AG64</f>
        <v>3</v>
      </c>
      <c r="AO64" s="123">
        <f>AN64/AN66*10+BA64</f>
        <v>3</v>
      </c>
      <c r="AP64" s="123">
        <f>AO64*10000000+BI64*100+AM64/AM66*10+AI64/AI66*1++IF(AQ64=0,ROW(),AQ64)/2000000</f>
        <v>30000002.786221825</v>
      </c>
      <c r="AQ64" s="126">
        <f>VLOOKUP(AE64,db_fifarank,2,FALSE)</f>
        <v>1593.45</v>
      </c>
      <c r="AR64" s="125">
        <f>AP64/AP66</f>
        <v>0.3333333220776567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2 - 4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7.7302767988070588E-12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1</v>
      </c>
      <c r="V66" s="123">
        <f t="shared" si="21"/>
        <v>2</v>
      </c>
      <c r="W66" s="123">
        <f t="shared" si="22"/>
        <v>1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13</v>
      </c>
      <c r="AL66" s="123">
        <f>MIN(AL62:AL65)</f>
        <v>-7</v>
      </c>
      <c r="AM66" s="123">
        <f>MAX(AM62:AM65)+1</f>
        <v>19</v>
      </c>
      <c r="AN66" s="123">
        <f>MAX(AN62:AN65)+1</f>
        <v>10</v>
      </c>
      <c r="AO66" s="123">
        <f>MAX(AO62:AO65)+1</f>
        <v>10</v>
      </c>
      <c r="AP66" s="123">
        <f>MAX(AP62:AP65)+1</f>
        <v>90000011.397698551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Qatar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90000010.284972817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Qatar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6</v>
      </c>
      <c r="AL69" s="123">
        <f>AI69-AJ69</f>
        <v>-6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8.2130545257322534E-12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1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30000000.716641761</v>
      </c>
      <c r="AQ70" s="126">
        <f>VLOOKUP(AE70,db_fifarank,2,FALSE)</f>
        <v>1465.34</v>
      </c>
      <c r="AR70" s="125">
        <f>AP70/AP72</f>
        <v>0.33333329949982821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60000005.455391996</v>
      </c>
      <c r="AQ71" s="126">
        <f>VLOOKUP(AE71,db_fifarank,2,FALSE)</f>
        <v>1693.09</v>
      </c>
      <c r="AR71" s="125">
        <f>AP71/AP72</f>
        <v>0.66666664368974493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4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90000011.284972817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4</v>
      </c>
      <c r="AL74" s="123">
        <f>AI74-AJ74</f>
        <v>4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90000009.77869077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8 - 4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6</v>
      </c>
      <c r="AL75" s="123">
        <f>AI75-AJ75</f>
        <v>1</v>
      </c>
      <c r="AM75" s="123">
        <f>AL75-AL78</f>
        <v>5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60000006.334191866</v>
      </c>
      <c r="AQ75" s="126">
        <f>VLOOKUP(AE75,db_fifarank,2,FALSE)</f>
        <v>1717.07</v>
      </c>
      <c r="AR75" s="125">
        <f>AP75/AP78</f>
        <v>0.66666665720442353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7 - 6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0.1117842661111111</v>
      </c>
      <c r="AQ76" s="126">
        <f>VLOOKUP(AE76,db_fifarank,2,FALSE)</f>
        <v>1346.31</v>
      </c>
      <c r="AR76" s="125">
        <f>AP76/AP78</f>
        <v>1.242047252482976E-9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5 - 6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5</v>
      </c>
      <c r="AJ77" s="123">
        <f>SUMIF($E$7:$E$78,$AE77,$G$7:$G$78) + SUMIF($H$7:$H$78,$AE77,$F$7:$F$78)</f>
        <v>6</v>
      </c>
      <c r="AL77" s="123">
        <f>AI77-AJ77</f>
        <v>-1</v>
      </c>
      <c r="AM77" s="123">
        <f>AL77-AL78</f>
        <v>3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30000003.889659207</v>
      </c>
      <c r="AQ77" s="126">
        <f>VLOOKUP(AE77,db_fifarank,2,FALSE)</f>
        <v>1540.64</v>
      </c>
      <c r="AR77" s="125">
        <f>AP77/AP78</f>
        <v>0.33333333663069165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-4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90000010.77869077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5</v>
      </c>
      <c r="AJ80" s="123">
        <f>VLOOKUP($AE80,$AE$8:$AQ$78,6,FALSE)</f>
        <v>7</v>
      </c>
      <c r="AK80" s="123" t="s">
        <v>3180</v>
      </c>
      <c r="AL80" s="123">
        <f>VLOOKUP($AE80,$AE$8:$AQ$78,8,FALSE)</f>
        <v>-2</v>
      </c>
      <c r="AM80" s="123">
        <f>AL80-$AL$92</f>
        <v>6</v>
      </c>
      <c r="AN80" s="123">
        <f>VLOOKUP($AE80,$AE$8:$AQ$78,10,FALSE)</f>
        <v>1</v>
      </c>
      <c r="AP80" s="123">
        <f>AN80/AN92*10000+AM80/AM92*1000+AI80/AI92*100+IF(AQ80=0,ROW(),AQ80)/2000000</f>
        <v>2111.9054767697621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Turkey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6</v>
      </c>
      <c r="AD81" s="123">
        <f t="shared" ref="AD81:AD91" si="38">COUNTIF($AP$80:$AP$91,CONCATENATE("&gt;=",AP81))</f>
        <v>3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7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5035.7150639542851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Panama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5 - 6</v>
      </c>
      <c r="P82" s="101">
        <f t="shared" ref="P82:P92" si="48">L82*3+M82</f>
        <v>3</v>
      </c>
      <c r="AD82" s="123">
        <f t="shared" si="38"/>
        <v>6</v>
      </c>
      <c r="AE82" s="124" t="str">
        <f>J23</f>
        <v>Haiti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7</v>
      </c>
      <c r="AK82" s="123" t="s">
        <v>3182</v>
      </c>
      <c r="AL82" s="123">
        <f t="shared" si="43"/>
        <v>-4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4735.714931569285</v>
      </c>
      <c r="AQ82" s="126">
        <f t="shared" si="37"/>
        <v>1291.71</v>
      </c>
      <c r="AR82" s="125" t="str">
        <f t="shared" ref="AR82:AR91" si="50">AR81&amp;IF(AD82&lt;=8,RIGHT(AK82,1),"")</f>
        <v>BC</v>
      </c>
      <c r="AS82" s="129" t="str">
        <f t="shared" si="46"/>
        <v>Haiti</v>
      </c>
      <c r="AT82" s="130" t="str">
        <f>"Ⓒ "&amp;AE82</f>
        <v>Ⓒ Haiti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Canada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3 - 4</v>
      </c>
      <c r="P83" s="101">
        <f t="shared" si="48"/>
        <v>3</v>
      </c>
      <c r="AD83" s="123">
        <f t="shared" si="38"/>
        <v>1</v>
      </c>
      <c r="AE83" s="124" t="str">
        <f>J29</f>
        <v>Turkey</v>
      </c>
      <c r="AF83" s="123">
        <f t="shared" si="39"/>
        <v>2</v>
      </c>
      <c r="AG83" s="123">
        <f t="shared" si="49"/>
        <v>0</v>
      </c>
      <c r="AH83" s="123">
        <f t="shared" si="40"/>
        <v>1</v>
      </c>
      <c r="AI83" s="123">
        <f t="shared" si="41"/>
        <v>5</v>
      </c>
      <c r="AJ83" s="123">
        <f t="shared" si="42"/>
        <v>4</v>
      </c>
      <c r="AK83" s="123" t="s">
        <v>3184</v>
      </c>
      <c r="AL83" s="123">
        <f t="shared" si="43"/>
        <v>1</v>
      </c>
      <c r="AM83" s="123">
        <f t="shared" si="44"/>
        <v>9</v>
      </c>
      <c r="AN83" s="123">
        <f t="shared" si="45"/>
        <v>6</v>
      </c>
      <c r="AP83" s="123">
        <f>AN83/AN92*10000+AM83/AM92*1000+AI83/AI92*100+IF(AQ83=0,ROW(),AQ83)/2000000</f>
        <v>9554.762704281904</v>
      </c>
      <c r="AQ83" s="126">
        <f t="shared" si="37"/>
        <v>1599.04</v>
      </c>
      <c r="AR83" s="125" t="str">
        <f t="shared" si="50"/>
        <v>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Sweden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9</v>
      </c>
      <c r="AK84" s="123" t="s">
        <v>3185</v>
      </c>
      <c r="AL84" s="123">
        <f t="shared" si="43"/>
        <v>-7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4419.0482663726179</v>
      </c>
      <c r="AQ84" s="126">
        <f t="shared" si="37"/>
        <v>1294.6500000000001</v>
      </c>
      <c r="AR84" s="125" t="str">
        <f t="shared" si="50"/>
        <v>BCD</v>
      </c>
      <c r="AS84" s="129" t="str">
        <f t="shared" si="46"/>
        <v/>
      </c>
      <c r="AT84" s="130" t="str">
        <f>"Ⓔ "&amp;AE84</f>
        <v>Ⓔ Curaçao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Austria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7</v>
      </c>
      <c r="AN85" s="123">
        <f t="shared" si="45"/>
        <v>3</v>
      </c>
      <c r="AP85" s="123">
        <f>AN85/AN92*10000+AM85/AM92*1000+AI85/AI92*100+IF(AQ85=0,ROW(),AQ85)/2000000</f>
        <v>5035.7150430992851</v>
      </c>
      <c r="AQ85" s="126">
        <f t="shared" si="37"/>
        <v>1514.77</v>
      </c>
      <c r="AR85" s="125" t="str">
        <f t="shared" si="50"/>
        <v>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Haiti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3 - 7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12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5</v>
      </c>
      <c r="AN86" s="123">
        <f t="shared" si="45"/>
        <v>1</v>
      </c>
      <c r="AP86" s="123">
        <f>AN86/AN92*10000+AM86/AM92*1000+AI86/AI92*100+IF(AQ86=0,ROW(),AQ86)/2000000</f>
        <v>1978.5722362214285</v>
      </c>
      <c r="AQ86" s="126">
        <f t="shared" si="37"/>
        <v>1615.3</v>
      </c>
      <c r="AR86" s="125" t="str">
        <f t="shared" si="50"/>
        <v>BCDF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10</v>
      </c>
      <c r="AK87" s="123" t="s">
        <v>3188</v>
      </c>
      <c r="AL87" s="123">
        <f t="shared" si="43"/>
        <v>-8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4319.0483297626188</v>
      </c>
      <c r="AQ87" s="126">
        <f t="shared" si="37"/>
        <v>1421.43</v>
      </c>
      <c r="AR87" s="125" t="str">
        <f t="shared" si="50"/>
        <v>BCDF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Ⓘ Senegal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1 - 7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8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1</v>
      </c>
      <c r="AJ88" s="123">
        <f t="shared" si="42"/>
        <v>7</v>
      </c>
      <c r="AK88" s="123" t="s">
        <v>3189</v>
      </c>
      <c r="AL88" s="123">
        <f t="shared" si="43"/>
        <v>-6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4502.3817968759522</v>
      </c>
      <c r="AQ88" s="126">
        <f t="shared" si="37"/>
        <v>1688.99</v>
      </c>
      <c r="AR88" s="125" t="str">
        <f t="shared" si="50"/>
        <v>BCDFI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Curaçao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2 - 9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5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6</v>
      </c>
      <c r="AN89" s="123">
        <f t="shared" si="45"/>
        <v>3</v>
      </c>
      <c r="AP89" s="123">
        <f>AN89/AN92*10000+AM89/AM92*1000+AI89/AI92*100+IF(AQ89=0,ROW(),AQ89)/2000000</f>
        <v>4919.0484157726187</v>
      </c>
      <c r="AQ89" s="126">
        <f t="shared" si="37"/>
        <v>1593.45</v>
      </c>
      <c r="AR89" s="125" t="str">
        <f t="shared" si="50"/>
        <v>BCDFIJ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2 - 10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Australia</v>
      </c>
      <c r="T90" s="127" t="str" cm="1">
        <f t="array" ref="T90">IF(OR(S90="",S90="draw"),INDEX(T,92,lang),S90)</f>
        <v>Australia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3</v>
      </c>
      <c r="AN90" s="123">
        <f t="shared" si="45"/>
        <v>3</v>
      </c>
      <c r="AP90" s="123">
        <f>AN90/AN92*10000+AM90/AM92*1000+AI90/AI92*100+IF(AQ90=0,ROW(),AQ90)/2000000</f>
        <v>4602.381685050952</v>
      </c>
      <c r="AQ90" s="126">
        <f t="shared" si="37"/>
        <v>1465.34</v>
      </c>
      <c r="AR90" s="125" t="str">
        <f t="shared" si="50"/>
        <v>BCDFIJK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South Africa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5 - 7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6</v>
      </c>
      <c r="AK91" s="123" t="s">
        <v>3192</v>
      </c>
      <c r="AL91" s="123">
        <f>VLOOKUP($AE91,$AE$8:$AQ$78,8,FALSE)</f>
        <v>-1</v>
      </c>
      <c r="AM91" s="123">
        <f t="shared" si="44"/>
        <v>7</v>
      </c>
      <c r="AN91" s="123">
        <f>VLOOKUP($AE91,$AE$8:$AQ$78,10,FALSE)</f>
        <v>3</v>
      </c>
      <c r="AP91" s="123">
        <f>AN91/AN92*10000+AM91/AM92*1000+AI91/AI92*100+IF(AQ91=0,ROW(),AQ91)/2000000</f>
        <v>5069.0483893676183</v>
      </c>
      <c r="AQ91" s="126">
        <f t="shared" si="37"/>
        <v>1540.64</v>
      </c>
      <c r="AR91" s="125" t="str">
        <f t="shared" si="50"/>
        <v>BCDFIJKL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3 - 6</v>
      </c>
      <c r="P92" s="107">
        <f t="shared" si="48"/>
        <v>1</v>
      </c>
      <c r="AF92" s="123">
        <f>MAX(AF80:AF91)+1</f>
        <v>3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11</v>
      </c>
      <c r="AL92" s="123">
        <f>MIN(AL80:AL91)</f>
        <v>-8</v>
      </c>
      <c r="AM92" s="123">
        <f>MAX(AM80:AM91)+1</f>
        <v>10</v>
      </c>
      <c r="AN92" s="123">
        <f>MAX(AN80:AN91)+1</f>
        <v>7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116</v>
      </c>
      <c r="C3" s="121" t="str">
        <f>'2026 World Cup'!AR91</f>
        <v>BCDFIJKL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Andrés Gómez Ortega</cp:lastModifiedBy>
  <cp:revision/>
  <dcterms:created xsi:type="dcterms:W3CDTF">2017-12-27T19:32:51Z</dcterms:created>
  <dcterms:modified xsi:type="dcterms:W3CDTF">2026-06-04T20:51:36Z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