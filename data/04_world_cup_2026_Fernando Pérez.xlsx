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124\Downloads\"/>
    </mc:Choice>
  </mc:AlternateContent>
  <xr:revisionPtr revIDLastSave="0" documentId="8_{FF1E1D8A-E205-42D8-A0D2-66573B4BDEAB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5" i="3"/>
  <c r="S47" i="3"/>
  <c r="S67" i="3"/>
  <c r="S72" i="3"/>
  <c r="T19" i="3"/>
  <c r="S70" i="3"/>
  <c r="T21" i="3"/>
  <c r="S42" i="3"/>
  <c r="S64" i="3"/>
  <c r="T63" i="3"/>
  <c r="T41" i="3"/>
  <c r="S40" i="3"/>
  <c r="S62" i="3"/>
  <c r="T16" i="3"/>
  <c r="S38" i="3"/>
  <c r="S65" i="3"/>
  <c r="S55" i="3"/>
  <c r="S57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35" i="3"/>
  <c r="AR33" i="3"/>
  <c r="AR34" i="3"/>
  <c r="AR9" i="3"/>
  <c r="AR10" i="3"/>
  <c r="AR28" i="3"/>
  <c r="AD58" i="3"/>
  <c r="AR21" i="3"/>
  <c r="AR1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2" i="3" l="1"/>
  <c r="J33" i="3" s="1"/>
  <c r="AS32" i="3" s="1"/>
  <c r="BL10" i="3" s="1"/>
  <c r="AD35" i="3"/>
  <c r="M58" i="3"/>
  <c r="AD33" i="3"/>
  <c r="AD34" i="3"/>
  <c r="AD77" i="3"/>
  <c r="AD62" i="3"/>
  <c r="O63" i="3" s="1"/>
  <c r="AD44" i="3"/>
  <c r="AD10" i="3"/>
  <c r="AD9" i="3"/>
  <c r="O60" i="3"/>
  <c r="AD11" i="3"/>
  <c r="AD8" i="3"/>
  <c r="AD75" i="3"/>
  <c r="AD15" i="3"/>
  <c r="AD70" i="3"/>
  <c r="AD41" i="3"/>
  <c r="N58" i="3"/>
  <c r="M59" i="3"/>
  <c r="AD22" i="3"/>
  <c r="L58" i="3"/>
  <c r="AD14" i="3"/>
  <c r="AD28" i="3"/>
  <c r="AD26" i="3"/>
  <c r="AD27" i="3"/>
  <c r="AD71" i="3"/>
  <c r="AD20" i="3"/>
  <c r="AD21" i="3"/>
  <c r="AD29" i="3"/>
  <c r="AD63" i="3"/>
  <c r="L59" i="3"/>
  <c r="AD47" i="3"/>
  <c r="AD76" i="3"/>
  <c r="AD53" i="3"/>
  <c r="AD74" i="3"/>
  <c r="AD68" i="3"/>
  <c r="O69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O39" i="3" s="1"/>
  <c r="AD50" i="3"/>
  <c r="N59" i="3"/>
  <c r="AD17" i="3"/>
  <c r="M33" i="3" l="1"/>
  <c r="O33" i="3"/>
  <c r="L33" i="3"/>
  <c r="N33" i="3"/>
  <c r="O36" i="3"/>
  <c r="O35" i="3"/>
  <c r="O34" i="3"/>
  <c r="L36" i="3"/>
  <c r="M35" i="3"/>
  <c r="P58" i="3"/>
  <c r="J34" i="3"/>
  <c r="AS33" i="3" s="1"/>
  <c r="BL46" i="3" s="1"/>
  <c r="O47" i="3"/>
  <c r="L34" i="3"/>
  <c r="N36" i="3"/>
  <c r="J12" i="3"/>
  <c r="M34" i="3"/>
  <c r="N34" i="3"/>
  <c r="N35" i="3"/>
  <c r="M36" i="3"/>
  <c r="J35" i="3"/>
  <c r="AE84" i="3" s="1"/>
  <c r="AQ84" i="3" s="1"/>
  <c r="L35" i="3"/>
  <c r="J36" i="3"/>
  <c r="N45" i="3"/>
  <c r="L45" i="3"/>
  <c r="M45" i="3"/>
  <c r="J45" i="3"/>
  <c r="AS44" i="3" s="1"/>
  <c r="BL38" i="3" s="1"/>
  <c r="O45" i="3"/>
  <c r="M63" i="3"/>
  <c r="J51" i="3"/>
  <c r="AS50" i="3" s="1"/>
  <c r="BL30" i="3" s="1"/>
  <c r="O65" i="3"/>
  <c r="L63" i="3"/>
  <c r="N63" i="3"/>
  <c r="J63" i="3"/>
  <c r="AS62" i="3" s="1"/>
  <c r="BL58" i="3" s="1"/>
  <c r="BS60" i="3" s="1"/>
  <c r="BZ64" i="3" s="1"/>
  <c r="N27" i="3"/>
  <c r="M39" i="3"/>
  <c r="K59" i="3"/>
  <c r="O21" i="3"/>
  <c r="M9" i="3"/>
  <c r="N9" i="3"/>
  <c r="N54" i="3"/>
  <c r="L40" i="3"/>
  <c r="O12" i="3"/>
  <c r="J71" i="3"/>
  <c r="AE90" i="3" s="1"/>
  <c r="AQ90" i="3" s="1"/>
  <c r="J10" i="3"/>
  <c r="AS9" i="3" s="1"/>
  <c r="BL18" i="3" s="1"/>
  <c r="M11" i="3"/>
  <c r="J11" i="3"/>
  <c r="AE80" i="3" s="1"/>
  <c r="AQ80" i="3" s="1"/>
  <c r="N12" i="3"/>
  <c r="N11" i="3"/>
  <c r="L46" i="3"/>
  <c r="O11" i="3"/>
  <c r="N10" i="3"/>
  <c r="M10" i="3"/>
  <c r="O76" i="3"/>
  <c r="L11" i="3"/>
  <c r="L9" i="3"/>
  <c r="J9" i="3"/>
  <c r="AS8" i="3" s="1"/>
  <c r="BL50" i="3" s="1"/>
  <c r="M12" i="3"/>
  <c r="L12" i="3"/>
  <c r="O10" i="3"/>
  <c r="O9" i="3"/>
  <c r="L10" i="3"/>
  <c r="L70" i="3"/>
  <c r="L18" i="3"/>
  <c r="K58" i="3"/>
  <c r="P59" i="3"/>
  <c r="J30" i="3"/>
  <c r="J29" i="3"/>
  <c r="AE83" i="3" s="1"/>
  <c r="AQ83" i="3" s="1"/>
  <c r="J70" i="3"/>
  <c r="AS69" i="3" s="1"/>
  <c r="BL26" i="3" s="1"/>
  <c r="O24" i="3"/>
  <c r="L17" i="3"/>
  <c r="O18" i="3"/>
  <c r="N16" i="3"/>
  <c r="N51" i="3"/>
  <c r="L30" i="3"/>
  <c r="M18" i="3"/>
  <c r="N30" i="3"/>
  <c r="M28" i="3"/>
  <c r="M21" i="3"/>
  <c r="N18" i="3"/>
  <c r="P57" i="3"/>
  <c r="M17" i="3"/>
  <c r="O16" i="3"/>
  <c r="J27" i="3"/>
  <c r="AS26" i="3" s="1"/>
  <c r="BL34" i="3" s="1"/>
  <c r="M24" i="3"/>
  <c r="N28" i="3"/>
  <c r="N17" i="3"/>
  <c r="J24" i="3"/>
  <c r="J64" i="3"/>
  <c r="AS63" i="3" s="1"/>
  <c r="BL31" i="3" s="1"/>
  <c r="J52" i="3"/>
  <c r="AS51" i="3" s="1"/>
  <c r="BL59" i="3" s="1"/>
  <c r="N40" i="3"/>
  <c r="O27" i="3"/>
  <c r="O22" i="3"/>
  <c r="L16" i="3"/>
  <c r="J65" i="3"/>
  <c r="AE89" i="3" s="1"/>
  <c r="AQ89" i="3" s="1"/>
  <c r="O30" i="3"/>
  <c r="N21" i="3"/>
  <c r="J18" i="3"/>
  <c r="O28" i="3"/>
  <c r="L47" i="3"/>
  <c r="N65" i="3"/>
  <c r="M65" i="3"/>
  <c r="O42" i="3"/>
  <c r="L27" i="3"/>
  <c r="L22" i="3"/>
  <c r="AF88" i="3"/>
  <c r="L23" i="3"/>
  <c r="N24" i="3"/>
  <c r="N64" i="3"/>
  <c r="O54" i="3"/>
  <c r="O78" i="3"/>
  <c r="M64" i="3"/>
  <c r="O48" i="3"/>
  <c r="M27" i="3"/>
  <c r="L24" i="3"/>
  <c r="M16" i="3"/>
  <c r="M29" i="3"/>
  <c r="M22" i="3"/>
  <c r="N46" i="3"/>
  <c r="L28" i="3"/>
  <c r="L65" i="3"/>
  <c r="O29" i="3"/>
  <c r="M70" i="3"/>
  <c r="O64" i="3"/>
  <c r="M46" i="3"/>
  <c r="L29" i="3"/>
  <c r="J16" i="3"/>
  <c r="AS15" i="3" s="1"/>
  <c r="BL19" i="3" s="1"/>
  <c r="N29" i="3"/>
  <c r="J42" i="3"/>
  <c r="L78" i="3"/>
  <c r="L64" i="3"/>
  <c r="O46" i="3"/>
  <c r="M78" i="3"/>
  <c r="L21" i="3"/>
  <c r="L48" i="3"/>
  <c r="O72" i="3"/>
  <c r="M69" i="3"/>
  <c r="M76" i="3"/>
  <c r="M72" i="3"/>
  <c r="M40" i="3"/>
  <c r="M54" i="3"/>
  <c r="L42" i="3"/>
  <c r="L39" i="3"/>
  <c r="M75" i="3"/>
  <c r="J66" i="3"/>
  <c r="M48" i="3"/>
  <c r="J75" i="3"/>
  <c r="AS74" i="3" s="1"/>
  <c r="BL54" i="3" s="1"/>
  <c r="N39" i="3"/>
  <c r="O77" i="3"/>
  <c r="N75" i="3"/>
  <c r="L71" i="3"/>
  <c r="N66" i="3"/>
  <c r="J46" i="3"/>
  <c r="AS45" i="3" s="1"/>
  <c r="BL63" i="3" s="1"/>
  <c r="J39" i="3"/>
  <c r="AS38" i="3" s="1"/>
  <c r="BL22" i="3" s="1"/>
  <c r="O75" i="3"/>
  <c r="L54" i="3"/>
  <c r="O17" i="3"/>
  <c r="J72" i="3"/>
  <c r="N69" i="3"/>
  <c r="N78" i="3"/>
  <c r="L76" i="3"/>
  <c r="N72" i="3"/>
  <c r="L69" i="3"/>
  <c r="L51" i="3"/>
  <c r="M51" i="3"/>
  <c r="N53" i="3"/>
  <c r="J78" i="3"/>
  <c r="L72" i="3"/>
  <c r="M41" i="3"/>
  <c r="N77" i="3"/>
  <c r="N76" i="3"/>
  <c r="O71" i="3"/>
  <c r="M77" i="3"/>
  <c r="N71" i="3"/>
  <c r="N47" i="3"/>
  <c r="O40" i="3"/>
  <c r="J77" i="3"/>
  <c r="AE91" i="3" s="1"/>
  <c r="AQ91" i="3" s="1"/>
  <c r="M71" i="3"/>
  <c r="O66" i="3"/>
  <c r="M47" i="3"/>
  <c r="J28" i="3"/>
  <c r="AS27" i="3" s="1"/>
  <c r="BL62" i="3" s="1"/>
  <c r="BS61" i="3" s="1"/>
  <c r="AT88" i="3"/>
  <c r="AN88" i="3"/>
  <c r="L77" i="3"/>
  <c r="O70" i="3"/>
  <c r="M66" i="3"/>
  <c r="J47" i="3"/>
  <c r="AE86" i="3" s="1"/>
  <c r="AQ86" i="3" s="1"/>
  <c r="J40" i="3"/>
  <c r="AS39" i="3" s="1"/>
  <c r="BL43" i="3" s="1"/>
  <c r="J21" i="3"/>
  <c r="AS20" i="3" s="1"/>
  <c r="BL42" i="3" s="1"/>
  <c r="BS44" i="3" s="1"/>
  <c r="BZ48" i="3" s="1"/>
  <c r="AJ88" i="3"/>
  <c r="K57" i="3"/>
  <c r="J76" i="3"/>
  <c r="AS75" i="3" s="1"/>
  <c r="BL27" i="3" s="1"/>
  <c r="L75" i="3"/>
  <c r="N70" i="3"/>
  <c r="L66" i="3"/>
  <c r="N52" i="3"/>
  <c r="N48" i="3"/>
  <c r="J48" i="3"/>
  <c r="J41" i="3"/>
  <c r="AE85" i="3" s="1"/>
  <c r="AQ85" i="3" s="1"/>
  <c r="M30" i="3"/>
  <c r="O23" i="3"/>
  <c r="J22" i="3"/>
  <c r="AS21" i="3" s="1"/>
  <c r="BL23" i="3" s="1"/>
  <c r="AI88" i="3"/>
  <c r="J69" i="3"/>
  <c r="AS68" i="3" s="1"/>
  <c r="BL70" i="3" s="1"/>
  <c r="O51" i="3"/>
  <c r="M42" i="3"/>
  <c r="N22" i="3"/>
  <c r="L15" i="3"/>
  <c r="AG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0" i="3" l="1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28" i="3"/>
  <c r="P33" i="3"/>
  <c r="P54" i="3"/>
  <c r="K33" i="3"/>
  <c r="K45" i="3"/>
  <c r="K36" i="3"/>
  <c r="P34" i="3"/>
  <c r="P35" i="3"/>
  <c r="K35" i="3"/>
  <c r="K34" i="3"/>
  <c r="AN84" i="3"/>
  <c r="AT84" i="3"/>
  <c r="AJ84" i="3"/>
  <c r="AI84" i="3"/>
  <c r="AL84" i="3"/>
  <c r="AF84" i="3"/>
  <c r="P36" i="3"/>
  <c r="AH84" i="3"/>
  <c r="AG84" i="3"/>
  <c r="P63" i="3"/>
  <c r="P45" i="3"/>
  <c r="K63" i="3"/>
  <c r="AF80" i="3"/>
  <c r="AI83" i="3"/>
  <c r="AL83" i="3"/>
  <c r="K11" i="3"/>
  <c r="AJ83" i="3"/>
  <c r="P39" i="3"/>
  <c r="P12" i="3"/>
  <c r="P9" i="3"/>
  <c r="P10" i="3"/>
  <c r="AL80" i="3"/>
  <c r="AT90" i="3"/>
  <c r="AN90" i="3"/>
  <c r="AN80" i="3"/>
  <c r="AJ80" i="3"/>
  <c r="AT80" i="3"/>
  <c r="AH80" i="3"/>
  <c r="AG80" i="3"/>
  <c r="AI80" i="3"/>
  <c r="K12" i="3"/>
  <c r="AL90" i="3"/>
  <c r="AJ90" i="3"/>
  <c r="AI90" i="3"/>
  <c r="P46" i="3"/>
  <c r="P11" i="3"/>
  <c r="AH90" i="3"/>
  <c r="K9" i="3"/>
  <c r="AG83" i="3"/>
  <c r="AG90" i="3"/>
  <c r="AF83" i="3"/>
  <c r="AF90" i="3"/>
  <c r="K10" i="3"/>
  <c r="AT89" i="3"/>
  <c r="AN89" i="3"/>
  <c r="AN83" i="3"/>
  <c r="P18" i="3"/>
  <c r="P47" i="3"/>
  <c r="P17" i="3"/>
  <c r="AH83" i="3"/>
  <c r="K70" i="3"/>
  <c r="P70" i="3"/>
  <c r="P66" i="3"/>
  <c r="K39" i="3"/>
  <c r="K46" i="3"/>
  <c r="P72" i="3"/>
  <c r="K41" i="3"/>
  <c r="AJ87" i="3"/>
  <c r="K51" i="3"/>
  <c r="K18" i="3"/>
  <c r="AH82" i="3"/>
  <c r="AT83" i="3"/>
  <c r="AH87" i="3"/>
  <c r="K65" i="3"/>
  <c r="P23" i="3"/>
  <c r="K30" i="3"/>
  <c r="AJ82" i="3"/>
  <c r="AI82" i="3"/>
  <c r="AT82" i="3"/>
  <c r="K27" i="3"/>
  <c r="AN82" i="3"/>
  <c r="P77" i="3"/>
  <c r="P64" i="3"/>
  <c r="P30" i="3"/>
  <c r="K42" i="3"/>
  <c r="AG82" i="3"/>
  <c r="K24" i="3"/>
  <c r="AT85" i="3"/>
  <c r="K17" i="3"/>
  <c r="P24" i="3"/>
  <c r="K53" i="3"/>
  <c r="K15" i="3"/>
  <c r="P76" i="3"/>
  <c r="AL87" i="3"/>
  <c r="P51" i="3"/>
  <c r="P71" i="3"/>
  <c r="P21" i="3"/>
  <c r="AG89" i="3"/>
  <c r="P15" i="3"/>
  <c r="K47" i="3"/>
  <c r="K76" i="3"/>
  <c r="K78" i="3"/>
  <c r="P22" i="3"/>
  <c r="AJ89" i="3"/>
  <c r="AH89" i="3"/>
  <c r="P16" i="3"/>
  <c r="P42" i="3"/>
  <c r="P65" i="3"/>
  <c r="P41" i="3"/>
  <c r="K40" i="3"/>
  <c r="K29" i="3"/>
  <c r="AL89" i="3"/>
  <c r="P69" i="3"/>
  <c r="AF89" i="3"/>
  <c r="K71" i="3"/>
  <c r="K75" i="3"/>
  <c r="K54" i="3"/>
  <c r="K66" i="3"/>
  <c r="P78" i="3"/>
  <c r="K64" i="3"/>
  <c r="K77" i="3"/>
  <c r="K22" i="3"/>
  <c r="P75" i="3"/>
  <c r="K72" i="3"/>
  <c r="K21" i="3"/>
  <c r="P29" i="3"/>
  <c r="K48" i="3"/>
  <c r="P27" i="3"/>
  <c r="P40" i="3"/>
  <c r="AG87" i="3"/>
  <c r="AF87" i="3"/>
  <c r="K23" i="3"/>
  <c r="K16" i="3"/>
  <c r="K28" i="3"/>
  <c r="AG86" i="3"/>
  <c r="AF86" i="3"/>
  <c r="AI89" i="3"/>
  <c r="AN81" i="3"/>
  <c r="AL81" i="3"/>
  <c r="AT91" i="3"/>
  <c r="AT81" i="3"/>
  <c r="AJ81" i="3"/>
  <c r="AI81" i="3"/>
  <c r="AN91" i="3"/>
  <c r="AH81" i="3"/>
  <c r="AN85" i="3"/>
  <c r="AL91" i="3"/>
  <c r="AG81" i="3"/>
  <c r="AF82" i="3"/>
  <c r="AL85" i="3"/>
  <c r="AT86" i="3"/>
  <c r="P48" i="3"/>
  <c r="AJ91" i="3"/>
  <c r="AF81" i="3"/>
  <c r="AJ85" i="3"/>
  <c r="AN86" i="3"/>
  <c r="AI91" i="3"/>
  <c r="AI85" i="3"/>
  <c r="AL86" i="3"/>
  <c r="K69" i="3"/>
  <c r="AH91" i="3"/>
  <c r="AH85" i="3"/>
  <c r="AJ86" i="3"/>
  <c r="AG91" i="3"/>
  <c r="AG85" i="3"/>
  <c r="AI86" i="3"/>
  <c r="AT87" i="3"/>
  <c r="AF91" i="3"/>
  <c r="P52" i="3"/>
  <c r="AF85" i="3"/>
  <c r="AH86" i="3"/>
  <c r="AN87" i="3"/>
  <c r="P53" i="3"/>
  <c r="AL82" i="3"/>
  <c r="AI87" i="3"/>
  <c r="K5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N92" i="3"/>
  <c r="AH92" i="3"/>
  <c r="AJ92" i="3"/>
  <c r="AF92" i="3"/>
  <c r="AG92" i="3"/>
  <c r="AS92" i="3"/>
  <c r="AI92" i="3"/>
  <c r="AL92" i="3"/>
  <c r="AM88" i="3" s="1"/>
  <c r="S103" i="3" l="1"/>
  <c r="T103" i="3" s="1" a="1"/>
  <c r="T103" i="3" s="1"/>
  <c r="CG24" i="3"/>
  <c r="S111" i="3" s="1"/>
  <c r="T111" i="3" s="1"/>
  <c r="AM80" i="3"/>
  <c r="AM89" i="3"/>
  <c r="AM90" i="3"/>
  <c r="AM82" i="3"/>
  <c r="AM91" i="3"/>
  <c r="AM83" i="3"/>
  <c r="AM85" i="3"/>
  <c r="AM86" i="3"/>
  <c r="AM87" i="3"/>
  <c r="AM81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1" i="3"/>
  <c r="AP80" i="3"/>
  <c r="AP85" i="3"/>
  <c r="AP91" i="3"/>
  <c r="AP83" i="3"/>
  <c r="AP82" i="3"/>
  <c r="AP88" i="3"/>
  <c r="AP90" i="3"/>
  <c r="AP89" i="3"/>
  <c r="AP86" i="3"/>
  <c r="CN37" i="3" l="1"/>
  <c r="CK68" i="3" s="1"/>
  <c r="CN48" i="3"/>
  <c r="AD87" i="3"/>
  <c r="AS87" i="3" s="1"/>
  <c r="AD82" i="3"/>
  <c r="AS82" i="3" s="1"/>
  <c r="AD83" i="3"/>
  <c r="AS83" i="3" s="1"/>
  <c r="AD91" i="3"/>
  <c r="AS91" i="3" s="1"/>
  <c r="AD85" i="3"/>
  <c r="AS85" i="3" s="1"/>
  <c r="AD80" i="3"/>
  <c r="AS80" i="3" s="1"/>
  <c r="AD88" i="3"/>
  <c r="AS88" i="3" s="1"/>
  <c r="AD90" i="3"/>
  <c r="AS90" i="3" s="1"/>
  <c r="AD84" i="3"/>
  <c r="AS84" i="3" s="1"/>
  <c r="AD86" i="3"/>
  <c r="AS86" i="3" s="1"/>
  <c r="AD89" i="3"/>
  <c r="AS89" i="3" s="1"/>
  <c r="AD81" i="3"/>
  <c r="AS81" i="3" s="1"/>
  <c r="O81" i="3" l="1"/>
  <c r="N81" i="3"/>
  <c r="M81" i="3"/>
  <c r="M86" i="3"/>
  <c r="O83" i="3"/>
  <c r="M83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7" i="3"/>
  <c r="N86" i="3"/>
  <c r="N87" i="3"/>
  <c r="L81" i="3"/>
  <c r="J90" i="3"/>
  <c r="N90" i="3"/>
  <c r="N92" i="3"/>
  <c r="J88" i="3"/>
  <c r="J86" i="3"/>
  <c r="J84" i="3"/>
  <c r="N88" i="3"/>
  <c r="L92" i="3"/>
  <c r="M87" i="3"/>
  <c r="O89" i="3"/>
  <c r="L83" i="3"/>
  <c r="M88" i="3"/>
  <c r="M82" i="3"/>
  <c r="O91" i="3"/>
  <c r="J82" i="3"/>
  <c r="M84" i="3"/>
  <c r="J81" i="3"/>
  <c r="N82" i="3"/>
  <c r="O85" i="3"/>
  <c r="N89" i="3"/>
  <c r="N84" i="3"/>
  <c r="M89" i="3"/>
  <c r="L89" i="3"/>
  <c r="N91" i="3"/>
  <c r="L86" i="3"/>
  <c r="L90" i="3"/>
  <c r="L84" i="3"/>
  <c r="J91" i="3"/>
  <c r="M90" i="3"/>
  <c r="M91" i="3"/>
  <c r="N85" i="3"/>
  <c r="O82" i="3"/>
  <c r="J92" i="3"/>
  <c r="N83" i="3"/>
  <c r="J85" i="3"/>
  <c r="O86" i="3"/>
  <c r="J87" i="3"/>
  <c r="L88" i="3"/>
  <c r="O84" i="3"/>
  <c r="O92" i="3"/>
  <c r="L91" i="3"/>
  <c r="L85" i="3"/>
  <c r="L82" i="3"/>
  <c r="J83" i="3"/>
  <c r="M92" i="3"/>
  <c r="J89" i="3"/>
  <c r="O88" i="3"/>
  <c r="L87" i="3"/>
  <c r="O90" i="3"/>
  <c r="M85" i="3"/>
  <c r="P86" i="3" l="1"/>
  <c r="P83" i="3"/>
  <c r="P85" i="3"/>
  <c r="P81" i="3"/>
  <c r="K92" i="3"/>
  <c r="D3" i="4"/>
  <c r="BL51" i="3" s="1"/>
  <c r="B3" i="4"/>
  <c r="G3" i="4"/>
  <c r="BL11" i="3" s="1"/>
  <c r="K90" i="3"/>
  <c r="I3" i="4"/>
  <c r="BL15" i="3" s="1"/>
  <c r="H3" i="4"/>
  <c r="BL39" i="3" s="1"/>
  <c r="E3" i="4"/>
  <c r="BL67" i="3" s="1"/>
  <c r="BS68" i="3" s="1"/>
  <c r="J3" i="4"/>
  <c r="BL71" i="3" s="1"/>
  <c r="P92" i="3"/>
  <c r="K89" i="3"/>
  <c r="K91" i="3"/>
  <c r="P84" i="3"/>
  <c r="K81" i="3"/>
  <c r="K3" i="4"/>
  <c r="BL55" i="3" s="1"/>
  <c r="K88" i="3"/>
  <c r="K84" i="3"/>
  <c r="P89" i="3"/>
  <c r="K87" i="3"/>
  <c r="K83" i="3"/>
  <c r="K86" i="3"/>
  <c r="P87" i="3"/>
  <c r="K82" i="3"/>
  <c r="P90" i="3"/>
  <c r="P82" i="3"/>
  <c r="K85" i="3"/>
  <c r="P88" i="3"/>
  <c r="P91" i="3"/>
  <c r="BS53" i="3"/>
  <c r="BS52" i="3"/>
  <c r="BS69" i="3"/>
  <c r="BZ65" i="3" s="1"/>
  <c r="CG56" i="3" s="1"/>
  <c r="CN49" i="3" s="1"/>
  <c r="BZ49" i="3" l="1"/>
  <c r="CG55" i="3" s="1"/>
  <c r="CN38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<sst xmlns="http://schemas.openxmlformats.org/spreadsheetml/2006/main" count="9785" uniqueCount="3699">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</sst>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G45" zoomScaleNormal="100" workbookViewId="0">
      <selection activeCell="CP38" sqref="CP38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5</v>
      </c>
      <c r="AL8" s="123">
        <f>AI8-AJ8</f>
        <v>1</v>
      </c>
      <c r="AM8" s="123">
        <f>AL8-AL12</f>
        <v>3</v>
      </c>
      <c r="AN8" s="123">
        <f>AF8*3+AG8</f>
        <v>5</v>
      </c>
      <c r="AO8" s="123">
        <f>AN8/AN12*10+BA8</f>
        <v>9.3139784946236563</v>
      </c>
      <c r="AP8" s="123">
        <f>AO8*10000000+BI8*100+AM8/AM12*10+AI8/AI12*1++IF(AQ8=0,ROW(),AQ8)/2000000</f>
        <v>93139891.261593208</v>
      </c>
      <c r="AQ8" s="126">
        <f>VLOOKUP(AE8,db_fifarank,2,FALSE)</f>
        <v>1681.03</v>
      </c>
      <c r="AR8" s="125">
        <f>AP8/AP12</f>
        <v>0.99999998792189049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50.666666666666664</v>
      </c>
      <c r="BA8" s="126">
        <f>AZ8/AZ12</f>
        <v>0.98064516129032253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50.666666666666664</v>
      </c>
      <c r="BI8" s="126">
        <f>BH8/BH12</f>
        <v>0.98064516129032253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7 - 6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6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1.6666666666666665</v>
      </c>
      <c r="AP9" s="123">
        <f>AO9*10000000+BI9*100+AM9/AM12*10+AI9/AI12*1++IF(AQ9=0,ROW(),AQ9)/2000000</f>
        <v>16666667.167381531</v>
      </c>
      <c r="AQ9" s="126">
        <f>VLOOKUP(AE9,db_fifarank,2,FALSE)</f>
        <v>1429.73</v>
      </c>
      <c r="AR9" s="125">
        <f>AP9/AP12</f>
        <v>0.17894230646318457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6 - 5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1</v>
      </c>
      <c r="V10" s="123">
        <f t="shared" si="3"/>
        <v>2</v>
      </c>
      <c r="W10" s="123">
        <f t="shared" si="4"/>
        <v>1</v>
      </c>
      <c r="X10" s="123">
        <f t="shared" si="9"/>
        <v>1</v>
      </c>
      <c r="Y10" s="123">
        <f t="shared" si="10"/>
        <v>2</v>
      </c>
      <c r="Z10" s="123">
        <f t="shared" si="11"/>
        <v>1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7</v>
      </c>
      <c r="AJ10" s="123">
        <f>SUMIF($E$7:$E$78,$AE10,$G$7:$G$78) + SUMIF($H$7:$H$78,$AE10,$F$7:$F$78)</f>
        <v>6</v>
      </c>
      <c r="AL10" s="123">
        <f>AI10-AJ10</f>
        <v>1</v>
      </c>
      <c r="AM10" s="123">
        <f>AL10-AL12</f>
        <v>3</v>
      </c>
      <c r="AN10" s="123">
        <f>AF10*3+AG10</f>
        <v>5</v>
      </c>
      <c r="AO10" s="123">
        <f>AN10/AN12*10+BA10</f>
        <v>9.3139784946236563</v>
      </c>
      <c r="AP10" s="123">
        <f>AO10*10000000+BI10*100+AM10/AM12*10+AI10/AI12*1++IF(AQ10=0,ROW(),AQ10)/2000000</f>
        <v>93139891.386547029</v>
      </c>
      <c r="AQ10" s="126">
        <f>VLOOKUP(AE10,db_fifarank,2,FALSE)</f>
        <v>1588.66</v>
      </c>
      <c r="AR10" s="125">
        <f>AP10/AP12</f>
        <v>0.9999999892634619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50.666666666666664</v>
      </c>
      <c r="BA10" s="126">
        <f>AZ10/AZ12</f>
        <v>0.98064516129032253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50.666666666666664</v>
      </c>
      <c r="BI10" s="126">
        <f>BH10/BH12</f>
        <v>0.98064516129032253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5 - 5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5</v>
      </c>
      <c r="AL11" s="123">
        <f>AI11-AJ11</f>
        <v>0</v>
      </c>
      <c r="AM11" s="123">
        <f>AL11-AL12</f>
        <v>2</v>
      </c>
      <c r="AN11" s="123">
        <f>AF11*3+AG11</f>
        <v>3</v>
      </c>
      <c r="AO11" s="123">
        <f>AN11/AN12*10+BA11</f>
        <v>5</v>
      </c>
      <c r="AP11" s="123">
        <f>AO11*10000000+BI11*100+AM11/AM12*10+AI11/AI12*1++IF(AQ11=0,ROW(),AQ11)/2000000</f>
        <v>50000005.625750691</v>
      </c>
      <c r="AQ11" s="126">
        <f>VLOOKUP(AE11,db_fifarank,2,FALSE)</f>
        <v>1501.38</v>
      </c>
      <c r="AR11" s="125">
        <f>AP11/AP12</f>
        <v>0.53682696366280758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Turkey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3</v>
      </c>
      <c r="AI12" s="123">
        <f>MAX(AI8:AI11)+1</f>
        <v>8</v>
      </c>
      <c r="AL12" s="123">
        <f>MIN(AL8:AL11)</f>
        <v>-2</v>
      </c>
      <c r="AM12" s="123">
        <f>MAX(AM8:AM11)+1</f>
        <v>4</v>
      </c>
      <c r="AN12" s="123">
        <f>MAX(AN8:AN11)+1</f>
        <v>6</v>
      </c>
      <c r="AO12" s="123">
        <f>MAX(AO8:AO11)+1</f>
        <v>10.313978494623656</v>
      </c>
      <c r="AP12" s="123">
        <f>MAX(AP8:AP11)+1</f>
        <v>93139892.386547029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>
        <v>0</v>
      </c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>
        <v>2</v>
      </c>
      <c r="BV13" s="27"/>
      <c r="BW13" s="113">
        <f>IF(BW12="","",BT13*1000+BU13*10+BV13)</f>
        <v>2020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5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87500009.000778243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5</v>
      </c>
      <c r="AL15" s="123">
        <f>AI15-AJ15</f>
        <v>0</v>
      </c>
      <c r="AM15" s="123">
        <f>AL15-AL18</f>
        <v>3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50000005.834026255</v>
      </c>
      <c r="AQ15" s="126">
        <f>VLOOKUP(AE15,db_fifarank,2,FALSE)</f>
        <v>1385.84</v>
      </c>
      <c r="AR15" s="125">
        <f>AP15/AP18</f>
        <v>0.57142857279195214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5 - 4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0.33406081333333332</v>
      </c>
      <c r="AQ16" s="126">
        <f>VLOOKUP(AE16,db_fifarank,2,FALSE)</f>
        <v>1454.96</v>
      </c>
      <c r="AR16" s="125">
        <f>AP16/AP18</f>
        <v>3.8178374303084321E-9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5 - 5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4</v>
      </c>
      <c r="AL17" s="123">
        <f>AI17-AJ17</f>
        <v>1</v>
      </c>
      <c r="AM17" s="123">
        <f>AL17-AL18</f>
        <v>4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62500007.500824697</v>
      </c>
      <c r="AQ17" s="126">
        <f>VLOOKUP(AE17,db_fifarank,2,FALSE)</f>
        <v>1649.4</v>
      </c>
      <c r="AR17" s="125">
        <f>AP17/AP18</f>
        <v>0.71428571837041854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-3</v>
      </c>
      <c r="AM18" s="123">
        <f>MAX(AM14:AM17)+1</f>
        <v>6</v>
      </c>
      <c r="AN18" s="123">
        <f>MAX(AN14:AN17)+1</f>
        <v>8</v>
      </c>
      <c r="AO18" s="123">
        <f>MAX(AO14:AO17)+1</f>
        <v>9.75</v>
      </c>
      <c r="AP18" s="123">
        <f>MAX(AP14:AP17)+1</f>
        <v>87500010.000778243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2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2010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>
        <v>0</v>
      </c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19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90000010.417547256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4</v>
      </c>
      <c r="AL21" s="123">
        <f>AI21-AJ21</f>
        <v>5</v>
      </c>
      <c r="AM21" s="123">
        <f>AL21-AL24</f>
        <v>16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60000008.750877932</v>
      </c>
      <c r="AQ21" s="126">
        <f>VLOOKUP(AE21,db_fifarank,2,FALSE)</f>
        <v>1755.87</v>
      </c>
      <c r="AR21" s="125">
        <f>AP21/AP24</f>
        <v>0.66666667932421797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9 - 4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12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8.3979188333333329E-2</v>
      </c>
      <c r="AQ22" s="126">
        <f>VLOOKUP(AE22,db_fifarank,2,FALSE)</f>
        <v>1291.71</v>
      </c>
      <c r="AR22" s="125">
        <f>AP22/AP24</f>
        <v>9.3310197421774938E-10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2010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30000004.834082507</v>
      </c>
      <c r="AQ23" s="126">
        <f>VLOOKUP(AE23,db_fifarank,2,FALSE)</f>
        <v>1498.35</v>
      </c>
      <c r="AR23" s="125">
        <f>AP23/AP24</f>
        <v>0.33333334475814769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0</v>
      </c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-11</v>
      </c>
      <c r="AM24" s="123">
        <f>MAX(AM20:AM23)+1</f>
        <v>20</v>
      </c>
      <c r="AN24" s="123">
        <f>MAX(AN20:AN23)+1</f>
        <v>10</v>
      </c>
      <c r="AO24" s="123">
        <f>MAX(AO20:AO23)+1</f>
        <v>10</v>
      </c>
      <c r="AP24" s="123">
        <f>MAX(AP20:AP23)+1</f>
        <v>90000011.417547256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5</v>
      </c>
      <c r="AL26" s="123">
        <f>AI26-AJ26</f>
        <v>0</v>
      </c>
      <c r="AM26" s="123">
        <f>AL26-AL30</f>
        <v>0</v>
      </c>
      <c r="AN26" s="123">
        <f>AF26*3+AG26</f>
        <v>4</v>
      </c>
      <c r="AO26" s="123">
        <f>AN26/AN30*10+BA26</f>
        <v>8.9980069755854508</v>
      </c>
      <c r="AP26" s="123">
        <f>AO26*10000000+BI26*100+AM26/AM30*10+AI26/AI30*1++IF(AQ26=0,ROW(),AQ26)/2000000</f>
        <v>89980170.182388633</v>
      </c>
      <c r="AQ26" s="126">
        <f>VLOOKUP(AE26,db_fifarank,2,FALSE)</f>
        <v>1673.13</v>
      </c>
      <c r="AR26" s="125">
        <f>AP26/AP30</f>
        <v>0.99999998749818808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1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3</v>
      </c>
      <c r="AW26" s="126" cm="1">
        <f t="array" ref="AW26">SUMPRODUCT(($E$7:$E$78=AE26)*($U$7:$U$78)*($G$7:$G$78))+SUMPRODUCT(($H$7:$H$78=AE26)*($U$7:$U$78)*($F$7:$F$78))</f>
        <v>3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500.75</v>
      </c>
      <c r="BA26" s="126">
        <f>AZ26/AZ30</f>
        <v>0.99800697558545093</v>
      </c>
      <c r="BB26" s="126" cm="1">
        <f t="array" ref="BB26">SUMPRODUCT(($S$7:$S$78=AE26&amp;"_win")*($X$7:$X$78))+SUMPRODUCT(($T$7:$T$78=AE26&amp;"_win")*($X$7:$X$78))</f>
        <v>1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3</v>
      </c>
      <c r="BE26" s="126" cm="1">
        <f t="array" ref="BE26">SUMPRODUCT(($E$7:$E$78=AE26)*($X$7:$X$78)*($G$7:$G$78))+SUMPRODUCT(($H$7:$H$78=AE26)*($X$7:$X$78)*($F$7:$F$78))</f>
        <v>3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500.75</v>
      </c>
      <c r="BI26" s="126">
        <f>BH26/BH30</f>
        <v>0.99800697558545093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1</v>
      </c>
      <c r="M27" s="31">
        <f>VLOOKUP(1,AD26:AN29,4,FALSE)</f>
        <v>1</v>
      </c>
      <c r="N27" s="31">
        <f>VLOOKUP(1,AD26:AN29,5,FALSE)</f>
        <v>1</v>
      </c>
      <c r="O27" s="31" t="str">
        <f>VLOOKUP(1,AD26:AN29,6,FALSE) &amp; " - " &amp; VLOOKUP(1,AD26:AN29,7,FALSE)</f>
        <v>6 - 6</v>
      </c>
      <c r="P27" s="32">
        <f>L27*3+M27</f>
        <v>4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2</v>
      </c>
      <c r="W27" s="123">
        <f t="shared" si="4"/>
        <v>2</v>
      </c>
      <c r="X27" s="123">
        <f t="shared" si="9"/>
        <v>1</v>
      </c>
      <c r="Y27" s="123">
        <f t="shared" si="10"/>
        <v>2</v>
      </c>
      <c r="Z27" s="123">
        <f t="shared" si="11"/>
        <v>2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6</v>
      </c>
      <c r="AL27" s="123">
        <f>AI27-AJ27</f>
        <v>0</v>
      </c>
      <c r="AM27" s="123">
        <f>AL27-AL30</f>
        <v>0</v>
      </c>
      <c r="AN27" s="123">
        <f>AF27*3+AG27</f>
        <v>4</v>
      </c>
      <c r="AO27" s="123">
        <f>AN27/AN30*10+BA27</f>
        <v>8.9980069755854508</v>
      </c>
      <c r="AP27" s="123">
        <f>AO27*10000000+BI27*100+AM27/AM30*10+AI27/AI30*1++IF(AQ27=0,ROW(),AQ27)/2000000</f>
        <v>89980170.307303816</v>
      </c>
      <c r="AQ27" s="126">
        <f>VLOOKUP(AE27,db_fifarank,2,FALSE)</f>
        <v>1503.5</v>
      </c>
      <c r="AR27" s="125">
        <f>AP27/AP30</f>
        <v>0.99999998888644037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3</v>
      </c>
      <c r="AW27" s="126" cm="1">
        <f t="array" ref="AW27">SUMPRODUCT(($E$7:$E$78=AE27)*($U$7:$U$78)*($G$7:$G$78))+SUMPRODUCT(($H$7:$H$78=AE27)*($U$7:$U$78)*($F$7:$F$78))</f>
        <v>3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500.75</v>
      </c>
      <c r="BA27" s="126">
        <f>AZ27/AZ30</f>
        <v>0.99800697558545093</v>
      </c>
      <c r="BB27" s="126" cm="1">
        <f t="array" ref="BB27">SUMPRODUCT(($S$7:$S$78=AE27&amp;"_win")*($X$7:$X$78))+SUMPRODUCT(($T$7:$T$78=AE27&amp;"_win")*($X$7:$X$78))</f>
        <v>1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3</v>
      </c>
      <c r="BE27" s="126" cm="1">
        <f t="array" ref="BE27">SUMPRODUCT(($E$7:$E$78=AE27)*($X$7:$X$78)*($G$7:$G$78))+SUMPRODUCT(($H$7:$H$78=AE27)*($X$7:$X$78)*($F$7:$F$78))</f>
        <v>3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500.75</v>
      </c>
      <c r="BI27" s="126">
        <f>BH27/BH30</f>
        <v>0.99800697558545093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5 - 5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7</v>
      </c>
      <c r="AJ28" s="123">
        <f>SUMIF($E$7:$E$78,$AE28,$G$7:$G$78) + SUMIF($H$7:$H$78,$AE28,$F$7:$F$78)</f>
        <v>7</v>
      </c>
      <c r="AL28" s="123">
        <f>AI28-AJ28</f>
        <v>0</v>
      </c>
      <c r="AM28" s="123">
        <f>AL28-AL30</f>
        <v>0</v>
      </c>
      <c r="AN28" s="123">
        <f>AF28*3+AG28</f>
        <v>3</v>
      </c>
      <c r="AO28" s="123">
        <f>AN28/AN30*10+BA28</f>
        <v>6</v>
      </c>
      <c r="AP28" s="123">
        <f>AO28*10000000+BI28*100+AM28/AM30*10+AI28/AI30*1++IF(AQ28=0,ROW(),AQ28)/2000000</f>
        <v>60000000.875790335</v>
      </c>
      <c r="AQ28" s="126">
        <f>VLOOKUP(AE28,db_fifarank,2,FALSE)</f>
        <v>1580.67</v>
      </c>
      <c r="AR28" s="125">
        <f>AP28/AP30</f>
        <v>0.66681358797235424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6</v>
      </c>
      <c r="G29" s="20">
        <v>1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5 - 5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5</v>
      </c>
      <c r="AL29" s="123">
        <f>AI29-AJ29</f>
        <v>0</v>
      </c>
      <c r="AM29" s="123">
        <f>AL29-AL30</f>
        <v>0</v>
      </c>
      <c r="AN29" s="123">
        <f>AF29*3+AG29</f>
        <v>4</v>
      </c>
      <c r="AO29" s="123">
        <f>AN29/AN30*10+BA29</f>
        <v>8.9980069755854508</v>
      </c>
      <c r="AP29" s="123">
        <f>AO29*10000000+BI29*100+AM29/AM30*10+AI29/AI30*1++IF(AQ29=0,ROW(),AQ29)/2000000</f>
        <v>89980170.182351589</v>
      </c>
      <c r="AQ29" s="126">
        <f>VLOOKUP(AE29,db_fifarank,2,FALSE)</f>
        <v>1599.04</v>
      </c>
      <c r="AR29" s="125">
        <f>AP29/AP30</f>
        <v>0.9999999874977763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3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500.75</v>
      </c>
      <c r="BA29" s="126">
        <f>AZ29/AZ30</f>
        <v>0.99800697558545093</v>
      </c>
      <c r="BB29" s="126" cm="1">
        <f t="array" ref="BB29">SUMPRODUCT(($S$7:$S$78=AE29&amp;"_win")*($X$7:$X$78))+SUMPRODUCT(($T$7:$T$78=AE29&amp;"_win")*($X$7:$X$78))</f>
        <v>1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3</v>
      </c>
      <c r="BE29" s="126" cm="1">
        <f t="array" ref="BE29">SUMPRODUCT(($E$7:$E$78=AE29)*($X$7:$X$78)*($G$7:$G$78))+SUMPRODUCT(($H$7:$H$78=AE29)*($X$7:$X$78)*($F$7:$F$78))</f>
        <v>3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500.75</v>
      </c>
      <c r="BI29" s="126">
        <f>BH29/BH30</f>
        <v>0.99800697558545093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3</v>
      </c>
      <c r="N30" s="36">
        <f>VLOOKUP(4,AD26:AN29,5,FALSE)</f>
        <v>0</v>
      </c>
      <c r="O30" s="36" t="str">
        <f>VLOOKUP(4,AD26:AN29,6,FALSE) &amp; " - " &amp; VLOOKUP(4,AD26:AN29,7,FALSE)</f>
        <v>7 - 7</v>
      </c>
      <c r="P30" s="37">
        <f>L30*3+M30</f>
        <v>3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2</v>
      </c>
      <c r="AI30" s="123">
        <f>MAX(AI26:AI29)+1</f>
        <v>8</v>
      </c>
      <c r="AL30" s="123">
        <f>MIN(AL26:AL29)</f>
        <v>0</v>
      </c>
      <c r="AM30" s="123">
        <f>MAX(AM26:AM29)+1</f>
        <v>1</v>
      </c>
      <c r="AN30" s="123">
        <f>MAX(AN26:AN29)+1</f>
        <v>5</v>
      </c>
      <c r="AO30" s="123">
        <f>MAX(AO26:AO29)+1</f>
        <v>9.9980069755854508</v>
      </c>
      <c r="AP30" s="123">
        <f>MAX(AP26:AP29)+1</f>
        <v>89980171.307303816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4</v>
      </c>
      <c r="AW30" s="126">
        <f>MAX(AW26:AW29)-MIN(AW26:AW29)+1</f>
        <v>4</v>
      </c>
      <c r="AY30" s="126">
        <f>MAX(AY26:AY29)-MIN(AY26:AY29)+1</f>
        <v>1</v>
      </c>
      <c r="AZ30" s="126">
        <f>MAX(AZ26:AZ29)+1</f>
        <v>501.75</v>
      </c>
      <c r="BB30" s="126">
        <f>MAX(BB26:BB29)-MIN(BB26:BB29)+1</f>
        <v>2</v>
      </c>
      <c r="BC30" s="126">
        <f>MAX(BC26:BC29)-MIN(BC26:BC29)+1</f>
        <v>1</v>
      </c>
      <c r="BD30" s="126">
        <f>MAX(BD26:BD29)-MIN(BD26:BD29)+1</f>
        <v>4</v>
      </c>
      <c r="BE30" s="126">
        <f>MAX(BE26:BE29)-MIN(BE26:BE29)+1</f>
        <v>4</v>
      </c>
      <c r="BG30" s="126">
        <f>MAX(BG26:BG29)-MIN(BG26:BG29)+1</f>
        <v>1</v>
      </c>
      <c r="BH30" s="126">
        <f>MAX(BH26:BH29)+1</f>
        <v>501.75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3</v>
      </c>
      <c r="AL32" s="123">
        <f>AI32-AJ32</f>
        <v>9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90000010.368386567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12 - 3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7.7570401923076931E-2</v>
      </c>
      <c r="AQ33" s="126">
        <f>VLOOKUP(AE33,db_fifarank,2,FALSE)</f>
        <v>1294.6500000000001</v>
      </c>
      <c r="AR33" s="125">
        <f>AP33/AP36</f>
        <v>8.6189324583045923E-10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Czech Republic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6 - 6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2</v>
      </c>
      <c r="W34" s="123">
        <f t="shared" si="4"/>
        <v>2</v>
      </c>
      <c r="X34" s="123">
        <f t="shared" si="9"/>
        <v>1</v>
      </c>
      <c r="Y34" s="123">
        <f t="shared" si="10"/>
        <v>2</v>
      </c>
      <c r="Z34" s="123">
        <f t="shared" si="11"/>
        <v>2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6</v>
      </c>
      <c r="AL34" s="123">
        <f>AI34-AJ34</f>
        <v>0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49805928.207720272</v>
      </c>
      <c r="AQ34" s="126">
        <f>VLOOKUP(AE34,db_fifarank,2,FALSE)</f>
        <v>1532.98</v>
      </c>
      <c r="AR34" s="125">
        <f>AP34/AP36</f>
        <v>0.5533991324051668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Paraguay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4 - 5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5</v>
      </c>
      <c r="AL35" s="123">
        <f>AI35-AJ35</f>
        <v>-1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49805927.498349451</v>
      </c>
      <c r="AQ35" s="126">
        <f>VLOOKUP(AE35,db_fifarank,2,FALSE)</f>
        <v>1594.78</v>
      </c>
      <c r="AR35" s="125">
        <f>AP35/AP36</f>
        <v>0.55339912452326978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13</v>
      </c>
      <c r="AL36" s="123">
        <f>MIN(AL32:AL35)</f>
        <v>-8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90000011.368386567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Czech Republic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1</v>
      </c>
      <c r="V38" s="123">
        <f t="shared" si="3"/>
        <v>1</v>
      </c>
      <c r="W38" s="123">
        <f t="shared" si="4"/>
        <v>2</v>
      </c>
      <c r="X38" s="123">
        <f t="shared" si="9"/>
        <v>1</v>
      </c>
      <c r="Y38" s="123">
        <f t="shared" si="10"/>
        <v>1</v>
      </c>
      <c r="Z38" s="123">
        <f t="shared" si="11"/>
        <v>2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3</v>
      </c>
      <c r="AL38" s="123">
        <f>AI38-AJ38</f>
        <v>6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90000009.900878936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2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40000002.400830217</v>
      </c>
      <c r="AQ39" s="126">
        <f>VLOOKUP(AE39,db_fifarank,2,FALSE)</f>
        <v>1660.43</v>
      </c>
      <c r="AR39" s="125">
        <f>AP39/AP42</f>
        <v>0.4444444172888381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4 - 5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6</v>
      </c>
      <c r="AL40" s="123">
        <f>AI40-AJ40</f>
        <v>-2</v>
      </c>
      <c r="AM40" s="123">
        <f>AL40-AL42</f>
        <v>1</v>
      </c>
      <c r="AN40" s="123">
        <f>AF40*3+AG40</f>
        <v>1</v>
      </c>
      <c r="AO40" s="123">
        <f>AN40/AN42*10+BA40</f>
        <v>1</v>
      </c>
      <c r="AP40" s="123">
        <f>AO40*10000000+BI40*100+AM40/AM42*10+AI40/AI42*1++IF(AQ40=0,ROW(),AQ40)/2000000</f>
        <v>10000001.400757385</v>
      </c>
      <c r="AQ40" s="126">
        <f>VLOOKUP(AE40,db_fifarank,2,FALSE)</f>
        <v>1514.77</v>
      </c>
      <c r="AR40" s="125">
        <f>AP40/AP42</f>
        <v>0.11111111321720657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4 - 7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7</v>
      </c>
      <c r="AL41" s="123">
        <f>AI41-AJ41</f>
        <v>-3</v>
      </c>
      <c r="AM41" s="123">
        <f>AL41-AL42</f>
        <v>0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20000000.400741525</v>
      </c>
      <c r="AQ41" s="126">
        <f>VLOOKUP(AE41,db_fifarank,2,FALSE)</f>
        <v>1483.05</v>
      </c>
      <c r="AR41" s="125">
        <f>AP41/AP42</f>
        <v>0.22222219975915811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4 - 6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10</v>
      </c>
      <c r="AL42" s="123">
        <f>MIN(AL38:AL41)</f>
        <v>-3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90000010.900878936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3</v>
      </c>
      <c r="AL44" s="123">
        <f>AI44-AJ44</f>
        <v>3</v>
      </c>
      <c r="AM44" s="123">
        <f>AL44-AL48</f>
        <v>8</v>
      </c>
      <c r="AN44" s="123">
        <f>AF44*3+AG44</f>
        <v>7</v>
      </c>
      <c r="AO44" s="123">
        <f>AN44/AN48*10+BA44</f>
        <v>9.7401960784313726</v>
      </c>
      <c r="AP44" s="123">
        <f>AO44*10000000+BI44*100+AM44/AM48*10+AI44/AI48*1++IF(AQ44=0,ROW(),AQ44)/2000000</f>
        <v>97402067.744182855</v>
      </c>
      <c r="AQ44" s="126">
        <f>VLOOKUP(AE44,db_fifarank,2,FALSE)</f>
        <v>1734.71</v>
      </c>
      <c r="AR44" s="125">
        <f>AP44/AP48</f>
        <v>0.99999996878589648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0.99019607843137258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0.99019607843137258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8</v>
      </c>
      <c r="AJ45" s="123">
        <f>SUMIF($E$7:$E$78,$AE45,$G$7:$G$78) + SUMIF($H$7:$H$78,$AE45,$F$7:$F$78)</f>
        <v>3</v>
      </c>
      <c r="AL45" s="123">
        <f>AI45-AJ45</f>
        <v>5</v>
      </c>
      <c r="AM45" s="123">
        <f>AL45-AL48</f>
        <v>10</v>
      </c>
      <c r="AN45" s="123">
        <f>AF45*3+AG45</f>
        <v>7</v>
      </c>
      <c r="AO45" s="123">
        <f>AN45/AN48*10+BA45</f>
        <v>9.7401960784313726</v>
      </c>
      <c r="AP45" s="123">
        <f>AO45*10000000+BI45*100+AM45/AM48*10+AI45/AI48*1++IF(AQ45=0,ROW(),AQ45)/2000000</f>
        <v>97402069.78450118</v>
      </c>
      <c r="AQ45" s="126">
        <f>VLOOKUP(AE45,db_fifarank,2,FALSE)</f>
        <v>1563.24</v>
      </c>
      <c r="AR45" s="125">
        <f>AP45/AP48</f>
        <v>0.99999998973327786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0.99019607843137258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0.99019607843137258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6 - 3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6</v>
      </c>
      <c r="AL46" s="123">
        <f>AI46-AJ46</f>
        <v>-5</v>
      </c>
      <c r="AM46" s="123">
        <f>AL46-AL48</f>
        <v>0</v>
      </c>
      <c r="AN46" s="123">
        <f>AF46*3+AG46</f>
        <v>1</v>
      </c>
      <c r="AO46" s="123">
        <f>AN46/AN48*10+BA46</f>
        <v>2.2352941176470589</v>
      </c>
      <c r="AP46" s="123">
        <f>AO46*10000000+BI46*100+AM46/AM48*10+AI46/AI48*1++IF(AQ46=0,ROW(),AQ46)/2000000</f>
        <v>22353039.817801114</v>
      </c>
      <c r="AQ46" s="126">
        <f>VLOOKUP(AE46,db_fifarank,2,FALSE)</f>
        <v>1615.3</v>
      </c>
      <c r="AR46" s="125">
        <f>AP46/AP48</f>
        <v>0.22949244957282752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0.98529411764705888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0.98529411764705888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4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6</v>
      </c>
      <c r="AL47" s="123">
        <f>AI47-AJ47</f>
        <v>-3</v>
      </c>
      <c r="AM47" s="123">
        <f>AL47-AL48</f>
        <v>2</v>
      </c>
      <c r="AN47" s="123">
        <f>AF47*3+AG47</f>
        <v>1</v>
      </c>
      <c r="AO47" s="123">
        <f>AN47/AN48*10+BA47</f>
        <v>2.2352941176470589</v>
      </c>
      <c r="AP47" s="123">
        <f>AO47*10000000+BI47*100+AM47/AM48*10+AI47/AI48*1++IF(AQ47=0,ROW(),AQ47)/2000000</f>
        <v>22353041.858038284</v>
      </c>
      <c r="AQ47" s="126">
        <f>VLOOKUP(AE47,db_fifarank,2,FALSE)</f>
        <v>1281.57</v>
      </c>
      <c r="AR47" s="125">
        <f>AP47/AP48</f>
        <v>0.22949247051937571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100.5</v>
      </c>
      <c r="BA47" s="126">
        <f>AZ47/AZ48</f>
        <v>0.98529411764705888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100.5</v>
      </c>
      <c r="BI47" s="126">
        <f>BH47/BH48</f>
        <v>0.98529411764705888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10.740196078431373</v>
      </c>
      <c r="AP48" s="123">
        <f>MAX(AP44:AP47)+1</f>
        <v>97402070.78450118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4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Portugal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3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90000010.335779846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10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19805923.532423172</v>
      </c>
      <c r="AQ51" s="126">
        <f>VLOOKUP(AE51,db_fifarank,2,FALSE)</f>
        <v>1366.13</v>
      </c>
      <c r="AR51" s="125">
        <f>AP51/AP54</f>
        <v>0.22006578930895371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8</v>
      </c>
      <c r="AL52" s="123">
        <f>AI52-AJ52</f>
        <v>-5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19805924.70892141</v>
      </c>
      <c r="AQ52" s="126">
        <f>VLOOKUP(AE52,db_fifarank,2,FALSE)</f>
        <v>1421.43</v>
      </c>
      <c r="AR52" s="125">
        <f>AP52/AP54</f>
        <v>0.2200658023811547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7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3 - 8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60000006.498574093</v>
      </c>
      <c r="AQ53" s="126">
        <f>VLOOKUP(AE53,db_fifarank,2,FALSE)</f>
        <v>1673.07</v>
      </c>
      <c r="AR53" s="125">
        <f>AP53/AP54</f>
        <v>0.66666665490430732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3 - 10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13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90000011.335779846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12</v>
      </c>
      <c r="AJ56" s="123">
        <f>SUMIF($E$7:$E$78,$AE56,$G$7:$G$78) + SUMIF($H$7:$H$78,$AE56,$F$7:$F$78)</f>
        <v>4</v>
      </c>
      <c r="AL56" s="123">
        <f>AI56-AJ56</f>
        <v>8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90000010.335780293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12 - 4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8</v>
      </c>
      <c r="AL57" s="123">
        <f>AI57-AJ57</f>
        <v>-4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30000002.661477979</v>
      </c>
      <c r="AQ57" s="126">
        <f>VLOOKUP(AE57,db_fifarank,2,FALSE)</f>
        <v>1688.99</v>
      </c>
      <c r="AR57" s="125">
        <f>AP57/AP60</f>
        <v>0.33333332092094098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10 - 6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11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0.23149280076923079</v>
      </c>
      <c r="AQ58" s="126">
        <f>VLOOKUP(AE58,db_fifarank,2,FALSE)</f>
        <v>1447.14</v>
      </c>
      <c r="AR58" s="125">
        <f>AP58/AP60</f>
        <v>2.5721419067999474E-9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4 - 8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10</v>
      </c>
      <c r="AJ59" s="123">
        <f>SUMIF($E$7:$E$78,$AE59,$G$7:$G$78) + SUMIF($H$7:$H$78,$AE59,$F$7:$F$78)</f>
        <v>6</v>
      </c>
      <c r="AL59" s="123">
        <f>AI59-AJ59</f>
        <v>4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60000007.828829765</v>
      </c>
      <c r="AQ59" s="126">
        <f>VLOOKUP(AE59,db_fifarank,2,FALSE)</f>
        <v>1550.94</v>
      </c>
      <c r="AR59" s="125">
        <f>AP59/AP60</f>
        <v>0.66666666968492072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3 - 11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13</v>
      </c>
      <c r="AL60" s="123">
        <f>MIN(AL56:AL59)</f>
        <v>-8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90000011.335780293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2</v>
      </c>
      <c r="AL62" s="123">
        <f>AI62-AJ62</f>
        <v>9</v>
      </c>
      <c r="AM62" s="123">
        <f>AL62-AL66</f>
        <v>16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90000010.3293688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5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30000003.191958599</v>
      </c>
      <c r="AQ63" s="126">
        <f>VLOOKUP(AE63,db_fifarank,2,FALSE)</f>
        <v>1564.26</v>
      </c>
      <c r="AR63" s="125">
        <f>AP63/AP66</f>
        <v>0.33333332683891564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5 - 5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5</v>
      </c>
      <c r="AL64" s="123">
        <f>AI64-AJ64</f>
        <v>0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60000004.535110451</v>
      </c>
      <c r="AQ64" s="126">
        <f>VLOOKUP(AE64,db_fifarank,2,FALSE)</f>
        <v>1593.45</v>
      </c>
      <c r="AR64" s="125">
        <f>AP64/AP66</f>
        <v>0.66666663313553665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1</v>
      </c>
      <c r="CC64" s="25">
        <v>4</v>
      </c>
      <c r="CD64" s="116">
        <f>IF(OR(CA64="",CA65="",AND(CB64="",CB65&lt;&gt;""),AND(CB65="",CB64&lt;&gt;""),AND(CC64="",CC65&lt;&gt;""),AND(CC65="",CC64&lt;&gt;"")),"",CA64*1000+CB64*10+CC64)</f>
        <v>2014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1</v>
      </c>
      <c r="V65" s="123">
        <f t="shared" si="21"/>
        <v>2</v>
      </c>
      <c r="W65" s="123">
        <f t="shared" si="22"/>
        <v>1</v>
      </c>
      <c r="X65" s="123">
        <f t="shared" si="9"/>
        <v>1</v>
      </c>
      <c r="Y65" s="123">
        <f t="shared" si="10"/>
        <v>2</v>
      </c>
      <c r="Z65" s="123">
        <f t="shared" si="11"/>
        <v>1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7.7302768046760345E-12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1</v>
      </c>
      <c r="CC65" s="27">
        <v>5</v>
      </c>
      <c r="CD65" s="112">
        <f>IF(CD64="","",CA65*1000+CB65*10+CC65)</f>
        <v>2015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3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12</v>
      </c>
      <c r="AL66" s="123">
        <f>MIN(AL62:AL65)</f>
        <v>-7</v>
      </c>
      <c r="AM66" s="123">
        <f>MAX(AM62:AM65)+1</f>
        <v>17</v>
      </c>
      <c r="AN66" s="123">
        <f>MAX(AN62:AN65)+1</f>
        <v>10</v>
      </c>
      <c r="AO66" s="123">
        <f>MAX(AO62:AO65)+1</f>
        <v>10</v>
      </c>
      <c r="AP66" s="123">
        <f>MAX(AP62:AP65)+1</f>
        <v>90000011.3293688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0</v>
      </c>
      <c r="BN66" s="63">
        <v>0</v>
      </c>
      <c r="BO66" s="25">
        <v>3</v>
      </c>
      <c r="BP66" s="112">
        <f>IF(OR(BM66="",BM67="",AND(BN66="",BN67&lt;&gt;""),AND(BN67="",BN66&lt;&gt;""),AND(BO66="",BO67&lt;&gt;""),AND(BO67="",BO66&lt;&gt;"")),"",BM66*1000+BN66*10+BO66)</f>
        <v>3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>
        <v>0</v>
      </c>
      <c r="BO67" s="27">
        <v>4</v>
      </c>
      <c r="BP67" s="113">
        <f>IF(BP66="","",BM67*1000+BN67*10+BO67)</f>
        <v>4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17</v>
      </c>
      <c r="AJ68" s="123">
        <f>SUMIF($E$7:$E$78,$AE68,$G$7:$G$78) + SUMIF($H$7:$H$78,$AE68,$F$7:$F$78)</f>
        <v>3</v>
      </c>
      <c r="AL68" s="123">
        <f>AI68-AJ68</f>
        <v>14</v>
      </c>
      <c r="AM68" s="123">
        <f>AL68-AL72</f>
        <v>24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90000010.545326352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Algeria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3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17 - 3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9</v>
      </c>
      <c r="AL69" s="123">
        <f>AI69-AJ69</f>
        <v>-7</v>
      </c>
      <c r="AM69" s="123">
        <f>AL69-AL72</f>
        <v>3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19804020.919693425</v>
      </c>
      <c r="AQ69" s="126">
        <f>VLOOKUP(AE69,db_fifarank,2,FALSE)</f>
        <v>1478.35</v>
      </c>
      <c r="AR69" s="125">
        <f>AP69/AP72</f>
        <v>0.22004464865784604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8 - 5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10</v>
      </c>
      <c r="AL70" s="123">
        <f>AI70-AJ70</f>
        <v>-10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0.2200446340898744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2 - 9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5</v>
      </c>
      <c r="AL71" s="123">
        <f>AI71-AJ71</f>
        <v>3</v>
      </c>
      <c r="AM71" s="123">
        <f>AL71-AL72</f>
        <v>13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60000005.645290993</v>
      </c>
      <c r="AQ71" s="126">
        <f>VLOOKUP(AE71,db_fifarank,2,FALSE)</f>
        <v>1693.09</v>
      </c>
      <c r="AR71" s="125">
        <f>AP71/AP72</f>
        <v>0.66666664387118912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Ecuador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0 - 10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18</v>
      </c>
      <c r="AL72" s="123">
        <f>MIN(AL68:AL71)</f>
        <v>-10</v>
      </c>
      <c r="AM72" s="123">
        <f>MAX(AM68:AM71)+1</f>
        <v>25</v>
      </c>
      <c r="AN72" s="123">
        <f>MAX(AN68:AN71)+1</f>
        <v>10</v>
      </c>
      <c r="AO72" s="123">
        <f>MAX(AO68:AO71)+1</f>
        <v>10</v>
      </c>
      <c r="AP72" s="123">
        <f>MAX(AP68:AP71)+1</f>
        <v>90000011.545326352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10</v>
      </c>
      <c r="AJ74" s="123">
        <f>SUMIF($E$7:$E$78,$AE74,$G$7:$G$78) + SUMIF($H$7:$H$78,$AE74,$F$7:$F$78)</f>
        <v>4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90000010.076670557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10 - 4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60000006.37964642</v>
      </c>
      <c r="AQ75" s="126">
        <f>VLOOKUP(AE75,db_fifarank,2,FALSE)</f>
        <v>1717.07</v>
      </c>
      <c r="AR75" s="125">
        <f>AP75/AP78</f>
        <v>0.66666665550221671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7</v>
      </c>
      <c r="AL76" s="123">
        <f>AI76-AJ76</f>
        <v>-3</v>
      </c>
      <c r="AM76" s="123">
        <f>AL76-AL78</f>
        <v>2</v>
      </c>
      <c r="AN76" s="123">
        <f>AF76*3+AG76</f>
        <v>1</v>
      </c>
      <c r="AO76" s="123">
        <f>AN76/AN78*10+BA76</f>
        <v>1.9806451612903224</v>
      </c>
      <c r="AP76" s="123">
        <f>AO76*10000000+BI76*100+AM76/AM78*10+AI76/AI78*1++IF(AQ76=0,ROW(),AQ76)/2000000</f>
        <v>19806551.708395541</v>
      </c>
      <c r="AQ76" s="126">
        <f>VLOOKUP(AE76,db_fifarank,2,FALSE)</f>
        <v>1346.31</v>
      </c>
      <c r="AR76" s="125">
        <f>AP76/AP78</f>
        <v>0.22007276967468858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4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4 - 7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8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1.9806451612903224</v>
      </c>
      <c r="AP77" s="123">
        <f>AO77*10000000+BI77*100+AM77/AM78*10+AI77/AI78*1++IF(AQ77=0,ROW(),AQ77)/2000000</f>
        <v>19806549.950916946</v>
      </c>
      <c r="AQ77" s="126">
        <f>VLOOKUP(AE77,db_fifarank,2,FALSE)</f>
        <v>1540.64</v>
      </c>
      <c r="AR77" s="125">
        <f>AP77/AP78</f>
        <v>0.22007275014715105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2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50.666666666666664</v>
      </c>
      <c r="BA77" s="126">
        <f>AZ77/AZ78</f>
        <v>0.98064516129032253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2</v>
      </c>
      <c r="BE77" s="126" cm="1">
        <f t="array" ref="BE77">SUMPRODUCT(($E$7:$E$78=AE77)*($X$7:$X$78)*($G$7:$G$78))+SUMPRODUCT(($H$7:$H$78=AE77)*($X$7:$X$78)*($F$7:$F$78))</f>
        <v>2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50.666666666666664</v>
      </c>
      <c r="BI77" s="126">
        <f>BH77/BH78</f>
        <v>0.98064516129032253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3 - 8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11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90000011.076670557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5</v>
      </c>
      <c r="AJ80" s="123">
        <f>VLOOKUP($AE80,$AE$8:$AQ$78,6,FALSE)</f>
        <v>5</v>
      </c>
      <c r="AK80" s="123" t="s">
        <v>3180</v>
      </c>
      <c r="AL80" s="123">
        <f>VLOOKUP($AE80,$AE$8:$AQ$78,8,FALSE)</f>
        <v>0</v>
      </c>
      <c r="AM80" s="123">
        <f>AL80-$AL$92</f>
        <v>7</v>
      </c>
      <c r="AN80" s="123">
        <f>VLOOKUP($AE80,$AE$8:$AQ$78,10,FALSE)</f>
        <v>3</v>
      </c>
      <c r="AP80" s="123">
        <f>AN80/AN92*10000+AM80/AM92*1000+AI80/AI92*100+IF(AQ80=0,ROW(),AQ80)/2000000</f>
        <v>6958.3340840233332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Turkey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7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8958.3340262533347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6</v>
      </c>
      <c r="AK82" s="123" t="s">
        <v>3182</v>
      </c>
      <c r="AL82" s="123">
        <f t="shared" si="43"/>
        <v>-2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6691.6674158416672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1</v>
      </c>
      <c r="AE83" s="124" t="str">
        <f>J29</f>
        <v>Turkey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5</v>
      </c>
      <c r="AJ83" s="123">
        <f t="shared" si="42"/>
        <v>5</v>
      </c>
      <c r="AK83" s="123" t="s">
        <v>3184</v>
      </c>
      <c r="AL83" s="123">
        <f t="shared" si="43"/>
        <v>0</v>
      </c>
      <c r="AM83" s="123">
        <f t="shared" si="44"/>
        <v>7</v>
      </c>
      <c r="AN83" s="123">
        <f t="shared" si="45"/>
        <v>4</v>
      </c>
      <c r="AP83" s="123">
        <f>AN83/AN92*10000+AM83/AM92*1000+AI83/AI92*100+IF(AQ83=0,ROW(),AQ83)/2000000</f>
        <v>8958.3341328533334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5</v>
      </c>
      <c r="AK84" s="123" t="s">
        <v>3185</v>
      </c>
      <c r="AL84" s="123">
        <f t="shared" si="43"/>
        <v>-1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8816.6674640566653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7</v>
      </c>
      <c r="AK85" s="123" t="s">
        <v>3186</v>
      </c>
      <c r="AL85" s="123">
        <f t="shared" si="43"/>
        <v>-3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4566.6674081916672</v>
      </c>
      <c r="AQ85" s="126">
        <f t="shared" si="37"/>
        <v>1483.05</v>
      </c>
      <c r="AR85" s="125" t="str">
        <f t="shared" si="50"/>
        <v>ABCDEF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4</v>
      </c>
      <c r="AN86" s="123">
        <f t="shared" si="45"/>
        <v>1</v>
      </c>
      <c r="AP86" s="123">
        <f>AN86/AN92*10000+AM86/AM92*1000+AI86/AI92*100+IF(AQ86=0,ROW(),AQ86)/2000000</f>
        <v>2550.0006407850001</v>
      </c>
      <c r="AQ86" s="126">
        <f t="shared" si="37"/>
        <v>1281.57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4 - 8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3</v>
      </c>
      <c r="AJ87" s="123">
        <f t="shared" si="42"/>
        <v>8</v>
      </c>
      <c r="AK87" s="123" t="s">
        <v>3188</v>
      </c>
      <c r="AL87" s="123">
        <f t="shared" si="43"/>
        <v>-5</v>
      </c>
      <c r="AM87" s="123">
        <f t="shared" si="44"/>
        <v>2</v>
      </c>
      <c r="AN87" s="123">
        <f t="shared" si="45"/>
        <v>1</v>
      </c>
      <c r="AP87" s="123">
        <f>AN87/AN92*10000+AM87/AM92*1000+AI87/AI92*100+IF(AQ87=0,ROW(),AQ87)/2000000</f>
        <v>2300.000710715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4 - 7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8</v>
      </c>
      <c r="AK88" s="123" t="s">
        <v>3189</v>
      </c>
      <c r="AL88" s="123">
        <f t="shared" si="43"/>
        <v>-4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6441.6675111616669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4 - 7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5</v>
      </c>
      <c r="AN89" s="123">
        <f t="shared" si="45"/>
        <v>3</v>
      </c>
      <c r="AP89" s="123">
        <f>AN89/AN92*10000+AM89/AM92*1000+AI89/AI92*100+IF(AQ89=0,ROW(),AQ89)/2000000</f>
        <v>6675.0007821299996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New Zealand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9</v>
      </c>
      <c r="AK90" s="123" t="s">
        <v>3191</v>
      </c>
      <c r="AL90" s="123">
        <f t="shared" si="43"/>
        <v>-7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2033.3340725083333</v>
      </c>
      <c r="AQ90" s="126">
        <f t="shared" si="37"/>
        <v>1478.35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3 - 8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7</v>
      </c>
      <c r="AK91" s="123" t="s">
        <v>3192</v>
      </c>
      <c r="AL91" s="123">
        <f>VLOOKUP($AE91,$AE$8:$AQ$78,8,FALSE)</f>
        <v>-3</v>
      </c>
      <c r="AM91" s="123">
        <f t="shared" si="44"/>
        <v>4</v>
      </c>
      <c r="AN91" s="123">
        <f>VLOOKUP($AE91,$AE$8:$AQ$78,10,FALSE)</f>
        <v>1</v>
      </c>
      <c r="AP91" s="123">
        <f>AN91/AN92*10000+AM91/AM92*1000+AI91/AI92*100+IF(AQ91=0,ROW(),AQ91)/2000000</f>
        <v>2566.6673398216667</v>
      </c>
      <c r="AQ91" s="126">
        <f t="shared" si="37"/>
        <v>1346.31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2 - 9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10</v>
      </c>
      <c r="AL92" s="123">
        <f>MIN(AL80:AL91)</f>
        <v>-7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Czech Republic</v>
      </c>
      <c r="T98" s="127" t="str" cm="1">
        <f t="array" ref="T98">IF(OR(S98="",S98="draw"),INDEX(T,97,lang),S98)</f>
        <v>Czech Republic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Czech Republic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Czech Republic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339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Beatrice Oppici</cp:lastModifiedBy>
  <cp:revision/>
  <dcterms:created xsi:type="dcterms:W3CDTF">2017-12-27T19:32:51Z</dcterms:created>
  <dcterms:modified xsi:type="dcterms:W3CDTF">2026-06-02T22:09:23Z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