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8E9D090C-C4DF-A148-ABE9-2B9B7BD6B86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<sst xmlns="http://schemas.openxmlformats.org/spreadsheetml/2006/main" count="9785" uniqueCount="3699">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</sst>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Z12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4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87500008.857983366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6 - 4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3</v>
      </c>
      <c r="AL9" s="123">
        <f>AI9-AJ9</f>
        <v>0</v>
      </c>
      <c r="AM9" s="123">
        <f>AL9-AL12</f>
        <v>2</v>
      </c>
      <c r="AN9" s="123">
        <f>AF9*3+AG9</f>
        <v>4</v>
      </c>
      <c r="AO9" s="123">
        <f>AN9/AN12*10+BA9</f>
        <v>5</v>
      </c>
      <c r="AP9" s="123">
        <f>AO9*10000000+BI9*100+AM9/AM12*10+AI9/AI12*1++IF(AQ9=0,ROW(),AQ9)/2000000</f>
        <v>50000004.429286294</v>
      </c>
      <c r="AQ9" s="126">
        <f>VLOOKUP(AE9,db_fifarank,2,FALSE)</f>
        <v>1429.73</v>
      </c>
      <c r="AR9" s="125">
        <f>AP9/AP12</f>
        <v>0.57142855767032086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12500000.286508616</v>
      </c>
      <c r="AQ10" s="126">
        <f>VLOOKUP(AE10,db_fifarank,2,FALSE)</f>
        <v>1588.66</v>
      </c>
      <c r="AR10" s="125">
        <f>AP10/AP12</f>
        <v>0.14285713003686176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4 - 4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2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37500004.572179265</v>
      </c>
      <c r="AQ11" s="126">
        <f>VLOOKUP(AE11,db_fifarank,2,FALSE)</f>
        <v>1501.38</v>
      </c>
      <c r="AR11" s="125">
        <f>AP11/AP12</f>
        <v>0.42857143254090529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5</v>
      </c>
      <c r="AN14" s="123">
        <f>AF14*3+AG14</f>
        <v>7</v>
      </c>
      <c r="AO14" s="123">
        <f>AN14/AN18*10+BA14</f>
        <v>9.7401477832512313</v>
      </c>
      <c r="AP14" s="123">
        <f>AO14*10000000+BI14*100+AM14/AM18*10+AI14/AI18*1++IF(AQ14=0,ROW(),AQ14)/2000000</f>
        <v>97401584.824259371</v>
      </c>
      <c r="AQ14" s="126">
        <f>VLOOKUP(AE14,db_fifarank,2,FALSE)</f>
        <v>1556.48</v>
      </c>
      <c r="AR14" s="125">
        <f>AP14/AP18</f>
        <v>0.99999997677705987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100.5</v>
      </c>
      <c r="BA14" s="126">
        <f>AZ14/AZ18</f>
        <v>0.99014778325123154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100.5</v>
      </c>
      <c r="BI14" s="126">
        <f>BH14/BH18</f>
        <v>0.99014778325123154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1</v>
      </c>
      <c r="AN15" s="123">
        <f>AF15*3+AG15</f>
        <v>1</v>
      </c>
      <c r="AO15" s="123">
        <f>AN15/AN18*10+BA15</f>
        <v>2.2352216748768474</v>
      </c>
      <c r="AP15" s="123">
        <f>AO15*10000000+BI15*100+AM15/AM18*10+AI15/AI18*1++IF(AQ15=0,ROW(),AQ15)/2000000</f>
        <v>22352316.86686698</v>
      </c>
      <c r="AQ15" s="126">
        <f>VLOOKUP(AE15,db_fifarank,2,FALSE)</f>
        <v>1385.84</v>
      </c>
      <c r="AR15" s="125">
        <f>AP15/AP18</f>
        <v>0.22948616686381959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0.98522167487684731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0.98522167487684731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5 - 3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2.2352216748768474</v>
      </c>
      <c r="AP16" s="123">
        <f>AO16*10000000+BI16*100+AM16/AM18*10+AI16/AI18*1++IF(AQ16=0,ROW(),AQ16)/2000000</f>
        <v>22352315.43833011</v>
      </c>
      <c r="AQ16" s="126">
        <f>VLOOKUP(AE16,db_fifarank,2,FALSE)</f>
        <v>1454.96</v>
      </c>
      <c r="AR16" s="125">
        <f>AP16/AP18</f>
        <v>0.2294861521973556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0.98522167487684731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0.98522167487684731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1</v>
      </c>
      <c r="V17" s="123">
        <f t="shared" si="3"/>
        <v>2</v>
      </c>
      <c r="W17" s="123">
        <f t="shared" si="4"/>
        <v>1</v>
      </c>
      <c r="X17" s="123">
        <f t="shared" si="9"/>
        <v>1</v>
      </c>
      <c r="Y17" s="123">
        <f t="shared" si="10"/>
        <v>2</v>
      </c>
      <c r="Z17" s="123">
        <f t="shared" si="11"/>
        <v>1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9.7401477832512313</v>
      </c>
      <c r="AP17" s="123">
        <f>AO17*10000000+BI17*100+AM17/AM18*10+AI17/AI18*1++IF(AQ17=0,ROW(),AQ17)/2000000</f>
        <v>97401586.086210594</v>
      </c>
      <c r="AQ17" s="126">
        <f>VLOOKUP(AE17,db_fifarank,2,FALSE)</f>
        <v>1649.4</v>
      </c>
      <c r="AR17" s="125">
        <f>AP17/AP18</f>
        <v>0.99999998973322679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100.5</v>
      </c>
      <c r="BA17" s="126">
        <f>AZ17/AZ18</f>
        <v>0.99014778325123154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100.5</v>
      </c>
      <c r="BI17" s="126">
        <f>BH17/BH18</f>
        <v>0.99014778325123154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Canada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10.740147783251231</v>
      </c>
      <c r="AP18" s="123">
        <f>MAX(AP14:AP17)+1</f>
        <v>97401587.086210594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101.5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101.5</v>
      </c>
      <c r="BK18" s="141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0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90000009.74691233</v>
      </c>
      <c r="AQ20" s="126">
        <f>VLOOKUP(AE20,db_fifarank,2,FALSE)</f>
        <v>1761.16</v>
      </c>
      <c r="AR20" s="125">
        <f>AP20/AP24</f>
        <v>0.99999998888889019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4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60000005.016750954</v>
      </c>
      <c r="AQ21" s="126">
        <f>VLOOKUP(AE21,db_fifarank,2,FALSE)</f>
        <v>1755.87</v>
      </c>
      <c r="AR21" s="125">
        <f>AP21/AP24</f>
        <v>0.66666664280158883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0</v>
      </c>
      <c r="BU21" s="64"/>
      <c r="BV21" s="27"/>
      <c r="BW21" s="112">
        <f>IF(BW20="","",BT21*1000+BU21*10+BV21)</f>
        <v>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5</v>
      </c>
      <c r="AL22" s="123">
        <f>AI22-AJ22</f>
        <v>-3</v>
      </c>
      <c r="AM22" s="123">
        <f>AL22-AL24</f>
        <v>0</v>
      </c>
      <c r="AN22" s="123">
        <f>AF22*3+AG22</f>
        <v>1</v>
      </c>
      <c r="AO22" s="123">
        <f>AN22/AN24*10+BA22</f>
        <v>1.9805825242718447</v>
      </c>
      <c r="AP22" s="123">
        <f>AO22*10000000+BI22*100+AM22/AM24*10+AI22/AI24*1++IF(AQ22=0,ROW(),AQ22)/2000000</f>
        <v>19805923.587331016</v>
      </c>
      <c r="AQ22" s="126">
        <f>VLOOKUP(AE22,db_fifarank,2,FALSE)</f>
        <v>1291.71</v>
      </c>
      <c r="AR22" s="125">
        <f>AP22/AP24</f>
        <v>0.22006579135892498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50.5</v>
      </c>
      <c r="BA22" s="126">
        <f>AZ22/AZ24</f>
        <v>0.98058252427184467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50.5</v>
      </c>
      <c r="BI22" s="126">
        <f>BH22/BH24</f>
        <v>0.98058252427184467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1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0</v>
      </c>
      <c r="AN23" s="123">
        <f>AF23*3+AG23</f>
        <v>1</v>
      </c>
      <c r="AO23" s="123">
        <f>AN23/AN24*10+BA23</f>
        <v>1.9805825242718447</v>
      </c>
      <c r="AP23" s="123">
        <f>AO23*10000000+BI23*100+AM23/AM24*10+AI23/AI24*1++IF(AQ23=0,ROW(),AQ23)/2000000</f>
        <v>19805923.444577191</v>
      </c>
      <c r="AQ23" s="126">
        <f>VLOOKUP(AE23,db_fifarank,2,FALSE)</f>
        <v>1498.35</v>
      </c>
      <c r="AR23" s="125">
        <f>AP23/AP24</f>
        <v>0.22006578977277158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1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1 - 4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Iraq_draw</v>
      </c>
      <c r="T24" s="127" t="str">
        <f t="shared" si="2"/>
        <v>Norway_draw</v>
      </c>
      <c r="U24" s="123">
        <f t="shared" si="8"/>
        <v>1</v>
      </c>
      <c r="V24" s="123">
        <f t="shared" si="3"/>
        <v>1</v>
      </c>
      <c r="W24" s="123">
        <f t="shared" si="4"/>
        <v>1</v>
      </c>
      <c r="X24" s="123">
        <f t="shared" si="9"/>
        <v>1</v>
      </c>
      <c r="Y24" s="123">
        <f t="shared" si="10"/>
        <v>1</v>
      </c>
      <c r="Z24" s="123">
        <f t="shared" si="11"/>
        <v>1</v>
      </c>
      <c r="AA24" s="123">
        <f t="shared" si="5"/>
        <v>0</v>
      </c>
      <c r="AB24" s="123">
        <f t="shared" si="6"/>
        <v>0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3</v>
      </c>
      <c r="AI24" s="123">
        <f>MAX(AI20:AI23)+1</f>
        <v>7</v>
      </c>
      <c r="AL24" s="123">
        <f>MIN(AL20:AL23)</f>
        <v>-3</v>
      </c>
      <c r="AM24" s="123">
        <f>MAX(AM20:AM23)+1</f>
        <v>9</v>
      </c>
      <c r="AN24" s="123">
        <f>MAX(AN20:AN23)+1</f>
        <v>10</v>
      </c>
      <c r="AO24" s="123">
        <f>MAX(AO20:AO23)+1</f>
        <v>10</v>
      </c>
      <c r="AP24" s="123">
        <f>MAX(AP20:AP23)+1</f>
        <v>90000010.74691233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6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62500008.334169902</v>
      </c>
      <c r="AQ26" s="126">
        <f>VLOOKUP(AE26,db_fifarank,2,FALSE)</f>
        <v>1673.13</v>
      </c>
      <c r="AR26" s="125">
        <f>AP26/AP30</f>
        <v>0.71428572313235983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12500000.000751751</v>
      </c>
      <c r="AQ27" s="126">
        <f>VLOOKUP(AE27,db_fifarank,2,FALSE)</f>
        <v>1503.5</v>
      </c>
      <c r="AR27" s="125">
        <f>AP27/AP30</f>
        <v>0.14285712558553448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1</v>
      </c>
      <c r="AH28" s="123">
        <f>COUNTIF($S$7:$T$78,"=" &amp; AE28 &amp; "_lose")</f>
        <v>0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2</v>
      </c>
      <c r="AL28" s="123">
        <f>AI28-AJ28</f>
        <v>3</v>
      </c>
      <c r="AM28" s="123">
        <f>AL28-AL30</f>
        <v>7</v>
      </c>
      <c r="AN28" s="123">
        <f>AF28*3+AG28</f>
        <v>7</v>
      </c>
      <c r="AO28" s="123">
        <f>AN28/AN30*10+BA28</f>
        <v>8.75</v>
      </c>
      <c r="AP28" s="123">
        <f>AO28*10000000+BI28*100+AM28/AM30*10+AI28/AI30*1++IF(AQ28=0,ROW(),AQ28)/2000000</f>
        <v>87500009.584123656</v>
      </c>
      <c r="AQ28" s="126">
        <f>VLOOKUP(AE28,db_fifarank,2,FALSE)</f>
        <v>1580.67</v>
      </c>
      <c r="AR28" s="125">
        <f>AP28/AP30</f>
        <v>0.99999998857142991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4</v>
      </c>
      <c r="AL29" s="123">
        <f>AI29-AJ29</f>
        <v>-1</v>
      </c>
      <c r="AM29" s="123">
        <f>AL29-AL30</f>
        <v>3</v>
      </c>
      <c r="AN29" s="123">
        <f>AF29*3+AG29</f>
        <v>2</v>
      </c>
      <c r="AO29" s="123">
        <f>AN29/AN30*10+BA29</f>
        <v>2.5</v>
      </c>
      <c r="AP29" s="123">
        <f>AO29*10000000+BI29*100+AM29/AM30*10+AI29/AI30*1++IF(AQ29=0,ROW(),AQ29)/2000000</f>
        <v>25000004.250799522</v>
      </c>
      <c r="AQ29" s="126">
        <f>VLOOKUP(AE29,db_fifarank,2,FALSE)</f>
        <v>1599.04</v>
      </c>
      <c r="AR29" s="125">
        <f>AP29/AP30</f>
        <v>0.28571429973444623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87500010.584123656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1</v>
      </c>
      <c r="AL32" s="123">
        <f>AI32-AJ32</f>
        <v>4</v>
      </c>
      <c r="AM32" s="123">
        <f>AL32-AL36</f>
        <v>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90000009.723087415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5 - 1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0.16731399166666666</v>
      </c>
      <c r="AQ33" s="126">
        <f>VLOOKUP(AE33,db_fifarank,2,FALSE)</f>
        <v>1294.6500000000001</v>
      </c>
      <c r="AR33" s="125">
        <f>AP33/AP36</f>
        <v>1.859044130355266E-9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Australia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4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49805928.246181808</v>
      </c>
      <c r="AQ34" s="126">
        <f>VLOOKUP(AE34,db_fifarank,2,FALSE)</f>
        <v>1532.98</v>
      </c>
      <c r="AR34" s="125">
        <f>AP34/AP36</f>
        <v>0.55339913680038322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Australia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4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49805928.246212706</v>
      </c>
      <c r="AQ35" s="126">
        <f>VLOOKUP(AE35,db_fifarank,2,FALSE)</f>
        <v>1594.78</v>
      </c>
      <c r="AR35" s="125">
        <f>AP35/AP36</f>
        <v>0.5533991368007265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1 - 5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6</v>
      </c>
      <c r="AL36" s="123">
        <f>MIN(AL32:AL35)</f>
        <v>-4</v>
      </c>
      <c r="AM36" s="123">
        <f>MAX(AM32:AM35)+1</f>
        <v>9</v>
      </c>
      <c r="AN36" s="123">
        <f>MAX(AN32:AN35)+1</f>
        <v>10</v>
      </c>
      <c r="AO36" s="123">
        <f>MAX(AO32:AO35)+1</f>
        <v>10</v>
      </c>
      <c r="AP36" s="123">
        <f>MAX(AP32:AP35)+1</f>
        <v>90000010.723087415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Australia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Czech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2</v>
      </c>
      <c r="AL38" s="123">
        <f>AI38-AJ38</f>
        <v>1</v>
      </c>
      <c r="AM38" s="123">
        <f>AL38-AL42</f>
        <v>4</v>
      </c>
      <c r="AN38" s="123">
        <f>AF38*3+AG38</f>
        <v>6</v>
      </c>
      <c r="AO38" s="123">
        <f>AN38/AN42*10+BA38</f>
        <v>9.569435215946843</v>
      </c>
      <c r="AP38" s="123">
        <f>AO38*10000000+BI38*100+AM38/AM42*10+AI38/AI42*1++IF(AQ38=0,ROW(),AQ38)/2000000</f>
        <v>95694460.563626036</v>
      </c>
      <c r="AQ38" s="126">
        <f>VLOOKUP(AE38,db_fifarank,2,FALSE)</f>
        <v>1757.87</v>
      </c>
      <c r="AR38" s="125">
        <f>AP38/AP42</f>
        <v>0.99999998955007441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1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500.66666666666669</v>
      </c>
      <c r="BA38" s="126">
        <f>AZ38/AZ42</f>
        <v>0.99800664451827248</v>
      </c>
      <c r="BB38" s="126" cm="1">
        <f t="array" ref="BB38">SUMPRODUCT(($S$7:$S$78=AE38&amp;"_win")*($X$7:$X$78))+SUMPRODUCT(($T$7:$T$78=AE38&amp;"_win")*($X$7:$X$78))</f>
        <v>1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1</v>
      </c>
      <c r="BG38" s="126">
        <f>BF38-MIN(BF38:BF41)</f>
        <v>2</v>
      </c>
      <c r="BH38" s="126">
        <f>BB38/BB42*1000+BC38/BC42*100+BG38/BG42*10+BD38/BD42</f>
        <v>507.33333333333337</v>
      </c>
      <c r="BI38" s="126">
        <f>BH38/BH42</f>
        <v>0.99803278688524588</v>
      </c>
      <c r="BK38" s="141">
        <v>82</v>
      </c>
      <c r="BL38" s="24" t="str">
        <f>AS44</f>
        <v>Egypt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0</v>
      </c>
      <c r="N39" s="31">
        <f>VLOOKUP(1,AD38:AN41,5,FALSE)</f>
        <v>1</v>
      </c>
      <c r="O39" s="31" t="str">
        <f>VLOOKUP(1,AD38:AN41,6,FALSE) &amp; " - " &amp; VLOOKUP(1,AD38:AN41,7,FALSE)</f>
        <v>3 - 2</v>
      </c>
      <c r="P39" s="32">
        <f>L39*3+M39</f>
        <v>6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9.569435215946843</v>
      </c>
      <c r="AP39" s="123">
        <f>AO39*10000000+BI39*100+AM39/AM42*10+AI39/AI42*1++IF(AQ39=0,ROW(),AQ39)/2000000</f>
        <v>95694361.025872409</v>
      </c>
      <c r="AQ39" s="126">
        <f>VLOOKUP(AE39,db_fifarank,2,FALSE)</f>
        <v>1660.43</v>
      </c>
      <c r="AR39" s="125">
        <f>AP39/AP42</f>
        <v>0.99999894938795841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1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500.66666666666669</v>
      </c>
      <c r="BA39" s="126">
        <f>AZ39/AZ42</f>
        <v>0.99800664451827248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-1</v>
      </c>
      <c r="BG39" s="126">
        <f>BF39-MIN(BF38:BF41)</f>
        <v>0</v>
      </c>
      <c r="BH39" s="126">
        <f>BB39/BB42*1000+BC39/BC42*100+BG39/BG42*10+BD39/BD42</f>
        <v>0.33333333333333331</v>
      </c>
      <c r="BI39" s="126">
        <f>BH39/BH42</f>
        <v>6.5573770491803268E-4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1</v>
      </c>
      <c r="AL40" s="123">
        <f>AI40-AJ40</f>
        <v>1</v>
      </c>
      <c r="AM40" s="123">
        <f>AL40-AL42</f>
        <v>4</v>
      </c>
      <c r="AN40" s="123">
        <f>AF40*3+AG40</f>
        <v>6</v>
      </c>
      <c r="AO40" s="123">
        <f>AN40/AN42*10+BA40</f>
        <v>9.5687707641196003</v>
      </c>
      <c r="AP40" s="123">
        <f>AO40*10000000+BI40*100+AM40/AM42*10+AI40/AI42*1++IF(AQ40=0,ROW(),AQ40)/2000000</f>
        <v>95687716.697691083</v>
      </c>
      <c r="AQ40" s="126">
        <f>VLOOKUP(AE40,db_fifarank,2,FALSE)</f>
        <v>1514.77</v>
      </c>
      <c r="AR40" s="125">
        <f>AP40/AP42</f>
        <v>0.99992951665305663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500.33333333333331</v>
      </c>
      <c r="BA40" s="126">
        <f>AZ40/AZ42</f>
        <v>0.99734219269102986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1</v>
      </c>
      <c r="BH40" s="126">
        <f>BB40/BB42*1000+BC40/BC42*100+BG40/BG42*10+BD40/BD42</f>
        <v>3.333333333333333</v>
      </c>
      <c r="BI40" s="126">
        <f>BH40/BH42</f>
        <v>6.557377049180327E-3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0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2</v>
      </c>
      <c r="M41" s="23">
        <f>VLOOKUP(3,AD38:AN41,4,FALSE)</f>
        <v>0</v>
      </c>
      <c r="N41" s="23">
        <f>VLOOKUP(3,AD38:AN41,5,FALSE)</f>
        <v>1</v>
      </c>
      <c r="O41" s="23" t="str">
        <f>VLOOKUP(3,AD38:AN41,6,FALSE) &amp; " - " &amp; VLOOKUP(3,AD38:AN41,7,FALSE)</f>
        <v>2 - 1</v>
      </c>
      <c r="P41" s="34">
        <f>L41*3+M41</f>
        <v>6</v>
      </c>
      <c r="R41" s="123">
        <f>DATE(2026,6,20)+TIME(6,0,0)+gmt_delta</f>
        <v>46193.791666666664</v>
      </c>
      <c r="S41" s="127" t="str">
        <f t="shared" si="1"/>
        <v>Netherlands_lose</v>
      </c>
      <c r="T41" s="127" t="str">
        <f t="shared" si="2"/>
        <v>Sweden_win</v>
      </c>
      <c r="U41" s="123">
        <f t="shared" si="8"/>
        <v>1</v>
      </c>
      <c r="V41" s="123">
        <f t="shared" si="3"/>
        <v>0</v>
      </c>
      <c r="W41" s="123">
        <f t="shared" si="4"/>
        <v>1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-1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0.85647922991803282</v>
      </c>
      <c r="AQ41" s="126">
        <f>VLOOKUP(AE41,db_fifarank,2,FALSE)</f>
        <v>1483.05</v>
      </c>
      <c r="AR41" s="125">
        <f>AP41/AP42</f>
        <v>8.9501441977242396E-9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1</v>
      </c>
      <c r="BH41" s="126">
        <f>BB41/BB42*1000+BC41/BC42*100+BG41/BG42*10+BD41/BD42</f>
        <v>3.333333333333333</v>
      </c>
      <c r="BI41" s="126">
        <f>BH41/BH42</f>
        <v>6.557377049180327E-3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5</v>
      </c>
      <c r="AL42" s="123">
        <f>MIN(AL38:AL41)</f>
        <v>-3</v>
      </c>
      <c r="AM42" s="123">
        <f>MAX(AM38:AM41)+1</f>
        <v>5</v>
      </c>
      <c r="AN42" s="123">
        <f>MAX(AN38:AN41)+1</f>
        <v>7</v>
      </c>
      <c r="AO42" s="123">
        <f>MAX(AO38:AO41)+1</f>
        <v>10.569435215946843</v>
      </c>
      <c r="AP42" s="123">
        <f>MAX(AP38:AP41)+1</f>
        <v>95694461.563626036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501.66666666666669</v>
      </c>
      <c r="BB42" s="126">
        <f>MAX(BB38:BB41)-MIN(BB38:BB41)+1</f>
        <v>2</v>
      </c>
      <c r="BC42" s="126">
        <f>MAX(BC38:BC41)-MIN(BC38:BC41)+1</f>
        <v>1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3</v>
      </c>
      <c r="BH42" s="126">
        <f>MAX(BH38:BH41)+1</f>
        <v>508.33333333333337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1</v>
      </c>
      <c r="AH44" s="123">
        <f>COUNTIF($S$7:$T$78,"=" &amp; AE44 &amp; "_lose")</f>
        <v>1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3</v>
      </c>
      <c r="AL44" s="123">
        <f>AI44-AJ44</f>
        <v>0</v>
      </c>
      <c r="AM44" s="123">
        <f>AL44-AL48</f>
        <v>1</v>
      </c>
      <c r="AN44" s="123">
        <f>AF44*3+AG44</f>
        <v>4</v>
      </c>
      <c r="AO44" s="123">
        <f>AN44/AN48*10+BA44</f>
        <v>6.6948682385575582</v>
      </c>
      <c r="AP44" s="123">
        <f>AO44*10000000+BI44*100+AM44/AM48*10+AI44/AI48*1++IF(AQ44=0,ROW(),AQ44)/2000000</f>
        <v>66948784.378028698</v>
      </c>
      <c r="AQ44" s="126">
        <f>VLOOKUP(AE44,db_fifarank,2,FALSE)</f>
        <v>1734.71</v>
      </c>
      <c r="AR44" s="125">
        <f>AP44/AP48</f>
        <v>0.78106907391761149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0</v>
      </c>
      <c r="N45" s="31">
        <f>VLOOKUP(1,AD44:AN47,5,FALSE)</f>
        <v>1</v>
      </c>
      <c r="O45" s="31" t="str">
        <f>VLOOKUP(1,AD44:AN47,6,FALSE) &amp; " - " &amp; VLOOKUP(1,AD44:AN47,7,FALSE)</f>
        <v>4 - 3</v>
      </c>
      <c r="P45" s="32">
        <f>L45*3+M45</f>
        <v>6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1</v>
      </c>
      <c r="V45" s="123">
        <f t="shared" si="3"/>
        <v>1</v>
      </c>
      <c r="W45" s="123">
        <f t="shared" si="4"/>
        <v>1</v>
      </c>
      <c r="X45" s="123">
        <f t="shared" si="9"/>
        <v>1</v>
      </c>
      <c r="Y45" s="123">
        <f t="shared" si="10"/>
        <v>1</v>
      </c>
      <c r="Z45" s="123">
        <f t="shared" si="11"/>
        <v>1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2</v>
      </c>
      <c r="AN45" s="123">
        <f>AF45*3+AG45</f>
        <v>6</v>
      </c>
      <c r="AO45" s="123">
        <f>AN45/AN48*10+BA45</f>
        <v>8.5714285714285712</v>
      </c>
      <c r="AP45" s="123">
        <f>AO45*10000000+BI45*100+AM45/AM48*10+AI45/AI48*1++IF(AQ45=0,ROW(),AQ45)/2000000</f>
        <v>85714293.181734011</v>
      </c>
      <c r="AQ45" s="126">
        <f>VLOOKUP(AE45,db_fifarank,2,FALSE)</f>
        <v>1563.24</v>
      </c>
      <c r="AR45" s="125">
        <f>AP45/AP48</f>
        <v>0.99999998833333448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1</v>
      </c>
      <c r="AN46" s="123">
        <f>AF46*3+AG46</f>
        <v>4</v>
      </c>
      <c r="AO46" s="123">
        <f>AN46/AN48*10+BA46</f>
        <v>6.6948682385575582</v>
      </c>
      <c r="AP46" s="123">
        <f>AO46*10000000+BI46*100+AM46/AM48*10+AI46/AI48*1++IF(AQ46=0,ROW(),AQ46)/2000000</f>
        <v>66948784.377968997</v>
      </c>
      <c r="AQ46" s="126">
        <f>VLOOKUP(AE46,db_fifarank,2,FALSE)</f>
        <v>1615.3</v>
      </c>
      <c r="AR46" s="125">
        <f>AP46/AP48</f>
        <v>0.78106907391691494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2</v>
      </c>
      <c r="AL47" s="123">
        <f>AI47-AJ47</f>
        <v>-1</v>
      </c>
      <c r="AM47" s="123">
        <f>AL47-AL48</f>
        <v>0</v>
      </c>
      <c r="AN47" s="123">
        <f>AF47*3+AG47</f>
        <v>3</v>
      </c>
      <c r="AO47" s="123">
        <f>AN47/AN48*10+BA47</f>
        <v>4.2857142857142856</v>
      </c>
      <c r="AP47" s="123">
        <f>AO47*10000000+BI47*100+AM47/AM48*10+AI47/AI48*1++IF(AQ47=0,ROW(),AQ47)/2000000</f>
        <v>42857143.057783648</v>
      </c>
      <c r="AQ47" s="126">
        <f>VLOOKUP(AE47,db_fifarank,2,FALSE)</f>
        <v>1281.57</v>
      </c>
      <c r="AR47" s="125">
        <f>AP47/AP48</f>
        <v>0.49999995294736549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1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1 - 2</v>
      </c>
      <c r="P48" s="37">
        <f>L48*3+M48</f>
        <v>3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2</v>
      </c>
      <c r="AH48" s="123">
        <f t="shared" si="24"/>
        <v>2</v>
      </c>
      <c r="AI48" s="123">
        <f>MAX(AI44:AI47)+1</f>
        <v>5</v>
      </c>
      <c r="AL48" s="123">
        <f>MIN(AL44:AL47)</f>
        <v>-1</v>
      </c>
      <c r="AM48" s="123">
        <f>MAX(AM44:AM47)+1</f>
        <v>3</v>
      </c>
      <c r="AN48" s="123">
        <f>MAX(AN44:AN47)+1</f>
        <v>7</v>
      </c>
      <c r="AO48" s="123">
        <f>MAX(AO44:AO47)+1</f>
        <v>9.5714285714285712</v>
      </c>
      <c r="AP48" s="123">
        <f>MAX(AP44:AP47)+1</f>
        <v>85714294.181734011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90000010.056493774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</v>
      </c>
      <c r="AP51" s="123">
        <f>AO51*10000000+BI51*100+AM51/AM54*10+AI51/AI54*1++IF(AQ51=0,ROW(),AQ51)/2000000</f>
        <v>10000000.111794177</v>
      </c>
      <c r="AQ51" s="126">
        <f>VLOOKUP(AE51,db_fifarank,2,FALSE)</f>
        <v>1366.13</v>
      </c>
      <c r="AR51" s="125">
        <f>AP51/AP54</f>
        <v>0.11111109870327784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2 - 3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3</v>
      </c>
      <c r="AL52" s="123">
        <f>AI52-AJ52</f>
        <v>-2</v>
      </c>
      <c r="AM52" s="123">
        <f>AL52-AL54</f>
        <v>2</v>
      </c>
      <c r="AN52" s="123">
        <f>AF52*3+AG52</f>
        <v>2</v>
      </c>
      <c r="AO52" s="123">
        <f>AN52/AN54*10+BA52</f>
        <v>2</v>
      </c>
      <c r="AP52" s="123">
        <f>AO52*10000000+BI52*100+AM52/AM54*10+AI52/AI54*1++IF(AQ52=0,ROW(),AQ52)/2000000</f>
        <v>20000001.778488494</v>
      </c>
      <c r="AQ52" s="126">
        <f>VLOOKUP(AE52,db_fifarank,2,FALSE)</f>
        <v>1421.43</v>
      </c>
      <c r="AR52" s="125">
        <f>AP52/AP54</f>
        <v>0.22222221468322179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1 - 3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2</v>
      </c>
      <c r="AJ53" s="123">
        <f>SUMIF($E$7:$E$78,$AE53,$G$7:$G$78) + SUMIF($H$7:$H$78,$AE53,$F$7:$F$78)</f>
        <v>3</v>
      </c>
      <c r="AL53" s="123">
        <f>AI53-AJ53</f>
        <v>-1</v>
      </c>
      <c r="AM53" s="123">
        <f>AL53-AL54</f>
        <v>3</v>
      </c>
      <c r="AN53" s="123">
        <f>AF53*3+AG53</f>
        <v>4</v>
      </c>
      <c r="AO53" s="123">
        <f>AN53/AN54*10+BA53</f>
        <v>4</v>
      </c>
      <c r="AP53" s="123">
        <f>AO53*10000000+BI53*100+AM53/AM54*10+AI53/AI54*1++IF(AQ53=0,ROW(),AQ53)/2000000</f>
        <v>40000002.72305876</v>
      </c>
      <c r="AQ53" s="126">
        <f>VLOOKUP(AE53,db_fifarank,2,FALSE)</f>
        <v>1673.07</v>
      </c>
      <c r="AR53" s="125">
        <f>AP53/AP54</f>
        <v>0.44444442010068663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3</v>
      </c>
      <c r="AH54" s="123">
        <f t="shared" si="25"/>
        <v>3</v>
      </c>
      <c r="AI54" s="123">
        <f>MAX(AI50:AI53)+1</f>
        <v>9</v>
      </c>
      <c r="AL54" s="123">
        <f>MIN(AL50:AL53)</f>
        <v>-4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90000011.056493774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Ivory Coast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4</v>
      </c>
      <c r="AL56" s="123">
        <f>AI56-AJ56</f>
        <v>3</v>
      </c>
      <c r="AM56" s="123">
        <f>AL56-AL60</f>
        <v>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90000009.209271982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3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60000005.750844494</v>
      </c>
      <c r="AQ57" s="126">
        <f>VLOOKUP(AE57,db_fifarank,2,FALSE)</f>
        <v>1688.99</v>
      </c>
      <c r="AR57" s="125">
        <f>AP57/AP60</f>
        <v>0.66666665494070321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5</v>
      </c>
      <c r="AL58" s="123">
        <f>AI58-AJ58</f>
        <v>-2</v>
      </c>
      <c r="AM58" s="123">
        <f>AL58-AL60</f>
        <v>0</v>
      </c>
      <c r="AN58" s="123">
        <f>AF58*3+AG58</f>
        <v>1</v>
      </c>
      <c r="AO58" s="123">
        <f>AN58/AN60*10+BA58</f>
        <v>1.9805825242718447</v>
      </c>
      <c r="AP58" s="123">
        <f>AO58*10000000+BI58*100+AM58/AM60*10+AI58/AI60*1++IF(AQ58=0,ROW(),AQ58)/2000000</f>
        <v>19805923.676694445</v>
      </c>
      <c r="AQ58" s="126">
        <f>VLOOKUP(AE58,db_fifarank,2,FALSE)</f>
        <v>1447.14</v>
      </c>
      <c r="AR58" s="125">
        <f>AP58/AP60</f>
        <v>0.22006579366647672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1</v>
      </c>
      <c r="AW58" s="126" cm="1">
        <f t="array" ref="AW58">SUMPRODUCT(($E$7:$E$78=AE58)*($U$7:$U$78)*($G$7:$G$78))+SUMPRODUCT(($H$7:$H$78=AE58)*($U$7:$U$78)*($F$7:$F$78))</f>
        <v>1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50.5</v>
      </c>
      <c r="BA58" s="126">
        <f>AZ58/AZ60</f>
        <v>0.98058252427184467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1</v>
      </c>
      <c r="BE58" s="126" cm="1">
        <f t="array" ref="BE58">SUMPRODUCT(($E$7:$E$78=AE58)*($X$7:$X$78)*($G$7:$G$78))+SUMPRODUCT(($H$7:$H$78=AE58)*($X$7:$X$78)*($F$7:$F$78))</f>
        <v>1</v>
      </c>
      <c r="BF58" s="126">
        <f>BD58-BE58</f>
        <v>0</v>
      </c>
      <c r="BG58" s="126">
        <f>BF58-MIN(BF56:BF59)</f>
        <v>0</v>
      </c>
      <c r="BH58" s="126">
        <f t="shared" si="26"/>
        <v>50.5</v>
      </c>
      <c r="BI58" s="126">
        <f>BH58/BH60</f>
        <v>0.98058252427184467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1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1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0</v>
      </c>
      <c r="AN59" s="123">
        <f>AF59*3+AG59</f>
        <v>1</v>
      </c>
      <c r="AO59" s="123">
        <f>AN59/AN60*10+BA59</f>
        <v>1.9805825242718447</v>
      </c>
      <c r="AP59" s="123">
        <f>AO59*10000000+BI59*100+AM59/AM60*10+AI59/AI60*1++IF(AQ59=0,ROW(),AQ59)/2000000</f>
        <v>19805923.676746346</v>
      </c>
      <c r="AQ59" s="126">
        <f>VLOOKUP(AE59,db_fifarank,2,FALSE)</f>
        <v>1550.94</v>
      </c>
      <c r="AR59" s="125">
        <f>AP59/AP60</f>
        <v>0.22006579366705339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3 - 5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8</v>
      </c>
      <c r="AL60" s="123">
        <f>MIN(AL56:AL59)</f>
        <v>-2</v>
      </c>
      <c r="AM60" s="123">
        <f>MAX(AM56:AM59)+1</f>
        <v>6</v>
      </c>
      <c r="AN60" s="123">
        <f>MAX(AN56:AN59)+1</f>
        <v>10</v>
      </c>
      <c r="AO60" s="123">
        <f>MAX(AO56:AO59)+1</f>
        <v>10</v>
      </c>
      <c r="AP60" s="123">
        <f>MAX(AP56:AP59)+1</f>
        <v>90000010.209271982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2</v>
      </c>
      <c r="AL62" s="123">
        <f>AI62-AJ62</f>
        <v>3</v>
      </c>
      <c r="AM62" s="123">
        <f>AL62-AL66</f>
        <v>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90000009.167604074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1</v>
      </c>
      <c r="V63" s="123">
        <f t="shared" si="21"/>
        <v>1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1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20000002.167448796</v>
      </c>
      <c r="AQ63" s="126">
        <f>VLOOKUP(AE63,db_fifarank,2,FALSE)</f>
        <v>1564.26</v>
      </c>
      <c r="AR63" s="125">
        <f>AP63/AP66</f>
        <v>0.22222222119979149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40000003.834130064</v>
      </c>
      <c r="AQ64" s="126">
        <f>VLOOKUP(AE64,db_fifarank,2,FALSE)</f>
        <v>1593.45</v>
      </c>
      <c r="AR64" s="125">
        <f>AP64/AP66</f>
        <v>0.44444443683549995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5</v>
      </c>
      <c r="AL65" s="123">
        <f>AI65-AJ65</f>
        <v>-2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10000000.500695726</v>
      </c>
      <c r="AQ65" s="126">
        <f>VLOOKUP(AE65,db_fifarank,2,FALSE)</f>
        <v>1391.45</v>
      </c>
      <c r="AR65" s="125">
        <f>AP65/AP66</f>
        <v>0.11111110412180013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6</v>
      </c>
      <c r="AL66" s="123">
        <f>MIN(AL62:AL65)</f>
        <v>-2</v>
      </c>
      <c r="AM66" s="123">
        <f>MAX(AM62:AM65)+1</f>
        <v>6</v>
      </c>
      <c r="AN66" s="123">
        <f>MAX(AN62:AN65)+1</f>
        <v>10</v>
      </c>
      <c r="AO66" s="123">
        <f>MAX(AO62:AO65)+1</f>
        <v>10</v>
      </c>
      <c r="AP66" s="123">
        <f>MAX(AP62:AP65)+1</f>
        <v>90000010.167604074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90000009.87588191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19804019.733582314</v>
      </c>
      <c r="AQ69" s="126">
        <f>VLOOKUP(AE69,db_fifarank,2,FALSE)</f>
        <v>1478.35</v>
      </c>
      <c r="AR69" s="125">
        <f>AP69/AP72</f>
        <v>0.22004463711558694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2 - 2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Zealand_win</v>
      </c>
      <c r="T70" s="127" t="str">
        <f t="shared" si="20"/>
        <v>Belgium_lose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0.22004463572662597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2</v>
      </c>
      <c r="AJ71" s="123">
        <f>SUMIF($E$7:$E$78,$AE71,$G$7:$G$78) + SUMIF($H$7:$H$78,$AE71,$F$7:$F$78)</f>
        <v>2</v>
      </c>
      <c r="AL71" s="123">
        <f>AI71-AJ71</f>
        <v>0</v>
      </c>
      <c r="AM71" s="123">
        <f>AL71-AL72</f>
        <v>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60000003.250846542</v>
      </c>
      <c r="AQ71" s="126">
        <f>VLOOKUP(AE71,db_fifarank,2,FALSE)</f>
        <v>1693.09</v>
      </c>
      <c r="AR71" s="125">
        <f>AP71/AP72</f>
        <v>0.66666662222510098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0 - 3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-3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90000010.87588191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2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6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87500009.429484397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75000006.286572814</v>
      </c>
      <c r="AQ75" s="126">
        <f>VLOOKUP(AE75,db_fifarank,2,FALSE)</f>
        <v>1717.07</v>
      </c>
      <c r="AR75" s="125">
        <f>AP75/AP78</f>
        <v>0.85714282682302945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1.25</v>
      </c>
      <c r="AP76" s="123">
        <f>AO76*10000000+BI76*100+AM76/AM78*10+AI76/AI78*1++IF(AQ76=0,ROW(),AQ76)/2000000</f>
        <v>12500000.28638744</v>
      </c>
      <c r="AQ76" s="126">
        <f>VLOOKUP(AE76,db_fifarank,2,FALSE)</f>
        <v>1346.31</v>
      </c>
      <c r="AR76" s="125">
        <f>AP76/AP78</f>
        <v>0.14285712910241419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4</v>
      </c>
      <c r="AL77" s="123">
        <f>AI77-AJ77</f>
        <v>-1</v>
      </c>
      <c r="AM77" s="123">
        <f>AL77-AL78</f>
        <v>2</v>
      </c>
      <c r="AN77" s="123">
        <f>AF77*3+AG77</f>
        <v>2</v>
      </c>
      <c r="AO77" s="123">
        <f>AN77/AN78*10+BA77</f>
        <v>2.5</v>
      </c>
      <c r="AP77" s="123">
        <f>AO77*10000000+BI77*100+AM77/AM78*10+AI77/AI78*1++IF(AQ77=0,ROW(),AQ77)/2000000</f>
        <v>25000003.286484607</v>
      </c>
      <c r="AQ77" s="126">
        <f>VLOOKUP(AE77,db_fifarank,2,FALSE)</f>
        <v>1540.64</v>
      </c>
      <c r="AR77" s="125">
        <f>AP77/AP78</f>
        <v>0.28571428921865011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9.75</v>
      </c>
      <c r="AP78" s="123">
        <f>MAX(AP74:AP77)+1</f>
        <v>87500010.429484397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4965.7150364042855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2 - 1</v>
      </c>
      <c r="P81" s="98">
        <f>L81*3+M81</f>
        <v>6</v>
      </c>
      <c r="AD81" s="123">
        <f t="shared" ref="AD81:AD91" si="38">COUNTIF($AP$80:$AP$91,CONCATENATE("&gt;=",AP81))</f>
        <v>10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1648.5721214914283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Haiti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0</v>
      </c>
      <c r="AN82" s="123">
        <f t="shared" si="45"/>
        <v>1</v>
      </c>
      <c r="AP82" s="123">
        <f>AN82/AN92*10000+AM82/AM92*1000+AI82/AI92*100+IF(AQ82=0,ROW(),AQ82)/2000000</f>
        <v>1468.5720744264283</v>
      </c>
      <c r="AQ82" s="126">
        <f t="shared" si="37"/>
        <v>1291.71</v>
      </c>
      <c r="AR82" s="125" t="str">
        <f t="shared" ref="AR82:AR91" si="50">AR81&amp;IF(AD82&lt;=8,RIGHT(AK82,1),"")</f>
        <v>A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5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3317.1436566628568</v>
      </c>
      <c r="AQ83" s="126">
        <f t="shared" si="37"/>
        <v>1599.04</v>
      </c>
      <c r="AR83" s="125" t="str">
        <f t="shared" si="50"/>
        <v>AD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6374.2864807757142</v>
      </c>
      <c r="AQ84" s="126">
        <f t="shared" si="37"/>
        <v>1532.98</v>
      </c>
      <c r="AR84" s="125" t="str">
        <f t="shared" si="50"/>
        <v>ADE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Ⓓ Turkey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2</v>
      </c>
      <c r="AG85" s="123">
        <f t="shared" si="49"/>
        <v>0</v>
      </c>
      <c r="AH85" s="123">
        <f t="shared" si="40"/>
        <v>1</v>
      </c>
      <c r="AI85" s="123">
        <f t="shared" si="41"/>
        <v>2</v>
      </c>
      <c r="AJ85" s="123">
        <f t="shared" si="42"/>
        <v>1</v>
      </c>
      <c r="AK85" s="123" t="s">
        <v>3186</v>
      </c>
      <c r="AL85" s="123">
        <f t="shared" si="43"/>
        <v>1</v>
      </c>
      <c r="AM85" s="123">
        <f t="shared" si="44"/>
        <v>4</v>
      </c>
      <c r="AN85" s="123">
        <f t="shared" si="45"/>
        <v>6</v>
      </c>
      <c r="AP85" s="123">
        <f>AN85/AN92*10000+AM85/AM92*1000+AI85/AI92*100+IF(AQ85=0,ROW(),AQ85)/2000000</f>
        <v>9411.4293288135705</v>
      </c>
      <c r="AQ85" s="126">
        <f t="shared" si="37"/>
        <v>1514.77</v>
      </c>
      <c r="AR85" s="125" t="str">
        <f t="shared" si="50"/>
        <v>ADEF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6374.2865219357136</v>
      </c>
      <c r="AQ86" s="126">
        <f t="shared" si="37"/>
        <v>1615.3</v>
      </c>
      <c r="AR86" s="125" t="str">
        <f t="shared" si="50"/>
        <v>ADEFG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Panama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1</v>
      </c>
      <c r="AJ87" s="123">
        <f t="shared" si="42"/>
        <v>3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3077.1435678578569</v>
      </c>
      <c r="AQ87" s="126">
        <f t="shared" si="37"/>
        <v>1421.43</v>
      </c>
      <c r="AR87" s="125" t="str">
        <f t="shared" si="50"/>
        <v>ADEFGH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9</v>
      </c>
      <c r="AE88" s="124" t="str">
        <f>J59</f>
        <v>Norway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1</v>
      </c>
      <c r="AP88" s="123">
        <f>AN88/AN92*10000+AM88/AM92*1000+AI88/AI92*100+IF(AQ88=0,ROW(),AQ88)/2000000</f>
        <v>1688.5722040414284</v>
      </c>
      <c r="AQ88" s="126">
        <f t="shared" si="37"/>
        <v>1550.94</v>
      </c>
      <c r="AR88" s="125" t="str">
        <f t="shared" si="50"/>
        <v>ADEFGH</v>
      </c>
      <c r="AS88" s="129" t="str">
        <f t="shared" si="46"/>
        <v/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Ⓘ Norway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3317.1436392728569</v>
      </c>
      <c r="AQ89" s="126">
        <f t="shared" si="37"/>
        <v>1564.26</v>
      </c>
      <c r="AR89" s="125" t="str">
        <f t="shared" si="50"/>
        <v>ADEFGHJ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Bosnia and Herzegovina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Australia</v>
      </c>
      <c r="T90" s="127" t="str" cm="1">
        <f t="array" ref="T90">IF(OR(S90="",S90="draw"),INDEX(T,92,lang),S90)</f>
        <v>Australia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1448.5721677464285</v>
      </c>
      <c r="AQ90" s="126">
        <f t="shared" si="37"/>
        <v>1478.35</v>
      </c>
      <c r="AR90" s="125" t="str">
        <f t="shared" si="50"/>
        <v>ADEFGHJ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Haiti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7</v>
      </c>
      <c r="AE91" s="124" t="str">
        <f>J77</f>
        <v>Panama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2</v>
      </c>
      <c r="AP91" s="123">
        <f>AN91/AN92*10000+AM91/AM92*1000+AI91/AI92*100+IF(AQ91=0,ROW(),AQ91)/2000000</f>
        <v>3317.1436274628568</v>
      </c>
      <c r="AQ91" s="126">
        <f t="shared" si="37"/>
        <v>1540.64</v>
      </c>
      <c r="AR91" s="125" t="str">
        <f t="shared" si="50"/>
        <v>ADEFGHJL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3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-3</v>
      </c>
      <c r="AM92" s="123">
        <f>MAX(AM80:AM91)+1</f>
        <v>5</v>
      </c>
      <c r="AN92" s="123">
        <f>MAX(AN80:AN91)+1</f>
        <v>7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Canada</v>
      </c>
      <c r="T96" s="127" t="str" cm="1">
        <f t="array" ref="T96">IF(OR(S96="",S96="draw"),INDEX(T,95,lang),S96)</f>
        <v>Canada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Australia</v>
      </c>
      <c r="T98" s="127" t="str" cm="1">
        <f t="array" ref="T98">IF(OR(S98="",S98="draw"),INDEX(T,97,lang),S98)</f>
        <v>Australia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Canada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Canada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Australia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Australia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197</v>
      </c>
      <c r="C3" s="121" t="str">
        <f>'2026 World Cup'!AR91</f>
        <v>ADEFGHJL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3E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