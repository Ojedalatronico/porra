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0BE07354-9BD7-9340-A5A8-27583FE4EF26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O3" i="3"/>
  <c r="G65" i="2"/>
  <c r="G16" i="2"/>
  <c r="CD31" i="3"/>
  <c r="G15" i="2"/>
  <c r="CE68" i="3"/>
  <c r="BW19" i="3"/>
  <c r="BW59" i="3"/>
  <c r="BR59" i="3" a="1"/>
  <c r="BR59" i="3"/>
  <c r="BP53" i="3"/>
  <c r="BK53" i="3" a="1"/>
  <c r="BK53" i="3"/>
  <c r="BP29" i="3"/>
  <c r="BK29" i="3" a="1"/>
  <c r="BK29" i="3"/>
  <c r="BP17" i="3"/>
  <c r="BK17" i="3" a="1"/>
  <c r="BK17" i="3"/>
  <c r="BP45" i="3"/>
  <c r="BK45" i="3" a="1"/>
  <c r="BK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P49" i="3"/>
  <c r="BK49" i="3" a="1"/>
  <c r="BK49" i="3"/>
  <c r="BK41" i="3" a="1"/>
  <c r="BK41" i="3"/>
  <c r="BP37" i="3"/>
  <c r="BK37" i="3" a="1"/>
  <c r="BK37" i="3"/>
  <c r="BP33" i="3"/>
  <c r="BK33" i="3" a="1"/>
  <c r="BK33" i="3"/>
  <c r="BP25" i="3"/>
  <c r="BK25" i="3" a="1"/>
  <c r="BK25" i="3"/>
  <c r="BP21" i="3"/>
  <c r="BK21" i="3" a="1"/>
  <c r="BK21" i="3"/>
  <c r="BP13" i="3"/>
  <c r="BK13" i="3" a="1"/>
  <c r="BK13" i="3"/>
  <c r="BP9" i="3"/>
  <c r="BK9" i="3" a="1"/>
  <c r="BK9" i="3"/>
  <c r="I15" i="2"/>
  <c r="AA14" i="3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AA34" i="3"/>
  <c r="E7" i="3"/>
  <c r="E60" i="3"/>
  <c r="H31" i="3"/>
  <c r="H7" i="3"/>
  <c r="H57" i="3"/>
  <c r="E33" i="3"/>
  <c r="AA33" i="3"/>
  <c r="E9" i="3"/>
  <c r="H60" i="3"/>
  <c r="H34" i="3"/>
  <c r="E8" i="3"/>
  <c r="H58" i="3"/>
  <c r="H33" i="3"/>
  <c r="E14" i="3"/>
  <c r="E57" i="3"/>
  <c r="E32" i="3"/>
  <c r="H14" i="3"/>
  <c r="H55" i="3"/>
  <c r="E13" i="3"/>
  <c r="AA13" i="3"/>
  <c r="E56" i="3"/>
  <c r="H13" i="3"/>
  <c r="H56" i="3"/>
  <c r="E11" i="3"/>
  <c r="E55" i="3"/>
  <c r="AA55" i="3"/>
  <c r="H11" i="3"/>
  <c r="H65" i="3"/>
  <c r="E37" i="3"/>
  <c r="AA37" i="3"/>
  <c r="E10" i="3"/>
  <c r="E66" i="3"/>
  <c r="AA66" i="3"/>
  <c r="H38" i="3"/>
  <c r="H10" i="3"/>
  <c r="H66" i="3"/>
  <c r="H37" i="3"/>
  <c r="E65" i="3"/>
  <c r="AA65" i="3"/>
  <c r="E38" i="3"/>
  <c r="H62" i="3"/>
  <c r="E39" i="3"/>
  <c r="E16" i="3"/>
  <c r="AA16" i="3"/>
  <c r="E61" i="3"/>
  <c r="H40" i="3"/>
  <c r="H16" i="3"/>
  <c r="H61" i="3"/>
  <c r="H39" i="3"/>
  <c r="E15" i="3"/>
  <c r="AA15" i="3"/>
  <c r="E62" i="3"/>
  <c r="E40" i="3"/>
  <c r="AA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/>
  <c r="H18" i="3"/>
  <c r="H70" i="3"/>
  <c r="E45" i="3"/>
  <c r="AA45" i="3"/>
  <c r="H69" i="3"/>
  <c r="H45" i="3"/>
  <c r="E21" i="3"/>
  <c r="E70" i="3"/>
  <c r="AA70" i="3"/>
  <c r="E46" i="3"/>
  <c r="AA46" i="3"/>
  <c r="H21" i="3"/>
  <c r="H72" i="3"/>
  <c r="E44" i="3"/>
  <c r="E20" i="3"/>
  <c r="H71" i="3"/>
  <c r="H44" i="3"/>
  <c r="E19" i="3"/>
  <c r="AA19" i="3"/>
  <c r="E72" i="3"/>
  <c r="AA72" i="3"/>
  <c r="E43" i="3"/>
  <c r="H19" i="3"/>
  <c r="H67" i="3"/>
  <c r="E48" i="3"/>
  <c r="AA48" i="3"/>
  <c r="E23" i="3"/>
  <c r="AA23" i="3"/>
  <c r="E68" i="3"/>
  <c r="H47" i="3"/>
  <c r="H23" i="3"/>
  <c r="E67" i="3"/>
  <c r="AA67" i="3"/>
  <c r="E47" i="3"/>
  <c r="AA47" i="3"/>
  <c r="H24" i="3"/>
  <c r="H76" i="3"/>
  <c r="E49" i="3"/>
  <c r="AA49" i="3"/>
  <c r="E25" i="3"/>
  <c r="E75" i="3"/>
  <c r="AA75" i="3"/>
  <c r="H50" i="3"/>
  <c r="H25" i="3"/>
  <c r="H75" i="3"/>
  <c r="H49" i="3"/>
  <c r="E26" i="3"/>
  <c r="E76" i="3"/>
  <c r="AA76" i="3"/>
  <c r="E50" i="3"/>
  <c r="AA50" i="3"/>
  <c r="H26" i="3"/>
  <c r="E78" i="3"/>
  <c r="AA78" i="3"/>
  <c r="H54" i="3"/>
  <c r="H29" i="3"/>
  <c r="H78" i="3"/>
  <c r="H53" i="3"/>
  <c r="E30" i="3"/>
  <c r="AA30" i="3"/>
  <c r="E77" i="3"/>
  <c r="E54" i="3"/>
  <c r="AA54" i="3"/>
  <c r="H30" i="3"/>
  <c r="H73" i="3"/>
  <c r="E51" i="3"/>
  <c r="E28" i="3"/>
  <c r="AA28" i="3"/>
  <c r="E74" i="3"/>
  <c r="H52" i="3"/>
  <c r="H28" i="3"/>
  <c r="H74" i="3"/>
  <c r="H51" i="3"/>
  <c r="E27" i="3"/>
  <c r="AA27" i="3"/>
  <c r="E73" i="3"/>
  <c r="E52" i="3"/>
  <c r="AA52" i="3"/>
  <c r="H27" i="3"/>
  <c r="E71" i="3"/>
  <c r="AA71" i="3"/>
  <c r="H43" i="3"/>
  <c r="H20" i="3"/>
  <c r="E59" i="3"/>
  <c r="E31" i="3"/>
  <c r="AA31" i="3"/>
  <c r="E58" i="3"/>
  <c r="H32" i="3"/>
  <c r="E69" i="3"/>
  <c r="AA69" i="3"/>
  <c r="H46" i="3"/>
  <c r="H68" i="3"/>
  <c r="H48" i="3"/>
  <c r="E24" i="3"/>
  <c r="E12" i="3"/>
  <c r="AA12" i="3"/>
  <c r="H8" i="3"/>
  <c r="H22" i="3"/>
  <c r="H12" i="3"/>
  <c r="E22" i="3"/>
  <c r="H9" i="3"/>
  <c r="AA9" i="3"/>
  <c r="D7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/>
  <c r="S28" i="3"/>
  <c r="S51" i="3"/>
  <c r="S30" i="3"/>
  <c r="T30" i="3"/>
  <c r="S78" i="3"/>
  <c r="S26" i="3"/>
  <c r="S75" i="3"/>
  <c r="T75" i="3"/>
  <c r="S25" i="3"/>
  <c r="S49" i="3"/>
  <c r="T49" i="3"/>
  <c r="S68" i="3"/>
  <c r="T68" i="3"/>
  <c r="S23" i="3"/>
  <c r="S48" i="3"/>
  <c r="S43" i="3"/>
  <c r="S19" i="3"/>
  <c r="S20" i="3"/>
  <c r="T20" i="3"/>
  <c r="S44" i="3"/>
  <c r="T44" i="3"/>
  <c r="S46" i="3"/>
  <c r="S21" i="3"/>
  <c r="S45" i="3"/>
  <c r="T45" i="3"/>
  <c r="S18" i="3"/>
  <c r="S63" i="3"/>
  <c r="S17" i="3"/>
  <c r="T17" i="3"/>
  <c r="S41" i="3"/>
  <c r="S15" i="3"/>
  <c r="T15" i="3"/>
  <c r="S61" i="3"/>
  <c r="S16" i="3"/>
  <c r="S39" i="3"/>
  <c r="T39" i="3"/>
  <c r="S66" i="3"/>
  <c r="T66" i="3"/>
  <c r="S10" i="3"/>
  <c r="T10" i="3"/>
  <c r="S37" i="3"/>
  <c r="S11" i="3"/>
  <c r="T11" i="3"/>
  <c r="S56" i="3"/>
  <c r="S13" i="3"/>
  <c r="T13" i="3"/>
  <c r="S32" i="3"/>
  <c r="T32" i="3"/>
  <c r="S14" i="3"/>
  <c r="T14" i="3"/>
  <c r="S8" i="3"/>
  <c r="S9" i="3"/>
  <c r="T9" i="3"/>
  <c r="S33" i="3"/>
  <c r="S60" i="3"/>
  <c r="T60" i="3"/>
  <c r="S34" i="3"/>
  <c r="T34" i="3"/>
  <c r="S29" i="3"/>
  <c r="T29" i="3"/>
  <c r="S53" i="3"/>
  <c r="S35" i="3"/>
  <c r="S7" i="3"/>
  <c r="T7" i="3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60" i="3"/>
  <c r="BH56" i="3"/>
  <c r="BG78" i="3"/>
  <c r="BH74" i="3"/>
  <c r="BG66" i="3"/>
  <c r="BH62" i="3"/>
  <c r="BG48" i="3"/>
  <c r="BH44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6" i="3"/>
  <c r="AP26" i="3"/>
  <c r="BI20" i="3"/>
  <c r="AP20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AP12" i="3"/>
  <c r="AR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AP36" i="3"/>
  <c r="AR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72" i="3"/>
  <c r="AR68" i="3"/>
  <c r="AP30" i="3"/>
  <c r="AR26" i="3"/>
  <c r="AP78" i="3"/>
  <c r="AR74" i="3"/>
  <c r="AP24" i="3"/>
  <c r="AR20" i="3"/>
  <c r="AR58" i="3"/>
  <c r="AR59" i="3"/>
  <c r="AR56" i="3"/>
  <c r="AD57" i="3"/>
  <c r="AP42" i="3"/>
  <c r="AR38" i="3"/>
  <c r="AP66" i="3"/>
  <c r="AR62" i="3"/>
  <c r="AP48" i="3"/>
  <c r="AR44" i="3"/>
  <c r="AP18" i="3"/>
  <c r="AR14" i="3"/>
  <c r="AP54" i="3"/>
  <c r="AR50" i="3"/>
  <c r="AD58" i="3"/>
  <c r="AR11" i="3"/>
  <c r="AR10" i="3"/>
  <c r="AR9" i="3"/>
  <c r="AR22" i="3"/>
  <c r="AR21" i="3"/>
  <c r="AR28" i="3"/>
  <c r="AR35" i="3"/>
  <c r="AR34" i="3"/>
  <c r="AR33" i="3"/>
  <c r="AR75" i="3"/>
  <c r="AR76" i="3"/>
  <c r="AR77" i="3"/>
  <c r="AD74" i="3"/>
  <c r="AD76" i="3"/>
  <c r="AD77" i="3"/>
  <c r="AR65" i="3"/>
  <c r="AR40" i="3"/>
  <c r="AR41" i="3"/>
  <c r="AR29" i="3"/>
  <c r="AR27" i="3"/>
  <c r="AD29" i="3"/>
  <c r="AR69" i="3"/>
  <c r="AR71" i="3"/>
  <c r="AR70" i="3"/>
  <c r="AD71" i="3"/>
  <c r="AD28" i="3"/>
  <c r="AR23" i="3"/>
  <c r="AD22" i="3"/>
  <c r="AR51" i="3"/>
  <c r="AR52" i="3"/>
  <c r="AR53" i="3"/>
  <c r="AD53" i="3"/>
  <c r="AR46" i="3"/>
  <c r="AR15" i="3"/>
  <c r="AR45" i="3"/>
  <c r="AR63" i="3"/>
  <c r="AR64" i="3"/>
  <c r="AD63" i="3"/>
  <c r="AR47" i="3"/>
  <c r="AD44" i="3"/>
  <c r="AD62" i="3"/>
  <c r="AR39" i="3"/>
  <c r="AD56" i="3"/>
  <c r="AD59" i="3"/>
  <c r="M58" i="3"/>
  <c r="AR16" i="3"/>
  <c r="AR17" i="3"/>
  <c r="AD14" i="3"/>
  <c r="M59" i="3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AD69" i="3"/>
  <c r="AD39" i="3"/>
  <c r="L57" i="3"/>
  <c r="AD64" i="3"/>
  <c r="AD16" i="3"/>
  <c r="AD17" i="3"/>
  <c r="N17" i="3"/>
  <c r="L60" i="3"/>
  <c r="J57" i="3"/>
  <c r="AS56" i="3"/>
  <c r="BL14" i="3"/>
  <c r="J59" i="3"/>
  <c r="AE88" i="3"/>
  <c r="AQ88" i="3"/>
  <c r="AD46" i="3"/>
  <c r="M60" i="3"/>
  <c r="O57" i="3"/>
  <c r="N60" i="3"/>
  <c r="M57" i="3"/>
  <c r="P57" i="3"/>
  <c r="AD23" i="3"/>
  <c r="L23" i="3"/>
  <c r="AD65" i="3"/>
  <c r="AD51" i="3"/>
  <c r="O58" i="3"/>
  <c r="N57" i="3"/>
  <c r="K57" i="3"/>
  <c r="J60" i="3"/>
  <c r="J58" i="3"/>
  <c r="AS57" i="3"/>
  <c r="BL47" i="3"/>
  <c r="BS45" i="3"/>
  <c r="BZ48" i="3"/>
  <c r="O59" i="3"/>
  <c r="AD45" i="3"/>
  <c r="AD40" i="3"/>
  <c r="AD38" i="3"/>
  <c r="M41" i="3"/>
  <c r="AD52" i="3"/>
  <c r="AD50" i="3"/>
  <c r="N53" i="3"/>
  <c r="O54" i="3"/>
  <c r="N59" i="3"/>
  <c r="K59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/>
  <c r="BL50" i="3"/>
  <c r="L9" i="3"/>
  <c r="L11" i="3"/>
  <c r="M10" i="3"/>
  <c r="N10" i="3"/>
  <c r="O11" i="3"/>
  <c r="J11" i="3"/>
  <c r="AE80" i="3"/>
  <c r="AQ80" i="3"/>
  <c r="L10" i="3"/>
  <c r="O10" i="3"/>
  <c r="N11" i="3"/>
  <c r="M11" i="3"/>
  <c r="J10" i="3"/>
  <c r="AS9" i="3"/>
  <c r="BL18" i="3"/>
  <c r="L15" i="3"/>
  <c r="M16" i="3"/>
  <c r="O17" i="3"/>
  <c r="L17" i="3"/>
  <c r="J16" i="3"/>
  <c r="AS15" i="3"/>
  <c r="BL19" i="3"/>
  <c r="M18" i="3"/>
  <c r="N16" i="3"/>
  <c r="O16" i="3"/>
  <c r="J18" i="3"/>
  <c r="L16" i="3"/>
  <c r="M17" i="3"/>
  <c r="O18" i="3"/>
  <c r="N18" i="3"/>
  <c r="L18" i="3"/>
  <c r="J24" i="3"/>
  <c r="J22" i="3"/>
  <c r="AS21" i="3"/>
  <c r="BL23" i="3"/>
  <c r="J21" i="3"/>
  <c r="AS20" i="3"/>
  <c r="BL42" i="3"/>
  <c r="BS4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/>
  <c r="AQ83" i="3"/>
  <c r="J28" i="3"/>
  <c r="AS27" i="3"/>
  <c r="BL62" i="3"/>
  <c r="BS61" i="3"/>
  <c r="J27" i="3"/>
  <c r="AS26" i="3"/>
  <c r="BL34" i="3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/>
  <c r="AQ84" i="3"/>
  <c r="J34" i="3"/>
  <c r="AS33" i="3"/>
  <c r="BL46" i="3"/>
  <c r="J33" i="3"/>
  <c r="AS32" i="3"/>
  <c r="BL10" i="3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/>
  <c r="AQ85" i="3"/>
  <c r="J40" i="3"/>
  <c r="AS39" i="3"/>
  <c r="BL43" i="3"/>
  <c r="J39" i="3"/>
  <c r="AS38" i="3"/>
  <c r="BL22" i="3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/>
  <c r="AQ86" i="3"/>
  <c r="J46" i="3"/>
  <c r="AS45" i="3"/>
  <c r="BL63" i="3"/>
  <c r="J45" i="3"/>
  <c r="AS44" i="3"/>
  <c r="BL38" i="3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/>
  <c r="BL30" i="3"/>
  <c r="J52" i="3"/>
  <c r="AS51" i="3"/>
  <c r="BL59" i="3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/>
  <c r="AQ89" i="3"/>
  <c r="J64" i="3"/>
  <c r="AS63" i="3"/>
  <c r="BL31" i="3"/>
  <c r="J63" i="3"/>
  <c r="AS62" i="3"/>
  <c r="BL58" i="3"/>
  <c r="BS60" i="3"/>
  <c r="BZ6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/>
  <c r="AQ90" i="3"/>
  <c r="J70" i="3"/>
  <c r="AS69" i="3"/>
  <c r="BL26" i="3"/>
  <c r="J69" i="3"/>
  <c r="AS68" i="3"/>
  <c r="BL70" i="3"/>
  <c r="L75" i="3"/>
  <c r="O75" i="3"/>
  <c r="N75" i="3"/>
  <c r="J75" i="3"/>
  <c r="AS74" i="3"/>
  <c r="BL54" i="3"/>
  <c r="M75" i="3"/>
  <c r="N76" i="3"/>
  <c r="J78" i="3"/>
  <c r="M76" i="3"/>
  <c r="L76" i="3"/>
  <c r="N78" i="3"/>
  <c r="M78" i="3"/>
  <c r="L78" i="3"/>
  <c r="O78" i="3"/>
  <c r="O76" i="3"/>
  <c r="J76" i="3"/>
  <c r="AS75" i="3"/>
  <c r="BL27" i="3"/>
  <c r="L77" i="3"/>
  <c r="O77" i="3"/>
  <c r="J77" i="3"/>
  <c r="AE91" i="3"/>
  <c r="AQ91" i="3"/>
  <c r="M77" i="3"/>
  <c r="N77" i="3"/>
  <c r="J54" i="3"/>
  <c r="O52" i="3"/>
  <c r="O41" i="3"/>
  <c r="L41" i="3"/>
  <c r="N23" i="3"/>
  <c r="M23" i="3"/>
  <c r="K23" i="3"/>
  <c r="AL88" i="3"/>
  <c r="N15" i="3"/>
  <c r="O53" i="3"/>
  <c r="L52" i="3"/>
  <c r="J17" i="3"/>
  <c r="AE81" i="3"/>
  <c r="AQ81" i="3"/>
  <c r="L53" i="3"/>
  <c r="M53" i="3"/>
  <c r="P53" i="3"/>
  <c r="M52" i="3"/>
  <c r="P52" i="3"/>
  <c r="J53" i="3"/>
  <c r="AE87" i="3"/>
  <c r="AQ87" i="3"/>
  <c r="N41" i="3"/>
  <c r="J23" i="3"/>
  <c r="AE82" i="3"/>
  <c r="AQ82" i="3"/>
  <c r="AH88" i="3"/>
  <c r="N42" i="3"/>
  <c r="P60" i="3"/>
  <c r="K60" i="3"/>
  <c r="M15" i="3"/>
  <c r="O15" i="3"/>
  <c r="J15" i="3"/>
  <c r="AS14" i="3"/>
  <c r="BL66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L82" i="3"/>
  <c r="AL92" i="3"/>
  <c r="AM88" i="3"/>
  <c r="AI87" i="3"/>
  <c r="AI92" i="3"/>
  <c r="K52" i="3"/>
  <c r="AJ92" i="3"/>
  <c r="AG92" i="3"/>
  <c r="AF92" i="3"/>
  <c r="AH92" i="3"/>
  <c r="AS92" i="3"/>
  <c r="AN92" i="3"/>
  <c r="AM83" i="3"/>
  <c r="AM91" i="3"/>
  <c r="AM82" i="3"/>
  <c r="AM90" i="3"/>
  <c r="AM89" i="3"/>
  <c r="AM80" i="3"/>
  <c r="AM81" i="3"/>
  <c r="AM87" i="3"/>
  <c r="AM86" i="3"/>
  <c r="AM85" i="3"/>
  <c r="AM84" i="3"/>
  <c r="AM92" i="3"/>
  <c r="AP87" i="3"/>
  <c r="S85" i="3"/>
  <c r="T85" i="3" a="1"/>
  <c r="T85" i="3"/>
  <c r="BS13" i="3"/>
  <c r="S84" i="3"/>
  <c r="T84" i="3" a="1"/>
  <c r="T84" i="3"/>
  <c r="BS12" i="3"/>
  <c r="BZ16" i="3"/>
  <c r="S95" i="3"/>
  <c r="T95" i="3" a="1"/>
  <c r="T95" i="3"/>
  <c r="AP81" i="3"/>
  <c r="AP84" i="3"/>
  <c r="AP86" i="3"/>
  <c r="AP89" i="3"/>
  <c r="AP90" i="3"/>
  <c r="AP88" i="3"/>
  <c r="AP82" i="3"/>
  <c r="AP83" i="3"/>
  <c r="AP91" i="3"/>
  <c r="AP85" i="3"/>
  <c r="AP80" i="3"/>
  <c r="AD85" i="3"/>
  <c r="AS85" i="3"/>
  <c r="AD89" i="3"/>
  <c r="AS89" i="3"/>
  <c r="AD86" i="3"/>
  <c r="AS86" i="3"/>
  <c r="AD84" i="3"/>
  <c r="AS84" i="3"/>
  <c r="AD83" i="3"/>
  <c r="AS83" i="3"/>
  <c r="AD91" i="3"/>
  <c r="AS91" i="3"/>
  <c r="AD82" i="3"/>
  <c r="AS82" i="3"/>
  <c r="AD90" i="3"/>
  <c r="AS90" i="3"/>
  <c r="AD88" i="3"/>
  <c r="AS88" i="3"/>
  <c r="AD87" i="3"/>
  <c r="AS87" i="3"/>
  <c r="AD80" i="3"/>
  <c r="AD81" i="3"/>
  <c r="AS81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/>
  <c r="I3" i="4"/>
  <c r="BL15" i="3"/>
  <c r="P89" i="3"/>
  <c r="G3" i="4"/>
  <c r="BL11" i="3"/>
  <c r="J3" i="4"/>
  <c r="B3" i="4"/>
  <c r="D3" i="4"/>
  <c r="K3" i="4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<sst xmlns="http://schemas.openxmlformats.org/spreadsheetml/2006/main" count="9785" uniqueCount="3699">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</sst>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U37" zoomScaleNormal="100" workbookViewId="0">
      <selection activeCell="CO50" sqref="CO50"/>
    </sheetView>
  </sheetViews>
  <sheetFormatPr defaultColWidth="9.14453125" defaultRowHeight="15" x14ac:dyDescent="0.2"/>
  <cols>
    <col min="1" max="1" width="4.83984375" style="3" customWidth="1"/>
    <col min="2" max="2" width="6.0507812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359375" style="2" customWidth="1"/>
    <col min="64" max="64" width="19.63671875" style="2" customWidth="1"/>
    <col min="65" max="67" width="2.95703125" style="2" customWidth="1"/>
    <col min="68" max="69" width="2.015625" style="111" customWidth="1"/>
    <col min="70" max="70" width="3.359375" style="2" customWidth="1"/>
    <col min="71" max="71" width="19.636718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636718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63671875" style="2" customWidth="1"/>
    <col min="86" max="88" width="2.95703125" style="2" customWidth="1"/>
    <col min="89" max="90" width="2.015625" style="111" customWidth="1"/>
    <col min="91" max="91" width="3.62890625" style="2" customWidth="1"/>
    <col min="92" max="92" width="19.636718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2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6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87500009.429411933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6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12500000.429286294</v>
      </c>
      <c r="AQ9" s="126">
        <f>VLOOKUP(AE9,db_fifarank,2,FALSE)</f>
        <v>1429.73</v>
      </c>
      <c r="AR9" s="125">
        <f>AP9/AP12</f>
        <v>0.14285713073566206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2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5 - 2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2</v>
      </c>
      <c r="W10" s="123">
        <f t="shared" si="4"/>
        <v>2</v>
      </c>
      <c r="X10" s="123">
        <f t="shared" si="9"/>
        <v>1</v>
      </c>
      <c r="Y10" s="123">
        <f t="shared" si="10"/>
        <v>2</v>
      </c>
      <c r="Z10" s="123">
        <f t="shared" si="11"/>
        <v>2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2</v>
      </c>
      <c r="AL10" s="123">
        <f>AI10-AJ10</f>
        <v>3</v>
      </c>
      <c r="AM10" s="123">
        <f>AL10-AL12</f>
        <v>6</v>
      </c>
      <c r="AN10" s="123">
        <f>AF10*3+AG10</f>
        <v>6</v>
      </c>
      <c r="AO10" s="123">
        <f>AN10/AN12*10+BA10</f>
        <v>7.5</v>
      </c>
      <c r="AP10" s="123">
        <f>AO10*10000000+BI10*100+AM10/AM12*10+AI10/AI12*1++IF(AQ10=0,ROW(),AQ10)/2000000</f>
        <v>75000009.28650862</v>
      </c>
      <c r="AQ10" s="126">
        <f>VLOOKUP(AE10,db_fifarank,2,FALSE)</f>
        <v>1588.66</v>
      </c>
      <c r="AR10" s="125">
        <f>AP10/AP12</f>
        <v>0.85714286110871585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5</v>
      </c>
      <c r="AL11" s="123">
        <f>AI11-AJ11</f>
        <v>-3</v>
      </c>
      <c r="AM11" s="123">
        <f>AL11-AL12</f>
        <v>0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37500000.286464974</v>
      </c>
      <c r="AQ11" s="126">
        <f>VLOOKUP(AE11,db_fifarank,2,FALSE)</f>
        <v>1501.38</v>
      </c>
      <c r="AR11" s="125">
        <f>AP11/AP12</f>
        <v>0.42857138076248574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87500010.429411933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4</v>
      </c>
      <c r="AL14" s="123">
        <f>AI14-AJ14</f>
        <v>2</v>
      </c>
      <c r="AM14" s="123">
        <f>AL14-AL18</f>
        <v>8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62500008.750778243</v>
      </c>
      <c r="AQ14" s="126">
        <f>VLOOKUP(AE14,db_fifarank,2,FALSE)</f>
        <v>1556.48</v>
      </c>
      <c r="AR14" s="125">
        <f>AP14/AP18</f>
        <v>0.71428572551236458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7 - 4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6</v>
      </c>
      <c r="AJ15" s="123">
        <f>SUMIF($E$7:$E$78,$AE15,$G$7:$G$78) + SUMIF($H$7:$H$78,$AE15,$F$7:$F$78)</f>
        <v>5</v>
      </c>
      <c r="AL15" s="123">
        <f>AI15-AJ15</f>
        <v>1</v>
      </c>
      <c r="AM15" s="123">
        <f>AL15-AL18</f>
        <v>7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50000007.750692919</v>
      </c>
      <c r="AQ15" s="126">
        <f>VLOOKUP(AE15,db_fifarank,2,FALSE)</f>
        <v>1385.84</v>
      </c>
      <c r="AR15" s="125">
        <f>AP15/AP18</f>
        <v>0.5714285889821229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Tunisia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6 - 4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8.3140561094603794E-12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6 - 5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4</v>
      </c>
      <c r="AL17" s="123">
        <f>AI17-AJ17</f>
        <v>3</v>
      </c>
      <c r="AM17" s="123">
        <f>AL17-AL18</f>
        <v>9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87500009.875824705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8</v>
      </c>
      <c r="AL18" s="123">
        <f>MIN(AL14:AL17)</f>
        <v>-6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87500010.875824705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14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90000010.234213918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4</v>
      </c>
      <c r="AL21" s="123">
        <f>AI21-AJ21</f>
        <v>3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60000007.367544599</v>
      </c>
      <c r="AQ21" s="126">
        <f>VLOOKUP(AE21,db_fifarank,2,FALSE)</f>
        <v>1755.87</v>
      </c>
      <c r="AR21" s="125">
        <f>AP21/AP24</f>
        <v>0.66666666531187413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7.1761657709046511E-12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6</v>
      </c>
      <c r="AL23" s="123">
        <f>AI23-AJ23</f>
        <v>-3</v>
      </c>
      <c r="AM23" s="123">
        <f>AL23-AL24</f>
        <v>4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30000002.967415843</v>
      </c>
      <c r="AQ23" s="126">
        <f>VLOOKUP(AE23,db_fifarank,2,FALSE)</f>
        <v>1498.35</v>
      </c>
      <c r="AR23" s="125">
        <f>AP23/AP24</f>
        <v>0.33333332469642185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-7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90000011.234213918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7</v>
      </c>
      <c r="AJ26" s="123">
        <f>SUMIF($E$7:$E$78,$AE26,$G$7:$G$78) + SUMIF($H$7:$H$78,$AE26,$F$7:$F$78)</f>
        <v>5</v>
      </c>
      <c r="AL26" s="123">
        <f>AI26-AJ26</f>
        <v>2</v>
      </c>
      <c r="AM26" s="123">
        <f>AL26-AL30</f>
        <v>8</v>
      </c>
      <c r="AN26" s="123">
        <f>AF26*3+AG26</f>
        <v>7</v>
      </c>
      <c r="AO26" s="123">
        <f>AN26/AN30*10+BA26</f>
        <v>9.7306451612903224</v>
      </c>
      <c r="AP26" s="123">
        <f>AO26*10000000+BI26*100+AM26/AM30*10+AI26/AI30*1++IF(AQ26=0,ROW(),AQ26)/2000000</f>
        <v>97306558.553255916</v>
      </c>
      <c r="AQ26" s="126">
        <f>VLOOKUP(AE26,db_fifarank,2,FALSE)</f>
        <v>1673.13</v>
      </c>
      <c r="AR26" s="125">
        <f>AP26/AP30</f>
        <v>0.9999999807318728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2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50.666666666666664</v>
      </c>
      <c r="BA26" s="126">
        <f>AZ26/AZ30</f>
        <v>0.98064516129032253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2</v>
      </c>
      <c r="BE26" s="126" cm="1">
        <f t="array" ref="BE26">SUMPRODUCT(($E$7:$E$78=AE26)*($X$7:$X$78)*($G$7:$G$78))+SUMPRODUCT(($H$7:$H$78=AE26)*($X$7:$X$78)*($F$7:$F$78))</f>
        <v>2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50.666666666666664</v>
      </c>
      <c r="BI26" s="126">
        <f>BH26/BH30</f>
        <v>0.98064516129032253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3</v>
      </c>
      <c r="AL27" s="123">
        <f>AI27-AJ27</f>
        <v>3</v>
      </c>
      <c r="AM27" s="123">
        <f>AL27-AL30</f>
        <v>9</v>
      </c>
      <c r="AN27" s="123">
        <f>AF27*3+AG27</f>
        <v>7</v>
      </c>
      <c r="AO27" s="123">
        <f>AN27/AN30*10+BA27</f>
        <v>9.7306451612903224</v>
      </c>
      <c r="AP27" s="123">
        <f>AO27*10000000+BI27*100+AM27/AM30*10+AI27/AI30*1++IF(AQ27=0,ROW(),AQ27)/2000000</f>
        <v>97306559.428171098</v>
      </c>
      <c r="AQ27" s="126">
        <f>VLOOKUP(AE27,db_fifarank,2,FALSE)</f>
        <v>1503.5</v>
      </c>
      <c r="AR27" s="125">
        <f>AP27/AP30</f>
        <v>0.99999998972320059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50.666666666666664</v>
      </c>
      <c r="BA27" s="126">
        <f>AZ27/AZ30</f>
        <v>0.98064516129032253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50.666666666666664</v>
      </c>
      <c r="BI27" s="126">
        <f>BH27/BH30</f>
        <v>0.98064516129032253</v>
      </c>
      <c r="BK27" s="13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7 - 5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7</v>
      </c>
      <c r="AL28" s="123">
        <f>AI28-AJ28</f>
        <v>-6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0.125790335</v>
      </c>
      <c r="AQ28" s="126">
        <f>VLOOKUP(AE28,db_fifarank,2,FALSE)</f>
        <v>1580.67</v>
      </c>
      <c r="AR28" s="125">
        <f>AP28/AP30</f>
        <v>1.2927220368954959E-9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6 - 5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0</v>
      </c>
      <c r="AH29" s="123">
        <f>COUNTIF($S$7:$T$78,"=" &amp; AE29 &amp; "_lose")</f>
        <v>2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5</v>
      </c>
      <c r="AL29" s="123">
        <f>AI29-AJ29</f>
        <v>1</v>
      </c>
      <c r="AM29" s="123">
        <f>AL29-AL30</f>
        <v>7</v>
      </c>
      <c r="AN29" s="123">
        <f>AF29*3+AG29</f>
        <v>3</v>
      </c>
      <c r="AO29" s="123">
        <f>AN29/AN30*10+BA29</f>
        <v>3.75</v>
      </c>
      <c r="AP29" s="123">
        <f>AO29*10000000+BI29*100+AM29/AM30*10+AI29/AI30*1++IF(AQ29=0,ROW(),AQ29)/2000000</f>
        <v>37500007.750799522</v>
      </c>
      <c r="AQ29" s="126">
        <f>VLOOKUP(AE29,db_fifarank,2,FALSE)</f>
        <v>1599.04</v>
      </c>
      <c r="AR29" s="125">
        <f>AP29/AP30</f>
        <v>0.38538005645036594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8</v>
      </c>
      <c r="AL30" s="123">
        <f>MIN(AL26:AL29)</f>
        <v>-6</v>
      </c>
      <c r="AM30" s="123">
        <f>MAX(AM26:AM29)+1</f>
        <v>10</v>
      </c>
      <c r="AN30" s="123">
        <f>MAX(AN26:AN29)+1</f>
        <v>8</v>
      </c>
      <c r="AO30" s="123">
        <f>MAX(AO26:AO29)+1</f>
        <v>10.730645161290322</v>
      </c>
      <c r="AP30" s="123">
        <f>MAX(AP26:AP29)+1</f>
        <v>97306560.428171098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51.666666666666664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51.666666666666664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3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3</v>
      </c>
      <c r="AL32" s="123">
        <f>AI32-AJ32</f>
        <v>4</v>
      </c>
      <c r="AM32" s="123">
        <f>AL32-AL36</f>
        <v>8</v>
      </c>
      <c r="AN32" s="123">
        <f>AF32*3+AG32</f>
        <v>7</v>
      </c>
      <c r="AO32" s="123">
        <f>AN32/AN36*10+BA32</f>
        <v>9.7401960784313726</v>
      </c>
      <c r="AP32" s="123">
        <f>AO32*10000000+BI32*100+AM32/AM36*10+AI32/AI36*1++IF(AQ32=0,ROW(),AQ32)/2000000</f>
        <v>97402069.568675652</v>
      </c>
      <c r="AQ32" s="126">
        <f>VLOOKUP(AE32,db_fifarank,2,FALSE)</f>
        <v>1730.37</v>
      </c>
      <c r="AR32" s="125">
        <f>AP32/AP36</f>
        <v>0.99999998973327775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2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101</v>
      </c>
      <c r="BA32" s="126">
        <f>AZ32/AZ36</f>
        <v>0.99019607843137258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2</v>
      </c>
      <c r="BE32" s="126" cm="1">
        <f t="array" ref="BE32">SUMPRODUCT(($E$7:$E$78=AE32)*($X$7:$X$78)*($G$7:$G$78))+SUMPRODUCT(($H$7:$H$78=AE32)*($X$7:$X$78)*($F$7:$F$78))</f>
        <v>2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101</v>
      </c>
      <c r="BI32" s="126">
        <f>BH32/BH36</f>
        <v>0.99019607843137258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7 - 3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5</v>
      </c>
      <c r="AL33" s="123">
        <f>AI33-AJ33</f>
        <v>-4</v>
      </c>
      <c r="AM33" s="123">
        <f>AL33-AL36</f>
        <v>0</v>
      </c>
      <c r="AN33" s="123">
        <f>AF33*3+AG33</f>
        <v>1</v>
      </c>
      <c r="AO33" s="123">
        <f>AN33/AN36*10+BA33</f>
        <v>2.2352941176470589</v>
      </c>
      <c r="AP33" s="123">
        <f>AO33*10000000+BI33*100+AM33/AM36*10+AI33/AI36*1++IF(AQ33=0,ROW(),AQ33)/2000000</f>
        <v>22353039.831529677</v>
      </c>
      <c r="AQ33" s="126">
        <f>VLOOKUP(AE33,db_fifarank,2,FALSE)</f>
        <v>1294.6500000000001</v>
      </c>
      <c r="AR33" s="125">
        <f>AP33/AP36</f>
        <v>0.22949245022228901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100.5</v>
      </c>
      <c r="BA33" s="126">
        <f>AZ33/AZ36</f>
        <v>0.98529411764705888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100.5</v>
      </c>
      <c r="BI33" s="126">
        <f>BH33/BH36</f>
        <v>0.98529411764705888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4 - 2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4</v>
      </c>
      <c r="AL34" s="123">
        <f>AI34-AJ34</f>
        <v>-2</v>
      </c>
      <c r="AM34" s="123">
        <f>AL34-AL36</f>
        <v>2</v>
      </c>
      <c r="AN34" s="123">
        <f>AF34*3+AG34</f>
        <v>1</v>
      </c>
      <c r="AO34" s="123">
        <f>AN34/AN36*10+BA34</f>
        <v>2.2352941176470589</v>
      </c>
      <c r="AP34" s="123">
        <f>AO34*10000000+BI34*100+AM34/AM36*10+AI34/AI36*1++IF(AQ34=0,ROW(),AQ34)/2000000</f>
        <v>22353042.178871065</v>
      </c>
      <c r="AQ34" s="126">
        <f>VLOOKUP(AE34,db_fifarank,2,FALSE)</f>
        <v>1532.98</v>
      </c>
      <c r="AR34" s="125">
        <f>AP34/AP36</f>
        <v>0.22949247432179093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100.5</v>
      </c>
      <c r="BA34" s="126">
        <f>AZ34/AZ36</f>
        <v>0.98529411764705888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100.5</v>
      </c>
      <c r="BI34" s="126">
        <f>BH34/BH36</f>
        <v>0.98529411764705888</v>
      </c>
      <c r="BK34" s="131">
        <v>81</v>
      </c>
      <c r="BL34" s="24" t="str">
        <f>AS26</f>
        <v>Paraguay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2 - 4</v>
      </c>
      <c r="P35" s="34">
        <f>L35*3+M35</f>
        <v>1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2</v>
      </c>
      <c r="AL35" s="123">
        <f>AI35-AJ35</f>
        <v>2</v>
      </c>
      <c r="AM35" s="123">
        <f>AL35-AL36</f>
        <v>6</v>
      </c>
      <c r="AN35" s="123">
        <f>AF35*3+AG35</f>
        <v>7</v>
      </c>
      <c r="AO35" s="123">
        <f>AN35/AN36*10+BA35</f>
        <v>9.7401960784313726</v>
      </c>
      <c r="AP35" s="123">
        <f>AO35*10000000+BI35*100+AM35/AM36*10+AI35/AI36*1++IF(AQ35=0,ROW(),AQ35)/2000000</f>
        <v>97402066.971385628</v>
      </c>
      <c r="AQ35" s="126">
        <f>VLOOKUP(AE35,db_fifarank,2,FALSE)</f>
        <v>1594.78</v>
      </c>
      <c r="AR35" s="125">
        <f>AP35/AP36</f>
        <v>0.99999996306762262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2</v>
      </c>
      <c r="AW35" s="126" cm="1">
        <f t="array" ref="AW35">SUMPRODUCT(($E$7:$E$78=AE35)*($U$7:$U$78)*($G$7:$G$78))+SUMPRODUCT(($H$7:$H$78=AE35)*($U$7:$U$78)*($F$7:$F$78))</f>
        <v>2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101</v>
      </c>
      <c r="BA35" s="126">
        <f>AZ35/AZ36</f>
        <v>0.99019607843137258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2</v>
      </c>
      <c r="BE35" s="126" cm="1">
        <f t="array" ref="BE35">SUMPRODUCT(($E$7:$E$78=AE35)*($X$7:$X$78)*($G$7:$G$78))+SUMPRODUCT(($H$7:$H$78=AE35)*($X$7:$X$78)*($F$7:$F$78))</f>
        <v>2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101</v>
      </c>
      <c r="BI35" s="126">
        <f>BH35/BH36</f>
        <v>0.99019607843137258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1 - 5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1</v>
      </c>
      <c r="AH36" s="123">
        <f t="shared" si="16"/>
        <v>3</v>
      </c>
      <c r="AI36" s="123">
        <f>MAX(AI32:AI35)+1</f>
        <v>8</v>
      </c>
      <c r="AL36" s="123">
        <f>MIN(AL32:AL35)</f>
        <v>-4</v>
      </c>
      <c r="AM36" s="123">
        <f>MAX(AM32:AM35)+1</f>
        <v>9</v>
      </c>
      <c r="AN36" s="123">
        <f>MAX(AN32:AN35)+1</f>
        <v>8</v>
      </c>
      <c r="AO36" s="123">
        <f>MAX(AO32:AO35)+1</f>
        <v>10.740196078431373</v>
      </c>
      <c r="AP36" s="123">
        <f>MAX(AP32:AP35)+1</f>
        <v>97402070.568675652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102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102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Paraguay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9.7306451612903224</v>
      </c>
      <c r="AP38" s="123">
        <f>AO38*10000000+BI38*100+AM38/AM42*10+AI38/AI42*1++IF(AQ38=0,ROW(),AQ38)/2000000</f>
        <v>97306559.28544113</v>
      </c>
      <c r="AQ38" s="126">
        <f>VLOOKUP(AE38,db_fifarank,2,FALSE)</f>
        <v>1757.87</v>
      </c>
      <c r="AR38" s="125">
        <f>AP38/AP42</f>
        <v>0.99999998972320059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4</v>
      </c>
      <c r="AL39" s="123">
        <f>AI39-AJ39</f>
        <v>2</v>
      </c>
      <c r="AM39" s="123">
        <f>AL39-AL42</f>
        <v>6</v>
      </c>
      <c r="AN39" s="123">
        <f>AF39*3+AG39</f>
        <v>7</v>
      </c>
      <c r="AO39" s="123">
        <f>AN39/AN42*10+BA39</f>
        <v>9.7306451612903224</v>
      </c>
      <c r="AP39" s="123">
        <f>AO39*10000000+BI39*100+AM39/AM42*10+AI39/AI42*1++IF(AQ39=0,ROW(),AQ39)/2000000</f>
        <v>97306558.035392419</v>
      </c>
      <c r="AQ39" s="126">
        <f>VLOOKUP(AE39,db_fifarank,2,FALSE)</f>
        <v>1660.43</v>
      </c>
      <c r="AR39" s="125">
        <f>AP39/AP42</f>
        <v>0.99999997687670072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6 - 4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6</v>
      </c>
      <c r="AL40" s="123">
        <f>AI40-AJ40</f>
        <v>-4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0.2864716707142857</v>
      </c>
      <c r="AQ40" s="126">
        <f>VLOOKUP(AE40,db_fifarank,2,FALSE)</f>
        <v>1514.77</v>
      </c>
      <c r="AR40" s="125">
        <f>AP40/AP42</f>
        <v>2.9440118926611281E-9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5</v>
      </c>
      <c r="AL41" s="123">
        <f>AI41-AJ41</f>
        <v>-1</v>
      </c>
      <c r="AM41" s="123">
        <f>AL41-AL42</f>
        <v>3</v>
      </c>
      <c r="AN41" s="123">
        <f>AF41*3+AG41</f>
        <v>3</v>
      </c>
      <c r="AO41" s="123">
        <f>AN41/AN42*10+BA41</f>
        <v>3.75</v>
      </c>
      <c r="AP41" s="123">
        <f>AO41*10000000+BI41*100+AM41/AM42*10+AI41/AI42*1++IF(AQ41=0,ROW(),AQ41)/2000000</f>
        <v>37500004.322170101</v>
      </c>
      <c r="AQ41" s="126">
        <f>VLOOKUP(AE41,db_fifarank,2,FALSE)</f>
        <v>1483.05</v>
      </c>
      <c r="AR41" s="125">
        <f>AP41/AP42</f>
        <v>0.38538002178030745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10.730645161290322</v>
      </c>
      <c r="AP42" s="123">
        <f>MAX(AP38:AP41)+1</f>
        <v>97306560.28544113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Brazil</v>
      </c>
      <c r="BM42" s="61">
        <v>0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3</v>
      </c>
      <c r="AL44" s="123">
        <f>AI44-AJ44</f>
        <v>5</v>
      </c>
      <c r="AM44" s="123">
        <f>AL44-AL48</f>
        <v>11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87500010.056422919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Japan</v>
      </c>
      <c r="BT44" s="61">
        <v>0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2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8 - 3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5</v>
      </c>
      <c r="AL45" s="123">
        <f>AI45-AJ45</f>
        <v>1</v>
      </c>
      <c r="AM45" s="123">
        <f>AL45-AL48</f>
        <v>7</v>
      </c>
      <c r="AN45" s="123">
        <f>AF45*3+AG45</f>
        <v>6</v>
      </c>
      <c r="AO45" s="123">
        <f>AN45/AN48*10+BA45</f>
        <v>7.5</v>
      </c>
      <c r="AP45" s="123">
        <f>AO45*10000000+BI45*100+AM45/AM48*10+AI45/AI48*1++IF(AQ45=0,ROW(),AQ45)/2000000</f>
        <v>75000006.500781626</v>
      </c>
      <c r="AQ45" s="126">
        <f>VLOOKUP(AE45,db_fifarank,2,FALSE)</f>
        <v>1563.24</v>
      </c>
      <c r="AR45" s="125">
        <f>AP45/AP48</f>
        <v>0.85714282312969226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6 - 5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5</v>
      </c>
      <c r="AJ46" s="123">
        <f>SUMIF($E$7:$E$78,$AE46,$G$7:$G$78) + SUMIF($H$7:$H$78,$AE46,$F$7:$F$78)</f>
        <v>5</v>
      </c>
      <c r="AL46" s="123">
        <f>AI46-AJ46</f>
        <v>0</v>
      </c>
      <c r="AM46" s="123">
        <f>AL46-AL48</f>
        <v>6</v>
      </c>
      <c r="AN46" s="123">
        <f>AF46*3+AG46</f>
        <v>4</v>
      </c>
      <c r="AO46" s="123">
        <f>AN46/AN48*10+BA46</f>
        <v>5</v>
      </c>
      <c r="AP46" s="123">
        <f>AO46*10000000+BI46*100+AM46/AM48*10+AI46/AI48*1++IF(AQ46=0,ROW(),AQ46)/2000000</f>
        <v>50000005.556363203</v>
      </c>
      <c r="AQ46" s="126">
        <f>VLOOKUP(AE46,db_fifarank,2,FALSE)</f>
        <v>1615.3</v>
      </c>
      <c r="AR46" s="125">
        <f>AP46/AP48</f>
        <v>0.57142856272465536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3</v>
      </c>
      <c r="G47" s="20">
        <v>3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5 - 5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8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0.22286300722222221</v>
      </c>
      <c r="AQ47" s="126">
        <f>VLOOKUP(AE47,db_fifarank,2,FALSE)</f>
        <v>1281.57</v>
      </c>
      <c r="AR47" s="125">
        <f>AP47/AP48</f>
        <v>2.5470054749880287E-9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2 - 8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4</v>
      </c>
      <c r="AI48" s="123">
        <f>MAX(AI44:AI47)+1</f>
        <v>9</v>
      </c>
      <c r="AL48" s="123">
        <f>MIN(AL44:AL47)</f>
        <v>-6</v>
      </c>
      <c r="AM48" s="123">
        <f>MAX(AM44:AM47)+1</f>
        <v>12</v>
      </c>
      <c r="AN48" s="123">
        <f>MAX(AN44:AN47)+1</f>
        <v>8</v>
      </c>
      <c r="AO48" s="123">
        <f>MAX(AO44:AO47)+1</f>
        <v>9.75</v>
      </c>
      <c r="AP48" s="123">
        <f>MAX(AP44:AP47)+1</f>
        <v>87500011.056422919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Norway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3</v>
      </c>
      <c r="AL50" s="123">
        <f>AI50-AJ50</f>
        <v>5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90000010.175541386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1</v>
      </c>
      <c r="V51" s="123">
        <f t="shared" si="21"/>
        <v>2</v>
      </c>
      <c r="W51" s="123">
        <f t="shared" si="22"/>
        <v>2</v>
      </c>
      <c r="X51" s="123">
        <f t="shared" si="9"/>
        <v>1</v>
      </c>
      <c r="Y51" s="123">
        <f t="shared" si="10"/>
        <v>2</v>
      </c>
      <c r="Z51" s="123">
        <f t="shared" si="11"/>
        <v>2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9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0.1117941761111111</v>
      </c>
      <c r="AQ51" s="126">
        <f>VLOOKUP(AE51,db_fifarank,2,FALSE)</f>
        <v>1366.13</v>
      </c>
      <c r="AR51" s="125">
        <f>AP51/AP54</f>
        <v>1.2421573581036682E-9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1</v>
      </c>
      <c r="V52" s="123">
        <f t="shared" si="21"/>
        <v>1</v>
      </c>
      <c r="W52" s="123">
        <f t="shared" si="22"/>
        <v>1</v>
      </c>
      <c r="X52" s="123">
        <f t="shared" si="9"/>
        <v>1</v>
      </c>
      <c r="Y52" s="123">
        <f t="shared" si="10"/>
        <v>1</v>
      </c>
      <c r="Z52" s="123">
        <f t="shared" si="11"/>
        <v>1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5</v>
      </c>
      <c r="AJ52" s="123">
        <f>SUMIF($E$7:$E$78,$AE52,$G$7:$G$78) + SUMIF($H$7:$H$78,$AE52,$F$7:$F$78)</f>
        <v>6</v>
      </c>
      <c r="AL52" s="123">
        <f>AI52-AJ52</f>
        <v>-1</v>
      </c>
      <c r="AM52" s="123">
        <f>AL52-AL54</f>
        <v>7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30000005.556266271</v>
      </c>
      <c r="AQ52" s="126">
        <f>VLOOKUP(AE52,db_fifarank,2,FALSE)</f>
        <v>1421.43</v>
      </c>
      <c r="AR52" s="125">
        <f>AP52/AP54</f>
        <v>0.33333335367872868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5 - 6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4</v>
      </c>
      <c r="AL53" s="123">
        <f>AI53-AJ53</f>
        <v>4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60000009.461153999</v>
      </c>
      <c r="AQ53" s="126">
        <f>VLOOKUP(AE53,db_fifarank,2,FALSE)</f>
        <v>1673.07</v>
      </c>
      <c r="AR53" s="125">
        <f>AP53/AP54</f>
        <v>0.66666668900880921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1 - 9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-8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90000011.175541386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3</v>
      </c>
      <c r="AL56" s="123">
        <f>AI56-AJ56</f>
        <v>4</v>
      </c>
      <c r="AM56" s="123">
        <f>AL56-AL60</f>
        <v>9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87500009.700938657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6</v>
      </c>
      <c r="AL57" s="123">
        <f>AI57-AJ57</f>
        <v>-1</v>
      </c>
      <c r="AM57" s="123">
        <f>AL57-AL60</f>
        <v>4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50000004.500844494</v>
      </c>
      <c r="AQ57" s="126">
        <f>VLOOKUP(AE57,db_fifarank,2,FALSE)</f>
        <v>1688.99</v>
      </c>
      <c r="AR57" s="125">
        <f>AP57/AP60</f>
        <v>0.57142855298311546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9 - 7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7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2.293983376596853E-9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5 - 6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9</v>
      </c>
      <c r="AJ59" s="123">
        <f>SUMIF($E$7:$E$78,$AE59,$G$7:$G$78) + SUMIF($H$7:$H$78,$AE59,$F$7:$F$78)</f>
        <v>7</v>
      </c>
      <c r="AL59" s="123">
        <f>AI59-AJ59</f>
        <v>2</v>
      </c>
      <c r="AM59" s="123">
        <f>AL59-AL60</f>
        <v>7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62500007.90077547</v>
      </c>
      <c r="AQ59" s="126">
        <f>VLOOKUP(AE59,db_fifarank,2,FALSE)</f>
        <v>1550.94</v>
      </c>
      <c r="AR59" s="125">
        <f>AP59/AP60</f>
        <v>0.71428571722568945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10</v>
      </c>
      <c r="AL60" s="123">
        <f>MIN(AL56:AL59)</f>
        <v>-5</v>
      </c>
      <c r="AM60" s="123">
        <f>MAX(AM56:AM59)+1</f>
        <v>10</v>
      </c>
      <c r="AN60" s="123">
        <f>MAX(AN56:AN59)+1</f>
        <v>8</v>
      </c>
      <c r="AO60" s="123">
        <f>MAX(AO56:AO59)+1</f>
        <v>9.75</v>
      </c>
      <c r="AP60" s="123">
        <f>MAX(AP56:AP59)+1</f>
        <v>87500010.700938657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2</v>
      </c>
      <c r="W62" s="123">
        <f t="shared" si="22"/>
        <v>2</v>
      </c>
      <c r="X62" s="123">
        <f t="shared" si="9"/>
        <v>1</v>
      </c>
      <c r="Y62" s="123">
        <f t="shared" si="10"/>
        <v>2</v>
      </c>
      <c r="Z62" s="123">
        <f t="shared" si="11"/>
        <v>2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90000009.858080268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6</v>
      </c>
      <c r="AL63" s="123">
        <f>AI63-AJ63</f>
        <v>-4</v>
      </c>
      <c r="AM63" s="123">
        <f>AL63-AL66</f>
        <v>0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30000000.286496416</v>
      </c>
      <c r="AQ63" s="126">
        <f>VLOOKUP(AE63,db_fifarank,2,FALSE)</f>
        <v>1564.26</v>
      </c>
      <c r="AR63" s="125">
        <f>AP63/AP66</f>
        <v>0.3333332963015192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5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40000005.572225302</v>
      </c>
      <c r="AQ64" s="126">
        <f>VLOOKUP(AE64,db_fifarank,2,FALSE)</f>
        <v>1593.45</v>
      </c>
      <c r="AR64" s="125">
        <f>AP64/AP66</f>
        <v>0.44444445273790845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3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2 - 6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4</v>
      </c>
      <c r="AL65" s="123">
        <f>AI65-AJ65</f>
        <v>-2</v>
      </c>
      <c r="AM65" s="123">
        <f>AL65-AL66</f>
        <v>2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10000002.286410011</v>
      </c>
      <c r="AQ65" s="126">
        <f>VLOOKUP(AE65,db_fifarank,2,FALSE)</f>
        <v>1391.45</v>
      </c>
      <c r="AR65" s="125">
        <f>AP65/AP66</f>
        <v>0.11111112311062797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7</v>
      </c>
      <c r="AL66" s="123">
        <f>MIN(AL62:AL65)</f>
        <v>-4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90000010.858080268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3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12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97306559.809070498</v>
      </c>
      <c r="AQ68" s="126">
        <f>VLOOKUP(AE68,db_fifarank,2,FALSE)</f>
        <v>1763.83</v>
      </c>
      <c r="AR68" s="125">
        <f>AP68/AP72</f>
        <v>0.9999999897232007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Iran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8</v>
      </c>
      <c r="AL69" s="123">
        <f>AI69-AJ69</f>
        <v>-5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0.30073917499999997</v>
      </c>
      <c r="AQ69" s="126">
        <f>VLOOKUP(AE69,db_fifarank,2,FALSE)</f>
        <v>1478.35</v>
      </c>
      <c r="AR69" s="125">
        <f>AP69/AP72</f>
        <v>3.0906361554602014E-9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7 - 4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4</v>
      </c>
      <c r="AJ70" s="123">
        <f>SUMIF($E$7:$E$78,$AE70,$G$7:$G$78) + SUMIF($H$7:$H$78,$AE70,$F$7:$F$78)</f>
        <v>9</v>
      </c>
      <c r="AL70" s="123">
        <f>AI70-AJ70</f>
        <v>-5</v>
      </c>
      <c r="AM70" s="123">
        <f>AL70-AL72</f>
        <v>0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37500000.400732666</v>
      </c>
      <c r="AQ70" s="126">
        <f>VLOOKUP(AE70,db_fifarank,2,FALSE)</f>
        <v>1465.34</v>
      </c>
      <c r="AR70" s="125">
        <f>AP70/AP72</f>
        <v>0.38537997940666174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3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4 - 9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4</v>
      </c>
      <c r="AL71" s="123">
        <f>AI71-AJ71</f>
        <v>3</v>
      </c>
      <c r="AM71" s="123">
        <f>AL71-AL72</f>
        <v>8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97306556.532112062</v>
      </c>
      <c r="AQ71" s="126">
        <f>VLOOKUP(AE71,db_fifarank,2,FALSE)</f>
        <v>1693.09</v>
      </c>
      <c r="AR71" s="125">
        <f>AP71/AP72</f>
        <v>0.99999995604655634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Turkey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3 - 8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10</v>
      </c>
      <c r="AL72" s="123">
        <f>MIN(AL68:AL71)</f>
        <v>-5</v>
      </c>
      <c r="AM72" s="123">
        <f>MAX(AM68:AM71)+1</f>
        <v>13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97306560.809070498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3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5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9.7401960784313726</v>
      </c>
      <c r="AP74" s="123">
        <f>AO74*10000000+BI74*100+AM74/AM78*10+AI74/AI78*1++IF(AQ74=0,ROW(),AQ74)/2000000</f>
        <v>97402069.593723446</v>
      </c>
      <c r="AQ74" s="126">
        <f>VLOOKUP(AE74,db_fifarank,2,FALSE)</f>
        <v>1825.97</v>
      </c>
      <c r="AR74" s="125">
        <f>AP74/AP78</f>
        <v>0.99999998973327775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101</v>
      </c>
      <c r="BA74" s="126">
        <f>AZ74/AZ78</f>
        <v>0.99019607843137258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101</v>
      </c>
      <c r="BI74" s="126">
        <f>BH74/BH78</f>
        <v>0.99019607843137258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9 - 5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1</v>
      </c>
      <c r="AH75" s="123">
        <f>COUNTIF($S$7:$T$78,"=" &amp; AE75 &amp; "_lose")</f>
        <v>2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7</v>
      </c>
      <c r="AL75" s="123">
        <f>AI75-AJ75</f>
        <v>-3</v>
      </c>
      <c r="AM75" s="123">
        <f>AL75-AL78</f>
        <v>1</v>
      </c>
      <c r="AN75" s="123">
        <f>AF75*3+AG75</f>
        <v>1</v>
      </c>
      <c r="AO75" s="123">
        <f>AN75/AN78*10+BA75</f>
        <v>2.2352941176470589</v>
      </c>
      <c r="AP75" s="123">
        <f>AO75*10000000+BI75*100+AM75/AM78*10+AI75/AI78*1++IF(AQ75=0,ROW(),AQ75)/2000000</f>
        <v>22353041.217851996</v>
      </c>
      <c r="AQ75" s="126">
        <f>VLOOKUP(AE75,db_fifarank,2,FALSE)</f>
        <v>1717.07</v>
      </c>
      <c r="AR75" s="125">
        <f>AP75/AP78</f>
        <v>0.22949246439625914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100.5</v>
      </c>
      <c r="BA75" s="126">
        <f>AZ75/AZ78</f>
        <v>0.98529411764705888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100.5</v>
      </c>
      <c r="BI75" s="126">
        <f>BH75/BH78</f>
        <v>0.98529411764705888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1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7 - 4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1</v>
      </c>
      <c r="AH76" s="123">
        <f>COUNTIF($S$7:$T$78,"=" &amp; AE76 &amp; "_lose")</f>
        <v>0</v>
      </c>
      <c r="AI76" s="123">
        <f>SUMIF($E$7:$E$78,$AE76,$F$7:$F$78) + SUMIF($H$7:$H$78,$AE76,$G$7:$G$78)</f>
        <v>7</v>
      </c>
      <c r="AJ76" s="123">
        <f>SUMIF($E$7:$E$78,$AE76,$G$7:$G$78) + SUMIF($H$7:$H$78,$AE76,$F$7:$F$78)</f>
        <v>4</v>
      </c>
      <c r="AL76" s="123">
        <f>AI76-AJ76</f>
        <v>3</v>
      </c>
      <c r="AM76" s="123">
        <f>AL76-AL78</f>
        <v>7</v>
      </c>
      <c r="AN76" s="123">
        <f>AF76*3+AG76</f>
        <v>7</v>
      </c>
      <c r="AO76" s="123">
        <f>AN76/AN78*10+BA76</f>
        <v>9.7401960784313726</v>
      </c>
      <c r="AP76" s="123">
        <f>AO76*10000000+BI76*100+AM76/AM78*10+AI76/AI78*1++IF(AQ76=0,ROW(),AQ76)/2000000</f>
        <v>97402068.282372504</v>
      </c>
      <c r="AQ76" s="126">
        <f>VLOOKUP(AE76,db_fifarank,2,FALSE)</f>
        <v>1346.31</v>
      </c>
      <c r="AR76" s="125">
        <f>AP76/AP78</f>
        <v>0.99999997627000203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101</v>
      </c>
      <c r="BA76" s="126">
        <f>AZ76/AZ78</f>
        <v>0.99019607843137258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101</v>
      </c>
      <c r="BI76" s="126">
        <f>BH76/BH78</f>
        <v>0.99019607843137258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4 - 7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7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2.2352941176470589</v>
      </c>
      <c r="AP77" s="123">
        <f>AO77*10000000+BI77*100+AM77/AM78*10+AI77/AI78*1++IF(AQ77=0,ROW(),AQ77)/2000000</f>
        <v>22353040.006652672</v>
      </c>
      <c r="AQ77" s="126">
        <f>VLOOKUP(AE77,db_fifarank,2,FALSE)</f>
        <v>1540.64</v>
      </c>
      <c r="AR77" s="125">
        <f>AP77/AP78</f>
        <v>0.22949245196121215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100.5</v>
      </c>
      <c r="BA77" s="126">
        <f>AZ77/AZ78</f>
        <v>0.98529411764705888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100.5</v>
      </c>
      <c r="BI77" s="126">
        <f>BH77/BH78</f>
        <v>0.98529411764705888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3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3 - 7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10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10.740196078431373</v>
      </c>
      <c r="AP78" s="123">
        <f>MAX(AP74:AP77)+1</f>
        <v>97402070.593723446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102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102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5</v>
      </c>
      <c r="AK80" s="123" t="s">
        <v>3180</v>
      </c>
      <c r="AL80" s="123">
        <f>VLOOKUP($AE80,$AE$8:$AQ$78,8,FALSE)</f>
        <v>-3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6314.2864649757139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Bosnia and Herzegovina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6 - 5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6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6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8942.8578357771439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Ⓖ Iran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6</v>
      </c>
      <c r="AK82" s="123" t="s">
        <v>3182</v>
      </c>
      <c r="AL82" s="123">
        <f t="shared" si="43"/>
        <v>-3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6328.5721777464287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5 - 6</v>
      </c>
      <c r="P83" s="101">
        <f t="shared" si="48"/>
        <v>4</v>
      </c>
      <c r="AD83" s="123">
        <f t="shared" si="38"/>
        <v>4</v>
      </c>
      <c r="AE83" s="124" t="str">
        <f>J29</f>
        <v>Turkey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6</v>
      </c>
      <c r="AJ83" s="123">
        <f t="shared" si="42"/>
        <v>5</v>
      </c>
      <c r="AK83" s="123" t="s">
        <v>3184</v>
      </c>
      <c r="AL83" s="123">
        <f t="shared" si="43"/>
        <v>1</v>
      </c>
      <c r="AM83" s="123">
        <f t="shared" si="44"/>
        <v>6</v>
      </c>
      <c r="AN83" s="123">
        <f t="shared" si="45"/>
        <v>3</v>
      </c>
      <c r="AP83" s="123">
        <f>AN83/AN92*10000+AM83/AM92*1000+AI83/AI92*100+IF(AQ83=0,ROW(),AQ83)/2000000</f>
        <v>6942.8579423771425</v>
      </c>
      <c r="AQ83" s="126">
        <f t="shared" si="37"/>
        <v>1599.04</v>
      </c>
      <c r="AR83" s="125" t="str">
        <f t="shared" si="50"/>
        <v>ABCD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Ⓓ Turkey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6 - 5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2</v>
      </c>
      <c r="AJ84" s="123">
        <f t="shared" si="42"/>
        <v>4</v>
      </c>
      <c r="AK84" s="123" t="s">
        <v>3185</v>
      </c>
      <c r="AL84" s="123">
        <f t="shared" si="43"/>
        <v>-2</v>
      </c>
      <c r="AM84" s="123">
        <f t="shared" si="44"/>
        <v>3</v>
      </c>
      <c r="AN84" s="123">
        <f t="shared" si="45"/>
        <v>1</v>
      </c>
      <c r="AP84" s="123">
        <f>AN84/AN92*10000+AM84/AM92*1000+AI84/AI92*100+IF(AQ84=0,ROW(),AQ84)/2000000</f>
        <v>2457.1436236328568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Ⓗ Saudi Arabia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6628.5721700964286</v>
      </c>
      <c r="AQ85" s="126">
        <f t="shared" si="37"/>
        <v>1483.05</v>
      </c>
      <c r="AR85" s="125" t="str">
        <f t="shared" si="50"/>
        <v>ABCDF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Tunisia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2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5</v>
      </c>
      <c r="AJ86" s="123">
        <f t="shared" si="42"/>
        <v>5</v>
      </c>
      <c r="AK86" s="123" t="s">
        <v>3187</v>
      </c>
      <c r="AL86" s="123">
        <f t="shared" si="43"/>
        <v>0</v>
      </c>
      <c r="AM86" s="123">
        <f t="shared" si="44"/>
        <v>5</v>
      </c>
      <c r="AN86" s="123">
        <f t="shared" si="45"/>
        <v>4</v>
      </c>
      <c r="AP86" s="123">
        <f>AN86/AN92*10000+AM86/AM92*1000+AI86/AI92*100+IF(AQ86=0,ROW(),AQ86)/2000000</f>
        <v>8785.7150933642843</v>
      </c>
      <c r="AQ86" s="126">
        <f t="shared" si="37"/>
        <v>1615.3</v>
      </c>
      <c r="AR86" s="125" t="str">
        <f t="shared" si="50"/>
        <v>ABCDFG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5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5</v>
      </c>
      <c r="AJ87" s="123">
        <f t="shared" si="42"/>
        <v>6</v>
      </c>
      <c r="AK87" s="123" t="s">
        <v>3188</v>
      </c>
      <c r="AL87" s="123">
        <f t="shared" si="43"/>
        <v>-1</v>
      </c>
      <c r="AM87" s="123">
        <f t="shared" si="44"/>
        <v>4</v>
      </c>
      <c r="AN87" s="123">
        <f t="shared" si="45"/>
        <v>3</v>
      </c>
      <c r="AP87" s="123">
        <f>AN87/AN92*10000+AM87/AM92*1000+AI87/AI92*100+IF(AQ87=0,ROW(),AQ87)/2000000</f>
        <v>6642.8578535721435</v>
      </c>
      <c r="AQ87" s="126">
        <f t="shared" si="37"/>
        <v>1421.43</v>
      </c>
      <c r="AR87" s="125" t="str">
        <f t="shared" si="50"/>
        <v>ABCDFGH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Czech Republic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6</v>
      </c>
      <c r="AK88" s="123" t="s">
        <v>3189</v>
      </c>
      <c r="AL88" s="123">
        <f t="shared" si="43"/>
        <v>-1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8642.8579873521412</v>
      </c>
      <c r="AQ88" s="126">
        <f t="shared" si="37"/>
        <v>1688.99</v>
      </c>
      <c r="AR88" s="125" t="str">
        <f t="shared" si="50"/>
        <v>ABCDFGHI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9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6</v>
      </c>
      <c r="AK89" s="123" t="s">
        <v>3190</v>
      </c>
      <c r="AL89" s="123">
        <f t="shared" si="43"/>
        <v>-4</v>
      </c>
      <c r="AM89" s="123">
        <f t="shared" si="44"/>
        <v>1</v>
      </c>
      <c r="AN89" s="123">
        <f t="shared" si="45"/>
        <v>3</v>
      </c>
      <c r="AP89" s="123">
        <f>AN89/AN92*10000+AM89/AM92*1000+AI89/AI92*100+IF(AQ89=0,ROW(),AQ89)/2000000</f>
        <v>6171.4293535585712</v>
      </c>
      <c r="AQ89" s="126">
        <f t="shared" si="37"/>
        <v>1564.26</v>
      </c>
      <c r="AR89" s="125" t="str">
        <f t="shared" si="50"/>
        <v>ABCDFGHI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Uzbekistan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4 - 9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10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4</v>
      </c>
      <c r="AJ90" s="123">
        <f t="shared" si="42"/>
        <v>9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6057.1435898128566</v>
      </c>
      <c r="AQ90" s="126">
        <f t="shared" si="37"/>
        <v>1465.34</v>
      </c>
      <c r="AR90" s="125" t="str">
        <f t="shared" si="50"/>
        <v>ABCDFGHI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Ivory Coast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12</v>
      </c>
      <c r="AE91" s="124" t="str">
        <f>J77</f>
        <v>Croatia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7</v>
      </c>
      <c r="AK91" s="123" t="s">
        <v>3192</v>
      </c>
      <c r="AL91" s="123">
        <f>VLOOKUP($AE91,$AE$8:$AQ$78,8,FALSE)</f>
        <v>-3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2342.8580013921433</v>
      </c>
      <c r="AQ91" s="126">
        <f t="shared" si="37"/>
        <v>1717.07</v>
      </c>
      <c r="AR91" s="125" t="str">
        <f t="shared" si="50"/>
        <v>ABCDFGHI</v>
      </c>
      <c r="AS91" s="129" t="str">
        <f t="shared" si="46"/>
        <v/>
      </c>
      <c r="AT91" s="130" t="str">
        <f>"Ⓛ "&amp;AE91</f>
        <v>Ⓛ Croatia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Ⓛ Croatia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4 - 7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7</v>
      </c>
      <c r="AJ92" s="123">
        <f>MAX(AJ80:AJ91)+1</f>
        <v>10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460</v>
      </c>
      <c r="C3" s="121" t="str">
        <f>'2026 World Cup'!AR91</f>
        <v>ABCDFGHI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3D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2026-05-30T09:52:37Z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