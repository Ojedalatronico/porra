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esktop\"/>
    </mc:Choice>
  </mc:AlternateContent>
  <xr:revisionPtr revIDLastSave="0" documentId="13_ncr:1_{919B703E-C3A2-41C3-B1BF-837B3AF1404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T41" i="3"/>
  <c r="S40" i="3"/>
  <c r="S62" i="3"/>
  <c r="T61" i="3"/>
  <c r="S38" i="3"/>
  <c r="S65" i="3"/>
  <c r="T37" i="3"/>
  <c r="S55" i="3"/>
  <c r="T56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28" i="3" l="1"/>
  <c r="AR10" i="3"/>
  <c r="AR9" i="3"/>
  <c r="AD58" i="3"/>
  <c r="AR21" i="3"/>
  <c r="AR22" i="3"/>
  <c r="AR11" i="3"/>
  <c r="AR34" i="3"/>
  <c r="AR33" i="3"/>
  <c r="AR35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8" i="3"/>
  <c r="M10" i="3" s="1"/>
  <c r="AD9" i="3"/>
  <c r="AD11" i="3"/>
  <c r="AD10" i="3"/>
  <c r="AD44" i="3"/>
  <c r="AD34" i="3"/>
  <c r="AD41" i="3"/>
  <c r="AD62" i="3"/>
  <c r="L63" i="3" s="1"/>
  <c r="AD35" i="3"/>
  <c r="AD33" i="3"/>
  <c r="AD32" i="3"/>
  <c r="L33" i="3" s="1"/>
  <c r="AD28" i="3"/>
  <c r="AD53" i="3"/>
  <c r="AD75" i="3"/>
  <c r="AD77" i="3"/>
  <c r="AD15" i="3"/>
  <c r="AD70" i="3"/>
  <c r="AD27" i="3"/>
  <c r="L58" i="3"/>
  <c r="O60" i="3"/>
  <c r="L59" i="3"/>
  <c r="N58" i="3"/>
  <c r="AD71" i="3"/>
  <c r="AD63" i="3"/>
  <c r="AD29" i="3"/>
  <c r="AD20" i="3"/>
  <c r="AD47" i="3"/>
  <c r="AD68" i="3"/>
  <c r="J69" i="3" s="1"/>
  <c r="AS68" i="3" s="1"/>
  <c r="BL70" i="3" s="1"/>
  <c r="AD21" i="3"/>
  <c r="M59" i="3"/>
  <c r="AD76" i="3"/>
  <c r="AD26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10" i="3"/>
  <c r="AS9" i="3" s="1"/>
  <c r="BL18" i="3" s="1"/>
  <c r="M11" i="3" l="1"/>
  <c r="O10" i="3"/>
  <c r="L10" i="3"/>
  <c r="J11" i="3"/>
  <c r="AE80" i="3" s="1"/>
  <c r="AQ80" i="3" s="1"/>
  <c r="N51" i="3"/>
  <c r="N10" i="3"/>
  <c r="L11" i="3"/>
  <c r="P11" i="3" s="1"/>
  <c r="O9" i="3"/>
  <c r="N65" i="3"/>
  <c r="M45" i="3"/>
  <c r="L9" i="3"/>
  <c r="J9" i="3"/>
  <c r="AS8" i="3" s="1"/>
  <c r="BL50" i="3" s="1"/>
  <c r="O11" i="3"/>
  <c r="M12" i="3"/>
  <c r="L12" i="3"/>
  <c r="N11" i="3"/>
  <c r="M9" i="3"/>
  <c r="O12" i="3"/>
  <c r="N9" i="3"/>
  <c r="N21" i="3"/>
  <c r="M33" i="3"/>
  <c r="P33" i="3" s="1"/>
  <c r="J12" i="3"/>
  <c r="O39" i="3"/>
  <c r="O33" i="3"/>
  <c r="N12" i="3"/>
  <c r="M34" i="3"/>
  <c r="O34" i="3"/>
  <c r="O45" i="3"/>
  <c r="J45" i="3"/>
  <c r="AS44" i="3" s="1"/>
  <c r="BL38" i="3" s="1"/>
  <c r="J63" i="3"/>
  <c r="AS62" i="3" s="1"/>
  <c r="BL58" i="3" s="1"/>
  <c r="BS60" i="3" s="1"/>
  <c r="BZ64" i="3" s="1"/>
  <c r="J18" i="3"/>
  <c r="L16" i="3"/>
  <c r="M16" i="3"/>
  <c r="O63" i="3"/>
  <c r="N63" i="3"/>
  <c r="M63" i="3"/>
  <c r="N45" i="3"/>
  <c r="L45" i="3"/>
  <c r="N36" i="3"/>
  <c r="J70" i="3"/>
  <c r="AS69" i="3" s="1"/>
  <c r="BL26" i="3" s="1"/>
  <c r="M35" i="3"/>
  <c r="J76" i="3"/>
  <c r="AS75" i="3" s="1"/>
  <c r="BL27" i="3" s="1"/>
  <c r="N29" i="3"/>
  <c r="L76" i="3"/>
  <c r="N34" i="3"/>
  <c r="N35" i="3"/>
  <c r="N33" i="3"/>
  <c r="M36" i="3"/>
  <c r="J33" i="3"/>
  <c r="AS32" i="3" s="1"/>
  <c r="BL10" i="3" s="1"/>
  <c r="L35" i="3"/>
  <c r="J34" i="3"/>
  <c r="AS33" i="3" s="1"/>
  <c r="BL46" i="3" s="1"/>
  <c r="O36" i="3"/>
  <c r="J35" i="3"/>
  <c r="AE84" i="3" s="1"/>
  <c r="AQ84" i="3" s="1"/>
  <c r="L34" i="3"/>
  <c r="J36" i="3"/>
  <c r="O35" i="3"/>
  <c r="O40" i="3"/>
  <c r="L36" i="3"/>
  <c r="O70" i="3"/>
  <c r="L15" i="3"/>
  <c r="N52" i="3"/>
  <c r="N70" i="3"/>
  <c r="L51" i="3"/>
  <c r="O76" i="3"/>
  <c r="M51" i="3"/>
  <c r="O78" i="3"/>
  <c r="O65" i="3"/>
  <c r="M75" i="3"/>
  <c r="M39" i="3"/>
  <c r="O42" i="3"/>
  <c r="N76" i="3"/>
  <c r="M65" i="3"/>
  <c r="N30" i="3"/>
  <c r="J71" i="3"/>
  <c r="AE90" i="3" s="1"/>
  <c r="AQ90" i="3" s="1"/>
  <c r="L40" i="3"/>
  <c r="M71" i="3"/>
  <c r="M40" i="3"/>
  <c r="N18" i="3"/>
  <c r="L66" i="3"/>
  <c r="M76" i="3"/>
  <c r="K58" i="3"/>
  <c r="N24" i="3"/>
  <c r="L18" i="3"/>
  <c r="L71" i="3"/>
  <c r="O18" i="3"/>
  <c r="AN88" i="3"/>
  <c r="N17" i="3"/>
  <c r="N64" i="3"/>
  <c r="M64" i="3"/>
  <c r="M17" i="3"/>
  <c r="J75" i="3"/>
  <c r="AS74" i="3" s="1"/>
  <c r="BL54" i="3" s="1"/>
  <c r="N39" i="3"/>
  <c r="J65" i="3"/>
  <c r="AE89" i="3" s="1"/>
  <c r="AQ89" i="3" s="1"/>
  <c r="J39" i="3"/>
  <c r="AS38" i="3" s="1"/>
  <c r="BL22" i="3" s="1"/>
  <c r="O16" i="3"/>
  <c r="O75" i="3"/>
  <c r="N40" i="3"/>
  <c r="L22" i="3"/>
  <c r="P58" i="3"/>
  <c r="M22" i="3"/>
  <c r="M54" i="3"/>
  <c r="J52" i="3"/>
  <c r="AS51" i="3" s="1"/>
  <c r="BL59" i="3" s="1"/>
  <c r="L42" i="3"/>
  <c r="M70" i="3"/>
  <c r="L64" i="3"/>
  <c r="L39" i="3"/>
  <c r="N75" i="3"/>
  <c r="J48" i="3"/>
  <c r="J66" i="3"/>
  <c r="J40" i="3"/>
  <c r="AS39" i="3" s="1"/>
  <c r="BL43" i="3" s="1"/>
  <c r="M27" i="3"/>
  <c r="N16" i="3"/>
  <c r="L77" i="3"/>
  <c r="L75" i="3"/>
  <c r="O66" i="3"/>
  <c r="M42" i="3"/>
  <c r="J41" i="3"/>
  <c r="AE85" i="3" s="1"/>
  <c r="AQ85" i="3" s="1"/>
  <c r="O24" i="3"/>
  <c r="M18" i="3"/>
  <c r="P59" i="3"/>
  <c r="N66" i="3"/>
  <c r="L54" i="3"/>
  <c r="J42" i="3"/>
  <c r="J16" i="3"/>
  <c r="AS15" i="3" s="1"/>
  <c r="BL19" i="3" s="1"/>
  <c r="M66" i="3"/>
  <c r="O51" i="3"/>
  <c r="O21" i="3"/>
  <c r="AT88" i="3"/>
  <c r="K57" i="3"/>
  <c r="N71" i="3"/>
  <c r="L78" i="3"/>
  <c r="J27" i="3"/>
  <c r="AS26" i="3" s="1"/>
  <c r="BL34" i="3" s="1"/>
  <c r="N78" i="3"/>
  <c r="J29" i="3"/>
  <c r="AE83" i="3" s="1"/>
  <c r="AQ83" i="3" s="1"/>
  <c r="O72" i="3"/>
  <c r="L28" i="3"/>
  <c r="L21" i="3"/>
  <c r="K59" i="3"/>
  <c r="O29" i="3"/>
  <c r="M21" i="3"/>
  <c r="J22" i="3"/>
  <c r="AS21" i="3" s="1"/>
  <c r="BL23" i="3" s="1"/>
  <c r="L17" i="3"/>
  <c r="P57" i="3"/>
  <c r="O48" i="3"/>
  <c r="M78" i="3"/>
  <c r="O30" i="3"/>
  <c r="AI88" i="3"/>
  <c r="AG88" i="3"/>
  <c r="J72" i="3"/>
  <c r="M48" i="3"/>
  <c r="M77" i="3"/>
  <c r="N47" i="3"/>
  <c r="O23" i="3"/>
  <c r="N54" i="3"/>
  <c r="O71" i="3"/>
  <c r="O64" i="3"/>
  <c r="O47" i="3"/>
  <c r="J47" i="3"/>
  <c r="AE86" i="3" s="1"/>
  <c r="AQ86" i="3" s="1"/>
  <c r="L29" i="3"/>
  <c r="O22" i="3"/>
  <c r="J24" i="3"/>
  <c r="O17" i="3"/>
  <c r="N53" i="3"/>
  <c r="N28" i="3"/>
  <c r="M29" i="3"/>
  <c r="O46" i="3"/>
  <c r="O27" i="3"/>
  <c r="N27" i="3"/>
  <c r="AJ88" i="3"/>
  <c r="L48" i="3"/>
  <c r="L46" i="3"/>
  <c r="M28" i="3"/>
  <c r="J28" i="3"/>
  <c r="AS27" i="3" s="1"/>
  <c r="BL62" i="3" s="1"/>
  <c r="BS61" i="3" s="1"/>
  <c r="M24" i="3"/>
  <c r="L70" i="3"/>
  <c r="N46" i="3"/>
  <c r="M30" i="3"/>
  <c r="L24" i="3"/>
  <c r="AF88" i="3"/>
  <c r="N77" i="3"/>
  <c r="O69" i="3"/>
  <c r="M47" i="3"/>
  <c r="L47" i="3"/>
  <c r="O28" i="3"/>
  <c r="J30" i="3"/>
  <c r="J78" i="3"/>
  <c r="N72" i="3"/>
  <c r="N69" i="3"/>
  <c r="J77" i="3"/>
  <c r="AE91" i="3" s="1"/>
  <c r="AQ91" i="3" s="1"/>
  <c r="M72" i="3"/>
  <c r="M69" i="3"/>
  <c r="L27" i="3"/>
  <c r="N22" i="3"/>
  <c r="J21" i="3"/>
  <c r="AS20" i="3" s="1"/>
  <c r="BL42" i="3" s="1"/>
  <c r="BS44" i="3" s="1"/>
  <c r="BZ48" i="3" s="1"/>
  <c r="O54" i="3"/>
  <c r="L23" i="3"/>
  <c r="O77" i="3"/>
  <c r="L72" i="3"/>
  <c r="L69" i="3"/>
  <c r="L65" i="3"/>
  <c r="N48" i="3"/>
  <c r="J46" i="3"/>
  <c r="AS45" i="3" s="1"/>
  <c r="BL63" i="3" s="1"/>
  <c r="J64" i="3"/>
  <c r="AS63" i="3" s="1"/>
  <c r="BL31" i="3" s="1"/>
  <c r="J51" i="3"/>
  <c r="AS50" i="3" s="1"/>
  <c r="BL30" i="3" s="1"/>
  <c r="M46" i="3"/>
  <c r="L30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F80" i="3"/>
  <c r="AG80" i="3"/>
  <c r="AN80" i="3" l="1"/>
  <c r="AL80" i="3"/>
  <c r="AT80" i="3"/>
  <c r="AJ80" i="3"/>
  <c r="AI80" i="3"/>
  <c r="AH80" i="3"/>
  <c r="S91" i="3"/>
  <c r="T91" i="3" s="1" a="1"/>
  <c r="T91" i="3" s="1"/>
  <c r="BS37" i="3"/>
  <c r="S90" i="3"/>
  <c r="T90" i="3" s="1" a="1"/>
  <c r="T90" i="3" s="1"/>
  <c r="BS36" i="3"/>
  <c r="S88" i="3"/>
  <c r="T88" i="3" s="1" a="1"/>
  <c r="T88" i="3" s="1"/>
  <c r="BS20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P18" i="3"/>
  <c r="K10" i="3"/>
  <c r="P10" i="3"/>
  <c r="K11" i="3"/>
  <c r="P76" i="3"/>
  <c r="P9" i="3"/>
  <c r="K9" i="3"/>
  <c r="P12" i="3"/>
  <c r="K12" i="3"/>
  <c r="K63" i="3"/>
  <c r="K33" i="3"/>
  <c r="P34" i="3"/>
  <c r="K45" i="3"/>
  <c r="P63" i="3"/>
  <c r="K16" i="3"/>
  <c r="P16" i="3"/>
  <c r="P45" i="3"/>
  <c r="AN84" i="3"/>
  <c r="K34" i="3"/>
  <c r="K36" i="3"/>
  <c r="P69" i="3"/>
  <c r="AT84" i="3"/>
  <c r="P35" i="3"/>
  <c r="P15" i="3"/>
  <c r="P36" i="3"/>
  <c r="P52" i="3"/>
  <c r="P47" i="3"/>
  <c r="P46" i="3"/>
  <c r="K51" i="3"/>
  <c r="P70" i="3"/>
  <c r="P42" i="3"/>
  <c r="AH81" i="3"/>
  <c r="K35" i="3"/>
  <c r="K75" i="3"/>
  <c r="AT90" i="3"/>
  <c r="P22" i="3"/>
  <c r="P71" i="3"/>
  <c r="K70" i="3"/>
  <c r="AH84" i="3"/>
  <c r="AL84" i="3"/>
  <c r="AJ84" i="3"/>
  <c r="AI84" i="3"/>
  <c r="AG84" i="3"/>
  <c r="AF84" i="3"/>
  <c r="P51" i="3"/>
  <c r="K42" i="3"/>
  <c r="P39" i="3"/>
  <c r="K76" i="3"/>
  <c r="AT85" i="3"/>
  <c r="P29" i="3"/>
  <c r="AN85" i="3"/>
  <c r="P75" i="3"/>
  <c r="P66" i="3"/>
  <c r="AH87" i="3"/>
  <c r="P23" i="3"/>
  <c r="AH89" i="3"/>
  <c r="K39" i="3"/>
  <c r="AG89" i="3"/>
  <c r="P65" i="3"/>
  <c r="P64" i="3"/>
  <c r="P28" i="3"/>
  <c r="P40" i="3"/>
  <c r="AL85" i="3"/>
  <c r="AF89" i="3"/>
  <c r="AG87" i="3"/>
  <c r="K64" i="3"/>
  <c r="AN90" i="3"/>
  <c r="K40" i="3"/>
  <c r="K47" i="3"/>
  <c r="AL90" i="3"/>
  <c r="AI90" i="3"/>
  <c r="AH90" i="3"/>
  <c r="AF87" i="3"/>
  <c r="K66" i="3"/>
  <c r="K27" i="3"/>
  <c r="K24" i="3"/>
  <c r="P17" i="3"/>
  <c r="AJ81" i="3"/>
  <c r="AG90" i="3"/>
  <c r="K23" i="3"/>
  <c r="K65" i="3"/>
  <c r="K28" i="3"/>
  <c r="P54" i="3"/>
  <c r="K22" i="3"/>
  <c r="AJ90" i="3"/>
  <c r="P78" i="3"/>
  <c r="K71" i="3"/>
  <c r="AI81" i="3"/>
  <c r="AJ87" i="3"/>
  <c r="AF90" i="3"/>
  <c r="AF81" i="3"/>
  <c r="AL83" i="3"/>
  <c r="AJ83" i="3"/>
  <c r="K15" i="3"/>
  <c r="AT86" i="3"/>
  <c r="K18" i="3"/>
  <c r="AH83" i="3"/>
  <c r="AN89" i="3"/>
  <c r="K78" i="3"/>
  <c r="K69" i="3"/>
  <c r="K77" i="3"/>
  <c r="AT81" i="3"/>
  <c r="AL89" i="3"/>
  <c r="AL91" i="3"/>
  <c r="AJ91" i="3"/>
  <c r="K46" i="3"/>
  <c r="AT83" i="3"/>
  <c r="AG81" i="3"/>
  <c r="AN83" i="3"/>
  <c r="K54" i="3"/>
  <c r="AI83" i="3"/>
  <c r="K30" i="3"/>
  <c r="AJ85" i="3"/>
  <c r="AN86" i="3"/>
  <c r="AT89" i="3"/>
  <c r="K29" i="3"/>
  <c r="AI85" i="3"/>
  <c r="AL86" i="3"/>
  <c r="P41" i="3"/>
  <c r="K53" i="3"/>
  <c r="AT82" i="3"/>
  <c r="P27" i="3"/>
  <c r="AH85" i="3"/>
  <c r="AJ86" i="3"/>
  <c r="P72" i="3"/>
  <c r="K48" i="3"/>
  <c r="AN81" i="3"/>
  <c r="AN82" i="3"/>
  <c r="AG85" i="3"/>
  <c r="AI86" i="3"/>
  <c r="AJ89" i="3"/>
  <c r="P21" i="3"/>
  <c r="AL81" i="3"/>
  <c r="AF85" i="3"/>
  <c r="AH86" i="3"/>
  <c r="AI89" i="3"/>
  <c r="AI91" i="3"/>
  <c r="AJ82" i="3"/>
  <c r="AH91" i="3"/>
  <c r="P48" i="3"/>
  <c r="K72" i="3"/>
  <c r="K17" i="3"/>
  <c r="AF82" i="3"/>
  <c r="K41" i="3"/>
  <c r="AG86" i="3"/>
  <c r="AT87" i="3"/>
  <c r="P77" i="3"/>
  <c r="AF91" i="3"/>
  <c r="AG82" i="3"/>
  <c r="K21" i="3"/>
  <c r="P53" i="3"/>
  <c r="P24" i="3"/>
  <c r="AF83" i="3"/>
  <c r="AF86" i="3"/>
  <c r="AN87" i="3"/>
  <c r="AT91" i="3"/>
  <c r="AI82" i="3"/>
  <c r="AG91" i="3"/>
  <c r="AH82" i="3"/>
  <c r="P30" i="3"/>
  <c r="AG83" i="3"/>
  <c r="AL87" i="3"/>
  <c r="AN91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H92" i="3"/>
  <c r="AF92" i="3"/>
  <c r="AN92" i="3"/>
  <c r="AS92" i="3"/>
  <c r="AJ92" i="3"/>
  <c r="AG92" i="3"/>
  <c r="AL92" i="3"/>
  <c r="AM88" i="3" s="1"/>
  <c r="AI92" i="3"/>
  <c r="S103" i="3" l="1"/>
  <c r="T103" i="3" s="1" a="1"/>
  <c r="T103" i="3" s="1"/>
  <c r="CG24" i="3"/>
  <c r="S111" i="3" s="1"/>
  <c r="T111" i="3" s="1"/>
  <c r="AM90" i="3"/>
  <c r="AM82" i="3"/>
  <c r="AM91" i="3"/>
  <c r="AM83" i="3"/>
  <c r="AM89" i="3"/>
  <c r="AM80" i="3"/>
  <c r="AM84" i="3"/>
  <c r="AM86" i="3"/>
  <c r="AM87" i="3"/>
  <c r="AM81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3" i="3"/>
  <c r="AP82" i="3"/>
  <c r="AP89" i="3"/>
  <c r="AP84" i="3"/>
  <c r="AP81" i="3"/>
  <c r="AP85" i="3"/>
  <c r="AP91" i="3"/>
  <c r="AP88" i="3"/>
  <c r="AP90" i="3"/>
  <c r="AP86" i="3"/>
  <c r="AP80" i="3"/>
  <c r="CN37" i="3" l="1"/>
  <c r="CK68" i="3" s="1"/>
  <c r="CN48" i="3"/>
  <c r="AD85" i="3"/>
  <c r="AS85" i="3" s="1"/>
  <c r="AD86" i="3"/>
  <c r="AS86" i="3" s="1"/>
  <c r="AD80" i="3"/>
  <c r="AD81" i="3"/>
  <c r="AS81" i="3" s="1"/>
  <c r="AD90" i="3"/>
  <c r="AS90" i="3" s="1"/>
  <c r="AD84" i="3"/>
  <c r="AS84" i="3" s="1"/>
  <c r="AD91" i="3"/>
  <c r="AS91" i="3" s="1"/>
  <c r="AD87" i="3"/>
  <c r="AS87" i="3" s="1"/>
  <c r="AD82" i="3"/>
  <c r="AS82" i="3" s="1"/>
  <c r="AD88" i="3"/>
  <c r="AS88" i="3" s="1"/>
  <c r="AD89" i="3"/>
  <c r="AS89" i="3" s="1"/>
  <c r="AD83" i="3"/>
  <c r="AS83" i="3" s="1"/>
  <c r="J92" i="3" l="1"/>
  <c r="N92" i="3"/>
  <c r="L92" i="3"/>
  <c r="J90" i="3"/>
  <c r="M9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2" i="3"/>
  <c r="AS80" i="3"/>
  <c r="O90" i="3"/>
  <c r="L90" i="3"/>
  <c r="N90" i="3"/>
  <c r="M88" i="3"/>
  <c r="M92" i="3"/>
  <c r="L82" i="3"/>
  <c r="M91" i="3"/>
  <c r="M86" i="3"/>
  <c r="N88" i="3"/>
  <c r="L87" i="3"/>
  <c r="O88" i="3"/>
  <c r="N86" i="3"/>
  <c r="O87" i="3"/>
  <c r="O86" i="3"/>
  <c r="O81" i="3"/>
  <c r="J89" i="3"/>
  <c r="N82" i="3"/>
  <c r="L91" i="3"/>
  <c r="J81" i="3"/>
  <c r="J84" i="3"/>
  <c r="J85" i="3"/>
  <c r="L84" i="3"/>
  <c r="L88" i="3"/>
  <c r="M82" i="3"/>
  <c r="M89" i="3"/>
  <c r="O85" i="3"/>
  <c r="N85" i="3"/>
  <c r="N89" i="3"/>
  <c r="J87" i="3"/>
  <c r="L89" i="3"/>
  <c r="O89" i="3"/>
  <c r="M85" i="3"/>
  <c r="L85" i="3"/>
  <c r="M83" i="3"/>
  <c r="M87" i="3"/>
  <c r="N84" i="3"/>
  <c r="J82" i="3"/>
  <c r="O91" i="3"/>
  <c r="O84" i="3"/>
  <c r="N91" i="3"/>
  <c r="O82" i="3"/>
  <c r="J88" i="3"/>
  <c r="J91" i="3"/>
  <c r="N83" i="3"/>
  <c r="N81" i="3"/>
  <c r="L83" i="3"/>
  <c r="M84" i="3"/>
  <c r="L81" i="3"/>
  <c r="M81" i="3"/>
  <c r="N87" i="3"/>
  <c r="J83" i="3"/>
  <c r="L86" i="3"/>
  <c r="J86" i="3"/>
  <c r="O83" i="3"/>
  <c r="P83" i="3" l="1"/>
  <c r="K92" i="3"/>
  <c r="K90" i="3"/>
  <c r="P92" i="3"/>
  <c r="P90" i="3"/>
  <c r="P91" i="3"/>
  <c r="P88" i="3"/>
  <c r="P85" i="3"/>
  <c r="P89" i="3"/>
  <c r="K84" i="3"/>
  <c r="K86" i="3"/>
  <c r="K91" i="3"/>
  <c r="P81" i="3"/>
  <c r="K82" i="3"/>
  <c r="K87" i="3"/>
  <c r="P86" i="3"/>
  <c r="P84" i="3"/>
  <c r="K88" i="3"/>
  <c r="P82" i="3"/>
  <c r="K89" i="3"/>
  <c r="K85" i="3"/>
  <c r="K81" i="3"/>
  <c r="G3" i="4"/>
  <c r="BL11" i="3" s="1"/>
  <c r="P87" i="3"/>
  <c r="I3" i="4"/>
  <c r="BL15" i="3" s="1"/>
  <c r="E3" i="4"/>
  <c r="BL67" i="3" s="1"/>
  <c r="D3" i="4"/>
  <c r="BL51" i="3" s="1"/>
  <c r="H3" i="4"/>
  <c r="BL39" i="3" s="1"/>
  <c r="K83" i="3"/>
  <c r="B3" i="4"/>
  <c r="K3" i="4"/>
  <c r="BL55" i="3" s="1"/>
  <c r="J3" i="4"/>
  <c r="BL71" i="3" s="1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<sst xmlns="http://schemas.openxmlformats.org/spreadsheetml/2006/main" count="9785" uniqueCount="3699">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</sst>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I1" zoomScale="80" zoomScaleNormal="80" workbookViewId="0">
      <selection activeCell="BS2" sqref="BS2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3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4</v>
      </c>
      <c r="AL8" s="123">
        <f>AI8-AJ8</f>
        <v>0</v>
      </c>
      <c r="AM8" s="123">
        <f>AL8-AL12</f>
        <v>3</v>
      </c>
      <c r="AN8" s="123">
        <f>AF8*3+AG8</f>
        <v>4</v>
      </c>
      <c r="AO8" s="123">
        <f>AN8/AN12*10+BA8</f>
        <v>4</v>
      </c>
      <c r="AP8" s="123">
        <f>AO8*10000000+BI8*100+AM8/AM12*10+AI8/AI12*1++IF(AQ8=0,ROW(),AQ8)/2000000</f>
        <v>40000004.250840515</v>
      </c>
      <c r="AQ8" s="126">
        <f>VLOOKUP(AE8,db_fifarank,2,FALSE)</f>
        <v>1681.03</v>
      </c>
      <c r="AR8" s="125">
        <f>AP8/AP12</f>
        <v>0.44444443920294791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7 - 3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4</v>
      </c>
      <c r="AL9" s="123">
        <f>AI9-AJ9</f>
        <v>-1</v>
      </c>
      <c r="AM9" s="123">
        <f>AL9-AL12</f>
        <v>2</v>
      </c>
      <c r="AN9" s="123">
        <f>AF9*3+AG9</f>
        <v>3</v>
      </c>
      <c r="AO9" s="123">
        <f>AN9/AN12*10+BA9</f>
        <v>3</v>
      </c>
      <c r="AP9" s="123">
        <f>AO9*10000000+BI9*100+AM9/AM12*10+AI9/AI12*1++IF(AQ9=0,ROW(),AQ9)/2000000</f>
        <v>30000002.875714865</v>
      </c>
      <c r="AQ9" s="126">
        <f>VLOOKUP(AE9,db_fifarank,2,FALSE)</f>
        <v>1429.73</v>
      </c>
      <c r="AR9" s="125">
        <f>AP9/AP12</f>
        <v>0.33333332593092774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3</v>
      </c>
      <c r="AG10" s="123">
        <f>COUNTIF($S$7:$T$78,"=" &amp; AE10 &amp; "_draw")</f>
        <v>0</v>
      </c>
      <c r="AH10" s="123">
        <f>COUNTIF($S$7:$T$78,"=" &amp; AE10 &amp; "_lose")</f>
        <v>0</v>
      </c>
      <c r="AI10" s="123">
        <f>SUMIF($E$7:$E$78,$AE10,$F$7:$F$78) + SUMIF($H$7:$H$78,$AE10,$G$7:$G$78)</f>
        <v>7</v>
      </c>
      <c r="AJ10" s="123">
        <f>SUMIF($E$7:$E$78,$AE10,$G$7:$G$78) + SUMIF($H$7:$H$78,$AE10,$F$7:$F$78)</f>
        <v>3</v>
      </c>
      <c r="AL10" s="123">
        <f>AI10-AJ10</f>
        <v>4</v>
      </c>
      <c r="AM10" s="123">
        <f>AL10-AL12</f>
        <v>7</v>
      </c>
      <c r="AN10" s="123">
        <f>AF10*3+AG10</f>
        <v>9</v>
      </c>
      <c r="AO10" s="123">
        <f>AN10/AN12*10+BA10</f>
        <v>9</v>
      </c>
      <c r="AP10" s="123">
        <f>AO10*10000000+BI10*100+AM10/AM12*10+AI10/AI12*1++IF(AQ10=0,ROW(),AQ10)/2000000</f>
        <v>90000009.625794336</v>
      </c>
      <c r="AQ10" s="126">
        <f>VLOOKUP(AE10,db_fifarank,2,FALSE)</f>
        <v>1588.66</v>
      </c>
      <c r="AR10" s="125">
        <f>AP10/AP12</f>
        <v>0.99999998888889019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5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10000000.250750691</v>
      </c>
      <c r="AQ11" s="126">
        <f>VLOOKUP(AE11,db_fifarank,2,FALSE)</f>
        <v>1501.38</v>
      </c>
      <c r="AR11" s="125">
        <f>AP11/AP12</f>
        <v>0.11111110077896651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8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90000010.625794336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3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4</v>
      </c>
      <c r="BU13" s="64"/>
      <c r="BV13" s="27"/>
      <c r="BW13" s="113">
        <f>IF(BW12="","",BT13*1000+BU13*10+BV13)</f>
        <v>4000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3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62500006.600778244</v>
      </c>
      <c r="AQ14" s="126">
        <f>VLOOKUP(AE14,db_fifarank,2,FALSE)</f>
        <v>1556.48</v>
      </c>
      <c r="AR14" s="125">
        <f>AP14/AP18</f>
        <v>0.71428570971644822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2</v>
      </c>
      <c r="AL15" s="123">
        <f>AI15-AJ15</f>
        <v>-2</v>
      </c>
      <c r="AM15" s="123">
        <f>AL15-AL18</f>
        <v>0</v>
      </c>
      <c r="AN15" s="123">
        <f>AF15*3+AG15</f>
        <v>1</v>
      </c>
      <c r="AO15" s="123">
        <f>AN15/AN18*10+BA15</f>
        <v>1.25</v>
      </c>
      <c r="AP15" s="123">
        <f>AO15*10000000+BI15*100+AM15/AM18*10+AI15/AI18*1++IF(AQ15=0,ROW(),AQ15)/2000000</f>
        <v>12500000.000692921</v>
      </c>
      <c r="AQ15" s="126">
        <f>VLOOKUP(AE15,db_fifarank,2,FALSE)</f>
        <v>1385.84</v>
      </c>
      <c r="AR15" s="125">
        <f>AP15/AP18</f>
        <v>0.14285712686371729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Saudi Arabia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3</v>
      </c>
      <c r="AL16" s="123">
        <f>AI16-AJ16</f>
        <v>-1</v>
      </c>
      <c r="AM16" s="123">
        <f>AL16-AL18</f>
        <v>1</v>
      </c>
      <c r="AN16" s="123">
        <f>AF16*3+AG16</f>
        <v>2</v>
      </c>
      <c r="AO16" s="123">
        <f>AN16/AN18*10+BA16</f>
        <v>2.5</v>
      </c>
      <c r="AP16" s="123">
        <f>AO16*10000000+BI16*100+AM16/AM18*10+AI16/AI18*1++IF(AQ16=0,ROW(),AQ16)/2000000</f>
        <v>25000002.400727477</v>
      </c>
      <c r="AQ16" s="126">
        <f>VLOOKUP(AE16,db_fifarank,2,FALSE)</f>
        <v>1454.96</v>
      </c>
      <c r="AR16" s="125">
        <f>AP16/AP18</f>
        <v>0.2857142811484788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2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4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87500008.800824702</v>
      </c>
      <c r="AQ17" s="126">
        <f>VLOOKUP(AE17,db_fifarank,2,FALSE)</f>
        <v>1649.4</v>
      </c>
      <c r="AR17" s="125">
        <f>AP17/AP18</f>
        <v>0.9999999885714298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Brazil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0 - 2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0</v>
      </c>
      <c r="W18" s="123">
        <f t="shared" si="4"/>
        <v>0</v>
      </c>
      <c r="X18" s="123">
        <f t="shared" si="9"/>
        <v>1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5</v>
      </c>
      <c r="AL18" s="123">
        <f>MIN(AL14:AL17)</f>
        <v>-2</v>
      </c>
      <c r="AM18" s="123">
        <f>MAX(AM14:AM17)+1</f>
        <v>5</v>
      </c>
      <c r="AN18" s="123">
        <f>MAX(AN14:AN17)+1</f>
        <v>8</v>
      </c>
      <c r="AO18" s="123">
        <f>MAX(AO14:AO17)+1</f>
        <v>9.75</v>
      </c>
      <c r="AP18" s="123">
        <f>MAX(AP14:AP17)+1</f>
        <v>87500009.800824702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5</v>
      </c>
      <c r="AL20" s="123">
        <f>AI20-AJ20</f>
        <v>2</v>
      </c>
      <c r="AM20" s="123">
        <f>AL20-AL24</f>
        <v>6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60000007.445325017</v>
      </c>
      <c r="AQ20" s="126">
        <f>VLOOKUP(AE20,db_fifarank,2,FALSE)</f>
        <v>1761.16</v>
      </c>
      <c r="AR20" s="125">
        <f>AP20/AP24</f>
        <v>0.66666666955060561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8 - 4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4</v>
      </c>
      <c r="AL21" s="123">
        <f>AI21-AJ21</f>
        <v>4</v>
      </c>
      <c r="AM21" s="123">
        <f>AL21-AL24</f>
        <v>8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90000009.778655723</v>
      </c>
      <c r="AQ21" s="126">
        <f>VLOOKUP(AE21,db_fifarank,2,FALSE)</f>
        <v>1755.87</v>
      </c>
      <c r="AR21" s="125">
        <f>AP21/AP24</f>
        <v>0.99999998888889019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Brazil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6</v>
      </c>
      <c r="AL22" s="123">
        <f>AI22-AJ22</f>
        <v>-4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0.22286807722222221</v>
      </c>
      <c r="AQ22" s="126">
        <f>VLOOKUP(AE22,db_fifarank,2,FALSE)</f>
        <v>1291.71</v>
      </c>
      <c r="AR22" s="125">
        <f>AP22/AP24</f>
        <v>2.4763116725656805E-9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Japan</v>
      </c>
      <c r="BM22" s="61">
        <v>2</v>
      </c>
      <c r="BN22" s="63">
        <v>2</v>
      </c>
      <c r="BO22" s="25">
        <v>5</v>
      </c>
      <c r="BP22" s="116">
        <f>IF(OR(BM22="",BM23="",AND(BN22="",BN23&lt;&gt;""),AND(BN23="",BN22&lt;&gt;""),AND(BO22="",BO23&lt;&gt;""),AND(BO23="",BO22&lt;&gt;"")),"",BM22*1000+BN22*10+BO22)</f>
        <v>2025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5</v>
      </c>
      <c r="AL23" s="123">
        <f>AI23-AJ23</f>
        <v>-2</v>
      </c>
      <c r="AM23" s="123">
        <f>AL23-AL24</f>
        <v>2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30000002.55630473</v>
      </c>
      <c r="AQ23" s="126">
        <f>VLOOKUP(AE23,db_fifarank,2,FALSE)</f>
        <v>1498.35</v>
      </c>
      <c r="AR23" s="125">
        <f>AP23/AP24</f>
        <v>0.33333332181577346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2</v>
      </c>
      <c r="BN23" s="64">
        <v>2</v>
      </c>
      <c r="BO23" s="27">
        <v>6</v>
      </c>
      <c r="BP23" s="112">
        <f>IF(BP22="","",BM23*1000+BN23*10+BO23)</f>
        <v>2026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3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3000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-4</v>
      </c>
      <c r="AM24" s="123">
        <f>MAX(AM20:AM23)+1</f>
        <v>9</v>
      </c>
      <c r="AN24" s="123">
        <f>MAX(AN20:AN23)+1</f>
        <v>10</v>
      </c>
      <c r="AO24" s="123">
        <f>MAX(AO20:AO23)+1</f>
        <v>10</v>
      </c>
      <c r="AP24" s="123">
        <f>MAX(AP20:AP23)+1</f>
        <v>90000010.778655723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4</v>
      </c>
      <c r="CI24" s="64"/>
      <c r="CJ24" s="27"/>
      <c r="CK24" s="113">
        <f>IF(CK23="","",CH24*1000+CI24*10+CJ24)</f>
        <v>4000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Austria_lose</v>
      </c>
      <c r="T26" s="127" t="str">
        <f t="shared" si="2"/>
        <v>Jordan_win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-1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5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60000006.875836566</v>
      </c>
      <c r="AQ26" s="126">
        <f>VLOOKUP(AE26,db_fifarank,2,FALSE)</f>
        <v>1673.13</v>
      </c>
      <c r="AR26" s="125">
        <f>AP26/AP30</f>
        <v>0.66666666435522492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1.9803921568627452</v>
      </c>
      <c r="AP27" s="123">
        <f>AO27*10000000+BI27*100+AM27/AM30*10+AI27/AI30*1++IF(AQ27=0,ROW(),AQ27)/2000000</f>
        <v>19804019.733594887</v>
      </c>
      <c r="AQ27" s="126">
        <f>VLOOKUP(AE27,db_fifarank,2,FALSE)</f>
        <v>1503.5</v>
      </c>
      <c r="AR27" s="125">
        <f>AP27/AP30</f>
        <v>0.22004463772716312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</v>
      </c>
      <c r="BA27" s="126">
        <f>AZ27/AZ30</f>
        <v>0.98039215686274506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</v>
      </c>
      <c r="BI27" s="126">
        <f>BH27/BH30</f>
        <v>0.98039215686274506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3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1.9803921568627452</v>
      </c>
      <c r="AP28" s="123">
        <f>AO28*10000000+BI28*100+AM28/AM30*10+AI28/AI30*1++IF(AQ28=0,ROW(),AQ28)/2000000</f>
        <v>19804019.608633474</v>
      </c>
      <c r="AQ28" s="126">
        <f>VLOOKUP(AE28,db_fifarank,2,FALSE)</f>
        <v>1580.67</v>
      </c>
      <c r="AR28" s="125">
        <f>AP28/AP30</f>
        <v>0.22004463633870314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</v>
      </c>
      <c r="BA28" s="126">
        <f>AZ28/AZ30</f>
        <v>0.98039215686274506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1 - 4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7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90000009.625799522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0 - 3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8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90000010.625799522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0</v>
      </c>
      <c r="AL32" s="123">
        <f>AI32-AJ32</f>
        <v>7</v>
      </c>
      <c r="AM32" s="123">
        <f>AL32-AL36</f>
        <v>11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90000010.042531863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2</v>
      </c>
      <c r="AE33" s="124" t="str">
        <f>VLOOKUP("Curaçao",T,lang,FALSE)</f>
        <v>Curaçao</v>
      </c>
      <c r="AF33" s="123">
        <f>COUNTIF($S$7:$T$78,"=" &amp; AE33 &amp; "_win")</f>
        <v>2</v>
      </c>
      <c r="AG33" s="123">
        <f>COUNTIF($S$7:$T$78,"=" &amp; AE33 &amp; "_draw")</f>
        <v>0</v>
      </c>
      <c r="AH33" s="123">
        <f>COUNTIF($S$7:$T$78,"=" &amp; AE33 &amp; "_lose")</f>
        <v>1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3</v>
      </c>
      <c r="AL33" s="123">
        <f>AI33-AJ33</f>
        <v>-1</v>
      </c>
      <c r="AM33" s="123">
        <f>AL33-AL36</f>
        <v>3</v>
      </c>
      <c r="AN33" s="123">
        <f>AF33*3+AG33</f>
        <v>6</v>
      </c>
      <c r="AO33" s="123">
        <f>AN33/AN36*10+BA33</f>
        <v>6</v>
      </c>
      <c r="AP33" s="123">
        <f>AO33*10000000+BI33*100+AM33/AM36*10+AI33/AI36*1++IF(AQ33=0,ROW(),AQ33)/2000000</f>
        <v>60000002.750647321</v>
      </c>
      <c r="AQ33" s="126">
        <f>VLOOKUP(AE33,db_fifarank,2,FALSE)</f>
        <v>1294.6500000000001</v>
      </c>
      <c r="AR33" s="125">
        <f>AP33/AP36</f>
        <v>0.66666661543288863</v>
      </c>
      <c r="AS33" s="125" t="str">
        <f>IF(SUM(AF32:AH35)=12,J34,"2E")</f>
        <v>Curaçao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Curaçao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2 - 3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4</v>
      </c>
      <c r="AL34" s="123">
        <f>AI34-AJ34</f>
        <v>-4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7.6648999999999999E-4</v>
      </c>
      <c r="AQ34" s="126">
        <f>VLOOKUP(AE34,db_fifarank,2,FALSE)</f>
        <v>1532.98</v>
      </c>
      <c r="AR34" s="125">
        <f>AP34/AP36</f>
        <v>8.5165545106186159E-12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1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1</v>
      </c>
      <c r="AJ35" s="123">
        <f>SUMIF($E$7:$E$78,$AE35,$G$7:$G$78) + SUMIF($H$7:$H$78,$AE35,$F$7:$F$78)</f>
        <v>3</v>
      </c>
      <c r="AL35" s="123">
        <f>AI35-AJ35</f>
        <v>-2</v>
      </c>
      <c r="AM35" s="123">
        <f>AL35-AL36</f>
        <v>2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30000001.792464059</v>
      </c>
      <c r="AQ35" s="126">
        <f>VLOOKUP(AE35,db_fifarank,2,FALSE)</f>
        <v>1594.78</v>
      </c>
      <c r="AR35" s="125">
        <f>AP35/AP36</f>
        <v>0.33333331235133706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Jordan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0 - 4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-4</v>
      </c>
      <c r="AM36" s="123">
        <f>MAX(AM32:AM35)+1</f>
        <v>12</v>
      </c>
      <c r="AN36" s="123">
        <f>MAX(AN32:AN35)+1</f>
        <v>10</v>
      </c>
      <c r="AO36" s="123">
        <f>MAX(AO32:AO35)+1</f>
        <v>10</v>
      </c>
      <c r="AP36" s="123">
        <f>MAX(AP32:AP35)+1</f>
        <v>90000011.042531863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4</v>
      </c>
      <c r="AL38" s="123">
        <f>AI38-AJ38</f>
        <v>1</v>
      </c>
      <c r="AM38" s="123">
        <f>AL38-AL42</f>
        <v>3</v>
      </c>
      <c r="AN38" s="123">
        <f>AF38*3+AG38</f>
        <v>6</v>
      </c>
      <c r="AO38" s="123">
        <f>AN38/AN42*10+BA38</f>
        <v>6</v>
      </c>
      <c r="AP38" s="123">
        <f>AO38*10000000+BI38*100+AM38/AM42*10+AI38/AI42*1++IF(AQ38=0,ROW(),AQ38)/2000000</f>
        <v>60000005.834212273</v>
      </c>
      <c r="AQ38" s="126">
        <f>VLOOKUP(AE38,db_fifarank,2,FALSE)</f>
        <v>1757.87</v>
      </c>
      <c r="AR38" s="125">
        <f>AP38/AP42</f>
        <v>0.66666665617645704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3</v>
      </c>
      <c r="AG39" s="123">
        <f>COUNTIF($S$7:$T$78,"=" &amp; AE39 &amp; "_draw")</f>
        <v>0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2</v>
      </c>
      <c r="AL39" s="123">
        <f>AI39-AJ39</f>
        <v>3</v>
      </c>
      <c r="AM39" s="123">
        <f>AL39-AL42</f>
        <v>5</v>
      </c>
      <c r="AN39" s="123">
        <f>AF39*3+AG39</f>
        <v>9</v>
      </c>
      <c r="AO39" s="123">
        <f>AN39/AN42*10+BA39</f>
        <v>9</v>
      </c>
      <c r="AP39" s="123">
        <f>AO39*10000000+BI39*100+AM39/AM42*10+AI39/AI42*1++IF(AQ39=0,ROW(),AQ39)/2000000</f>
        <v>90000009.167496875</v>
      </c>
      <c r="AQ39" s="126">
        <f>VLOOKUP(AE39,db_fifarank,2,FALSE)</f>
        <v>1660.43</v>
      </c>
      <c r="AR39" s="125">
        <f>AP39/AP42</f>
        <v>0.99999998888889019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South Africa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0</v>
      </c>
      <c r="G40" s="20">
        <v>1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Ecuador_lose</v>
      </c>
      <c r="T40" s="127" t="str">
        <f t="shared" si="2"/>
        <v>Curaçao_win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-1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0</v>
      </c>
      <c r="AN40" s="123">
        <f>AF40*3+AG40</f>
        <v>1</v>
      </c>
      <c r="AO40" s="123">
        <f>AN40/AN42*10+BA40</f>
        <v>1.9803921568627452</v>
      </c>
      <c r="AP40" s="123">
        <f>AO40*10000000+BI40*100+AM40/AM42*10+AI40/AI42*1++IF(AQ40=0,ROW(),AQ40)/2000000</f>
        <v>19804019.941933855</v>
      </c>
      <c r="AQ40" s="126">
        <f>VLOOKUP(AE40,db_fifarank,2,FALSE)</f>
        <v>1514.77</v>
      </c>
      <c r="AR40" s="125">
        <f>AP40/AP42</f>
        <v>0.22004464116256281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</v>
      </c>
      <c r="BA40" s="126">
        <f>AZ40/AZ42</f>
        <v>0.98039215686274506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</v>
      </c>
      <c r="BI40" s="126">
        <f>BH40/BH42</f>
        <v>0.98039215686274506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3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1.9803921568627452</v>
      </c>
      <c r="AP41" s="123">
        <f>AO41*10000000+BI41*100+AM41/AM42*10+AI41/AI42*1++IF(AQ41=0,ROW(),AQ41)/2000000</f>
        <v>19804019.775251333</v>
      </c>
      <c r="AQ41" s="126">
        <f>VLOOKUP(AE41,db_fifarank,2,FALSE)</f>
        <v>1483.05</v>
      </c>
      <c r="AR41" s="125">
        <f>AP41/AP42</f>
        <v>0.220044639310535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</v>
      </c>
      <c r="BA41" s="126">
        <f>AZ41/AZ42</f>
        <v>0.98039215686274506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</v>
      </c>
      <c r="BI41" s="126">
        <f>BH41/BH42</f>
        <v>0.98039215686274506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1 - 3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6</v>
      </c>
      <c r="AL42" s="123">
        <f>MIN(AL38:AL41)</f>
        <v>-2</v>
      </c>
      <c r="AM42" s="123">
        <f>MAX(AM38:AM41)+1</f>
        <v>6</v>
      </c>
      <c r="AN42" s="123">
        <f>MAX(AN38:AN41)+1</f>
        <v>10</v>
      </c>
      <c r="AO42" s="123">
        <f>MAX(AO38:AO41)+1</f>
        <v>10</v>
      </c>
      <c r="AP42" s="123">
        <f>MAX(AP38:AP41)+1</f>
        <v>90000010.167496875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41">
        <v>76</v>
      </c>
      <c r="BL42" s="24" t="str">
        <f>AS20</f>
        <v>Morocco</v>
      </c>
      <c r="BM42" s="61">
        <v>2</v>
      </c>
      <c r="BN42" s="63">
        <v>2</v>
      </c>
      <c r="BO42" s="25">
        <v>6</v>
      </c>
      <c r="BP42" s="112">
        <f>IF(OR(BM42="",BM43="",AND(BN42="",BN43&lt;&gt;""),AND(BN43="",BN42&lt;&gt;""),AND(BO42="",BO43&lt;&gt;""),AND(BO43="",BO42&lt;&gt;"")),"",BM42*1000+BN42*10+BO42)</f>
        <v>2026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Netherlands</v>
      </c>
      <c r="BM43" s="62">
        <v>2</v>
      </c>
      <c r="BN43" s="64">
        <v>2</v>
      </c>
      <c r="BO43" s="27">
        <v>7</v>
      </c>
      <c r="BP43" s="113">
        <f>IF(BP42="","",BM43*1000+BN43*10+BO43)</f>
        <v>2027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90000009.405629247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Netherlands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4</v>
      </c>
      <c r="AL45" s="123">
        <f>AI45-AJ45</f>
        <v>1</v>
      </c>
      <c r="AM45" s="123">
        <f>AL45-AL48</f>
        <v>4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40000006.54840067</v>
      </c>
      <c r="AQ45" s="126">
        <f>VLOOKUP(AE45,db_fifarank,2,FALSE)</f>
        <v>1563.24</v>
      </c>
      <c r="AR45" s="125">
        <f>AP45/AP48</f>
        <v>0.44444446581862596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5 - 4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2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20000003.357950509</v>
      </c>
      <c r="AQ46" s="126">
        <f>VLOOKUP(AE46,db_fifarank,2,FALSE)</f>
        <v>1615.3</v>
      </c>
      <c r="AR46" s="125">
        <f>AP46/AP48</f>
        <v>0.22222223383987036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Curaçao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10000000.333974119</v>
      </c>
      <c r="AQ47" s="126">
        <f>VLOOKUP(AE47,db_fifarank,2,FALSE)</f>
        <v>1281.57</v>
      </c>
      <c r="AR47" s="125">
        <f>AP47/AP48</f>
        <v>0.11111110197547985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6</v>
      </c>
      <c r="AL48" s="123">
        <f>MIN(AL44:AL47)</f>
        <v>-3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90000010.405629247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Netherlands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4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4000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England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90000010.321793824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7.5896101563555414E-12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30000002.535470076</v>
      </c>
      <c r="AQ52" s="126">
        <f>VLOOKUP(AE52,db_fifarank,2,FALSE)</f>
        <v>1421.43</v>
      </c>
      <c r="AR52" s="125">
        <f>AP52/AP54</f>
        <v>0.33333331957265505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Korea Republic</v>
      </c>
      <c r="BT52" s="61">
        <v>2</v>
      </c>
      <c r="BU52" s="63">
        <v>2</v>
      </c>
      <c r="BV52" s="25"/>
      <c r="BW52" s="116">
        <f>IF(OR(BT52="",BT53="",AND(BU52="",BU53&lt;&gt;""),AND(BU53="",BU52&lt;&gt;""),AND(BV52="",BV53&lt;&gt;""),AND(BV53="",BV52&lt;&gt;"")),"",BT52*1000+BU52*10+BV52)</f>
        <v>2020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4</v>
      </c>
      <c r="AL53" s="123">
        <f>AI53-AJ53</f>
        <v>1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60000005.161264345</v>
      </c>
      <c r="AQ53" s="126">
        <f>VLOOKUP(AE53,db_fifarank,2,FALSE)</f>
        <v>1673.07</v>
      </c>
      <c r="AR53" s="125">
        <f>AP53/AP54</f>
        <v>0.66666664014891219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>
        <v>3</v>
      </c>
      <c r="BV53" s="27"/>
      <c r="BW53" s="112">
        <f>IF(BW52="","",BT53*1000+BU53*10+BV53)</f>
        <v>2030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-7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90000011.321793824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>
        <v>1</v>
      </c>
      <c r="CJ55" s="25"/>
      <c r="CK55" s="116">
        <f>IF(OR(CH55="",CH56="",AND(CI55="",CI56&lt;&gt;""),AND(CI56="",CI55&lt;&gt;""),AND(CJ55="",CJ56&lt;&gt;""),AND(CJ56="",CJ55&lt;&gt;"")),"",CH55*1000+CI55*10+CJ55)</f>
        <v>1010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3</v>
      </c>
      <c r="AL56" s="123">
        <f>AI56-AJ56</f>
        <v>7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90000010.243362889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>
        <v>2</v>
      </c>
      <c r="CJ56" s="27"/>
      <c r="CK56" s="112">
        <f>IF(CK55="","",CH56*1000+CI56*10+CJ56)</f>
        <v>1020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10 - 3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7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49806554.79947596</v>
      </c>
      <c r="AQ57" s="126">
        <f>VLOOKUP(AE57,db_fifarank,2,FALSE)</f>
        <v>1688.99</v>
      </c>
      <c r="AR57" s="125">
        <f>AP57/AP60</f>
        <v>0.55340609530367113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6 - 6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8.03966566230135E-12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6</v>
      </c>
      <c r="AL59" s="123">
        <f>AI59-AJ59</f>
        <v>0</v>
      </c>
      <c r="AM59" s="123">
        <f>AL59-AL60</f>
        <v>7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49806554.890316032</v>
      </c>
      <c r="AQ59" s="126">
        <f>VLOOKUP(AE59,db_fifarank,2,FALSE)</f>
        <v>1550.94</v>
      </c>
      <c r="AR59" s="125">
        <f>AP59/AP60</f>
        <v>0.55340609631300519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11</v>
      </c>
      <c r="AL60" s="123">
        <f>MIN(AL56:AL59)</f>
        <v>-7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90000011.243362889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90000009.584270746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>
        <v>1</v>
      </c>
      <c r="BO62" s="25">
        <v>5</v>
      </c>
      <c r="BP62" s="116">
        <f>IF(OR(BM62="",BM63="",AND(BN62="",BN63&lt;&gt;""),AND(BN63="",BN62&lt;&gt;""),AND(BO62="",BO63&lt;&gt;""),AND(BO63="",BO62&lt;&gt;"")),"",BM62*1000+BN62*10+BO62)</f>
        <v>1015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3</v>
      </c>
      <c r="AN63" s="123">
        <f>AF63*3+AG63</f>
        <v>4</v>
      </c>
      <c r="AO63" s="123">
        <f>AN63/AN66*10+BA63</f>
        <v>4</v>
      </c>
      <c r="AP63" s="123">
        <f>AO63*10000000+BI63*100+AM63/AM66*10+AI63/AI66*1++IF(AQ63=0,ROW(),AQ63)/2000000</f>
        <v>40000004.084115468</v>
      </c>
      <c r="AQ63" s="126">
        <f>VLOOKUP(AE63,db_fifarank,2,FALSE)</f>
        <v>1564.26</v>
      </c>
      <c r="AR63" s="125">
        <f>AP63/AP66</f>
        <v>0.44444443755550234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>
        <v>1</v>
      </c>
      <c r="BO63" s="27">
        <v>3</v>
      </c>
      <c r="BP63" s="112">
        <f>IF(BP62="","",BM63*1000+BN63*10+BO63)</f>
        <v>1013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4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1</v>
      </c>
      <c r="AH64" s="123">
        <f>COUNTIF($S$7:$T$78,"=" &amp; AE64 &amp; "_lose")</f>
        <v>2</v>
      </c>
      <c r="AI64" s="123">
        <f>SUMIF($E$7:$E$78,$AE64,$F$7:$F$78) + SUMIF($H$7:$H$78,$AE64,$G$7:$G$78)</f>
        <v>0</v>
      </c>
      <c r="AJ64" s="123">
        <f>SUMIF($E$7:$E$78,$AE64,$G$7:$G$78) + SUMIF($H$7:$H$78,$AE64,$F$7:$F$78)</f>
        <v>3</v>
      </c>
      <c r="AL64" s="123">
        <f>AI64-AJ64</f>
        <v>-3</v>
      </c>
      <c r="AM64" s="123">
        <f>AL64-AL66</f>
        <v>0</v>
      </c>
      <c r="AN64" s="123">
        <f>AF64*3+AG64</f>
        <v>1</v>
      </c>
      <c r="AO64" s="123">
        <f>AN64/AN66*10+BA64</f>
        <v>1</v>
      </c>
      <c r="AP64" s="123">
        <f>AO64*10000000+BI64*100+AM64/AM66*10+AI64/AI66*1++IF(AQ64=0,ROW(),AQ64)/2000000</f>
        <v>10000000.000796724</v>
      </c>
      <c r="AQ64" s="126">
        <f>VLOOKUP(AE64,db_fifarank,2,FALSE)</f>
        <v>1593.45</v>
      </c>
      <c r="AR64" s="125">
        <f>AP64/AP66</f>
        <v>0.11111109805296422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3</v>
      </c>
      <c r="CB64" s="63">
        <v>3</v>
      </c>
      <c r="CC64" s="25">
        <v>5</v>
      </c>
      <c r="CD64" s="116">
        <f>IF(OR(CA64="",CA65="",AND(CB64="",CB65&lt;&gt;""),AND(CB65="",CB64&lt;&gt;""),AND(CC64="",CC65&lt;&gt;""),AND(CC65="",CC64&lt;&gt;"")),"",CA64*1000+CB64*10+CC64)</f>
        <v>3035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1 - 2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1</v>
      </c>
      <c r="AG65" s="123">
        <f>COUNTIF($S$7:$T$78,"=" &amp; AE65 &amp; "_draw")</f>
        <v>0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2</v>
      </c>
      <c r="AL65" s="123">
        <f>AI65-AJ65</f>
        <v>-1</v>
      </c>
      <c r="AM65" s="123">
        <f>AL65-AL66</f>
        <v>2</v>
      </c>
      <c r="AN65" s="123">
        <f>AF65*3+AG65</f>
        <v>3</v>
      </c>
      <c r="AO65" s="123">
        <f>AN65/AN66*10+BA65</f>
        <v>3</v>
      </c>
      <c r="AP65" s="123">
        <f>AO65*10000000+BI65*100+AM65/AM66*10+AI65/AI66*1++IF(AQ65=0,ROW(),AQ65)/2000000</f>
        <v>30000002.667362392</v>
      </c>
      <c r="AQ65" s="126">
        <f>VLOOKUP(AE65,db_fifarank,2,FALSE)</f>
        <v>1391.45</v>
      </c>
      <c r="AR65" s="125">
        <f>AP65/AP66</f>
        <v>0.3333333237696916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3</v>
      </c>
      <c r="CB65" s="64">
        <v>3</v>
      </c>
      <c r="CC65" s="27">
        <v>4</v>
      </c>
      <c r="CD65" s="112">
        <f>IF(CD64="","",CA65*1000+CB65*10+CC65)</f>
        <v>3034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Austria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0 - 3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0</v>
      </c>
      <c r="W66" s="123">
        <f t="shared" si="22"/>
        <v>0</v>
      </c>
      <c r="X66" s="123">
        <f t="shared" si="9"/>
        <v>1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6</v>
      </c>
      <c r="AL66" s="123">
        <f>MIN(AL62:AL65)</f>
        <v>-3</v>
      </c>
      <c r="AM66" s="123">
        <f>MAX(AM62:AM65)+1</f>
        <v>8</v>
      </c>
      <c r="AN66" s="123">
        <f>MAX(AN62:AN65)+1</f>
        <v>10</v>
      </c>
      <c r="AO66" s="123">
        <f>MAX(AO62:AO65)+1</f>
        <v>10</v>
      </c>
      <c r="AP66" s="123">
        <f>MAX(AP62:AP65)+1</f>
        <v>90000010.584270746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4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0.2200446352852507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3 - 2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4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0.22004463528517842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2</v>
      </c>
      <c r="AL71" s="123">
        <f>AI71-AJ71</f>
        <v>1</v>
      </c>
      <c r="AM71" s="123">
        <f>AL71-AL72</f>
        <v>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60000004.500846542</v>
      </c>
      <c r="AQ71" s="126">
        <f>VLOOKUP(AE71,db_fifarank,2,FALSE)</f>
        <v>1693.09</v>
      </c>
      <c r="AR71" s="125">
        <f>AP71/AP72</f>
        <v>0.66666663477653976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0 - 4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-4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90000010.042579651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60000005.500858538</v>
      </c>
      <c r="AQ75" s="126">
        <f>VLOOKUP(AE75,db_fifarank,2,FALSE)</f>
        <v>1717.07</v>
      </c>
      <c r="AR75" s="125">
        <f>AP75/AP78</f>
        <v>0.66666664599043335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1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3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30000002.875673156</v>
      </c>
      <c r="AQ76" s="126">
        <f>VLOOKUP(AE76,db_fifarank,2,FALSE)</f>
        <v>1346.31</v>
      </c>
      <c r="AR76" s="125">
        <f>AP76/AP78</f>
        <v>0.33333332438681523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8.5591100609482822E-12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90000011.042579651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6650.0007148650002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4633.3340608133331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South Africa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3 - 4</v>
      </c>
      <c r="P82" s="101">
        <f t="shared" ref="P82:P92" si="48">L82*3+M82</f>
        <v>3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5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6450.0007491750002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Ⓙ Jordan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1 - 2</v>
      </c>
      <c r="P83" s="101">
        <f t="shared" si="48"/>
        <v>3</v>
      </c>
      <c r="AD83" s="123">
        <f t="shared" si="38"/>
        <v>11</v>
      </c>
      <c r="AE83" s="124" t="str">
        <f>J29</f>
        <v>Paraguay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1</v>
      </c>
      <c r="AJ83" s="123">
        <f t="shared" si="42"/>
        <v>4</v>
      </c>
      <c r="AK83" s="123" t="s">
        <v>3184</v>
      </c>
      <c r="AL83" s="123">
        <f t="shared" si="43"/>
        <v>-3</v>
      </c>
      <c r="AM83" s="123">
        <f t="shared" si="44"/>
        <v>1</v>
      </c>
      <c r="AN83" s="123">
        <f t="shared" si="45"/>
        <v>1</v>
      </c>
      <c r="AP83" s="123">
        <f>AN83/AN92*10000+AM83/AM92*1000+AI83/AI92*100+IF(AQ83=0,ROW(),AQ83)/2000000</f>
        <v>2216.6674184166664</v>
      </c>
      <c r="AQ83" s="126">
        <f t="shared" si="37"/>
        <v>1503.5</v>
      </c>
      <c r="AR83" s="125" t="str">
        <f t="shared" si="50"/>
        <v>AC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6416.6674640566671</v>
      </c>
      <c r="AQ84" s="126">
        <f t="shared" si="37"/>
        <v>1594.78</v>
      </c>
      <c r="AR84" s="125" t="str">
        <f t="shared" si="50"/>
        <v>ACE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2433.3340907183333</v>
      </c>
      <c r="AQ85" s="126">
        <f t="shared" si="37"/>
        <v>1514.77</v>
      </c>
      <c r="AR85" s="125" t="str">
        <f t="shared" si="50"/>
        <v>ACE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Ⓔ Ecuador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8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4650.0008076499998</v>
      </c>
      <c r="AQ86" s="126">
        <f t="shared" si="37"/>
        <v>1615.3</v>
      </c>
      <c r="AR86" s="125" t="str">
        <f t="shared" si="50"/>
        <v>ACEG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6233.3340440483335</v>
      </c>
      <c r="AQ87" s="126">
        <f t="shared" si="37"/>
        <v>1421.43</v>
      </c>
      <c r="AR87" s="125" t="str">
        <f t="shared" si="50"/>
        <v>ACEGH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Ⓖ Iran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8883.3341778283338</v>
      </c>
      <c r="AQ88" s="126">
        <f t="shared" si="37"/>
        <v>1688.99</v>
      </c>
      <c r="AR88" s="125" t="str">
        <f t="shared" si="50"/>
        <v>ACEGHI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Qatar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2 - 3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3</v>
      </c>
      <c r="AE89" s="124" t="str">
        <f>J65</f>
        <v>Jordan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1</v>
      </c>
      <c r="AJ89" s="123">
        <f t="shared" si="42"/>
        <v>2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6616.6673623916668</v>
      </c>
      <c r="AQ89" s="126">
        <f t="shared" si="37"/>
        <v>1391.45</v>
      </c>
      <c r="AR89" s="125" t="str">
        <f t="shared" si="50"/>
        <v>ACEGHIJ</v>
      </c>
      <c r="AS89" s="129" t="str">
        <f t="shared" si="46"/>
        <v>Jordan</v>
      </c>
      <c r="AT89" s="130" t="str">
        <f>"Ⓙ "&amp;AE89</f>
        <v>Ⓙ Jordan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Sweden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2 - 4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4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ACEGHIJ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Paraguay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6450.0006731550002</v>
      </c>
      <c r="AQ91" s="126">
        <f t="shared" si="37"/>
        <v>1346.31</v>
      </c>
      <c r="AR91" s="125" t="str">
        <f t="shared" si="50"/>
        <v>ACEGHIJL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715" yWindow="628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213</v>
      </c>
      <c r="C3" s="121" t="str">
        <f>'2026 World Cup'!AR91</f>
        <v>ACEGHIJL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Jorge Antona</cp:lastModifiedBy>
  <cp:revision/>
  <dcterms:created xsi:type="dcterms:W3CDTF">2017-12-27T19:32:51Z</dcterms:created>
  <dcterms:modified xsi:type="dcterms:W3CDTF">2026-06-04T17:58:13Z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