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D2D0571-DE69-4EAD-9D5F-8F6A8C62AE0D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8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8" i="3" a="1"/>
  <c r="T88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3" i="3"/>
  <c r="S72" i="3"/>
  <c r="S70" i="3"/>
  <c r="S42" i="3"/>
  <c r="S64" i="3"/>
  <c r="T63" i="3"/>
  <c r="S40" i="3"/>
  <c r="S62" i="3"/>
  <c r="T61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9" i="3"/>
  <c r="AR22" i="3"/>
  <c r="AR34" i="3"/>
  <c r="AR10" i="3"/>
  <c r="AR35" i="3"/>
  <c r="AR11" i="3"/>
  <c r="AR28" i="3"/>
  <c r="AD57" i="3"/>
  <c r="AR33" i="3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M58" i="3"/>
  <c r="AD10" i="3"/>
  <c r="AD11" i="3"/>
  <c r="AD34" i="3"/>
  <c r="AD8" i="3"/>
  <c r="AD33" i="3"/>
  <c r="AD28" i="3"/>
  <c r="AD32" i="3"/>
  <c r="N33" i="3" s="1"/>
  <c r="AD15" i="3"/>
  <c r="AD21" i="3"/>
  <c r="N58" i="3"/>
  <c r="AD35" i="3"/>
  <c r="AD20" i="3"/>
  <c r="M59" i="3"/>
  <c r="L58" i="3"/>
  <c r="O60" i="3"/>
  <c r="AD75" i="3"/>
  <c r="L59" i="3"/>
  <c r="P59" i="3" s="1"/>
  <c r="AD63" i="3"/>
  <c r="AD47" i="3"/>
  <c r="AD68" i="3"/>
  <c r="O69" i="3" s="1"/>
  <c r="AD41" i="3"/>
  <c r="AD76" i="3"/>
  <c r="AD27" i="3"/>
  <c r="AD70" i="3"/>
  <c r="AD26" i="3"/>
  <c r="AD14" i="3"/>
  <c r="AD62" i="3"/>
  <c r="O63" i="3" s="1"/>
  <c r="AD74" i="3"/>
  <c r="AD44" i="3"/>
  <c r="AD71" i="3"/>
  <c r="AD53" i="3"/>
  <c r="AD29" i="3"/>
  <c r="AD77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J27" i="3" l="1"/>
  <c r="AS26" i="3" s="1"/>
  <c r="BL34" i="3" s="1"/>
  <c r="O9" i="3"/>
  <c r="O75" i="3"/>
  <c r="J45" i="3"/>
  <c r="AS44" i="3" s="1"/>
  <c r="BL38" i="3" s="1"/>
  <c r="M51" i="3"/>
  <c r="J33" i="3"/>
  <c r="AS32" i="3" s="1"/>
  <c r="BL10" i="3" s="1"/>
  <c r="N22" i="3"/>
  <c r="P58" i="3"/>
  <c r="J12" i="3"/>
  <c r="N16" i="3"/>
  <c r="K58" i="3"/>
  <c r="L16" i="3"/>
  <c r="J16" i="3"/>
  <c r="AS15" i="3" s="1"/>
  <c r="BL19" i="3" s="1"/>
  <c r="N36" i="3"/>
  <c r="J36" i="3"/>
  <c r="L35" i="3"/>
  <c r="M33" i="3"/>
  <c r="M17" i="3"/>
  <c r="M16" i="3"/>
  <c r="O39" i="3"/>
  <c r="L33" i="3"/>
  <c r="M18" i="3"/>
  <c r="L9" i="3"/>
  <c r="N11" i="3"/>
  <c r="N63" i="3"/>
  <c r="L36" i="3"/>
  <c r="O10" i="3"/>
  <c r="O12" i="3"/>
  <c r="J9" i="3"/>
  <c r="AS8" i="3" s="1"/>
  <c r="BL50" i="3" s="1"/>
  <c r="N10" i="3"/>
  <c r="N12" i="3"/>
  <c r="L34" i="3"/>
  <c r="N39" i="3"/>
  <c r="O11" i="3"/>
  <c r="M9" i="3"/>
  <c r="J35" i="3"/>
  <c r="AE84" i="3" s="1"/>
  <c r="AQ84" i="3" s="1"/>
  <c r="M34" i="3"/>
  <c r="O36" i="3"/>
  <c r="M35" i="3"/>
  <c r="L27" i="3"/>
  <c r="J70" i="3"/>
  <c r="AS69" i="3" s="1"/>
  <c r="BL26" i="3" s="1"/>
  <c r="N35" i="3"/>
  <c r="J10" i="3"/>
  <c r="AS9" i="3" s="1"/>
  <c r="BL18" i="3" s="1"/>
  <c r="BS20" i="3" s="1"/>
  <c r="L10" i="3"/>
  <c r="M10" i="3"/>
  <c r="M12" i="3"/>
  <c r="N9" i="3"/>
  <c r="N65" i="3"/>
  <c r="M36" i="3"/>
  <c r="O35" i="3"/>
  <c r="O33" i="3"/>
  <c r="N18" i="3"/>
  <c r="M11" i="3"/>
  <c r="J11" i="3"/>
  <c r="AE80" i="3" s="1"/>
  <c r="AQ80" i="3" s="1"/>
  <c r="L11" i="3"/>
  <c r="L12" i="3"/>
  <c r="N17" i="3"/>
  <c r="J24" i="3"/>
  <c r="M39" i="3"/>
  <c r="L39" i="3"/>
  <c r="M46" i="3"/>
  <c r="J29" i="3"/>
  <c r="AE83" i="3" s="1"/>
  <c r="AQ83" i="3" s="1"/>
  <c r="J34" i="3"/>
  <c r="AS33" i="3" s="1"/>
  <c r="BL46" i="3" s="1"/>
  <c r="O17" i="3"/>
  <c r="N24" i="3"/>
  <c r="L71" i="3"/>
  <c r="N77" i="3"/>
  <c r="L72" i="3"/>
  <c r="O78" i="3"/>
  <c r="J51" i="3"/>
  <c r="AS50" i="3" s="1"/>
  <c r="BL30" i="3" s="1"/>
  <c r="N34" i="3"/>
  <c r="M24" i="3"/>
  <c r="J75" i="3"/>
  <c r="AS74" i="3" s="1"/>
  <c r="BL54" i="3" s="1"/>
  <c r="M69" i="3"/>
  <c r="L40" i="3"/>
  <c r="O34" i="3"/>
  <c r="L18" i="3"/>
  <c r="J18" i="3"/>
  <c r="L15" i="3"/>
  <c r="J64" i="3"/>
  <c r="AS63" i="3" s="1"/>
  <c r="BL31" i="3" s="1"/>
  <c r="L78" i="3"/>
  <c r="J71" i="3"/>
  <c r="AE90" i="3" s="1"/>
  <c r="AQ90" i="3" s="1"/>
  <c r="N70" i="3"/>
  <c r="N21" i="3"/>
  <c r="L21" i="3"/>
  <c r="J78" i="3"/>
  <c r="M72" i="3"/>
  <c r="N69" i="3"/>
  <c r="O24" i="3"/>
  <c r="J21" i="3"/>
  <c r="AS20" i="3" s="1"/>
  <c r="BL42" i="3" s="1"/>
  <c r="BS44" i="3" s="1"/>
  <c r="BZ48" i="3" s="1"/>
  <c r="N52" i="3"/>
  <c r="M77" i="3"/>
  <c r="N47" i="3"/>
  <c r="AN88" i="3"/>
  <c r="K59" i="3"/>
  <c r="O77" i="3"/>
  <c r="L76" i="3"/>
  <c r="N75" i="3"/>
  <c r="J72" i="3"/>
  <c r="N71" i="3"/>
  <c r="M70" i="3"/>
  <c r="L69" i="3"/>
  <c r="P69" i="3" s="1"/>
  <c r="O45" i="3"/>
  <c r="M45" i="3"/>
  <c r="N27" i="3"/>
  <c r="M21" i="3"/>
  <c r="L22" i="3"/>
  <c r="L24" i="3"/>
  <c r="J22" i="3"/>
  <c r="AS21" i="3" s="1"/>
  <c r="BL23" i="3" s="1"/>
  <c r="AJ88" i="3"/>
  <c r="J47" i="3"/>
  <c r="AE86" i="3" s="1"/>
  <c r="AQ86" i="3" s="1"/>
  <c r="L23" i="3"/>
  <c r="O40" i="3"/>
  <c r="N29" i="3"/>
  <c r="N64" i="3"/>
  <c r="M54" i="3"/>
  <c r="N45" i="3"/>
  <c r="J48" i="3"/>
  <c r="M27" i="3"/>
  <c r="J76" i="3"/>
  <c r="AS75" i="3" s="1"/>
  <c r="BL27" i="3" s="1"/>
  <c r="M76" i="3"/>
  <c r="L75" i="3"/>
  <c r="N72" i="3"/>
  <c r="M71" i="3"/>
  <c r="L70" i="3"/>
  <c r="P70" i="3" s="1"/>
  <c r="L45" i="3"/>
  <c r="O27" i="3"/>
  <c r="O22" i="3"/>
  <c r="O21" i="3"/>
  <c r="M22" i="3"/>
  <c r="AF88" i="3"/>
  <c r="J65" i="3"/>
  <c r="AE89" i="3" s="1"/>
  <c r="AQ89" i="3" s="1"/>
  <c r="M65" i="3"/>
  <c r="M64" i="3"/>
  <c r="M63" i="3"/>
  <c r="O51" i="3"/>
  <c r="N51" i="3"/>
  <c r="L48" i="3"/>
  <c r="L46" i="3"/>
  <c r="N40" i="3"/>
  <c r="M40" i="3"/>
  <c r="J40" i="3"/>
  <c r="AS39" i="3" s="1"/>
  <c r="BL43" i="3" s="1"/>
  <c r="O30" i="3"/>
  <c r="O29" i="3"/>
  <c r="M29" i="3"/>
  <c r="J30" i="3"/>
  <c r="L17" i="3"/>
  <c r="O66" i="3"/>
  <c r="L65" i="3"/>
  <c r="L64" i="3"/>
  <c r="L63" i="3"/>
  <c r="P63" i="3" s="1"/>
  <c r="N54" i="3"/>
  <c r="L51" i="3"/>
  <c r="M48" i="3"/>
  <c r="N48" i="3"/>
  <c r="O48" i="3"/>
  <c r="N46" i="3"/>
  <c r="J46" i="3"/>
  <c r="AS45" i="3" s="1"/>
  <c r="BL63" i="3" s="1"/>
  <c r="L30" i="3"/>
  <c r="M30" i="3"/>
  <c r="L29" i="3"/>
  <c r="O23" i="3"/>
  <c r="N53" i="3"/>
  <c r="J63" i="3"/>
  <c r="AS62" i="3" s="1"/>
  <c r="BL58" i="3" s="1"/>
  <c r="BS60" i="3" s="1"/>
  <c r="BZ64" i="3" s="1"/>
  <c r="O65" i="3"/>
  <c r="O64" i="3"/>
  <c r="L54" i="3"/>
  <c r="J52" i="3"/>
  <c r="AS51" i="3" s="1"/>
  <c r="BL59" i="3" s="1"/>
  <c r="M47" i="3"/>
  <c r="O47" i="3"/>
  <c r="O46" i="3"/>
  <c r="L47" i="3"/>
  <c r="N30" i="3"/>
  <c r="L28" i="3"/>
  <c r="M41" i="3"/>
  <c r="L66" i="3"/>
  <c r="O28" i="3"/>
  <c r="L77" i="3"/>
  <c r="M78" i="3"/>
  <c r="M75" i="3"/>
  <c r="J69" i="3"/>
  <c r="AS68" i="3" s="1"/>
  <c r="BL70" i="3" s="1"/>
  <c r="O72" i="3"/>
  <c r="O71" i="3"/>
  <c r="O70" i="3"/>
  <c r="N66" i="3"/>
  <c r="L42" i="3"/>
  <c r="O18" i="3"/>
  <c r="O16" i="3"/>
  <c r="AI88" i="3"/>
  <c r="J77" i="3"/>
  <c r="AE91" i="3" s="1"/>
  <c r="AQ91" i="3" s="1"/>
  <c r="O76" i="3"/>
  <c r="N78" i="3"/>
  <c r="N76" i="3"/>
  <c r="K76" i="3" s="1"/>
  <c r="M66" i="3"/>
  <c r="M42" i="3"/>
  <c r="O42" i="3"/>
  <c r="M28" i="3"/>
  <c r="J28" i="3"/>
  <c r="AS27" i="3" s="1"/>
  <c r="BL62" i="3" s="1"/>
  <c r="BS61" i="3" s="1"/>
  <c r="AT88" i="3"/>
  <c r="AG88" i="3"/>
  <c r="O54" i="3"/>
  <c r="K57" i="3"/>
  <c r="J66" i="3"/>
  <c r="J41" i="3"/>
  <c r="AE85" i="3" s="1"/>
  <c r="AQ85" i="3" s="1"/>
  <c r="N28" i="3"/>
  <c r="P57" i="3"/>
  <c r="J42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J84" i="3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P33" i="3"/>
  <c r="P10" i="3"/>
  <c r="K51" i="3"/>
  <c r="P18" i="3"/>
  <c r="P16" i="3"/>
  <c r="K33" i="3"/>
  <c r="P9" i="3"/>
  <c r="AI84" i="3"/>
  <c r="P35" i="3"/>
  <c r="K16" i="3"/>
  <c r="AT84" i="3"/>
  <c r="AG84" i="3"/>
  <c r="AL84" i="3"/>
  <c r="AF84" i="3"/>
  <c r="P34" i="3"/>
  <c r="AL81" i="3"/>
  <c r="P75" i="3"/>
  <c r="P21" i="3"/>
  <c r="P36" i="3"/>
  <c r="AL86" i="3"/>
  <c r="K64" i="3"/>
  <c r="AN87" i="3"/>
  <c r="AL83" i="3"/>
  <c r="AI80" i="3"/>
  <c r="K36" i="3"/>
  <c r="AJ90" i="3"/>
  <c r="K47" i="3"/>
  <c r="K24" i="3"/>
  <c r="AL80" i="3"/>
  <c r="AF80" i="3"/>
  <c r="K17" i="3"/>
  <c r="P46" i="3"/>
  <c r="AJ80" i="3"/>
  <c r="AI83" i="3"/>
  <c r="P64" i="3"/>
  <c r="AG90" i="3"/>
  <c r="AH83" i="3"/>
  <c r="AT83" i="3"/>
  <c r="AF90" i="3"/>
  <c r="AT80" i="3"/>
  <c r="AG80" i="3"/>
  <c r="AN83" i="3"/>
  <c r="AG83" i="3"/>
  <c r="AL90" i="3"/>
  <c r="K34" i="3"/>
  <c r="K39" i="3"/>
  <c r="K9" i="3"/>
  <c r="AN80" i="3"/>
  <c r="AH80" i="3"/>
  <c r="AJ83" i="3"/>
  <c r="AF83" i="3"/>
  <c r="AT90" i="3"/>
  <c r="AI90" i="3"/>
  <c r="AL91" i="3"/>
  <c r="AH86" i="3"/>
  <c r="P48" i="3"/>
  <c r="AN90" i="3"/>
  <c r="AH90" i="3"/>
  <c r="K75" i="3"/>
  <c r="P71" i="3"/>
  <c r="P72" i="3"/>
  <c r="P39" i="3"/>
  <c r="P12" i="3"/>
  <c r="K18" i="3"/>
  <c r="K10" i="3"/>
  <c r="P27" i="3"/>
  <c r="AN84" i="3"/>
  <c r="AH84" i="3"/>
  <c r="K42" i="3"/>
  <c r="K22" i="3"/>
  <c r="P11" i="3"/>
  <c r="AG91" i="3"/>
  <c r="K12" i="3"/>
  <c r="K11" i="3"/>
  <c r="K35" i="3"/>
  <c r="AG86" i="3"/>
  <c r="P24" i="3"/>
  <c r="P17" i="3"/>
  <c r="AN86" i="3"/>
  <c r="AI89" i="3"/>
  <c r="K65" i="3"/>
  <c r="P66" i="3"/>
  <c r="P54" i="3"/>
  <c r="P23" i="3"/>
  <c r="P45" i="3"/>
  <c r="K77" i="3"/>
  <c r="K69" i="3"/>
  <c r="K21" i="3"/>
  <c r="K72" i="3"/>
  <c r="P22" i="3"/>
  <c r="K40" i="3"/>
  <c r="AH82" i="3"/>
  <c r="AN85" i="3"/>
  <c r="AG82" i="3"/>
  <c r="AJ86" i="3"/>
  <c r="AF86" i="3"/>
  <c r="K71" i="3"/>
  <c r="AT86" i="3"/>
  <c r="AI86" i="3"/>
  <c r="AN89" i="3"/>
  <c r="P15" i="3"/>
  <c r="P28" i="3"/>
  <c r="K29" i="3"/>
  <c r="P40" i="3"/>
  <c r="K27" i="3"/>
  <c r="AT82" i="3"/>
  <c r="AL85" i="3"/>
  <c r="K45" i="3"/>
  <c r="AH89" i="3"/>
  <c r="P42" i="3"/>
  <c r="K48" i="3"/>
  <c r="AN82" i="3"/>
  <c r="AH85" i="3"/>
  <c r="AT89" i="3"/>
  <c r="P77" i="3"/>
  <c r="AG85" i="3"/>
  <c r="P47" i="3"/>
  <c r="P76" i="3"/>
  <c r="AH81" i="3"/>
  <c r="K15" i="3"/>
  <c r="AJ82" i="3"/>
  <c r="P29" i="3"/>
  <c r="AJ85" i="3"/>
  <c r="AF85" i="3"/>
  <c r="P51" i="3"/>
  <c r="P65" i="3"/>
  <c r="AL89" i="3"/>
  <c r="AG89" i="3"/>
  <c r="K70" i="3"/>
  <c r="K78" i="3"/>
  <c r="K54" i="3"/>
  <c r="K30" i="3"/>
  <c r="AG87" i="3"/>
  <c r="AG81" i="3"/>
  <c r="AF82" i="3"/>
  <c r="AN81" i="3"/>
  <c r="AI82" i="3"/>
  <c r="AT85" i="3"/>
  <c r="AI85" i="3"/>
  <c r="AJ89" i="3"/>
  <c r="AF89" i="3"/>
  <c r="K46" i="3"/>
  <c r="K63" i="3"/>
  <c r="K41" i="3"/>
  <c r="P53" i="3"/>
  <c r="P30" i="3"/>
  <c r="P78" i="3"/>
  <c r="K28" i="3"/>
  <c r="K23" i="3"/>
  <c r="AJ81" i="3"/>
  <c r="AL87" i="3"/>
  <c r="AF87" i="3"/>
  <c r="AF81" i="3"/>
  <c r="AT81" i="3"/>
  <c r="AI81" i="3"/>
  <c r="AJ87" i="3"/>
  <c r="K53" i="3"/>
  <c r="AT87" i="3"/>
  <c r="AH87" i="3"/>
  <c r="K66" i="3"/>
  <c r="AJ91" i="3"/>
  <c r="AF91" i="3"/>
  <c r="AT91" i="3"/>
  <c r="AI91" i="3"/>
  <c r="AN91" i="3"/>
  <c r="AH91" i="3"/>
  <c r="P5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N92" i="3"/>
  <c r="AI92" i="3"/>
  <c r="AL92" i="3"/>
  <c r="AM88" i="3" s="1"/>
  <c r="AS92" i="3"/>
  <c r="AH92" i="3"/>
  <c r="AG92" i="3"/>
  <c r="AJ92" i="3"/>
  <c r="AF92" i="3"/>
  <c r="S103" i="3" l="1"/>
  <c r="T103" i="3" s="1" a="1"/>
  <c r="T103" i="3" s="1"/>
  <c r="CG24" i="3"/>
  <c r="AM84" i="3"/>
  <c r="AM85" i="3"/>
  <c r="AM81" i="3"/>
  <c r="AM89" i="3"/>
  <c r="AM86" i="3"/>
  <c r="AM90" i="3"/>
  <c r="AM87" i="3"/>
  <c r="AM83" i="3"/>
  <c r="AM82" i="3"/>
  <c r="AM80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3" i="3"/>
  <c r="AP86" i="3"/>
  <c r="AP82" i="3"/>
  <c r="AP84" i="3"/>
  <c r="AP80" i="3"/>
  <c r="AP88" i="3"/>
  <c r="AP85" i="3"/>
  <c r="AP89" i="3"/>
  <c r="AP91" i="3"/>
  <c r="AP90" i="3"/>
  <c r="AP81" i="3"/>
  <c r="CN37" i="3" l="1"/>
  <c r="CK68" i="3" s="1"/>
  <c r="CN48" i="3"/>
  <c r="AD86" i="3"/>
  <c r="AS86" i="3" s="1"/>
  <c r="AD82" i="3"/>
  <c r="AS82" i="3" s="1"/>
  <c r="AD84" i="3"/>
  <c r="AS84" i="3" s="1"/>
  <c r="AD80" i="3"/>
  <c r="AD87" i="3"/>
  <c r="AS87" i="3" s="1"/>
  <c r="AD91" i="3"/>
  <c r="AS91" i="3" s="1"/>
  <c r="AD89" i="3"/>
  <c r="AS89" i="3" s="1"/>
  <c r="AD88" i="3"/>
  <c r="AS88" i="3" s="1"/>
  <c r="AD83" i="3"/>
  <c r="AS83" i="3" s="1"/>
  <c r="AD85" i="3"/>
  <c r="AS85" i="3" s="1"/>
  <c r="AD81" i="3"/>
  <c r="AS81" i="3" s="1"/>
  <c r="AD90" i="3"/>
  <c r="AS90" i="3" s="1"/>
  <c r="L81" i="3" l="1"/>
  <c r="M90" i="3"/>
  <c r="M83" i="3"/>
  <c r="L82" i="3"/>
  <c r="M84" i="3"/>
  <c r="L91" i="3"/>
  <c r="J90" i="3"/>
  <c r="N85" i="3"/>
  <c r="O85" i="3"/>
  <c r="M92" i="3"/>
  <c r="M89" i="3"/>
  <c r="M82" i="3"/>
  <c r="O82" i="3"/>
  <c r="N89" i="3"/>
  <c r="L90" i="3"/>
  <c r="N82" i="3"/>
  <c r="AS80" i="3"/>
  <c r="L92" i="3"/>
  <c r="P92" i="3" s="1"/>
  <c r="M87" i="3"/>
  <c r="L85" i="3"/>
  <c r="O88" i="3"/>
  <c r="M81" i="3"/>
  <c r="J82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0" i="3"/>
  <c r="J88" i="3"/>
  <c r="J87" i="3"/>
  <c r="O87" i="3"/>
  <c r="N83" i="3"/>
  <c r="J89" i="3"/>
  <c r="O89" i="3"/>
  <c r="M91" i="3"/>
  <c r="O91" i="3"/>
  <c r="N81" i="3"/>
  <c r="J85" i="3"/>
  <c r="L88" i="3"/>
  <c r="L83" i="3"/>
  <c r="M88" i="3"/>
  <c r="L87" i="3"/>
  <c r="N87" i="3"/>
  <c r="N84" i="3"/>
  <c r="J84" i="3"/>
  <c r="L89" i="3"/>
  <c r="J91" i="3"/>
  <c r="N86" i="3"/>
  <c r="N88" i="3"/>
  <c r="O84" i="3"/>
  <c r="J83" i="3"/>
  <c r="M86" i="3"/>
  <c r="N92" i="3"/>
  <c r="L86" i="3"/>
  <c r="J81" i="3"/>
  <c r="N91" i="3"/>
  <c r="O92" i="3"/>
  <c r="O86" i="3"/>
  <c r="N90" i="3"/>
  <c r="J86" i="3"/>
  <c r="L84" i="3"/>
  <c r="M85" i="3"/>
  <c r="O83" i="3"/>
  <c r="J92" i="3"/>
  <c r="P81" i="3" l="1"/>
  <c r="P91" i="3"/>
  <c r="P87" i="3"/>
  <c r="K82" i="3"/>
  <c r="P83" i="3"/>
  <c r="P85" i="3"/>
  <c r="P90" i="3"/>
  <c r="K90" i="3"/>
  <c r="P82" i="3"/>
  <c r="K81" i="3"/>
  <c r="K92" i="3"/>
  <c r="P84" i="3"/>
  <c r="K88" i="3"/>
  <c r="K91" i="3"/>
  <c r="K84" i="3"/>
  <c r="D3" i="4"/>
  <c r="BL51" i="3" s="1"/>
  <c r="P88" i="3"/>
  <c r="K83" i="3"/>
  <c r="K86" i="3"/>
  <c r="K89" i="3"/>
  <c r="K87" i="3"/>
  <c r="P89" i="3"/>
  <c r="K85" i="3"/>
  <c r="P86" i="3"/>
  <c r="B3" i="4"/>
  <c r="I3" i="4"/>
  <c r="BL15" i="3" s="1"/>
  <c r="J3" i="4"/>
  <c r="BL71" i="3" s="1"/>
  <c r="H3" i="4"/>
  <c r="BL39" i="3" s="1"/>
  <c r="K3" i="4"/>
  <c r="BL55" i="3" s="1"/>
  <c r="G3" i="4"/>
  <c r="BL11" i="3" s="1"/>
  <c r="E3" i="4"/>
  <c r="BL67" i="3" s="1"/>
  <c r="BS68" i="3" s="1"/>
  <c r="BS53" i="3"/>
  <c r="BS52" i="3"/>
  <c r="BS69" i="3"/>
  <c r="BZ65" i="3" s="1"/>
  <c r="CG56" i="3" s="1"/>
  <c r="CN38" i="3" s="1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<sst xmlns="http://schemas.openxmlformats.org/spreadsheetml/2006/main" count="9785" uniqueCount="3699">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</sst>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K27" zoomScaleNormal="100" workbookViewId="0">
      <selection activeCell="CQ42" sqref="CQ42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4</v>
      </c>
      <c r="AN8" s="123">
        <f>AF8*3+AG8</f>
        <v>6</v>
      </c>
      <c r="AO8" s="123">
        <f>AN8/AN12*10+BA8</f>
        <v>8.5714285714285712</v>
      </c>
      <c r="AP8" s="123">
        <f>AO8*10000000+BI8*100+AM8/AM12*10+AI8/AI12*1++IF(AQ8=0,ROW(),AQ8)/2000000</f>
        <v>85714294.515126228</v>
      </c>
      <c r="AQ8" s="126">
        <f>VLOOKUP(AE8,db_fifarank,2,FALSE)</f>
        <v>1681.03</v>
      </c>
      <c r="AR8" s="125">
        <f>AP8/AP12</f>
        <v>0.9999999883333347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0</v>
      </c>
      <c r="N9" s="31">
        <f>VLOOKUP(1,AD8:AN11,5,FALSE)</f>
        <v>1</v>
      </c>
      <c r="O9" s="31" t="str">
        <f>VLOOKUP(1,AD8:AN11,6,FALSE) &amp; " - " &amp; VLOOKUP(1,AD8:AN11,7,FALSE)</f>
        <v>4 - 2</v>
      </c>
      <c r="P9" s="32">
        <f>L9*3+M9</f>
        <v>6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1</v>
      </c>
      <c r="AJ9" s="123">
        <f>SUMIF($E$7:$E$78,$AE9,$G$7:$G$78) + SUMIF($H$7:$H$78,$AE9,$F$7:$F$78)</f>
        <v>3</v>
      </c>
      <c r="AL9" s="123">
        <f>AI9-AJ9</f>
        <v>-2</v>
      </c>
      <c r="AM9" s="123">
        <f>AL9-AL12</f>
        <v>0</v>
      </c>
      <c r="AN9" s="123">
        <f>AF9*3+AG9</f>
        <v>2</v>
      </c>
      <c r="AO9" s="123">
        <f>AN9/AN12*10+BA9</f>
        <v>3.8377253814147014</v>
      </c>
      <c r="AP9" s="123">
        <f>AO9*10000000+BI9*100+AM9/AM12*10+AI9/AI12*1++IF(AQ9=0,ROW(),AQ9)/2000000</f>
        <v>38377352.073114313</v>
      </c>
      <c r="AQ9" s="126">
        <f>VLOOKUP(AE9,db_fifarank,2,FALSE)</f>
        <v>1429.73</v>
      </c>
      <c r="AR9" s="125">
        <f>AP9/AP12</f>
        <v>0.44773572299082548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3</v>
      </c>
      <c r="AN10" s="123">
        <f>AF10*3+AG10</f>
        <v>5</v>
      </c>
      <c r="AO10" s="123">
        <f>AN10/AN12*10+BA10</f>
        <v>7.1428571428571432</v>
      </c>
      <c r="AP10" s="123">
        <f>AO10*10000000+BI10*100+AM10/AM12*10+AI10/AI12*1++IF(AQ10=0,ROW(),AQ10)/2000000</f>
        <v>71428578.029365763</v>
      </c>
      <c r="AQ10" s="126">
        <f>VLOOKUP(AE10,db_fifarank,2,FALSE)</f>
        <v>1588.66</v>
      </c>
      <c r="AR10" s="125">
        <f>AP10/AP12</f>
        <v>0.8333333150566532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2</v>
      </c>
      <c r="AO11" s="123">
        <f>AN11/AN12*10+BA11</f>
        <v>3.8377253814147014</v>
      </c>
      <c r="AP11" s="123">
        <f>AO11*10000000+BI11*100+AM11/AM12*10+AI11/AI12*1++IF(AQ11=0,ROW(),AQ11)/2000000</f>
        <v>38377354.273150131</v>
      </c>
      <c r="AQ11" s="126">
        <f>VLOOKUP(AE11,db_fifarank,2,FALSE)</f>
        <v>1501.38</v>
      </c>
      <c r="AR11" s="125">
        <f>AP11/AP12</f>
        <v>0.44773574865790711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1 - 3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2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7</v>
      </c>
      <c r="AO12" s="123">
        <f>MAX(AO8:AO11)+1</f>
        <v>9.5714285714285712</v>
      </c>
      <c r="AP12" s="123">
        <f>MAX(AP8:AP11)+1</f>
        <v>85714295.515126228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3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1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0</v>
      </c>
      <c r="AL14" s="123">
        <f>AI14-AJ14</f>
        <v>4</v>
      </c>
      <c r="AM14" s="123">
        <f>AL14-AL18</f>
        <v>6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90000009.372206807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1</v>
      </c>
      <c r="AN15" s="123">
        <f>AF15*3+AG15</f>
        <v>2</v>
      </c>
      <c r="AO15" s="123">
        <f>AN15/AN18*10+BA15</f>
        <v>2.9853300733496333</v>
      </c>
      <c r="AP15" s="123">
        <f>AO15*10000000+BI15*100+AM15/AM18*10+AI15/AI18*1++IF(AQ15=0,ROW(),AQ15)/2000000</f>
        <v>29853400.421013109</v>
      </c>
      <c r="AQ15" s="126">
        <f>VLOOKUP(AE15,db_fifarank,2,FALSE)</f>
        <v>1385.84</v>
      </c>
      <c r="AR15" s="125">
        <f>AP15/AP18</f>
        <v>0.33170441089451513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67.166666666666657</v>
      </c>
      <c r="BA15" s="126">
        <f>AZ15/AZ18</f>
        <v>0.9853300733496333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0</v>
      </c>
      <c r="M16" s="23">
        <f>VLOOKUP(2,AD14:AN17,4,FALSE)</f>
        <v>2</v>
      </c>
      <c r="N16" s="23">
        <f>VLOOKUP(2,AD14:AN17,5,FALSE)</f>
        <v>1</v>
      </c>
      <c r="O16" s="23" t="str">
        <f>VLOOKUP(2,AD14:AN17,6,FALSE) &amp; " - " &amp; VLOOKUP(2,AD14:AN17,7,FALSE)</f>
        <v>1 - 2</v>
      </c>
      <c r="P16" s="34">
        <f>L16*3+M16</f>
        <v>2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3</v>
      </c>
      <c r="AL16" s="123">
        <f>AI16-AJ16</f>
        <v>-2</v>
      </c>
      <c r="AM16" s="123">
        <f>AL16-AL18</f>
        <v>0</v>
      </c>
      <c r="AN16" s="123">
        <f>AF16*3+AG16</f>
        <v>2</v>
      </c>
      <c r="AO16" s="123">
        <f>AN16/AN18*10+BA16</f>
        <v>2.9853300733496333</v>
      </c>
      <c r="AP16" s="123">
        <f>AO16*10000000+BI16*100+AM16/AM18*10+AI16/AI18*1++IF(AQ16=0,ROW(),AQ16)/2000000</f>
        <v>29853398.99247624</v>
      </c>
      <c r="AQ16" s="126">
        <f>VLOOKUP(AE16,db_fifarank,2,FALSE)</f>
        <v>1454.96</v>
      </c>
      <c r="AR16" s="125">
        <f>AP16/AP18</f>
        <v>0.33170439502188509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2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67.166666666666657</v>
      </c>
      <c r="BA16" s="126">
        <f>AZ16/AZ18</f>
        <v>0.9853300733496333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4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2</v>
      </c>
      <c r="AH17" s="123">
        <f>COUNTIF($S$7:$T$78,"=" &amp; AE17 &amp; "_lose")</f>
        <v>1</v>
      </c>
      <c r="AI17" s="123">
        <f>SUMIF($E$7:$E$78,$AE17,$F$7:$F$78) + SUMIF($H$7:$H$78,$AE17,$G$7:$G$78)</f>
        <v>0</v>
      </c>
      <c r="AJ17" s="123">
        <f>SUMIF($E$7:$E$78,$AE17,$G$7:$G$78) + SUMIF($H$7:$H$78,$AE17,$F$7:$F$78)</f>
        <v>1</v>
      </c>
      <c r="AL17" s="123">
        <f>AI17-AJ17</f>
        <v>-1</v>
      </c>
      <c r="AM17" s="123">
        <f>AL17-AL18</f>
        <v>1</v>
      </c>
      <c r="AN17" s="123">
        <f>AF17*3+AG17</f>
        <v>2</v>
      </c>
      <c r="AO17" s="123">
        <f>AN17/AN18*10+BA17</f>
        <v>2.9779951100244499</v>
      </c>
      <c r="AP17" s="123">
        <f>AO17*10000000+BI17*100+AM17/AM18*10+AI17/AI18*1++IF(AQ17=0,ROW(),AQ17)/2000000</f>
        <v>29779952.52964063</v>
      </c>
      <c r="AQ17" s="126">
        <f>VLOOKUP(AE17,db_fifarank,2,FALSE)</f>
        <v>1649.4</v>
      </c>
      <c r="AR17" s="125">
        <f>AP17/AP18</f>
        <v>0.33088832330665013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2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66.666666666666657</v>
      </c>
      <c r="BA17" s="126">
        <f>AZ17/AZ18</f>
        <v>0.97799511002444983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Switzerland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0 - 1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2</v>
      </c>
      <c r="AI18" s="123">
        <f>MAX(AI14:AI17)+1</f>
        <v>5</v>
      </c>
      <c r="AL18" s="123">
        <f>MIN(AL14:AL17)</f>
        <v>-2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90000010.372206807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68.166666666666657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>
        <v>5</v>
      </c>
      <c r="BP18" s="112">
        <f>IF(OR(BM18="",BM19="",AND(BN18="",BN19&lt;&gt;""),AND(BN19="",BN18&lt;&gt;""),AND(BO18="",BO19&lt;&gt;""),AND(BO19="",BO18&lt;&gt;"")),"",BM18*1000+BN18*10+BO18)</f>
        <v>1005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/>
      <c r="BO19" s="27">
        <v>3</v>
      </c>
      <c r="BP19" s="113">
        <f>IF(BP18="","",BM19*1000+BN19*10+BO19)</f>
        <v>1003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7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1</v>
      </c>
      <c r="AH20" s="123">
        <f>COUNTIF($S$7:$T$78,"=" &amp; AE20 &amp; "_lose")</f>
        <v>1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6</v>
      </c>
      <c r="AL20" s="123">
        <f>AI20-AJ20</f>
        <v>0</v>
      </c>
      <c r="AM20" s="123">
        <f>AL20-AL24</f>
        <v>3</v>
      </c>
      <c r="AN20" s="123">
        <f>AF20*3+AG20</f>
        <v>4</v>
      </c>
      <c r="AO20" s="123">
        <f>AN20/AN24*10+BA20</f>
        <v>5.9806451612903224</v>
      </c>
      <c r="AP20" s="123">
        <f>AO20*10000000+BI20*100+AM20/AM24*10+AI20/AI24*1++IF(AQ20=0,ROW(),AQ20)/2000000</f>
        <v>59806554.71401421</v>
      </c>
      <c r="AQ20" s="126">
        <f>VLOOKUP(AE20,db_fifarank,2,FALSE)</f>
        <v>1761.16</v>
      </c>
      <c r="AR20" s="125">
        <f>AP20/AP24</f>
        <v>0.68350340083708216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7 - 4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4</v>
      </c>
      <c r="AL21" s="123">
        <f>AI21-AJ21</f>
        <v>3</v>
      </c>
      <c r="AM21" s="123">
        <f>AL21-AL24</f>
        <v>6</v>
      </c>
      <c r="AN21" s="123">
        <f>AF21*3+AG21</f>
        <v>7</v>
      </c>
      <c r="AO21" s="123">
        <f>AN21/AN24*10+BA21</f>
        <v>8.75</v>
      </c>
      <c r="AP21" s="123">
        <f>AO21*10000000+BI21*100+AM21/AM24*10+AI21/AI24*1++IF(AQ21=0,ROW(),AQ21)/2000000</f>
        <v>87500009.447306499</v>
      </c>
      <c r="AQ21" s="126">
        <f>VLOOKUP(AE21,db_fifarank,2,FALSE)</f>
        <v>1755.87</v>
      </c>
      <c r="AR21" s="125">
        <f>AP21/AP24</f>
        <v>0.99999998857142991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6 - 6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5</v>
      </c>
      <c r="AL22" s="123">
        <f>AI22-AJ22</f>
        <v>-3</v>
      </c>
      <c r="AM22" s="123">
        <f>AL22-AL24</f>
        <v>0</v>
      </c>
      <c r="AN22" s="123">
        <f>AF22*3+AG22</f>
        <v>1</v>
      </c>
      <c r="AO22" s="123">
        <f>AN22/AN24*10+BA22</f>
        <v>1.25</v>
      </c>
      <c r="AP22" s="123">
        <f>AO22*10000000+BI22*100+AM22/AM24*10+AI22/AI24*1++IF(AQ22=0,ROW(),AQ22)/2000000</f>
        <v>12500000.250645855</v>
      </c>
      <c r="AQ22" s="126">
        <f>VLOOKUP(AE22,db_fifarank,2,FALSE)</f>
        <v>1291.71</v>
      </c>
      <c r="AR22" s="125">
        <f>AP22/AP24</f>
        <v>0.14285712866484168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5 - 5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3</v>
      </c>
      <c r="AN23" s="123">
        <f>AF23*3+AG23</f>
        <v>4</v>
      </c>
      <c r="AO23" s="123">
        <f>AN23/AN24*10+BA23</f>
        <v>5.9806451612903224</v>
      </c>
      <c r="AP23" s="123">
        <f>AO23*10000000+BI23*100+AM23/AM24*10+AI23/AI24*1++IF(AQ23=0,ROW(),AQ23)/2000000</f>
        <v>59806554.588882811</v>
      </c>
      <c r="AQ23" s="126">
        <f>VLOOKUP(AE23,db_fifarank,2,FALSE)</f>
        <v>1498.35</v>
      </c>
      <c r="AR23" s="125">
        <f>AP23/AP24</f>
        <v>0.68350339940700922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2</v>
      </c>
      <c r="AW23" s="126" cm="1">
        <f t="array" ref="AW23">SUMPRODUCT(($E$7:$E$78=AE23)*($U$7:$U$78)*($G$7:$G$78))+SUMPRODUCT(($H$7:$H$78=AE23)*($U$7:$U$78)*($F$7:$F$78))</f>
        <v>2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50.666666666666664</v>
      </c>
      <c r="BA23" s="126">
        <f>AZ23/AZ24</f>
        <v>0.98064516129032253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2</v>
      </c>
      <c r="BE23" s="126" cm="1">
        <f t="array" ref="BE23">SUMPRODUCT(($E$7:$E$78=AE23)*($X$7:$X$78)*($G$7:$G$78))+SUMPRODUCT(($H$7:$H$78=AE23)*($X$7:$X$78)*($F$7:$F$78))</f>
        <v>2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50.666666666666664</v>
      </c>
      <c r="BI23" s="126">
        <f>BH23/BH24</f>
        <v>0.98064516129032253</v>
      </c>
      <c r="BK23" s="132"/>
      <c r="BL23" s="26" t="str">
        <f>AS21</f>
        <v>Brazil</v>
      </c>
      <c r="BM23" s="62">
        <v>3</v>
      </c>
      <c r="BN23" s="64"/>
      <c r="BO23" s="27"/>
      <c r="BP23" s="112">
        <f>IF(BP22="","",BM23*1000+BN23*10+BO23)</f>
        <v>3000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/>
      <c r="CJ23" s="25">
        <v>4</v>
      </c>
      <c r="CK23" s="112">
        <f>IF(OR(CH23="",CH24="",AND(CI23="",CI24&lt;&gt;""),AND(CI24="",CI23&lt;&gt;""),AND(CJ23="",CJ24&lt;&gt;""),AND(CJ24="",CJ23&lt;&gt;"")),"",CH23*1000+CI23*10+CJ23)</f>
        <v>3004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2 - 5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8</v>
      </c>
      <c r="AL24" s="123">
        <f>MIN(AL20:AL23)</f>
        <v>-3</v>
      </c>
      <c r="AM24" s="123">
        <f>MAX(AM20:AM23)+1</f>
        <v>7</v>
      </c>
      <c r="AN24" s="123">
        <f>MAX(AN20:AN23)+1</f>
        <v>8</v>
      </c>
      <c r="AO24" s="123">
        <f>MAX(AO20:AO23)+1</f>
        <v>9.75</v>
      </c>
      <c r="AP24" s="123">
        <f>MAX(AP20:AP23)+1</f>
        <v>87500010.447306499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/>
      <c r="CJ24" s="27">
        <v>5</v>
      </c>
      <c r="CK24" s="113">
        <f>IF(CK23="","",CH24*1000+CI24*10+CJ24)</f>
        <v>3005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5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75000009.134169891</v>
      </c>
      <c r="AQ26" s="126">
        <f>VLOOKUP(AE26,db_fifarank,2,FALSE)</f>
        <v>1673.13</v>
      </c>
      <c r="AR26" s="125">
        <f>AP26/AP30</f>
        <v>0.85714286421941499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2</v>
      </c>
      <c r="AL27" s="123">
        <f>AI27-AJ27</f>
        <v>-1</v>
      </c>
      <c r="AM27" s="123">
        <f>AL27-AL30</f>
        <v>2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25000003.53408508</v>
      </c>
      <c r="AQ27" s="126">
        <f>VLOOKUP(AE27,db_fifarank,2,FALSE)</f>
        <v>1503.5</v>
      </c>
      <c r="AR27" s="125">
        <f>AP27/AP30</f>
        <v>0.28571429366584378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12500000.200790334</v>
      </c>
      <c r="AQ28" s="126">
        <f>VLOOKUP(AE28,db_fifarank,2,FALSE)</f>
        <v>1580.67</v>
      </c>
      <c r="AR28" s="125">
        <f>AP28/AP30</f>
        <v>0.14285712893289873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1 - 2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1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87500008.934132844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87500009.934132844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2</v>
      </c>
      <c r="BN31" s="64"/>
      <c r="BO31" s="27"/>
      <c r="BP31" s="112">
        <f>IF(BP30="","",BM31*1000+BN31*10+BO31)</f>
        <v>2000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90000010.234198526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30000000.100647327</v>
      </c>
      <c r="AQ33" s="126">
        <f>VLOOKUP(AE33,db_fifarank,2,FALSE)</f>
        <v>1294.6500000000001</v>
      </c>
      <c r="AR33" s="125">
        <f>AP33/AP36</f>
        <v>0.33333329284349933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4</v>
      </c>
      <c r="AL34" s="123">
        <f>AI34-AJ34</f>
        <v>-3</v>
      </c>
      <c r="AM34" s="123">
        <f>AL34-AL36</f>
        <v>3</v>
      </c>
      <c r="AN34" s="123">
        <f>AF34*3+AG34</f>
        <v>1</v>
      </c>
      <c r="AO34" s="123">
        <f>AN34/AN36*10+BA34</f>
        <v>1</v>
      </c>
      <c r="AP34" s="123">
        <f>AO34*10000000+BI34*100+AM34/AM36*10+AI34/AI36*1++IF(AQ34=0,ROW(),AQ34)/2000000</f>
        <v>10000002.100766489</v>
      </c>
      <c r="AQ34" s="126">
        <f>VLOOKUP(AE34,db_fifarank,2,FALSE)</f>
        <v>1532.98</v>
      </c>
      <c r="AR34" s="125">
        <f>AP34/AP36</f>
        <v>0.11111112058357892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1 - 7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7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40000005.167464055</v>
      </c>
      <c r="AQ35" s="126">
        <f>VLOOKUP(AE35,db_fifarank,2,FALSE)</f>
        <v>1594.78</v>
      </c>
      <c r="AR35" s="125">
        <f>AP35/AP36</f>
        <v>0.44444444638318792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Austria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1 - 4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10</v>
      </c>
      <c r="AL36" s="123">
        <f>MIN(AL32:AL35)</f>
        <v>-6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90000011.234198526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87500009.134212255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2</v>
      </c>
      <c r="AL39" s="123">
        <f>AI39-AJ39</f>
        <v>-1</v>
      </c>
      <c r="AM39" s="123">
        <f>AL39-AL42</f>
        <v>1</v>
      </c>
      <c r="AN39" s="123">
        <f>AF39*3+AG39</f>
        <v>4</v>
      </c>
      <c r="AO39" s="123">
        <f>AN39/AN42*10+BA39</f>
        <v>5.9803921568627452</v>
      </c>
      <c r="AP39" s="123">
        <f>AO39*10000000+BI39*100+AM39/AM42*10+AI39/AI42*1++IF(AQ39=0,ROW(),AQ39)/2000000</f>
        <v>59804021.475340024</v>
      </c>
      <c r="AQ39" s="126">
        <f>VLOOKUP(AE39,db_fifarank,2,FALSE)</f>
        <v>1660.43</v>
      </c>
      <c r="AR39" s="125">
        <f>AP39/AP42</f>
        <v>0.68347445198702694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</v>
      </c>
      <c r="BA39" s="126">
        <f>AZ39/AZ42</f>
        <v>0.98039215686274506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</v>
      </c>
      <c r="BI39" s="126">
        <f>BH39/BH42</f>
        <v>0.98039215686274506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2 - 2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2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5.9803921568627452</v>
      </c>
      <c r="AP40" s="123">
        <f>AO40*10000000+BI40*100+AM40/AM42*10+AI40/AI42*1++IF(AQ40=0,ROW(),AQ40)/2000000</f>
        <v>59804023.341933854</v>
      </c>
      <c r="AQ40" s="126">
        <f>VLOOKUP(AE40,db_fifarank,2,FALSE)</f>
        <v>1514.77</v>
      </c>
      <c r="AR40" s="125">
        <f>AP40/AP42</f>
        <v>0.68347447331952538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2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12500000.000741525</v>
      </c>
      <c r="AQ41" s="126">
        <f>VLOOKUP(AE41,db_fifarank,2,FALSE)</f>
        <v>1483.05</v>
      </c>
      <c r="AR41" s="125">
        <f>AP41/AP42</f>
        <v>0.14285712631996667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0 - 2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5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87500010.134212255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Morocco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90000009.58420068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6</v>
      </c>
      <c r="AL45" s="123">
        <f>AI45-AJ45</f>
        <v>-2</v>
      </c>
      <c r="AM45" s="123">
        <f>AL45-AL48</f>
        <v>1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30000001.91744829</v>
      </c>
      <c r="AQ45" s="126">
        <f>VLOOKUP(AE45,db_fifarank,2,FALSE)</f>
        <v>1563.24</v>
      </c>
      <c r="AR45" s="125">
        <f>AP45/AP48</f>
        <v>0.33333331543757316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0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4</v>
      </c>
      <c r="AN46" s="123">
        <f>AF46*3+AG46</f>
        <v>6</v>
      </c>
      <c r="AO46" s="123">
        <f>AN46/AN48*10+BA46</f>
        <v>6</v>
      </c>
      <c r="AP46" s="123">
        <f>AO46*10000000+BI46*100+AM46/AM48*10+AI46/AI48*1++IF(AQ46=0,ROW(),AQ46)/2000000</f>
        <v>60000005.50080765</v>
      </c>
      <c r="AQ46" s="126">
        <f>VLOOKUP(AE46,db_fifarank,2,FALSE)</f>
        <v>1615.3</v>
      </c>
      <c r="AR46" s="125">
        <f>AP46/AP48</f>
        <v>0.66666664938526721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4 - 6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0.16730745166666666</v>
      </c>
      <c r="AQ47" s="126">
        <f>VLOOKUP(AE47,db_fifarank,2,FALSE)</f>
        <v>1281.57</v>
      </c>
      <c r="AR47" s="125">
        <f>AP47/AP48</f>
        <v>1.8589714665659956E-9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1 - 4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6</v>
      </c>
      <c r="AL48" s="123">
        <f>MIN(AL44:AL47)</f>
        <v>-3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90000010.58420068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Croatia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1</v>
      </c>
      <c r="AL50" s="123">
        <f>AI50-AJ50</f>
        <v>11</v>
      </c>
      <c r="AM50" s="123">
        <f>AL50-AL54</f>
        <v>24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90000010.524015129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England_lose</v>
      </c>
      <c r="T51" s="127" t="str">
        <f t="shared" si="20"/>
        <v>Ghana_win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-1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13</v>
      </c>
      <c r="AL51" s="123">
        <f>AI51-AJ51</f>
        <v>-13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7.5896101393024214E-12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11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30000004.631479945</v>
      </c>
      <c r="AQ52" s="126">
        <f>VLOOKUP(AE52,db_fifarank,2,FALSE)</f>
        <v>1421.43</v>
      </c>
      <c r="AR52" s="125">
        <f>AP52/AP54</f>
        <v>0.33333334211268295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60000007.262374997</v>
      </c>
      <c r="AQ53" s="126">
        <f>VLOOKUP(AE53,db_fifarank,2,FALSE)</f>
        <v>1673.07</v>
      </c>
      <c r="AR53" s="125">
        <f>AP53/AP54</f>
        <v>0.66666666199664781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0 - 13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13</v>
      </c>
      <c r="AL54" s="123">
        <f>MIN(AL50:AL53)</f>
        <v>-13</v>
      </c>
      <c r="AM54" s="123">
        <f>MAX(AM50:AM53)+1</f>
        <v>25</v>
      </c>
      <c r="AN54" s="123">
        <f>MAX(AN50:AN53)+1</f>
        <v>10</v>
      </c>
      <c r="AO54" s="123">
        <f>MAX(AO50:AO53)+1</f>
        <v>10</v>
      </c>
      <c r="AP54" s="123">
        <f>MAX(AP50:AP53)+1</f>
        <v>90000011.524015129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1</v>
      </c>
      <c r="V55" s="123">
        <f t="shared" si="21"/>
        <v>2</v>
      </c>
      <c r="W55" s="123">
        <f t="shared" si="22"/>
        <v>2</v>
      </c>
      <c r="X55" s="123">
        <f t="shared" si="9"/>
        <v>1</v>
      </c>
      <c r="Y55" s="123">
        <f t="shared" si="10"/>
        <v>2</v>
      </c>
      <c r="Z55" s="123">
        <f t="shared" si="11"/>
        <v>2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Curaçao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Croatia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Morocco_draw</v>
      </c>
      <c r="T56" s="127" t="str">
        <f t="shared" si="20"/>
        <v>Haiti_draw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3</v>
      </c>
      <c r="AL56" s="123">
        <f>AI56-AJ56</f>
        <v>8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90000010.203319609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5</v>
      </c>
      <c r="AL57" s="123">
        <f>AI57-AJ57</f>
        <v>-3</v>
      </c>
      <c r="AM57" s="123">
        <f>AL57-AL60</f>
        <v>2</v>
      </c>
      <c r="AN57" s="123">
        <f>AF57*3+AG57</f>
        <v>2</v>
      </c>
      <c r="AO57" s="123">
        <f>AN57/AN60*10+BA57</f>
        <v>2</v>
      </c>
      <c r="AP57" s="123">
        <f>AO57*10000000+BI57*100+AM57/AM60*10+AI57/AI60*1++IF(AQ57=0,ROW(),AQ57)/2000000</f>
        <v>20000001.596082591</v>
      </c>
      <c r="AQ57" s="126">
        <f>VLOOKUP(AE57,db_fifarank,2,FALSE)</f>
        <v>1688.99</v>
      </c>
      <c r="AR57" s="125">
        <f>AP57/AP60</f>
        <v>0.22222221229395692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10000000.167390237</v>
      </c>
      <c r="AQ58" s="126">
        <f>VLOOKUP(AE58,db_fifarank,2,FALSE)</f>
        <v>1447.14</v>
      </c>
      <c r="AR58" s="125">
        <f>AP58/AP60</f>
        <v>0.11111109913974535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2 - 5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5</v>
      </c>
      <c r="AN59" s="123">
        <f>AF59*3+AG59</f>
        <v>4</v>
      </c>
      <c r="AO59" s="123">
        <f>AN59/AN60*10+BA59</f>
        <v>4</v>
      </c>
      <c r="AP59" s="123">
        <f>AO59*10000000+BI59*100+AM59/AM60*10+AI59/AI60*1++IF(AQ59=0,ROW(),AQ59)/2000000</f>
        <v>40000003.98887071</v>
      </c>
      <c r="AQ59" s="126">
        <f>VLOOKUP(AE59,db_fifarank,2,FALSE)</f>
        <v>1550.94</v>
      </c>
      <c r="AR59" s="125">
        <f>AP59/AP60</f>
        <v>0.44444443344019635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2 - 7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3</v>
      </c>
      <c r="AH60" s="123">
        <f t="shared" si="27"/>
        <v>3</v>
      </c>
      <c r="AI60" s="123">
        <f>MAX(AI56:AI59)+1</f>
        <v>12</v>
      </c>
      <c r="AL60" s="123">
        <f>MIN(AL56:AL59)</f>
        <v>-5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90000011.203319609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90000009.764826313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>
        <v>5</v>
      </c>
      <c r="BP62" s="116">
        <f>IF(OR(BM62="",BM63="",AND(BN62="",BN63&lt;&gt;""),AND(BN63="",BN62&lt;&gt;""),AND(BO62="",BO63&lt;&gt;""),AND(BO63="",BO62&lt;&gt;"")),"",BM62*1000+BN62*10+BO62)</f>
        <v>1005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0</v>
      </c>
      <c r="W63" s="123">
        <f t="shared" si="22"/>
        <v>0</v>
      </c>
      <c r="X63" s="123">
        <f t="shared" si="9"/>
        <v>1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2</v>
      </c>
      <c r="AN63" s="123">
        <f>AF63*3+AG63</f>
        <v>4</v>
      </c>
      <c r="AO63" s="123">
        <f>AN63/AN66*10+BA63</f>
        <v>4</v>
      </c>
      <c r="AP63" s="123">
        <f>AO63*10000000+BI63*100+AM63/AM66*10+AI63/AI66*1++IF(AQ63=0,ROW(),AQ63)/2000000</f>
        <v>40000002.598004356</v>
      </c>
      <c r="AQ63" s="126">
        <f>VLOOKUP(AE63,db_fifarank,2,FALSE)</f>
        <v>1564.26</v>
      </c>
      <c r="AR63" s="125">
        <f>AP63/AP66</f>
        <v>0.4444444201515263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/>
      <c r="BO63" s="27">
        <v>4</v>
      </c>
      <c r="BP63" s="112">
        <f>IF(BP62="","",BM63*1000+BN63*10+BO63)</f>
        <v>1004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0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2</v>
      </c>
      <c r="AN64" s="123">
        <f>AF64*3+AG64</f>
        <v>2</v>
      </c>
      <c r="AO64" s="123">
        <f>AN64/AN66*10+BA64</f>
        <v>2</v>
      </c>
      <c r="AP64" s="123">
        <f>AO64*10000000+BI64*100+AM64/AM66*10+AI64/AI66*1++IF(AQ64=0,ROW(),AQ64)/2000000</f>
        <v>20000002.598018948</v>
      </c>
      <c r="AQ64" s="126">
        <f>VLOOKUP(AE64,db_fifarank,2,FALSE)</f>
        <v>1593.45</v>
      </c>
      <c r="AR64" s="125">
        <f>AP64/AP66</f>
        <v>0.22222222450928109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10000000.125695726</v>
      </c>
      <c r="AQ65" s="126">
        <f>VLOOKUP(AE65,db_fifarank,2,FALSE)</f>
        <v>1391.45</v>
      </c>
      <c r="AR65" s="125">
        <f>AP65/AP66</f>
        <v>0.11111109921782268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3</v>
      </c>
      <c r="CB65" s="64"/>
      <c r="CC65" s="27"/>
      <c r="CD65" s="112">
        <f>IF(CD64="","",CA65*1000+CB65*10+CC65)</f>
        <v>3000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-3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90000010.764826313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10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87500009.948933855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Egypt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5</v>
      </c>
      <c r="AL69" s="123">
        <f>AI69-AJ69</f>
        <v>-2</v>
      </c>
      <c r="AM69" s="123">
        <f>AL69-AL72</f>
        <v>3</v>
      </c>
      <c r="AN69" s="123">
        <f>AF69*3+AG69</f>
        <v>2</v>
      </c>
      <c r="AO69" s="123">
        <f>AN69/AN72*10+BA69</f>
        <v>2.5</v>
      </c>
      <c r="AP69" s="123">
        <f>AO69*10000000+BI69*100+AM69/AM72*10+AI69/AI72*1++IF(AQ69=0,ROW(),AQ69)/2000000</f>
        <v>25000003.156583332</v>
      </c>
      <c r="AQ69" s="126">
        <f>VLOOKUP(AE69,db_fifarank,2,FALSE)</f>
        <v>1478.35</v>
      </c>
      <c r="AR69" s="125">
        <f>AP69/AP72</f>
        <v>0.285714286037903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4 - 2</v>
      </c>
      <c r="P70" s="34">
        <f>L70*3+M70</f>
        <v>5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1.25</v>
      </c>
      <c r="AP70" s="123">
        <f>AO70*10000000+BI70*100+AM70/AM72*10+AI70/AI72*1++IF(AQ70=0,ROW(),AQ70)/2000000</f>
        <v>12500000.286446955</v>
      </c>
      <c r="AQ70" s="126">
        <f>VLOOKUP(AE70,db_fifarank,2,FALSE)</f>
        <v>1465.34</v>
      </c>
      <c r="AR70" s="125">
        <f>AP70/AP72</f>
        <v>0.14285712825501379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>
        <v>5</v>
      </c>
      <c r="BP70" s="116">
        <f>IF(OR(BM70="",BM71="",AND(BN70="",BN71&lt;&gt;""),AND(BN71="",BN70&lt;&gt;""),AND(BO70="",BO71&lt;&gt;""),AND(BO71="",BO70&lt;&gt;"")),"",BM70*1000+BN70*10+BO70)</f>
        <v>2005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3 - 5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2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5</v>
      </c>
      <c r="AO71" s="123">
        <f>AN71/AN72*10+BA71</f>
        <v>6.25</v>
      </c>
      <c r="AP71" s="123">
        <f>AO71*10000000+BI71*100+AM71/AM72*10+AI71/AI72*1++IF(AQ71=0,ROW(),AQ71)/2000000</f>
        <v>62500006.935911484</v>
      </c>
      <c r="AQ71" s="126">
        <f>VLOOKUP(AE71,db_fifarank,2,FALSE)</f>
        <v>1693.09</v>
      </c>
      <c r="AR71" s="125">
        <f>AP71/AP72</f>
        <v>0.71428570417422355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England</v>
      </c>
      <c r="BM71" s="62">
        <v>2</v>
      </c>
      <c r="BN71" s="64"/>
      <c r="BO71" s="27">
        <v>4</v>
      </c>
      <c r="BP71" s="112">
        <f>IF(BP70="","",BM71*1000+BN71*10+BO71)</f>
        <v>2004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-5</v>
      </c>
      <c r="AM72" s="123">
        <f>MAX(AM68:AM71)+1</f>
        <v>11</v>
      </c>
      <c r="AN72" s="123">
        <f>MAX(AN68:AN71)+1</f>
        <v>8</v>
      </c>
      <c r="AO72" s="123">
        <f>MAX(AO68:AO71)+1</f>
        <v>9.75</v>
      </c>
      <c r="AP72" s="123">
        <f>MAX(AP68:AP71)+1</f>
        <v>87500010.948933855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1</v>
      </c>
      <c r="V74" s="123">
        <f t="shared" si="21"/>
        <v>2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3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1</v>
      </c>
      <c r="AH74" s="123">
        <f>COUNTIF($S$7:$T$78,"=" &amp; AE74 &amp; "_lose")</f>
        <v>1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5</v>
      </c>
      <c r="AL74" s="123">
        <f>AI74-AJ74</f>
        <v>0</v>
      </c>
      <c r="AM74" s="123">
        <f>AL74-AL78</f>
        <v>3</v>
      </c>
      <c r="AN74" s="123">
        <f>AF74*3+AG74</f>
        <v>4</v>
      </c>
      <c r="AO74" s="123">
        <f>AN74/AN78*10+BA74</f>
        <v>5.7221339811267864</v>
      </c>
      <c r="AP74" s="123">
        <f>AO74*10000000+BI74*100+AM74/AM78*10+AI74/AI78*1++IF(AQ74=0,ROW(),AQ74)/2000000</f>
        <v>57221344.812180847</v>
      </c>
      <c r="AQ74" s="126">
        <f>VLOOKUP(AE74,db_fifarank,2,FALSE)</f>
        <v>1825.97</v>
      </c>
      <c r="AR74" s="125">
        <f>AP74/AP78</f>
        <v>0.59795745716453463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2</v>
      </c>
      <c r="AZ74" s="126">
        <f>AT74/AT78*1000+AU74/AU78*100+AY74/AY78*10+AV74/AV78</f>
        <v>4</v>
      </c>
      <c r="BA74" s="126">
        <f>AZ74/AZ78</f>
        <v>7.8482668410725966E-3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0</v>
      </c>
      <c r="N75" s="31">
        <f>VLOOKUP(1,AD74:AN77,5,FALSE)</f>
        <v>1</v>
      </c>
      <c r="O75" s="31" t="str">
        <f>VLOOKUP(1,AD74:AN77,6,FALSE) &amp; " - " &amp; VLOOKUP(1,AD74:AN77,7,FALSE)</f>
        <v>6 - 3</v>
      </c>
      <c r="P75" s="32">
        <f>L75*3+M75</f>
        <v>6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6</v>
      </c>
      <c r="AN75" s="123">
        <f>AF75*3+AG75</f>
        <v>6</v>
      </c>
      <c r="AO75" s="123">
        <f>AN75/AN78*10+BA75</f>
        <v>9.569466504718303</v>
      </c>
      <c r="AP75" s="123">
        <f>AO75*10000000+BI75*100+AM75/AM78*10+AI75/AI78*1++IF(AQ75=0,ROW(),AQ75)/2000000</f>
        <v>95694674.476612985</v>
      </c>
      <c r="AQ75" s="126">
        <f>VLOOKUP(AE75,db_fifarank,2,FALSE)</f>
        <v>1717.07</v>
      </c>
      <c r="AR75" s="125">
        <f>AP75/AP78</f>
        <v>0.99999998955009783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1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2</v>
      </c>
      <c r="AY75" s="126">
        <f>AX75-MIN(AX74:AX77)</f>
        <v>4</v>
      </c>
      <c r="AZ75" s="126">
        <f>AT75/AT78*1000+AU75/AU78*100+AY75/AY78*10+AV75/AV78</f>
        <v>508.66666666666669</v>
      </c>
      <c r="BA75" s="126">
        <f>AZ75/AZ78</f>
        <v>0.99803793328973189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3</v>
      </c>
      <c r="AN76" s="123">
        <f>AF76*3+AG76</f>
        <v>6</v>
      </c>
      <c r="AO76" s="123">
        <f>AN76/AN78*10+BA76</f>
        <v>8.5714285714285712</v>
      </c>
      <c r="AP76" s="123">
        <f>AO76*10000000+BI76*100+AM76/AM78*10+AI76/AI78*1++IF(AQ76=0,ROW(),AQ76)/2000000</f>
        <v>85714290.429244593</v>
      </c>
      <c r="AQ76" s="126">
        <f>VLOOKUP(AE76,db_fifarank,2,FALSE)</f>
        <v>1346.31</v>
      </c>
      <c r="AR76" s="125">
        <f>AP76/AP78</f>
        <v>0.89570595231489636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-2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England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5 - 5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1.436419695412501</v>
      </c>
      <c r="AP77" s="123">
        <f>AO77*10000000+BI77*100+AM77/AM78*10+AI77/AI78*1++IF(AQ77=0,ROW(),AQ77)/2000000</f>
        <v>14364197.097752472</v>
      </c>
      <c r="AQ77" s="126">
        <f>VLOOKUP(AE77,db_fifarank,2,FALSE)</f>
        <v>1540.64</v>
      </c>
      <c r="AR77" s="125">
        <f>AP77/AP78</f>
        <v>0.15010445488435736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2</v>
      </c>
      <c r="AZ77" s="126">
        <f>AT77/AT78*1000+AU77/AU78*100+AY77/AY78*10+AV77/AV78</f>
        <v>4</v>
      </c>
      <c r="BA77" s="126">
        <f>AZ77/AZ78</f>
        <v>7.8482668410725966E-3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2</v>
      </c>
      <c r="AI78" s="123">
        <f>MAX(AI74:AI77)+1</f>
        <v>7</v>
      </c>
      <c r="AL78" s="123">
        <f>MIN(AL74:AL77)</f>
        <v>-3</v>
      </c>
      <c r="AM78" s="123">
        <f>MAX(AM74:AM77)+1</f>
        <v>7</v>
      </c>
      <c r="AN78" s="123">
        <f>MAX(AN74:AN77)+1</f>
        <v>7</v>
      </c>
      <c r="AO78" s="123">
        <f>MAX(AO74:AO77)+1</f>
        <v>10.569466504718303</v>
      </c>
      <c r="AP78" s="123">
        <f>MAX(AP74:AP77)+1</f>
        <v>95694675.476612985</v>
      </c>
      <c r="AT78" s="126">
        <f>MAX(AT74:AT77)-MIN(AT74:AT77)+1</f>
        <v>2</v>
      </c>
      <c r="AU78" s="126">
        <f>MAX(AU74:AU77)-MIN(AU74:AU77)+1</f>
        <v>1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5</v>
      </c>
      <c r="AZ78" s="126">
        <f>MAX(AZ74:AZ77)+1</f>
        <v>509.66666666666669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4747.6197983090478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England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4588.0959655752386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8940.4769396511911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Japan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1 - 2</v>
      </c>
      <c r="P83" s="101">
        <f t="shared" si="48"/>
        <v>4</v>
      </c>
      <c r="AD83" s="123">
        <f t="shared" si="38"/>
        <v>9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1</v>
      </c>
      <c r="AJ83" s="123">
        <f t="shared" si="42"/>
        <v>2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2</v>
      </c>
      <c r="AP83" s="123">
        <f>AN83/AN92*10000+AM83/AM92*1000+AI83/AI92*100+IF(AQ83=0,ROW(),AQ83)/2000000</f>
        <v>4730.9531327023815</v>
      </c>
      <c r="AQ83" s="126">
        <f t="shared" si="37"/>
        <v>1503.5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7</v>
      </c>
      <c r="AK84" s="123" t="s">
        <v>3185</v>
      </c>
      <c r="AL84" s="123">
        <f t="shared" si="43"/>
        <v>-6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6016.6673139916666</v>
      </c>
      <c r="AQ84" s="126">
        <f t="shared" si="37"/>
        <v>1294.6500000000001</v>
      </c>
      <c r="AR84" s="125" t="str">
        <f t="shared" si="50"/>
        <v>ACE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8730.9532111673798</v>
      </c>
      <c r="AQ85" s="126">
        <f t="shared" si="37"/>
        <v>1660.43</v>
      </c>
      <c r="AR85" s="125" t="str">
        <f t="shared" si="50"/>
        <v>ACEF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Curaçao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1 - 7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6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6638.096019715239</v>
      </c>
      <c r="AQ86" s="126">
        <f t="shared" si="37"/>
        <v>1563.24</v>
      </c>
      <c r="AR86" s="125" t="str">
        <f t="shared" si="50"/>
        <v>ACEFG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Austria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6621.429282143572</v>
      </c>
      <c r="AQ87" s="126">
        <f t="shared" si="37"/>
        <v>1421.43</v>
      </c>
      <c r="AR87" s="125" t="str">
        <f t="shared" si="50"/>
        <v>ACEFGH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draw</v>
      </c>
      <c r="T88" s="127" t="str" cm="1">
        <f t="array" ref="T88">IF(OR(S88="",S88="draw"),INDEX(T,90,lang),S88)</f>
        <v>Colombia</v>
      </c>
      <c r="AD88" s="123">
        <f t="shared" si="38"/>
        <v>12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3</v>
      </c>
      <c r="AN88" s="123">
        <f t="shared" si="45"/>
        <v>2</v>
      </c>
      <c r="AP88" s="123">
        <f>AN88/AN92*10000+AM88/AM92*1000+AI88/AI92*100+IF(AQ88=0,ROW(),AQ88)/2000000</f>
        <v>4461.9056063997614</v>
      </c>
      <c r="AQ88" s="126">
        <f t="shared" si="37"/>
        <v>1688.99</v>
      </c>
      <c r="AR88" s="125" t="str">
        <f t="shared" si="50"/>
        <v>ACEFGH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1 - 2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7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5</v>
      </c>
      <c r="AN89" s="123">
        <f t="shared" si="45"/>
        <v>2</v>
      </c>
      <c r="AP89" s="123">
        <f>AN89/AN92*10000+AM89/AM92*1000+AI89/AI92*100+IF(AQ89=0,ROW(),AQ89)/2000000</f>
        <v>4764.286511010715</v>
      </c>
      <c r="AQ89" s="126">
        <f t="shared" si="37"/>
        <v>1593.45</v>
      </c>
      <c r="AR89" s="125" t="str">
        <f t="shared" si="50"/>
        <v>ACEFGHJ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4</v>
      </c>
      <c r="AN90" s="123">
        <f t="shared" si="45"/>
        <v>2</v>
      </c>
      <c r="AP90" s="123">
        <f>AN90/AN92*10000+AM90/AM92*1000+AI90/AI92*100+IF(AQ90=0,ROW(),AQ90)/2000000</f>
        <v>4621.4293106035711</v>
      </c>
      <c r="AQ90" s="126">
        <f t="shared" si="37"/>
        <v>1478.35</v>
      </c>
      <c r="AR90" s="125" t="str">
        <f t="shared" si="50"/>
        <v>ACEFGHJ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England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8940.4771034611913</v>
      </c>
      <c r="AQ91" s="126">
        <f t="shared" si="37"/>
        <v>1825.97</v>
      </c>
      <c r="AR91" s="125" t="str">
        <f t="shared" si="50"/>
        <v>ACEFGHJL</v>
      </c>
      <c r="AS91" s="129" t="str">
        <f t="shared" si="46"/>
        <v>England</v>
      </c>
      <c r="AT91" s="130" t="str">
        <f>"Ⓛ "&amp;AE91</f>
        <v>Ⓛ England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Ⓘ Senegal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2 - 5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1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225</v>
      </c>
      <c r="C3" s="121" t="str">
        <f>'2026 World Cup'!AR91</f>
        <v>ACEFGHJL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3E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Marco</cp:lastModifiedBy>
  <cp:revision/>
  <dcterms:created xsi:type="dcterms:W3CDTF">2017-12-27T19:32:51Z</dcterms:created>
  <dcterms:modified xsi:type="dcterms:W3CDTF">2026-06-01T09:55:40Z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