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0730" windowHeight="11760" firstSheet="1" activeTab="2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96" i="3"/>
  <c r="S97" i="3"/>
  <c r="S98" i="3"/>
  <c r="S102" i="3"/>
  <c r="U102" i="3"/>
  <c r="S103" i="3"/>
  <c r="U103" i="3"/>
  <c r="T107" i="3"/>
  <c r="S111" i="3"/>
  <c r="T111" i="3" s="1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S51" i="3"/>
  <c r="S30" i="3"/>
  <c r="T30" i="3" s="1"/>
  <c r="S78" i="3"/>
  <c r="S26" i="3"/>
  <c r="S75" i="3"/>
  <c r="T75" i="3" s="1"/>
  <c r="S25" i="3"/>
  <c r="T25" i="3" s="1"/>
  <c r="S49" i="3"/>
  <c r="T49" i="3" s="1"/>
  <c r="S68" i="3"/>
  <c r="T68" i="3" s="1"/>
  <c r="S23" i="3"/>
  <c r="T23" i="3" s="1"/>
  <c r="S48" i="3"/>
  <c r="S43" i="3"/>
  <c r="S19" i="3"/>
  <c r="S20" i="3"/>
  <c r="T20" i="3" s="1"/>
  <c r="S44" i="3"/>
  <c r="T44" i="3" s="1"/>
  <c r="S46" i="3"/>
  <c r="T46" i="3" s="1"/>
  <c r="S21" i="3"/>
  <c r="T21" i="3" s="1"/>
  <c r="S45" i="3"/>
  <c r="T45" i="3" s="1"/>
  <c r="S18" i="3"/>
  <c r="S63" i="3"/>
  <c r="T63" i="3" s="1"/>
  <c r="S17" i="3"/>
  <c r="T17" i="3" s="1"/>
  <c r="S41" i="3"/>
  <c r="T41" i="3" s="1"/>
  <c r="S15" i="3"/>
  <c r="T15" i="3" s="1"/>
  <c r="S61" i="3"/>
  <c r="T61" i="3" s="1"/>
  <c r="S16" i="3"/>
  <c r="S39" i="3"/>
  <c r="T39" i="3" s="1"/>
  <c r="S66" i="3"/>
  <c r="T66" i="3" s="1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S35" i="3"/>
  <c r="S7" i="3"/>
  <c r="T7" i="3" s="1"/>
  <c r="S22" i="3"/>
  <c r="S24" i="3"/>
  <c r="S69" i="3"/>
  <c r="S58" i="3"/>
  <c r="S31" i="3"/>
  <c r="S59" i="3"/>
  <c r="S71" i="3"/>
  <c r="S52" i="3"/>
  <c r="S73" i="3"/>
  <c r="T28" i="3"/>
  <c r="T51" i="3"/>
  <c r="S54" i="3"/>
  <c r="S77" i="3"/>
  <c r="T78" i="3"/>
  <c r="S50" i="3"/>
  <c r="S76" i="3"/>
  <c r="T26" i="3"/>
  <c r="S47" i="3"/>
  <c r="S67" i="3"/>
  <c r="T48" i="3"/>
  <c r="T43" i="3"/>
  <c r="S72" i="3"/>
  <c r="T19" i="3"/>
  <c r="S70" i="3"/>
  <c r="S42" i="3"/>
  <c r="S64" i="3"/>
  <c r="T18" i="3"/>
  <c r="S40" i="3"/>
  <c r="S62" i="3"/>
  <c r="T16" i="3"/>
  <c r="S38" i="3"/>
  <c r="S65" i="3"/>
  <c r="S55" i="3"/>
  <c r="T56" i="3"/>
  <c r="S57" i="3"/>
  <c r="T5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K68" i="3" s="1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/>
  <c r="AP26" i="3" s="1"/>
  <c r="BI20" i="3" l="1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7" i="3" l="1"/>
  <c r="AR28" i="3"/>
  <c r="AD58" i="3"/>
  <c r="AR34" i="3"/>
  <c r="AR22" i="3"/>
  <c r="AR33" i="3"/>
  <c r="AR21" i="3"/>
  <c r="AR35" i="3"/>
  <c r="AR10" i="3"/>
  <c r="AR11" i="3"/>
  <c r="AR9" i="3"/>
  <c r="AR75" i="3"/>
  <c r="AR76" i="3"/>
  <c r="AR77" i="3"/>
  <c r="AR65" i="3"/>
  <c r="AR40" i="3"/>
  <c r="AR41" i="3"/>
  <c r="AR29" i="3"/>
  <c r="AR69" i="3"/>
  <c r="AR70" i="3"/>
  <c r="AR71" i="3"/>
  <c r="AR27" i="3"/>
  <c r="AD28" i="3" s="1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33" i="3"/>
  <c r="AD32" i="3" l="1"/>
  <c r="M58" i="3"/>
  <c r="AD35" i="3"/>
  <c r="AD8" i="3"/>
  <c r="AD10" i="3"/>
  <c r="AD21" i="3"/>
  <c r="AD26" i="3"/>
  <c r="AD75" i="3"/>
  <c r="AD41" i="3"/>
  <c r="AD9" i="3"/>
  <c r="AD20" i="3"/>
  <c r="AD70" i="3"/>
  <c r="AD34" i="3"/>
  <c r="J36" i="3" s="1"/>
  <c r="AD44" i="3"/>
  <c r="AD22" i="3"/>
  <c r="AD47" i="3"/>
  <c r="AD14" i="3"/>
  <c r="AD15" i="3"/>
  <c r="AD68" i="3"/>
  <c r="O69" i="3" s="1"/>
  <c r="AD74" i="3"/>
  <c r="O75" i="3" s="1"/>
  <c r="AD63" i="3"/>
  <c r="AD53" i="3"/>
  <c r="AD77" i="3"/>
  <c r="AD11" i="3"/>
  <c r="O60" i="3"/>
  <c r="AD76" i="3"/>
  <c r="L59" i="3"/>
  <c r="AD27" i="3"/>
  <c r="L58" i="3"/>
  <c r="AD71" i="3"/>
  <c r="AD29" i="3"/>
  <c r="M59" i="3"/>
  <c r="N58" i="3"/>
  <c r="AD62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J39" i="3" s="1"/>
  <c r="AS38" i="3" s="1"/>
  <c r="BL22" i="3" s="1"/>
  <c r="AD50" i="3"/>
  <c r="N59" i="3"/>
  <c r="AD17" i="3"/>
  <c r="J33" i="3"/>
  <c r="AS32" i="3" s="1"/>
  <c r="BL10" i="3" s="1"/>
  <c r="O33" i="3"/>
  <c r="M36" i="3"/>
  <c r="N36" i="3"/>
  <c r="S89" i="3" l="1"/>
  <c r="T89" i="3" s="1" a="1"/>
  <c r="T89" i="3" s="1"/>
  <c r="BS21" i="3"/>
  <c r="BZ17" i="3" s="1"/>
  <c r="J9" i="3"/>
  <c r="AS8" i="3" s="1"/>
  <c r="BL50" i="3" s="1"/>
  <c r="M9" i="3"/>
  <c r="L16" i="3"/>
  <c r="O27" i="3"/>
  <c r="N27" i="3"/>
  <c r="L34" i="3"/>
  <c r="P58" i="3"/>
  <c r="N9" i="3"/>
  <c r="O9" i="3"/>
  <c r="O63" i="3"/>
  <c r="J45" i="3"/>
  <c r="AS44" i="3" s="1"/>
  <c r="BL38" i="3" s="1"/>
  <c r="M75" i="3"/>
  <c r="N34" i="3"/>
  <c r="L15" i="3"/>
  <c r="L51" i="3"/>
  <c r="O64" i="3"/>
  <c r="O10" i="3"/>
  <c r="M34" i="3"/>
  <c r="P34" i="3" s="1"/>
  <c r="O35" i="3"/>
  <c r="J34" i="3"/>
  <c r="AS33" i="3" s="1"/>
  <c r="BL46" i="3" s="1"/>
  <c r="M64" i="3"/>
  <c r="N35" i="3"/>
  <c r="O34" i="3"/>
  <c r="M35" i="3"/>
  <c r="L35" i="3"/>
  <c r="L10" i="3"/>
  <c r="N66" i="3"/>
  <c r="M33" i="3"/>
  <c r="J35" i="3"/>
  <c r="AE84" i="3" s="1"/>
  <c r="AQ84" i="3" s="1"/>
  <c r="L9" i="3"/>
  <c r="P9" i="3" s="1"/>
  <c r="O65" i="3"/>
  <c r="J64" i="3"/>
  <c r="AS63" i="3" s="1"/>
  <c r="BL31" i="3" s="1"/>
  <c r="M63" i="3"/>
  <c r="O36" i="3"/>
  <c r="L36" i="3"/>
  <c r="K36" i="3" s="1"/>
  <c r="J10" i="3"/>
  <c r="AS9" i="3" s="1"/>
  <c r="BL18" i="3" s="1"/>
  <c r="M10" i="3"/>
  <c r="O12" i="3"/>
  <c r="K58" i="3"/>
  <c r="N12" i="3"/>
  <c r="J63" i="3"/>
  <c r="AS62" i="3" s="1"/>
  <c r="BL58" i="3" s="1"/>
  <c r="BS60" i="3" s="1"/>
  <c r="BZ64" i="3" s="1"/>
  <c r="N63" i="3"/>
  <c r="N10" i="3"/>
  <c r="J12" i="3"/>
  <c r="N65" i="3"/>
  <c r="L33" i="3"/>
  <c r="O66" i="3"/>
  <c r="N64" i="3"/>
  <c r="L45" i="3"/>
  <c r="N33" i="3"/>
  <c r="P57" i="3"/>
  <c r="M18" i="3"/>
  <c r="O16" i="3"/>
  <c r="N45" i="3"/>
  <c r="M66" i="3"/>
  <c r="M65" i="3"/>
  <c r="L64" i="3"/>
  <c r="P64" i="3" s="1"/>
  <c r="L63" i="3"/>
  <c r="M45" i="3"/>
  <c r="J65" i="3"/>
  <c r="AE89" i="3" s="1"/>
  <c r="AQ89" i="3" s="1"/>
  <c r="J69" i="3"/>
  <c r="AS68" i="3" s="1"/>
  <c r="BL70" i="3" s="1"/>
  <c r="J66" i="3"/>
  <c r="L66" i="3"/>
  <c r="K66" i="3" s="1"/>
  <c r="L65" i="3"/>
  <c r="P65" i="3" s="1"/>
  <c r="O45" i="3"/>
  <c r="N24" i="3"/>
  <c r="M71" i="3"/>
  <c r="J18" i="3"/>
  <c r="N69" i="3"/>
  <c r="J27" i="3"/>
  <c r="AS26" i="3" s="1"/>
  <c r="BL34" i="3" s="1"/>
  <c r="M39" i="3"/>
  <c r="L18" i="3"/>
  <c r="P18" i="3" s="1"/>
  <c r="L21" i="3"/>
  <c r="N21" i="3"/>
  <c r="J24" i="3"/>
  <c r="J71" i="3"/>
  <c r="AE90" i="3" s="1"/>
  <c r="AQ90" i="3" s="1"/>
  <c r="L71" i="3"/>
  <c r="M69" i="3"/>
  <c r="L39" i="3"/>
  <c r="L27" i="3"/>
  <c r="N22" i="3"/>
  <c r="O24" i="3"/>
  <c r="M24" i="3"/>
  <c r="J21" i="3"/>
  <c r="AS20" i="3" s="1"/>
  <c r="BL42" i="3" s="1"/>
  <c r="BS44" i="3" s="1"/>
  <c r="N18" i="3"/>
  <c r="O71" i="3"/>
  <c r="L70" i="3"/>
  <c r="L69" i="3"/>
  <c r="N39" i="3"/>
  <c r="M27" i="3"/>
  <c r="M21" i="3"/>
  <c r="L22" i="3"/>
  <c r="L24" i="3"/>
  <c r="J22" i="3"/>
  <c r="AS21" i="3" s="1"/>
  <c r="BL23" i="3" s="1"/>
  <c r="O18" i="3"/>
  <c r="N71" i="3"/>
  <c r="O39" i="3"/>
  <c r="O22" i="3"/>
  <c r="O21" i="3"/>
  <c r="M22" i="3"/>
  <c r="J46" i="3"/>
  <c r="AS45" i="3" s="1"/>
  <c r="BL63" i="3" s="1"/>
  <c r="L23" i="3"/>
  <c r="P59" i="3"/>
  <c r="J29" i="3"/>
  <c r="AE83" i="3" s="1"/>
  <c r="AQ83" i="3" s="1"/>
  <c r="J40" i="3"/>
  <c r="AS39" i="3" s="1"/>
  <c r="BL43" i="3" s="1"/>
  <c r="J72" i="3"/>
  <c r="L17" i="3"/>
  <c r="O78" i="3"/>
  <c r="O28" i="3"/>
  <c r="J11" i="3"/>
  <c r="AE80" i="3" s="1"/>
  <c r="AQ80" i="3" s="1"/>
  <c r="L29" i="3"/>
  <c r="J30" i="3"/>
  <c r="L72" i="3"/>
  <c r="M17" i="3"/>
  <c r="L76" i="3"/>
  <c r="J52" i="3"/>
  <c r="AS51" i="3" s="1"/>
  <c r="BL59" i="3" s="1"/>
  <c r="J16" i="3"/>
  <c r="AS15" i="3" s="1"/>
  <c r="BL19" i="3" s="1"/>
  <c r="M11" i="3"/>
  <c r="AN88" i="3"/>
  <c r="M47" i="3"/>
  <c r="O77" i="3"/>
  <c r="L75" i="3"/>
  <c r="N16" i="3"/>
  <c r="M16" i="3"/>
  <c r="P16" i="3" s="1"/>
  <c r="L11" i="3"/>
  <c r="O46" i="3"/>
  <c r="J47" i="3"/>
  <c r="AE86" i="3" s="1"/>
  <c r="AQ86" i="3" s="1"/>
  <c r="N11" i="3"/>
  <c r="O11" i="3"/>
  <c r="M70" i="3"/>
  <c r="M51" i="3"/>
  <c r="P51" i="3" s="1"/>
  <c r="O47" i="3"/>
  <c r="L47" i="3"/>
  <c r="J42" i="3"/>
  <c r="AG88" i="3"/>
  <c r="O17" i="3"/>
  <c r="L78" i="3"/>
  <c r="M76" i="3"/>
  <c r="J75" i="3"/>
  <c r="AS74" i="3" s="1"/>
  <c r="BL54" i="3" s="1"/>
  <c r="L54" i="3"/>
  <c r="J51" i="3"/>
  <c r="AS50" i="3" s="1"/>
  <c r="BL30" i="3" s="1"/>
  <c r="M54" i="3"/>
  <c r="M46" i="3"/>
  <c r="N47" i="3"/>
  <c r="J48" i="3"/>
  <c r="O42" i="3"/>
  <c r="L30" i="3"/>
  <c r="O30" i="3"/>
  <c r="L28" i="3"/>
  <c r="N29" i="3"/>
  <c r="M12" i="3"/>
  <c r="J41" i="3"/>
  <c r="AE85" i="3" s="1"/>
  <c r="AQ85" i="3" s="1"/>
  <c r="N77" i="3"/>
  <c r="O72" i="3"/>
  <c r="O70" i="3"/>
  <c r="M77" i="3"/>
  <c r="J76" i="3"/>
  <c r="AS75" i="3" s="1"/>
  <c r="BL27" i="3" s="1"/>
  <c r="M78" i="3"/>
  <c r="J78" i="3"/>
  <c r="N75" i="3"/>
  <c r="J70" i="3"/>
  <c r="AS69" i="3" s="1"/>
  <c r="BL26" i="3" s="1"/>
  <c r="N72" i="3"/>
  <c r="N70" i="3"/>
  <c r="O51" i="3"/>
  <c r="N51" i="3"/>
  <c r="L48" i="3"/>
  <c r="L46" i="3"/>
  <c r="P46" i="3" s="1"/>
  <c r="M42" i="3"/>
  <c r="M40" i="3"/>
  <c r="N30" i="3"/>
  <c r="M28" i="3"/>
  <c r="J28" i="3"/>
  <c r="AS27" i="3" s="1"/>
  <c r="BL62" i="3" s="1"/>
  <c r="BS61" i="3" s="1"/>
  <c r="L12" i="3"/>
  <c r="N53" i="3"/>
  <c r="L77" i="3"/>
  <c r="J77" i="3"/>
  <c r="AE91" i="3" s="1"/>
  <c r="AQ91" i="3" s="1"/>
  <c r="O76" i="3"/>
  <c r="N78" i="3"/>
  <c r="N76" i="3"/>
  <c r="M72" i="3"/>
  <c r="N54" i="3"/>
  <c r="M48" i="3"/>
  <c r="N48" i="3"/>
  <c r="O48" i="3"/>
  <c r="N46" i="3"/>
  <c r="L42" i="3"/>
  <c r="N28" i="3"/>
  <c r="M30" i="3"/>
  <c r="O29" i="3"/>
  <c r="M29" i="3"/>
  <c r="N40" i="3"/>
  <c r="L40" i="3"/>
  <c r="O40" i="3"/>
  <c r="N52" i="3"/>
  <c r="O23" i="3"/>
  <c r="AT88" i="3"/>
  <c r="AF88" i="3"/>
  <c r="N17" i="3"/>
  <c r="AJ88" i="3"/>
  <c r="K59" i="3"/>
  <c r="AI88" i="3"/>
  <c r="O54" i="3"/>
  <c r="K57" i="3"/>
  <c r="M41" i="3"/>
  <c r="J54" i="3"/>
  <c r="O52" i="3"/>
  <c r="O41" i="3"/>
  <c r="L41" i="3"/>
  <c r="P41" i="3" s="1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P15" i="3" s="1"/>
  <c r="O15" i="3"/>
  <c r="J15" i="3"/>
  <c r="AS14" i="3" s="1"/>
  <c r="BL66" i="3" s="1"/>
  <c r="AI84" i="3"/>
  <c r="K34" i="3" l="1"/>
  <c r="S90" i="3"/>
  <c r="T90" i="3" s="1" a="1"/>
  <c r="T90" i="3" s="1"/>
  <c r="BS36" i="3"/>
  <c r="S86" i="3"/>
  <c r="T86" i="3" s="1" a="1"/>
  <c r="T86" i="3" s="1"/>
  <c r="BS28" i="3"/>
  <c r="S87" i="3"/>
  <c r="T87" i="3" s="1" a="1"/>
  <c r="T87" i="3" s="1"/>
  <c r="BS29" i="3"/>
  <c r="S88" i="3"/>
  <c r="T88" i="3" s="1" a="1"/>
  <c r="T88" i="3" s="1"/>
  <c r="BS20" i="3"/>
  <c r="S91" i="3"/>
  <c r="T91" i="3" s="1" a="1"/>
  <c r="T91" i="3" s="1"/>
  <c r="BS37" i="3"/>
  <c r="P39" i="3"/>
  <c r="K9" i="3"/>
  <c r="AI81" i="3"/>
  <c r="AH80" i="3"/>
  <c r="P66" i="3"/>
  <c r="AN86" i="3"/>
  <c r="AL89" i="3"/>
  <c r="AI89" i="3"/>
  <c r="AI90" i="3"/>
  <c r="P35" i="3"/>
  <c r="AG89" i="3"/>
  <c r="AJ83" i="3"/>
  <c r="AT89" i="3"/>
  <c r="AT90" i="3"/>
  <c r="AJ82" i="3"/>
  <c r="P22" i="3"/>
  <c r="P33" i="3"/>
  <c r="AH83" i="3"/>
  <c r="AT87" i="3"/>
  <c r="AN89" i="3"/>
  <c r="AH89" i="3"/>
  <c r="AJ90" i="3"/>
  <c r="AF80" i="3"/>
  <c r="AT85" i="3"/>
  <c r="AJ89" i="3"/>
  <c r="AF89" i="3"/>
  <c r="AF90" i="3"/>
  <c r="P47" i="3"/>
  <c r="K18" i="3"/>
  <c r="K22" i="3"/>
  <c r="K63" i="3"/>
  <c r="K35" i="3"/>
  <c r="AT84" i="3"/>
  <c r="K65" i="3"/>
  <c r="K64" i="3"/>
  <c r="AI82" i="3"/>
  <c r="AN84" i="3"/>
  <c r="AH84" i="3"/>
  <c r="P72" i="3"/>
  <c r="AG82" i="3"/>
  <c r="AN83" i="3"/>
  <c r="AG83" i="3"/>
  <c r="AL84" i="3"/>
  <c r="AG84" i="3"/>
  <c r="AJ85" i="3"/>
  <c r="AN90" i="3"/>
  <c r="AH90" i="3"/>
  <c r="P12" i="3"/>
  <c r="P21" i="3"/>
  <c r="K24" i="3"/>
  <c r="K71" i="3"/>
  <c r="P45" i="3"/>
  <c r="AN82" i="3"/>
  <c r="AF82" i="3"/>
  <c r="AL83" i="3"/>
  <c r="AF83" i="3"/>
  <c r="AJ84" i="3"/>
  <c r="AF84" i="3"/>
  <c r="AI85" i="3"/>
  <c r="AL90" i="3"/>
  <c r="AG90" i="3"/>
  <c r="P11" i="3"/>
  <c r="P63" i="3"/>
  <c r="K33" i="3"/>
  <c r="K10" i="3"/>
  <c r="P29" i="3"/>
  <c r="P70" i="3"/>
  <c r="P36" i="3"/>
  <c r="K39" i="3"/>
  <c r="AH86" i="3"/>
  <c r="K45" i="3"/>
  <c r="P71" i="3"/>
  <c r="P24" i="3"/>
  <c r="AJ86" i="3"/>
  <c r="P76" i="3"/>
  <c r="P10" i="3"/>
  <c r="AL80" i="3"/>
  <c r="AF86" i="3"/>
  <c r="K16" i="3"/>
  <c r="K69" i="3"/>
  <c r="P27" i="3"/>
  <c r="P17" i="3"/>
  <c r="P40" i="3"/>
  <c r="AT82" i="3"/>
  <c r="AH82" i="3"/>
  <c r="AT83" i="3"/>
  <c r="AI83" i="3"/>
  <c r="AF85" i="3"/>
  <c r="P28" i="3"/>
  <c r="K12" i="3"/>
  <c r="K11" i="3"/>
  <c r="P23" i="3"/>
  <c r="K21" i="3"/>
  <c r="AJ80" i="3"/>
  <c r="AG87" i="3"/>
  <c r="AN80" i="3"/>
  <c r="AG80" i="3"/>
  <c r="AN81" i="3"/>
  <c r="K40" i="3"/>
  <c r="AN91" i="3"/>
  <c r="P42" i="3"/>
  <c r="K30" i="3"/>
  <c r="P48" i="3"/>
  <c r="P54" i="3"/>
  <c r="K17" i="3"/>
  <c r="K27" i="3"/>
  <c r="P69" i="3"/>
  <c r="AT80" i="3"/>
  <c r="AI80" i="3"/>
  <c r="AL81" i="3"/>
  <c r="AH87" i="3"/>
  <c r="K41" i="3"/>
  <c r="K53" i="3"/>
  <c r="K15" i="3"/>
  <c r="K48" i="3"/>
  <c r="K70" i="3"/>
  <c r="K51" i="3"/>
  <c r="AT81" i="3"/>
  <c r="AH81" i="3"/>
  <c r="AN87" i="3"/>
  <c r="AH91" i="3"/>
  <c r="AG81" i="3"/>
  <c r="AJ87" i="3"/>
  <c r="K76" i="3"/>
  <c r="K29" i="3"/>
  <c r="AT86" i="3"/>
  <c r="AI86" i="3"/>
  <c r="K28" i="3"/>
  <c r="K46" i="3"/>
  <c r="AL86" i="3"/>
  <c r="AG86" i="3"/>
  <c r="K78" i="3"/>
  <c r="K75" i="3"/>
  <c r="AJ81" i="3"/>
  <c r="AF81" i="3"/>
  <c r="AL87" i="3"/>
  <c r="AF87" i="3"/>
  <c r="P78" i="3"/>
  <c r="P75" i="3"/>
  <c r="P30" i="3"/>
  <c r="P77" i="3"/>
  <c r="K47" i="3"/>
  <c r="K42" i="3"/>
  <c r="K54" i="3"/>
  <c r="AN85" i="3"/>
  <c r="AH85" i="3"/>
  <c r="K77" i="3"/>
  <c r="AL91" i="3"/>
  <c r="AG91" i="3"/>
  <c r="AL85" i="3"/>
  <c r="AG85" i="3"/>
  <c r="K72" i="3"/>
  <c r="AJ91" i="3"/>
  <c r="AF91" i="3"/>
  <c r="AT91" i="3"/>
  <c r="AI91" i="3"/>
  <c r="P52" i="3"/>
  <c r="P53" i="3"/>
  <c r="K23" i="3"/>
  <c r="AL82" i="3"/>
  <c r="AI87" i="3"/>
  <c r="K52" i="3"/>
  <c r="AN92" i="3" l="1"/>
  <c r="AJ92" i="3"/>
  <c r="AH92" i="3"/>
  <c r="AG92" i="3"/>
  <c r="AL92" i="3"/>
  <c r="AM88" i="3" s="1"/>
  <c r="AF92" i="3"/>
  <c r="AS92" i="3"/>
  <c r="AI92" i="3"/>
  <c r="AM86" i="3" l="1"/>
  <c r="AM83" i="3"/>
  <c r="AM81" i="3"/>
  <c r="AM89" i="3"/>
  <c r="AM84" i="3"/>
  <c r="AM82" i="3"/>
  <c r="AM87" i="3"/>
  <c r="AM90" i="3"/>
  <c r="AM85" i="3"/>
  <c r="AM80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AP85" i="3" l="1"/>
  <c r="AP88" i="3"/>
  <c r="AP80" i="3"/>
  <c r="AP89" i="3"/>
  <c r="AP83" i="3"/>
  <c r="AP84" i="3"/>
  <c r="AP91" i="3"/>
  <c r="AP90" i="3"/>
  <c r="AP81" i="3"/>
  <c r="AP82" i="3"/>
  <c r="AP86" i="3"/>
  <c r="AD87" i="3" l="1"/>
  <c r="AS87" i="3" s="1"/>
  <c r="AD84" i="3"/>
  <c r="AS84" i="3" s="1"/>
  <c r="AD81" i="3"/>
  <c r="AS81" i="3" s="1"/>
  <c r="AD86" i="3"/>
  <c r="AS86" i="3" s="1"/>
  <c r="AD90" i="3"/>
  <c r="AS90" i="3" s="1"/>
  <c r="AD85" i="3"/>
  <c r="AS85" i="3" s="1"/>
  <c r="AD89" i="3"/>
  <c r="AS89" i="3" s="1"/>
  <c r="AD91" i="3"/>
  <c r="AS91" i="3" s="1"/>
  <c r="AD80" i="3"/>
  <c r="AR80" i="3" s="1"/>
  <c r="AD82" i="3"/>
  <c r="AS82" i="3" s="1"/>
  <c r="AD88" i="3"/>
  <c r="AS88" i="3" s="1"/>
  <c r="AD83" i="3"/>
  <c r="AS83" i="3" s="1"/>
  <c r="N82" i="3" l="1"/>
  <c r="M82" i="3"/>
  <c r="L81" i="3"/>
  <c r="N83" i="3"/>
  <c r="N81" i="3"/>
  <c r="J82" i="3"/>
  <c r="L82" i="3"/>
  <c r="M83" i="3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O83" i="3"/>
  <c r="L83" i="3"/>
  <c r="L85" i="3"/>
  <c r="M90" i="3"/>
  <c r="O88" i="3"/>
  <c r="J84" i="3"/>
  <c r="J91" i="3"/>
  <c r="J89" i="3"/>
  <c r="O85" i="3"/>
  <c r="M92" i="3"/>
  <c r="M84" i="3"/>
  <c r="L92" i="3"/>
  <c r="N85" i="3"/>
  <c r="O91" i="3"/>
  <c r="J85" i="3"/>
  <c r="L89" i="3"/>
  <c r="N86" i="3"/>
  <c r="O89" i="3"/>
  <c r="M91" i="3"/>
  <c r="M89" i="3"/>
  <c r="M81" i="3"/>
  <c r="L87" i="3"/>
  <c r="J90" i="3"/>
  <c r="O82" i="3"/>
  <c r="O81" i="3"/>
  <c r="N89" i="3"/>
  <c r="N87" i="3"/>
  <c r="L90" i="3"/>
  <c r="O90" i="3"/>
  <c r="J88" i="3"/>
  <c r="L91" i="3"/>
  <c r="P91" i="3" s="1"/>
  <c r="L88" i="3"/>
  <c r="M87" i="3"/>
  <c r="N88" i="3"/>
  <c r="O84" i="3"/>
  <c r="J83" i="3"/>
  <c r="M86" i="3"/>
  <c r="N92" i="3"/>
  <c r="L86" i="3"/>
  <c r="J81" i="3"/>
  <c r="N91" i="3"/>
  <c r="O92" i="3"/>
  <c r="O86" i="3"/>
  <c r="N90" i="3"/>
  <c r="J86" i="3"/>
  <c r="L84" i="3"/>
  <c r="M85" i="3"/>
  <c r="O87" i="3"/>
  <c r="J87" i="3"/>
  <c r="N84" i="3"/>
  <c r="J92" i="3"/>
  <c r="M88" i="3"/>
  <c r="P88" i="3" s="1"/>
  <c r="AS80" i="3"/>
  <c r="P85" i="3" l="1"/>
  <c r="K82" i="3"/>
  <c r="K85" i="3"/>
  <c r="P82" i="3"/>
  <c r="P92" i="3"/>
  <c r="P84" i="3"/>
  <c r="K83" i="3"/>
  <c r="K91" i="3"/>
  <c r="K92" i="3"/>
  <c r="P83" i="3"/>
  <c r="P89" i="3"/>
  <c r="P87" i="3"/>
  <c r="K81" i="3"/>
  <c r="K84" i="3"/>
  <c r="K89" i="3"/>
  <c r="F3" i="4"/>
  <c r="BL35" i="3" s="1"/>
  <c r="E3" i="4"/>
  <c r="B3" i="4"/>
  <c r="J3" i="4"/>
  <c r="H3" i="4"/>
  <c r="BL39" i="3" s="1"/>
  <c r="K3" i="4"/>
  <c r="G3" i="4"/>
  <c r="BL11" i="3" s="1"/>
  <c r="P86" i="3"/>
  <c r="P81" i="3"/>
  <c r="K87" i="3"/>
  <c r="K88" i="3"/>
  <c r="K90" i="3"/>
  <c r="D3" i="4"/>
  <c r="BL51" i="3" s="1"/>
  <c r="I3" i="4"/>
  <c r="BL15" i="3" s="1"/>
  <c r="K86" i="3"/>
  <c r="P90" i="3"/>
  <c r="BS53" i="3"/>
  <c r="BL55" i="3"/>
  <c r="BS52" i="3"/>
  <c r="BS69" i="3"/>
  <c r="BL71" i="3"/>
  <c r="BS68" i="3"/>
  <c r="BL67" i="3"/>
  <c r="BZ49" i="3" l="1"/>
  <c r="CG55" i="3" s="1"/>
  <c r="CN49" i="3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<sst xmlns="http://schemas.openxmlformats.org/spreadsheetml/2006/main" count="9785" uniqueCount="3699">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</sst>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11.png"/><Relationship Id="rId34" Type="http://schemas.openxmlformats.org/officeDocument/2006/relationships/image" Target="../media/image34.svg"/><Relationship Id="rId42" Type="http://schemas.openxmlformats.org/officeDocument/2006/relationships/image" Target="../media/image25.jpeg"/><Relationship Id="rId47" Type="http://schemas.openxmlformats.org/officeDocument/2006/relationships/image" Target="../media/image30.jpeg"/><Relationship Id="rId50" Type="http://schemas.openxmlformats.org/officeDocument/2006/relationships/image" Target="../media/image33.jpeg"/><Relationship Id="rId55" Type="http://schemas.openxmlformats.org/officeDocument/2006/relationships/image" Target="../media/image38.jpeg"/><Relationship Id="rId63" Type="http://schemas.openxmlformats.org/officeDocument/2006/relationships/image" Target="../media/image46.jpeg"/><Relationship Id="rId7" Type="http://schemas.openxmlformats.org/officeDocument/2006/relationships/image" Target="../media/image4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15.png"/><Relationship Id="rId11" Type="http://schemas.openxmlformats.org/officeDocument/2006/relationships/image" Target="../media/image6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20.jpeg"/><Relationship Id="rId40" Type="http://schemas.openxmlformats.org/officeDocument/2006/relationships/image" Target="../media/image23.jpeg"/><Relationship Id="rId45" Type="http://schemas.openxmlformats.org/officeDocument/2006/relationships/image" Target="../media/image28.jpeg"/><Relationship Id="rId53" Type="http://schemas.openxmlformats.org/officeDocument/2006/relationships/image" Target="../media/image36.jpeg"/><Relationship Id="rId58" Type="http://schemas.openxmlformats.org/officeDocument/2006/relationships/image" Target="../media/image41.jpeg"/><Relationship Id="rId66" Type="http://schemas.openxmlformats.org/officeDocument/2006/relationships/image" Target="../media/image49.jpeg"/><Relationship Id="rId5" Type="http://schemas.openxmlformats.org/officeDocument/2006/relationships/image" Target="../media/image3.png"/><Relationship Id="rId61" Type="http://schemas.openxmlformats.org/officeDocument/2006/relationships/image" Target="../media/image44.jpeg"/><Relationship Id="rId19" Type="http://schemas.openxmlformats.org/officeDocument/2006/relationships/image" Target="../media/image10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14.png"/><Relationship Id="rId30" Type="http://schemas.openxmlformats.org/officeDocument/2006/relationships/image" Target="../media/image30.svg"/><Relationship Id="rId35" Type="http://schemas.openxmlformats.org/officeDocument/2006/relationships/image" Target="../media/image18.png"/><Relationship Id="rId43" Type="http://schemas.openxmlformats.org/officeDocument/2006/relationships/image" Target="../media/image26.jpeg"/><Relationship Id="rId48" Type="http://schemas.openxmlformats.org/officeDocument/2006/relationships/image" Target="../media/image31.jpeg"/><Relationship Id="rId56" Type="http://schemas.openxmlformats.org/officeDocument/2006/relationships/image" Target="../media/image39.jpeg"/><Relationship Id="rId64" Type="http://schemas.openxmlformats.org/officeDocument/2006/relationships/image" Target="../media/image47.jpeg"/><Relationship Id="rId8" Type="http://schemas.openxmlformats.org/officeDocument/2006/relationships/image" Target="../media/image8.svg"/><Relationship Id="rId51" Type="http://schemas.openxmlformats.org/officeDocument/2006/relationships/image" Target="../media/image34.jpeg"/><Relationship Id="rId3" Type="http://schemas.openxmlformats.org/officeDocument/2006/relationships/image" Target="../media/image2.png"/><Relationship Id="rId12" Type="http://schemas.openxmlformats.org/officeDocument/2006/relationships/image" Target="../media/image12.svg"/><Relationship Id="rId17" Type="http://schemas.openxmlformats.org/officeDocument/2006/relationships/image" Target="../media/image9.png"/><Relationship Id="rId25" Type="http://schemas.openxmlformats.org/officeDocument/2006/relationships/image" Target="../media/image13.png"/><Relationship Id="rId33" Type="http://schemas.openxmlformats.org/officeDocument/2006/relationships/image" Target="../media/image17.png"/><Relationship Id="rId38" Type="http://schemas.openxmlformats.org/officeDocument/2006/relationships/image" Target="../media/image21.jpeg"/><Relationship Id="rId46" Type="http://schemas.openxmlformats.org/officeDocument/2006/relationships/image" Target="../media/image29.jpeg"/><Relationship Id="rId59" Type="http://schemas.openxmlformats.org/officeDocument/2006/relationships/image" Target="../media/image42.jpeg"/><Relationship Id="rId20" Type="http://schemas.openxmlformats.org/officeDocument/2006/relationships/image" Target="../media/image20.svg"/><Relationship Id="rId41" Type="http://schemas.openxmlformats.org/officeDocument/2006/relationships/image" Target="../media/image24.jpeg"/><Relationship Id="rId54" Type="http://schemas.openxmlformats.org/officeDocument/2006/relationships/image" Target="../media/image37.jpeg"/><Relationship Id="rId62" Type="http://schemas.openxmlformats.org/officeDocument/2006/relationships/image" Target="../media/image45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8.png"/><Relationship Id="rId23" Type="http://schemas.openxmlformats.org/officeDocument/2006/relationships/image" Target="../media/image12.png"/><Relationship Id="rId28" Type="http://schemas.openxmlformats.org/officeDocument/2006/relationships/image" Target="../media/image28.svg"/><Relationship Id="rId36" Type="http://schemas.openxmlformats.org/officeDocument/2006/relationships/image" Target="../media/image19.png"/><Relationship Id="rId49" Type="http://schemas.openxmlformats.org/officeDocument/2006/relationships/image" Target="../media/image32.jpeg"/><Relationship Id="rId57" Type="http://schemas.openxmlformats.org/officeDocument/2006/relationships/image" Target="../media/image40.jpeg"/><Relationship Id="rId10" Type="http://schemas.openxmlformats.org/officeDocument/2006/relationships/image" Target="../media/image10.svg"/><Relationship Id="rId31" Type="http://schemas.openxmlformats.org/officeDocument/2006/relationships/image" Target="../media/image16.png"/><Relationship Id="rId44" Type="http://schemas.openxmlformats.org/officeDocument/2006/relationships/image" Target="../media/image27.jpeg"/><Relationship Id="rId52" Type="http://schemas.openxmlformats.org/officeDocument/2006/relationships/image" Target="../media/image35.jpeg"/><Relationship Id="rId60" Type="http://schemas.openxmlformats.org/officeDocument/2006/relationships/image" Target="../media/image43.jpeg"/><Relationship Id="rId65" Type="http://schemas.openxmlformats.org/officeDocument/2006/relationships/image" Target="../media/image48.jpeg"/><Relationship Id="rId4" Type="http://schemas.openxmlformats.org/officeDocument/2006/relationships/image" Target="../media/image4.svg"/><Relationship Id="rId9" Type="http://schemas.openxmlformats.org/officeDocument/2006/relationships/image" Target="../media/image5.png"/><Relationship Id="rId13" Type="http://schemas.openxmlformats.org/officeDocument/2006/relationships/image" Target="../media/image7.png"/><Relationship Id="rId18" Type="http://schemas.openxmlformats.org/officeDocument/2006/relationships/image" Target="../media/image18.svg"/><Relationship Id="rId39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xmlns="" id="{F51A19F6-415C-428E-AE45-6B8444E8C5C6}"/>
            </a:ext>
            <a:ext uri="{147F2762-F138-4A5C-976F-8EAC2B608ADB}">
              <a16:predDERef xmlns:a16="http://schemas.microsoft.com/office/drawing/2014/main" xmlns="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xmlns="" id="{1B46314B-96F4-4815-F17C-4CFD773C5BEE}"/>
            </a:ext>
            <a:ext uri="{147F2762-F138-4A5C-976F-8EAC2B608ADB}">
              <a16:predDERef xmlns:a16="http://schemas.microsoft.com/office/drawing/2014/main" xmlns="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xmlns="" id="{DD2796C7-63CF-A040-CAC6-694AE2C956E4}"/>
            </a:ext>
            <a:ext uri="{147F2762-F138-4A5C-976F-8EAC2B608ADB}">
              <a16:predDERef xmlns:a16="http://schemas.microsoft.com/office/drawing/2014/main" xmlns="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xmlns="" id="{40B6E916-F412-551A-9B8E-659085D4E61F}"/>
            </a:ext>
            <a:ext uri="{147F2762-F138-4A5C-976F-8EAC2B608ADB}">
              <a16:predDERef xmlns:a16="http://schemas.microsoft.com/office/drawing/2014/main" xmlns="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xmlns="" id="{1B863B75-27AB-03EF-340E-38758835B422}"/>
            </a:ext>
            <a:ext uri="{147F2762-F138-4A5C-976F-8EAC2B608ADB}">
              <a16:predDERef xmlns:a16="http://schemas.microsoft.com/office/drawing/2014/main" xmlns="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xmlns="" id="{F9F7A320-9819-4817-B1BF-EDB370E4FCEE}"/>
            </a:ext>
            <a:ext uri="{147F2762-F138-4A5C-976F-8EAC2B608ADB}">
              <a16:predDERef xmlns:a16="http://schemas.microsoft.com/office/drawing/2014/main" xmlns="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xmlns="" id="{4CAA2867-7516-4884-9806-DFE9C30E4882}"/>
            </a:ext>
            <a:ext uri="{147F2762-F138-4A5C-976F-8EAC2B608ADB}">
              <a16:predDERef xmlns:a16="http://schemas.microsoft.com/office/drawing/2014/main" xmlns="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xmlns="" id="{2ECC2E3A-3621-4470-849A-445866F91979}"/>
            </a:ext>
            <a:ext uri="{147F2762-F138-4A5C-976F-8EAC2B608ADB}">
              <a16:predDERef xmlns:a16="http://schemas.microsoft.com/office/drawing/2014/main" xmlns="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xmlns="" id="{22861624-4BEA-4E9A-ABFA-5D5439CE4101}"/>
            </a:ext>
            <a:ext uri="{147F2762-F138-4A5C-976F-8EAC2B608ADB}">
              <a16:predDERef xmlns:a16="http://schemas.microsoft.com/office/drawing/2014/main" xmlns="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xmlns="" id="{5C5EBB62-A95E-43F4-9140-2603EC615986}"/>
            </a:ext>
            <a:ext uri="{147F2762-F138-4A5C-976F-8EAC2B608ADB}">
              <a16:predDERef xmlns:a16="http://schemas.microsoft.com/office/drawing/2014/main" xmlns="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xmlns="" id="{3B7BDB38-DF6E-43BF-86FB-6A9B230F72ED}"/>
            </a:ext>
            <a:ext uri="{147F2762-F138-4A5C-976F-8EAC2B608ADB}">
              <a16:predDERef xmlns:a16="http://schemas.microsoft.com/office/drawing/2014/main" xmlns="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xmlns="" id="{17B10BFC-AE3E-46EC-A0E7-FB856C1C432E}"/>
            </a:ext>
            <a:ext uri="{147F2762-F138-4A5C-976F-8EAC2B608ADB}">
              <a16:predDERef xmlns:a16="http://schemas.microsoft.com/office/drawing/2014/main" xmlns="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xmlns="" id="{7B79FBDE-9EAD-4A8D-8194-73FC1A89727B}"/>
            </a:ext>
            <a:ext uri="{147F2762-F138-4A5C-976F-8EAC2B608ADB}">
              <a16:predDERef xmlns:a16="http://schemas.microsoft.com/office/drawing/2014/main" xmlns="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xmlns="" id="{AC5ABD82-A79E-43D6-A08A-526028B33D27}"/>
            </a:ext>
            <a:ext uri="{147F2762-F138-4A5C-976F-8EAC2B608ADB}">
              <a16:predDERef xmlns:a16="http://schemas.microsoft.com/office/drawing/2014/main" xmlns="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xmlns="" id="{D3B1F9D8-1FB9-4CCC-AB18-8FC380654943}"/>
            </a:ext>
            <a:ext uri="{147F2762-F138-4A5C-976F-8EAC2B608ADB}">
              <a16:predDERef xmlns:a16="http://schemas.microsoft.com/office/drawing/2014/main" xmlns="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xmlns="" id="{4A4F891E-AB72-43C4-A284-70FCE9C97759}"/>
            </a:ext>
            <a:ext uri="{147F2762-F138-4A5C-976F-8EAC2B608ADB}">
              <a16:predDERef xmlns:a16="http://schemas.microsoft.com/office/drawing/2014/main" xmlns="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xmlns="" id="{319DA717-6C51-4F4D-BFFA-1D38C87BFD71}"/>
            </a:ext>
            <a:ext uri="{147F2762-F138-4A5C-976F-8EAC2B608ADB}">
              <a16:predDERef xmlns:a16="http://schemas.microsoft.com/office/drawing/2014/main" xmlns="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xmlns="" id="{632F5E0B-950B-4A04-BA6C-0436A596B91C}"/>
            </a:ext>
            <a:ext uri="{147F2762-F138-4A5C-976F-8EAC2B608ADB}">
              <a16:predDERef xmlns:a16="http://schemas.microsoft.com/office/drawing/2014/main" xmlns="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xmlns="" id="{F796A2AB-26EF-4897-93AC-402DBEAD10B1}"/>
            </a:ext>
            <a:ext uri="{147F2762-F138-4A5C-976F-8EAC2B608ADB}">
              <a16:predDERef xmlns:a16="http://schemas.microsoft.com/office/drawing/2014/main" xmlns="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xmlns="" id="{7B11A404-E79B-4E70-A731-103B739D09D1}"/>
            </a:ext>
            <a:ext uri="{147F2762-F138-4A5C-976F-8EAC2B608ADB}">
              <a16:predDERef xmlns:a16="http://schemas.microsoft.com/office/drawing/2014/main" xmlns="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xmlns="" id="{24837278-93DD-4EE9-B1B4-8AA3B6709C88}"/>
            </a:ext>
            <a:ext uri="{147F2762-F138-4A5C-976F-8EAC2B608ADB}">
              <a16:predDERef xmlns:a16="http://schemas.microsoft.com/office/drawing/2014/main" xmlns="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xmlns="" id="{F4C67D1C-DBC8-48F3-AEB4-717369EC7ADB}"/>
            </a:ext>
            <a:ext uri="{147F2762-F138-4A5C-976F-8EAC2B608ADB}">
              <a16:predDERef xmlns:a16="http://schemas.microsoft.com/office/drawing/2014/main" xmlns="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xmlns="" id="{36A088A0-E9DE-4E2B-820A-4ED4CEF4983C}"/>
            </a:ext>
            <a:ext uri="{147F2762-F138-4A5C-976F-8EAC2B608ADB}">
              <a16:predDERef xmlns:a16="http://schemas.microsoft.com/office/drawing/2014/main" xmlns="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xmlns="" id="{C6FF0E20-6461-4635-9D83-B6A8D8CDB869}"/>
            </a:ext>
            <a:ext uri="{147F2762-F138-4A5C-976F-8EAC2B608ADB}">
              <a16:predDERef xmlns:a16="http://schemas.microsoft.com/office/drawing/2014/main" xmlns="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xmlns="" id="{1D2DE972-42C3-4B35-9D9B-D44D3222DCB2}"/>
            </a:ext>
            <a:ext uri="{147F2762-F138-4A5C-976F-8EAC2B608ADB}">
              <a16:predDERef xmlns:a16="http://schemas.microsoft.com/office/drawing/2014/main" xmlns="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xmlns="" id="{45B79A5B-7180-4EF1-A10A-F4558F6895B9}"/>
            </a:ext>
            <a:ext uri="{147F2762-F138-4A5C-976F-8EAC2B608ADB}">
              <a16:predDERef xmlns:a16="http://schemas.microsoft.com/office/drawing/2014/main" xmlns="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xmlns="" id="{99219DA7-2B42-47C5-A117-23215AE09188}"/>
            </a:ext>
            <a:ext uri="{147F2762-F138-4A5C-976F-8EAC2B608ADB}">
              <a16:predDERef xmlns:a16="http://schemas.microsoft.com/office/drawing/2014/main" xmlns="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xmlns="" id="{34E4060E-64BF-4420-92E8-55ED4FDE1F2C}"/>
            </a:ext>
            <a:ext uri="{147F2762-F138-4A5C-976F-8EAC2B608ADB}">
              <a16:predDERef xmlns:a16="http://schemas.microsoft.com/office/drawing/2014/main" xmlns="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xmlns="" id="{E34D46EF-A7A1-49C2-8271-6B46C1F01729}"/>
            </a:ext>
            <a:ext uri="{147F2762-F138-4A5C-976F-8EAC2B608ADB}">
              <a16:predDERef xmlns:a16="http://schemas.microsoft.com/office/drawing/2014/main" xmlns="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xmlns="" id="{CE5C2639-EABA-4A03-8A6C-AF7B87EEBBC4}"/>
            </a:ext>
            <a:ext uri="{147F2762-F138-4A5C-976F-8EAC2B608ADB}">
              <a16:predDERef xmlns:a16="http://schemas.microsoft.com/office/drawing/2014/main" xmlns="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xmlns="" id="{895A885F-98CA-4F6A-9916-B0DAF4808B58}"/>
            </a:ext>
            <a:ext uri="{147F2762-F138-4A5C-976F-8EAC2B608ADB}">
              <a16:predDERef xmlns:a16="http://schemas.microsoft.com/office/drawing/2014/main" xmlns="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xmlns="" id="{23478721-E983-4248-9001-C89BDD9ABF4A}"/>
            </a:ext>
            <a:ext uri="{147F2762-F138-4A5C-976F-8EAC2B608ADB}">
              <a16:predDERef xmlns:a16="http://schemas.microsoft.com/office/drawing/2014/main" xmlns="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xmlns="" id="{914E9B18-87CA-4972-A74B-487A65254FBF}"/>
            </a:ext>
            <a:ext uri="{147F2762-F138-4A5C-976F-8EAC2B608ADB}">
              <a16:predDERef xmlns:a16="http://schemas.microsoft.com/office/drawing/2014/main" xmlns="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xmlns="" id="{6A835687-E18C-4E61-96BF-2CACA7028655}"/>
            </a:ext>
            <a:ext uri="{147F2762-F138-4A5C-976F-8EAC2B608ADB}">
              <a16:predDERef xmlns:a16="http://schemas.microsoft.com/office/drawing/2014/main" xmlns="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xmlns="" id="{0BB292AF-CF63-4D91-9FB2-B9D9255E9111}"/>
            </a:ext>
            <a:ext uri="{147F2762-F138-4A5C-976F-8EAC2B608ADB}">
              <a16:predDERef xmlns:a16="http://schemas.microsoft.com/office/drawing/2014/main" xmlns="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xmlns="" id="{D5A3DA86-7AE0-44D5-8116-38B4AF820308}"/>
            </a:ext>
            <a:ext uri="{147F2762-F138-4A5C-976F-8EAC2B608ADB}">
              <a16:predDERef xmlns:a16="http://schemas.microsoft.com/office/drawing/2014/main" xmlns="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xmlns="" id="{5538F9C8-A0F4-472F-8854-3DD951573486}"/>
            </a:ext>
            <a:ext uri="{147F2762-F138-4A5C-976F-8EAC2B608ADB}">
              <a16:predDERef xmlns:a16="http://schemas.microsoft.com/office/drawing/2014/main" xmlns="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xmlns="" id="{605DFDD4-24E5-4DCF-8C84-4031B2CF39C2}"/>
            </a:ext>
            <a:ext uri="{147F2762-F138-4A5C-976F-8EAC2B608ADB}">
              <a16:predDERef xmlns:a16="http://schemas.microsoft.com/office/drawing/2014/main" xmlns="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xmlns="" id="{BD0BD818-94C4-4B50-B510-C69C4DCC7841}"/>
            </a:ext>
            <a:ext uri="{147F2762-F138-4A5C-976F-8EAC2B608ADB}">
              <a16:predDERef xmlns:a16="http://schemas.microsoft.com/office/drawing/2014/main" xmlns="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xmlns="" id="{F8144853-86A7-442E-8925-6805C06536BF}"/>
            </a:ext>
            <a:ext uri="{147F2762-F138-4A5C-976F-8EAC2B608ADB}">
              <a16:predDERef xmlns:a16="http://schemas.microsoft.com/office/drawing/2014/main" xmlns="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xmlns="" id="{D9869385-E3E9-48AF-8AEA-A5C54A95F42B}"/>
            </a:ext>
            <a:ext uri="{147F2762-F138-4A5C-976F-8EAC2B608ADB}">
              <a16:predDERef xmlns:a16="http://schemas.microsoft.com/office/drawing/2014/main" xmlns="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xmlns="" id="{66D40F43-9FAC-461B-9600-C0A8D1D4DAFF}"/>
            </a:ext>
            <a:ext uri="{147F2762-F138-4A5C-976F-8EAC2B608ADB}">
              <a16:predDERef xmlns:a16="http://schemas.microsoft.com/office/drawing/2014/main" xmlns="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xmlns="" id="{B29E90D8-0ACB-42E6-8B0A-2F3AF5C2CD64}"/>
            </a:ext>
            <a:ext uri="{147F2762-F138-4A5C-976F-8EAC2B608ADB}">
              <a16:predDERef xmlns:a16="http://schemas.microsoft.com/office/drawing/2014/main" xmlns="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xmlns="" id="{2041A232-6C75-469A-8901-4D7B2E621DCC}"/>
            </a:ext>
            <a:ext uri="{147F2762-F138-4A5C-976F-8EAC2B608ADB}">
              <a16:predDERef xmlns:a16="http://schemas.microsoft.com/office/drawing/2014/main" xmlns="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xmlns="" id="{FE4B9485-F6AA-4F52-956A-7E1D92C37B10}"/>
            </a:ext>
            <a:ext uri="{147F2762-F138-4A5C-976F-8EAC2B608ADB}">
              <a16:predDERef xmlns:a16="http://schemas.microsoft.com/office/drawing/2014/main" xmlns="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xmlns="" id="{1E9ADE1C-28E2-4F40-B825-0D86951080F6}"/>
            </a:ext>
            <a:ext uri="{147F2762-F138-4A5C-976F-8EAC2B608ADB}">
              <a16:predDERef xmlns:a16="http://schemas.microsoft.com/office/drawing/2014/main" xmlns="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xmlns="" id="{7D2B5624-F239-4AEC-AEB0-88500E4118FA}"/>
            </a:ext>
            <a:ext uri="{147F2762-F138-4A5C-976F-8EAC2B608ADB}">
              <a16:predDERef xmlns:a16="http://schemas.microsoft.com/office/drawing/2014/main" xmlns="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xmlns="" id="{49B0B1E0-79B7-4827-AFB1-4DCA0DF62F5E}"/>
            </a:ext>
            <a:ext uri="{147F2762-F138-4A5C-976F-8EAC2B608ADB}">
              <a16:predDERef xmlns:a16="http://schemas.microsoft.com/office/drawing/2014/main" xmlns="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BB6D60D7-263B-2905-A703-4417C42B4357}"/>
            </a:ext>
            <a:ext uri="{147F2762-F138-4A5C-976F-8EAC2B608ADB}">
              <a16:predDERef xmlns:a16="http://schemas.microsoft.com/office/drawing/2014/main" xmlns="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BE1B5D36-C0A1-4E50-88CB-FDADEE6396CE}"/>
            </a:ext>
            <a:ext uri="{147F2762-F138-4A5C-976F-8EAC2B608ADB}">
              <a16:predDERef xmlns:a16="http://schemas.microsoft.com/office/drawing/2014/main" xmlns="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C031B59A-81A8-4F0E-AA68-4D7B043C698D}"/>
            </a:ext>
            <a:ext uri="{147F2762-F138-4A5C-976F-8EAC2B608ADB}">
              <a16:predDERef xmlns:a16="http://schemas.microsoft.com/office/drawing/2014/main" xmlns="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69EE8444-1F25-2356-F4A0-9AA849A76C50}"/>
            </a:ext>
            <a:ext uri="{147F2762-F138-4A5C-976F-8EAC2B608ADB}">
              <a16:predDERef xmlns:a16="http://schemas.microsoft.com/office/drawing/2014/main" xmlns="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D0739553-C807-45C2-8E0C-C1E8D304CA8A}"/>
            </a:ext>
            <a:ext uri="{147F2762-F138-4A5C-976F-8EAC2B608ADB}">
              <a16:predDERef xmlns:a16="http://schemas.microsoft.com/office/drawing/2014/main" xmlns="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xmlns="" id="{847CA9E4-7471-494A-8D45-FE9AFE54E8FD}"/>
            </a:ext>
            <a:ext uri="{147F2762-F138-4A5C-976F-8EAC2B608ADB}">
              <a16:predDERef xmlns:a16="http://schemas.microsoft.com/office/drawing/2014/main" xmlns="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xmlns="" id="{4383D23F-95CC-44E7-F347-5683F4589692}"/>
            </a:ext>
            <a:ext uri="{147F2762-F138-4A5C-976F-8EAC2B608ADB}">
              <a16:predDERef xmlns:a16="http://schemas.microsoft.com/office/drawing/2014/main" xmlns="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xmlns="" id="{8B0F07F1-CACA-B80C-9E7E-82D6DBAFAEAD}"/>
            </a:ext>
            <a:ext uri="{147F2762-F138-4A5C-976F-8EAC2B608ADB}">
              <a16:predDERef xmlns:a16="http://schemas.microsoft.com/office/drawing/2014/main" xmlns="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xmlns="" id="{5EC2B216-D836-45D8-8687-C70EE6030040}"/>
            </a:ext>
            <a:ext uri="{147F2762-F138-4A5C-976F-8EAC2B608ADB}">
              <a16:predDERef xmlns:a16="http://schemas.microsoft.com/office/drawing/2014/main" xmlns="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xmlns="" id="{AB6E75E2-D7BB-4FA9-93F5-63B0296369A7}"/>
            </a:ext>
            <a:ext uri="{147F2762-F138-4A5C-976F-8EAC2B608ADB}">
              <a16:predDERef xmlns:a16="http://schemas.microsoft.com/office/drawing/2014/main" xmlns="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xmlns="" id="{437C0994-7F98-40EB-905D-E5E44D2B304B}"/>
            </a:ext>
            <a:ext uri="{147F2762-F138-4A5C-976F-8EAC2B608ADB}">
              <a16:predDERef xmlns:a16="http://schemas.microsoft.com/office/drawing/2014/main" xmlns="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xmlns="" id="{C16ACF93-8809-49B5-A1C7-6D4825FAD0E8}"/>
            </a:ext>
            <a:ext uri="{147F2762-F138-4A5C-976F-8EAC2B608ADB}">
              <a16:predDERef xmlns:a16="http://schemas.microsoft.com/office/drawing/2014/main" xmlns="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xmlns="" id="{D43BCD2C-6856-30EB-249D-4ABD75B8C5FA}"/>
            </a:ext>
            <a:ext uri="{147F2762-F138-4A5C-976F-8EAC2B608ADB}">
              <a16:predDERef xmlns:a16="http://schemas.microsoft.com/office/drawing/2014/main" xmlns="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xmlns="" id="{50CC640E-DC57-4408-A445-0690585C932E}"/>
            </a:ext>
            <a:ext uri="{147F2762-F138-4A5C-976F-8EAC2B608ADB}">
              <a16:predDERef xmlns:a16="http://schemas.microsoft.com/office/drawing/2014/main" xmlns="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xmlns="" id="{4491A8DE-4C7D-4A7F-91F7-654A69FABD2F}"/>
            </a:ext>
            <a:ext uri="{147F2762-F138-4A5C-976F-8EAC2B608ADB}">
              <a16:predDERef xmlns:a16="http://schemas.microsoft.com/office/drawing/2014/main" xmlns="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xmlns="" id="{F10288F3-340E-31EB-D5F3-1743FD0B3316}"/>
            </a:ext>
            <a:ext uri="{147F2762-F138-4A5C-976F-8EAC2B608ADB}">
              <a16:predDERef xmlns:a16="http://schemas.microsoft.com/office/drawing/2014/main" xmlns="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xmlns="" id="{81A30AF2-AAF9-4147-85D7-78FF27D522C5}"/>
            </a:ext>
            <a:ext uri="{147F2762-F138-4A5C-976F-8EAC2B608ADB}">
              <a16:predDERef xmlns:a16="http://schemas.microsoft.com/office/drawing/2014/main" xmlns="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xmlns="" id="{99A09E97-3C00-4DBA-8301-04FB23CA2A5C}"/>
            </a:ext>
            <a:ext uri="{147F2762-F138-4A5C-976F-8EAC2B608ADB}">
              <a16:predDERef xmlns:a16="http://schemas.microsoft.com/office/drawing/2014/main" xmlns="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xmlns="" id="{72EA11BF-CA51-52E5-F4E9-630CE4982DFA}"/>
            </a:ext>
            <a:ext uri="{147F2762-F138-4A5C-976F-8EAC2B608ADB}">
              <a16:predDERef xmlns:a16="http://schemas.microsoft.com/office/drawing/2014/main" xmlns="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xmlns="" id="{52BD69E4-E968-4B71-B47D-370F99BCA0D6}"/>
            </a:ext>
            <a:ext uri="{147F2762-F138-4A5C-976F-8EAC2B608ADB}">
              <a16:predDERef xmlns:a16="http://schemas.microsoft.com/office/drawing/2014/main" xmlns="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xmlns="" id="{3CCE7B5F-C44C-4BB2-B714-87A9AF6C134E}"/>
            </a:ext>
            <a:ext uri="{147F2762-F138-4A5C-976F-8EAC2B608ADB}">
              <a16:predDERef xmlns:a16="http://schemas.microsoft.com/office/drawing/2014/main" xmlns="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xmlns="" id="{27766BD1-06AD-C18B-F134-FD484D5341A6}"/>
            </a:ext>
            <a:ext uri="{147F2762-F138-4A5C-976F-8EAC2B608ADB}">
              <a16:predDERef xmlns:a16="http://schemas.microsoft.com/office/drawing/2014/main" xmlns="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xmlns="" id="{C4B92765-1367-404F-A79F-C9AD30ACC023}"/>
            </a:ext>
            <a:ext uri="{147F2762-F138-4A5C-976F-8EAC2B608ADB}">
              <a16:predDERef xmlns:a16="http://schemas.microsoft.com/office/drawing/2014/main" xmlns="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xmlns="" id="{9B133708-FEC3-4B81-8B27-27A17D261279}"/>
            </a:ext>
            <a:ext uri="{147F2762-F138-4A5C-976F-8EAC2B608ADB}">
              <a16:predDERef xmlns:a16="http://schemas.microsoft.com/office/drawing/2014/main" xmlns="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xmlns="" id="{51D84315-7B60-FFFB-C340-A001D0A5FF07}"/>
            </a:ext>
            <a:ext uri="{147F2762-F138-4A5C-976F-8EAC2B608ADB}">
              <a16:predDERef xmlns:a16="http://schemas.microsoft.com/office/drawing/2014/main" xmlns="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xmlns="" id="{7597E444-EDCC-403A-A2D9-9CBFDE5DE51C}"/>
            </a:ext>
            <a:ext uri="{147F2762-F138-4A5C-976F-8EAC2B608ADB}">
              <a16:predDERef xmlns:a16="http://schemas.microsoft.com/office/drawing/2014/main" xmlns="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xmlns="" id="{A6275DFE-A44B-4640-B04D-AED21754C274}"/>
            </a:ext>
            <a:ext uri="{147F2762-F138-4A5C-976F-8EAC2B608ADB}">
              <a16:predDERef xmlns:a16="http://schemas.microsoft.com/office/drawing/2014/main" xmlns="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xmlns="" id="{345EE2B6-4254-4757-A17A-E588F3FF68D1}"/>
            </a:ext>
            <a:ext uri="{147F2762-F138-4A5C-976F-8EAC2B608ADB}">
              <a16:predDERef xmlns:a16="http://schemas.microsoft.com/office/drawing/2014/main" xmlns="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xmlns="" id="{869D3DB6-1929-49D0-932F-7437024DE66D}"/>
            </a:ext>
            <a:ext uri="{147F2762-F138-4A5C-976F-8EAC2B608ADB}">
              <a16:predDERef xmlns:a16="http://schemas.microsoft.com/office/drawing/2014/main" xmlns="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xmlns="" id="{010337C5-CF48-44DE-A32D-2BC9C520099F}"/>
            </a:ext>
            <a:ext uri="{147F2762-F138-4A5C-976F-8EAC2B608ADB}">
              <a16:predDERef xmlns:a16="http://schemas.microsoft.com/office/drawing/2014/main" xmlns="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xmlns="" id="{DFC93723-4221-C3D7-F719-7819AE9485BA}"/>
            </a:ext>
            <a:ext uri="{147F2762-F138-4A5C-976F-8EAC2B608ADB}">
              <a16:predDERef xmlns:a16="http://schemas.microsoft.com/office/drawing/2014/main" xmlns="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xmlns="" id="{29EA175C-4B47-4A09-AF7C-2432E57EE030}"/>
            </a:ext>
            <a:ext uri="{147F2762-F138-4A5C-976F-8EAC2B608ADB}">
              <a16:predDERef xmlns:a16="http://schemas.microsoft.com/office/drawing/2014/main" xmlns="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xmlns="" id="{73AEA0E1-7CF9-49AB-8A6F-BF04537168F5}"/>
            </a:ext>
            <a:ext uri="{147F2762-F138-4A5C-976F-8EAC2B608ADB}">
              <a16:predDERef xmlns:a16="http://schemas.microsoft.com/office/drawing/2014/main" xmlns="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xmlns="" id="{9ED42E84-6C21-450C-999C-39421CF91D08}"/>
            </a:ext>
            <a:ext uri="{147F2762-F138-4A5C-976F-8EAC2B608ADB}">
              <a16:predDERef xmlns:a16="http://schemas.microsoft.com/office/drawing/2014/main" xmlns="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xmlns="" id="{61770197-C4C3-4510-8FFE-B312E09827E7}"/>
            </a:ext>
            <a:ext uri="{147F2762-F138-4A5C-976F-8EAC2B608ADB}">
              <a16:predDERef xmlns:a16="http://schemas.microsoft.com/office/drawing/2014/main" xmlns="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xmlns="" id="{F068B2FF-8EDA-33E5-40CE-E16D2A3EF311}"/>
            </a:ext>
            <a:ext uri="{147F2762-F138-4A5C-976F-8EAC2B608ADB}">
              <a16:predDERef xmlns:a16="http://schemas.microsoft.com/office/drawing/2014/main" xmlns="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xmlns="" id="{A7A78207-A08D-41CC-AA47-8B1BA5E27D5F}"/>
            </a:ext>
            <a:ext uri="{147F2762-F138-4A5C-976F-8EAC2B608ADB}">
              <a16:predDERef xmlns:a16="http://schemas.microsoft.com/office/drawing/2014/main" xmlns="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xmlns="" id="{9DBE3F33-0403-456B-B4B8-1E91BB1BA8B9}"/>
            </a:ext>
            <a:ext uri="{147F2762-F138-4A5C-976F-8EAC2B608ADB}">
              <a16:predDERef xmlns:a16="http://schemas.microsoft.com/office/drawing/2014/main" xmlns="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xmlns="" id="{202897AA-DDF6-4593-8863-955ADF52A029}"/>
            </a:ext>
            <a:ext uri="{147F2762-F138-4A5C-976F-8EAC2B608ADB}">
              <a16:predDERef xmlns:a16="http://schemas.microsoft.com/office/drawing/2014/main" xmlns="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xmlns="" id="{EC4F796A-976A-4D1A-A99F-A4DAD1E3B03B}"/>
            </a:ext>
            <a:ext uri="{147F2762-F138-4A5C-976F-8EAC2B608ADB}">
              <a16:predDERef xmlns:a16="http://schemas.microsoft.com/office/drawing/2014/main" xmlns="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xmlns="" id="{CAD0A170-AEE0-4773-8608-BDCE577B3783}"/>
            </a:ext>
            <a:ext uri="{147F2762-F138-4A5C-976F-8EAC2B608ADB}">
              <a16:predDERef xmlns:a16="http://schemas.microsoft.com/office/drawing/2014/main" xmlns="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xmlns="" id="{F0E9C929-8FCA-12A2-FFC0-4B473B22CB76}"/>
            </a:ext>
            <a:ext uri="{147F2762-F138-4A5C-976F-8EAC2B608ADB}">
              <a16:predDERef xmlns:a16="http://schemas.microsoft.com/office/drawing/2014/main" xmlns="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xmlns="" id="{1AC42D6E-85FE-49C9-97F4-B291E1538138}"/>
            </a:ext>
            <a:ext uri="{147F2762-F138-4A5C-976F-8EAC2B608ADB}">
              <a16:predDERef xmlns:a16="http://schemas.microsoft.com/office/drawing/2014/main" xmlns="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xmlns="" id="{DA269B76-E247-48A7-BB6E-61336BBE7F43}"/>
            </a:ext>
            <a:ext uri="{147F2762-F138-4A5C-976F-8EAC2B608ADB}">
              <a16:predDERef xmlns:a16="http://schemas.microsoft.com/office/drawing/2014/main" xmlns="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xmlns="" id="{42BE210D-9B31-6BD2-97A1-AAE93B7E7EF7}"/>
            </a:ext>
            <a:ext uri="{147F2762-F138-4A5C-976F-8EAC2B608ADB}">
              <a16:predDERef xmlns:a16="http://schemas.microsoft.com/office/drawing/2014/main" xmlns="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xmlns="" id="{7BFCCDE7-B76F-4E04-A483-859E0B88B19A}"/>
            </a:ext>
            <a:ext uri="{147F2762-F138-4A5C-976F-8EAC2B608ADB}">
              <a16:predDERef xmlns:a16="http://schemas.microsoft.com/office/drawing/2014/main" xmlns="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xmlns="" id="{E57668A2-C937-4BB1-8E0A-C138846A902B}"/>
            </a:ext>
            <a:ext uri="{147F2762-F138-4A5C-976F-8EAC2B608ADB}">
              <a16:predDERef xmlns:a16="http://schemas.microsoft.com/office/drawing/2014/main" xmlns="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xmlns="" id="{C196E4D8-8C61-AC6E-8410-08C8A794DFC1}"/>
            </a:ext>
            <a:ext uri="{147F2762-F138-4A5C-976F-8EAC2B608ADB}">
              <a16:predDERef xmlns:a16="http://schemas.microsoft.com/office/drawing/2014/main" xmlns="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xmlns="" id="{4DF58BED-8D8C-4C50-97F6-E4630ED8C319}"/>
            </a:ext>
            <a:ext uri="{147F2762-F138-4A5C-976F-8EAC2B608ADB}">
              <a16:predDERef xmlns:a16="http://schemas.microsoft.com/office/drawing/2014/main" xmlns="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xmlns="" id="{72B4D245-49FF-45DB-A827-8BE8A1A8B48F}"/>
            </a:ext>
            <a:ext uri="{147F2762-F138-4A5C-976F-8EAC2B608ADB}">
              <a16:predDERef xmlns:a16="http://schemas.microsoft.com/office/drawing/2014/main" xmlns="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xmlns="" id="{0B455958-3603-1715-E2F5-6FB6F0CECE86}"/>
            </a:ext>
            <a:ext uri="{147F2762-F138-4A5C-976F-8EAC2B608ADB}">
              <a16:predDERef xmlns:a16="http://schemas.microsoft.com/office/drawing/2014/main" xmlns="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xmlns="" id="{098924BF-98E1-1FE5-2B9D-308786AA69E7}"/>
            </a:ext>
            <a:ext uri="{147F2762-F138-4A5C-976F-8EAC2B608ADB}">
              <a16:predDERef xmlns:a16="http://schemas.microsoft.com/office/drawing/2014/main" xmlns="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xmlns="" id="{88179672-29A1-458E-A299-B8EC1111A123}"/>
            </a:ext>
            <a:ext uri="{147F2762-F138-4A5C-976F-8EAC2B608ADB}">
              <a16:predDERef xmlns:a16="http://schemas.microsoft.com/office/drawing/2014/main" xmlns="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xmlns="" id="{E21C3AC7-2626-421F-91DF-9CA29ADCAAA7}"/>
            </a:ext>
            <a:ext uri="{147F2762-F138-4A5C-976F-8EAC2B608ADB}">
              <a16:predDERef xmlns:a16="http://schemas.microsoft.com/office/drawing/2014/main" xmlns="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xmlns="" id="{A339F249-01B0-573D-1A51-832F90447E7F}"/>
            </a:ext>
            <a:ext uri="{147F2762-F138-4A5C-976F-8EAC2B608ADB}">
              <a16:predDERef xmlns:a16="http://schemas.microsoft.com/office/drawing/2014/main" xmlns="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xmlns="" id="{B1AC6EF9-7793-4689-A249-1B24963F6EFA}"/>
            </a:ext>
            <a:ext uri="{147F2762-F138-4A5C-976F-8EAC2B608ADB}">
              <a16:predDERef xmlns:a16="http://schemas.microsoft.com/office/drawing/2014/main" xmlns="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xmlns="" id="{4191B125-922F-4D8D-927A-F296134E6639}"/>
            </a:ext>
            <a:ext uri="{147F2762-F138-4A5C-976F-8EAC2B608ADB}">
              <a16:predDERef xmlns:a16="http://schemas.microsoft.com/office/drawing/2014/main" xmlns="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xmlns="" id="{FB6A1F23-356F-03C8-89A9-A58D53733FA6}"/>
            </a:ext>
            <a:ext uri="{147F2762-F138-4A5C-976F-8EAC2B608ADB}">
              <a16:predDERef xmlns:a16="http://schemas.microsoft.com/office/drawing/2014/main" xmlns="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xmlns="" id="{30F1C7B3-F84D-454E-9558-C12993D76B14}"/>
            </a:ext>
            <a:ext uri="{147F2762-F138-4A5C-976F-8EAC2B608ADB}">
              <a16:predDERef xmlns:a16="http://schemas.microsoft.com/office/drawing/2014/main" xmlns="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xmlns="" id="{77FD7135-3C30-4340-A2CD-50300F9A1557}"/>
            </a:ext>
            <a:ext uri="{147F2762-F138-4A5C-976F-8EAC2B608ADB}">
              <a16:predDERef xmlns:a16="http://schemas.microsoft.com/office/drawing/2014/main" xmlns="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xmlns="" id="{B8298630-2532-ECAB-1AE9-D392529F0BB3}"/>
            </a:ext>
            <a:ext uri="{147F2762-F138-4A5C-976F-8EAC2B608ADB}">
              <a16:predDERef xmlns:a16="http://schemas.microsoft.com/office/drawing/2014/main" xmlns="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xmlns="" id="{81DA73B2-C784-4149-AF54-35F3E7EBC024}"/>
            </a:ext>
            <a:ext uri="{147F2762-F138-4A5C-976F-8EAC2B608ADB}">
              <a16:predDERef xmlns:a16="http://schemas.microsoft.com/office/drawing/2014/main" xmlns="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xmlns="" id="{E70919BA-D6FE-4669-948B-442CB9B5351B}"/>
            </a:ext>
            <a:ext uri="{147F2762-F138-4A5C-976F-8EAC2B608ADB}">
              <a16:predDERef xmlns:a16="http://schemas.microsoft.com/office/drawing/2014/main" xmlns="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xmlns="" id="{30FB3D2B-1857-4524-39E8-414D7241839F}"/>
            </a:ext>
            <a:ext uri="{147F2762-F138-4A5C-976F-8EAC2B608ADB}">
              <a16:predDERef xmlns:a16="http://schemas.microsoft.com/office/drawing/2014/main" xmlns="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xmlns="" id="{B3E0B716-3F31-49AB-B0DF-A7A5D062DAFF}"/>
            </a:ext>
            <a:ext uri="{147F2762-F138-4A5C-976F-8EAC2B608ADB}">
              <a16:predDERef xmlns:a16="http://schemas.microsoft.com/office/drawing/2014/main" xmlns="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xmlns="" id="{7BF3C833-4DBD-4384-8E02-297FBF928C0B}"/>
            </a:ext>
            <a:ext uri="{147F2762-F138-4A5C-976F-8EAC2B608ADB}">
              <a16:predDERef xmlns:a16="http://schemas.microsoft.com/office/drawing/2014/main" xmlns="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xmlns="" id="{3145E025-B580-5C4D-0669-0156CE68637F}"/>
            </a:ext>
            <a:ext uri="{147F2762-F138-4A5C-976F-8EAC2B608ADB}">
              <a16:predDERef xmlns:a16="http://schemas.microsoft.com/office/drawing/2014/main" xmlns="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xmlns="" id="{F422FA4D-C1F2-45D0-8FF3-1CD9CC3E692C}"/>
            </a:ext>
            <a:ext uri="{147F2762-F138-4A5C-976F-8EAC2B608ADB}">
              <a16:predDERef xmlns:a16="http://schemas.microsoft.com/office/drawing/2014/main" xmlns="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xmlns="" id="{AA774F6A-C08D-4E8A-B9CA-102E1E878606}"/>
            </a:ext>
            <a:ext uri="{147F2762-F138-4A5C-976F-8EAC2B608ADB}">
              <a16:predDERef xmlns:a16="http://schemas.microsoft.com/office/drawing/2014/main" xmlns="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xmlns="" id="{67C0255F-509C-57CF-A97D-D7B4864AF9B0}"/>
            </a:ext>
            <a:ext uri="{147F2762-F138-4A5C-976F-8EAC2B608ADB}">
              <a16:predDERef xmlns:a16="http://schemas.microsoft.com/office/drawing/2014/main" xmlns="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xmlns="" id="{DDAF7E5B-4C05-4A74-9825-D0066FB7F2C9}"/>
            </a:ext>
            <a:ext uri="{147F2762-F138-4A5C-976F-8EAC2B608ADB}">
              <a16:predDERef xmlns:a16="http://schemas.microsoft.com/office/drawing/2014/main" xmlns="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xmlns="" id="{ABCFE893-7E10-4D50-8649-6191D4CF8087}"/>
            </a:ext>
            <a:ext uri="{147F2762-F138-4A5C-976F-8EAC2B608ADB}">
              <a16:predDERef xmlns:a16="http://schemas.microsoft.com/office/drawing/2014/main" xmlns="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xmlns="" id="{58FC111B-CF3D-5593-695F-0456FF709E87}"/>
            </a:ext>
            <a:ext uri="{147F2762-F138-4A5C-976F-8EAC2B608ADB}">
              <a16:predDERef xmlns:a16="http://schemas.microsoft.com/office/drawing/2014/main" xmlns="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xmlns="" id="{E7DE13C6-FF48-4A46-9940-7737996098C5}"/>
            </a:ext>
            <a:ext uri="{147F2762-F138-4A5C-976F-8EAC2B608ADB}">
              <a16:predDERef xmlns:a16="http://schemas.microsoft.com/office/drawing/2014/main" xmlns="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xmlns="" id="{2139952F-33EC-4355-8BE7-B04B9260378A}"/>
            </a:ext>
            <a:ext uri="{147F2762-F138-4A5C-976F-8EAC2B608ADB}">
              <a16:predDERef xmlns:a16="http://schemas.microsoft.com/office/drawing/2014/main" xmlns="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xmlns="" id="{70C438E8-24F9-7767-C915-3978A26D5BA7}"/>
            </a:ext>
            <a:ext uri="{147F2762-F138-4A5C-976F-8EAC2B608ADB}">
              <a16:predDERef xmlns:a16="http://schemas.microsoft.com/office/drawing/2014/main" xmlns="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xmlns="" id="{935F9792-7EAA-40AD-AE13-7E60491755D6}"/>
            </a:ext>
            <a:ext uri="{147F2762-F138-4A5C-976F-8EAC2B608ADB}">
              <a16:predDERef xmlns:a16="http://schemas.microsoft.com/office/drawing/2014/main" xmlns="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xmlns="" id="{F4CC0F33-1C5C-4DE7-B21C-F8C30F59532F}"/>
            </a:ext>
            <a:ext uri="{147F2762-F138-4A5C-976F-8EAC2B608ADB}">
              <a16:predDERef xmlns:a16="http://schemas.microsoft.com/office/drawing/2014/main" xmlns="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xmlns="" id="{652CB5AB-A8A7-F9DF-276D-0D5BE7748231}"/>
            </a:ext>
            <a:ext uri="{147F2762-F138-4A5C-976F-8EAC2B608ADB}">
              <a16:predDERef xmlns:a16="http://schemas.microsoft.com/office/drawing/2014/main" xmlns="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xmlns="" id="{EF2907EB-5792-494A-94FA-8D1ED0F5A786}"/>
            </a:ext>
            <a:ext uri="{147F2762-F138-4A5C-976F-8EAC2B608ADB}">
              <a16:predDERef xmlns:a16="http://schemas.microsoft.com/office/drawing/2014/main" xmlns="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xmlns="" id="{88D0F5DC-F4AC-44F1-B04D-9396174C4E0D}"/>
            </a:ext>
            <a:ext uri="{147F2762-F138-4A5C-976F-8EAC2B608ADB}">
              <a16:predDERef xmlns:a16="http://schemas.microsoft.com/office/drawing/2014/main" xmlns="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xmlns="" id="{CC2BA196-9E41-3B8D-76C8-CBAE66B8CF10}"/>
            </a:ext>
            <a:ext uri="{147F2762-F138-4A5C-976F-8EAC2B608ADB}">
              <a16:predDERef xmlns:a16="http://schemas.microsoft.com/office/drawing/2014/main" xmlns="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xmlns="" id="{D92FE3C3-C952-4938-9336-AB35291EA1FF}"/>
            </a:ext>
            <a:ext uri="{147F2762-F138-4A5C-976F-8EAC2B608ADB}">
              <a16:predDERef xmlns:a16="http://schemas.microsoft.com/office/drawing/2014/main" xmlns="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xmlns="" id="{78F1F27C-38CD-4B4B-91C1-2C270068EDF0}"/>
            </a:ext>
            <a:ext uri="{147F2762-F138-4A5C-976F-8EAC2B608ADB}">
              <a16:predDERef xmlns:a16="http://schemas.microsoft.com/office/drawing/2014/main" xmlns="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xmlns="" id="{AD3B7227-2DB1-FDC9-1F40-DEC7BD7DE41E}"/>
            </a:ext>
            <a:ext uri="{147F2762-F138-4A5C-976F-8EAC2B608ADB}">
              <a16:predDERef xmlns:a16="http://schemas.microsoft.com/office/drawing/2014/main" xmlns="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xmlns="" id="{6E7558E1-CF67-4B72-9E7D-25A3E79F51DC}"/>
            </a:ext>
            <a:ext uri="{147F2762-F138-4A5C-976F-8EAC2B608ADB}">
              <a16:predDERef xmlns:a16="http://schemas.microsoft.com/office/drawing/2014/main" xmlns="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xmlns="" id="{CBA7BA57-6D9A-440B-8719-5C4B1E9FCDD8}"/>
            </a:ext>
            <a:ext uri="{147F2762-F138-4A5C-976F-8EAC2B608ADB}">
              <a16:predDERef xmlns:a16="http://schemas.microsoft.com/office/drawing/2014/main" xmlns="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xmlns="" id="{F0ACA1BB-2892-8D8F-16BC-AAA469005846}"/>
            </a:ext>
            <a:ext uri="{147F2762-F138-4A5C-976F-8EAC2B608ADB}">
              <a16:predDERef xmlns:a16="http://schemas.microsoft.com/office/drawing/2014/main" xmlns="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xmlns="" id="{A66CD503-F508-4880-B9CB-2407BC8B2FC0}"/>
            </a:ext>
            <a:ext uri="{147F2762-F138-4A5C-976F-8EAC2B608ADB}">
              <a16:predDERef xmlns:a16="http://schemas.microsoft.com/office/drawing/2014/main" xmlns="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xmlns="" id="{96100DE2-9C01-42BF-A75E-FA6C48C4CB00}"/>
            </a:ext>
            <a:ext uri="{147F2762-F138-4A5C-976F-8EAC2B608ADB}">
              <a16:predDERef xmlns:a16="http://schemas.microsoft.com/office/drawing/2014/main" xmlns="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xmlns="" id="{BAADC898-EF39-F06B-280A-55C896BC6499}"/>
            </a:ext>
            <a:ext uri="{147F2762-F138-4A5C-976F-8EAC2B608ADB}">
              <a16:predDERef xmlns:a16="http://schemas.microsoft.com/office/drawing/2014/main" xmlns="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xmlns="" id="{06725317-788A-40D9-9A96-55B138349EED}"/>
            </a:ext>
            <a:ext uri="{147F2762-F138-4A5C-976F-8EAC2B608ADB}">
              <a16:predDERef xmlns:a16="http://schemas.microsoft.com/office/drawing/2014/main" xmlns="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xmlns="" id="{E5BCB6FE-DF8E-4E1C-A89E-02718ED35B2F}"/>
            </a:ext>
            <a:ext uri="{147F2762-F138-4A5C-976F-8EAC2B608ADB}">
              <a16:predDERef xmlns:a16="http://schemas.microsoft.com/office/drawing/2014/main" xmlns="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xmlns="" id="{A91A538F-459A-2E5C-F58D-BFE81A3AD270}"/>
            </a:ext>
            <a:ext uri="{147F2762-F138-4A5C-976F-8EAC2B608ADB}">
              <a16:predDERef xmlns:a16="http://schemas.microsoft.com/office/drawing/2014/main" xmlns="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xmlns="" id="{87CB918A-C8E8-4384-9086-8D45C8599E43}"/>
            </a:ext>
            <a:ext uri="{147F2762-F138-4A5C-976F-8EAC2B608ADB}">
              <a16:predDERef xmlns:a16="http://schemas.microsoft.com/office/drawing/2014/main" xmlns="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xmlns="" id="{9CEE2CED-EED2-41A6-AEB6-5520EAB59514}"/>
            </a:ext>
            <a:ext uri="{147F2762-F138-4A5C-976F-8EAC2B608ADB}">
              <a16:predDERef xmlns:a16="http://schemas.microsoft.com/office/drawing/2014/main" xmlns="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ht="14.45" x14ac:dyDescent="0.3">
      <c r="A145" s="1"/>
    </row>
    <row r="146" spans="1:42" ht="14.45" x14ac:dyDescent="0.3">
      <c r="A146" s="1"/>
    </row>
    <row r="147" spans="1:42" ht="14.45" x14ac:dyDescent="0.3">
      <c r="A147" s="1"/>
    </row>
    <row r="148" spans="1:42" ht="14.45" x14ac:dyDescent="0.3">
      <c r="A148" s="1"/>
    </row>
    <row r="149" spans="1:42" ht="14.45" x14ac:dyDescent="0.3">
      <c r="A149" s="1"/>
    </row>
    <row r="150" spans="1:42" ht="14.45" x14ac:dyDescent="0.3">
      <c r="A150" s="1"/>
    </row>
    <row r="151" spans="1:42" ht="14.45" x14ac:dyDescent="0.3">
      <c r="A151" s="1"/>
    </row>
    <row r="152" spans="1:42" ht="14.45" x14ac:dyDescent="0.3">
      <c r="A152" s="1"/>
    </row>
    <row r="153" spans="1:42" ht="14.45" x14ac:dyDescent="0.3">
      <c r="A153" s="1"/>
    </row>
    <row r="154" spans="1:42" ht="14.45" x14ac:dyDescent="0.3">
      <c r="A154" s="1"/>
    </row>
    <row r="155" spans="1:42" ht="14.45" x14ac:dyDescent="0.3">
      <c r="A155" s="1"/>
    </row>
    <row r="156" spans="1:42" ht="14.45" x14ac:dyDescent="0.3">
      <c r="A156" s="1"/>
    </row>
    <row r="157" spans="1:42" ht="14.45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72"/>
  <sheetViews>
    <sheetView showGridLines="0" workbookViewId="0">
      <selection activeCell="B2" sqref="B2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3"/>
    <row r="2" spans="2:27" ht="16.149999999999999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ht="14.45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ht="14.45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ht="14.45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ht="14.45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ht="14.45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ht="14.45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ht="14.45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ht="14.45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ht="14.45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ht="14.45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ht="14.45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ht="14.45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ht="14.45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ht="14.45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ht="14.45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ht="14.45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ht="14.45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ht="14.45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ht="14.45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ht="14.45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ht="14.45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ht="14.45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ht="14.45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ht="14.45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ht="14.45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ht="14.45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ht="14.45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ref="I17:I64">
    <sortCondition ref="I17:I64"/>
  </sortState>
  <dataValidations count="6">
    <dataValidation type="list" allowBlank="1" showInputMessage="1" showErrorMessage="1" promptTitle="Select Language" prompt="Use drop-down List" sqref="C4">
      <formula1>lang_list</formula1>
    </dataValidation>
    <dataValidation type="list" allowBlank="1" showInputMessage="1" showErrorMessage="1" promptTitle="Select Summer Time" prompt="Use drop-down List" sqref="C6">
      <formula1>"Yes,No"</formula1>
    </dataValidation>
    <dataValidation type="list" allowBlank="1" showInputMessage="1" showErrorMessage="1" promptTitle="Select Minutes" prompt="Use drop-down List" sqref="C10">
      <formula1>$F$44:$F$47</formula1>
    </dataValidation>
    <dataValidation type="list" allowBlank="1" showInputMessage="1" showErrorMessage="1" promptTitle="Select Your Favorite Team" prompt="Use drop-down List" sqref="C12">
      <formula1>teams</formula1>
    </dataValidation>
    <dataValidation type="list" allowBlank="1" showInputMessage="1" showErrorMessage="1" promptTitle="Select GTM-time" prompt="Use drop-down List" sqref="C8">
      <formula1>$F$18:$F$42</formula1>
    </dataValidation>
    <dataValidation type="list" allowBlank="1" showInputMessage="1" showErrorMessage="1" promptTitle="Highlight Group Matches" prompt="Include all group-stage matches for your selected team" sqref="C14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R111"/>
  <sheetViews>
    <sheetView showGridLines="0" tabSelected="1" topLeftCell="A2" zoomScaleNormal="100" workbookViewId="0">
      <selection activeCell="G34" sqref="G34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15" x14ac:dyDescent="0.3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ht="14.4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1</v>
      </c>
      <c r="V8" s="123">
        <f t="shared" si="3"/>
        <v>1</v>
      </c>
      <c r="W8" s="123">
        <f t="shared" si="4"/>
        <v>1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2</v>
      </c>
      <c r="AH8" s="123">
        <f>COUNTIF($S$7:$T$78,"=" &amp; AE8 &amp; "_lose")</f>
        <v>0</v>
      </c>
      <c r="AI8" s="123">
        <f>SUMIF($E$7:$E$78,$AE8,$F$7:$F$78) + SUMIF($H$7:$H$78,$AE8,$G$7:$G$78)</f>
        <v>3</v>
      </c>
      <c r="AJ8" s="123">
        <f>SUMIF($E$7:$E$78,$AE8,$G$7:$G$78) + SUMIF($H$7:$H$78,$AE8,$F$7:$F$78)</f>
        <v>2</v>
      </c>
      <c r="AL8" s="123">
        <f>AI8-AJ8</f>
        <v>1</v>
      </c>
      <c r="AM8" s="123">
        <f>AL8-AL12</f>
        <v>4</v>
      </c>
      <c r="AN8" s="123">
        <f>AF8*3+AG8</f>
        <v>5</v>
      </c>
      <c r="AO8" s="123">
        <f>AN8/AN12*10+BA8</f>
        <v>9.3138211382113827</v>
      </c>
      <c r="AP8" s="123">
        <f>AO8*10000000+BI8*100+AM8/AM12*10+AI8/AI12*1++IF(AQ8=0,ROW(),AQ8)/2000000</f>
        <v>93138318.172170028</v>
      </c>
      <c r="AQ8" s="126">
        <f>VLOOKUP(AE8,db_fifarank,2,FALSE)</f>
        <v>1681.03</v>
      </c>
      <c r="AR8" s="125">
        <f>AP8/AP12</f>
        <v>0.99947757254066882</v>
      </c>
      <c r="AS8" s="125" t="str">
        <f>IF(SUM(AF8:AH11)=12,J9,"1A")</f>
        <v>Czech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2</v>
      </c>
      <c r="AV8" s="126" cm="1">
        <f t="array" ref="AV8">SUMPRODUCT(($E$7:$E$78=AE8)*($U$7:$U$78)*($F$7:$F$78))+SUMPRODUCT(($H$7:$H$78=AE8)*($U$7:$U$78)*($G$7:$G$78))</f>
        <v>1</v>
      </c>
      <c r="AW8" s="126" cm="1">
        <f t="array" ref="AW8">SUMPRODUCT(($E$7:$E$78=AE8)*($U$7:$U$78)*($G$7:$G$78))+SUMPRODUCT(($H$7:$H$78=AE8)*($U$7:$U$78)*($F$7:$F$78))</f>
        <v>1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66.999999999999986</v>
      </c>
      <c r="BA8" s="126">
        <f>AZ8/AZ12</f>
        <v>0.98048780487804865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1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50</v>
      </c>
      <c r="BI8" s="126">
        <f>BH8/BH12</f>
        <v>0.98039215686274506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ht="14.4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Czech Republic</v>
      </c>
      <c r="K9" s="31">
        <f>L9+M9+N9</f>
        <v>3</v>
      </c>
      <c r="L9" s="31">
        <f>VLOOKUP(1,AD8:AN11,3,FALSE)</f>
        <v>1</v>
      </c>
      <c r="M9" s="31">
        <f>VLOOKUP(1,AD8:AN11,4,FALSE)</f>
        <v>2</v>
      </c>
      <c r="N9" s="31">
        <f>VLOOKUP(1,AD8:AN11,5,FALSE)</f>
        <v>0</v>
      </c>
      <c r="O9" s="31" t="str">
        <f>VLOOKUP(1,AD8:AN11,6,FALSE) &amp; " - " &amp; VLOOKUP(1,AD8:AN11,7,FALSE)</f>
        <v>3 - 2</v>
      </c>
      <c r="P9" s="32">
        <f>L9*3+M9</f>
        <v>5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4</v>
      </c>
      <c r="AL9" s="123">
        <f>AI9-AJ9</f>
        <v>-3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0.25071486500000001</v>
      </c>
      <c r="AQ9" s="126">
        <f>VLOOKUP(AE9,db_fifarank,2,FALSE)</f>
        <v>1429.73</v>
      </c>
      <c r="AR9" s="125">
        <f>AP9/AP12</f>
        <v>2.6904488892192236E-9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3 - 2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2</v>
      </c>
      <c r="AH10" s="123">
        <f>COUNTIF($S$7:$T$78,"=" &amp; AE10 &amp; "_lose")</f>
        <v>0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1</v>
      </c>
      <c r="AL10" s="123">
        <f>AI10-AJ10</f>
        <v>1</v>
      </c>
      <c r="AM10" s="123">
        <f>AL10-AL12</f>
        <v>4</v>
      </c>
      <c r="AN10" s="123">
        <f>AF10*3+AG10</f>
        <v>5</v>
      </c>
      <c r="AO10" s="123">
        <f>AN10/AN12*10+BA10</f>
        <v>9.3138211382113827</v>
      </c>
      <c r="AP10" s="123">
        <f>AO10*10000000+BI10*100+AM10/AM12*10+AI10/AI12*1++IF(AQ10=0,ROW(),AQ10)/2000000</f>
        <v>93138317.922123849</v>
      </c>
      <c r="AQ10" s="126">
        <f>VLOOKUP(AE10,db_fifarank,2,FALSE)</f>
        <v>1588.66</v>
      </c>
      <c r="AR10" s="125">
        <f>AP10/AP12</f>
        <v>0.99947756985739566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2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66.999999999999986</v>
      </c>
      <c r="BA10" s="126">
        <f>AZ10/AZ12</f>
        <v>0.98048780487804865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</v>
      </c>
      <c r="BI10" s="126">
        <f>BH10/BH12</f>
        <v>0.98039215686274506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2</v>
      </c>
      <c r="N11" s="23">
        <f>VLOOKUP(3,AD8:AN11,5,FALSE)</f>
        <v>0</v>
      </c>
      <c r="O11" s="23" t="str">
        <f>VLOOKUP(3,AD8:AN11,6,FALSE) &amp; " - " &amp; VLOOKUP(3,AD8:AN11,7,FALSE)</f>
        <v>2 - 1</v>
      </c>
      <c r="P11" s="34">
        <f>L11*3+M11</f>
        <v>5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1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2</v>
      </c>
      <c r="AH11" s="123">
        <f>COUNTIF($S$7:$T$78,"=" &amp; AE11 &amp; "_lose")</f>
        <v>0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2</v>
      </c>
      <c r="AL11" s="123">
        <f>AI11-AJ11</f>
        <v>1</v>
      </c>
      <c r="AM11" s="123">
        <f>AL11-AL12</f>
        <v>4</v>
      </c>
      <c r="AN11" s="123">
        <f>AF11*3+AG11</f>
        <v>5</v>
      </c>
      <c r="AO11" s="123">
        <f>AN11/AN12*10+BA11</f>
        <v>9.3186991869918714</v>
      </c>
      <c r="AP11" s="123">
        <f>AO11*10000000+BI11*100+AM11/AM12*10+AI11/AI12*1++IF(AQ11=0,ROW(),AQ11)/2000000</f>
        <v>93187000.62066941</v>
      </c>
      <c r="AQ11" s="126">
        <f>VLOOKUP(AE11,db_fifarank,2,FALSE)</f>
        <v>1501.38</v>
      </c>
      <c r="AR11" s="125">
        <f>AP11/AP12</f>
        <v>0.99999998926888967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2</v>
      </c>
      <c r="AV11" s="126" cm="1">
        <f t="array" ref="AV11">SUMPRODUCT(($E$7:$E$78=AE11)*($U$7:$U$78)*($F$7:$F$78))+SUMPRODUCT(($H$7:$H$78=AE11)*($U$7:$U$78)*($G$7:$G$78))</f>
        <v>2</v>
      </c>
      <c r="AW11" s="126" cm="1">
        <f t="array" ref="AW11">SUMPRODUCT(($E$7:$E$78=AE11)*($U$7:$U$78)*($G$7:$G$78))+SUMPRODUCT(($H$7:$H$78=AE11)*($U$7:$U$78)*($F$7:$F$78))</f>
        <v>2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67.333333333333329</v>
      </c>
      <c r="BA11" s="126">
        <f>AZ11/AZ12</f>
        <v>0.98536585365853657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1 - 4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2</v>
      </c>
      <c r="AG12" s="123">
        <f t="shared" si="12"/>
        <v>3</v>
      </c>
      <c r="AH12" s="123">
        <f t="shared" si="12"/>
        <v>4</v>
      </c>
      <c r="AI12" s="123">
        <f>MAX(AI8:AI11)+1</f>
        <v>4</v>
      </c>
      <c r="AL12" s="123">
        <f>MIN(AL8:AL11)</f>
        <v>-3</v>
      </c>
      <c r="AM12" s="123">
        <f>MAX(AM8:AM11)+1</f>
        <v>5</v>
      </c>
      <c r="AN12" s="123">
        <f>MAX(AN8:AN11)+1</f>
        <v>6</v>
      </c>
      <c r="AO12" s="123">
        <f>MAX(AO8:AO11)+1</f>
        <v>10.318699186991871</v>
      </c>
      <c r="AP12" s="123">
        <f>MAX(AP8:AP11)+1</f>
        <v>93187001.62066941</v>
      </c>
      <c r="AT12" s="126">
        <f>MAX(AT8:AT11)-MIN(AT8:AT11)+1</f>
        <v>1</v>
      </c>
      <c r="AU12" s="126">
        <f>MAX(AU8:AU11)-MIN(AU8:AU11)+1</f>
        <v>3</v>
      </c>
      <c r="AV12" s="126">
        <f>MAX(AV8:AV11)-MIN(AV8:AV11)+1</f>
        <v>3</v>
      </c>
      <c r="AW12" s="126">
        <f>MAX(AW8:AW11)-MIN(AW8:AW11)+1</f>
        <v>3</v>
      </c>
      <c r="AY12" s="126">
        <f>MAX(AY8:AY11)-MIN(AY8:AY11)+1</f>
        <v>1</v>
      </c>
      <c r="AZ12" s="126">
        <f>MAX(AZ8:AZ11)+1</f>
        <v>68.333333333333329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51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2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2000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3</v>
      </c>
      <c r="BU13" s="64"/>
      <c r="BV13" s="27"/>
      <c r="BW13" s="113">
        <f>IF(BW12="","",BT13*1000+BU13*10+BV13)</f>
        <v>3000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2</v>
      </c>
      <c r="AJ14" s="123">
        <f>SUMIF($E$7:$E$78,$AE14,$G$7:$G$78) + SUMIF($H$7:$H$78,$AE14,$F$7:$F$78)</f>
        <v>3</v>
      </c>
      <c r="AL14" s="123">
        <f>AI14-AJ14</f>
        <v>-1</v>
      </c>
      <c r="AM14" s="123">
        <f>AL14-AL18</f>
        <v>4</v>
      </c>
      <c r="AN14" s="123">
        <f>AF14*3+AG14</f>
        <v>4</v>
      </c>
      <c r="AO14" s="123">
        <f>AN14/AN18*10+BA14</f>
        <v>5</v>
      </c>
      <c r="AP14" s="123">
        <f>AO14*10000000+BI14*100+AM14/AM18*10+AI14/AI18*1++IF(AQ14=0,ROW(),AQ14)/2000000</f>
        <v>50000004.334111579</v>
      </c>
      <c r="AQ14" s="126">
        <f>VLOOKUP(AE14,db_fifarank,2,FALSE)</f>
        <v>1556.48</v>
      </c>
      <c r="AR14" s="125">
        <f>AP14/AP18</f>
        <v>0.57142855020759264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5 - 1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2</v>
      </c>
      <c r="AH15" s="123">
        <f>COUNTIF($S$7:$T$78,"=" &amp; AE15 &amp; "_lose")</f>
        <v>0</v>
      </c>
      <c r="AI15" s="123">
        <f>SUMIF($E$7:$E$78,$AE15,$F$7:$F$78) + SUMIF($H$7:$H$78,$AE15,$G$7:$G$78)</f>
        <v>5</v>
      </c>
      <c r="AJ15" s="123">
        <f>SUMIF($E$7:$E$78,$AE15,$G$7:$G$78) + SUMIF($H$7:$H$78,$AE15,$F$7:$F$78)</f>
        <v>3</v>
      </c>
      <c r="AL15" s="123">
        <f>AI15-AJ15</f>
        <v>2</v>
      </c>
      <c r="AM15" s="123">
        <f>AL15-AL18</f>
        <v>7</v>
      </c>
      <c r="AN15" s="123">
        <f>AF15*3+AG15</f>
        <v>5</v>
      </c>
      <c r="AO15" s="123">
        <f>AN15/AN18*10+BA15</f>
        <v>6.25</v>
      </c>
      <c r="AP15" s="123">
        <f>AO15*10000000+BI15*100+AM15/AM18*10+AI15/AI18*1++IF(AQ15=0,ROW(),AQ15)/2000000</f>
        <v>62500007.834026255</v>
      </c>
      <c r="AQ15" s="126">
        <f>VLOOKUP(AE15,db_fifarank,2,FALSE)</f>
        <v>1385.84</v>
      </c>
      <c r="AR15" s="125">
        <f>AP15/AP18</f>
        <v>0.71428571537533636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Japan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5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5 - 3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6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0.16739414666666666</v>
      </c>
      <c r="AQ16" s="126">
        <f>VLOOKUP(AE16,db_fifarank,2,FALSE)</f>
        <v>1454.96</v>
      </c>
      <c r="AR16" s="125">
        <f>AP16/AP18</f>
        <v>1.9130757250297364E-9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>
        <v>0</v>
      </c>
      <c r="CC16" s="25">
        <v>4</v>
      </c>
      <c r="CD16" s="112">
        <f>IF(OR(CA16="",CA17="",AND(CB16="",CB17&lt;&gt;""),AND(CB17="",CB16&lt;&gt;""),AND(CC16="",CC17&lt;&gt;""),AND(CC17="",CC16&lt;&gt;"")),"",CA16*1000+CB16*10+CC16)</f>
        <v>2004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2 - 3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1</v>
      </c>
      <c r="AL17" s="123">
        <f>AI17-AJ17</f>
        <v>4</v>
      </c>
      <c r="AM17" s="123">
        <f>AL17-AL18</f>
        <v>9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87500009.834158033</v>
      </c>
      <c r="AQ17" s="126">
        <f>VLOOKUP(AE17,db_fifarank,2,FALSE)</f>
        <v>1649.4</v>
      </c>
      <c r="AR17" s="125">
        <f>AP17/AP18</f>
        <v>0.99999998857143002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2</v>
      </c>
      <c r="CB17" s="64">
        <v>0</v>
      </c>
      <c r="CC17" s="27">
        <v>3</v>
      </c>
      <c r="CD17" s="113">
        <f>IF(CD16="","",CA17*1000+CB17*10+CC17)</f>
        <v>2003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1 - 6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6</v>
      </c>
      <c r="AL18" s="123">
        <f>MIN(AL14:AL17)</f>
        <v>-5</v>
      </c>
      <c r="AM18" s="123">
        <f>MAX(AM14:AM17)+1</f>
        <v>10</v>
      </c>
      <c r="AN18" s="123">
        <f>MAX(AN14:AN17)+1</f>
        <v>8</v>
      </c>
      <c r="AO18" s="123">
        <f>MAX(AO14:AO17)+1</f>
        <v>9.75</v>
      </c>
      <c r="AP18" s="123">
        <f>MAX(AP14:AP17)+1</f>
        <v>87500010.834158033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Mexico</v>
      </c>
      <c r="BM18" s="61">
        <v>1</v>
      </c>
      <c r="BN18" s="63">
        <v>0</v>
      </c>
      <c r="BO18" s="25">
        <v>4</v>
      </c>
      <c r="BP18" s="112">
        <f>IF(OR(BM18="",BM19="",AND(BN18="",BN19&lt;&gt;""),AND(BN19="",BN18&lt;&gt;""),AND(BO18="",BO19&lt;&gt;""),AND(BO19="",BO18&lt;&gt;"")),"",BM18*1000+BN18*10+BO18)</f>
        <v>1004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1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Bosnia and Herzegovina</v>
      </c>
      <c r="BM19" s="62">
        <v>1</v>
      </c>
      <c r="BN19" s="64">
        <v>0</v>
      </c>
      <c r="BO19" s="27">
        <v>3</v>
      </c>
      <c r="BP19" s="113">
        <f>IF(BP18="","",BM19*1000+BN19*10+BO19)</f>
        <v>1003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1</v>
      </c>
      <c r="AG20" s="123">
        <f>COUNTIF($S$7:$T$78,"=" &amp; AE20 &amp; "_draw")</f>
        <v>2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2</v>
      </c>
      <c r="AL20" s="123">
        <f>AI20-AJ20</f>
        <v>5</v>
      </c>
      <c r="AM20" s="123">
        <f>AL20-AL24</f>
        <v>15</v>
      </c>
      <c r="AN20" s="123">
        <f>AF20*3+AG20</f>
        <v>5</v>
      </c>
      <c r="AO20" s="123">
        <f>AN20/AN24*10+BA20</f>
        <v>9.3186991869918714</v>
      </c>
      <c r="AP20" s="123">
        <f>AO20*10000000+BI20*100+AM20/AM24*10+AI20/AI24*1++IF(AQ20=0,ROW(),AQ20)/2000000</f>
        <v>93187100.657384664</v>
      </c>
      <c r="AQ20" s="126">
        <f>VLOOKUP(AE20,db_fifarank,2,FALSE)</f>
        <v>1761.16</v>
      </c>
      <c r="AR20" s="125">
        <f>AP20/AP24</f>
        <v>0.9999999892689011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2</v>
      </c>
      <c r="AV20" s="126" cm="1">
        <f t="array" ref="AV20">SUMPRODUCT(($E$7:$E$78=AE20)*($U$7:$U$78)*($F$7:$F$78))+SUMPRODUCT(($H$7:$H$78=AE20)*($U$7:$U$78)*($G$7:$G$78))</f>
        <v>2</v>
      </c>
      <c r="AW20" s="126" cm="1">
        <f t="array" ref="AW20">SUMPRODUCT(($E$7:$E$78=AE20)*($U$7:$U$78)*($G$7:$G$78))+SUMPRODUCT(($H$7:$H$78=AE20)*($U$7:$U$78)*($F$7:$F$78))</f>
        <v>2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67.333333333333329</v>
      </c>
      <c r="BA20" s="126">
        <f>AZ20/AZ24</f>
        <v>0.98536585365853657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2</v>
      </c>
      <c r="BD20" s="126" cm="1">
        <f t="array" ref="BD20">SUMPRODUCT(($E$7:$E$78=AE20)*($X$7:$X$78)*($F$7:$F$78))+SUMPRODUCT(($H$7:$H$78=AE20)*($X$7:$X$78)*($G$7:$G$78))</f>
        <v>2</v>
      </c>
      <c r="BE20" s="126" cm="1">
        <f t="array" ref="BE20">SUMPRODUCT(($E$7:$E$78=AE20)*($X$7:$X$78)*($G$7:$G$78))+SUMPRODUCT(($H$7:$H$78=AE20)*($X$7:$X$78)*($F$7:$F$78))</f>
        <v>2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67.333333333333329</v>
      </c>
      <c r="BI20" s="126">
        <f>BH20/BH24</f>
        <v>0.98536585365853657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Mexico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1</v>
      </c>
      <c r="M21" s="31">
        <f>VLOOKUP(1,AD20:AN23,4,FALSE)</f>
        <v>2</v>
      </c>
      <c r="N21" s="31">
        <f>VLOOKUP(1,AD20:AN23,5,FALSE)</f>
        <v>0</v>
      </c>
      <c r="O21" s="31" t="str">
        <f>VLOOKUP(1,AD20:AN23,6,FALSE) &amp; " - " &amp; VLOOKUP(1,AD20:AN23,7,FALSE)</f>
        <v>7 - 2</v>
      </c>
      <c r="P21" s="32">
        <f>L21*3+M21</f>
        <v>5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2</v>
      </c>
      <c r="AH21" s="123">
        <f>COUNTIF($S$7:$T$78,"=" &amp; AE21 &amp; "_lose")</f>
        <v>0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2</v>
      </c>
      <c r="AL21" s="123">
        <f>AI21-AJ21</f>
        <v>3</v>
      </c>
      <c r="AM21" s="123">
        <f>AL21-AL24</f>
        <v>13</v>
      </c>
      <c r="AN21" s="123">
        <f>AF21*3+AG21</f>
        <v>5</v>
      </c>
      <c r="AO21" s="123">
        <f>AN21/AN24*10+BA21</f>
        <v>9.3186991869918714</v>
      </c>
      <c r="AP21" s="123">
        <f>AO21*10000000+BI21*100+AM21/AM24*10+AI21/AI24*1++IF(AQ21=0,ROW(),AQ21)/2000000</f>
        <v>93187099.157382011</v>
      </c>
      <c r="AQ21" s="126">
        <f>VLOOKUP(AE21,db_fifarank,2,FALSE)</f>
        <v>1755.87</v>
      </c>
      <c r="AR21" s="125">
        <f>AP21/AP24</f>
        <v>0.99999997317222444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2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67.333333333333329</v>
      </c>
      <c r="BA21" s="126">
        <f>AZ21/AZ24</f>
        <v>0.98536585365853657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2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67.333333333333329</v>
      </c>
      <c r="BI21" s="126">
        <f>BH21/BH24</f>
        <v>0.98536585365853657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1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1</v>
      </c>
      <c r="M22" s="23">
        <f>VLOOKUP(2,AD20:AN23,4,FALSE)</f>
        <v>2</v>
      </c>
      <c r="N22" s="23">
        <f>VLOOKUP(2,AD20:AN23,5,FALSE)</f>
        <v>0</v>
      </c>
      <c r="O22" s="23" t="str">
        <f>VLOOKUP(2,AD20:AN23,6,FALSE) &amp; " - " &amp; VLOOKUP(2,AD20:AN23,7,FALSE)</f>
        <v>5 - 2</v>
      </c>
      <c r="P22" s="34">
        <f>L22*3+M22</f>
        <v>5</v>
      </c>
      <c r="R22" s="123">
        <f>DATE(2026,6,15)+TIME(8,0,0)+gmt_delta</f>
        <v>46188.875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10</v>
      </c>
      <c r="AL22" s="123">
        <f>AI22-AJ22</f>
        <v>-10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6.9307338517145395E-12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1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2</v>
      </c>
      <c r="N23" s="23">
        <f>VLOOKUP(3,AD20:AN23,5,FALSE)</f>
        <v>0</v>
      </c>
      <c r="O23" s="23" t="str">
        <f>VLOOKUP(3,AD20:AN23,6,FALSE) &amp; " - " &amp; VLOOKUP(3,AD20:AN23,7,FALSE)</f>
        <v>4 - 2</v>
      </c>
      <c r="P23" s="34">
        <f>L23*3+M23</f>
        <v>5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2</v>
      </c>
      <c r="AH23" s="123">
        <f>COUNTIF($S$7:$T$78,"=" &amp; AE23 &amp; "_lose")</f>
        <v>0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2</v>
      </c>
      <c r="AL23" s="123">
        <f>AI23-AJ23</f>
        <v>2</v>
      </c>
      <c r="AM23" s="123">
        <f>AL23-AL24</f>
        <v>12</v>
      </c>
      <c r="AN23" s="123">
        <f>AF23*3+AG23</f>
        <v>5</v>
      </c>
      <c r="AO23" s="123">
        <f>AN23/AN24*10+BA23</f>
        <v>9.3186991869918714</v>
      </c>
      <c r="AP23" s="123">
        <f>AO23*10000000+BI23*100+AM23/AM24*10+AI23/AI24*1++IF(AQ23=0,ROW(),AQ23)/2000000</f>
        <v>93187098.40725325</v>
      </c>
      <c r="AQ23" s="126">
        <f>VLOOKUP(AE23,db_fifarank,2,FALSE)</f>
        <v>1498.35</v>
      </c>
      <c r="AR23" s="125">
        <f>AP23/AP24</f>
        <v>0.99999996512251854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2</v>
      </c>
      <c r="AV23" s="126" cm="1">
        <f t="array" ref="AV23">SUMPRODUCT(($E$7:$E$78=AE23)*($U$7:$U$78)*($F$7:$F$78))+SUMPRODUCT(($H$7:$H$78=AE23)*($U$7:$U$78)*($G$7:$G$78))</f>
        <v>2</v>
      </c>
      <c r="AW23" s="126" cm="1">
        <f t="array" ref="AW23">SUMPRODUCT(($E$7:$E$78=AE23)*($U$7:$U$78)*($G$7:$G$78))+SUMPRODUCT(($H$7:$H$78=AE23)*($U$7:$U$78)*($F$7:$F$78))</f>
        <v>2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67.333333333333329</v>
      </c>
      <c r="BA23" s="126">
        <f>AZ23/AZ24</f>
        <v>0.98536585365853657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2</v>
      </c>
      <c r="BD23" s="126" cm="1">
        <f t="array" ref="BD23">SUMPRODUCT(($E$7:$E$78=AE23)*($X$7:$X$78)*($F$7:$F$78))+SUMPRODUCT(($H$7:$H$78=AE23)*($X$7:$X$78)*($G$7:$G$78))</f>
        <v>2</v>
      </c>
      <c r="BE23" s="126" cm="1">
        <f t="array" ref="BE23">SUMPRODUCT(($E$7:$E$78=AE23)*($X$7:$X$78)*($G$7:$G$78))+SUMPRODUCT(($H$7:$H$78=AE23)*($X$7:$X$78)*($F$7:$F$78))</f>
        <v>2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67.333333333333329</v>
      </c>
      <c r="BI23" s="126">
        <f>BH23/BH24</f>
        <v>0.98536585365853657</v>
      </c>
      <c r="BK23" s="13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>
        <v>0</v>
      </c>
      <c r="CJ23" s="25">
        <v>3</v>
      </c>
      <c r="CK23" s="112">
        <f>IF(OR(CH23="",CH24="",AND(CI23="",CI24&lt;&gt;""),AND(CI24="",CI23&lt;&gt;""),AND(CJ23="",CJ24&lt;&gt;""),AND(CJ24="",CJ23&lt;&gt;"")),"",CH23*1000+CI23*10+CJ23)</f>
        <v>1003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0 - 10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2</v>
      </c>
      <c r="AG24" s="123">
        <f t="shared" si="14"/>
        <v>3</v>
      </c>
      <c r="AH24" s="123">
        <f t="shared" si="14"/>
        <v>4</v>
      </c>
      <c r="AI24" s="123">
        <f>MAX(AI20:AI23)+1</f>
        <v>8</v>
      </c>
      <c r="AL24" s="123">
        <f>MIN(AL20:AL23)</f>
        <v>-10</v>
      </c>
      <c r="AM24" s="123">
        <f>MAX(AM20:AM23)+1</f>
        <v>16</v>
      </c>
      <c r="AN24" s="123">
        <f>MAX(AN20:AN23)+1</f>
        <v>6</v>
      </c>
      <c r="AO24" s="123">
        <f>MAX(AO20:AO23)+1</f>
        <v>10.318699186991871</v>
      </c>
      <c r="AP24" s="123">
        <f>MAX(AP20:AP23)+1</f>
        <v>93187101.657384664</v>
      </c>
      <c r="AT24" s="126">
        <f>MAX(AT20:AT23)-MIN(AT20:AT23)+1</f>
        <v>1</v>
      </c>
      <c r="AU24" s="126">
        <f>MAX(AU20:AU23)-MIN(AU20:AU23)+1</f>
        <v>3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68.333333333333329</v>
      </c>
      <c r="BB24" s="126">
        <f>MAX(BB20:BB23)-MIN(BB20:BB23)+1</f>
        <v>1</v>
      </c>
      <c r="BC24" s="126">
        <f>MAX(BC20:BC23)-MIN(BC20:BC23)+1</f>
        <v>3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68.333333333333329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>
        <v>0</v>
      </c>
      <c r="CJ24" s="27">
        <v>4</v>
      </c>
      <c r="CK24" s="113">
        <f>IF(CK23="","",CH24*1000+CI24*10+CJ24)</f>
        <v>1004</v>
      </c>
    </row>
    <row r="25" spans="1:95" ht="14.4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3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2</v>
      </c>
      <c r="AL26" s="123">
        <f>AI26-AJ26</f>
        <v>2</v>
      </c>
      <c r="AM26" s="123">
        <f>AL26-AL30</f>
        <v>6</v>
      </c>
      <c r="AN26" s="123">
        <f>AF26*3+AG26</f>
        <v>6</v>
      </c>
      <c r="AO26" s="123">
        <f>AN26/AN30*10+BA26</f>
        <v>6</v>
      </c>
      <c r="AP26" s="123">
        <f>AO26*10000000+BI26*100+AM26/AM30*10+AI26/AI30*1++IF(AQ26=0,ROW(),AQ26)/2000000</f>
        <v>60000007.238931805</v>
      </c>
      <c r="AQ26" s="126">
        <f>VLOOKUP(AE26,db_fifarank,2,FALSE)</f>
        <v>1673.13</v>
      </c>
      <c r="AR26" s="125">
        <f>AP26/AP30</f>
        <v>0.66666666749308467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6 - 2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0</v>
      </c>
      <c r="AJ27" s="123">
        <f>SUMIF($E$7:$E$78,$AE27,$G$7:$G$78) + SUMIF($H$7:$H$78,$AE27,$F$7:$F$78)</f>
        <v>4</v>
      </c>
      <c r="AL27" s="123">
        <f>AI27-AJ27</f>
        <v>-4</v>
      </c>
      <c r="AM27" s="123">
        <f>AL27-AL30</f>
        <v>0</v>
      </c>
      <c r="AN27" s="123">
        <f>AF27*3+AG27</f>
        <v>1</v>
      </c>
      <c r="AO27" s="123">
        <f>AN27/AN30*10+BA27</f>
        <v>1.9803921568627452</v>
      </c>
      <c r="AP27" s="123">
        <f>AO27*10000000+BI27*100+AM27/AM30*10+AI27/AI30*1++IF(AQ27=0,ROW(),AQ27)/2000000</f>
        <v>19804019.608594887</v>
      </c>
      <c r="AQ27" s="126">
        <f>VLOOKUP(AE27,db_fifarank,2,FALSE)</f>
        <v>1503.5</v>
      </c>
      <c r="AR27" s="125">
        <f>AP27/AP30</f>
        <v>0.22004463604235902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</v>
      </c>
      <c r="BA27" s="126">
        <f>AZ27/AZ30</f>
        <v>0.98039215686274506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</v>
      </c>
      <c r="BI27" s="126">
        <f>BH27/BH30</f>
        <v>0.98039215686274506</v>
      </c>
      <c r="BK27" s="132"/>
      <c r="BL27" s="26" t="str">
        <f>AS75</f>
        <v>Ghana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0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4 - 2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3</v>
      </c>
      <c r="AL28" s="123">
        <f>AI28-AJ28</f>
        <v>-2</v>
      </c>
      <c r="AM28" s="123">
        <f>AL28-AL30</f>
        <v>2</v>
      </c>
      <c r="AN28" s="123">
        <f>AF28*3+AG28</f>
        <v>1</v>
      </c>
      <c r="AO28" s="123">
        <f>AN28/AN30*10+BA28</f>
        <v>1.9803921568627452</v>
      </c>
      <c r="AP28" s="123">
        <f>AO28*10000000+BI28*100+AM28/AM30*10+AI28/AI30*1++IF(AQ28=0,ROW(),AQ28)/2000000</f>
        <v>19804021.973712839</v>
      </c>
      <c r="AQ28" s="126">
        <f>VLOOKUP(AE28,db_fifarank,2,FALSE)</f>
        <v>1580.67</v>
      </c>
      <c r="AR28" s="125">
        <f>AP28/AP30</f>
        <v>0.22004466232144423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</v>
      </c>
      <c r="BA28" s="126">
        <f>AZ28/AZ30</f>
        <v>0.98039215686274506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</v>
      </c>
      <c r="BI28" s="126">
        <f>BH28/BH30</f>
        <v>0.98039215686274506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4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1</v>
      </c>
      <c r="N29" s="23">
        <f>VLOOKUP(3,AD26:AN29,5,FALSE)</f>
        <v>2</v>
      </c>
      <c r="O29" s="23" t="str">
        <f>VLOOKUP(3,AD26:AN29,6,FALSE) &amp; " - " &amp; VLOOKUP(3,AD26:AN29,7,FALSE)</f>
        <v>1 - 3</v>
      </c>
      <c r="P29" s="34">
        <f>L29*3+M29</f>
        <v>1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2</v>
      </c>
      <c r="AL29" s="123">
        <f>AI29-AJ29</f>
        <v>4</v>
      </c>
      <c r="AM29" s="123">
        <f>AL29-AL30</f>
        <v>8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90000009.746831268</v>
      </c>
      <c r="AQ29" s="126">
        <f>VLOOKUP(AE29,db_fifarank,2,FALSE)</f>
        <v>1599.04</v>
      </c>
      <c r="AR29" s="125">
        <f>AP29/AP30</f>
        <v>0.99999998888889019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0 - 4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3</v>
      </c>
      <c r="AI30" s="123">
        <f>MAX(AI26:AI29)+1</f>
        <v>7</v>
      </c>
      <c r="AL30" s="123">
        <f>MIN(AL26:AL29)</f>
        <v>-4</v>
      </c>
      <c r="AM30" s="123">
        <f>MAX(AM26:AM29)+1</f>
        <v>9</v>
      </c>
      <c r="AN30" s="123">
        <f>MAX(AN26:AN29)+1</f>
        <v>10</v>
      </c>
      <c r="AO30" s="123">
        <f>MAX(AO26:AO29)+1</f>
        <v>10</v>
      </c>
      <c r="AP30" s="123">
        <f>MAX(AP26:AP29)+1</f>
        <v>90000010.746831268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51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51</v>
      </c>
      <c r="BK30" s="13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2</v>
      </c>
      <c r="AL32" s="123">
        <f>AI32-AJ32</f>
        <v>6</v>
      </c>
      <c r="AM32" s="123">
        <f>AL32-AL36</f>
        <v>17</v>
      </c>
      <c r="AN32" s="123">
        <f>AF32*3+AG32</f>
        <v>7</v>
      </c>
      <c r="AO32" s="123">
        <f>AN32/AN36*10+BA32</f>
        <v>9.7305825242718456</v>
      </c>
      <c r="AP32" s="123">
        <f>AO32*10000000+BI32*100+AM32/AM36*10+AI32/AI36*1++IF(AQ32=0,ROW(),AQ32)/2000000</f>
        <v>97305933.635169417</v>
      </c>
      <c r="AQ32" s="126">
        <f>VLOOKUP(AE32,db_fifarank,2,FALSE)</f>
        <v>1730.37</v>
      </c>
      <c r="AR32" s="125">
        <f>AP32/AP36</f>
        <v>0.99999998972313453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1</v>
      </c>
      <c r="AV32" s="126" cm="1">
        <f t="array" ref="AV32">SUMPRODUCT(($E$7:$E$78=AE32)*($U$7:$U$78)*($F$7:$F$78))+SUMPRODUCT(($H$7:$H$78=AE32)*($U$7:$U$78)*($G$7:$G$78))</f>
        <v>1</v>
      </c>
      <c r="AW32" s="126" cm="1">
        <f t="array" ref="AW32">SUMPRODUCT(($E$7:$E$78=AE32)*($U$7:$U$78)*($G$7:$G$78))+SUMPRODUCT(($H$7:$H$78=AE32)*($U$7:$U$78)*($F$7:$F$78))</f>
        <v>1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50.5</v>
      </c>
      <c r="BA32" s="126">
        <f>AZ32/AZ36</f>
        <v>0.98058252427184467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1</v>
      </c>
      <c r="BD32" s="126" cm="1">
        <f t="array" ref="BD32">SUMPRODUCT(($E$7:$E$78=AE32)*($X$7:$X$78)*($F$7:$F$78))+SUMPRODUCT(($H$7:$H$78=AE32)*($X$7:$X$78)*($G$7:$G$78))</f>
        <v>1</v>
      </c>
      <c r="BE32" s="126" cm="1">
        <f t="array" ref="BE32">SUMPRODUCT(($E$7:$E$78=AE32)*($X$7:$X$78)*($G$7:$G$78))+SUMPRODUCT(($H$7:$H$78=AE32)*($X$7:$X$78)*($F$7:$F$78))</f>
        <v>1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50.5</v>
      </c>
      <c r="BI32" s="126">
        <f>BH32/BH36</f>
        <v>0.98058252427184467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8 - 2</v>
      </c>
      <c r="P33" s="32">
        <f>L33*3+M33</f>
        <v>7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11</v>
      </c>
      <c r="AL33" s="123">
        <f>AI33-AJ33</f>
        <v>-11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6.6524719425081853E-12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0</v>
      </c>
      <c r="G34" s="20">
        <v>0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1</v>
      </c>
      <c r="N34" s="23">
        <f>VLOOKUP(2,AD32:AN35,5,FALSE)</f>
        <v>0</v>
      </c>
      <c r="O34" s="23" t="str">
        <f>VLOOKUP(2,AD32:AN35,6,FALSE) &amp; " - " &amp; VLOOKUP(2,AD32:AN35,7,FALSE)</f>
        <v>6 - 2</v>
      </c>
      <c r="P34" s="34">
        <f>L34*3+M34</f>
        <v>7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1</v>
      </c>
      <c r="V34" s="123">
        <f t="shared" si="3"/>
        <v>0</v>
      </c>
      <c r="W34" s="123">
        <f t="shared" si="4"/>
        <v>0</v>
      </c>
      <c r="X34" s="123">
        <f t="shared" si="9"/>
        <v>1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4</v>
      </c>
      <c r="AL34" s="123">
        <f>AI34-AJ34</f>
        <v>1</v>
      </c>
      <c r="AM34" s="123">
        <f>AL34-AL36</f>
        <v>12</v>
      </c>
      <c r="AN34" s="123">
        <f>AF34*3+AG34</f>
        <v>3</v>
      </c>
      <c r="AO34" s="123">
        <f>AN34/AN36*10+BA34</f>
        <v>3.75</v>
      </c>
      <c r="AP34" s="123">
        <f>AO34*10000000+BI34*100+AM34/AM36*10+AI34/AI36*1++IF(AQ34=0,ROW(),AQ34)/2000000</f>
        <v>37500007.22298871</v>
      </c>
      <c r="AQ34" s="126">
        <f>VLOOKUP(AE34,db_fifarank,2,FALSE)</f>
        <v>1532.98</v>
      </c>
      <c r="AR34" s="125">
        <f>AP34/AP36</f>
        <v>0.38538252947868024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5 - 4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1</v>
      </c>
      <c r="AH35" s="123">
        <f>COUNTIF($S$7:$T$78,"=" &amp; AE35 &amp; "_lose")</f>
        <v>0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2</v>
      </c>
      <c r="AL35" s="123">
        <f>AI35-AJ35</f>
        <v>4</v>
      </c>
      <c r="AM35" s="123">
        <f>AL35-AL36</f>
        <v>15</v>
      </c>
      <c r="AN35" s="123">
        <f>AF35*3+AG35</f>
        <v>7</v>
      </c>
      <c r="AO35" s="123">
        <f>AN35/AN36*10+BA35</f>
        <v>9.7305825242718456</v>
      </c>
      <c r="AP35" s="123">
        <f>AO35*10000000+BI35*100+AM35/AM36*10+AI35/AI36*1++IF(AQ35=0,ROW(),AQ35)/2000000</f>
        <v>97305932.301768273</v>
      </c>
      <c r="AQ35" s="126">
        <f>VLOOKUP(AE35,db_fifarank,2,FALSE)</f>
        <v>1594.78</v>
      </c>
      <c r="AR35" s="125">
        <f>AP35/AP36</f>
        <v>0.99999997601995039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Canada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0 - 11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1</v>
      </c>
      <c r="V36" s="123">
        <f t="shared" si="3"/>
        <v>1</v>
      </c>
      <c r="W36" s="123">
        <f t="shared" si="4"/>
        <v>1</v>
      </c>
      <c r="X36" s="123">
        <f t="shared" si="9"/>
        <v>1</v>
      </c>
      <c r="Y36" s="123">
        <f t="shared" si="10"/>
        <v>1</v>
      </c>
      <c r="Z36" s="123">
        <f t="shared" si="11"/>
        <v>1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3</v>
      </c>
      <c r="AG36" s="123">
        <f t="shared" si="16"/>
        <v>2</v>
      </c>
      <c r="AH36" s="123">
        <f t="shared" si="16"/>
        <v>4</v>
      </c>
      <c r="AI36" s="123">
        <f>MAX(AI32:AI35)+1</f>
        <v>9</v>
      </c>
      <c r="AL36" s="123">
        <f>MIN(AL32:AL35)</f>
        <v>-11</v>
      </c>
      <c r="AM36" s="123">
        <f>MAX(AM32:AM35)+1</f>
        <v>18</v>
      </c>
      <c r="AN36" s="123">
        <f>MAX(AN32:AN35)+1</f>
        <v>8</v>
      </c>
      <c r="AO36" s="123">
        <f>MAX(AO32:AO35)+1</f>
        <v>10.730582524271846</v>
      </c>
      <c r="AP36" s="123">
        <f>MAX(AP32:AP35)+1</f>
        <v>97305934.635169417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>
        <v>0</v>
      </c>
      <c r="BV36" s="25">
        <v>4</v>
      </c>
      <c r="BW36" s="116">
        <f>IF(OR(BT36="",BT37="",AND(BU36="",BU37&lt;&gt;""),AND(BU37="",BU36&lt;&gt;""),AND(BV36="",BV37&lt;&gt;""),AND(BV37="",BV36&lt;&gt;"")),"",BT36*1000+BU36*10+BV36)</f>
        <v>1004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>
        <v>0</v>
      </c>
      <c r="BV37" s="27">
        <v>3</v>
      </c>
      <c r="BW37" s="112">
        <f>IF(BW36="","",BT37*1000+BU37*10+BV37)</f>
        <v>1003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>
        <v>0</v>
      </c>
      <c r="CQ37" s="25">
        <v>3</v>
      </c>
      <c r="CR37" s="111">
        <f>IF(OR(CO37="",CO38="",AND(CP37="",CP38&lt;&gt;""),AND(CP38="",CP37&lt;&gt;""),AND(CQ37="",CQ38&lt;&gt;""),AND(CQ38="",CQ37&lt;&gt;"")),"",CO37*1000+CP37*10+CQ37)</f>
        <v>1003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2</v>
      </c>
      <c r="AL38" s="123">
        <f>AI38-AJ38</f>
        <v>3</v>
      </c>
      <c r="AM38" s="123">
        <f>AL38-AL42</f>
        <v>5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87500009.167545587</v>
      </c>
      <c r="AQ38" s="126">
        <f>VLOOKUP(AE38,db_fifarank,2,FALSE)</f>
        <v>1757.87</v>
      </c>
      <c r="AR38" s="125">
        <f>AP38/AP42</f>
        <v>0.99999998857142991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1</v>
      </c>
      <c r="CP38" s="64">
        <v>0</v>
      </c>
      <c r="CQ38" s="27">
        <v>4</v>
      </c>
      <c r="CR38" s="111">
        <f>IF(CR37="","",CO38*1000+CP38*10+CQ38)</f>
        <v>1004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5 - 2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2</v>
      </c>
      <c r="AH39" s="123">
        <f>COUNTIF($S$7:$T$78,"=" &amp; AE39 &amp; "_lose")</f>
        <v>1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4</v>
      </c>
      <c r="AL39" s="123">
        <f>AI39-AJ39</f>
        <v>-1</v>
      </c>
      <c r="AM39" s="123">
        <f>AL39-AL42</f>
        <v>1</v>
      </c>
      <c r="AN39" s="123">
        <f>AF39*3+AG39</f>
        <v>2</v>
      </c>
      <c r="AO39" s="123">
        <f>AN39/AN42*10+BA39</f>
        <v>3.4805825242718447</v>
      </c>
      <c r="AP39" s="123">
        <f>AO39*10000000+BI39*100+AM39/AM42*10+AI39/AI42*1++IF(AQ39=0,ROW(),AQ39)/2000000</f>
        <v>34805925.46846775</v>
      </c>
      <c r="AQ39" s="126">
        <f>VLOOKUP(AE39,db_fifarank,2,FALSE)</f>
        <v>1660.43</v>
      </c>
      <c r="AR39" s="125">
        <f>AP39/AP42</f>
        <v>0.39778195913144626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32"/>
      <c r="BL39" s="26" t="str">
        <f>IF(group_round_completed,VLOOKUP('3rd places'!H3,AK80:AS91,9,FALSE),"3rd Group A/E/H/I/J")</f>
        <v>Korea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0</v>
      </c>
      <c r="M40" s="23">
        <f>VLOOKUP(2,AD38:AN41,4,FALSE)</f>
        <v>3</v>
      </c>
      <c r="N40" s="23">
        <f>VLOOKUP(2,AD38:AN41,5,FALSE)</f>
        <v>0</v>
      </c>
      <c r="O40" s="23" t="str">
        <f>VLOOKUP(2,AD38:AN41,6,FALSE) &amp; " - " &amp; VLOOKUP(2,AD38:AN41,7,FALSE)</f>
        <v>3 - 3</v>
      </c>
      <c r="P40" s="34">
        <f>L40*3+M40</f>
        <v>3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3</v>
      </c>
      <c r="AH40" s="123">
        <f>COUNTIF($S$7:$T$78,"=" &amp; AE40 &amp; "_lose")</f>
        <v>0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3</v>
      </c>
      <c r="AL40" s="123">
        <f>AI40-AJ40</f>
        <v>0</v>
      </c>
      <c r="AM40" s="123">
        <f>AL40-AL42</f>
        <v>2</v>
      </c>
      <c r="AN40" s="123">
        <f>AF40*3+AG40</f>
        <v>3</v>
      </c>
      <c r="AO40" s="123">
        <f>AN40/AN42*10+BA40</f>
        <v>3.75</v>
      </c>
      <c r="AP40" s="123">
        <f>AO40*10000000+BI40*100+AM40/AM42*10+AI40/AI42*1++IF(AQ40=0,ROW(),AQ40)/2000000</f>
        <v>37500003.834090717</v>
      </c>
      <c r="AQ40" s="126">
        <f>VLOOKUP(AE40,db_fifarank,2,FALSE)</f>
        <v>1514.77</v>
      </c>
      <c r="AR40" s="125">
        <f>AP40/AP42</f>
        <v>0.42857142258938563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1</v>
      </c>
      <c r="G41" s="20">
        <v>1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3 - 4</v>
      </c>
      <c r="P41" s="34">
        <f>L41*3+M41</f>
        <v>2</v>
      </c>
      <c r="R41" s="123">
        <f>DATE(2026,6,20)+TIME(6,0,0)+gmt_delta</f>
        <v>46193.791666666664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2</v>
      </c>
      <c r="AH41" s="123">
        <f>COUNTIF($S$7:$T$78,"=" &amp; AE41 &amp; "_lose")</f>
        <v>1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4</v>
      </c>
      <c r="AL41" s="123">
        <f>AI41-AJ41</f>
        <v>-2</v>
      </c>
      <c r="AM41" s="123">
        <f>AL41-AL42</f>
        <v>0</v>
      </c>
      <c r="AN41" s="123">
        <f>AF41*3+AG41</f>
        <v>2</v>
      </c>
      <c r="AO41" s="123">
        <f>AN41/AN42*10+BA41</f>
        <v>3.4805825242718447</v>
      </c>
      <c r="AP41" s="123">
        <f>AO41*10000000+BI41*100+AM41/AM42*10+AI41/AI42*1++IF(AQ41=0,ROW(),AQ41)/2000000</f>
        <v>34805923.63504573</v>
      </c>
      <c r="AQ41" s="126">
        <f>VLOOKUP(AE41,db_fifarank,2,FALSE)</f>
        <v>1483.05</v>
      </c>
      <c r="AR41" s="125">
        <f>AP41/AP42</f>
        <v>0.39778193817805418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1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50.5</v>
      </c>
      <c r="BA41" s="126">
        <f>AZ41/AZ42</f>
        <v>0.98058252427184467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1</v>
      </c>
      <c r="BE41" s="126" cm="1">
        <f t="array" ref="BE41">SUMPRODUCT(($E$7:$E$78=AE41)*($X$7:$X$78)*($G$7:$G$78))+SUMPRODUCT(($H$7:$H$78=AE41)*($X$7:$X$78)*($F$7:$F$78))</f>
        <v>1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50.5</v>
      </c>
      <c r="BI41" s="126">
        <f>BH41/BH42</f>
        <v>0.98058252427184467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2</v>
      </c>
      <c r="N42" s="36">
        <f>VLOOKUP(4,AD38:AN41,5,FALSE)</f>
        <v>1</v>
      </c>
      <c r="O42" s="36" t="str">
        <f>VLOOKUP(4,AD38:AN41,6,FALSE) &amp; " - " &amp; VLOOKUP(4,AD38:AN41,7,FALSE)</f>
        <v>2 - 4</v>
      </c>
      <c r="P42" s="37">
        <f>L42*3+M42</f>
        <v>2</v>
      </c>
      <c r="R42" s="123">
        <f>DATE(2026,6,20)+TIME(17,0,0)+gmt_delta</f>
        <v>46194.25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1</v>
      </c>
      <c r="V42" s="123">
        <f t="shared" si="3"/>
        <v>1</v>
      </c>
      <c r="W42" s="123">
        <f t="shared" si="4"/>
        <v>1</v>
      </c>
      <c r="X42" s="123">
        <f t="shared" si="9"/>
        <v>1</v>
      </c>
      <c r="Y42" s="123">
        <f t="shared" si="10"/>
        <v>1</v>
      </c>
      <c r="Z42" s="123">
        <f t="shared" si="11"/>
        <v>1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2</v>
      </c>
      <c r="AI42" s="123">
        <f>MAX(AI38:AI41)+1</f>
        <v>6</v>
      </c>
      <c r="AL42" s="123">
        <f>MIN(AL38:AL41)</f>
        <v>-2</v>
      </c>
      <c r="AM42" s="123">
        <f>MAX(AM38:AM41)+1</f>
        <v>6</v>
      </c>
      <c r="AN42" s="123">
        <f>MAX(AN38:AN41)+1</f>
        <v>8</v>
      </c>
      <c r="AO42" s="123">
        <f>MAX(AO38:AO41)+1</f>
        <v>9.75</v>
      </c>
      <c r="AP42" s="123">
        <f>MAX(AP38:AP41)+1</f>
        <v>87500010.167545587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2</v>
      </c>
      <c r="AL44" s="123">
        <f>AI44-AJ44</f>
        <v>4</v>
      </c>
      <c r="AM44" s="123">
        <f>AL44-AL48</f>
        <v>8</v>
      </c>
      <c r="AN44" s="123">
        <f>AF44*3+AG44</f>
        <v>7</v>
      </c>
      <c r="AO44" s="123">
        <f>AN44/AN48*10+BA44</f>
        <v>8.75</v>
      </c>
      <c r="AP44" s="123">
        <f>AO44*10000000+BI44*100+AM44/AM48*10+AI44/AI48*1++IF(AQ44=0,ROW(),AQ44)/2000000</f>
        <v>87500009.746899098</v>
      </c>
      <c r="AQ44" s="126">
        <f>VLOOKUP(AE44,db_fifarank,2,FALSE)</f>
        <v>1734.71</v>
      </c>
      <c r="AR44" s="125">
        <f>AP44/AP48</f>
        <v>0.99999998857143002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6 - 2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2</v>
      </c>
      <c r="AH45" s="123">
        <f>COUNTIF($S$7:$T$78,"=" &amp; AE45 &amp; "_lose")</f>
        <v>0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2</v>
      </c>
      <c r="AL45" s="123">
        <f>AI45-AJ45</f>
        <v>1</v>
      </c>
      <c r="AM45" s="123">
        <f>AL45-AL48</f>
        <v>5</v>
      </c>
      <c r="AN45" s="123">
        <f>AF45*3+AG45</f>
        <v>5</v>
      </c>
      <c r="AO45" s="123">
        <f>AN45/AN48*10+BA45</f>
        <v>6.25</v>
      </c>
      <c r="AP45" s="123">
        <f>AO45*10000000+BI45*100+AM45/AM48*10+AI45/AI48*1++IF(AQ45=0,ROW(),AQ45)/2000000</f>
        <v>62500005.984908596</v>
      </c>
      <c r="AQ45" s="126">
        <f>VLOOKUP(AE45,db_fifarank,2,FALSE)</f>
        <v>1563.24</v>
      </c>
      <c r="AR45" s="125">
        <f>AP45/AP48</f>
        <v>0.71428569495488348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2</v>
      </c>
      <c r="N46" s="23">
        <f>VLOOKUP(2,AD44:AN47,5,FALSE)</f>
        <v>0</v>
      </c>
      <c r="O46" s="23" t="str">
        <f>VLOOKUP(2,AD44:AN47,6,FALSE) &amp; " - " &amp; VLOOKUP(2,AD44:AN47,7,FALSE)</f>
        <v>3 - 2</v>
      </c>
      <c r="P46" s="34">
        <f>L46*3+M46</f>
        <v>5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2</v>
      </c>
      <c r="AH46" s="123">
        <f>COUNTIF($S$7:$T$78,"=" &amp; AE46 &amp; "_lose")</f>
        <v>1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3</v>
      </c>
      <c r="AL46" s="123">
        <f>AI46-AJ46</f>
        <v>-1</v>
      </c>
      <c r="AM46" s="123">
        <f>AL46-AL48</f>
        <v>3</v>
      </c>
      <c r="AN46" s="123">
        <f>AF46*3+AG46</f>
        <v>2</v>
      </c>
      <c r="AO46" s="123">
        <f>AN46/AN48*10+BA46</f>
        <v>2.5</v>
      </c>
      <c r="AP46" s="123">
        <f>AO46*10000000+BI46*100+AM46/AM48*10+AI46/AI48*1++IF(AQ46=0,ROW(),AQ46)/2000000</f>
        <v>25000003.61985527</v>
      </c>
      <c r="AQ46" s="126">
        <f>VLOOKUP(AE46,db_fifarank,2,FALSE)</f>
        <v>1615.3</v>
      </c>
      <c r="AR46" s="125">
        <f>AP46/AP48</f>
        <v>0.28571429199214404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2 - 3</v>
      </c>
      <c r="P47" s="34">
        <f>L47*3+M47</f>
        <v>2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4</v>
      </c>
      <c r="AL47" s="123">
        <f>AI47-AJ47</f>
        <v>-4</v>
      </c>
      <c r="AM47" s="123">
        <f>AL47-AL48</f>
        <v>0</v>
      </c>
      <c r="AN47" s="123">
        <f>AF47*3+AG47</f>
        <v>1</v>
      </c>
      <c r="AO47" s="123">
        <f>AN47/AN48*10+BA47</f>
        <v>1.25</v>
      </c>
      <c r="AP47" s="123">
        <f>AO47*10000000+BI47*100+AM47/AM48*10+AI47/AI48*1++IF(AQ47=0,ROW(),AQ47)/2000000</f>
        <v>12500000.000640785</v>
      </c>
      <c r="AQ47" s="126">
        <f>VLOOKUP(AE47,db_fifarank,2,FALSE)</f>
        <v>1281.57</v>
      </c>
      <c r="AR47" s="125">
        <f>AP47/AP48</f>
        <v>0.14285712531851055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0 - 4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2</v>
      </c>
      <c r="AH48" s="123">
        <f t="shared" si="24"/>
        <v>3</v>
      </c>
      <c r="AI48" s="123">
        <f>MAX(AI44:AI47)+1</f>
        <v>7</v>
      </c>
      <c r="AL48" s="123">
        <f>MIN(AL44:AL47)</f>
        <v>-4</v>
      </c>
      <c r="AM48" s="123">
        <f>MAX(AM44:AM47)+1</f>
        <v>9</v>
      </c>
      <c r="AN48" s="123">
        <f>MAX(AN44:AN47)+1</f>
        <v>8</v>
      </c>
      <c r="AO48" s="123">
        <f>MAX(AO44:AO47)+1</f>
        <v>9.75</v>
      </c>
      <c r="AP48" s="123">
        <f>MAX(AP44:AP47)+1</f>
        <v>87500010.746899098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1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Argentina_draw</v>
      </c>
      <c r="T49" s="127" t="str">
        <f t="shared" si="20"/>
        <v>Austria_draw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0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3</v>
      </c>
      <c r="CB49" s="64"/>
      <c r="CC49" s="27"/>
      <c r="CD49" s="113">
        <f>IF(CD48="","",CA49*1000+CB49*10+CC49)</f>
        <v>3000</v>
      </c>
      <c r="CK49" s="114"/>
      <c r="CL49" s="115"/>
      <c r="CM49" s="132"/>
      <c r="CN49" s="26" t="str">
        <f>IF(CK55&gt;CK56,CG56,IF(CK55&lt;CK56,CG55,""))</f>
        <v>England</v>
      </c>
      <c r="CO49" s="62">
        <v>2</v>
      </c>
      <c r="CP49" s="64"/>
      <c r="CQ49" s="27"/>
      <c r="CR49" s="111">
        <f>IF(CR48="","",CO49*1000+CP49*10+CQ49)</f>
        <v>2000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1</v>
      </c>
      <c r="AL50" s="123">
        <f>AI50-AJ50</f>
        <v>6</v>
      </c>
      <c r="AM50" s="123">
        <f>AL50-AL54</f>
        <v>11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90000010.042604879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Czech Republic</v>
      </c>
      <c r="BM50" s="61">
        <v>1</v>
      </c>
      <c r="BN50" s="63">
        <v>0</v>
      </c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7 - 1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6</v>
      </c>
      <c r="AL51" s="123">
        <f>AI51-AJ51</f>
        <v>-5</v>
      </c>
      <c r="AM51" s="123">
        <f>AL51-AL54</f>
        <v>0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19805923.42665394</v>
      </c>
      <c r="AQ51" s="126">
        <f>VLOOKUP(AE51,db_fifarank,2,FALSE)</f>
        <v>1366.13</v>
      </c>
      <c r="AR51" s="125">
        <f>AP51/AP54</f>
        <v>0.22006578885060429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32"/>
      <c r="BL51" s="26" t="str">
        <f>IF(group_round_completed,VLOOKUP('3rd places'!D3,AK80:AS91,9,FALSE),"3rd Group C/E/F/H/I")</f>
        <v>Ivory Coast</v>
      </c>
      <c r="BM51" s="62">
        <v>1</v>
      </c>
      <c r="BN51" s="64">
        <v>1</v>
      </c>
      <c r="BO51" s="27"/>
      <c r="BP51" s="113">
        <f>IF(BP50="","",BM51*1000+BN51*10+BO51)</f>
        <v>1010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4 - 2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4</v>
      </c>
      <c r="AL52" s="123">
        <f>AI52-AJ52</f>
        <v>-3</v>
      </c>
      <c r="AM52" s="123">
        <f>AL52-AL54</f>
        <v>2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19805925.093348257</v>
      </c>
      <c r="AQ52" s="126">
        <f>VLOOKUP(AE52,db_fifarank,2,FALSE)</f>
        <v>1421.43</v>
      </c>
      <c r="AR52" s="125">
        <f>AP52/AP54</f>
        <v>0.22006580736942777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Ivory Coast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1 - 4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2</v>
      </c>
      <c r="AL53" s="123">
        <f>AI53-AJ53</f>
        <v>2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60000006.334169872</v>
      </c>
      <c r="AQ53" s="126">
        <f>VLOOKUP(AE53,db_fifarank,2,FALSE)</f>
        <v>1673.07</v>
      </c>
      <c r="AR53" s="125">
        <f>AP53/AP54</f>
        <v>0.66666665524926016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1 - 6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8</v>
      </c>
      <c r="AL54" s="123">
        <f>MIN(AL50:AL53)</f>
        <v>-5</v>
      </c>
      <c r="AM54" s="123">
        <f>MAX(AM50:AM53)+1</f>
        <v>12</v>
      </c>
      <c r="AN54" s="123">
        <f>MAX(AN50:AN53)+1</f>
        <v>10</v>
      </c>
      <c r="AO54" s="123">
        <f>MAX(AO50:AO53)+1</f>
        <v>10</v>
      </c>
      <c r="AP54" s="123">
        <f>MAX(AP50:AP53)+1</f>
        <v>90000011.042604879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1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Scotland_draw</v>
      </c>
      <c r="T55" s="127" t="str">
        <f t="shared" si="20"/>
        <v>Brazil_draw</v>
      </c>
      <c r="U55" s="123">
        <f t="shared" si="8"/>
        <v>1</v>
      </c>
      <c r="V55" s="123">
        <f t="shared" si="21"/>
        <v>1</v>
      </c>
      <c r="W55" s="123">
        <f t="shared" si="22"/>
        <v>1</v>
      </c>
      <c r="X55" s="123">
        <f t="shared" si="9"/>
        <v>1</v>
      </c>
      <c r="Y55" s="123">
        <f t="shared" si="10"/>
        <v>1</v>
      </c>
      <c r="Z55" s="123">
        <f t="shared" si="11"/>
        <v>1</v>
      </c>
      <c r="AA55" s="123">
        <f t="shared" si="17"/>
        <v>0</v>
      </c>
      <c r="AB55" s="123">
        <f t="shared" si="23"/>
        <v>0</v>
      </c>
      <c r="BK55" s="132"/>
      <c r="BL55" s="26" t="str">
        <f>IF(group_round_completed,VLOOKUP('3rd places'!K3,AK80:AS91,9,FALSE),"3rd Group E/H/I/J/K")</f>
        <v>Senegal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6</v>
      </c>
      <c r="AJ56" s="123">
        <f>SUMIF($E$7:$E$78,$AE56,$G$7:$G$78) + SUMIF($H$7:$H$78,$AE56,$F$7:$F$78)</f>
        <v>2</v>
      </c>
      <c r="AL56" s="123">
        <f>AI56-AJ56</f>
        <v>4</v>
      </c>
      <c r="AM56" s="123">
        <f>AL56-AL60</f>
        <v>10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87500009.841847748</v>
      </c>
      <c r="AQ56" s="126">
        <f>VLOOKUP(AE56,db_fifarank,2,FALSE)</f>
        <v>1877.32</v>
      </c>
      <c r="AR56" s="125">
        <f>AP56/AP60</f>
        <v>0.99999998857143002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6 - 2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3</v>
      </c>
      <c r="AL57" s="123">
        <f>AI57-AJ57</f>
        <v>0</v>
      </c>
      <c r="AM57" s="123">
        <f>AL57-AL60</f>
        <v>6</v>
      </c>
      <c r="AN57" s="123">
        <f>AF57*3+AG57</f>
        <v>4</v>
      </c>
      <c r="AO57" s="123">
        <f>AN57/AN60*10+BA57</f>
        <v>5</v>
      </c>
      <c r="AP57" s="123">
        <f>AO57*10000000+BI57*100+AM57/AM60*10+AI57/AI60*1++IF(AQ57=0,ROW(),AQ57)/2000000</f>
        <v>50000005.830389947</v>
      </c>
      <c r="AQ57" s="126">
        <f>VLOOKUP(AE57,db_fifarank,2,FALSE)</f>
        <v>1688.99</v>
      </c>
      <c r="AR57" s="125">
        <f>AP57/AP60</f>
        <v>0.5714285672576962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3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2</v>
      </c>
      <c r="N58" s="23">
        <f>VLOOKUP(2,AD56:AN59,5,FALSE)</f>
        <v>0</v>
      </c>
      <c r="O58" s="23" t="str">
        <f>VLOOKUP(2,AD56:AN59,6,FALSE) &amp; " - " &amp; VLOOKUP(2,AD56:AN59,7,FALSE)</f>
        <v>7 - 5</v>
      </c>
      <c r="P58" s="34">
        <f>L58*3+M58</f>
        <v>5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7</v>
      </c>
      <c r="AL58" s="123">
        <f>AI58-AJ58</f>
        <v>-6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0.12572357000000001</v>
      </c>
      <c r="AQ58" s="126">
        <f>VLOOKUP(AE58,db_fifarank,2,FALSE)</f>
        <v>1447.14</v>
      </c>
      <c r="AR58" s="125">
        <f>AP58/AP60</f>
        <v>1.4368406219656314E-9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3 - 3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1</v>
      </c>
      <c r="V59" s="123">
        <f t="shared" si="21"/>
        <v>1</v>
      </c>
      <c r="W59" s="123">
        <f t="shared" si="22"/>
        <v>1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2</v>
      </c>
      <c r="AH59" s="123">
        <f>COUNTIF($S$7:$T$78,"=" &amp; AE59 &amp; "_lose")</f>
        <v>0</v>
      </c>
      <c r="AI59" s="123">
        <f>SUMIF($E$7:$E$78,$AE59,$F$7:$F$78) + SUMIF($H$7:$H$78,$AE59,$G$7:$G$78)</f>
        <v>7</v>
      </c>
      <c r="AJ59" s="123">
        <f>SUMIF($E$7:$E$78,$AE59,$G$7:$G$78) + SUMIF($H$7:$H$78,$AE59,$F$7:$F$78)</f>
        <v>5</v>
      </c>
      <c r="AL59" s="123">
        <f>AI59-AJ59</f>
        <v>2</v>
      </c>
      <c r="AM59" s="123">
        <f>AL59-AL60</f>
        <v>8</v>
      </c>
      <c r="AN59" s="123">
        <f>AF59*3+AG59</f>
        <v>5</v>
      </c>
      <c r="AO59" s="123">
        <f>AN59/AN60*10+BA59</f>
        <v>6.25</v>
      </c>
      <c r="AP59" s="123">
        <f>AO59*10000000+BI59*100+AM59/AM60*10+AI59/AI60*1++IF(AQ59=0,ROW(),AQ59)/2000000</f>
        <v>62500008.148502745</v>
      </c>
      <c r="AQ59" s="126">
        <f>VLOOKUP(AE59,db_fifarank,2,FALSE)</f>
        <v>1550.94</v>
      </c>
      <c r="AR59" s="125">
        <f>AP59/AP60</f>
        <v>0.71428571890657977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3</v>
      </c>
      <c r="AH60" s="123">
        <f t="shared" si="27"/>
        <v>4</v>
      </c>
      <c r="AI60" s="123">
        <f>MAX(AI56:AI59)+1</f>
        <v>8</v>
      </c>
      <c r="AL60" s="123">
        <f>MIN(AL56:AL59)</f>
        <v>-6</v>
      </c>
      <c r="AM60" s="123">
        <f>MAX(AM56:AM59)+1</f>
        <v>11</v>
      </c>
      <c r="AN60" s="123">
        <f>MAX(AN56:AN59)+1</f>
        <v>8</v>
      </c>
      <c r="AO60" s="123">
        <f>MAX(AO56:AO59)+1</f>
        <v>9.75</v>
      </c>
      <c r="AP60" s="123">
        <f>MAX(AP56:AP59)+1</f>
        <v>87500010.841847748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1</v>
      </c>
      <c r="V62" s="123">
        <f t="shared" si="21"/>
        <v>1</v>
      </c>
      <c r="W62" s="123">
        <f t="shared" si="22"/>
        <v>1</v>
      </c>
      <c r="X62" s="123">
        <f t="shared" si="9"/>
        <v>1</v>
      </c>
      <c r="Y62" s="123">
        <f t="shared" si="10"/>
        <v>1</v>
      </c>
      <c r="Z62" s="123">
        <f t="shared" si="11"/>
        <v>1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1</v>
      </c>
      <c r="AL62" s="123">
        <f>AI62-AJ62</f>
        <v>5</v>
      </c>
      <c r="AM62" s="123">
        <f>AL62-AL66</f>
        <v>13</v>
      </c>
      <c r="AN62" s="123">
        <f>AF62*3+AG62</f>
        <v>7</v>
      </c>
      <c r="AO62" s="123">
        <f>AN62/AN66*10+BA62</f>
        <v>8.75</v>
      </c>
      <c r="AP62" s="123">
        <f>AO62*10000000+BI62*100+AM62/AM66*10+AI62/AI66*1++IF(AQ62=0,ROW(),AQ62)/2000000</f>
        <v>87500010.143794551</v>
      </c>
      <c r="AQ62" s="126">
        <f>VLOOKUP(AE62,db_fifarank,2,FALSE)</f>
        <v>1874.82</v>
      </c>
      <c r="AR62" s="125">
        <f>AP62/AP66</f>
        <v>0.99999998857143002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1</v>
      </c>
      <c r="BN62" s="63">
        <v>0</v>
      </c>
      <c r="BO62" s="25">
        <v>4</v>
      </c>
      <c r="BP62" s="116">
        <f>IF(OR(BM62="",BM63="",AND(BN62="",BN63&lt;&gt;""),AND(BN63="",BN62&lt;&gt;""),AND(BO62="",BO63&lt;&gt;""),AND(BO63="",BO62&lt;&gt;"")),"",BM62*1000+BN62*10+BO62)</f>
        <v>1004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6 - 1</v>
      </c>
      <c r="P63" s="32">
        <f>L63*3+M63</f>
        <v>7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3</v>
      </c>
      <c r="AL63" s="123">
        <f>AI63-AJ63</f>
        <v>0</v>
      </c>
      <c r="AM63" s="123">
        <f>AL63-AL66</f>
        <v>8</v>
      </c>
      <c r="AN63" s="123">
        <f>AF63*3+AG63</f>
        <v>4</v>
      </c>
      <c r="AO63" s="123">
        <f>AN63/AN66*10+BA63</f>
        <v>5</v>
      </c>
      <c r="AP63" s="123">
        <f>AO63*10000000+BI63*100+AM63/AM66*10+AI63/AI66*1++IF(AQ63=0,ROW(),AQ63)/2000000</f>
        <v>50000006.143639274</v>
      </c>
      <c r="AQ63" s="126">
        <f>VLOOKUP(AE63,db_fifarank,2,FALSE)</f>
        <v>1564.26</v>
      </c>
      <c r="AR63" s="125">
        <f>AP63/AP66</f>
        <v>0.57142856886579085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1</v>
      </c>
      <c r="BN63" s="64">
        <v>0</v>
      </c>
      <c r="BO63" s="27">
        <v>3</v>
      </c>
      <c r="BP63" s="112">
        <f>IF(BP62="","",BM63*1000+BN63*10+BO63)</f>
        <v>1003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2</v>
      </c>
      <c r="N64" s="23">
        <f>VLOOKUP(2,AD62:AN65,5,FALSE)</f>
        <v>0</v>
      </c>
      <c r="O64" s="23" t="str">
        <f>VLOOKUP(2,AD62:AN65,6,FALSE) &amp; " - " &amp; VLOOKUP(2,AD62:AN65,7,FALSE)</f>
        <v>5 - 2</v>
      </c>
      <c r="P64" s="34">
        <f>L64*3+M64</f>
        <v>5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2</v>
      </c>
      <c r="AH64" s="123">
        <f>COUNTIF($S$7:$T$78,"=" &amp; AE64 &amp; "_lose")</f>
        <v>0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2</v>
      </c>
      <c r="AL64" s="123">
        <f>AI64-AJ64</f>
        <v>3</v>
      </c>
      <c r="AM64" s="123">
        <f>AL64-AL66</f>
        <v>11</v>
      </c>
      <c r="AN64" s="123">
        <f>AF64*3+AG64</f>
        <v>5</v>
      </c>
      <c r="AO64" s="123">
        <f>AN64/AN66*10+BA64</f>
        <v>6.25</v>
      </c>
      <c r="AP64" s="123">
        <f>AO64*10000000+BI64*100+AM64/AM66*10+AI64/AI66*1++IF(AQ64=0,ROW(),AQ64)/2000000</f>
        <v>62500008.572225302</v>
      </c>
      <c r="AQ64" s="126">
        <f>VLOOKUP(AE64,db_fifarank,2,FALSE)</f>
        <v>1593.45</v>
      </c>
      <c r="AR64" s="125">
        <f>AP64/AP66</f>
        <v>0.71428572128425116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3 - 3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8</v>
      </c>
      <c r="AL65" s="123">
        <f>AI65-AJ65</f>
        <v>-8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7.9511418445041012E-12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2</v>
      </c>
      <c r="CB65" s="64"/>
      <c r="CC65" s="27"/>
      <c r="CD65" s="112">
        <f>IF(CD64="","",CA65*1000+CB65*10+CC65)</f>
        <v>2000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0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0 - 8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1</v>
      </c>
      <c r="V66" s="123">
        <f t="shared" si="21"/>
        <v>0</v>
      </c>
      <c r="W66" s="123">
        <f t="shared" si="22"/>
        <v>0</v>
      </c>
      <c r="X66" s="123">
        <f t="shared" si="9"/>
        <v>1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3</v>
      </c>
      <c r="AG66" s="123">
        <f t="shared" si="28"/>
        <v>3</v>
      </c>
      <c r="AH66" s="123">
        <f t="shared" si="28"/>
        <v>4</v>
      </c>
      <c r="AI66" s="123">
        <f>MAX(AI62:AI65)+1</f>
        <v>7</v>
      </c>
      <c r="AL66" s="123">
        <f>MIN(AL62:AL65)</f>
        <v>-8</v>
      </c>
      <c r="AM66" s="123">
        <f>MAX(AM62:AM65)+1</f>
        <v>14</v>
      </c>
      <c r="AN66" s="123">
        <f>MAX(AN62:AN65)+1</f>
        <v>8</v>
      </c>
      <c r="AO66" s="123">
        <f>MAX(AO62:AO65)+1</f>
        <v>9.75</v>
      </c>
      <c r="AP66" s="123">
        <f>MAX(AP62:AP65)+1</f>
        <v>87500011.143794551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0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2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Algeria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1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1</v>
      </c>
      <c r="AL68" s="123">
        <f>AI68-AJ68</f>
        <v>7</v>
      </c>
      <c r="AM68" s="123">
        <f>AL68-AL72</f>
        <v>13</v>
      </c>
      <c r="AN68" s="123">
        <f>AF68*3+AG68</f>
        <v>7</v>
      </c>
      <c r="AO68" s="123">
        <f>AN68/AN72*10+BA68</f>
        <v>9.7401477832512313</v>
      </c>
      <c r="AP68" s="123">
        <f>AO68*10000000+BI68*100+AM68/AM72*10+AI68/AI72*1++IF(AQ68=0,ROW(),AQ68)/2000000</f>
        <v>97401587.022775739</v>
      </c>
      <c r="AQ68" s="126">
        <f>VLOOKUP(AE68,db_fifarank,2,FALSE)</f>
        <v>1763.83</v>
      </c>
      <c r="AR68" s="125">
        <f>AP68/AP72</f>
        <v>0.9999999897332269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100.5</v>
      </c>
      <c r="BA68" s="126">
        <f>AZ68/AZ72</f>
        <v>0.99014778325123154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100.5</v>
      </c>
      <c r="BI68" s="126">
        <f>BH68/BH72</f>
        <v>0.99014778325123154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Algeria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Portugal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8 - 1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6</v>
      </c>
      <c r="AL69" s="123">
        <f>AI69-AJ69</f>
        <v>-6</v>
      </c>
      <c r="AM69" s="123">
        <f>AL69-AL72</f>
        <v>0</v>
      </c>
      <c r="AN69" s="123">
        <f>AF69*3+AG69</f>
        <v>1</v>
      </c>
      <c r="AO69" s="123">
        <f>AN69/AN72*10+BA69</f>
        <v>2.2352216748768474</v>
      </c>
      <c r="AP69" s="123">
        <f>AO69*10000000+BI69*100+AM69/AM72*10+AI69/AI72*1++IF(AQ69=0,ROW(),AQ69)/2000000</f>
        <v>22352315.27167514</v>
      </c>
      <c r="AQ69" s="126">
        <f>VLOOKUP(AE69,db_fifarank,2,FALSE)</f>
        <v>1478.35</v>
      </c>
      <c r="AR69" s="125">
        <f>AP69/AP72</f>
        <v>0.22948614827972233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100</v>
      </c>
      <c r="BA69" s="126">
        <f>AZ69/AZ72</f>
        <v>0.98522167487684731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100</v>
      </c>
      <c r="BI69" s="126">
        <f>BH69/BH72</f>
        <v>0.98522167487684731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5 - 1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5</v>
      </c>
      <c r="AL70" s="123">
        <f>AI70-AJ70</f>
        <v>-5</v>
      </c>
      <c r="AM70" s="123">
        <f>AL70-AL72</f>
        <v>1</v>
      </c>
      <c r="AN70" s="123">
        <f>AF70*3+AG70</f>
        <v>1</v>
      </c>
      <c r="AO70" s="123">
        <f>AN70/AN72*10+BA70</f>
        <v>2.2352216748768474</v>
      </c>
      <c r="AP70" s="123">
        <f>AO70*10000000+BI70*100+AM70/AM72*10+AI70/AI72*1++IF(AQ70=0,ROW(),AQ70)/2000000</f>
        <v>22352315.985954348</v>
      </c>
      <c r="AQ70" s="126">
        <f>VLOOKUP(AE70,db_fifarank,2,FALSE)</f>
        <v>1465.34</v>
      </c>
      <c r="AR70" s="125">
        <f>AP70/AP72</f>
        <v>0.22948615561306487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100</v>
      </c>
      <c r="BA70" s="126">
        <f>AZ70/AZ72</f>
        <v>0.98522167487684731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100</v>
      </c>
      <c r="BI70" s="126">
        <f>BH70/BH72</f>
        <v>0.98522167487684731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0 - 5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1</v>
      </c>
      <c r="AL71" s="123">
        <f>AI71-AJ71</f>
        <v>4</v>
      </c>
      <c r="AM71" s="123">
        <f>AL71-AL72</f>
        <v>10</v>
      </c>
      <c r="AN71" s="123">
        <f>AF71*3+AG71</f>
        <v>7</v>
      </c>
      <c r="AO71" s="123">
        <f>AN71/AN72*10+BA71</f>
        <v>9.7401477832512313</v>
      </c>
      <c r="AP71" s="123">
        <f>AO71*10000000+BI71*100+AM71/AM72*10+AI71/AI72*1++IF(AQ71=0,ROW(),AQ71)/2000000</f>
        <v>97401584.546549901</v>
      </c>
      <c r="AQ71" s="126">
        <f>VLOOKUP(AE71,db_fifarank,2,FALSE)</f>
        <v>1693.09</v>
      </c>
      <c r="AR71" s="125">
        <f>AP71/AP72</f>
        <v>0.99999996431037819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100.5</v>
      </c>
      <c r="BA71" s="126">
        <f>AZ71/AZ72</f>
        <v>0.99014778325123154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100.5</v>
      </c>
      <c r="BI71" s="126">
        <f>BH71/BH72</f>
        <v>0.99014778325123154</v>
      </c>
      <c r="BK71" s="132"/>
      <c r="BL71" s="26" t="str">
        <f>IF(group_round_completed,VLOOKUP('3rd places'!J3,AK80:AS91,9,FALSE),"3rd Group D/E/I/J/L")</f>
        <v>Croatia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0 - 6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9</v>
      </c>
      <c r="AL72" s="123">
        <f>MIN(AL68:AL71)</f>
        <v>-6</v>
      </c>
      <c r="AM72" s="123">
        <f>MAX(AM68:AM71)+1</f>
        <v>14</v>
      </c>
      <c r="AN72" s="123">
        <f>MAX(AN68:AN71)+1</f>
        <v>8</v>
      </c>
      <c r="AO72" s="123">
        <f>MAX(AO68:AO71)+1</f>
        <v>10.740147783251231</v>
      </c>
      <c r="AP72" s="123">
        <f>MAX(AP68:AP71)+1</f>
        <v>97401588.022775739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101.5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101.5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4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1</v>
      </c>
      <c r="V74" s="123">
        <f t="shared" si="21"/>
        <v>1</v>
      </c>
      <c r="W74" s="123">
        <f t="shared" si="22"/>
        <v>1</v>
      </c>
      <c r="X74" s="123">
        <f t="shared" si="32"/>
        <v>1</v>
      </c>
      <c r="Y74" s="123">
        <f t="shared" si="33"/>
        <v>1</v>
      </c>
      <c r="Z74" s="123">
        <f t="shared" si="34"/>
        <v>1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0</v>
      </c>
      <c r="AL74" s="123">
        <f>AI74-AJ74</f>
        <v>8</v>
      </c>
      <c r="AM74" s="123">
        <f>AL74-AL78</f>
        <v>15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90000010.264801875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8 - 0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2</v>
      </c>
      <c r="AJ75" s="123">
        <f>SUMIF($E$7:$E$78,$AE75,$G$7:$G$78) + SUMIF($H$7:$H$78,$AE75,$F$7:$F$78)</f>
        <v>3</v>
      </c>
      <c r="AL75" s="123">
        <f>AI75-AJ75</f>
        <v>-1</v>
      </c>
      <c r="AM75" s="123">
        <f>AL75-AL78</f>
        <v>6</v>
      </c>
      <c r="AN75" s="123">
        <f>AF75*3+AG75</f>
        <v>4</v>
      </c>
      <c r="AO75" s="123">
        <f>AN75/AN78*10+BA75</f>
        <v>4.9805825242718447</v>
      </c>
      <c r="AP75" s="123">
        <f>AO75*10000000+BI75*100+AM75/AM78*10+AI75/AI78*1++IF(AQ75=0,ROW(),AQ75)/2000000</f>
        <v>49805927.274051629</v>
      </c>
      <c r="AQ75" s="126">
        <f>VLOOKUP(AE75,db_fifarank,2,FALSE)</f>
        <v>1717.07</v>
      </c>
      <c r="AR75" s="125">
        <f>AP75/AP78</f>
        <v>0.55339912266800173</v>
      </c>
      <c r="AS75" s="125" t="str">
        <f>IF(SUM(AF74:AH77)=12,J76,"2L")</f>
        <v>Ghana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3 - 3</v>
      </c>
      <c r="P76" s="34">
        <f>L76*3+M76</f>
        <v>4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3</v>
      </c>
      <c r="AL76" s="123">
        <f>AI76-AJ76</f>
        <v>0</v>
      </c>
      <c r="AM76" s="123">
        <f>AL76-AL78</f>
        <v>7</v>
      </c>
      <c r="AN76" s="123">
        <f>AF76*3+AG76</f>
        <v>4</v>
      </c>
      <c r="AO76" s="123">
        <f>AN76/AN78*10+BA76</f>
        <v>4.9805825242718447</v>
      </c>
      <c r="AP76" s="123">
        <f>AO76*10000000+BI76*100+AM76/AM78*10+AI76/AI78*1++IF(AQ76=0,ROW(),AQ76)/2000000</f>
        <v>49805928.009977356</v>
      </c>
      <c r="AQ76" s="126">
        <f>VLOOKUP(AE76,db_fifarank,2,FALSE)</f>
        <v>1346.31</v>
      </c>
      <c r="AR76" s="125">
        <f>AP76/AP78</f>
        <v>0.55339913084495318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2 - 3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1</v>
      </c>
      <c r="W77" s="123">
        <f t="shared" si="22"/>
        <v>1</v>
      </c>
      <c r="X77" s="123">
        <f t="shared" si="32"/>
        <v>1</v>
      </c>
      <c r="Y77" s="123">
        <f t="shared" si="33"/>
        <v>1</v>
      </c>
      <c r="Z77" s="123">
        <f t="shared" si="34"/>
        <v>1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7</v>
      </c>
      <c r="AL77" s="123">
        <f>AI77-AJ77</f>
        <v>-7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8.5591100398146803E-12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0 - 7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4</v>
      </c>
      <c r="AI78" s="123">
        <f>MAX(AI74:AI77)+1</f>
        <v>9</v>
      </c>
      <c r="AL78" s="123">
        <f>MIN(AL74:AL77)</f>
        <v>-7</v>
      </c>
      <c r="AM78" s="123">
        <f>MAX(AM74:AM77)+1</f>
        <v>16</v>
      </c>
      <c r="AN78" s="123">
        <f>MAX(AN74:AN77)+1</f>
        <v>10</v>
      </c>
      <c r="AO78" s="123">
        <f>MAX(AO74:AO77)+1</f>
        <v>10</v>
      </c>
      <c r="AP78" s="123">
        <f>MAX(AP74:AP77)+1</f>
        <v>90000011.264801875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2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2</v>
      </c>
      <c r="AH80" s="123">
        <f>VLOOKUP($AE80,$AE$8:$AQ$78,4,FALSE)</f>
        <v>0</v>
      </c>
      <c r="AI80" s="123">
        <f>VLOOKUP($AE80,$AE$8:$AQ$78,5,FALSE)</f>
        <v>2</v>
      </c>
      <c r="AJ80" s="123">
        <f>VLOOKUP($AE80,$AE$8:$AQ$78,6,FALSE)</f>
        <v>1</v>
      </c>
      <c r="AK80" s="123" t="s">
        <v>3180</v>
      </c>
      <c r="AL80" s="123">
        <f>VLOOKUP($AE80,$AE$8:$AQ$78,8,FALSE)</f>
        <v>1</v>
      </c>
      <c r="AM80" s="123">
        <f>AL80-$AL$92</f>
        <v>6</v>
      </c>
      <c r="AN80" s="123">
        <f>VLOOKUP($AE80,$AE$8:$AQ$78,10,FALSE)</f>
        <v>5</v>
      </c>
      <c r="AP80" s="123">
        <f>AN80/AN92*10000+AM80/AM92*1000+AI80/AI92*100+IF(AQ80=0,ROW(),AQ80)/2000000</f>
        <v>9116.6674609966685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Ⓒ Scotland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4 - 2</v>
      </c>
      <c r="P81" s="98">
        <f>L81*3+M81</f>
        <v>5</v>
      </c>
      <c r="AD81" s="123">
        <f t="shared" ref="AD81:AD91" si="38">COUNTIF($AP$80:$AP$91,CONCATENATE("&gt;=",AP81))</f>
        <v>6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4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7200.0007782399989</v>
      </c>
      <c r="AQ81" s="126">
        <f t="shared" si="37"/>
        <v>1556.48</v>
      </c>
      <c r="AR81" s="125" t="str">
        <f>AR80&amp;IF(AD81&lt;=8,RIGHT(AK81,1),"")</f>
        <v>AB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Ⓐ Korea Republic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2</v>
      </c>
      <c r="N82" s="100">
        <f>VLOOKUP(2,$AD$80:$AN$91,5,FALSE)</f>
        <v>0</v>
      </c>
      <c r="O82" s="100" t="str">
        <f>VLOOKUP(2,$AD$80:$AN$91,6,FALSE) &amp; " - " &amp; VLOOKUP(2,$AD$80:$AN$91,7,FALSE)</f>
        <v>2 - 1</v>
      </c>
      <c r="P82" s="101">
        <f t="shared" ref="P82:P92" si="48">L82*3+M82</f>
        <v>5</v>
      </c>
      <c r="AD82" s="123">
        <f t="shared" si="38"/>
        <v>1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2</v>
      </c>
      <c r="AH82" s="123">
        <f t="shared" si="40"/>
        <v>0</v>
      </c>
      <c r="AI82" s="123">
        <f t="shared" si="41"/>
        <v>4</v>
      </c>
      <c r="AJ82" s="123">
        <f t="shared" si="42"/>
        <v>2</v>
      </c>
      <c r="AK82" s="123" t="s">
        <v>3182</v>
      </c>
      <c r="AL82" s="123">
        <f t="shared" si="43"/>
        <v>2</v>
      </c>
      <c r="AM82" s="123">
        <f t="shared" si="44"/>
        <v>7</v>
      </c>
      <c r="AN82" s="123">
        <f t="shared" si="45"/>
        <v>5</v>
      </c>
      <c r="AP82" s="123">
        <f>AN82/AN92*10000+AM82/AM92*1000+AI82/AI92*100+IF(AQ82=0,ROW(),AQ82)/2000000</f>
        <v>9275.0007491750002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Ⓘ Senegal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3 - 3</v>
      </c>
      <c r="P83" s="101">
        <f t="shared" si="48"/>
        <v>4</v>
      </c>
      <c r="AD83" s="123">
        <f t="shared" si="38"/>
        <v>10</v>
      </c>
      <c r="AE83" s="124" t="str">
        <f>J29</f>
        <v>Australia</v>
      </c>
      <c r="AF83" s="123">
        <f t="shared" si="39"/>
        <v>0</v>
      </c>
      <c r="AG83" s="123">
        <f t="shared" si="49"/>
        <v>1</v>
      </c>
      <c r="AH83" s="123">
        <f t="shared" si="40"/>
        <v>2</v>
      </c>
      <c r="AI83" s="123">
        <f t="shared" si="41"/>
        <v>1</v>
      </c>
      <c r="AJ83" s="123">
        <f t="shared" si="42"/>
        <v>3</v>
      </c>
      <c r="AK83" s="123" t="s">
        <v>3184</v>
      </c>
      <c r="AL83" s="123">
        <f t="shared" si="43"/>
        <v>-2</v>
      </c>
      <c r="AM83" s="123">
        <f t="shared" si="44"/>
        <v>3</v>
      </c>
      <c r="AN83" s="123">
        <f t="shared" si="45"/>
        <v>1</v>
      </c>
      <c r="AP83" s="123">
        <f>AN83/AN92*10000+AM83/AM92*1000+AI83/AI92*100+IF(AQ83=0,ROW(),AQ83)/2000000</f>
        <v>2058.3341236683332</v>
      </c>
      <c r="AQ83" s="126">
        <f t="shared" si="37"/>
        <v>1580.67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Australia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Ⓙ Algeria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3 - 3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7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5</v>
      </c>
      <c r="AJ84" s="123">
        <f t="shared" si="42"/>
        <v>4</v>
      </c>
      <c r="AK84" s="123" t="s">
        <v>3185</v>
      </c>
      <c r="AL84" s="123">
        <f t="shared" si="43"/>
        <v>1</v>
      </c>
      <c r="AM84" s="123">
        <f t="shared" si="44"/>
        <v>6</v>
      </c>
      <c r="AN84" s="123">
        <f t="shared" si="45"/>
        <v>3</v>
      </c>
      <c r="AP84" s="123">
        <f>AN84/AN92*10000+AM84/AM92*1000+AI84/AI92*100+IF(AQ84=0,ROW(),AQ84)/2000000</f>
        <v>5833.3340998233334</v>
      </c>
      <c r="AQ84" s="126">
        <f t="shared" si="37"/>
        <v>1532.98</v>
      </c>
      <c r="AR84" s="125" t="str">
        <f t="shared" si="50"/>
        <v>ABCE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Ⓛ Croatia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2 - 3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8</v>
      </c>
      <c r="AE85" s="124" t="str">
        <f>J41</f>
        <v>Japan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3</v>
      </c>
      <c r="AJ85" s="123">
        <f t="shared" si="42"/>
        <v>4</v>
      </c>
      <c r="AK85" s="123" t="s">
        <v>3186</v>
      </c>
      <c r="AL85" s="123">
        <f t="shared" si="43"/>
        <v>-1</v>
      </c>
      <c r="AM85" s="123">
        <f t="shared" si="44"/>
        <v>4</v>
      </c>
      <c r="AN85" s="123">
        <f t="shared" si="45"/>
        <v>2</v>
      </c>
      <c r="AP85" s="123">
        <f>AN85/AN92*10000+AM85/AM92*1000+AI85/AI92*100+IF(AQ85=0,ROW(),AQ85)/2000000</f>
        <v>3883.334163548333</v>
      </c>
      <c r="AQ85" s="126">
        <f t="shared" si="37"/>
        <v>1660.43</v>
      </c>
      <c r="AR85" s="125" t="str">
        <f t="shared" si="50"/>
        <v>ABCEF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Ⓑ Canada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2 - 3</v>
      </c>
      <c r="P86" s="101">
        <f t="shared" si="48"/>
        <v>4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9</v>
      </c>
      <c r="AE86" s="124" t="str">
        <f>J47</f>
        <v>Iran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2</v>
      </c>
      <c r="AJ86" s="123">
        <f t="shared" si="42"/>
        <v>3</v>
      </c>
      <c r="AK86" s="123" t="s">
        <v>3187</v>
      </c>
      <c r="AL86" s="123">
        <f t="shared" si="43"/>
        <v>-1</v>
      </c>
      <c r="AM86" s="123">
        <f t="shared" si="44"/>
        <v>4</v>
      </c>
      <c r="AN86" s="123">
        <f t="shared" si="45"/>
        <v>2</v>
      </c>
      <c r="AP86" s="123">
        <f>AN86/AN92*10000+AM86/AM92*1000+AI86/AI92*100+IF(AQ86=0,ROW(),AQ86)/2000000</f>
        <v>3866.6674743166664</v>
      </c>
      <c r="AQ86" s="126">
        <f t="shared" si="37"/>
        <v>1615.3</v>
      </c>
      <c r="AR86" s="125" t="str">
        <f t="shared" si="50"/>
        <v>ABCEF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Ⓔ Ivory Coast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5 - 4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11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1</v>
      </c>
      <c r="AJ87" s="123">
        <f t="shared" si="42"/>
        <v>4</v>
      </c>
      <c r="AK87" s="123" t="s">
        <v>3188</v>
      </c>
      <c r="AL87" s="123">
        <f t="shared" si="43"/>
        <v>-3</v>
      </c>
      <c r="AM87" s="123">
        <f t="shared" si="44"/>
        <v>2</v>
      </c>
      <c r="AN87" s="123">
        <f t="shared" si="45"/>
        <v>1</v>
      </c>
      <c r="AP87" s="123">
        <f>AN87/AN92*10000+AM87/AM92*1000+AI87/AI92*100+IF(AQ87=0,ROW(),AQ87)/2000000</f>
        <v>1933.3340440483332</v>
      </c>
      <c r="AQ87" s="126">
        <f t="shared" si="37"/>
        <v>1421.43</v>
      </c>
      <c r="AR87" s="125" t="str">
        <f t="shared" si="50"/>
        <v>ABCEF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Ⓕ Japan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3 - 4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Mexico</v>
      </c>
      <c r="T88" s="127" t="str" cm="1">
        <f t="array" ref="T88">IF(OR(S88="",S88="draw"),INDEX(T,90,lang),S88)</f>
        <v>Mexico</v>
      </c>
      <c r="AD88" s="123">
        <f t="shared" si="38"/>
        <v>3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3</v>
      </c>
      <c r="AJ88" s="123">
        <f t="shared" si="42"/>
        <v>3</v>
      </c>
      <c r="AK88" s="123" t="s">
        <v>3189</v>
      </c>
      <c r="AL88" s="123">
        <f t="shared" si="43"/>
        <v>0</v>
      </c>
      <c r="AM88" s="123">
        <f t="shared" si="44"/>
        <v>5</v>
      </c>
      <c r="AN88" s="123">
        <f t="shared" si="45"/>
        <v>4</v>
      </c>
      <c r="AP88" s="123">
        <f>AN88/AN92*10000+AM88/AM92*1000+AI88/AI92*100+IF(AQ88=0,ROW(),AQ88)/2000000</f>
        <v>7341.667511161666</v>
      </c>
      <c r="AQ88" s="126">
        <f t="shared" si="37"/>
        <v>1688.99</v>
      </c>
      <c r="AR88" s="125" t="str">
        <f t="shared" si="50"/>
        <v>ABCEFI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Iran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2 - 3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4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3</v>
      </c>
      <c r="AJ89" s="123">
        <f t="shared" si="42"/>
        <v>3</v>
      </c>
      <c r="AK89" s="123" t="s">
        <v>3190</v>
      </c>
      <c r="AL89" s="123">
        <f t="shared" si="43"/>
        <v>0</v>
      </c>
      <c r="AM89" s="123">
        <f t="shared" si="44"/>
        <v>5</v>
      </c>
      <c r="AN89" s="123">
        <f t="shared" si="45"/>
        <v>4</v>
      </c>
      <c r="AP89" s="123">
        <f>AN89/AN92*10000+AM89/AM92*1000+AI89/AI92*100+IF(AQ89=0,ROW(),AQ89)/2000000</f>
        <v>7341.6674487966657</v>
      </c>
      <c r="AQ89" s="126">
        <f t="shared" si="37"/>
        <v>1564.26</v>
      </c>
      <c r="AR89" s="125" t="str">
        <f t="shared" si="50"/>
        <v>ABCEFIJ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Ⓓ Australia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1 - 3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12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0</v>
      </c>
      <c r="AJ90" s="123">
        <f t="shared" si="42"/>
        <v>5</v>
      </c>
      <c r="AK90" s="123" t="s">
        <v>3191</v>
      </c>
      <c r="AL90" s="123">
        <f t="shared" si="43"/>
        <v>-5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1666.6673993366664</v>
      </c>
      <c r="AQ90" s="126">
        <f t="shared" si="37"/>
        <v>1465.34</v>
      </c>
      <c r="AR90" s="125" t="str">
        <f t="shared" si="50"/>
        <v>ABCEFIJ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Ⓗ Saudi Arabia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1 - 4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5</v>
      </c>
      <c r="AE91" s="124" t="str">
        <f>J77</f>
        <v>Croatia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2</v>
      </c>
      <c r="AJ91" s="123">
        <f>VLOOKUP($AE91,$AE$8:$AQ$78,6,FALSE)</f>
        <v>3</v>
      </c>
      <c r="AK91" s="123" t="s">
        <v>3192</v>
      </c>
      <c r="AL91" s="123">
        <f>VLOOKUP($AE91,$AE$8:$AQ$78,8,FALSE)</f>
        <v>-1</v>
      </c>
      <c r="AM91" s="123">
        <f t="shared" si="44"/>
        <v>4</v>
      </c>
      <c r="AN91" s="123">
        <f>VLOOKUP($AE91,$AE$8:$AQ$78,10,FALSE)</f>
        <v>4</v>
      </c>
      <c r="AP91" s="123">
        <f>AN91/AN92*10000+AM91/AM92*1000+AI91/AI92*100+IF(AQ91=0,ROW(),AQ91)/2000000</f>
        <v>7200.0008585349988</v>
      </c>
      <c r="AQ91" s="126">
        <f t="shared" si="37"/>
        <v>1717.07</v>
      </c>
      <c r="AR91" s="125" t="str">
        <f t="shared" si="50"/>
        <v>ABCEFIJL</v>
      </c>
      <c r="AS91" s="129" t="str">
        <f t="shared" si="46"/>
        <v>Croatia</v>
      </c>
      <c r="AT91" s="130" t="str">
        <f>"Ⓛ "&amp;AE91</f>
        <v>Ⓛ Croatia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Uzbekistan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0 - 5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6</v>
      </c>
      <c r="AL92" s="123">
        <f>MIN(AL80:AL91)</f>
        <v>-5</v>
      </c>
      <c r="AM92" s="123">
        <f>MAX(AM80:AM91)+1</f>
        <v>8</v>
      </c>
      <c r="AN92" s="123">
        <f>MAX(AN80:AN91)+1</f>
        <v>6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>
      <formula1>"0,1,2,3,4,5,6,7,8,9,10,11,12,13,14,15,16,17,18,19,20"</formula1>
    </dataValidation>
    <dataValidation type="list" allowBlank="1" showInputMessage="1" showErrorMessage="1" sqref="F7:G78">
      <formula1>"0,1,2,3,4,5,6,7,8,9"</formula1>
    </dataValidation>
  </dataValidations>
  <hyperlinks>
    <hyperlink ref="O3" location="Settings!C4" tooltip="Settings" display="Settings!C4"/>
    <hyperlink ref="J5:P5" r:id="rId1" tooltip="Excel Schedule" display="Home Page: www.excely.com"/>
    <hyperlink ref="J5:P6" r:id="rId2" tooltip="World Cup 2026 Schedule in Excel" display="Home Page: www.excely.com"/>
    <hyperlink ref="C83:G88" r:id="rId3" tooltip="World Cup 2026 Interactive Schedule Online - www.wallchart.io" display="http://www.wallchart.io/football/world-cup-2026.html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3"/>
    <row r="2" spans="2:11" ht="21" x14ac:dyDescent="0.3">
      <c r="B2" s="108" t="s">
        <v>3193</v>
      </c>
    </row>
    <row r="3" spans="2:11" ht="14.45" x14ac:dyDescent="0.3">
      <c r="B3" s="109">
        <f>MATCH(C3,C6:C500,0)</f>
        <v>408</v>
      </c>
      <c r="C3" s="121" t="str">
        <f>'2026 World Cup'!AR91</f>
        <v>ABCEFIJL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ht="14.45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ht="14.45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ht="14.45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ht="14.45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ht="14.45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ht="14.45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ht="14.45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ht="14.45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ht="14.45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ht="14.45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ht="14.45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ht="14.45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ht="14.45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ht="14.45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ht="14.45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ht="14.45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ht="14.45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ht="14.45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ht="14.45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ht="14.45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ht="14.45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ht="14.45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ht="14.45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ht="14.45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ht="14.45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ht="14.45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ht="14.45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ht="14.45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ht="14.45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ht="14.45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ht="14.45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ht="14.45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Oscar</cp:lastModifiedBy>
  <cp:revision/>
  <dcterms:created xsi:type="dcterms:W3CDTF">2017-12-27T19:32:51Z</dcterms:created>
  <dcterms:modified xsi:type="dcterms:W3CDTF">2026-06-03T19:29:20Z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